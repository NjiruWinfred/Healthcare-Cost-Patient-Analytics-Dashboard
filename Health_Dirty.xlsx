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DATA SCIENCE MATERIALS\EXCEL\"/>
    </mc:Choice>
  </mc:AlternateContent>
  <xr:revisionPtr revIDLastSave="0" documentId="13_ncr:1_{1D6937FC-A4F0-40C3-8311-AE0F7EF4905D}" xr6:coauthVersionLast="47" xr6:coauthVersionMax="47" xr10:uidLastSave="{00000000-0000-0000-0000-000000000000}"/>
  <bookViews>
    <workbookView xWindow="-120" yWindow="-120" windowWidth="20730" windowHeight="11160" activeTab="1" xr2:uid="{2FF5F5B4-A6E0-4FAB-A3F0-12EE7562FB29}"/>
  </bookViews>
  <sheets>
    <sheet name="in" sheetId="1" r:id="rId1"/>
    <sheet name="Analysis" sheetId="2" r:id="rId2"/>
  </sheets>
  <calcPr calcId="191028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2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" i="1"/>
  <c r="J4" i="1"/>
  <c r="G3" i="2"/>
  <c r="G4" i="2"/>
  <c r="G5" i="2"/>
  <c r="F2" i="2" a="1"/>
  <c r="F2" i="2" s="1"/>
  <c r="B7" i="2"/>
  <c r="C4" i="2"/>
  <c r="C3" i="2"/>
  <c r="C2" i="2"/>
  <c r="I3" i="1" a="1"/>
  <c r="I3" i="1" s="1"/>
  <c r="I4" i="1" a="1"/>
  <c r="I4" i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/>
  <c r="I19" i="1" a="1"/>
  <c r="I19" i="1" s="1"/>
  <c r="I20" i="1" a="1"/>
  <c r="I20" i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/>
  <c r="I27" i="1" a="1"/>
  <c r="I27" i="1" s="1"/>
  <c r="I28" i="1" a="1"/>
  <c r="I28" i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/>
  <c r="I35" i="1" a="1"/>
  <c r="I35" i="1" s="1"/>
  <c r="I36" i="1" a="1"/>
  <c r="I36" i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/>
  <c r="I43" i="1" a="1"/>
  <c r="I43" i="1" s="1"/>
  <c r="I44" i="1" a="1"/>
  <c r="I44" i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/>
  <c r="I51" i="1" a="1"/>
  <c r="I51" i="1" s="1"/>
  <c r="I52" i="1" a="1"/>
  <c r="I52" i="1" s="1"/>
  <c r="I53" i="1" a="1"/>
  <c r="I53" i="1" s="1"/>
  <c r="I54" i="1" a="1"/>
  <c r="I54" i="1"/>
  <c r="I55" i="1" a="1"/>
  <c r="I55" i="1" s="1"/>
  <c r="I56" i="1" a="1"/>
  <c r="I56" i="1" s="1"/>
  <c r="I57" i="1" a="1"/>
  <c r="I57" i="1" s="1"/>
  <c r="I58" i="1" a="1"/>
  <c r="I58" i="1"/>
  <c r="I59" i="1" a="1"/>
  <c r="I59" i="1" s="1"/>
  <c r="I60" i="1" a="1"/>
  <c r="I60" i="1" s="1"/>
  <c r="I61" i="1" a="1"/>
  <c r="I61" i="1" s="1"/>
  <c r="I62" i="1" a="1"/>
  <c r="I62" i="1"/>
  <c r="I63" i="1" a="1"/>
  <c r="I63" i="1" s="1"/>
  <c r="I64" i="1" a="1"/>
  <c r="I64" i="1" s="1"/>
  <c r="I65" i="1" a="1"/>
  <c r="I65" i="1" s="1"/>
  <c r="I66" i="1" a="1"/>
  <c r="I66" i="1"/>
  <c r="I67" i="1" a="1"/>
  <c r="I67" i="1" s="1"/>
  <c r="I68" i="1" a="1"/>
  <c r="I68" i="1" s="1"/>
  <c r="I69" i="1" a="1"/>
  <c r="I69" i="1" s="1"/>
  <c r="I70" i="1" a="1"/>
  <c r="I70" i="1"/>
  <c r="I71" i="1" a="1"/>
  <c r="I71" i="1" s="1"/>
  <c r="I72" i="1" a="1"/>
  <c r="I72" i="1" s="1"/>
  <c r="I73" i="1" a="1"/>
  <c r="I73" i="1" s="1"/>
  <c r="I74" i="1" a="1"/>
  <c r="I74" i="1"/>
  <c r="I75" i="1" a="1"/>
  <c r="I75" i="1" s="1"/>
  <c r="I76" i="1" a="1"/>
  <c r="I76" i="1" s="1"/>
  <c r="I77" i="1" a="1"/>
  <c r="I77" i="1" s="1"/>
  <c r="I78" i="1" a="1"/>
  <c r="I78" i="1"/>
  <c r="I79" i="1" a="1"/>
  <c r="I79" i="1" s="1"/>
  <c r="I80" i="1" a="1"/>
  <c r="I80" i="1" s="1"/>
  <c r="I81" i="1" a="1"/>
  <c r="I81" i="1" s="1"/>
  <c r="I82" i="1" a="1"/>
  <c r="I82" i="1"/>
  <c r="I83" i="1" a="1"/>
  <c r="I83" i="1" s="1"/>
  <c r="I84" i="1" a="1"/>
  <c r="I84" i="1" s="1"/>
  <c r="I85" i="1" a="1"/>
  <c r="I85" i="1" s="1"/>
  <c r="I86" i="1" a="1"/>
  <c r="I86" i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/>
  <c r="I101" i="1" a="1"/>
  <c r="I101" i="1" s="1"/>
  <c r="I102" i="1" a="1"/>
  <c r="I102" i="1"/>
  <c r="I103" i="1" a="1"/>
  <c r="I103" i="1" s="1"/>
  <c r="I104" i="1" a="1"/>
  <c r="I104" i="1" s="1"/>
  <c r="I105" i="1" a="1"/>
  <c r="I105" i="1" s="1"/>
  <c r="I106" i="1" a="1"/>
  <c r="I106" i="1"/>
  <c r="I107" i="1" a="1"/>
  <c r="I107" i="1" s="1"/>
  <c r="I108" i="1" a="1"/>
  <c r="I108" i="1"/>
  <c r="I109" i="1" a="1"/>
  <c r="I109" i="1" s="1"/>
  <c r="I110" i="1" a="1"/>
  <c r="I110" i="1"/>
  <c r="I111" i="1" a="1"/>
  <c r="I111" i="1" s="1"/>
  <c r="I112" i="1" a="1"/>
  <c r="I112" i="1" s="1"/>
  <c r="I113" i="1" a="1"/>
  <c r="I113" i="1" s="1"/>
  <c r="I114" i="1" a="1"/>
  <c r="I114" i="1"/>
  <c r="I115" i="1" a="1"/>
  <c r="I115" i="1" s="1"/>
  <c r="I116" i="1" a="1"/>
  <c r="I116" i="1" s="1"/>
  <c r="I117" i="1" a="1"/>
  <c r="I117" i="1" s="1"/>
  <c r="I118" i="1" a="1"/>
  <c r="I118" i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/>
  <c r="I133" i="1" a="1"/>
  <c r="I133" i="1" s="1"/>
  <c r="I134" i="1" a="1"/>
  <c r="I134" i="1"/>
  <c r="I135" i="1" a="1"/>
  <c r="I135" i="1" s="1"/>
  <c r="I136" i="1" a="1"/>
  <c r="I136" i="1" s="1"/>
  <c r="I137" i="1" a="1"/>
  <c r="I137" i="1" s="1"/>
  <c r="I138" i="1" a="1"/>
  <c r="I138" i="1"/>
  <c r="I139" i="1" a="1"/>
  <c r="I139" i="1" s="1"/>
  <c r="I140" i="1" a="1"/>
  <c r="I140" i="1"/>
  <c r="I141" i="1" a="1"/>
  <c r="I141" i="1" s="1"/>
  <c r="I142" i="1" a="1"/>
  <c r="I142" i="1"/>
  <c r="I143" i="1" a="1"/>
  <c r="I143" i="1" s="1"/>
  <c r="I144" i="1" a="1"/>
  <c r="I144" i="1" s="1"/>
  <c r="I145" i="1" a="1"/>
  <c r="I145" i="1" s="1"/>
  <c r="I146" i="1" a="1"/>
  <c r="I146" i="1"/>
  <c r="I147" i="1" a="1"/>
  <c r="I147" i="1" s="1"/>
  <c r="I148" i="1" a="1"/>
  <c r="I148" i="1" s="1"/>
  <c r="I149" i="1" a="1"/>
  <c r="I149" i="1" s="1"/>
  <c r="I150" i="1" a="1"/>
  <c r="I150" i="1"/>
  <c r="I151" i="1" a="1"/>
  <c r="I151" i="1" s="1"/>
  <c r="I152" i="1" a="1"/>
  <c r="I152" i="1" s="1"/>
  <c r="I153" i="1" a="1"/>
  <c r="I153" i="1" s="1"/>
  <c r="I154" i="1" a="1"/>
  <c r="I154" i="1"/>
  <c r="I155" i="1" a="1"/>
  <c r="I155" i="1" s="1"/>
  <c r="I156" i="1" a="1"/>
  <c r="I156" i="1" s="1"/>
  <c r="I157" i="1" a="1"/>
  <c r="I157" i="1" s="1"/>
  <c r="I158" i="1" a="1"/>
  <c r="I158" i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/>
  <c r="I165" i="1" a="1"/>
  <c r="I165" i="1" s="1"/>
  <c r="I166" i="1" a="1"/>
  <c r="I166" i="1"/>
  <c r="I167" i="1" a="1"/>
  <c r="I167" i="1" s="1"/>
  <c r="I168" i="1" a="1"/>
  <c r="I168" i="1" s="1"/>
  <c r="I169" i="1" a="1"/>
  <c r="I169" i="1" s="1"/>
  <c r="I170" i="1" a="1"/>
  <c r="I170" i="1"/>
  <c r="I171" i="1" a="1"/>
  <c r="I171" i="1" s="1"/>
  <c r="I172" i="1" a="1"/>
  <c r="I172" i="1" s="1"/>
  <c r="I173" i="1" a="1"/>
  <c r="I173" i="1" s="1"/>
  <c r="I174" i="1" a="1"/>
  <c r="I174" i="1"/>
  <c r="I175" i="1" a="1"/>
  <c r="I175" i="1" s="1"/>
  <c r="I176" i="1" a="1"/>
  <c r="I176" i="1" s="1"/>
  <c r="I177" i="1" a="1"/>
  <c r="I177" i="1" s="1"/>
  <c r="I178" i="1" a="1"/>
  <c r="I178" i="1"/>
  <c r="I179" i="1" a="1"/>
  <c r="I179" i="1" s="1"/>
  <c r="I180" i="1" a="1"/>
  <c r="I180" i="1" s="1"/>
  <c r="I181" i="1" a="1"/>
  <c r="I181" i="1" s="1"/>
  <c r="I182" i="1" a="1"/>
  <c r="I182" i="1"/>
  <c r="I183" i="1" a="1"/>
  <c r="I183" i="1" s="1"/>
  <c r="I184" i="1" a="1"/>
  <c r="I184" i="1" s="1"/>
  <c r="I185" i="1" a="1"/>
  <c r="I185" i="1" s="1"/>
  <c r="I186" i="1" a="1"/>
  <c r="I186" i="1"/>
  <c r="I187" i="1" a="1"/>
  <c r="I187" i="1" s="1"/>
  <c r="I188" i="1" a="1"/>
  <c r="I188" i="1" s="1"/>
  <c r="I189" i="1" a="1"/>
  <c r="I189" i="1" s="1"/>
  <c r="I190" i="1" a="1"/>
  <c r="I190" i="1"/>
  <c r="I191" i="1" a="1"/>
  <c r="I191" i="1" s="1"/>
  <c r="I192" i="1" a="1"/>
  <c r="I192" i="1" s="1"/>
  <c r="I193" i="1" a="1"/>
  <c r="I193" i="1" s="1"/>
  <c r="I194" i="1" a="1"/>
  <c r="I194" i="1"/>
  <c r="I195" i="1" a="1"/>
  <c r="I195" i="1" s="1"/>
  <c r="I196" i="1" a="1"/>
  <c r="I196" i="1" s="1"/>
  <c r="I197" i="1" a="1"/>
  <c r="I197" i="1" s="1"/>
  <c r="I198" i="1" a="1"/>
  <c r="I198" i="1"/>
  <c r="I199" i="1" a="1"/>
  <c r="I199" i="1" s="1"/>
  <c r="I200" i="1" a="1"/>
  <c r="I200" i="1" s="1"/>
  <c r="I201" i="1" a="1"/>
  <c r="I201" i="1" s="1"/>
  <c r="I202" i="1" a="1"/>
  <c r="I202" i="1"/>
  <c r="I203" i="1" a="1"/>
  <c r="I203" i="1" s="1"/>
  <c r="I204" i="1" a="1"/>
  <c r="I204" i="1" s="1"/>
  <c r="I205" i="1" a="1"/>
  <c r="I205" i="1" s="1"/>
  <c r="I206" i="1" a="1"/>
  <c r="I206" i="1"/>
  <c r="I207" i="1" a="1"/>
  <c r="I207" i="1" s="1"/>
  <c r="I208" i="1" a="1"/>
  <c r="I208" i="1" s="1"/>
  <c r="I209" i="1" a="1"/>
  <c r="I209" i="1" s="1"/>
  <c r="I210" i="1" a="1"/>
  <c r="I210" i="1"/>
  <c r="I211" i="1" a="1"/>
  <c r="I211" i="1" s="1"/>
  <c r="I212" i="1" a="1"/>
  <c r="I212" i="1" s="1"/>
  <c r="I213" i="1" a="1"/>
  <c r="I213" i="1" s="1"/>
  <c r="I214" i="1" a="1"/>
  <c r="I214" i="1"/>
  <c r="I215" i="1" a="1"/>
  <c r="I215" i="1" s="1"/>
  <c r="I216" i="1" a="1"/>
  <c r="I216" i="1" s="1"/>
  <c r="I217" i="1" a="1"/>
  <c r="I217" i="1" s="1"/>
  <c r="I218" i="1" a="1"/>
  <c r="I218" i="1"/>
  <c r="I219" i="1" a="1"/>
  <c r="I219" i="1" s="1"/>
  <c r="I220" i="1" a="1"/>
  <c r="I220" i="1" s="1"/>
  <c r="I221" i="1" a="1"/>
  <c r="I221" i="1" s="1"/>
  <c r="I222" i="1" a="1"/>
  <c r="I222" i="1"/>
  <c r="I223" i="1" a="1"/>
  <c r="I223" i="1" s="1"/>
  <c r="I224" i="1" a="1"/>
  <c r="I224" i="1" s="1"/>
  <c r="I225" i="1" a="1"/>
  <c r="I225" i="1" s="1"/>
  <c r="I226" i="1" a="1"/>
  <c r="I226" i="1"/>
  <c r="I227" i="1" a="1"/>
  <c r="I227" i="1" s="1"/>
  <c r="I228" i="1" a="1"/>
  <c r="I228" i="1"/>
  <c r="I229" i="1" a="1"/>
  <c r="I229" i="1" s="1"/>
  <c r="I230" i="1" a="1"/>
  <c r="I230" i="1"/>
  <c r="I231" i="1" a="1"/>
  <c r="I231" i="1" s="1"/>
  <c r="I232" i="1" a="1"/>
  <c r="I232" i="1" s="1"/>
  <c r="I233" i="1" a="1"/>
  <c r="I233" i="1" s="1"/>
  <c r="I234" i="1" a="1"/>
  <c r="I234" i="1"/>
  <c r="I235" i="1" a="1"/>
  <c r="I235" i="1" s="1"/>
  <c r="I236" i="1" a="1"/>
  <c r="I236" i="1"/>
  <c r="I237" i="1" a="1"/>
  <c r="I237" i="1" s="1"/>
  <c r="I238" i="1" a="1"/>
  <c r="I238" i="1"/>
  <c r="I239" i="1" a="1"/>
  <c r="I239" i="1" s="1"/>
  <c r="I240" i="1" a="1"/>
  <c r="I240" i="1" s="1"/>
  <c r="I241" i="1" a="1"/>
  <c r="I241" i="1" s="1"/>
  <c r="I242" i="1" a="1"/>
  <c r="I242" i="1"/>
  <c r="I243" i="1" a="1"/>
  <c r="I243" i="1" s="1"/>
  <c r="I244" i="1" a="1"/>
  <c r="I244" i="1"/>
  <c r="I245" i="1" a="1"/>
  <c r="I245" i="1" s="1"/>
  <c r="I246" i="1" a="1"/>
  <c r="I246" i="1"/>
  <c r="I247" i="1" a="1"/>
  <c r="I247" i="1" s="1"/>
  <c r="I248" i="1" a="1"/>
  <c r="I248" i="1" s="1"/>
  <c r="I249" i="1" a="1"/>
  <c r="I249" i="1" s="1"/>
  <c r="I250" i="1" a="1"/>
  <c r="I250" i="1"/>
  <c r="I251" i="1" a="1"/>
  <c r="I251" i="1" s="1"/>
  <c r="I252" i="1" a="1"/>
  <c r="I252" i="1"/>
  <c r="I253" i="1" a="1"/>
  <c r="I253" i="1" s="1"/>
  <c r="I254" i="1" a="1"/>
  <c r="I254" i="1"/>
  <c r="I255" i="1" a="1"/>
  <c r="I255" i="1" s="1"/>
  <c r="I256" i="1" a="1"/>
  <c r="I256" i="1" s="1"/>
  <c r="I257" i="1" a="1"/>
  <c r="I257" i="1" s="1"/>
  <c r="I258" i="1" a="1"/>
  <c r="I258" i="1"/>
  <c r="I259" i="1" a="1"/>
  <c r="I259" i="1" s="1"/>
  <c r="I260" i="1" a="1"/>
  <c r="I260" i="1"/>
  <c r="I261" i="1" a="1"/>
  <c r="I261" i="1" s="1"/>
  <c r="I262" i="1" a="1"/>
  <c r="I262" i="1"/>
  <c r="I263" i="1" a="1"/>
  <c r="I263" i="1" s="1"/>
  <c r="I264" i="1" a="1"/>
  <c r="I264" i="1" s="1"/>
  <c r="I265" i="1" a="1"/>
  <c r="I265" i="1" s="1"/>
  <c r="I266" i="1" a="1"/>
  <c r="I266" i="1"/>
  <c r="I267" i="1" a="1"/>
  <c r="I267" i="1" s="1"/>
  <c r="I268" i="1" a="1"/>
  <c r="I268" i="1"/>
  <c r="I269" i="1" a="1"/>
  <c r="I269" i="1" s="1"/>
  <c r="I270" i="1" a="1"/>
  <c r="I270" i="1"/>
  <c r="I271" i="1" a="1"/>
  <c r="I271" i="1" s="1"/>
  <c r="I272" i="1" a="1"/>
  <c r="I272" i="1" s="1"/>
  <c r="I273" i="1" a="1"/>
  <c r="I273" i="1" s="1"/>
  <c r="I274" i="1" a="1"/>
  <c r="I274" i="1"/>
  <c r="I275" i="1" a="1"/>
  <c r="I275" i="1" s="1"/>
  <c r="I276" i="1" a="1"/>
  <c r="I276" i="1"/>
  <c r="I277" i="1" a="1"/>
  <c r="I277" i="1" s="1"/>
  <c r="I278" i="1" a="1"/>
  <c r="I278" i="1"/>
  <c r="I279" i="1" a="1"/>
  <c r="I279" i="1" s="1"/>
  <c r="I280" i="1" a="1"/>
  <c r="I280" i="1" s="1"/>
  <c r="I281" i="1" a="1"/>
  <c r="I281" i="1" s="1"/>
  <c r="I282" i="1" a="1"/>
  <c r="I282" i="1"/>
  <c r="I283" i="1" a="1"/>
  <c r="I283" i="1" s="1"/>
  <c r="I284" i="1" a="1"/>
  <c r="I284" i="1"/>
  <c r="I285" i="1" a="1"/>
  <c r="I285" i="1" s="1"/>
  <c r="I286" i="1" a="1"/>
  <c r="I286" i="1"/>
  <c r="I287" i="1" a="1"/>
  <c r="I287" i="1" s="1"/>
  <c r="I288" i="1" a="1"/>
  <c r="I288" i="1" s="1"/>
  <c r="I289" i="1" a="1"/>
  <c r="I289" i="1" s="1"/>
  <c r="I290" i="1" a="1"/>
  <c r="I290" i="1"/>
  <c r="I291" i="1" a="1"/>
  <c r="I291" i="1" s="1"/>
  <c r="I292" i="1" a="1"/>
  <c r="I292" i="1"/>
  <c r="I293" i="1" a="1"/>
  <c r="I293" i="1" s="1"/>
  <c r="I294" i="1" a="1"/>
  <c r="I294" i="1" s="1"/>
  <c r="I295" i="1" a="1"/>
  <c r="I295" i="1" s="1"/>
  <c r="I296" i="1" a="1"/>
  <c r="I296" i="1" s="1"/>
  <c r="I297" i="1" a="1"/>
  <c r="I297" i="1" s="1"/>
  <c r="I298" i="1" a="1"/>
  <c r="I298" i="1"/>
  <c r="I299" i="1" a="1"/>
  <c r="I299" i="1" s="1"/>
  <c r="I300" i="1" a="1"/>
  <c r="I300" i="1"/>
  <c r="I301" i="1" a="1"/>
  <c r="I301" i="1" s="1"/>
  <c r="I302" i="1" a="1"/>
  <c r="I302" i="1"/>
  <c r="I303" i="1" a="1"/>
  <c r="I303" i="1" s="1"/>
  <c r="I304" i="1" a="1"/>
  <c r="I304" i="1"/>
  <c r="I305" i="1" a="1"/>
  <c r="I305" i="1" s="1"/>
  <c r="I306" i="1" a="1"/>
  <c r="I306" i="1"/>
  <c r="I307" i="1" a="1"/>
  <c r="I307" i="1" s="1"/>
  <c r="I308" i="1" a="1"/>
  <c r="I308" i="1"/>
  <c r="I309" i="1" a="1"/>
  <c r="I309" i="1" s="1"/>
  <c r="I310" i="1" a="1"/>
  <c r="I310" i="1"/>
  <c r="I311" i="1" a="1"/>
  <c r="I311" i="1" s="1"/>
  <c r="I312" i="1" a="1"/>
  <c r="I312" i="1"/>
  <c r="I313" i="1" a="1"/>
  <c r="I313" i="1" s="1"/>
  <c r="I314" i="1" a="1"/>
  <c r="I314" i="1"/>
  <c r="I315" i="1" a="1"/>
  <c r="I315" i="1" s="1"/>
  <c r="I316" i="1" a="1"/>
  <c r="I316" i="1"/>
  <c r="I317" i="1" a="1"/>
  <c r="I317" i="1" s="1"/>
  <c r="I318" i="1" a="1"/>
  <c r="I318" i="1"/>
  <c r="I319" i="1" a="1"/>
  <c r="I319" i="1" s="1"/>
  <c r="I320" i="1" a="1"/>
  <c r="I320" i="1"/>
  <c r="I321" i="1" a="1"/>
  <c r="I321" i="1" s="1"/>
  <c r="I322" i="1" a="1"/>
  <c r="I322" i="1"/>
  <c r="I323" i="1" a="1"/>
  <c r="I323" i="1" s="1"/>
  <c r="I324" i="1" a="1"/>
  <c r="I324" i="1"/>
  <c r="I325" i="1" a="1"/>
  <c r="I325" i="1" s="1"/>
  <c r="I326" i="1" a="1"/>
  <c r="I326" i="1"/>
  <c r="I327" i="1" a="1"/>
  <c r="I327" i="1" s="1"/>
  <c r="I328" i="1" a="1"/>
  <c r="I328" i="1"/>
  <c r="I329" i="1" a="1"/>
  <c r="I329" i="1" s="1"/>
  <c r="I330" i="1" a="1"/>
  <c r="I330" i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 s="1"/>
  <c r="I350" i="1" a="1"/>
  <c r="I350" i="1" s="1"/>
  <c r="I351" i="1" a="1"/>
  <c r="I351" i="1" s="1"/>
  <c r="I352" i="1" a="1"/>
  <c r="I352" i="1" s="1"/>
  <c r="I353" i="1" a="1"/>
  <c r="I353" i="1" s="1"/>
  <c r="I354" i="1" a="1"/>
  <c r="I354" i="1" s="1"/>
  <c r="I355" i="1" a="1"/>
  <c r="I355" i="1" s="1"/>
  <c r="I356" i="1" a="1"/>
  <c r="I356" i="1" s="1"/>
  <c r="I357" i="1" a="1"/>
  <c r="I357" i="1" s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 s="1"/>
  <c r="I381" i="1" a="1"/>
  <c r="I381" i="1" s="1"/>
  <c r="I382" i="1" a="1"/>
  <c r="I382" i="1" s="1"/>
  <c r="I383" i="1" a="1"/>
  <c r="I383" i="1" s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I390" i="1" a="1"/>
  <c r="I390" i="1" s="1"/>
  <c r="I391" i="1" a="1"/>
  <c r="I391" i="1" s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 s="1"/>
  <c r="I404" i="1" a="1"/>
  <c r="I404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7" i="1" a="1"/>
  <c r="I417" i="1" s="1"/>
  <c r="I418" i="1" a="1"/>
  <c r="I418" i="1" s="1"/>
  <c r="I419" i="1" a="1"/>
  <c r="I419" i="1" s="1"/>
  <c r="I420" i="1" a="1"/>
  <c r="I420" i="1" s="1"/>
  <c r="I421" i="1" a="1"/>
  <c r="I421" i="1" s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 s="1"/>
  <c r="I428" i="1" a="1"/>
  <c r="I428" i="1" s="1"/>
  <c r="I429" i="1" a="1"/>
  <c r="I429" i="1" s="1"/>
  <c r="I430" i="1" a="1"/>
  <c r="I430" i="1" s="1"/>
  <c r="I431" i="1" a="1"/>
  <c r="I431" i="1" s="1"/>
  <c r="I432" i="1" a="1"/>
  <c r="I432" i="1" s="1"/>
  <c r="I433" i="1" a="1"/>
  <c r="I433" i="1" s="1"/>
  <c r="I434" i="1" a="1"/>
  <c r="I434" i="1" s="1"/>
  <c r="I435" i="1" a="1"/>
  <c r="I435" i="1" s="1"/>
  <c r="I436" i="1" a="1"/>
  <c r="I436" i="1" s="1"/>
  <c r="I437" i="1" a="1"/>
  <c r="I437" i="1" s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 s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 s="1"/>
  <c r="I452" i="1" a="1"/>
  <c r="I452" i="1" s="1"/>
  <c r="I453" i="1" a="1"/>
  <c r="I453" i="1" s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 s="1"/>
  <c r="I460" i="1" a="1"/>
  <c r="I460" i="1"/>
  <c r="I461" i="1" a="1"/>
  <c r="I461" i="1" s="1"/>
  <c r="I462" i="1" a="1"/>
  <c r="I462" i="1" s="1"/>
  <c r="I463" i="1" a="1"/>
  <c r="I463" i="1" s="1"/>
  <c r="I464" i="1" a="1"/>
  <c r="I464" i="1"/>
  <c r="I465" i="1" a="1"/>
  <c r="I465" i="1" s="1"/>
  <c r="I466" i="1" a="1"/>
  <c r="I466" i="1" s="1"/>
  <c r="I467" i="1" a="1"/>
  <c r="I467" i="1" s="1"/>
  <c r="I468" i="1" a="1"/>
  <c r="I468" i="1"/>
  <c r="I469" i="1" a="1"/>
  <c r="I469" i="1" s="1"/>
  <c r="I470" i="1" a="1"/>
  <c r="I470" i="1" s="1"/>
  <c r="I471" i="1" a="1"/>
  <c r="I471" i="1" s="1"/>
  <c r="I472" i="1" a="1"/>
  <c r="I472" i="1"/>
  <c r="I473" i="1" a="1"/>
  <c r="I473" i="1" s="1"/>
  <c r="I474" i="1" a="1"/>
  <c r="I474" i="1" s="1"/>
  <c r="I475" i="1" a="1"/>
  <c r="I475" i="1" s="1"/>
  <c r="I476" i="1" a="1"/>
  <c r="I476" i="1"/>
  <c r="I477" i="1" a="1"/>
  <c r="I477" i="1" s="1"/>
  <c r="I478" i="1" a="1"/>
  <c r="I478" i="1" s="1"/>
  <c r="I479" i="1" a="1"/>
  <c r="I479" i="1" s="1"/>
  <c r="I480" i="1" a="1"/>
  <c r="I480" i="1"/>
  <c r="I481" i="1" a="1"/>
  <c r="I481" i="1" s="1"/>
  <c r="I482" i="1" a="1"/>
  <c r="I482" i="1" s="1"/>
  <c r="I483" i="1" a="1"/>
  <c r="I483" i="1" s="1"/>
  <c r="I484" i="1" a="1"/>
  <c r="I484" i="1"/>
  <c r="I485" i="1" a="1"/>
  <c r="I485" i="1" s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 s="1"/>
  <c r="I492" i="1" a="1"/>
  <c r="I492" i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 s="1"/>
  <c r="I500" i="1" a="1"/>
  <c r="I500" i="1"/>
  <c r="I501" i="1" a="1"/>
  <c r="I501" i="1" s="1"/>
  <c r="I502" i="1" a="1"/>
  <c r="I502" i="1" s="1"/>
  <c r="I503" i="1" a="1"/>
  <c r="I503" i="1" s="1"/>
  <c r="I504" i="1" a="1"/>
  <c r="I504" i="1" s="1"/>
  <c r="I505" i="1" a="1"/>
  <c r="I505" i="1" s="1"/>
  <c r="I506" i="1" a="1"/>
  <c r="I506" i="1" s="1"/>
  <c r="I507" i="1" a="1"/>
  <c r="I507" i="1" s="1"/>
  <c r="I508" i="1" a="1"/>
  <c r="I508" i="1"/>
  <c r="I509" i="1" a="1"/>
  <c r="I509" i="1" s="1"/>
  <c r="I510" i="1" a="1"/>
  <c r="I510" i="1" s="1"/>
  <c r="I511" i="1" a="1"/>
  <c r="I511" i="1" s="1"/>
  <c r="I512" i="1" a="1"/>
  <c r="I512" i="1" s="1"/>
  <c r="I513" i="1" a="1"/>
  <c r="I513" i="1" s="1"/>
  <c r="I514" i="1" a="1"/>
  <c r="I514" i="1" s="1"/>
  <c r="I515" i="1" a="1"/>
  <c r="I515" i="1" s="1"/>
  <c r="I516" i="1" a="1"/>
  <c r="I516" i="1"/>
  <c r="I517" i="1" a="1"/>
  <c r="I517" i="1" s="1"/>
  <c r="I518" i="1" a="1"/>
  <c r="I518" i="1" s="1"/>
  <c r="I519" i="1" a="1"/>
  <c r="I519" i="1" s="1"/>
  <c r="I520" i="1" a="1"/>
  <c r="I520" i="1" s="1"/>
  <c r="I521" i="1" a="1"/>
  <c r="I521" i="1" s="1"/>
  <c r="I522" i="1" a="1"/>
  <c r="I522" i="1" s="1"/>
  <c r="I523" i="1" a="1"/>
  <c r="I523" i="1" s="1"/>
  <c r="I524" i="1" a="1"/>
  <c r="I524" i="1"/>
  <c r="I525" i="1" a="1"/>
  <c r="I525" i="1" s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 s="1"/>
  <c r="I532" i="1" a="1"/>
  <c r="I532" i="1"/>
  <c r="I533" i="1" a="1"/>
  <c r="I533" i="1" s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 s="1"/>
  <c r="I540" i="1" a="1"/>
  <c r="I540" i="1"/>
  <c r="I541" i="1" a="1"/>
  <c r="I541" i="1" s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 s="1"/>
  <c r="I548" i="1" a="1"/>
  <c r="I548" i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 s="1"/>
  <c r="I564" i="1" a="1"/>
  <c r="I564" i="1"/>
  <c r="I565" i="1" a="1"/>
  <c r="I565" i="1" s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 s="1"/>
  <c r="I572" i="1" a="1"/>
  <c r="I572" i="1"/>
  <c r="I573" i="1" a="1"/>
  <c r="I573" i="1" s="1"/>
  <c r="I574" i="1" a="1"/>
  <c r="I574" i="1" s="1"/>
  <c r="I575" i="1" a="1"/>
  <c r="I575" i="1" s="1"/>
  <c r="I576" i="1" a="1"/>
  <c r="I576" i="1" s="1"/>
  <c r="I577" i="1" a="1"/>
  <c r="I577" i="1" s="1"/>
  <c r="I578" i="1" a="1"/>
  <c r="I578" i="1" s="1"/>
  <c r="I579" i="1" a="1"/>
  <c r="I579" i="1" s="1"/>
  <c r="I580" i="1" a="1"/>
  <c r="I580" i="1"/>
  <c r="I581" i="1" a="1"/>
  <c r="I581" i="1" s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 s="1"/>
  <c r="I588" i="1" a="1"/>
  <c r="I588" i="1"/>
  <c r="I589" i="1" a="1"/>
  <c r="I589" i="1" s="1"/>
  <c r="I590" i="1" a="1"/>
  <c r="I590" i="1" s="1"/>
  <c r="I591" i="1" a="1"/>
  <c r="I591" i="1" s="1"/>
  <c r="I592" i="1" a="1"/>
  <c r="I592" i="1" s="1"/>
  <c r="I593" i="1" a="1"/>
  <c r="I593" i="1" s="1"/>
  <c r="I594" i="1" a="1"/>
  <c r="I594" i="1" s="1"/>
  <c r="I595" i="1" a="1"/>
  <c r="I595" i="1" s="1"/>
  <c r="I596" i="1" a="1"/>
  <c r="I596" i="1"/>
  <c r="I597" i="1" a="1"/>
  <c r="I597" i="1" s="1"/>
  <c r="I598" i="1" a="1"/>
  <c r="I598" i="1"/>
  <c r="I599" i="1" a="1"/>
  <c r="I599" i="1" s="1"/>
  <c r="I600" i="1" a="1"/>
  <c r="I600" i="1"/>
  <c r="I601" i="1" a="1"/>
  <c r="I601" i="1" s="1"/>
  <c r="I602" i="1" a="1"/>
  <c r="I602" i="1"/>
  <c r="I603" i="1" a="1"/>
  <c r="I603" i="1" s="1"/>
  <c r="I604" i="1" a="1"/>
  <c r="I604" i="1"/>
  <c r="I605" i="1" a="1"/>
  <c r="I605" i="1" s="1"/>
  <c r="I606" i="1" a="1"/>
  <c r="I606" i="1"/>
  <c r="I607" i="1" a="1"/>
  <c r="I607" i="1" s="1"/>
  <c r="I608" i="1" a="1"/>
  <c r="I608" i="1"/>
  <c r="I609" i="1" a="1"/>
  <c r="I609" i="1" s="1"/>
  <c r="I610" i="1" a="1"/>
  <c r="I610" i="1"/>
  <c r="I611" i="1" a="1"/>
  <c r="I611" i="1" s="1"/>
  <c r="I612" i="1" a="1"/>
  <c r="I612" i="1"/>
  <c r="I613" i="1" a="1"/>
  <c r="I613" i="1" s="1"/>
  <c r="I614" i="1" a="1"/>
  <c r="I614" i="1"/>
  <c r="I615" i="1" a="1"/>
  <c r="I615" i="1" s="1"/>
  <c r="I616" i="1" a="1"/>
  <c r="I616" i="1"/>
  <c r="I617" i="1" a="1"/>
  <c r="I617" i="1" s="1"/>
  <c r="I618" i="1" a="1"/>
  <c r="I618" i="1"/>
  <c r="I619" i="1" a="1"/>
  <c r="I619" i="1" s="1"/>
  <c r="I620" i="1" a="1"/>
  <c r="I620" i="1"/>
  <c r="I621" i="1" a="1"/>
  <c r="I621" i="1" s="1"/>
  <c r="I622" i="1" a="1"/>
  <c r="I622" i="1"/>
  <c r="I623" i="1" a="1"/>
  <c r="I623" i="1" s="1"/>
  <c r="I624" i="1" a="1"/>
  <c r="I624" i="1"/>
  <c r="I625" i="1" a="1"/>
  <c r="I625" i="1" s="1"/>
  <c r="I626" i="1" a="1"/>
  <c r="I626" i="1"/>
  <c r="I627" i="1" a="1"/>
  <c r="I627" i="1" s="1"/>
  <c r="I628" i="1" a="1"/>
  <c r="I628" i="1"/>
  <c r="I629" i="1" a="1"/>
  <c r="I629" i="1" s="1"/>
  <c r="I630" i="1" a="1"/>
  <c r="I630" i="1"/>
  <c r="I631" i="1" a="1"/>
  <c r="I631" i="1" s="1"/>
  <c r="I632" i="1" a="1"/>
  <c r="I632" i="1"/>
  <c r="I633" i="1" a="1"/>
  <c r="I633" i="1" s="1"/>
  <c r="I634" i="1" a="1"/>
  <c r="I634" i="1"/>
  <c r="I635" i="1" a="1"/>
  <c r="I635" i="1" s="1"/>
  <c r="I636" i="1" a="1"/>
  <c r="I636" i="1"/>
  <c r="I637" i="1" a="1"/>
  <c r="I637" i="1" s="1"/>
  <c r="I638" i="1" a="1"/>
  <c r="I638" i="1"/>
  <c r="I639" i="1" a="1"/>
  <c r="I639" i="1" s="1"/>
  <c r="I640" i="1" a="1"/>
  <c r="I640" i="1"/>
  <c r="I641" i="1" a="1"/>
  <c r="I641" i="1" s="1"/>
  <c r="I642" i="1" a="1"/>
  <c r="I642" i="1"/>
  <c r="I643" i="1" a="1"/>
  <c r="I643" i="1" s="1"/>
  <c r="I644" i="1" a="1"/>
  <c r="I644" i="1"/>
  <c r="I645" i="1" a="1"/>
  <c r="I645" i="1" s="1"/>
  <c r="I646" i="1" a="1"/>
  <c r="I646" i="1"/>
  <c r="I647" i="1" a="1"/>
  <c r="I647" i="1" s="1"/>
  <c r="I648" i="1" a="1"/>
  <c r="I648" i="1"/>
  <c r="I649" i="1" a="1"/>
  <c r="I649" i="1" s="1"/>
  <c r="I650" i="1" a="1"/>
  <c r="I650" i="1"/>
  <c r="I651" i="1" a="1"/>
  <c r="I651" i="1" s="1"/>
  <c r="I652" i="1" a="1"/>
  <c r="I652" i="1"/>
  <c r="I653" i="1" a="1"/>
  <c r="I653" i="1" s="1"/>
  <c r="I654" i="1" a="1"/>
  <c r="I654" i="1"/>
  <c r="I655" i="1" a="1"/>
  <c r="I655" i="1" s="1"/>
  <c r="I656" i="1" a="1"/>
  <c r="I656" i="1"/>
  <c r="I657" i="1" a="1"/>
  <c r="I657" i="1" s="1"/>
  <c r="I658" i="1" a="1"/>
  <c r="I658" i="1"/>
  <c r="I659" i="1" a="1"/>
  <c r="I659" i="1" s="1"/>
  <c r="I660" i="1" a="1"/>
  <c r="I660" i="1"/>
  <c r="I661" i="1" a="1"/>
  <c r="I661" i="1" s="1"/>
  <c r="I662" i="1" a="1"/>
  <c r="I662" i="1"/>
  <c r="I663" i="1" a="1"/>
  <c r="I663" i="1" s="1"/>
  <c r="I664" i="1" a="1"/>
  <c r="I664" i="1"/>
  <c r="I665" i="1" a="1"/>
  <c r="I665" i="1" s="1"/>
  <c r="I666" i="1" a="1"/>
  <c r="I666" i="1"/>
  <c r="I667" i="1" a="1"/>
  <c r="I667" i="1" s="1"/>
  <c r="I668" i="1" a="1"/>
  <c r="I668" i="1"/>
  <c r="I669" i="1" a="1"/>
  <c r="I669" i="1" s="1"/>
  <c r="I670" i="1" a="1"/>
  <c r="I670" i="1"/>
  <c r="I671" i="1" a="1"/>
  <c r="I671" i="1" s="1"/>
  <c r="I672" i="1" a="1"/>
  <c r="I672" i="1"/>
  <c r="I673" i="1" a="1"/>
  <c r="I673" i="1" s="1"/>
  <c r="I674" i="1" a="1"/>
  <c r="I674" i="1"/>
  <c r="I675" i="1" a="1"/>
  <c r="I675" i="1" s="1"/>
  <c r="I676" i="1" a="1"/>
  <c r="I676" i="1"/>
  <c r="I677" i="1" a="1"/>
  <c r="I677" i="1" s="1"/>
  <c r="I678" i="1" a="1"/>
  <c r="I678" i="1"/>
  <c r="I679" i="1" a="1"/>
  <c r="I679" i="1" s="1"/>
  <c r="I680" i="1" a="1"/>
  <c r="I680" i="1"/>
  <c r="I681" i="1" a="1"/>
  <c r="I681" i="1" s="1"/>
  <c r="I682" i="1" a="1"/>
  <c r="I682" i="1" s="1"/>
  <c r="I683" i="1" a="1"/>
  <c r="I683" i="1" s="1"/>
  <c r="I684" i="1" a="1"/>
  <c r="I684" i="1" s="1"/>
  <c r="I685" i="1" a="1"/>
  <c r="I685" i="1" s="1"/>
  <c r="I686" i="1" a="1"/>
  <c r="I686" i="1"/>
  <c r="I687" i="1" a="1"/>
  <c r="I687" i="1" s="1"/>
  <c r="I688" i="1" a="1"/>
  <c r="I688" i="1"/>
  <c r="I689" i="1" a="1"/>
  <c r="I689" i="1" s="1"/>
  <c r="I690" i="1" a="1"/>
  <c r="I690" i="1" s="1"/>
  <c r="I691" i="1" a="1"/>
  <c r="I691" i="1" s="1"/>
  <c r="I692" i="1" a="1"/>
  <c r="I692" i="1" s="1"/>
  <c r="I693" i="1" a="1"/>
  <c r="I693" i="1" s="1"/>
  <c r="I694" i="1" a="1"/>
  <c r="I694" i="1"/>
  <c r="I695" i="1" a="1"/>
  <c r="I695" i="1" s="1"/>
  <c r="I696" i="1" a="1"/>
  <c r="I696" i="1"/>
  <c r="I697" i="1" a="1"/>
  <c r="I697" i="1" s="1"/>
  <c r="I698" i="1" a="1"/>
  <c r="I698" i="1" s="1"/>
  <c r="I699" i="1" a="1"/>
  <c r="I699" i="1" s="1"/>
  <c r="I700" i="1" a="1"/>
  <c r="I700" i="1" s="1"/>
  <c r="I701" i="1" a="1"/>
  <c r="I701" i="1" s="1"/>
  <c r="I702" i="1" a="1"/>
  <c r="I702" i="1"/>
  <c r="I703" i="1" a="1"/>
  <c r="I703" i="1" s="1"/>
  <c r="I704" i="1" a="1"/>
  <c r="I704" i="1"/>
  <c r="I705" i="1" a="1"/>
  <c r="I705" i="1" s="1"/>
  <c r="I706" i="1" a="1"/>
  <c r="I706" i="1" s="1"/>
  <c r="I707" i="1" a="1"/>
  <c r="I707" i="1" s="1"/>
  <c r="I708" i="1" a="1"/>
  <c r="I708" i="1" s="1"/>
  <c r="I709" i="1" a="1"/>
  <c r="I709" i="1" s="1"/>
  <c r="I710" i="1" a="1"/>
  <c r="I710" i="1"/>
  <c r="I711" i="1" a="1"/>
  <c r="I711" i="1" s="1"/>
  <c r="I712" i="1" a="1"/>
  <c r="I712" i="1"/>
  <c r="I713" i="1" a="1"/>
  <c r="I713" i="1" s="1"/>
  <c r="I714" i="1" a="1"/>
  <c r="I714" i="1" s="1"/>
  <c r="I715" i="1" a="1"/>
  <c r="I715" i="1" s="1"/>
  <c r="I716" i="1" a="1"/>
  <c r="I716" i="1" s="1"/>
  <c r="I717" i="1" a="1"/>
  <c r="I717" i="1" s="1"/>
  <c r="I718" i="1" a="1"/>
  <c r="I718" i="1"/>
  <c r="I719" i="1" a="1"/>
  <c r="I719" i="1" s="1"/>
  <c r="I720" i="1" a="1"/>
  <c r="I720" i="1"/>
  <c r="I721" i="1" a="1"/>
  <c r="I721" i="1" s="1"/>
  <c r="I722" i="1" a="1"/>
  <c r="I722" i="1" s="1"/>
  <c r="I723" i="1" a="1"/>
  <c r="I723" i="1" s="1"/>
  <c r="I724" i="1" a="1"/>
  <c r="I724" i="1" s="1"/>
  <c r="I725" i="1" a="1"/>
  <c r="I725" i="1" s="1"/>
  <c r="I726" i="1" a="1"/>
  <c r="I726" i="1"/>
  <c r="I727" i="1" a="1"/>
  <c r="I727" i="1" s="1"/>
  <c r="I728" i="1" a="1"/>
  <c r="I728" i="1"/>
  <c r="I729" i="1" a="1"/>
  <c r="I729" i="1" s="1"/>
  <c r="I730" i="1" a="1"/>
  <c r="I730" i="1" s="1"/>
  <c r="I731" i="1" a="1"/>
  <c r="I731" i="1" s="1"/>
  <c r="I732" i="1" a="1"/>
  <c r="I732" i="1" s="1"/>
  <c r="I733" i="1" a="1"/>
  <c r="I733" i="1" s="1"/>
  <c r="I734" i="1" a="1"/>
  <c r="I734" i="1"/>
  <c r="I735" i="1" a="1"/>
  <c r="I735" i="1" s="1"/>
  <c r="I736" i="1" a="1"/>
  <c r="I736" i="1"/>
  <c r="I737" i="1" a="1"/>
  <c r="I737" i="1" s="1"/>
  <c r="I738" i="1" a="1"/>
  <c r="I738" i="1" s="1"/>
  <c r="I739" i="1" a="1"/>
  <c r="I739" i="1" s="1"/>
  <c r="I740" i="1" a="1"/>
  <c r="I740" i="1" s="1"/>
  <c r="I741" i="1" a="1"/>
  <c r="I741" i="1" s="1"/>
  <c r="I742" i="1" a="1"/>
  <c r="I742" i="1"/>
  <c r="I743" i="1" a="1"/>
  <c r="I743" i="1" s="1"/>
  <c r="I744" i="1" a="1"/>
  <c r="I744" i="1"/>
  <c r="I745" i="1" a="1"/>
  <c r="I745" i="1" s="1"/>
  <c r="I746" i="1" a="1"/>
  <c r="I746" i="1" s="1"/>
  <c r="I747" i="1" a="1"/>
  <c r="I747" i="1" s="1"/>
  <c r="I748" i="1" a="1"/>
  <c r="I748" i="1" s="1"/>
  <c r="I749" i="1" a="1"/>
  <c r="I749" i="1" s="1"/>
  <c r="I750" i="1" a="1"/>
  <c r="I750" i="1"/>
  <c r="I751" i="1" a="1"/>
  <c r="I751" i="1" s="1"/>
  <c r="I752" i="1" a="1"/>
  <c r="I752" i="1"/>
  <c r="I753" i="1" a="1"/>
  <c r="I753" i="1" s="1"/>
  <c r="I754" i="1" a="1"/>
  <c r="I754" i="1" s="1"/>
  <c r="I755" i="1" a="1"/>
  <c r="I755" i="1" s="1"/>
  <c r="I756" i="1" a="1"/>
  <c r="I756" i="1" s="1"/>
  <c r="I757" i="1" a="1"/>
  <c r="I757" i="1" s="1"/>
  <c r="I758" i="1" a="1"/>
  <c r="I758" i="1"/>
  <c r="I759" i="1" a="1"/>
  <c r="I759" i="1" s="1"/>
  <c r="I760" i="1" a="1"/>
  <c r="I760" i="1"/>
  <c r="I761" i="1" a="1"/>
  <c r="I761" i="1" s="1"/>
  <c r="I762" i="1" a="1"/>
  <c r="I762" i="1" s="1"/>
  <c r="I763" i="1" a="1"/>
  <c r="I763" i="1" s="1"/>
  <c r="I764" i="1" a="1"/>
  <c r="I764" i="1" s="1"/>
  <c r="I765" i="1" a="1"/>
  <c r="I765" i="1" s="1"/>
  <c r="I766" i="1" a="1"/>
  <c r="I766" i="1"/>
  <c r="I767" i="1" a="1"/>
  <c r="I767" i="1" s="1"/>
  <c r="I768" i="1" a="1"/>
  <c r="I768" i="1"/>
  <c r="I769" i="1" a="1"/>
  <c r="I769" i="1" s="1"/>
  <c r="I770" i="1" a="1"/>
  <c r="I770" i="1" s="1"/>
  <c r="I771" i="1" a="1"/>
  <c r="I771" i="1" s="1"/>
  <c r="I772" i="1" a="1"/>
  <c r="I772" i="1" s="1"/>
  <c r="I773" i="1" a="1"/>
  <c r="I773" i="1" s="1"/>
  <c r="I774" i="1" a="1"/>
  <c r="I774" i="1"/>
  <c r="I775" i="1" a="1"/>
  <c r="I775" i="1" s="1"/>
  <c r="I776" i="1" a="1"/>
  <c r="I776" i="1" s="1"/>
  <c r="I777" i="1" a="1"/>
  <c r="I777" i="1" s="1"/>
  <c r="I778" i="1" a="1"/>
  <c r="I778" i="1" s="1"/>
  <c r="I779" i="1" a="1"/>
  <c r="I779" i="1" s="1"/>
  <c r="I780" i="1" a="1"/>
  <c r="I780" i="1" s="1"/>
  <c r="I781" i="1" a="1"/>
  <c r="I781" i="1" s="1"/>
  <c r="I782" i="1" a="1"/>
  <c r="I782" i="1"/>
  <c r="I783" i="1" a="1"/>
  <c r="I783" i="1" s="1"/>
  <c r="I784" i="1" a="1"/>
  <c r="I784" i="1"/>
  <c r="I785" i="1" a="1"/>
  <c r="I785" i="1" s="1"/>
  <c r="I786" i="1" a="1"/>
  <c r="I786" i="1" s="1"/>
  <c r="I787" i="1" a="1"/>
  <c r="I787" i="1" s="1"/>
  <c r="I788" i="1" a="1"/>
  <c r="I788" i="1" s="1"/>
  <c r="I789" i="1" a="1"/>
  <c r="I789" i="1" s="1"/>
  <c r="I790" i="1" a="1"/>
  <c r="I790" i="1"/>
  <c r="I791" i="1" a="1"/>
  <c r="I791" i="1" s="1"/>
  <c r="I792" i="1" a="1"/>
  <c r="I792" i="1" s="1"/>
  <c r="I793" i="1" a="1"/>
  <c r="I793" i="1" s="1"/>
  <c r="I794" i="1" a="1"/>
  <c r="I794" i="1" s="1"/>
  <c r="I795" i="1" a="1"/>
  <c r="I795" i="1" s="1"/>
  <c r="I796" i="1" a="1"/>
  <c r="I796" i="1" s="1"/>
  <c r="I797" i="1" a="1"/>
  <c r="I797" i="1" s="1"/>
  <c r="I798" i="1" a="1"/>
  <c r="I798" i="1"/>
  <c r="I799" i="1" a="1"/>
  <c r="I799" i="1" s="1"/>
  <c r="I800" i="1" a="1"/>
  <c r="I800" i="1"/>
  <c r="I801" i="1" a="1"/>
  <c r="I801" i="1" s="1"/>
  <c r="I802" i="1" a="1"/>
  <c r="I802" i="1" s="1"/>
  <c r="I803" i="1" a="1"/>
  <c r="I803" i="1" s="1"/>
  <c r="I804" i="1" a="1"/>
  <c r="I804" i="1" s="1"/>
  <c r="I805" i="1" a="1"/>
  <c r="I805" i="1" s="1"/>
  <c r="I806" i="1" a="1"/>
  <c r="I806" i="1"/>
  <c r="I807" i="1" a="1"/>
  <c r="I807" i="1" s="1"/>
  <c r="I808" i="1" a="1"/>
  <c r="I808" i="1"/>
  <c r="I809" i="1" a="1"/>
  <c r="I809" i="1" s="1"/>
  <c r="I810" i="1" a="1"/>
  <c r="I810" i="1" s="1"/>
  <c r="I811" i="1" a="1"/>
  <c r="I811" i="1" s="1"/>
  <c r="I812" i="1" a="1"/>
  <c r="I812" i="1" s="1"/>
  <c r="I813" i="1" a="1"/>
  <c r="I813" i="1" s="1"/>
  <c r="I814" i="1" a="1"/>
  <c r="I814" i="1"/>
  <c r="I815" i="1" a="1"/>
  <c r="I815" i="1" s="1"/>
  <c r="I816" i="1" a="1"/>
  <c r="I816" i="1"/>
  <c r="I817" i="1" a="1"/>
  <c r="I817" i="1" s="1"/>
  <c r="I818" i="1" a="1"/>
  <c r="I818" i="1" s="1"/>
  <c r="I819" i="1" a="1"/>
  <c r="I819" i="1" s="1"/>
  <c r="I820" i="1" a="1"/>
  <c r="I820" i="1" s="1"/>
  <c r="I821" i="1" a="1"/>
  <c r="I821" i="1" s="1"/>
  <c r="I822" i="1" a="1"/>
  <c r="I822" i="1"/>
  <c r="I823" i="1" a="1"/>
  <c r="I823" i="1" s="1"/>
  <c r="I824" i="1" a="1"/>
  <c r="I824" i="1"/>
  <c r="I825" i="1" a="1"/>
  <c r="I825" i="1" s="1"/>
  <c r="I826" i="1" a="1"/>
  <c r="I826" i="1" s="1"/>
  <c r="I827" i="1" a="1"/>
  <c r="I827" i="1" s="1"/>
  <c r="I828" i="1" a="1"/>
  <c r="I828" i="1" s="1"/>
  <c r="I829" i="1" a="1"/>
  <c r="I829" i="1" s="1"/>
  <c r="I830" i="1" a="1"/>
  <c r="I830" i="1"/>
  <c r="I831" i="1" a="1"/>
  <c r="I831" i="1" s="1"/>
  <c r="I832" i="1" a="1"/>
  <c r="I832" i="1"/>
  <c r="I833" i="1" a="1"/>
  <c r="I833" i="1" s="1"/>
  <c r="I834" i="1" a="1"/>
  <c r="I834" i="1" s="1"/>
  <c r="I835" i="1" a="1"/>
  <c r="I835" i="1" s="1"/>
  <c r="I836" i="1" a="1"/>
  <c r="I836" i="1"/>
  <c r="I837" i="1" a="1"/>
  <c r="I837" i="1" s="1"/>
  <c r="I838" i="1" a="1"/>
  <c r="I838" i="1"/>
  <c r="I839" i="1" a="1"/>
  <c r="I839" i="1" s="1"/>
  <c r="I840" i="1" a="1"/>
  <c r="I840" i="1"/>
  <c r="I841" i="1" a="1"/>
  <c r="I841" i="1" s="1"/>
  <c r="I842" i="1" a="1"/>
  <c r="I842" i="1" s="1"/>
  <c r="I843" i="1" a="1"/>
  <c r="I843" i="1" s="1"/>
  <c r="I844" i="1" a="1"/>
  <c r="I844" i="1"/>
  <c r="I845" i="1" a="1"/>
  <c r="I845" i="1" s="1"/>
  <c r="I846" i="1" a="1"/>
  <c r="I846" i="1"/>
  <c r="I847" i="1" a="1"/>
  <c r="I847" i="1" s="1"/>
  <c r="I848" i="1" a="1"/>
  <c r="I848" i="1"/>
  <c r="I849" i="1" a="1"/>
  <c r="I849" i="1" s="1"/>
  <c r="I850" i="1" a="1"/>
  <c r="I850" i="1" s="1"/>
  <c r="I851" i="1" a="1"/>
  <c r="I851" i="1" s="1"/>
  <c r="I852" i="1" a="1"/>
  <c r="I852" i="1" s="1"/>
  <c r="I853" i="1" a="1"/>
  <c r="I853" i="1" s="1"/>
  <c r="I854" i="1" a="1"/>
  <c r="I854" i="1"/>
  <c r="I855" i="1" a="1"/>
  <c r="I855" i="1" s="1"/>
  <c r="I856" i="1" a="1"/>
  <c r="I856" i="1"/>
  <c r="I857" i="1" a="1"/>
  <c r="I857" i="1" s="1"/>
  <c r="I858" i="1" a="1"/>
  <c r="I858" i="1" s="1"/>
  <c r="I859" i="1" a="1"/>
  <c r="I859" i="1" s="1"/>
  <c r="I860" i="1" a="1"/>
  <c r="I860" i="1"/>
  <c r="I861" i="1" a="1"/>
  <c r="I861" i="1" s="1"/>
  <c r="I862" i="1" a="1"/>
  <c r="I862" i="1"/>
  <c r="I863" i="1" a="1"/>
  <c r="I863" i="1" s="1"/>
  <c r="I864" i="1" a="1"/>
  <c r="I864" i="1" s="1"/>
  <c r="I865" i="1" a="1"/>
  <c r="I865" i="1" s="1"/>
  <c r="I866" i="1" a="1"/>
  <c r="I866" i="1" s="1"/>
  <c r="I867" i="1" a="1"/>
  <c r="I867" i="1" s="1"/>
  <c r="I868" i="1" a="1"/>
  <c r="I868" i="1"/>
  <c r="I869" i="1" a="1"/>
  <c r="I869" i="1" s="1"/>
  <c r="I870" i="1" a="1"/>
  <c r="I870" i="1"/>
  <c r="I871" i="1" a="1"/>
  <c r="I871" i="1" s="1"/>
  <c r="I872" i="1" a="1"/>
  <c r="I872" i="1" s="1"/>
  <c r="I873" i="1" a="1"/>
  <c r="I873" i="1" s="1"/>
  <c r="I874" i="1" a="1"/>
  <c r="I874" i="1" s="1"/>
  <c r="I875" i="1" a="1"/>
  <c r="I875" i="1" s="1"/>
  <c r="I876" i="1" a="1"/>
  <c r="I876" i="1"/>
  <c r="I877" i="1" a="1"/>
  <c r="I877" i="1" s="1"/>
  <c r="I878" i="1" a="1"/>
  <c r="I878" i="1"/>
  <c r="I879" i="1" a="1"/>
  <c r="I879" i="1" s="1"/>
  <c r="I880" i="1" a="1"/>
  <c r="I880" i="1" s="1"/>
  <c r="I881" i="1" a="1"/>
  <c r="I881" i="1" s="1"/>
  <c r="I882" i="1" a="1"/>
  <c r="I882" i="1" s="1"/>
  <c r="I883" i="1" a="1"/>
  <c r="I883" i="1" s="1"/>
  <c r="I884" i="1" a="1"/>
  <c r="I884" i="1"/>
  <c r="I885" i="1" a="1"/>
  <c r="I885" i="1" s="1"/>
  <c r="I886" i="1" a="1"/>
  <c r="I886" i="1"/>
  <c r="I887" i="1" a="1"/>
  <c r="I887" i="1" s="1"/>
  <c r="I888" i="1" a="1"/>
  <c r="I888" i="1"/>
  <c r="I889" i="1" a="1"/>
  <c r="I889" i="1" s="1"/>
  <c r="I890" i="1" a="1"/>
  <c r="I890" i="1" s="1"/>
  <c r="I891" i="1" a="1"/>
  <c r="I891" i="1" s="1"/>
  <c r="I892" i="1" a="1"/>
  <c r="I892" i="1" s="1"/>
  <c r="I893" i="1" a="1"/>
  <c r="I893" i="1" s="1"/>
  <c r="I894" i="1" a="1"/>
  <c r="I894" i="1"/>
  <c r="I895" i="1" a="1"/>
  <c r="I895" i="1" s="1"/>
  <c r="I896" i="1" a="1"/>
  <c r="I896" i="1" s="1"/>
  <c r="I897" i="1" a="1"/>
  <c r="I897" i="1" s="1"/>
  <c r="I898" i="1" a="1"/>
  <c r="I898" i="1" s="1"/>
  <c r="I899" i="1" a="1"/>
  <c r="I899" i="1" s="1"/>
  <c r="I900" i="1" a="1"/>
  <c r="I900" i="1" s="1"/>
  <c r="I901" i="1" a="1"/>
  <c r="I901" i="1" s="1"/>
  <c r="I902" i="1" a="1"/>
  <c r="I902" i="1"/>
  <c r="I903" i="1" a="1"/>
  <c r="I903" i="1" s="1"/>
  <c r="I904" i="1" a="1"/>
  <c r="I904" i="1"/>
  <c r="I905" i="1" a="1"/>
  <c r="I905" i="1" s="1"/>
  <c r="I906" i="1" a="1"/>
  <c r="I906" i="1" s="1"/>
  <c r="I907" i="1" a="1"/>
  <c r="I907" i="1" s="1"/>
  <c r="I908" i="1" a="1"/>
  <c r="I908" i="1"/>
  <c r="I909" i="1" a="1"/>
  <c r="I909" i="1"/>
  <c r="I910" i="1" a="1"/>
  <c r="I910" i="1"/>
  <c r="I911" i="1" a="1"/>
  <c r="I911" i="1" s="1"/>
  <c r="I912" i="1" a="1"/>
  <c r="I912" i="1" s="1"/>
  <c r="I913" i="1" a="1"/>
  <c r="I913" i="1" s="1"/>
  <c r="I914" i="1" a="1"/>
  <c r="I914" i="1"/>
  <c r="I915" i="1" a="1"/>
  <c r="I915" i="1" s="1"/>
  <c r="I916" i="1" a="1"/>
  <c r="I916" i="1" s="1"/>
  <c r="I917" i="1" a="1"/>
  <c r="I917" i="1" s="1"/>
  <c r="I918" i="1" a="1"/>
  <c r="I918" i="1"/>
  <c r="I919" i="1" a="1"/>
  <c r="I919" i="1" s="1"/>
  <c r="I920" i="1" a="1"/>
  <c r="I920" i="1" s="1"/>
  <c r="I921" i="1" a="1"/>
  <c r="I921" i="1" s="1"/>
  <c r="I922" i="1" a="1"/>
  <c r="I922" i="1"/>
  <c r="I923" i="1" a="1"/>
  <c r="I923" i="1" s="1"/>
  <c r="I924" i="1" a="1"/>
  <c r="I924" i="1" s="1"/>
  <c r="I925" i="1" a="1"/>
  <c r="I925" i="1" s="1"/>
  <c r="I926" i="1" a="1"/>
  <c r="I926" i="1"/>
  <c r="I927" i="1" a="1"/>
  <c r="I927" i="1" s="1"/>
  <c r="I928" i="1" a="1"/>
  <c r="I928" i="1" s="1"/>
  <c r="I929" i="1" a="1"/>
  <c r="I929" i="1" s="1"/>
  <c r="I930" i="1" a="1"/>
  <c r="I930" i="1"/>
  <c r="I931" i="1" a="1"/>
  <c r="I931" i="1" s="1"/>
  <c r="I932" i="1" a="1"/>
  <c r="I932" i="1" s="1"/>
  <c r="I933" i="1" a="1"/>
  <c r="I933" i="1" s="1"/>
  <c r="I934" i="1" a="1"/>
  <c r="I934" i="1"/>
  <c r="I935" i="1" a="1"/>
  <c r="I935" i="1" s="1"/>
  <c r="I936" i="1" a="1"/>
  <c r="I936" i="1" s="1"/>
  <c r="I937" i="1" a="1"/>
  <c r="I937" i="1" s="1"/>
  <c r="I938" i="1" a="1"/>
  <c r="I938" i="1"/>
  <c r="I939" i="1" a="1"/>
  <c r="I939" i="1" s="1"/>
  <c r="I940" i="1" a="1"/>
  <c r="I940" i="1" s="1"/>
  <c r="I941" i="1" a="1"/>
  <c r="I941" i="1" s="1"/>
  <c r="I942" i="1" a="1"/>
  <c r="I942" i="1"/>
  <c r="I943" i="1" a="1"/>
  <c r="I943" i="1" s="1"/>
  <c r="I944" i="1" a="1"/>
  <c r="I944" i="1" s="1"/>
  <c r="I945" i="1" a="1"/>
  <c r="I945" i="1" s="1"/>
  <c r="I946" i="1" a="1"/>
  <c r="I946" i="1"/>
  <c r="I947" i="1" a="1"/>
  <c r="I947" i="1" s="1"/>
  <c r="I948" i="1" a="1"/>
  <c r="I948" i="1" s="1"/>
  <c r="I949" i="1" a="1"/>
  <c r="I949" i="1" s="1"/>
  <c r="I950" i="1" a="1"/>
  <c r="I950" i="1"/>
  <c r="I951" i="1" a="1"/>
  <c r="I951" i="1" s="1"/>
  <c r="I952" i="1" a="1"/>
  <c r="I952" i="1" s="1"/>
  <c r="I953" i="1" a="1"/>
  <c r="I953" i="1" s="1"/>
  <c r="I954" i="1" a="1"/>
  <c r="I954" i="1"/>
  <c r="I955" i="1" a="1"/>
  <c r="I955" i="1" s="1"/>
  <c r="I956" i="1" a="1"/>
  <c r="I956" i="1" s="1"/>
  <c r="I957" i="1" a="1"/>
  <c r="I957" i="1" s="1"/>
  <c r="I958" i="1" a="1"/>
  <c r="I958" i="1"/>
  <c r="I959" i="1" a="1"/>
  <c r="I959" i="1" s="1"/>
  <c r="I960" i="1" a="1"/>
  <c r="I960" i="1" s="1"/>
  <c r="I961" i="1" a="1"/>
  <c r="I961" i="1" s="1"/>
  <c r="I962" i="1" a="1"/>
  <c r="I962" i="1"/>
  <c r="I963" i="1" a="1"/>
  <c r="I963" i="1" s="1"/>
  <c r="I964" i="1" a="1"/>
  <c r="I964" i="1" s="1"/>
  <c r="I965" i="1" a="1"/>
  <c r="I965" i="1" s="1"/>
  <c r="I966" i="1" a="1"/>
  <c r="I966" i="1"/>
  <c r="I967" i="1" a="1"/>
  <c r="I967" i="1" s="1"/>
  <c r="I968" i="1" a="1"/>
  <c r="I968" i="1" s="1"/>
  <c r="I969" i="1" a="1"/>
  <c r="I969" i="1" s="1"/>
  <c r="I970" i="1" a="1"/>
  <c r="I970" i="1"/>
  <c r="I971" i="1" a="1"/>
  <c r="I971" i="1" s="1"/>
  <c r="I972" i="1" a="1"/>
  <c r="I972" i="1" s="1"/>
  <c r="I973" i="1" a="1"/>
  <c r="I973" i="1" s="1"/>
  <c r="I974" i="1" a="1"/>
  <c r="I974" i="1"/>
  <c r="I975" i="1" a="1"/>
  <c r="I975" i="1" s="1"/>
  <c r="I976" i="1" a="1"/>
  <c r="I976" i="1" s="1"/>
  <c r="I977" i="1" a="1"/>
  <c r="I977" i="1" s="1"/>
  <c r="I978" i="1" a="1"/>
  <c r="I978" i="1"/>
  <c r="I979" i="1" a="1"/>
  <c r="I979" i="1" s="1"/>
  <c r="I980" i="1" a="1"/>
  <c r="I980" i="1" s="1"/>
  <c r="I981" i="1" a="1"/>
  <c r="I981" i="1" s="1"/>
  <c r="I982" i="1" a="1"/>
  <c r="I982" i="1"/>
  <c r="I983" i="1" a="1"/>
  <c r="I983" i="1" s="1"/>
  <c r="I984" i="1" a="1"/>
  <c r="I984" i="1" s="1"/>
  <c r="I985" i="1" a="1"/>
  <c r="I985" i="1" s="1"/>
  <c r="I986" i="1" a="1"/>
  <c r="I986" i="1"/>
  <c r="I987" i="1" a="1"/>
  <c r="I987" i="1" s="1"/>
  <c r="I988" i="1" a="1"/>
  <c r="I988" i="1" s="1"/>
  <c r="I989" i="1" a="1"/>
  <c r="I989" i="1" s="1"/>
  <c r="I990" i="1" a="1"/>
  <c r="I990" i="1"/>
  <c r="I991" i="1" a="1"/>
  <c r="I991" i="1" s="1"/>
  <c r="I992" i="1" a="1"/>
  <c r="I992" i="1" s="1"/>
  <c r="I993" i="1" a="1"/>
  <c r="I993" i="1" s="1"/>
  <c r="I994" i="1" a="1"/>
  <c r="I994" i="1"/>
  <c r="I995" i="1" a="1"/>
  <c r="I995" i="1" s="1"/>
  <c r="I996" i="1" a="1"/>
  <c r="I996" i="1" s="1"/>
  <c r="I997" i="1" a="1"/>
  <c r="I997" i="1" s="1"/>
  <c r="I998" i="1" a="1"/>
  <c r="I998" i="1"/>
  <c r="I999" i="1" a="1"/>
  <c r="I999" i="1" s="1"/>
  <c r="I1000" i="1" a="1"/>
  <c r="I1000" i="1" s="1"/>
  <c r="I1001" i="1" a="1"/>
  <c r="I1001" i="1" s="1"/>
  <c r="I1002" i="1" a="1"/>
  <c r="I1002" i="1"/>
  <c r="I1003" i="1" a="1"/>
  <c r="I1003" i="1" s="1"/>
  <c r="I1004" i="1" a="1"/>
  <c r="I1004" i="1" s="1"/>
  <c r="I1005" i="1" a="1"/>
  <c r="I1005" i="1" s="1"/>
  <c r="I1006" i="1" a="1"/>
  <c r="I1006" i="1"/>
  <c r="I1007" i="1" a="1"/>
  <c r="I1007" i="1" s="1"/>
  <c r="I1008" i="1" a="1"/>
  <c r="I1008" i="1" s="1"/>
  <c r="I1009" i="1" a="1"/>
  <c r="I1009" i="1" s="1"/>
  <c r="I1010" i="1" a="1"/>
  <c r="I1010" i="1"/>
  <c r="I1011" i="1" a="1"/>
  <c r="I1011" i="1" s="1"/>
  <c r="I1012" i="1" a="1"/>
  <c r="I1012" i="1" s="1"/>
  <c r="I1013" i="1" a="1"/>
  <c r="I1013" i="1" s="1"/>
  <c r="I1014" i="1" a="1"/>
  <c r="I1014" i="1"/>
  <c r="I1015" i="1" a="1"/>
  <c r="I1015" i="1" s="1"/>
  <c r="I1016" i="1" a="1"/>
  <c r="I1016" i="1" s="1"/>
  <c r="I1017" i="1" a="1"/>
  <c r="I1017" i="1" s="1"/>
  <c r="I1018" i="1" a="1"/>
  <c r="I1018" i="1"/>
  <c r="I1019" i="1" a="1"/>
  <c r="I1019" i="1" s="1"/>
  <c r="I1020" i="1" a="1"/>
  <c r="I1020" i="1" s="1"/>
  <c r="I1021" i="1" a="1"/>
  <c r="I1021" i="1" s="1"/>
  <c r="I1022" i="1" a="1"/>
  <c r="I1022" i="1"/>
  <c r="I1023" i="1" a="1"/>
  <c r="I1023" i="1" s="1"/>
  <c r="I1024" i="1" a="1"/>
  <c r="I1024" i="1" s="1"/>
  <c r="I1025" i="1" a="1"/>
  <c r="I1025" i="1" s="1"/>
  <c r="I1026" i="1" a="1"/>
  <c r="I1026" i="1"/>
  <c r="I1027" i="1" a="1"/>
  <c r="I1027" i="1" s="1"/>
  <c r="I1028" i="1" a="1"/>
  <c r="I1028" i="1" s="1"/>
  <c r="I1029" i="1" a="1"/>
  <c r="I1029" i="1" s="1"/>
  <c r="I1030" i="1" a="1"/>
  <c r="I1030" i="1"/>
  <c r="I1031" i="1" a="1"/>
  <c r="I1031" i="1" s="1"/>
  <c r="I1032" i="1" a="1"/>
  <c r="I1032" i="1" s="1"/>
  <c r="I1033" i="1" a="1"/>
  <c r="I1033" i="1" s="1"/>
  <c r="I1034" i="1" a="1"/>
  <c r="I1034" i="1"/>
  <c r="I1035" i="1" a="1"/>
  <c r="I1035" i="1" s="1"/>
  <c r="I1036" i="1" a="1"/>
  <c r="I1036" i="1" s="1"/>
  <c r="I1037" i="1" a="1"/>
  <c r="I1037" i="1" s="1"/>
  <c r="I1038" i="1" a="1"/>
  <c r="I1038" i="1"/>
  <c r="I1039" i="1" a="1"/>
  <c r="I1039" i="1" s="1"/>
  <c r="I1040" i="1" a="1"/>
  <c r="I1040" i="1" s="1"/>
  <c r="I1041" i="1" a="1"/>
  <c r="I1041" i="1" s="1"/>
  <c r="I1042" i="1" a="1"/>
  <c r="I1042" i="1"/>
  <c r="I1043" i="1" a="1"/>
  <c r="I1043" i="1" s="1"/>
  <c r="I1044" i="1" a="1"/>
  <c r="I1044" i="1" s="1"/>
  <c r="I1045" i="1" a="1"/>
  <c r="I1045" i="1" s="1"/>
  <c r="I1046" i="1" a="1"/>
  <c r="I1046" i="1"/>
  <c r="I1047" i="1" a="1"/>
  <c r="I1047" i="1" s="1"/>
  <c r="I1048" i="1" a="1"/>
  <c r="I1048" i="1" s="1"/>
  <c r="I1049" i="1" a="1"/>
  <c r="I1049" i="1" s="1"/>
  <c r="I1050" i="1" a="1"/>
  <c r="I1050" i="1"/>
  <c r="I1051" i="1" a="1"/>
  <c r="I1051" i="1" s="1"/>
  <c r="I1052" i="1" a="1"/>
  <c r="I1052" i="1" s="1"/>
  <c r="I1053" i="1" a="1"/>
  <c r="I1053" i="1" s="1"/>
  <c r="I1054" i="1" a="1"/>
  <c r="I1054" i="1"/>
  <c r="I1055" i="1" a="1"/>
  <c r="I1055" i="1" s="1"/>
  <c r="I1056" i="1" a="1"/>
  <c r="I1056" i="1" s="1"/>
  <c r="I1057" i="1" a="1"/>
  <c r="I1057" i="1" s="1"/>
  <c r="I1058" i="1" a="1"/>
  <c r="I1058" i="1"/>
  <c r="I1059" i="1" a="1"/>
  <c r="I1059" i="1" s="1"/>
  <c r="I1060" i="1" a="1"/>
  <c r="I1060" i="1" s="1"/>
  <c r="I1061" i="1" a="1"/>
  <c r="I1061" i="1" s="1"/>
  <c r="I1062" i="1" a="1"/>
  <c r="I1062" i="1"/>
  <c r="I1063" i="1" a="1"/>
  <c r="I1063" i="1" s="1"/>
  <c r="I1064" i="1" a="1"/>
  <c r="I1064" i="1" s="1"/>
  <c r="I1065" i="1" a="1"/>
  <c r="I1065" i="1" s="1"/>
  <c r="I1066" i="1" a="1"/>
  <c r="I1066" i="1"/>
  <c r="I1067" i="1" a="1"/>
  <c r="I1067" i="1" s="1"/>
  <c r="I1068" i="1" a="1"/>
  <c r="I1068" i="1" s="1"/>
  <c r="I1069" i="1" a="1"/>
  <c r="I1069" i="1" s="1"/>
  <c r="I1070" i="1" a="1"/>
  <c r="I1070" i="1" s="1"/>
  <c r="I1071" i="1" a="1"/>
  <c r="I1071" i="1" s="1"/>
  <c r="I1072" i="1" a="1"/>
  <c r="I1072" i="1" s="1"/>
  <c r="I1073" i="1" a="1"/>
  <c r="I1073" i="1" s="1"/>
  <c r="I1074" i="1" a="1"/>
  <c r="I1074" i="1" s="1"/>
  <c r="I1075" i="1" a="1"/>
  <c r="I1075" i="1" s="1"/>
  <c r="I1076" i="1" a="1"/>
  <c r="I1076" i="1" s="1"/>
  <c r="I1077" i="1" a="1"/>
  <c r="I1077" i="1" s="1"/>
  <c r="I1078" i="1" a="1"/>
  <c r="I1078" i="1" s="1"/>
  <c r="I1079" i="1" a="1"/>
  <c r="I1079" i="1" s="1"/>
  <c r="I1080" i="1" a="1"/>
  <c r="I1080" i="1" s="1"/>
  <c r="I1081" i="1" a="1"/>
  <c r="I1081" i="1" s="1"/>
  <c r="I1082" i="1" a="1"/>
  <c r="I1082" i="1" s="1"/>
  <c r="I1083" i="1" a="1"/>
  <c r="I1083" i="1" s="1"/>
  <c r="I1084" i="1" a="1"/>
  <c r="I1084" i="1" s="1"/>
  <c r="I1085" i="1" a="1"/>
  <c r="I1085" i="1" s="1"/>
  <c r="I1086" i="1" a="1"/>
  <c r="I1086" i="1" s="1"/>
  <c r="I1087" i="1" a="1"/>
  <c r="I1087" i="1" s="1"/>
  <c r="I1088" i="1" a="1"/>
  <c r="I1088" i="1" s="1"/>
  <c r="I1089" i="1" a="1"/>
  <c r="I1089" i="1" s="1"/>
  <c r="I1090" i="1" a="1"/>
  <c r="I1090" i="1" s="1"/>
  <c r="I1091" i="1" a="1"/>
  <c r="I1091" i="1" s="1"/>
  <c r="I1092" i="1" a="1"/>
  <c r="I1092" i="1" s="1"/>
  <c r="I1093" i="1" a="1"/>
  <c r="I1093" i="1" s="1"/>
  <c r="I1094" i="1" a="1"/>
  <c r="I1094" i="1" s="1"/>
  <c r="I1095" i="1" a="1"/>
  <c r="I1095" i="1" s="1"/>
  <c r="I1096" i="1" a="1"/>
  <c r="I1096" i="1" s="1"/>
  <c r="I1097" i="1" a="1"/>
  <c r="I1097" i="1" s="1"/>
  <c r="I1098" i="1" a="1"/>
  <c r="I1098" i="1" s="1"/>
  <c r="I1099" i="1" a="1"/>
  <c r="I1099" i="1" s="1"/>
  <c r="I1100" i="1" a="1"/>
  <c r="I1100" i="1" s="1"/>
  <c r="I1101" i="1" a="1"/>
  <c r="I1101" i="1" s="1"/>
  <c r="I1102" i="1" a="1"/>
  <c r="I1102" i="1" s="1"/>
  <c r="I1103" i="1" a="1"/>
  <c r="I1103" i="1" s="1"/>
  <c r="I1104" i="1" a="1"/>
  <c r="I1104" i="1" s="1"/>
  <c r="I1105" i="1" a="1"/>
  <c r="I1105" i="1" s="1"/>
  <c r="I1106" i="1" a="1"/>
  <c r="I1106" i="1" s="1"/>
  <c r="I1107" i="1" a="1"/>
  <c r="I1107" i="1" s="1"/>
  <c r="I1108" i="1" a="1"/>
  <c r="I1108" i="1" s="1"/>
  <c r="I1109" i="1" a="1"/>
  <c r="I1109" i="1" s="1"/>
  <c r="I1110" i="1" a="1"/>
  <c r="I1110" i="1" s="1"/>
  <c r="I1111" i="1" a="1"/>
  <c r="I1111" i="1" s="1"/>
  <c r="I1112" i="1" a="1"/>
  <c r="I1112" i="1" s="1"/>
  <c r="I1113" i="1" a="1"/>
  <c r="I1113" i="1" s="1"/>
  <c r="I1114" i="1" a="1"/>
  <c r="I1114" i="1" s="1"/>
  <c r="I1115" i="1" a="1"/>
  <c r="I1115" i="1" s="1"/>
  <c r="I1116" i="1" a="1"/>
  <c r="I1116" i="1" s="1"/>
  <c r="I1117" i="1" a="1"/>
  <c r="I1117" i="1" s="1"/>
  <c r="I1118" i="1" a="1"/>
  <c r="I1118" i="1" s="1"/>
  <c r="I1119" i="1" a="1"/>
  <c r="I1119" i="1" s="1"/>
  <c r="I1120" i="1" a="1"/>
  <c r="I1120" i="1" s="1"/>
  <c r="I1121" i="1" a="1"/>
  <c r="I1121" i="1" s="1"/>
  <c r="I1122" i="1" a="1"/>
  <c r="I1122" i="1" s="1"/>
  <c r="I1123" i="1" a="1"/>
  <c r="I1123" i="1" s="1"/>
  <c r="I1124" i="1" a="1"/>
  <c r="I1124" i="1" s="1"/>
  <c r="I1125" i="1" a="1"/>
  <c r="I1125" i="1" s="1"/>
  <c r="I1126" i="1" a="1"/>
  <c r="I1126" i="1" s="1"/>
  <c r="I1127" i="1" a="1"/>
  <c r="I1127" i="1" s="1"/>
  <c r="I1128" i="1" a="1"/>
  <c r="I1128" i="1" s="1"/>
  <c r="I1129" i="1" a="1"/>
  <c r="I1129" i="1" s="1"/>
  <c r="I1130" i="1" a="1"/>
  <c r="I1130" i="1" s="1"/>
  <c r="I1131" i="1" a="1"/>
  <c r="I1131" i="1" s="1"/>
  <c r="I1132" i="1" a="1"/>
  <c r="I1132" i="1" s="1"/>
  <c r="I1133" i="1" a="1"/>
  <c r="I1133" i="1" s="1"/>
  <c r="I1134" i="1" a="1"/>
  <c r="I1134" i="1" s="1"/>
  <c r="I1135" i="1" a="1"/>
  <c r="I1135" i="1" s="1"/>
  <c r="I1136" i="1" a="1"/>
  <c r="I1136" i="1" s="1"/>
  <c r="I1137" i="1" a="1"/>
  <c r="I1137" i="1" s="1"/>
  <c r="I1138" i="1" a="1"/>
  <c r="I1138" i="1" s="1"/>
  <c r="I1139" i="1" a="1"/>
  <c r="I1139" i="1" s="1"/>
  <c r="I1140" i="1" a="1"/>
  <c r="I1140" i="1" s="1"/>
  <c r="I1141" i="1" a="1"/>
  <c r="I1141" i="1" s="1"/>
  <c r="I1142" i="1" a="1"/>
  <c r="I1142" i="1" s="1"/>
  <c r="I1143" i="1" a="1"/>
  <c r="I1143" i="1" s="1"/>
  <c r="I1144" i="1" a="1"/>
  <c r="I1144" i="1" s="1"/>
  <c r="I1145" i="1" a="1"/>
  <c r="I1145" i="1" s="1"/>
  <c r="I1146" i="1" a="1"/>
  <c r="I1146" i="1" s="1"/>
  <c r="I1147" i="1" a="1"/>
  <c r="I1147" i="1" s="1"/>
  <c r="I1148" i="1" a="1"/>
  <c r="I1148" i="1" s="1"/>
  <c r="I1149" i="1" a="1"/>
  <c r="I1149" i="1" s="1"/>
  <c r="I1150" i="1" a="1"/>
  <c r="I1150" i="1" s="1"/>
  <c r="I1151" i="1" a="1"/>
  <c r="I1151" i="1" s="1"/>
  <c r="I1152" i="1" a="1"/>
  <c r="I1152" i="1" s="1"/>
  <c r="I1153" i="1" a="1"/>
  <c r="I1153" i="1" s="1"/>
  <c r="I1154" i="1" a="1"/>
  <c r="I1154" i="1" s="1"/>
  <c r="I1155" i="1" a="1"/>
  <c r="I1155" i="1" s="1"/>
  <c r="I1156" i="1" a="1"/>
  <c r="I1156" i="1" s="1"/>
  <c r="I1157" i="1" a="1"/>
  <c r="I1157" i="1" s="1"/>
  <c r="I1158" i="1" a="1"/>
  <c r="I1158" i="1" s="1"/>
  <c r="I1159" i="1" a="1"/>
  <c r="I1159" i="1" s="1"/>
  <c r="I1160" i="1" a="1"/>
  <c r="I1160" i="1" s="1"/>
  <c r="I1161" i="1" a="1"/>
  <c r="I1161" i="1" s="1"/>
  <c r="I1162" i="1" a="1"/>
  <c r="I1162" i="1" s="1"/>
  <c r="I1163" i="1" a="1"/>
  <c r="I1163" i="1" s="1"/>
  <c r="I1164" i="1" a="1"/>
  <c r="I1164" i="1" s="1"/>
  <c r="I1165" i="1" a="1"/>
  <c r="I1165" i="1" s="1"/>
  <c r="I1166" i="1" a="1"/>
  <c r="I1166" i="1" s="1"/>
  <c r="I1167" i="1" a="1"/>
  <c r="I1167" i="1" s="1"/>
  <c r="I1168" i="1" a="1"/>
  <c r="I1168" i="1" s="1"/>
  <c r="I1169" i="1" a="1"/>
  <c r="I1169" i="1" s="1"/>
  <c r="I1170" i="1" a="1"/>
  <c r="I1170" i="1" s="1"/>
  <c r="I1171" i="1" a="1"/>
  <c r="I1171" i="1" s="1"/>
  <c r="I1172" i="1" a="1"/>
  <c r="I1172" i="1" s="1"/>
  <c r="I1173" i="1" a="1"/>
  <c r="I1173" i="1" s="1"/>
  <c r="I1174" i="1" a="1"/>
  <c r="I1174" i="1" s="1"/>
  <c r="I1175" i="1" a="1"/>
  <c r="I1175" i="1" s="1"/>
  <c r="I1176" i="1" a="1"/>
  <c r="I1176" i="1" s="1"/>
  <c r="I1177" i="1" a="1"/>
  <c r="I1177" i="1" s="1"/>
  <c r="I1178" i="1" a="1"/>
  <c r="I1178" i="1" s="1"/>
  <c r="I1179" i="1" a="1"/>
  <c r="I1179" i="1" s="1"/>
  <c r="I1180" i="1" a="1"/>
  <c r="I1180" i="1" s="1"/>
  <c r="I1181" i="1" a="1"/>
  <c r="I1181" i="1" s="1"/>
  <c r="I1182" i="1" a="1"/>
  <c r="I1182" i="1" s="1"/>
  <c r="I1183" i="1" a="1"/>
  <c r="I1183" i="1" s="1"/>
  <c r="I1184" i="1" a="1"/>
  <c r="I1184" i="1" s="1"/>
  <c r="I1185" i="1" a="1"/>
  <c r="I1185" i="1" s="1"/>
  <c r="I1186" i="1" a="1"/>
  <c r="I1186" i="1" s="1"/>
  <c r="I1187" i="1" a="1"/>
  <c r="I1187" i="1" s="1"/>
  <c r="I1188" i="1" a="1"/>
  <c r="I1188" i="1" s="1"/>
  <c r="I1189" i="1" a="1"/>
  <c r="I1189" i="1" s="1"/>
  <c r="I1190" i="1" a="1"/>
  <c r="I1190" i="1" s="1"/>
  <c r="I1191" i="1" a="1"/>
  <c r="I1191" i="1" s="1"/>
  <c r="I1192" i="1" a="1"/>
  <c r="I1192" i="1" s="1"/>
  <c r="I1193" i="1" a="1"/>
  <c r="I1193" i="1" s="1"/>
  <c r="I1194" i="1" a="1"/>
  <c r="I1194" i="1" s="1"/>
  <c r="I1195" i="1" a="1"/>
  <c r="I1195" i="1" s="1"/>
  <c r="I1196" i="1" a="1"/>
  <c r="I1196" i="1" s="1"/>
  <c r="I1197" i="1" a="1"/>
  <c r="I1197" i="1" s="1"/>
  <c r="I1198" i="1" a="1"/>
  <c r="I1198" i="1" s="1"/>
  <c r="I1199" i="1" a="1"/>
  <c r="I1199" i="1" s="1"/>
  <c r="I1200" i="1" a="1"/>
  <c r="I1200" i="1" s="1"/>
  <c r="I1201" i="1" a="1"/>
  <c r="I1201" i="1" s="1"/>
  <c r="I1202" i="1" a="1"/>
  <c r="I1202" i="1" s="1"/>
  <c r="I1203" i="1" a="1"/>
  <c r="I1203" i="1" s="1"/>
  <c r="I1204" i="1" a="1"/>
  <c r="I1204" i="1" s="1"/>
  <c r="I1205" i="1" a="1"/>
  <c r="I1205" i="1" s="1"/>
  <c r="I1206" i="1" a="1"/>
  <c r="I1206" i="1" s="1"/>
  <c r="I1207" i="1" a="1"/>
  <c r="I1207" i="1" s="1"/>
  <c r="I1208" i="1" a="1"/>
  <c r="I1208" i="1" s="1"/>
  <c r="I1209" i="1" a="1"/>
  <c r="I1209" i="1" s="1"/>
  <c r="I1210" i="1" a="1"/>
  <c r="I1210" i="1" s="1"/>
  <c r="I1211" i="1" a="1"/>
  <c r="I1211" i="1" s="1"/>
  <c r="I1212" i="1" a="1"/>
  <c r="I1212" i="1" s="1"/>
  <c r="I1213" i="1" a="1"/>
  <c r="I1213" i="1" s="1"/>
  <c r="I1214" i="1" a="1"/>
  <c r="I1214" i="1" s="1"/>
  <c r="I1215" i="1" a="1"/>
  <c r="I1215" i="1" s="1"/>
  <c r="I1216" i="1" a="1"/>
  <c r="I1216" i="1" s="1"/>
  <c r="I1217" i="1" a="1"/>
  <c r="I1217" i="1" s="1"/>
  <c r="I1218" i="1" a="1"/>
  <c r="I1218" i="1" s="1"/>
  <c r="I1219" i="1" a="1"/>
  <c r="I1219" i="1" s="1"/>
  <c r="I1220" i="1" a="1"/>
  <c r="I1220" i="1" s="1"/>
  <c r="I1221" i="1" a="1"/>
  <c r="I1221" i="1" s="1"/>
  <c r="I1222" i="1" a="1"/>
  <c r="I1222" i="1" s="1"/>
  <c r="I1223" i="1" a="1"/>
  <c r="I1223" i="1" s="1"/>
  <c r="I1224" i="1" a="1"/>
  <c r="I1224" i="1" s="1"/>
  <c r="I1225" i="1" a="1"/>
  <c r="I1225" i="1" s="1"/>
  <c r="I1226" i="1" a="1"/>
  <c r="I1226" i="1" s="1"/>
  <c r="I1227" i="1" a="1"/>
  <c r="I1227" i="1" s="1"/>
  <c r="I1228" i="1" a="1"/>
  <c r="I1228" i="1" s="1"/>
  <c r="I1229" i="1" a="1"/>
  <c r="I1229" i="1" s="1"/>
  <c r="I1230" i="1" a="1"/>
  <c r="I1230" i="1" s="1"/>
  <c r="I1231" i="1" a="1"/>
  <c r="I1231" i="1" s="1"/>
  <c r="I1232" i="1" a="1"/>
  <c r="I1232" i="1" s="1"/>
  <c r="I1233" i="1" a="1"/>
  <c r="I1233" i="1" s="1"/>
  <c r="I1234" i="1" a="1"/>
  <c r="I1234" i="1" s="1"/>
  <c r="I1235" i="1" a="1"/>
  <c r="I1235" i="1" s="1"/>
  <c r="I1236" i="1" a="1"/>
  <c r="I1236" i="1" s="1"/>
  <c r="I1237" i="1" a="1"/>
  <c r="I1237" i="1" s="1"/>
  <c r="I1238" i="1" a="1"/>
  <c r="I1238" i="1" s="1"/>
  <c r="I1239" i="1" a="1"/>
  <c r="I1239" i="1" s="1"/>
  <c r="I1240" i="1" a="1"/>
  <c r="I1240" i="1" s="1"/>
  <c r="I1241" i="1" a="1"/>
  <c r="I1241" i="1" s="1"/>
  <c r="I1242" i="1" a="1"/>
  <c r="I1242" i="1" s="1"/>
  <c r="I1243" i="1" a="1"/>
  <c r="I1243" i="1" s="1"/>
  <c r="I1244" i="1" a="1"/>
  <c r="I1244" i="1" s="1"/>
  <c r="I1245" i="1" a="1"/>
  <c r="I1245" i="1" s="1"/>
  <c r="I1246" i="1" a="1"/>
  <c r="I1246" i="1" s="1"/>
  <c r="I1247" i="1" a="1"/>
  <c r="I1247" i="1" s="1"/>
  <c r="I1248" i="1" a="1"/>
  <c r="I1248" i="1" s="1"/>
  <c r="I1249" i="1" a="1"/>
  <c r="I1249" i="1" s="1"/>
  <c r="I1250" i="1" a="1"/>
  <c r="I1250" i="1" s="1"/>
  <c r="I1251" i="1" a="1"/>
  <c r="I1251" i="1" s="1"/>
  <c r="I1252" i="1" a="1"/>
  <c r="I1252" i="1" s="1"/>
  <c r="I1253" i="1" a="1"/>
  <c r="I1253" i="1" s="1"/>
  <c r="I1254" i="1" a="1"/>
  <c r="I1254" i="1" s="1"/>
  <c r="I1255" i="1" a="1"/>
  <c r="I1255" i="1" s="1"/>
  <c r="I1256" i="1" a="1"/>
  <c r="I1256" i="1" s="1"/>
  <c r="I1257" i="1" a="1"/>
  <c r="I1257" i="1" s="1"/>
  <c r="I1258" i="1" a="1"/>
  <c r="I1258" i="1" s="1"/>
  <c r="I1259" i="1" a="1"/>
  <c r="I1259" i="1" s="1"/>
  <c r="I1260" i="1" a="1"/>
  <c r="I1260" i="1" s="1"/>
  <c r="I1261" i="1" a="1"/>
  <c r="I1261" i="1" s="1"/>
  <c r="I1262" i="1" a="1"/>
  <c r="I1262" i="1" s="1"/>
  <c r="I1263" i="1" a="1"/>
  <c r="I1263" i="1" s="1"/>
  <c r="I1264" i="1" a="1"/>
  <c r="I1264" i="1" s="1"/>
  <c r="I1265" i="1" a="1"/>
  <c r="I1265" i="1" s="1"/>
  <c r="I1266" i="1" a="1"/>
  <c r="I1266" i="1" s="1"/>
  <c r="I1267" i="1" a="1"/>
  <c r="I1267" i="1" s="1"/>
  <c r="I1268" i="1" a="1"/>
  <c r="I1268" i="1" s="1"/>
  <c r="I1269" i="1" a="1"/>
  <c r="I1269" i="1" s="1"/>
  <c r="I1270" i="1" a="1"/>
  <c r="I1270" i="1" s="1"/>
  <c r="I1271" i="1" a="1"/>
  <c r="I1271" i="1" s="1"/>
  <c r="I1272" i="1" a="1"/>
  <c r="I1272" i="1" s="1"/>
  <c r="I1273" i="1" a="1"/>
  <c r="I1273" i="1" s="1"/>
  <c r="I1274" i="1" a="1"/>
  <c r="I1274" i="1" s="1"/>
  <c r="I1275" i="1" a="1"/>
  <c r="I1275" i="1" s="1"/>
  <c r="I1276" i="1" a="1"/>
  <c r="I1276" i="1" s="1"/>
  <c r="I1277" i="1" a="1"/>
  <c r="I1277" i="1" s="1"/>
  <c r="I1278" i="1" a="1"/>
  <c r="I1278" i="1" s="1"/>
  <c r="I1279" i="1" a="1"/>
  <c r="I1279" i="1" s="1"/>
  <c r="I1280" i="1" a="1"/>
  <c r="I1280" i="1" s="1"/>
  <c r="I1281" i="1" a="1"/>
  <c r="I1281" i="1" s="1"/>
  <c r="I1282" i="1" a="1"/>
  <c r="I1282" i="1" s="1"/>
  <c r="I1283" i="1" a="1"/>
  <c r="I1283" i="1" s="1"/>
  <c r="I1284" i="1" a="1"/>
  <c r="I1284" i="1" s="1"/>
  <c r="I1285" i="1" a="1"/>
  <c r="I1285" i="1" s="1"/>
  <c r="I1286" i="1" a="1"/>
  <c r="I1286" i="1" s="1"/>
  <c r="I1287" i="1" a="1"/>
  <c r="I1287" i="1" s="1"/>
  <c r="I1288" i="1" a="1"/>
  <c r="I1288" i="1" s="1"/>
  <c r="I1289" i="1" a="1"/>
  <c r="I1289" i="1" s="1"/>
  <c r="I1290" i="1" a="1"/>
  <c r="I1290" i="1" s="1"/>
  <c r="I1291" i="1" a="1"/>
  <c r="I1291" i="1" s="1"/>
  <c r="I1292" i="1" a="1"/>
  <c r="I1292" i="1" s="1"/>
  <c r="I1293" i="1" a="1"/>
  <c r="I1293" i="1" s="1"/>
  <c r="I1294" i="1" a="1"/>
  <c r="I1294" i="1" s="1"/>
  <c r="I1295" i="1" a="1"/>
  <c r="I1295" i="1" s="1"/>
  <c r="I1296" i="1" a="1"/>
  <c r="I1296" i="1" s="1"/>
  <c r="I1297" i="1" a="1"/>
  <c r="I1297" i="1" s="1"/>
  <c r="I1298" i="1" a="1"/>
  <c r="I1298" i="1" s="1"/>
  <c r="I1299" i="1" a="1"/>
  <c r="I1299" i="1" s="1"/>
  <c r="I1300" i="1" a="1"/>
  <c r="I1300" i="1" s="1"/>
  <c r="I1301" i="1" a="1"/>
  <c r="I1301" i="1" s="1"/>
  <c r="I1302" i="1" a="1"/>
  <c r="I1302" i="1" s="1"/>
  <c r="I1303" i="1" a="1"/>
  <c r="I1303" i="1" s="1"/>
  <c r="I1304" i="1" a="1"/>
  <c r="I1304" i="1" s="1"/>
  <c r="I1305" i="1" a="1"/>
  <c r="I1305" i="1" s="1"/>
  <c r="I1306" i="1" a="1"/>
  <c r="I1306" i="1" s="1"/>
  <c r="I1307" i="1" a="1"/>
  <c r="I1307" i="1" s="1"/>
  <c r="I1308" i="1" a="1"/>
  <c r="I1308" i="1" s="1"/>
  <c r="I1309" i="1" a="1"/>
  <c r="I1309" i="1" s="1"/>
  <c r="I1310" i="1" a="1"/>
  <c r="I1310" i="1" s="1"/>
  <c r="I1311" i="1" a="1"/>
  <c r="I1311" i="1" s="1"/>
  <c r="I1312" i="1" a="1"/>
  <c r="I1312" i="1" s="1"/>
  <c r="I1313" i="1" a="1"/>
  <c r="I1313" i="1" s="1"/>
  <c r="I1314" i="1" a="1"/>
  <c r="I1314" i="1" s="1"/>
  <c r="I1315" i="1" a="1"/>
  <c r="I1315" i="1" s="1"/>
  <c r="I1316" i="1" a="1"/>
  <c r="I1316" i="1" s="1"/>
  <c r="I1317" i="1" a="1"/>
  <c r="I1317" i="1" s="1"/>
  <c r="I1318" i="1" a="1"/>
  <c r="I1318" i="1" s="1"/>
  <c r="I1319" i="1" a="1"/>
  <c r="I1319" i="1" s="1"/>
  <c r="I1320" i="1" a="1"/>
  <c r="I1320" i="1" s="1"/>
  <c r="I1321" i="1" a="1"/>
  <c r="I1321" i="1" s="1"/>
  <c r="I1322" i="1" a="1"/>
  <c r="I1322" i="1" s="1"/>
  <c r="I1323" i="1" a="1"/>
  <c r="I1323" i="1" s="1"/>
  <c r="I1324" i="1" a="1"/>
  <c r="I1324" i="1" s="1"/>
  <c r="I1325" i="1" a="1"/>
  <c r="I1325" i="1" s="1"/>
  <c r="I1326" i="1" a="1"/>
  <c r="I1326" i="1" s="1"/>
  <c r="I1327" i="1" a="1"/>
  <c r="I1327" i="1" s="1"/>
  <c r="I1328" i="1" a="1"/>
  <c r="I1328" i="1" s="1"/>
  <c r="I1329" i="1" a="1"/>
  <c r="I1329" i="1" s="1"/>
  <c r="I1330" i="1" a="1"/>
  <c r="I1330" i="1" s="1"/>
  <c r="I1331" i="1" a="1"/>
  <c r="I1331" i="1" s="1"/>
  <c r="I1332" i="1" a="1"/>
  <c r="I1332" i="1" s="1"/>
  <c r="I1333" i="1" a="1"/>
  <c r="I1333" i="1" s="1"/>
  <c r="I1334" i="1" a="1"/>
  <c r="I1334" i="1" s="1"/>
  <c r="I1335" i="1" a="1"/>
  <c r="I1335" i="1" s="1"/>
  <c r="I1336" i="1" a="1"/>
  <c r="I1336" i="1" s="1"/>
  <c r="I1337" i="1" a="1"/>
  <c r="I1337" i="1" s="1"/>
  <c r="I1338" i="1" a="1"/>
  <c r="I1338" i="1" s="1"/>
  <c r="I1339" i="1" a="1"/>
  <c r="I1339" i="1" s="1"/>
  <c r="I1340" i="1" a="1"/>
  <c r="I1340" i="1" s="1"/>
  <c r="I1341" i="1" a="1"/>
  <c r="I1341" i="1" s="1"/>
  <c r="I1342" i="1" a="1"/>
  <c r="I1342" i="1" s="1"/>
  <c r="I1343" i="1" a="1"/>
  <c r="I1343" i="1" s="1"/>
  <c r="I1344" i="1" a="1"/>
  <c r="I1344" i="1" s="1"/>
  <c r="I1345" i="1" a="1"/>
  <c r="I1345" i="1" s="1"/>
  <c r="I1346" i="1" a="1"/>
  <c r="I1346" i="1" s="1"/>
  <c r="I1347" i="1" a="1"/>
  <c r="I1347" i="1" s="1"/>
  <c r="I1348" i="1" a="1"/>
  <c r="I1348" i="1" s="1"/>
  <c r="I1349" i="1" a="1"/>
  <c r="I1349" i="1" s="1"/>
  <c r="I1350" i="1" a="1"/>
  <c r="I1350" i="1" s="1"/>
  <c r="I1351" i="1" a="1"/>
  <c r="I1351" i="1" s="1"/>
  <c r="I1352" i="1" a="1"/>
  <c r="I1352" i="1" s="1"/>
  <c r="I1353" i="1" a="1"/>
  <c r="I1353" i="1" s="1"/>
  <c r="I1354" i="1" a="1"/>
  <c r="I1354" i="1" s="1"/>
  <c r="I1355" i="1" a="1"/>
  <c r="I1355" i="1" s="1"/>
  <c r="I1356" i="1" a="1"/>
  <c r="I1356" i="1" s="1"/>
  <c r="I1357" i="1" a="1"/>
  <c r="I1357" i="1" s="1"/>
  <c r="I1358" i="1" a="1"/>
  <c r="I1358" i="1" s="1"/>
  <c r="I1359" i="1" a="1"/>
  <c r="I1359" i="1" s="1"/>
  <c r="I1360" i="1" a="1"/>
  <c r="I1360" i="1" s="1"/>
  <c r="I1361" i="1" a="1"/>
  <c r="I1361" i="1" s="1"/>
  <c r="I1362" i="1" a="1"/>
  <c r="I1362" i="1" s="1"/>
  <c r="I1363" i="1" a="1"/>
  <c r="I1363" i="1" s="1"/>
  <c r="I1364" i="1" a="1"/>
  <c r="I1364" i="1" s="1"/>
  <c r="I1365" i="1" a="1"/>
  <c r="I1365" i="1" s="1"/>
  <c r="I1366" i="1" a="1"/>
  <c r="I1366" i="1" s="1"/>
  <c r="I1367" i="1" a="1"/>
  <c r="I1367" i="1" s="1"/>
  <c r="I1368" i="1" a="1"/>
  <c r="I1368" i="1" s="1"/>
  <c r="I1369" i="1" a="1"/>
  <c r="I1369" i="1" s="1"/>
  <c r="I1370" i="1" a="1"/>
  <c r="I1370" i="1"/>
  <c r="I1371" i="1" a="1"/>
  <c r="I1371" i="1" s="1"/>
  <c r="I1372" i="1" a="1"/>
  <c r="I1372" i="1" s="1"/>
  <c r="I1373" i="1" a="1"/>
  <c r="I1373" i="1" s="1"/>
  <c r="I1374" i="1" a="1"/>
  <c r="I1374" i="1"/>
  <c r="I1375" i="1" a="1"/>
  <c r="I1375" i="1" s="1"/>
  <c r="I1376" i="1" a="1"/>
  <c r="I1376" i="1" s="1"/>
  <c r="I1377" i="1" a="1"/>
  <c r="I1377" i="1" s="1"/>
  <c r="I1378" i="1" a="1"/>
  <c r="I1378" i="1"/>
  <c r="I1379" i="1" a="1"/>
  <c r="I1379" i="1" s="1"/>
  <c r="I1380" i="1" a="1"/>
  <c r="I1380" i="1" s="1"/>
  <c r="I1381" i="1" a="1"/>
  <c r="I1381" i="1" s="1"/>
  <c r="I1382" i="1" a="1"/>
  <c r="I1382" i="1"/>
  <c r="I1383" i="1" a="1"/>
  <c r="I1383" i="1" s="1"/>
  <c r="I1384" i="1" a="1"/>
  <c r="I1384" i="1" s="1"/>
  <c r="I1385" i="1" a="1"/>
  <c r="I1385" i="1" s="1"/>
  <c r="I1386" i="1" a="1"/>
  <c r="I1386" i="1"/>
  <c r="I1387" i="1" a="1"/>
  <c r="I1387" i="1" s="1"/>
  <c r="I1388" i="1" a="1"/>
  <c r="I1388" i="1" s="1"/>
  <c r="I1389" i="1" a="1"/>
  <c r="I1389" i="1" s="1"/>
  <c r="I1390" i="1" a="1"/>
  <c r="I1390" i="1"/>
  <c r="I1391" i="1" a="1"/>
  <c r="I1391" i="1" s="1"/>
  <c r="I1392" i="1" a="1"/>
  <c r="I1392" i="1" s="1"/>
  <c r="I1393" i="1" a="1"/>
  <c r="I1393" i="1" s="1"/>
  <c r="I1394" i="1" a="1"/>
  <c r="I1394" i="1"/>
  <c r="I1395" i="1" a="1"/>
  <c r="I1395" i="1" s="1"/>
  <c r="I1396" i="1" a="1"/>
  <c r="I1396" i="1" s="1"/>
  <c r="I1397" i="1" a="1"/>
  <c r="I1397" i="1" s="1"/>
  <c r="I1398" i="1" a="1"/>
  <c r="I1398" i="1"/>
  <c r="I1399" i="1" a="1"/>
  <c r="I1399" i="1" s="1"/>
  <c r="I1400" i="1" a="1"/>
  <c r="I1400" i="1" s="1"/>
  <c r="I1401" i="1" a="1"/>
  <c r="I1401" i="1" s="1"/>
  <c r="I1402" i="1" a="1"/>
  <c r="I1402" i="1"/>
  <c r="I1403" i="1" a="1"/>
  <c r="I1403" i="1" s="1"/>
  <c r="I1404" i="1" a="1"/>
  <c r="I1404" i="1" s="1"/>
  <c r="I1405" i="1" a="1"/>
  <c r="I1405" i="1" s="1"/>
  <c r="I1406" i="1" a="1"/>
  <c r="I1406" i="1"/>
  <c r="I1407" i="1" a="1"/>
  <c r="I1407" i="1"/>
  <c r="I1408" i="1" a="1"/>
  <c r="I1408" i="1"/>
  <c r="I1409" i="1" a="1"/>
  <c r="I1409" i="1"/>
  <c r="I1410" i="1" a="1"/>
  <c r="I1410" i="1"/>
  <c r="I1411" i="1" a="1"/>
  <c r="I1411" i="1"/>
  <c r="I1412" i="1" a="1"/>
  <c r="I1412" i="1"/>
  <c r="I1413" i="1" a="1"/>
  <c r="I1413" i="1"/>
  <c r="I1414" i="1" a="1"/>
  <c r="I1414" i="1"/>
  <c r="I1415" i="1" a="1"/>
  <c r="I1415" i="1"/>
  <c r="I1416" i="1" a="1"/>
  <c r="I1416" i="1"/>
  <c r="I1417" i="1" a="1"/>
  <c r="I1417" i="1"/>
  <c r="I1418" i="1" a="1"/>
  <c r="I1418" i="1"/>
  <c r="I1419" i="1" a="1"/>
  <c r="I1419" i="1"/>
  <c r="I1420" i="1" a="1"/>
  <c r="I1420" i="1"/>
  <c r="I1421" i="1" a="1"/>
  <c r="I1421" i="1"/>
  <c r="I1422" i="1" a="1"/>
  <c r="I1422" i="1"/>
  <c r="I1423" i="1" a="1"/>
  <c r="I1423" i="1"/>
  <c r="I1424" i="1" a="1"/>
  <c r="I1424" i="1"/>
  <c r="I1425" i="1" a="1"/>
  <c r="I1425" i="1"/>
  <c r="I1426" i="1" a="1"/>
  <c r="I1426" i="1"/>
  <c r="I1427" i="1" a="1"/>
  <c r="I1427" i="1"/>
  <c r="I1428" i="1" a="1"/>
  <c r="I1428" i="1"/>
  <c r="I1429" i="1" a="1"/>
  <c r="I1429" i="1"/>
  <c r="I1430" i="1" a="1"/>
  <c r="I1430" i="1"/>
  <c r="I1431" i="1" a="1"/>
  <c r="I1431" i="1"/>
  <c r="I1432" i="1" a="1"/>
  <c r="I1432" i="1"/>
  <c r="I1433" i="1" a="1"/>
  <c r="I1433" i="1"/>
  <c r="I1434" i="1" a="1"/>
  <c r="I1434" i="1"/>
  <c r="I1435" i="1" a="1"/>
  <c r="I1435" i="1"/>
  <c r="I1436" i="1" a="1"/>
  <c r="I1436" i="1"/>
  <c r="I1437" i="1" a="1"/>
  <c r="I1437" i="1"/>
  <c r="I1438" i="1" a="1"/>
  <c r="I1438" i="1"/>
  <c r="I1439" i="1" a="1"/>
  <c r="I1439" i="1"/>
  <c r="I1440" i="1" a="1"/>
  <c r="I1440" i="1"/>
  <c r="I1441" i="1" a="1"/>
  <c r="I1441" i="1"/>
  <c r="I1442" i="1" a="1"/>
  <c r="I1442" i="1"/>
  <c r="I1443" i="1" a="1"/>
  <c r="I1443" i="1"/>
  <c r="I1444" i="1" a="1"/>
  <c r="I1444" i="1"/>
  <c r="I1445" i="1" a="1"/>
  <c r="I1445" i="1"/>
  <c r="I1446" i="1" a="1"/>
  <c r="I1446" i="1"/>
  <c r="I1447" i="1" a="1"/>
  <c r="I1447" i="1"/>
  <c r="I1448" i="1" a="1"/>
  <c r="I1448" i="1"/>
  <c r="I1449" i="1" a="1"/>
  <c r="I1449" i="1"/>
  <c r="I1450" i="1" a="1"/>
  <c r="I1450" i="1"/>
  <c r="I1451" i="1" a="1"/>
  <c r="I1451" i="1"/>
  <c r="I1452" i="1" a="1"/>
  <c r="I1452" i="1"/>
  <c r="I1453" i="1" a="1"/>
  <c r="I1453" i="1"/>
  <c r="I1454" i="1" a="1"/>
  <c r="I1454" i="1"/>
  <c r="I1455" i="1" a="1"/>
  <c r="I1455" i="1"/>
  <c r="I1456" i="1" a="1"/>
  <c r="I1456" i="1"/>
  <c r="I1457" i="1" a="1"/>
  <c r="I1457" i="1"/>
  <c r="I1458" i="1" a="1"/>
  <c r="I1458" i="1"/>
  <c r="I1459" i="1" a="1"/>
  <c r="I1459" i="1"/>
  <c r="I1460" i="1" a="1"/>
  <c r="I1460" i="1"/>
  <c r="I1461" i="1" a="1"/>
  <c r="I1461" i="1"/>
  <c r="I1462" i="1" a="1"/>
  <c r="I1462" i="1"/>
  <c r="I1463" i="1" a="1"/>
  <c r="I1463" i="1"/>
  <c r="I1464" i="1" a="1"/>
  <c r="I1464" i="1"/>
  <c r="I1465" i="1" a="1"/>
  <c r="I1465" i="1"/>
  <c r="I1466" i="1" a="1"/>
  <c r="I1466" i="1"/>
  <c r="I1467" i="1" a="1"/>
  <c r="I1467" i="1"/>
  <c r="I1468" i="1" a="1"/>
  <c r="I1468" i="1"/>
  <c r="I1469" i="1" a="1"/>
  <c r="I1469" i="1"/>
  <c r="I1470" i="1" a="1"/>
  <c r="I1470" i="1"/>
  <c r="I1471" i="1" a="1"/>
  <c r="I1471" i="1"/>
  <c r="I1472" i="1" a="1"/>
  <c r="I1472" i="1"/>
  <c r="I1473" i="1" a="1"/>
  <c r="I1473" i="1"/>
  <c r="I1474" i="1" a="1"/>
  <c r="I1474" i="1"/>
  <c r="I1475" i="1" a="1"/>
  <c r="I1475" i="1"/>
  <c r="I1476" i="1" a="1"/>
  <c r="I1476" i="1"/>
  <c r="I1477" i="1" a="1"/>
  <c r="I1477" i="1"/>
  <c r="I1478" i="1" a="1"/>
  <c r="I1478" i="1"/>
  <c r="I1479" i="1" a="1"/>
  <c r="I1479" i="1"/>
  <c r="I1480" i="1" a="1"/>
  <c r="I1480" i="1"/>
  <c r="I1481" i="1" a="1"/>
  <c r="I1481" i="1"/>
  <c r="I1482" i="1" a="1"/>
  <c r="I1482" i="1"/>
  <c r="I1483" i="1" a="1"/>
  <c r="I1483" i="1"/>
  <c r="I1484" i="1" a="1"/>
  <c r="I1484" i="1"/>
  <c r="I1485" i="1" a="1"/>
  <c r="I1485" i="1"/>
  <c r="I1486" i="1" a="1"/>
  <c r="I1486" i="1"/>
  <c r="I1487" i="1" a="1"/>
  <c r="I1487" i="1"/>
  <c r="I1488" i="1" a="1"/>
  <c r="I1488" i="1"/>
  <c r="I1489" i="1" a="1"/>
  <c r="I1489" i="1"/>
  <c r="I1490" i="1" a="1"/>
  <c r="I1490" i="1"/>
  <c r="I1491" i="1" a="1"/>
  <c r="I1491" i="1"/>
  <c r="I1492" i="1" a="1"/>
  <c r="I1492" i="1"/>
  <c r="I1493" i="1" a="1"/>
  <c r="I1493" i="1"/>
  <c r="I1494" i="1" a="1"/>
  <c r="I1494" i="1"/>
  <c r="I1495" i="1" a="1"/>
  <c r="I1495" i="1"/>
  <c r="I1496" i="1" a="1"/>
  <c r="I1496" i="1"/>
  <c r="I1497" i="1" a="1"/>
  <c r="I1497" i="1"/>
  <c r="I1498" i="1" a="1"/>
  <c r="I1498" i="1"/>
  <c r="I1499" i="1" a="1"/>
  <c r="I1499" i="1"/>
  <c r="I1500" i="1" a="1"/>
  <c r="I1500" i="1"/>
  <c r="I1501" i="1" a="1"/>
  <c r="I1501" i="1"/>
  <c r="I1502" i="1" a="1"/>
  <c r="I1502" i="1"/>
  <c r="I1503" i="1" a="1"/>
  <c r="I1503" i="1"/>
  <c r="I1504" i="1" a="1"/>
  <c r="I1504" i="1" s="1"/>
  <c r="I1505" i="1" a="1"/>
  <c r="I1505" i="1"/>
  <c r="I1506" i="1" a="1"/>
  <c r="I1506" i="1"/>
  <c r="I1507" i="1" a="1"/>
  <c r="I1507" i="1"/>
  <c r="I1508" i="1" a="1"/>
  <c r="I1508" i="1"/>
  <c r="I1509" i="1" a="1"/>
  <c r="I1509" i="1"/>
  <c r="I1510" i="1" a="1"/>
  <c r="I1510" i="1" s="1"/>
  <c r="I1511" i="1" a="1"/>
  <c r="I1511" i="1"/>
  <c r="I1512" i="1" a="1"/>
  <c r="I1512" i="1" s="1"/>
  <c r="I1513" i="1" a="1"/>
  <c r="I1513" i="1"/>
  <c r="I1514" i="1" a="1"/>
  <c r="I1514" i="1" s="1"/>
  <c r="I1515" i="1" a="1"/>
  <c r="I1515" i="1"/>
  <c r="I1516" i="1" a="1"/>
  <c r="I1516" i="1" s="1"/>
  <c r="I1517" i="1" a="1"/>
  <c r="I1517" i="1"/>
  <c r="I1518" i="1" a="1"/>
  <c r="I1518" i="1" s="1"/>
  <c r="I1519" i="1" a="1"/>
  <c r="I1519" i="1"/>
  <c r="I1520" i="1" a="1"/>
  <c r="I1520" i="1" s="1"/>
  <c r="I1521" i="1" a="1"/>
  <c r="I1521" i="1"/>
  <c r="I1522" i="1" a="1"/>
  <c r="I1522" i="1" s="1"/>
  <c r="I1523" i="1" a="1"/>
  <c r="I1523" i="1"/>
  <c r="I1524" i="1" a="1"/>
  <c r="I1524" i="1" s="1"/>
  <c r="I1525" i="1" a="1"/>
  <c r="I1525" i="1"/>
  <c r="I1526" i="1" a="1"/>
  <c r="I1526" i="1" s="1"/>
  <c r="I1527" i="1" a="1"/>
  <c r="I1527" i="1"/>
  <c r="I1528" i="1" a="1"/>
  <c r="I1528" i="1" s="1"/>
  <c r="I1529" i="1" a="1"/>
  <c r="I1529" i="1"/>
  <c r="I1530" i="1" a="1"/>
  <c r="I1530" i="1" s="1"/>
  <c r="I1531" i="1" a="1"/>
  <c r="I1531" i="1"/>
  <c r="I1532" i="1" a="1"/>
  <c r="I1532" i="1" s="1"/>
  <c r="I1533" i="1" a="1"/>
  <c r="I1533" i="1"/>
  <c r="I1534" i="1" a="1"/>
  <c r="I1534" i="1" s="1"/>
  <c r="I1535" i="1" a="1"/>
  <c r="I1535" i="1"/>
  <c r="I1536" i="1" a="1"/>
  <c r="I1536" i="1" s="1"/>
  <c r="I1537" i="1" a="1"/>
  <c r="I1537" i="1"/>
  <c r="I1538" i="1" a="1"/>
  <c r="I1538" i="1" s="1"/>
  <c r="I1539" i="1" a="1"/>
  <c r="I1539" i="1"/>
  <c r="I1540" i="1" a="1"/>
  <c r="I1540" i="1" s="1"/>
  <c r="I1541" i="1" a="1"/>
  <c r="I1541" i="1"/>
  <c r="I1542" i="1" a="1"/>
  <c r="I1542" i="1" s="1"/>
  <c r="I1543" i="1" a="1"/>
  <c r="I1543" i="1"/>
  <c r="I1544" i="1" a="1"/>
  <c r="I1544" i="1" s="1"/>
  <c r="I1545" i="1" a="1"/>
  <c r="I1545" i="1"/>
  <c r="I1546" i="1" a="1"/>
  <c r="I1546" i="1" s="1"/>
  <c r="I1547" i="1" a="1"/>
  <c r="I1547" i="1"/>
  <c r="I1548" i="1" a="1"/>
  <c r="I1548" i="1" s="1"/>
  <c r="I1549" i="1" a="1"/>
  <c r="I1549" i="1"/>
  <c r="I1550" i="1" a="1"/>
  <c r="I1550" i="1" s="1"/>
  <c r="I1551" i="1" a="1"/>
  <c r="I1551" i="1"/>
  <c r="I1552" i="1" a="1"/>
  <c r="I1552" i="1" s="1"/>
  <c r="I1553" i="1" a="1"/>
  <c r="I1553" i="1"/>
  <c r="I1554" i="1" a="1"/>
  <c r="I1554" i="1" s="1"/>
  <c r="I1555" i="1" a="1"/>
  <c r="I1555" i="1"/>
  <c r="I1556" i="1" a="1"/>
  <c r="I1556" i="1" s="1"/>
  <c r="I1557" i="1" a="1"/>
  <c r="I1557" i="1"/>
  <c r="I1558" i="1" a="1"/>
  <c r="I1558" i="1" s="1"/>
  <c r="I1559" i="1" a="1"/>
  <c r="I1559" i="1"/>
  <c r="I1560" i="1" a="1"/>
  <c r="I1560" i="1" s="1"/>
  <c r="I1561" i="1" a="1"/>
  <c r="I1561" i="1"/>
  <c r="I1562" i="1" a="1"/>
  <c r="I1562" i="1" s="1"/>
  <c r="I1563" i="1" a="1"/>
  <c r="I1563" i="1"/>
  <c r="I1564" i="1" a="1"/>
  <c r="I1564" i="1" s="1"/>
  <c r="I1565" i="1" a="1"/>
  <c r="I1565" i="1"/>
  <c r="I1566" i="1" a="1"/>
  <c r="I1566" i="1" s="1"/>
  <c r="I1567" i="1" a="1"/>
  <c r="I1567" i="1"/>
  <c r="I1568" i="1" a="1"/>
  <c r="I1568" i="1" s="1"/>
  <c r="I1569" i="1" a="1"/>
  <c r="I1569" i="1"/>
  <c r="I1570" i="1" a="1"/>
  <c r="I1570" i="1" s="1"/>
  <c r="I1571" i="1" a="1"/>
  <c r="I1571" i="1"/>
  <c r="I1572" i="1" a="1"/>
  <c r="I1572" i="1" s="1"/>
  <c r="I1573" i="1" a="1"/>
  <c r="I1573" i="1"/>
  <c r="I1574" i="1" a="1"/>
  <c r="I1574" i="1" s="1"/>
  <c r="I1575" i="1" a="1"/>
  <c r="I1575" i="1"/>
  <c r="I1576" i="1" a="1"/>
  <c r="I1576" i="1" s="1"/>
  <c r="I1577" i="1" a="1"/>
  <c r="I1577" i="1"/>
  <c r="I1578" i="1" a="1"/>
  <c r="I1578" i="1" s="1"/>
  <c r="I1579" i="1" a="1"/>
  <c r="I1579" i="1"/>
  <c r="I1580" i="1" a="1"/>
  <c r="I1580" i="1" s="1"/>
  <c r="I1581" i="1" a="1"/>
  <c r="I1581" i="1"/>
  <c r="I1582" i="1" a="1"/>
  <c r="I1582" i="1" s="1"/>
  <c r="I1583" i="1" a="1"/>
  <c r="I1583" i="1"/>
  <c r="I1584" i="1" a="1"/>
  <c r="I1584" i="1" s="1"/>
  <c r="I1585" i="1" a="1"/>
  <c r="I1585" i="1"/>
  <c r="I1586" i="1" a="1"/>
  <c r="I1586" i="1" s="1"/>
  <c r="I1587" i="1" a="1"/>
  <c r="I1587" i="1"/>
  <c r="I1588" i="1" a="1"/>
  <c r="I1588" i="1" s="1"/>
  <c r="I1589" i="1" a="1"/>
  <c r="I1589" i="1"/>
  <c r="I1590" i="1" a="1"/>
  <c r="I1590" i="1" s="1"/>
  <c r="I1591" i="1" a="1"/>
  <c r="I1591" i="1"/>
  <c r="I1592" i="1" a="1"/>
  <c r="I1592" i="1" s="1"/>
  <c r="I1593" i="1" a="1"/>
  <c r="I1593" i="1"/>
  <c r="I1594" i="1" a="1"/>
  <c r="I1594" i="1" s="1"/>
  <c r="I1595" i="1" a="1"/>
  <c r="I1595" i="1"/>
  <c r="I1596" i="1" a="1"/>
  <c r="I1596" i="1" s="1"/>
  <c r="I1597" i="1" a="1"/>
  <c r="I1597" i="1"/>
  <c r="I1598" i="1" a="1"/>
  <c r="I1598" i="1" s="1"/>
  <c r="I1599" i="1" a="1"/>
  <c r="I1599" i="1"/>
  <c r="I1600" i="1" a="1"/>
  <c r="I1600" i="1" s="1"/>
  <c r="I1601" i="1" a="1"/>
  <c r="I1601" i="1"/>
  <c r="I1602" i="1" a="1"/>
  <c r="I1602" i="1" s="1"/>
  <c r="I1603" i="1" a="1"/>
  <c r="I1603" i="1"/>
  <c r="I1604" i="1" a="1"/>
  <c r="I1604" i="1" s="1"/>
  <c r="I1605" i="1" a="1"/>
  <c r="I1605" i="1"/>
  <c r="I1606" i="1" a="1"/>
  <c r="I1606" i="1" s="1"/>
  <c r="I1607" i="1" a="1"/>
  <c r="I1607" i="1"/>
  <c r="I1608" i="1" a="1"/>
  <c r="I1608" i="1" s="1"/>
  <c r="I1609" i="1" a="1"/>
  <c r="I1609" i="1"/>
  <c r="I1610" i="1" a="1"/>
  <c r="I1610" i="1" s="1"/>
  <c r="I1611" i="1" a="1"/>
  <c r="I1611" i="1"/>
  <c r="I1612" i="1" a="1"/>
  <c r="I1612" i="1" s="1"/>
  <c r="I1613" i="1" a="1"/>
  <c r="I1613" i="1"/>
  <c r="I1614" i="1" a="1"/>
  <c r="I1614" i="1" s="1"/>
  <c r="I1615" i="1" a="1"/>
  <c r="I1615" i="1"/>
  <c r="I1616" i="1" a="1"/>
  <c r="I1616" i="1" s="1"/>
  <c r="I1617" i="1" a="1"/>
  <c r="I1617" i="1"/>
  <c r="I1618" i="1" a="1"/>
  <c r="I1618" i="1" s="1"/>
  <c r="I1619" i="1" a="1"/>
  <c r="I1619" i="1"/>
  <c r="I1620" i="1" a="1"/>
  <c r="I1620" i="1" s="1"/>
  <c r="I1621" i="1" a="1"/>
  <c r="I1621" i="1"/>
  <c r="I1622" i="1" a="1"/>
  <c r="I1622" i="1" s="1"/>
  <c r="I1623" i="1" a="1"/>
  <c r="I1623" i="1"/>
  <c r="I1624" i="1" a="1"/>
  <c r="I1624" i="1" s="1"/>
  <c r="I1625" i="1" a="1"/>
  <c r="I1625" i="1"/>
  <c r="I1626" i="1" a="1"/>
  <c r="I1626" i="1" s="1"/>
  <c r="I1627" i="1" a="1"/>
  <c r="I1627" i="1"/>
  <c r="I1628" i="1" a="1"/>
  <c r="I1628" i="1" s="1"/>
  <c r="I1629" i="1" a="1"/>
  <c r="I1629" i="1" s="1"/>
  <c r="I1630" i="1" a="1"/>
  <c r="I1630" i="1" s="1"/>
  <c r="I1631" i="1" a="1"/>
  <c r="I1631" i="1"/>
  <c r="I1632" i="1" a="1"/>
  <c r="I1632" i="1" s="1"/>
  <c r="I1633" i="1" a="1"/>
  <c r="I1633" i="1" s="1"/>
  <c r="I1634" i="1" a="1"/>
  <c r="I1634" i="1" s="1"/>
  <c r="I1635" i="1" a="1"/>
  <c r="I1635" i="1" s="1"/>
  <c r="I1636" i="1" a="1"/>
  <c r="I1636" i="1" s="1"/>
  <c r="I1637" i="1" a="1"/>
  <c r="I1637" i="1" s="1"/>
  <c r="I1638" i="1" a="1"/>
  <c r="I1638" i="1" s="1"/>
  <c r="I1639" i="1" a="1"/>
  <c r="I1639" i="1"/>
  <c r="I1640" i="1" a="1"/>
  <c r="I1640" i="1" s="1"/>
  <c r="I1641" i="1" a="1"/>
  <c r="I1641" i="1" s="1"/>
  <c r="I1642" i="1" a="1"/>
  <c r="I1642" i="1" s="1"/>
  <c r="I1643" i="1" a="1"/>
  <c r="I1643" i="1" s="1"/>
  <c r="I1644" i="1" a="1"/>
  <c r="I1644" i="1" s="1"/>
  <c r="I1645" i="1" a="1"/>
  <c r="I1645" i="1" s="1"/>
  <c r="I1646" i="1" a="1"/>
  <c r="I1646" i="1" s="1"/>
  <c r="I1647" i="1" a="1"/>
  <c r="I1647" i="1"/>
  <c r="I1648" i="1" a="1"/>
  <c r="I1648" i="1" s="1"/>
  <c r="I1649" i="1" a="1"/>
  <c r="I1649" i="1" s="1"/>
  <c r="I1650" i="1" a="1"/>
  <c r="I1650" i="1" s="1"/>
  <c r="I1651" i="1" a="1"/>
  <c r="I1651" i="1" s="1"/>
  <c r="I1652" i="1" a="1"/>
  <c r="I1652" i="1" s="1"/>
  <c r="I1653" i="1" a="1"/>
  <c r="I1653" i="1" s="1"/>
  <c r="I1654" i="1" a="1"/>
  <c r="I1654" i="1" s="1"/>
  <c r="I1655" i="1" a="1"/>
  <c r="I1655" i="1"/>
  <c r="I1656" i="1" a="1"/>
  <c r="I1656" i="1" s="1"/>
  <c r="I1657" i="1" a="1"/>
  <c r="I1657" i="1" s="1"/>
  <c r="I1658" i="1" a="1"/>
  <c r="I1658" i="1" s="1"/>
  <c r="I1659" i="1" a="1"/>
  <c r="I1659" i="1" s="1"/>
  <c r="I1660" i="1" a="1"/>
  <c r="I1660" i="1" s="1"/>
  <c r="I1661" i="1" a="1"/>
  <c r="I1661" i="1" s="1"/>
  <c r="I1662" i="1" a="1"/>
  <c r="I1662" i="1" s="1"/>
  <c r="I1663" i="1" a="1"/>
  <c r="I1663" i="1"/>
  <c r="I1664" i="1" a="1"/>
  <c r="I1664" i="1" s="1"/>
  <c r="I1665" i="1" a="1"/>
  <c r="I1665" i="1" s="1"/>
  <c r="I1666" i="1" a="1"/>
  <c r="I1666" i="1" s="1"/>
  <c r="I1667" i="1" a="1"/>
  <c r="I1667" i="1" s="1"/>
  <c r="I1668" i="1" a="1"/>
  <c r="I1668" i="1" s="1"/>
  <c r="I1669" i="1" a="1"/>
  <c r="I1669" i="1" s="1"/>
  <c r="I1670" i="1" a="1"/>
  <c r="I1670" i="1" s="1"/>
  <c r="I1671" i="1" a="1"/>
  <c r="I1671" i="1"/>
  <c r="I1672" i="1" a="1"/>
  <c r="I1672" i="1" s="1"/>
  <c r="I1673" i="1" a="1"/>
  <c r="I1673" i="1" s="1"/>
  <c r="I1674" i="1" a="1"/>
  <c r="I1674" i="1" s="1"/>
  <c r="I1675" i="1" a="1"/>
  <c r="I1675" i="1" s="1"/>
  <c r="I1676" i="1" a="1"/>
  <c r="I1676" i="1" s="1"/>
  <c r="I1677" i="1" a="1"/>
  <c r="I1677" i="1" s="1"/>
  <c r="I1678" i="1" a="1"/>
  <c r="I1678" i="1" s="1"/>
  <c r="I1679" i="1" a="1"/>
  <c r="I1679" i="1"/>
  <c r="I1680" i="1" a="1"/>
  <c r="I1680" i="1" s="1"/>
  <c r="I1681" i="1" a="1"/>
  <c r="I1681" i="1" s="1"/>
  <c r="I1682" i="1" a="1"/>
  <c r="I1682" i="1" s="1"/>
  <c r="I1683" i="1" a="1"/>
  <c r="I1683" i="1" s="1"/>
  <c r="I1684" i="1" a="1"/>
  <c r="I1684" i="1" s="1"/>
  <c r="I1685" i="1" a="1"/>
  <c r="I1685" i="1" s="1"/>
  <c r="I1686" i="1" a="1"/>
  <c r="I1686" i="1" s="1"/>
  <c r="I1687" i="1" a="1"/>
  <c r="I1687" i="1"/>
  <c r="I1688" i="1" a="1"/>
  <c r="I1688" i="1" s="1"/>
  <c r="I1689" i="1" a="1"/>
  <c r="I1689" i="1" s="1"/>
  <c r="I1690" i="1" a="1"/>
  <c r="I1690" i="1" s="1"/>
  <c r="I1691" i="1" a="1"/>
  <c r="I1691" i="1" s="1"/>
  <c r="I1692" i="1" a="1"/>
  <c r="I1692" i="1" s="1"/>
  <c r="I1693" i="1" a="1"/>
  <c r="I1693" i="1" s="1"/>
  <c r="I1694" i="1" a="1"/>
  <c r="I1694" i="1" s="1"/>
  <c r="I1695" i="1" a="1"/>
  <c r="I1695" i="1"/>
  <c r="I1696" i="1" a="1"/>
  <c r="I1696" i="1" s="1"/>
  <c r="I1697" i="1" a="1"/>
  <c r="I1697" i="1" s="1"/>
  <c r="I1698" i="1" a="1"/>
  <c r="I1698" i="1" s="1"/>
  <c r="I1699" i="1" a="1"/>
  <c r="I1699" i="1" s="1"/>
  <c r="I1700" i="1" a="1"/>
  <c r="I1700" i="1" s="1"/>
  <c r="I1701" i="1" a="1"/>
  <c r="I1701" i="1" s="1"/>
  <c r="I1702" i="1" a="1"/>
  <c r="I1702" i="1" s="1"/>
  <c r="I1703" i="1" a="1"/>
  <c r="I1703" i="1"/>
  <c r="I1704" i="1" a="1"/>
  <c r="I1704" i="1" s="1"/>
  <c r="I1705" i="1" a="1"/>
  <c r="I1705" i="1" s="1"/>
  <c r="I1706" i="1" a="1"/>
  <c r="I1706" i="1" s="1"/>
  <c r="I1707" i="1" a="1"/>
  <c r="I1707" i="1" s="1"/>
  <c r="I1708" i="1" a="1"/>
  <c r="I1708" i="1" s="1"/>
  <c r="I1709" i="1" a="1"/>
  <c r="I1709" i="1" s="1"/>
  <c r="I1710" i="1" a="1"/>
  <c r="I1710" i="1" s="1"/>
  <c r="I1711" i="1" a="1"/>
  <c r="I1711" i="1"/>
  <c r="I1712" i="1" a="1"/>
  <c r="I1712" i="1" s="1"/>
  <c r="I1713" i="1" a="1"/>
  <c r="I1713" i="1" s="1"/>
  <c r="I1714" i="1" a="1"/>
  <c r="I1714" i="1" s="1"/>
  <c r="I1715" i="1" a="1"/>
  <c r="I1715" i="1" s="1"/>
  <c r="I1716" i="1" a="1"/>
  <c r="I1716" i="1" s="1"/>
  <c r="I1717" i="1" a="1"/>
  <c r="I1717" i="1" s="1"/>
  <c r="I1718" i="1" a="1"/>
  <c r="I1718" i="1" s="1"/>
  <c r="I1719" i="1" a="1"/>
  <c r="I1719" i="1"/>
  <c r="I1720" i="1" a="1"/>
  <c r="I1720" i="1" s="1"/>
  <c r="I1721" i="1" a="1"/>
  <c r="I1721" i="1" s="1"/>
  <c r="I1722" i="1" a="1"/>
  <c r="I1722" i="1" s="1"/>
  <c r="I1723" i="1" a="1"/>
  <c r="I1723" i="1" s="1"/>
  <c r="I1724" i="1" a="1"/>
  <c r="I1724" i="1" s="1"/>
  <c r="I1725" i="1" a="1"/>
  <c r="I1725" i="1" s="1"/>
  <c r="I1726" i="1" a="1"/>
  <c r="I1726" i="1" s="1"/>
  <c r="I1727" i="1" a="1"/>
  <c r="I1727" i="1"/>
  <c r="I1728" i="1" a="1"/>
  <c r="I1728" i="1" s="1"/>
  <c r="I1729" i="1" a="1"/>
  <c r="I1729" i="1" s="1"/>
  <c r="I1730" i="1" a="1"/>
  <c r="I1730" i="1" s="1"/>
  <c r="I1731" i="1" a="1"/>
  <c r="I1731" i="1" s="1"/>
  <c r="I1732" i="1" a="1"/>
  <c r="I1732" i="1" s="1"/>
  <c r="I1733" i="1" a="1"/>
  <c r="I1733" i="1" s="1"/>
  <c r="I1734" i="1" a="1"/>
  <c r="I1734" i="1" s="1"/>
  <c r="I1735" i="1" a="1"/>
  <c r="I1735" i="1"/>
  <c r="I1736" i="1" a="1"/>
  <c r="I1736" i="1" s="1"/>
  <c r="I1737" i="1" a="1"/>
  <c r="I1737" i="1" s="1"/>
  <c r="I1738" i="1" a="1"/>
  <c r="I1738" i="1" s="1"/>
  <c r="I1739" i="1" a="1"/>
  <c r="I1739" i="1" s="1"/>
  <c r="I1740" i="1" a="1"/>
  <c r="I1740" i="1" s="1"/>
  <c r="I1741" i="1" a="1"/>
  <c r="I1741" i="1" s="1"/>
  <c r="I1742" i="1" a="1"/>
  <c r="I1742" i="1" s="1"/>
  <c r="I1743" i="1" a="1"/>
  <c r="I1743" i="1"/>
  <c r="I1744" i="1" a="1"/>
  <c r="I1744" i="1" s="1"/>
  <c r="I1745" i="1" a="1"/>
  <c r="I1745" i="1" s="1"/>
  <c r="I1746" i="1" a="1"/>
  <c r="I1746" i="1" s="1"/>
  <c r="I1747" i="1" a="1"/>
  <c r="I1747" i="1" s="1"/>
  <c r="I1748" i="1" a="1"/>
  <c r="I1748" i="1" s="1"/>
  <c r="I1749" i="1" a="1"/>
  <c r="I1749" i="1" s="1"/>
  <c r="I1750" i="1" a="1"/>
  <c r="I1750" i="1" s="1"/>
  <c r="I1751" i="1" a="1"/>
  <c r="I1751" i="1"/>
  <c r="I1752" i="1" a="1"/>
  <c r="I1752" i="1" s="1"/>
  <c r="I1753" i="1" a="1"/>
  <c r="I1753" i="1" s="1"/>
  <c r="I1754" i="1" a="1"/>
  <c r="I1754" i="1" s="1"/>
  <c r="I1755" i="1" a="1"/>
  <c r="I1755" i="1" s="1"/>
  <c r="I1756" i="1" a="1"/>
  <c r="I1756" i="1" s="1"/>
  <c r="I1757" i="1" a="1"/>
  <c r="I1757" i="1" s="1"/>
  <c r="I1758" i="1" a="1"/>
  <c r="I1758" i="1" s="1"/>
  <c r="I1759" i="1" a="1"/>
  <c r="I1759" i="1"/>
  <c r="I1760" i="1" a="1"/>
  <c r="I1760" i="1" s="1"/>
  <c r="I1761" i="1" a="1"/>
  <c r="I1761" i="1" s="1"/>
  <c r="I1762" i="1" a="1"/>
  <c r="I1762" i="1" s="1"/>
  <c r="I1763" i="1" a="1"/>
  <c r="I1763" i="1" s="1"/>
  <c r="I1764" i="1" a="1"/>
  <c r="I1764" i="1" s="1"/>
  <c r="I1765" i="1" a="1"/>
  <c r="I1765" i="1" s="1"/>
  <c r="I1766" i="1" a="1"/>
  <c r="I1766" i="1" s="1"/>
  <c r="I1767" i="1" a="1"/>
  <c r="I1767" i="1"/>
  <c r="I1768" i="1" a="1"/>
  <c r="I1768" i="1" s="1"/>
  <c r="I1769" i="1" a="1"/>
  <c r="I1769" i="1" s="1"/>
  <c r="I1770" i="1" a="1"/>
  <c r="I1770" i="1" s="1"/>
  <c r="I1771" i="1" a="1"/>
  <c r="I1771" i="1" s="1"/>
  <c r="I1772" i="1" a="1"/>
  <c r="I1772" i="1" s="1"/>
  <c r="I1773" i="1" a="1"/>
  <c r="I1773" i="1" s="1"/>
  <c r="I1774" i="1" a="1"/>
  <c r="I1774" i="1" s="1"/>
  <c r="I1775" i="1" a="1"/>
  <c r="I1775" i="1"/>
  <c r="I1776" i="1" a="1"/>
  <c r="I1776" i="1" s="1"/>
  <c r="I1777" i="1" a="1"/>
  <c r="I1777" i="1" s="1"/>
  <c r="I1778" i="1" a="1"/>
  <c r="I1778" i="1" s="1"/>
  <c r="I1779" i="1" a="1"/>
  <c r="I1779" i="1" s="1"/>
  <c r="I1780" i="1" a="1"/>
  <c r="I1780" i="1" s="1"/>
  <c r="I1781" i="1" a="1"/>
  <c r="I1781" i="1" s="1"/>
  <c r="I1782" i="1" a="1"/>
  <c r="I1782" i="1" s="1"/>
  <c r="I1783" i="1" a="1"/>
  <c r="I1783" i="1"/>
  <c r="I1784" i="1" a="1"/>
  <c r="I1784" i="1" s="1"/>
  <c r="I1785" i="1" a="1"/>
  <c r="I1785" i="1" s="1"/>
  <c r="I1786" i="1" a="1"/>
  <c r="I1786" i="1" s="1"/>
  <c r="I1787" i="1" a="1"/>
  <c r="I1787" i="1" s="1"/>
  <c r="I1788" i="1" a="1"/>
  <c r="I1788" i="1" s="1"/>
  <c r="I1789" i="1" a="1"/>
  <c r="I1789" i="1" s="1"/>
  <c r="I1790" i="1" a="1"/>
  <c r="I1790" i="1" s="1"/>
  <c r="I1791" i="1" a="1"/>
  <c r="I1791" i="1"/>
  <c r="I1792" i="1" a="1"/>
  <c r="I1792" i="1" s="1"/>
  <c r="I1793" i="1" a="1"/>
  <c r="I1793" i="1" s="1"/>
  <c r="I1794" i="1" a="1"/>
  <c r="I1794" i="1" s="1"/>
  <c r="I1795" i="1" a="1"/>
  <c r="I1795" i="1" s="1"/>
  <c r="I1796" i="1" a="1"/>
  <c r="I1796" i="1" s="1"/>
  <c r="I1797" i="1" a="1"/>
  <c r="I1797" i="1" s="1"/>
  <c r="I1798" i="1" a="1"/>
  <c r="I1798" i="1" s="1"/>
  <c r="I1799" i="1" a="1"/>
  <c r="I1799" i="1"/>
  <c r="I1800" i="1" a="1"/>
  <c r="I1800" i="1" s="1"/>
  <c r="I1801" i="1" a="1"/>
  <c r="I1801" i="1" s="1"/>
  <c r="I1802" i="1" a="1"/>
  <c r="I1802" i="1" s="1"/>
  <c r="I1803" i="1" a="1"/>
  <c r="I1803" i="1" s="1"/>
  <c r="I1804" i="1" a="1"/>
  <c r="I1804" i="1" s="1"/>
  <c r="I1805" i="1" a="1"/>
  <c r="I1805" i="1" s="1"/>
  <c r="I1806" i="1" a="1"/>
  <c r="I1806" i="1" s="1"/>
  <c r="I1807" i="1" a="1"/>
  <c r="I1807" i="1"/>
  <c r="I1808" i="1" a="1"/>
  <c r="I1808" i="1" s="1"/>
  <c r="I1809" i="1" a="1"/>
  <c r="I1809" i="1" s="1"/>
  <c r="I1810" i="1" a="1"/>
  <c r="I1810" i="1" s="1"/>
  <c r="I1811" i="1" a="1"/>
  <c r="I1811" i="1" s="1"/>
  <c r="I1812" i="1" a="1"/>
  <c r="I1812" i="1" s="1"/>
  <c r="I1813" i="1" a="1"/>
  <c r="I1813" i="1" s="1"/>
  <c r="I1814" i="1" a="1"/>
  <c r="I1814" i="1" s="1"/>
  <c r="I1815" i="1" a="1"/>
  <c r="I1815" i="1"/>
  <c r="I1816" i="1" a="1"/>
  <c r="I1816" i="1" s="1"/>
  <c r="I1817" i="1" a="1"/>
  <c r="I1817" i="1" s="1"/>
  <c r="I1818" i="1" a="1"/>
  <c r="I1818" i="1" s="1"/>
  <c r="I1819" i="1" a="1"/>
  <c r="I1819" i="1" s="1"/>
  <c r="I1820" i="1" a="1"/>
  <c r="I1820" i="1" s="1"/>
  <c r="I1821" i="1" a="1"/>
  <c r="I1821" i="1" s="1"/>
  <c r="I1822" i="1" a="1"/>
  <c r="I1822" i="1" s="1"/>
  <c r="I1823" i="1" a="1"/>
  <c r="I1823" i="1"/>
  <c r="I1824" i="1" a="1"/>
  <c r="I1824" i="1" s="1"/>
  <c r="I1825" i="1" a="1"/>
  <c r="I1825" i="1" s="1"/>
  <c r="I1826" i="1" a="1"/>
  <c r="I1826" i="1" s="1"/>
  <c r="I1827" i="1" a="1"/>
  <c r="I1827" i="1" s="1"/>
  <c r="I1828" i="1" a="1"/>
  <c r="I1828" i="1" s="1"/>
  <c r="I1829" i="1" a="1"/>
  <c r="I1829" i="1" s="1"/>
  <c r="I1830" i="1" a="1"/>
  <c r="I1830" i="1" s="1"/>
  <c r="I1831" i="1" a="1"/>
  <c r="I1831" i="1"/>
  <c r="I1832" i="1" a="1"/>
  <c r="I1832" i="1" s="1"/>
  <c r="I1833" i="1" a="1"/>
  <c r="I1833" i="1" s="1"/>
  <c r="I1834" i="1" a="1"/>
  <c r="I1834" i="1" s="1"/>
  <c r="I1835" i="1" a="1"/>
  <c r="I1835" i="1" s="1"/>
  <c r="I1836" i="1" a="1"/>
  <c r="I1836" i="1" s="1"/>
  <c r="I1837" i="1" a="1"/>
  <c r="I1837" i="1" s="1"/>
  <c r="I1838" i="1" a="1"/>
  <c r="I1838" i="1" s="1"/>
  <c r="I1839" i="1" a="1"/>
  <c r="I1839" i="1"/>
  <c r="I1840" i="1" a="1"/>
  <c r="I1840" i="1" s="1"/>
  <c r="I1841" i="1" a="1"/>
  <c r="I1841" i="1" s="1"/>
  <c r="I1842" i="1" a="1"/>
  <c r="I1842" i="1" s="1"/>
  <c r="I1843" i="1" a="1"/>
  <c r="I1843" i="1" s="1"/>
  <c r="I1844" i="1" a="1"/>
  <c r="I1844" i="1" s="1"/>
  <c r="I1845" i="1" a="1"/>
  <c r="I1845" i="1" s="1"/>
  <c r="I1846" i="1" a="1"/>
  <c r="I1846" i="1" s="1"/>
  <c r="I1847" i="1" a="1"/>
  <c r="I1847" i="1"/>
  <c r="I1848" i="1" a="1"/>
  <c r="I1848" i="1" s="1"/>
  <c r="I1849" i="1" a="1"/>
  <c r="I1849" i="1" s="1"/>
  <c r="I1850" i="1" a="1"/>
  <c r="I1850" i="1" s="1"/>
  <c r="I1851" i="1" a="1"/>
  <c r="I1851" i="1" s="1"/>
  <c r="I1852" i="1" a="1"/>
  <c r="I1852" i="1" s="1"/>
  <c r="I1853" i="1" a="1"/>
  <c r="I1853" i="1" s="1"/>
  <c r="I1854" i="1" a="1"/>
  <c r="I1854" i="1" s="1"/>
  <c r="I1855" i="1" a="1"/>
  <c r="I1855" i="1"/>
  <c r="I1856" i="1" a="1"/>
  <c r="I1856" i="1" s="1"/>
  <c r="I1857" i="1" a="1"/>
  <c r="I1857" i="1" s="1"/>
  <c r="I1858" i="1" a="1"/>
  <c r="I1858" i="1" s="1"/>
  <c r="I1859" i="1" a="1"/>
  <c r="I1859" i="1" s="1"/>
  <c r="I1860" i="1" a="1"/>
  <c r="I1860" i="1" s="1"/>
  <c r="I1861" i="1" a="1"/>
  <c r="I1861" i="1" s="1"/>
  <c r="I1862" i="1" a="1"/>
  <c r="I1862" i="1" s="1"/>
  <c r="I1863" i="1" a="1"/>
  <c r="I1863" i="1"/>
  <c r="I1864" i="1" a="1"/>
  <c r="I1864" i="1" s="1"/>
  <c r="I1865" i="1" a="1"/>
  <c r="I1865" i="1" s="1"/>
  <c r="I1866" i="1" a="1"/>
  <c r="I1866" i="1" s="1"/>
  <c r="I1867" i="1" a="1"/>
  <c r="I1867" i="1" s="1"/>
  <c r="I1868" i="1" a="1"/>
  <c r="I1868" i="1" s="1"/>
  <c r="I1869" i="1" a="1"/>
  <c r="I1869" i="1" s="1"/>
  <c r="I1870" i="1" a="1"/>
  <c r="I1870" i="1" s="1"/>
  <c r="I1871" i="1" a="1"/>
  <c r="I1871" i="1"/>
  <c r="I1872" i="1" a="1"/>
  <c r="I1872" i="1" s="1"/>
  <c r="I1873" i="1" a="1"/>
  <c r="I1873" i="1" s="1"/>
  <c r="I1874" i="1" a="1"/>
  <c r="I1874" i="1" s="1"/>
  <c r="I1875" i="1" a="1"/>
  <c r="I1875" i="1" s="1"/>
  <c r="I1876" i="1" a="1"/>
  <c r="I1876" i="1" s="1"/>
  <c r="I1877" i="1" a="1"/>
  <c r="I1877" i="1" s="1"/>
  <c r="I1878" i="1" a="1"/>
  <c r="I1878" i="1" s="1"/>
  <c r="I1879" i="1" a="1"/>
  <c r="I1879" i="1"/>
  <c r="I1880" i="1" a="1"/>
  <c r="I1880" i="1" s="1"/>
  <c r="I1881" i="1" a="1"/>
  <c r="I1881" i="1" s="1"/>
  <c r="I1882" i="1" a="1"/>
  <c r="I1882" i="1" s="1"/>
  <c r="I1883" i="1" a="1"/>
  <c r="I1883" i="1" s="1"/>
  <c r="I1884" i="1" a="1"/>
  <c r="I1884" i="1" s="1"/>
  <c r="I1885" i="1" a="1"/>
  <c r="I1885" i="1" s="1"/>
  <c r="I1886" i="1" a="1"/>
  <c r="I1886" i="1" s="1"/>
  <c r="I1887" i="1" a="1"/>
  <c r="I1887" i="1"/>
  <c r="I1888" i="1" a="1"/>
  <c r="I1888" i="1" s="1"/>
  <c r="I1889" i="1" a="1"/>
  <c r="I1889" i="1" s="1"/>
  <c r="I1890" i="1" a="1"/>
  <c r="I1890" i="1" s="1"/>
  <c r="I1891" i="1" a="1"/>
  <c r="I1891" i="1" s="1"/>
  <c r="I1892" i="1" a="1"/>
  <c r="I1892" i="1" s="1"/>
  <c r="I1893" i="1" a="1"/>
  <c r="I1893" i="1" s="1"/>
  <c r="I1894" i="1" a="1"/>
  <c r="I1894" i="1" s="1"/>
  <c r="I1895" i="1" a="1"/>
  <c r="I1895" i="1"/>
  <c r="I1896" i="1" a="1"/>
  <c r="I1896" i="1" s="1"/>
  <c r="I1897" i="1" a="1"/>
  <c r="I1897" i="1" s="1"/>
  <c r="I1898" i="1" a="1"/>
  <c r="I1898" i="1" s="1"/>
  <c r="I1899" i="1" a="1"/>
  <c r="I1899" i="1" s="1"/>
  <c r="I1900" i="1" a="1"/>
  <c r="I1900" i="1" s="1"/>
  <c r="I1901" i="1" a="1"/>
  <c r="I1901" i="1" s="1"/>
  <c r="I1902" i="1" a="1"/>
  <c r="I1902" i="1" s="1"/>
  <c r="I1903" i="1" a="1"/>
  <c r="I1903" i="1"/>
  <c r="I1904" i="1" a="1"/>
  <c r="I1904" i="1" s="1"/>
  <c r="I1905" i="1" a="1"/>
  <c r="I1905" i="1" s="1"/>
  <c r="I1906" i="1" a="1"/>
  <c r="I1906" i="1" s="1"/>
  <c r="I1907" i="1" a="1"/>
  <c r="I1907" i="1" s="1"/>
  <c r="I1908" i="1" a="1"/>
  <c r="I1908" i="1" s="1"/>
  <c r="I1909" i="1" a="1"/>
  <c r="I1909" i="1" s="1"/>
  <c r="I1910" i="1" a="1"/>
  <c r="I1910" i="1" s="1"/>
  <c r="I1911" i="1" a="1"/>
  <c r="I1911" i="1"/>
  <c r="I1912" i="1" a="1"/>
  <c r="I1912" i="1" s="1"/>
  <c r="I1913" i="1" a="1"/>
  <c r="I1913" i="1" s="1"/>
  <c r="I1914" i="1" a="1"/>
  <c r="I1914" i="1" s="1"/>
  <c r="I1915" i="1" a="1"/>
  <c r="I1915" i="1" s="1"/>
  <c r="I1916" i="1" a="1"/>
  <c r="I1916" i="1" s="1"/>
  <c r="I1917" i="1" a="1"/>
  <c r="I1917" i="1" s="1"/>
  <c r="I1918" i="1" a="1"/>
  <c r="I1918" i="1" s="1"/>
  <c r="I1919" i="1" a="1"/>
  <c r="I1919" i="1"/>
  <c r="I1920" i="1" a="1"/>
  <c r="I1920" i="1" s="1"/>
  <c r="I1921" i="1" a="1"/>
  <c r="I1921" i="1" s="1"/>
  <c r="I1922" i="1" a="1"/>
  <c r="I1922" i="1" s="1"/>
  <c r="I1923" i="1" a="1"/>
  <c r="I1923" i="1" s="1"/>
  <c r="I1924" i="1" a="1"/>
  <c r="I1924" i="1" s="1"/>
  <c r="I1925" i="1" a="1"/>
  <c r="I1925" i="1" s="1"/>
  <c r="I1926" i="1" a="1"/>
  <c r="I1926" i="1" s="1"/>
  <c r="I1927" i="1" a="1"/>
  <c r="I1927" i="1"/>
  <c r="I1928" i="1" a="1"/>
  <c r="I1928" i="1" s="1"/>
  <c r="I1929" i="1" a="1"/>
  <c r="I1929" i="1" s="1"/>
  <c r="I1930" i="1" a="1"/>
  <c r="I1930" i="1" s="1"/>
  <c r="I1931" i="1" a="1"/>
  <c r="I1931" i="1" s="1"/>
  <c r="I1932" i="1" a="1"/>
  <c r="I1932" i="1" s="1"/>
  <c r="I1933" i="1" a="1"/>
  <c r="I1933" i="1" s="1"/>
  <c r="I1934" i="1" a="1"/>
  <c r="I1934" i="1" s="1"/>
  <c r="I1935" i="1" a="1"/>
  <c r="I1935" i="1"/>
  <c r="I1936" i="1" a="1"/>
  <c r="I1936" i="1" s="1"/>
  <c r="I1937" i="1" a="1"/>
  <c r="I1937" i="1" s="1"/>
  <c r="I1938" i="1" a="1"/>
  <c r="I1938" i="1" s="1"/>
  <c r="I1939" i="1" a="1"/>
  <c r="I1939" i="1" s="1"/>
  <c r="I1940" i="1" a="1"/>
  <c r="I1940" i="1" s="1"/>
  <c r="I1941" i="1" a="1"/>
  <c r="I1941" i="1" s="1"/>
  <c r="I1942" i="1" a="1"/>
  <c r="I1942" i="1" s="1"/>
  <c r="I1943" i="1" a="1"/>
  <c r="I1943" i="1"/>
  <c r="I1944" i="1" a="1"/>
  <c r="I1944" i="1" s="1"/>
  <c r="I1945" i="1" a="1"/>
  <c r="I1945" i="1" s="1"/>
  <c r="I1946" i="1" a="1"/>
  <c r="I1946" i="1" s="1"/>
  <c r="I1947" i="1" a="1"/>
  <c r="I1947" i="1" s="1"/>
  <c r="I1948" i="1" a="1"/>
  <c r="I1948" i="1" s="1"/>
  <c r="I1949" i="1" a="1"/>
  <c r="I1949" i="1" s="1"/>
  <c r="I1950" i="1" a="1"/>
  <c r="I1950" i="1" s="1"/>
  <c r="I1951" i="1" a="1"/>
  <c r="I1951" i="1"/>
  <c r="I1952" i="1" a="1"/>
  <c r="I1952" i="1" s="1"/>
  <c r="I1953" i="1" a="1"/>
  <c r="I1953" i="1" s="1"/>
  <c r="I1954" i="1" a="1"/>
  <c r="I1954" i="1" s="1"/>
  <c r="I1955" i="1" a="1"/>
  <c r="I1955" i="1" s="1"/>
  <c r="I1956" i="1" a="1"/>
  <c r="I1956" i="1" s="1"/>
  <c r="I1957" i="1" a="1"/>
  <c r="I1957" i="1" s="1"/>
  <c r="I1958" i="1" a="1"/>
  <c r="I1958" i="1" s="1"/>
  <c r="I1959" i="1" a="1"/>
  <c r="I1959" i="1"/>
  <c r="I1960" i="1" a="1"/>
  <c r="I1960" i="1" s="1"/>
  <c r="I1961" i="1" a="1"/>
  <c r="I1961" i="1" s="1"/>
  <c r="I1962" i="1" a="1"/>
  <c r="I1962" i="1" s="1"/>
  <c r="I1963" i="1" a="1"/>
  <c r="I1963" i="1" s="1"/>
  <c r="I1964" i="1" a="1"/>
  <c r="I1964" i="1" s="1"/>
  <c r="I1965" i="1" a="1"/>
  <c r="I1965" i="1" s="1"/>
  <c r="I1966" i="1" a="1"/>
  <c r="I1966" i="1" s="1"/>
  <c r="I1967" i="1" a="1"/>
  <c r="I1967" i="1"/>
  <c r="I1968" i="1" a="1"/>
  <c r="I1968" i="1" s="1"/>
  <c r="I1969" i="1" a="1"/>
  <c r="I1969" i="1" s="1"/>
  <c r="I1970" i="1" a="1"/>
  <c r="I1970" i="1" s="1"/>
  <c r="I1971" i="1" a="1"/>
  <c r="I1971" i="1" s="1"/>
  <c r="I1972" i="1" a="1"/>
  <c r="I1972" i="1" s="1"/>
  <c r="I1973" i="1" a="1"/>
  <c r="I1973" i="1" s="1"/>
  <c r="I1974" i="1" a="1"/>
  <c r="I1974" i="1" s="1"/>
  <c r="I1975" i="1" a="1"/>
  <c r="I1975" i="1"/>
  <c r="I1976" i="1" a="1"/>
  <c r="I1976" i="1" s="1"/>
  <c r="I1977" i="1" a="1"/>
  <c r="I1977" i="1" s="1"/>
  <c r="I1978" i="1" a="1"/>
  <c r="I1978" i="1" s="1"/>
  <c r="I1979" i="1" a="1"/>
  <c r="I1979" i="1" s="1"/>
  <c r="I1980" i="1" a="1"/>
  <c r="I1980" i="1" s="1"/>
  <c r="I1981" i="1" a="1"/>
  <c r="I1981" i="1" s="1"/>
  <c r="I1982" i="1" a="1"/>
  <c r="I1982" i="1" s="1"/>
  <c r="I1983" i="1" a="1"/>
  <c r="I1983" i="1"/>
  <c r="I1984" i="1" a="1"/>
  <c r="I1984" i="1" s="1"/>
  <c r="I1985" i="1" a="1"/>
  <c r="I1985" i="1" s="1"/>
  <c r="I1986" i="1" a="1"/>
  <c r="I1986" i="1" s="1"/>
  <c r="I1987" i="1" a="1"/>
  <c r="I1987" i="1" s="1"/>
  <c r="I1988" i="1" a="1"/>
  <c r="I1988" i="1" s="1"/>
  <c r="I1989" i="1" a="1"/>
  <c r="I1989" i="1" s="1"/>
  <c r="I1990" i="1" a="1"/>
  <c r="I1990" i="1" s="1"/>
  <c r="I1991" i="1" a="1"/>
  <c r="I1991" i="1"/>
  <c r="I1992" i="1" a="1"/>
  <c r="I1992" i="1" s="1"/>
  <c r="I1993" i="1" a="1"/>
  <c r="I1993" i="1" s="1"/>
  <c r="I1994" i="1" a="1"/>
  <c r="I1994" i="1" s="1"/>
  <c r="I1995" i="1" a="1"/>
  <c r="I1995" i="1" s="1"/>
  <c r="I1996" i="1" a="1"/>
  <c r="I1996" i="1" s="1"/>
  <c r="I1997" i="1" a="1"/>
  <c r="I1997" i="1" s="1"/>
  <c r="I1998" i="1" a="1"/>
  <c r="I1998" i="1" s="1"/>
  <c r="I1999" i="1" a="1"/>
  <c r="I1999" i="1"/>
  <c r="I2000" i="1" a="1"/>
  <c r="I2000" i="1" s="1"/>
  <c r="I2001" i="1" a="1"/>
  <c r="I2001" i="1" s="1"/>
  <c r="I2002" i="1" a="1"/>
  <c r="I2002" i="1" s="1"/>
  <c r="I2003" i="1" a="1"/>
  <c r="I2003" i="1" s="1"/>
  <c r="I2004" i="1" a="1"/>
  <c r="I2004" i="1" s="1"/>
  <c r="I2005" i="1" a="1"/>
  <c r="I2005" i="1" s="1"/>
  <c r="I2006" i="1" a="1"/>
  <c r="I2006" i="1" s="1"/>
  <c r="I2007" i="1" a="1"/>
  <c r="I2007" i="1"/>
  <c r="I2008" i="1" a="1"/>
  <c r="I2008" i="1" s="1"/>
  <c r="I2009" i="1" a="1"/>
  <c r="I2009" i="1" s="1"/>
  <c r="I2010" i="1" a="1"/>
  <c r="I2010" i="1" s="1"/>
  <c r="I2011" i="1" a="1"/>
  <c r="I2011" i="1" s="1"/>
  <c r="I2012" i="1" a="1"/>
  <c r="I2012" i="1" s="1"/>
  <c r="I2013" i="1" a="1"/>
  <c r="I2013" i="1" s="1"/>
  <c r="I2014" i="1" a="1"/>
  <c r="I2014" i="1" s="1"/>
  <c r="I2015" i="1" a="1"/>
  <c r="I2015" i="1"/>
  <c r="I2016" i="1" a="1"/>
  <c r="I2016" i="1" s="1"/>
  <c r="I2017" i="1" a="1"/>
  <c r="I2017" i="1" s="1"/>
  <c r="I2018" i="1" a="1"/>
  <c r="I2018" i="1" s="1"/>
  <c r="I2019" i="1" a="1"/>
  <c r="I2019" i="1" s="1"/>
  <c r="I2020" i="1" a="1"/>
  <c r="I2020" i="1" s="1"/>
  <c r="I2021" i="1" a="1"/>
  <c r="I2021" i="1" s="1"/>
  <c r="I2022" i="1" a="1"/>
  <c r="I2022" i="1" s="1"/>
  <c r="I2023" i="1" a="1"/>
  <c r="I2023" i="1"/>
  <c r="I2024" i="1" a="1"/>
  <c r="I2024" i="1" s="1"/>
  <c r="I2025" i="1" a="1"/>
  <c r="I2025" i="1" s="1"/>
  <c r="I2026" i="1" a="1"/>
  <c r="I2026" i="1" s="1"/>
  <c r="I2027" i="1" a="1"/>
  <c r="I2027" i="1" s="1"/>
  <c r="I2028" i="1" a="1"/>
  <c r="I2028" i="1" s="1"/>
  <c r="I2029" i="1" a="1"/>
  <c r="I2029" i="1" s="1"/>
  <c r="I2030" i="1" a="1"/>
  <c r="I2030" i="1" s="1"/>
  <c r="I2031" i="1" a="1"/>
  <c r="I2031" i="1"/>
  <c r="I2032" i="1" a="1"/>
  <c r="I2032" i="1" s="1"/>
  <c r="I2033" i="1" a="1"/>
  <c r="I2033" i="1" s="1"/>
  <c r="I2034" i="1" a="1"/>
  <c r="I2034" i="1" s="1"/>
  <c r="I2035" i="1" a="1"/>
  <c r="I2035" i="1" s="1"/>
  <c r="I2036" i="1" a="1"/>
  <c r="I2036" i="1" s="1"/>
  <c r="I2037" i="1" a="1"/>
  <c r="I2037" i="1" s="1"/>
  <c r="I2038" i="1" a="1"/>
  <c r="I2038" i="1" s="1"/>
  <c r="I2039" i="1" a="1"/>
  <c r="I2039" i="1"/>
  <c r="I2040" i="1" a="1"/>
  <c r="I2040" i="1" s="1"/>
  <c r="I2041" i="1" a="1"/>
  <c r="I2041" i="1" s="1"/>
  <c r="I2042" i="1" a="1"/>
  <c r="I2042" i="1" s="1"/>
  <c r="I2043" i="1" a="1"/>
  <c r="I2043" i="1" s="1"/>
  <c r="I2044" i="1" a="1"/>
  <c r="I2044" i="1" s="1"/>
  <c r="I2045" i="1" a="1"/>
  <c r="I2045" i="1" s="1"/>
  <c r="I2046" i="1" a="1"/>
  <c r="I2046" i="1" s="1"/>
  <c r="I2047" i="1" a="1"/>
  <c r="I2047" i="1"/>
  <c r="I2048" i="1" a="1"/>
  <c r="I2048" i="1" s="1"/>
  <c r="I2049" i="1" a="1"/>
  <c r="I2049" i="1" s="1"/>
  <c r="I2050" i="1" a="1"/>
  <c r="I2050" i="1" s="1"/>
  <c r="I2051" i="1" a="1"/>
  <c r="I2051" i="1" s="1"/>
  <c r="I2052" i="1" a="1"/>
  <c r="I2052" i="1" s="1"/>
  <c r="I2053" i="1" a="1"/>
  <c r="I2053" i="1" s="1"/>
  <c r="I2054" i="1" a="1"/>
  <c r="I2054" i="1" s="1"/>
  <c r="I2055" i="1" a="1"/>
  <c r="I2055" i="1"/>
  <c r="I2056" i="1" a="1"/>
  <c r="I2056" i="1" s="1"/>
  <c r="I2057" i="1" a="1"/>
  <c r="I2057" i="1" s="1"/>
  <c r="I2058" i="1" a="1"/>
  <c r="I2058" i="1" s="1"/>
  <c r="I2059" i="1" a="1"/>
  <c r="I2059" i="1" s="1"/>
  <c r="I2060" i="1" a="1"/>
  <c r="I2060" i="1" s="1"/>
  <c r="I2061" i="1" a="1"/>
  <c r="I2061" i="1"/>
  <c r="I2062" i="1" a="1"/>
  <c r="I2062" i="1" s="1"/>
  <c r="I2063" i="1" a="1"/>
  <c r="I2063" i="1"/>
  <c r="I2064" i="1" a="1"/>
  <c r="I2064" i="1" s="1"/>
  <c r="I2065" i="1" a="1"/>
  <c r="I2065" i="1" s="1"/>
  <c r="I2066" i="1" a="1"/>
  <c r="I2066" i="1" s="1"/>
  <c r="I2067" i="1" a="1"/>
  <c r="I2067" i="1" s="1"/>
  <c r="I2068" i="1" a="1"/>
  <c r="I2068" i="1" s="1"/>
  <c r="I2069" i="1" a="1"/>
  <c r="I2069" i="1" s="1"/>
  <c r="I2070" i="1" a="1"/>
  <c r="I2070" i="1" s="1"/>
  <c r="I2071" i="1" a="1"/>
  <c r="I2071" i="1"/>
  <c r="I2072" i="1" a="1"/>
  <c r="I2072" i="1" s="1"/>
  <c r="I2073" i="1" a="1"/>
  <c r="I2073" i="1" s="1"/>
  <c r="I2074" i="1" a="1"/>
  <c r="I2074" i="1" s="1"/>
  <c r="I2075" i="1" a="1"/>
  <c r="I2075" i="1" s="1"/>
  <c r="I2076" i="1" a="1"/>
  <c r="I2076" i="1" s="1"/>
  <c r="I2077" i="1" a="1"/>
  <c r="I2077" i="1"/>
  <c r="I2078" i="1" a="1"/>
  <c r="I2078" i="1" s="1"/>
  <c r="I2079" i="1" a="1"/>
  <c r="I2079" i="1"/>
  <c r="I2080" i="1" a="1"/>
  <c r="I2080" i="1" s="1"/>
  <c r="I2081" i="1" a="1"/>
  <c r="I2081" i="1" s="1"/>
  <c r="I2082" i="1" a="1"/>
  <c r="I2082" i="1" s="1"/>
  <c r="I2083" i="1" a="1"/>
  <c r="I2083" i="1" s="1"/>
  <c r="I2084" i="1" a="1"/>
  <c r="I2084" i="1" s="1"/>
  <c r="I2085" i="1" a="1"/>
  <c r="I2085" i="1" s="1"/>
  <c r="I2086" i="1" a="1"/>
  <c r="I2086" i="1" s="1"/>
  <c r="I2087" i="1" a="1"/>
  <c r="I2087" i="1"/>
  <c r="I2088" i="1" a="1"/>
  <c r="I2088" i="1" s="1"/>
  <c r="I2089" i="1" a="1"/>
  <c r="I2089" i="1" s="1"/>
  <c r="I2090" i="1" a="1"/>
  <c r="I2090" i="1" s="1"/>
  <c r="I2091" i="1" a="1"/>
  <c r="I2091" i="1" s="1"/>
  <c r="I2092" i="1" a="1"/>
  <c r="I2092" i="1" s="1"/>
  <c r="I2093" i="1" a="1"/>
  <c r="I2093" i="1"/>
  <c r="I2094" i="1" a="1"/>
  <c r="I2094" i="1" s="1"/>
  <c r="I2095" i="1" a="1"/>
  <c r="I2095" i="1"/>
  <c r="I2096" i="1" a="1"/>
  <c r="I2096" i="1" s="1"/>
  <c r="I2097" i="1" a="1"/>
  <c r="I2097" i="1" s="1"/>
  <c r="I2098" i="1" a="1"/>
  <c r="I2098" i="1" s="1"/>
  <c r="I2099" i="1" a="1"/>
  <c r="I2099" i="1" s="1"/>
  <c r="I2100" i="1" a="1"/>
  <c r="I2100" i="1" s="1"/>
  <c r="I2101" i="1" a="1"/>
  <c r="I2101" i="1" s="1"/>
  <c r="I2102" i="1" a="1"/>
  <c r="I2102" i="1" s="1"/>
  <c r="I2103" i="1" a="1"/>
  <c r="I2103" i="1"/>
  <c r="I2104" i="1" a="1"/>
  <c r="I2104" i="1" s="1"/>
  <c r="I2105" i="1" a="1"/>
  <c r="I2105" i="1" s="1"/>
  <c r="I2106" i="1" a="1"/>
  <c r="I2106" i="1" s="1"/>
  <c r="I2107" i="1" a="1"/>
  <c r="I2107" i="1" s="1"/>
  <c r="I2108" i="1" a="1"/>
  <c r="I2108" i="1" s="1"/>
  <c r="I2109" i="1" a="1"/>
  <c r="I2109" i="1"/>
  <c r="I2110" i="1" a="1"/>
  <c r="I2110" i="1" s="1"/>
  <c r="I2111" i="1" a="1"/>
  <c r="I2111" i="1"/>
  <c r="I2112" i="1" a="1"/>
  <c r="I2112" i="1" s="1"/>
  <c r="I2113" i="1" a="1"/>
  <c r="I2113" i="1" s="1"/>
  <c r="I2114" i="1" a="1"/>
  <c r="I2114" i="1" s="1"/>
  <c r="I2115" i="1" a="1"/>
  <c r="I2115" i="1" s="1"/>
  <c r="I2116" i="1" a="1"/>
  <c r="I2116" i="1" s="1"/>
  <c r="I2117" i="1" a="1"/>
  <c r="I2117" i="1" s="1"/>
  <c r="I2118" i="1" a="1"/>
  <c r="I2118" i="1" s="1"/>
  <c r="I2119" i="1" a="1"/>
  <c r="I2119" i="1"/>
  <c r="I2120" i="1" a="1"/>
  <c r="I2120" i="1" s="1"/>
  <c r="I2121" i="1" a="1"/>
  <c r="I2121" i="1" s="1"/>
  <c r="I2122" i="1" a="1"/>
  <c r="I2122" i="1" s="1"/>
  <c r="I2123" i="1" a="1"/>
  <c r="I2123" i="1" s="1"/>
  <c r="I2124" i="1" a="1"/>
  <c r="I2124" i="1" s="1"/>
  <c r="I2125" i="1" a="1"/>
  <c r="I2125" i="1"/>
  <c r="I2126" i="1" a="1"/>
  <c r="I2126" i="1" s="1"/>
  <c r="I2127" i="1" a="1"/>
  <c r="I2127" i="1"/>
  <c r="I2128" i="1" a="1"/>
  <c r="I2128" i="1" s="1"/>
  <c r="I2129" i="1" a="1"/>
  <c r="I2129" i="1" s="1"/>
  <c r="I2130" i="1" a="1"/>
  <c r="I2130" i="1" s="1"/>
  <c r="I2131" i="1" a="1"/>
  <c r="I2131" i="1" s="1"/>
  <c r="I2132" i="1" a="1"/>
  <c r="I2132" i="1" s="1"/>
  <c r="I2133" i="1" a="1"/>
  <c r="I2133" i="1" s="1"/>
  <c r="I2134" i="1" a="1"/>
  <c r="I2134" i="1" s="1"/>
  <c r="I2135" i="1" a="1"/>
  <c r="I2135" i="1"/>
  <c r="I2136" i="1" a="1"/>
  <c r="I2136" i="1" s="1"/>
  <c r="I2137" i="1" a="1"/>
  <c r="I2137" i="1" s="1"/>
  <c r="I2138" i="1" a="1"/>
  <c r="I2138" i="1" s="1"/>
  <c r="I2139" i="1" a="1"/>
  <c r="I2139" i="1" s="1"/>
  <c r="I2140" i="1" a="1"/>
  <c r="I2140" i="1" s="1"/>
  <c r="I2141" i="1" a="1"/>
  <c r="I2141" i="1"/>
  <c r="I2142" i="1" a="1"/>
  <c r="I2142" i="1" s="1"/>
  <c r="I2143" i="1" a="1"/>
  <c r="I2143" i="1"/>
  <c r="I2144" i="1" a="1"/>
  <c r="I2144" i="1" s="1"/>
  <c r="I2145" i="1" a="1"/>
  <c r="I2145" i="1" s="1"/>
  <c r="I2146" i="1" a="1"/>
  <c r="I2146" i="1" s="1"/>
  <c r="I2147" i="1" a="1"/>
  <c r="I2147" i="1" s="1"/>
  <c r="I2148" i="1" a="1"/>
  <c r="I2148" i="1" s="1"/>
  <c r="I2149" i="1" a="1"/>
  <c r="I2149" i="1" s="1"/>
  <c r="I2150" i="1" a="1"/>
  <c r="I2150" i="1" s="1"/>
  <c r="I2151" i="1" a="1"/>
  <c r="I2151" i="1"/>
  <c r="I2152" i="1" a="1"/>
  <c r="I2152" i="1" s="1"/>
  <c r="I2153" i="1" a="1"/>
  <c r="I2153" i="1" s="1"/>
  <c r="I2154" i="1" a="1"/>
  <c r="I2154" i="1" s="1"/>
  <c r="I2155" i="1" a="1"/>
  <c r="I2155" i="1" s="1"/>
  <c r="I2156" i="1" a="1"/>
  <c r="I2156" i="1" s="1"/>
  <c r="I2157" i="1" a="1"/>
  <c r="I2157" i="1"/>
  <c r="I2158" i="1" a="1"/>
  <c r="I2158" i="1" s="1"/>
  <c r="I2159" i="1" a="1"/>
  <c r="I2159" i="1"/>
  <c r="I2160" i="1" a="1"/>
  <c r="I2160" i="1" s="1"/>
  <c r="I2161" i="1" a="1"/>
  <c r="I2161" i="1" s="1"/>
  <c r="I2162" i="1" a="1"/>
  <c r="I2162" i="1" s="1"/>
  <c r="I2163" i="1" a="1"/>
  <c r="I2163" i="1" s="1"/>
  <c r="I2164" i="1" a="1"/>
  <c r="I2164" i="1" s="1"/>
  <c r="I2165" i="1" a="1"/>
  <c r="I2165" i="1" s="1"/>
  <c r="I2166" i="1" a="1"/>
  <c r="I2166" i="1" s="1"/>
  <c r="I2167" i="1" a="1"/>
  <c r="I2167" i="1"/>
  <c r="I2168" i="1" a="1"/>
  <c r="I2168" i="1" s="1"/>
  <c r="I2169" i="1" a="1"/>
  <c r="I2169" i="1" s="1"/>
  <c r="I2170" i="1" a="1"/>
  <c r="I2170" i="1" s="1"/>
  <c r="I2171" i="1" a="1"/>
  <c r="I2171" i="1" s="1"/>
  <c r="I2172" i="1" a="1"/>
  <c r="I2172" i="1" s="1"/>
  <c r="I2173" i="1" a="1"/>
  <c r="I2173" i="1"/>
  <c r="I2174" i="1" a="1"/>
  <c r="I2174" i="1" s="1"/>
  <c r="I2175" i="1" a="1"/>
  <c r="I2175" i="1"/>
  <c r="I2176" i="1" a="1"/>
  <c r="I2176" i="1" s="1"/>
  <c r="I2177" i="1" a="1"/>
  <c r="I2177" i="1" s="1"/>
  <c r="I2178" i="1" a="1"/>
  <c r="I2178" i="1" s="1"/>
  <c r="I2179" i="1" a="1"/>
  <c r="I2179" i="1" s="1"/>
  <c r="I2180" i="1" a="1"/>
  <c r="I2180" i="1" s="1"/>
  <c r="I2181" i="1" a="1"/>
  <c r="I2181" i="1" s="1"/>
  <c r="I2182" i="1" a="1"/>
  <c r="I2182" i="1" s="1"/>
  <c r="I2183" i="1" a="1"/>
  <c r="I2183" i="1"/>
  <c r="I2184" i="1" a="1"/>
  <c r="I2184" i="1" s="1"/>
  <c r="I2185" i="1" a="1"/>
  <c r="I2185" i="1" s="1"/>
  <c r="I2186" i="1" a="1"/>
  <c r="I2186" i="1" s="1"/>
  <c r="I2187" i="1" a="1"/>
  <c r="I2187" i="1" s="1"/>
  <c r="I2188" i="1" a="1"/>
  <c r="I2188" i="1" s="1"/>
  <c r="I2189" i="1" a="1"/>
  <c r="I2189" i="1"/>
  <c r="I2190" i="1" a="1"/>
  <c r="I2190" i="1" s="1"/>
  <c r="I2191" i="1" a="1"/>
  <c r="I2191" i="1" s="1"/>
  <c r="I2192" i="1" a="1"/>
  <c r="I2192" i="1" s="1"/>
  <c r="I2193" i="1" a="1"/>
  <c r="I2193" i="1" s="1"/>
  <c r="I2194" i="1" a="1"/>
  <c r="I2194" i="1" s="1"/>
  <c r="I2195" i="1" a="1"/>
  <c r="I2195" i="1"/>
  <c r="I2196" i="1" a="1"/>
  <c r="I2196" i="1" s="1"/>
  <c r="I2197" i="1" a="1"/>
  <c r="I2197" i="1"/>
  <c r="I2198" i="1" a="1"/>
  <c r="I2198" i="1" s="1"/>
  <c r="I2199" i="1" a="1"/>
  <c r="I2199" i="1" s="1"/>
  <c r="I2200" i="1" a="1"/>
  <c r="I2200" i="1" s="1"/>
  <c r="I2201" i="1" a="1"/>
  <c r="I2201" i="1" s="1"/>
  <c r="I2202" i="1" a="1"/>
  <c r="I2202" i="1" s="1"/>
  <c r="I2203" i="1" a="1"/>
  <c r="I2203" i="1"/>
  <c r="I2204" i="1" a="1"/>
  <c r="I2204" i="1" s="1"/>
  <c r="I2205" i="1" a="1"/>
  <c r="I2205" i="1" s="1"/>
  <c r="I2206" i="1" a="1"/>
  <c r="I2206" i="1" s="1"/>
  <c r="I2207" i="1" a="1"/>
  <c r="I2207" i="1" s="1"/>
  <c r="I2208" i="1" a="1"/>
  <c r="I2208" i="1" s="1"/>
  <c r="I2209" i="1" a="1"/>
  <c r="I2209" i="1" s="1"/>
  <c r="I2210" i="1" a="1"/>
  <c r="I2210" i="1" s="1"/>
  <c r="I2211" i="1" a="1"/>
  <c r="I2211" i="1"/>
  <c r="I2212" i="1" a="1"/>
  <c r="I2212" i="1" s="1"/>
  <c r="I2213" i="1" a="1"/>
  <c r="I2213" i="1" s="1"/>
  <c r="I2214" i="1" a="1"/>
  <c r="I2214" i="1" s="1"/>
  <c r="I2215" i="1" a="1"/>
  <c r="I2215" i="1" s="1"/>
  <c r="I2216" i="1" a="1"/>
  <c r="I2216" i="1" s="1"/>
  <c r="I2217" i="1" a="1"/>
  <c r="I2217" i="1" s="1"/>
  <c r="I2218" i="1" a="1"/>
  <c r="I2218" i="1" s="1"/>
  <c r="I2219" i="1" a="1"/>
  <c r="I2219" i="1"/>
  <c r="I2220" i="1" a="1"/>
  <c r="I2220" i="1" s="1"/>
  <c r="I2221" i="1" a="1"/>
  <c r="I2221" i="1" s="1"/>
  <c r="I2222" i="1" a="1"/>
  <c r="I2222" i="1" s="1"/>
  <c r="I2223" i="1" a="1"/>
  <c r="I2223" i="1" s="1"/>
  <c r="I2224" i="1" a="1"/>
  <c r="I2224" i="1" s="1"/>
  <c r="I2225" i="1" a="1"/>
  <c r="I2225" i="1" s="1"/>
  <c r="I2226" i="1" a="1"/>
  <c r="I2226" i="1" s="1"/>
  <c r="I2227" i="1" a="1"/>
  <c r="I2227" i="1"/>
  <c r="I2228" i="1" a="1"/>
  <c r="I2228" i="1" s="1"/>
  <c r="I2229" i="1" a="1"/>
  <c r="I2229" i="1" s="1"/>
  <c r="I2230" i="1" a="1"/>
  <c r="I2230" i="1" s="1"/>
  <c r="I2231" i="1" a="1"/>
  <c r="I2231" i="1"/>
  <c r="I2232" i="1" a="1"/>
  <c r="I2232" i="1" s="1"/>
  <c r="I2233" i="1" a="1"/>
  <c r="I2233" i="1" s="1"/>
  <c r="I2234" i="1" a="1"/>
  <c r="I2234" i="1" s="1"/>
  <c r="I2235" i="1" a="1"/>
  <c r="I2235" i="1"/>
  <c r="I2236" i="1" a="1"/>
  <c r="I2236" i="1" s="1"/>
  <c r="I2237" i="1" a="1"/>
  <c r="I2237" i="1" s="1"/>
  <c r="I2238" i="1" a="1"/>
  <c r="I2238" i="1" s="1"/>
  <c r="I2239" i="1" a="1"/>
  <c r="I2239" i="1"/>
  <c r="I2240" i="1" a="1"/>
  <c r="I2240" i="1" s="1"/>
  <c r="I2241" i="1" a="1"/>
  <c r="I2241" i="1" s="1"/>
  <c r="I2242" i="1" a="1"/>
  <c r="I2242" i="1" s="1"/>
  <c r="I2243" i="1" a="1"/>
  <c r="I2243" i="1"/>
  <c r="I2244" i="1" a="1"/>
  <c r="I2244" i="1" s="1"/>
  <c r="I2245" i="1" a="1"/>
  <c r="I2245" i="1" s="1"/>
  <c r="I2246" i="1" a="1"/>
  <c r="I2246" i="1" s="1"/>
  <c r="I2247" i="1" a="1"/>
  <c r="I2247" i="1"/>
  <c r="I2248" i="1" a="1"/>
  <c r="I2248" i="1" s="1"/>
  <c r="I2249" i="1" a="1"/>
  <c r="I2249" i="1" s="1"/>
  <c r="I2250" i="1" a="1"/>
  <c r="I2250" i="1" s="1"/>
  <c r="I2251" i="1" a="1"/>
  <c r="I2251" i="1"/>
  <c r="I2252" i="1" a="1"/>
  <c r="I2252" i="1" s="1"/>
  <c r="I2253" i="1" a="1"/>
  <c r="I2253" i="1" s="1"/>
  <c r="I2254" i="1" a="1"/>
  <c r="I2254" i="1" s="1"/>
  <c r="I2255" i="1" a="1"/>
  <c r="I2255" i="1"/>
  <c r="I2256" i="1" a="1"/>
  <c r="I2256" i="1" s="1"/>
  <c r="I2257" i="1" a="1"/>
  <c r="I2257" i="1" s="1"/>
  <c r="I2258" i="1" a="1"/>
  <c r="I2258" i="1" s="1"/>
  <c r="I2259" i="1" a="1"/>
  <c r="I2259" i="1"/>
  <c r="I2260" i="1" a="1"/>
  <c r="I2260" i="1" s="1"/>
  <c r="I2261" i="1" a="1"/>
  <c r="I2261" i="1" s="1"/>
  <c r="I2262" i="1" a="1"/>
  <c r="I2262" i="1" s="1"/>
  <c r="I2263" i="1" a="1"/>
  <c r="I2263" i="1"/>
  <c r="I2264" i="1" a="1"/>
  <c r="I2264" i="1" s="1"/>
  <c r="I2265" i="1" a="1"/>
  <c r="I2265" i="1" s="1"/>
  <c r="I2266" i="1" a="1"/>
  <c r="I2266" i="1" s="1"/>
  <c r="I2267" i="1" a="1"/>
  <c r="I2267" i="1"/>
  <c r="I2268" i="1" a="1"/>
  <c r="I2268" i="1" s="1"/>
  <c r="I2269" i="1" a="1"/>
  <c r="I2269" i="1" s="1"/>
  <c r="I2270" i="1" a="1"/>
  <c r="I2270" i="1" s="1"/>
  <c r="I2271" i="1" a="1"/>
  <c r="I2271" i="1"/>
  <c r="I2272" i="1" a="1"/>
  <c r="I2272" i="1" s="1"/>
  <c r="I2273" i="1" a="1"/>
  <c r="I2273" i="1" s="1"/>
  <c r="I2274" i="1" a="1"/>
  <c r="I2274" i="1" s="1"/>
  <c r="I2275" i="1" a="1"/>
  <c r="I2275" i="1"/>
  <c r="I2276" i="1" a="1"/>
  <c r="I2276" i="1" s="1"/>
  <c r="I2277" i="1" a="1"/>
  <c r="I2277" i="1" s="1"/>
  <c r="I2278" i="1" a="1"/>
  <c r="I2278" i="1" s="1"/>
  <c r="I2279" i="1" a="1"/>
  <c r="I2279" i="1"/>
  <c r="I2280" i="1" a="1"/>
  <c r="I2280" i="1" s="1"/>
  <c r="I2281" i="1" a="1"/>
  <c r="I2281" i="1" s="1"/>
  <c r="I2282" i="1" a="1"/>
  <c r="I2282" i="1" s="1"/>
  <c r="I2283" i="1" a="1"/>
  <c r="I2283" i="1"/>
  <c r="I2284" i="1" a="1"/>
  <c r="I2284" i="1" s="1"/>
  <c r="I2285" i="1" a="1"/>
  <c r="I2285" i="1" s="1"/>
  <c r="I2286" i="1" a="1"/>
  <c r="I2286" i="1" s="1"/>
  <c r="I2287" i="1" a="1"/>
  <c r="I2287" i="1"/>
  <c r="I2288" i="1" a="1"/>
  <c r="I2288" i="1" s="1"/>
  <c r="I2289" i="1" a="1"/>
  <c r="I2289" i="1" s="1"/>
  <c r="I2290" i="1" a="1"/>
  <c r="I2290" i="1" s="1"/>
  <c r="I2291" i="1" a="1"/>
  <c r="I2291" i="1"/>
  <c r="I2292" i="1" a="1"/>
  <c r="I2292" i="1" s="1"/>
  <c r="I2293" i="1" a="1"/>
  <c r="I2293" i="1" s="1"/>
  <c r="I2294" i="1" a="1"/>
  <c r="I2294" i="1" s="1"/>
  <c r="I2295" i="1" a="1"/>
  <c r="I2295" i="1"/>
  <c r="I2296" i="1" a="1"/>
  <c r="I2296" i="1" s="1"/>
  <c r="I2297" i="1" a="1"/>
  <c r="I2297" i="1" s="1"/>
  <c r="I2298" i="1" a="1"/>
  <c r="I2298" i="1" s="1"/>
  <c r="I2299" i="1" a="1"/>
  <c r="I2299" i="1"/>
  <c r="I2300" i="1" a="1"/>
  <c r="I2300" i="1" s="1"/>
  <c r="I2301" i="1" a="1"/>
  <c r="I2301" i="1" s="1"/>
  <c r="I2302" i="1" a="1"/>
  <c r="I2302" i="1" s="1"/>
  <c r="I2303" i="1" a="1"/>
  <c r="I2303" i="1"/>
  <c r="I2304" i="1" a="1"/>
  <c r="I2304" i="1" s="1"/>
  <c r="I2305" i="1" a="1"/>
  <c r="I2305" i="1" s="1"/>
  <c r="I2306" i="1" a="1"/>
  <c r="I2306" i="1" s="1"/>
  <c r="I2307" i="1" a="1"/>
  <c r="I2307" i="1"/>
  <c r="I2308" i="1" a="1"/>
  <c r="I2308" i="1" s="1"/>
  <c r="I2309" i="1" a="1"/>
  <c r="I2309" i="1" s="1"/>
  <c r="I2310" i="1" a="1"/>
  <c r="I2310" i="1" s="1"/>
  <c r="I2311" i="1" a="1"/>
  <c r="I2311" i="1"/>
  <c r="I2312" i="1" a="1"/>
  <c r="I2312" i="1" s="1"/>
  <c r="I2313" i="1" a="1"/>
  <c r="I2313" i="1" s="1"/>
  <c r="I2314" i="1" a="1"/>
  <c r="I2314" i="1" s="1"/>
  <c r="I2315" i="1" a="1"/>
  <c r="I2315" i="1"/>
  <c r="I2316" i="1" a="1"/>
  <c r="I2316" i="1" s="1"/>
  <c r="I2317" i="1" a="1"/>
  <c r="I2317" i="1" s="1"/>
  <c r="I2318" i="1" a="1"/>
  <c r="I2318" i="1" s="1"/>
  <c r="I2319" i="1" a="1"/>
  <c r="I2319" i="1"/>
  <c r="I2320" i="1" a="1"/>
  <c r="I2320" i="1" s="1"/>
  <c r="I2321" i="1" a="1"/>
  <c r="I2321" i="1" s="1"/>
  <c r="I2322" i="1" a="1"/>
  <c r="I2322" i="1" s="1"/>
  <c r="I2323" i="1" a="1"/>
  <c r="I2323" i="1"/>
  <c r="I2324" i="1" a="1"/>
  <c r="I2324" i="1" s="1"/>
  <c r="I2325" i="1" a="1"/>
  <c r="I2325" i="1" s="1"/>
  <c r="I2326" i="1" a="1"/>
  <c r="I2326" i="1" s="1"/>
  <c r="I2327" i="1" a="1"/>
  <c r="I2327" i="1"/>
  <c r="I2328" i="1" a="1"/>
  <c r="I2328" i="1" s="1"/>
  <c r="I2329" i="1" a="1"/>
  <c r="I2329" i="1" s="1"/>
  <c r="I2330" i="1" a="1"/>
  <c r="I2330" i="1" s="1"/>
  <c r="I2331" i="1" a="1"/>
  <c r="I2331" i="1"/>
  <c r="I2332" i="1" a="1"/>
  <c r="I2332" i="1" s="1"/>
  <c r="I2333" i="1" a="1"/>
  <c r="I2333" i="1" s="1"/>
  <c r="I2334" i="1" a="1"/>
  <c r="I2334" i="1" s="1"/>
  <c r="I2335" i="1" a="1"/>
  <c r="I2335" i="1"/>
  <c r="I2336" i="1" a="1"/>
  <c r="I2336" i="1" s="1"/>
  <c r="I2337" i="1" a="1"/>
  <c r="I2337" i="1" s="1"/>
  <c r="I2338" i="1" a="1"/>
  <c r="I2338" i="1" s="1"/>
  <c r="I2339" i="1" a="1"/>
  <c r="I2339" i="1"/>
  <c r="I2340" i="1" a="1"/>
  <c r="I2340" i="1" s="1"/>
  <c r="I2341" i="1" a="1"/>
  <c r="I2341" i="1" s="1"/>
  <c r="I2342" i="1" a="1"/>
  <c r="I2342" i="1" s="1"/>
  <c r="I2343" i="1" a="1"/>
  <c r="I2343" i="1"/>
  <c r="I2344" i="1" a="1"/>
  <c r="I2344" i="1" s="1"/>
  <c r="I2345" i="1" a="1"/>
  <c r="I2345" i="1" s="1"/>
  <c r="I2346" i="1" a="1"/>
  <c r="I2346" i="1" s="1"/>
  <c r="I2347" i="1" a="1"/>
  <c r="I2347" i="1"/>
  <c r="I2348" i="1" a="1"/>
  <c r="I2348" i="1" s="1"/>
  <c r="I2349" i="1" a="1"/>
  <c r="I2349" i="1" s="1"/>
  <c r="I2350" i="1" a="1"/>
  <c r="I2350" i="1" s="1"/>
  <c r="I2351" i="1" a="1"/>
  <c r="I2351" i="1"/>
  <c r="I2352" i="1" a="1"/>
  <c r="I2352" i="1" s="1"/>
  <c r="I2353" i="1" a="1"/>
  <c r="I2353" i="1" s="1"/>
  <c r="I2354" i="1" a="1"/>
  <c r="I2354" i="1" s="1"/>
  <c r="I2355" i="1" a="1"/>
  <c r="I2355" i="1"/>
  <c r="I2356" i="1" a="1"/>
  <c r="I2356" i="1" s="1"/>
  <c r="I2357" i="1" a="1"/>
  <c r="I2357" i="1" s="1"/>
  <c r="I2358" i="1" a="1"/>
  <c r="I2358" i="1" s="1"/>
  <c r="I2359" i="1" a="1"/>
  <c r="I2359" i="1"/>
  <c r="I2360" i="1" a="1"/>
  <c r="I2360" i="1" s="1"/>
  <c r="I2361" i="1" a="1"/>
  <c r="I2361" i="1" s="1"/>
  <c r="I2362" i="1" a="1"/>
  <c r="I2362" i="1" s="1"/>
  <c r="I2363" i="1" a="1"/>
  <c r="I2363" i="1"/>
  <c r="I2364" i="1" a="1"/>
  <c r="I2364" i="1" s="1"/>
  <c r="I2365" i="1" a="1"/>
  <c r="I2365" i="1" s="1"/>
  <c r="I2366" i="1" a="1"/>
  <c r="I2366" i="1" s="1"/>
  <c r="I2367" i="1" a="1"/>
  <c r="I2367" i="1"/>
  <c r="I2368" i="1" a="1"/>
  <c r="I2368" i="1" s="1"/>
  <c r="I2369" i="1" a="1"/>
  <c r="I2369" i="1" s="1"/>
  <c r="I2370" i="1" a="1"/>
  <c r="I2370" i="1" s="1"/>
  <c r="I2371" i="1" a="1"/>
  <c r="I2371" i="1"/>
  <c r="I2372" i="1" a="1"/>
  <c r="I2372" i="1" s="1"/>
  <c r="I2373" i="1" a="1"/>
  <c r="I2373" i="1" s="1"/>
  <c r="I2374" i="1" a="1"/>
  <c r="I2374" i="1" s="1"/>
  <c r="I2375" i="1" a="1"/>
  <c r="I2375" i="1"/>
  <c r="I2376" i="1" a="1"/>
  <c r="I2376" i="1" s="1"/>
  <c r="I2377" i="1" a="1"/>
  <c r="I2377" i="1" s="1"/>
  <c r="I2378" i="1" a="1"/>
  <c r="I2378" i="1" s="1"/>
  <c r="I2379" i="1" a="1"/>
  <c r="I2379" i="1"/>
  <c r="I2380" i="1" a="1"/>
  <c r="I2380" i="1" s="1"/>
  <c r="I2381" i="1" a="1"/>
  <c r="I2381" i="1" s="1"/>
  <c r="I2382" i="1" a="1"/>
  <c r="I2382" i="1" s="1"/>
  <c r="I2383" i="1" a="1"/>
  <c r="I2383" i="1"/>
  <c r="I2384" i="1" a="1"/>
  <c r="I2384" i="1" s="1"/>
  <c r="I2385" i="1" a="1"/>
  <c r="I2385" i="1" s="1"/>
  <c r="I2386" i="1" a="1"/>
  <c r="I2386" i="1" s="1"/>
  <c r="I2387" i="1" a="1"/>
  <c r="I2387" i="1"/>
  <c r="I2388" i="1" a="1"/>
  <c r="I2388" i="1" s="1"/>
  <c r="I2389" i="1" a="1"/>
  <c r="I2389" i="1" s="1"/>
  <c r="I2390" i="1" a="1"/>
  <c r="I2390" i="1" s="1"/>
  <c r="I2391" i="1" a="1"/>
  <c r="I2391" i="1"/>
  <c r="I2392" i="1" a="1"/>
  <c r="I2392" i="1" s="1"/>
  <c r="I2393" i="1" a="1"/>
  <c r="I2393" i="1" s="1"/>
  <c r="I2394" i="1" a="1"/>
  <c r="I2394" i="1" s="1"/>
  <c r="I2395" i="1" a="1"/>
  <c r="I2395" i="1"/>
  <c r="I2396" i="1" a="1"/>
  <c r="I2396" i="1" s="1"/>
  <c r="I2397" i="1" a="1"/>
  <c r="I2397" i="1" s="1"/>
  <c r="I2398" i="1" a="1"/>
  <c r="I2398" i="1" s="1"/>
  <c r="I2399" i="1" a="1"/>
  <c r="I2399" i="1"/>
  <c r="I2400" i="1" a="1"/>
  <c r="I2400" i="1" s="1"/>
  <c r="I2401" i="1" a="1"/>
  <c r="I2401" i="1" s="1"/>
  <c r="I2402" i="1" a="1"/>
  <c r="I2402" i="1" s="1"/>
  <c r="I2403" i="1" a="1"/>
  <c r="I2403" i="1"/>
  <c r="I2404" i="1" a="1"/>
  <c r="I2404" i="1" s="1"/>
  <c r="I2405" i="1" a="1"/>
  <c r="I2405" i="1" s="1"/>
  <c r="I2406" i="1" a="1"/>
  <c r="I2406" i="1" s="1"/>
  <c r="I2407" i="1" a="1"/>
  <c r="I2407" i="1"/>
  <c r="I2408" i="1" a="1"/>
  <c r="I2408" i="1" s="1"/>
  <c r="I2409" i="1" a="1"/>
  <c r="I2409" i="1" s="1"/>
  <c r="I2410" i="1" a="1"/>
  <c r="I2410" i="1" s="1"/>
  <c r="I2411" i="1" a="1"/>
  <c r="I2411" i="1"/>
  <c r="I2412" i="1" a="1"/>
  <c r="I2412" i="1" s="1"/>
  <c r="I2413" i="1" a="1"/>
  <c r="I2413" i="1" s="1"/>
  <c r="I2414" i="1" a="1"/>
  <c r="I2414" i="1" s="1"/>
  <c r="I2415" i="1" a="1"/>
  <c r="I2415" i="1"/>
  <c r="I2416" i="1" a="1"/>
  <c r="I2416" i="1" s="1"/>
  <c r="I2417" i="1" a="1"/>
  <c r="I2417" i="1" s="1"/>
  <c r="I2418" i="1" a="1"/>
  <c r="I2418" i="1" s="1"/>
  <c r="I2419" i="1" a="1"/>
  <c r="I2419" i="1"/>
  <c r="I2420" i="1" a="1"/>
  <c r="I2420" i="1" s="1"/>
  <c r="I2421" i="1" a="1"/>
  <c r="I2421" i="1" s="1"/>
  <c r="I2422" i="1" a="1"/>
  <c r="I2422" i="1" s="1"/>
  <c r="I2423" i="1" a="1"/>
  <c r="I2423" i="1"/>
  <c r="I2424" i="1" a="1"/>
  <c r="I2424" i="1" s="1"/>
  <c r="I2425" i="1" a="1"/>
  <c r="I2425" i="1" s="1"/>
  <c r="I2426" i="1" a="1"/>
  <c r="I2426" i="1" s="1"/>
  <c r="I2427" i="1" a="1"/>
  <c r="I2427" i="1"/>
  <c r="I2428" i="1" a="1"/>
  <c r="I2428" i="1" s="1"/>
  <c r="I2429" i="1" a="1"/>
  <c r="I2429" i="1" s="1"/>
  <c r="I2430" i="1" a="1"/>
  <c r="I2430" i="1" s="1"/>
  <c r="I2431" i="1" a="1"/>
  <c r="I2431" i="1"/>
  <c r="I2432" i="1" a="1"/>
  <c r="I2432" i="1" s="1"/>
  <c r="I2433" i="1" a="1"/>
  <c r="I2433" i="1" s="1"/>
  <c r="I2434" i="1" a="1"/>
  <c r="I2434" i="1" s="1"/>
  <c r="I2435" i="1" a="1"/>
  <c r="I2435" i="1"/>
  <c r="I2436" i="1" a="1"/>
  <c r="I2436" i="1" s="1"/>
  <c r="I2437" i="1" a="1"/>
  <c r="I2437" i="1" s="1"/>
  <c r="I2438" i="1" a="1"/>
  <c r="I2438" i="1" s="1"/>
  <c r="I2439" i="1" a="1"/>
  <c r="I2439" i="1"/>
  <c r="I2440" i="1" a="1"/>
  <c r="I2440" i="1" s="1"/>
  <c r="I2441" i="1" a="1"/>
  <c r="I2441" i="1" s="1"/>
  <c r="I2442" i="1" a="1"/>
  <c r="I2442" i="1" s="1"/>
  <c r="I2443" i="1" a="1"/>
  <c r="I2443" i="1"/>
  <c r="I2444" i="1" a="1"/>
  <c r="I2444" i="1" s="1"/>
  <c r="I2445" i="1" a="1"/>
  <c r="I2445" i="1" s="1"/>
  <c r="I2446" i="1" a="1"/>
  <c r="I2446" i="1" s="1"/>
  <c r="I2447" i="1" a="1"/>
  <c r="I2447" i="1"/>
  <c r="I2448" i="1" a="1"/>
  <c r="I2448" i="1" s="1"/>
  <c r="I2449" i="1" a="1"/>
  <c r="I2449" i="1" s="1"/>
  <c r="I2450" i="1" a="1"/>
  <c r="I2450" i="1" s="1"/>
  <c r="I2451" i="1" a="1"/>
  <c r="I2451" i="1"/>
  <c r="I2452" i="1" a="1"/>
  <c r="I2452" i="1" s="1"/>
  <c r="I2453" i="1" a="1"/>
  <c r="I2453" i="1" s="1"/>
  <c r="I2454" i="1" a="1"/>
  <c r="I2454" i="1" s="1"/>
  <c r="I2455" i="1" a="1"/>
  <c r="I2455" i="1"/>
  <c r="I2456" i="1" a="1"/>
  <c r="I2456" i="1" s="1"/>
  <c r="I2457" i="1" a="1"/>
  <c r="I2457" i="1" s="1"/>
  <c r="I2458" i="1" a="1"/>
  <c r="I2458" i="1" s="1"/>
  <c r="I2459" i="1" a="1"/>
  <c r="I2459" i="1"/>
  <c r="I2460" i="1" a="1"/>
  <c r="I2460" i="1" s="1"/>
  <c r="I2461" i="1" a="1"/>
  <c r="I2461" i="1" s="1"/>
  <c r="I2462" i="1" a="1"/>
  <c r="I2462" i="1" s="1"/>
  <c r="I2463" i="1" a="1"/>
  <c r="I2463" i="1"/>
  <c r="I2464" i="1" a="1"/>
  <c r="I2464" i="1" s="1"/>
  <c r="I2465" i="1" a="1"/>
  <c r="I2465" i="1" s="1"/>
  <c r="I2466" i="1" a="1"/>
  <c r="I2466" i="1" s="1"/>
  <c r="I2467" i="1" a="1"/>
  <c r="I2467" i="1"/>
  <c r="I2468" i="1" a="1"/>
  <c r="I2468" i="1" s="1"/>
  <c r="I2469" i="1" a="1"/>
  <c r="I2469" i="1" s="1"/>
  <c r="I2470" i="1" a="1"/>
  <c r="I2470" i="1" s="1"/>
  <c r="I2471" i="1" a="1"/>
  <c r="I2471" i="1"/>
  <c r="I2472" i="1" a="1"/>
  <c r="I2472" i="1" s="1"/>
  <c r="I2473" i="1" a="1"/>
  <c r="I2473" i="1" s="1"/>
  <c r="I2474" i="1" a="1"/>
  <c r="I2474" i="1" s="1"/>
  <c r="I2475" i="1" a="1"/>
  <c r="I2475" i="1"/>
  <c r="I2476" i="1" a="1"/>
  <c r="I2476" i="1" s="1"/>
  <c r="I2477" i="1" a="1"/>
  <c r="I2477" i="1" s="1"/>
  <c r="I2478" i="1" a="1"/>
  <c r="I2478" i="1" s="1"/>
  <c r="I2479" i="1" a="1"/>
  <c r="I2479" i="1"/>
  <c r="I2480" i="1" a="1"/>
  <c r="I2480" i="1" s="1"/>
  <c r="I2481" i="1" a="1"/>
  <c r="I2481" i="1" s="1"/>
  <c r="I2482" i="1" a="1"/>
  <c r="I2482" i="1" s="1"/>
  <c r="I2483" i="1" a="1"/>
  <c r="I2483" i="1"/>
  <c r="I2484" i="1" a="1"/>
  <c r="I2484" i="1" s="1"/>
  <c r="I2485" i="1" a="1"/>
  <c r="I2485" i="1" s="1"/>
  <c r="I2486" i="1" a="1"/>
  <c r="I2486" i="1" s="1"/>
  <c r="I2487" i="1" a="1"/>
  <c r="I2487" i="1"/>
  <c r="I2488" i="1" a="1"/>
  <c r="I2488" i="1" s="1"/>
  <c r="I2489" i="1" a="1"/>
  <c r="I2489" i="1" s="1"/>
  <c r="I2490" i="1" a="1"/>
  <c r="I2490" i="1" s="1"/>
  <c r="I2491" i="1" a="1"/>
  <c r="I2491" i="1"/>
  <c r="I2492" i="1" a="1"/>
  <c r="I2492" i="1" s="1"/>
  <c r="I2493" i="1" a="1"/>
  <c r="I2493" i="1" s="1"/>
  <c r="I2494" i="1" a="1"/>
  <c r="I2494" i="1" s="1"/>
  <c r="I2495" i="1" a="1"/>
  <c r="I2495" i="1"/>
  <c r="I2496" i="1" a="1"/>
  <c r="I2496" i="1" s="1"/>
  <c r="I2497" i="1" a="1"/>
  <c r="I2497" i="1" s="1"/>
  <c r="I2498" i="1" a="1"/>
  <c r="I2498" i="1" s="1"/>
  <c r="I2499" i="1" a="1"/>
  <c r="I2499" i="1"/>
  <c r="I2500" i="1" a="1"/>
  <c r="I2500" i="1" s="1"/>
  <c r="I2501" i="1" a="1"/>
  <c r="I2501" i="1" s="1"/>
  <c r="I2502" i="1" a="1"/>
  <c r="I2502" i="1" s="1"/>
  <c r="I2503" i="1" a="1"/>
  <c r="I2503" i="1"/>
  <c r="I2504" i="1" a="1"/>
  <c r="I2504" i="1" s="1"/>
  <c r="I2505" i="1" a="1"/>
  <c r="I2505" i="1" s="1"/>
  <c r="I2506" i="1" a="1"/>
  <c r="I2506" i="1" s="1"/>
  <c r="I2507" i="1" a="1"/>
  <c r="I2507" i="1"/>
  <c r="I2508" i="1" a="1"/>
  <c r="I2508" i="1" s="1"/>
  <c r="I2509" i="1" a="1"/>
  <c r="I2509" i="1" s="1"/>
  <c r="I2510" i="1" a="1"/>
  <c r="I2510" i="1" s="1"/>
  <c r="I2511" i="1" a="1"/>
  <c r="I2511" i="1"/>
  <c r="I2512" i="1" a="1"/>
  <c r="I2512" i="1" s="1"/>
  <c r="I2513" i="1" a="1"/>
  <c r="I2513" i="1" s="1"/>
  <c r="I2514" i="1" a="1"/>
  <c r="I2514" i="1" s="1"/>
  <c r="I2515" i="1" a="1"/>
  <c r="I2515" i="1"/>
  <c r="I2516" i="1" a="1"/>
  <c r="I2516" i="1" s="1"/>
  <c r="I2517" i="1" a="1"/>
  <c r="I2517" i="1" s="1"/>
  <c r="I2518" i="1" a="1"/>
  <c r="I2518" i="1" s="1"/>
  <c r="I2519" i="1" a="1"/>
  <c r="I2519" i="1"/>
  <c r="I2520" i="1" a="1"/>
  <c r="I2520" i="1" s="1"/>
  <c r="I2521" i="1" a="1"/>
  <c r="I2521" i="1" s="1"/>
  <c r="I2522" i="1" a="1"/>
  <c r="I2522" i="1" s="1"/>
  <c r="I2523" i="1" a="1"/>
  <c r="I2523" i="1"/>
  <c r="I2524" i="1" a="1"/>
  <c r="I2524" i="1" s="1"/>
  <c r="I2525" i="1" a="1"/>
  <c r="I2525" i="1" s="1"/>
  <c r="I2526" i="1" a="1"/>
  <c r="I2526" i="1" s="1"/>
  <c r="I2527" i="1" a="1"/>
  <c r="I2527" i="1"/>
  <c r="I2528" i="1" a="1"/>
  <c r="I2528" i="1" s="1"/>
  <c r="I2529" i="1" a="1"/>
  <c r="I2529" i="1" s="1"/>
  <c r="I2530" i="1" a="1"/>
  <c r="I2530" i="1" s="1"/>
  <c r="I2531" i="1" a="1"/>
  <c r="I2531" i="1"/>
  <c r="I2532" i="1" a="1"/>
  <c r="I2532" i="1" s="1"/>
  <c r="I2533" i="1" a="1"/>
  <c r="I2533" i="1" s="1"/>
  <c r="I2534" i="1" a="1"/>
  <c r="I2534" i="1" s="1"/>
  <c r="I2535" i="1" a="1"/>
  <c r="I2535" i="1"/>
  <c r="I2536" i="1" a="1"/>
  <c r="I2536" i="1" s="1"/>
  <c r="I2537" i="1" a="1"/>
  <c r="I2537" i="1" s="1"/>
  <c r="I2538" i="1" a="1"/>
  <c r="I2538" i="1" s="1"/>
  <c r="I2539" i="1" a="1"/>
  <c r="I2539" i="1"/>
  <c r="I2540" i="1" a="1"/>
  <c r="I2540" i="1" s="1"/>
  <c r="I2541" i="1" a="1"/>
  <c r="I2541" i="1" s="1"/>
  <c r="I2542" i="1" a="1"/>
  <c r="I2542" i="1" s="1"/>
  <c r="I2543" i="1" a="1"/>
  <c r="I2543" i="1"/>
  <c r="I2544" i="1" a="1"/>
  <c r="I2544" i="1" s="1"/>
  <c r="I2545" i="1" a="1"/>
  <c r="I2545" i="1" s="1"/>
  <c r="I2546" i="1" a="1"/>
  <c r="I2546" i="1" s="1"/>
  <c r="I2547" i="1" a="1"/>
  <c r="I2547" i="1"/>
  <c r="I2548" i="1" a="1"/>
  <c r="I2548" i="1" s="1"/>
  <c r="I2549" i="1" a="1"/>
  <c r="I2549" i="1" s="1"/>
  <c r="I2550" i="1" a="1"/>
  <c r="I2550" i="1" s="1"/>
  <c r="I2551" i="1" a="1"/>
  <c r="I2551" i="1"/>
  <c r="I2552" i="1" a="1"/>
  <c r="I2552" i="1" s="1"/>
  <c r="I2553" i="1" a="1"/>
  <c r="I2553" i="1" s="1"/>
  <c r="I2554" i="1" a="1"/>
  <c r="I2554" i="1" s="1"/>
  <c r="I2555" i="1" a="1"/>
  <c r="I2555" i="1"/>
  <c r="I2556" i="1" a="1"/>
  <c r="I2556" i="1" s="1"/>
  <c r="I2557" i="1" a="1"/>
  <c r="I2557" i="1" s="1"/>
  <c r="I2558" i="1" a="1"/>
  <c r="I2558" i="1" s="1"/>
  <c r="I2559" i="1" a="1"/>
  <c r="I2559" i="1"/>
  <c r="I2560" i="1" a="1"/>
  <c r="I2560" i="1" s="1"/>
  <c r="I2561" i="1" a="1"/>
  <c r="I2561" i="1" s="1"/>
  <c r="I2562" i="1" a="1"/>
  <c r="I2562" i="1" s="1"/>
  <c r="I2563" i="1" a="1"/>
  <c r="I2563" i="1"/>
  <c r="I2564" i="1" a="1"/>
  <c r="I2564" i="1" s="1"/>
  <c r="I2565" i="1" a="1"/>
  <c r="I2565" i="1" s="1"/>
  <c r="I2566" i="1" a="1"/>
  <c r="I2566" i="1" s="1"/>
  <c r="I2567" i="1" a="1"/>
  <c r="I2567" i="1"/>
  <c r="I2568" i="1" a="1"/>
  <c r="I2568" i="1" s="1"/>
  <c r="I2569" i="1" a="1"/>
  <c r="I2569" i="1" s="1"/>
  <c r="I2570" i="1" a="1"/>
  <c r="I2570" i="1" s="1"/>
  <c r="I2571" i="1" a="1"/>
  <c r="I2571" i="1"/>
  <c r="I2572" i="1" a="1"/>
  <c r="I2572" i="1" s="1"/>
  <c r="I2573" i="1" a="1"/>
  <c r="I2573" i="1" s="1"/>
  <c r="I2574" i="1" a="1"/>
  <c r="I2574" i="1" s="1"/>
  <c r="I2575" i="1" a="1"/>
  <c r="I2575" i="1"/>
  <c r="I2576" i="1" a="1"/>
  <c r="I2576" i="1" s="1"/>
  <c r="I2577" i="1" a="1"/>
  <c r="I2577" i="1" s="1"/>
  <c r="I2578" i="1" a="1"/>
  <c r="I2578" i="1" s="1"/>
  <c r="I2579" i="1" a="1"/>
  <c r="I2579" i="1"/>
  <c r="I2580" i="1" a="1"/>
  <c r="I2580" i="1" s="1"/>
  <c r="I2581" i="1" a="1"/>
  <c r="I2581" i="1" s="1"/>
  <c r="I2582" i="1" a="1"/>
  <c r="I2582" i="1" s="1"/>
  <c r="I2583" i="1" a="1"/>
  <c r="I2583" i="1"/>
  <c r="I2584" i="1" a="1"/>
  <c r="I2584" i="1" s="1"/>
  <c r="I2585" i="1" a="1"/>
  <c r="I2585" i="1" s="1"/>
  <c r="I2586" i="1" a="1"/>
  <c r="I2586" i="1" s="1"/>
  <c r="I2587" i="1" a="1"/>
  <c r="I2587" i="1"/>
  <c r="I2588" i="1" a="1"/>
  <c r="I2588" i="1" s="1"/>
  <c r="I2589" i="1" a="1"/>
  <c r="I2589" i="1" s="1"/>
  <c r="I2590" i="1" a="1"/>
  <c r="I2590" i="1" s="1"/>
  <c r="I2591" i="1" a="1"/>
  <c r="I2591" i="1"/>
  <c r="I2592" i="1" a="1"/>
  <c r="I2592" i="1" s="1"/>
  <c r="I2593" i="1" a="1"/>
  <c r="I2593" i="1" s="1"/>
  <c r="I2594" i="1" a="1"/>
  <c r="I2594" i="1" s="1"/>
  <c r="I2595" i="1" a="1"/>
  <c r="I2595" i="1"/>
  <c r="I2596" i="1" a="1"/>
  <c r="I2596" i="1" s="1"/>
  <c r="I2597" i="1" a="1"/>
  <c r="I2597" i="1" s="1"/>
  <c r="I2598" i="1" a="1"/>
  <c r="I2598" i="1" s="1"/>
  <c r="I2599" i="1" a="1"/>
  <c r="I2599" i="1"/>
  <c r="I2600" i="1" a="1"/>
  <c r="I2600" i="1" s="1"/>
  <c r="I2601" i="1" a="1"/>
  <c r="I2601" i="1" s="1"/>
  <c r="I2602" i="1" a="1"/>
  <c r="I2602" i="1" s="1"/>
  <c r="I2603" i="1" a="1"/>
  <c r="I2603" i="1"/>
  <c r="I2604" i="1" a="1"/>
  <c r="I2604" i="1" s="1"/>
  <c r="I2605" i="1" a="1"/>
  <c r="I2605" i="1" s="1"/>
  <c r="I2606" i="1" a="1"/>
  <c r="I2606" i="1" s="1"/>
  <c r="I2607" i="1" a="1"/>
  <c r="I2607" i="1"/>
  <c r="I2608" i="1" a="1"/>
  <c r="I2608" i="1" s="1"/>
  <c r="I2609" i="1" a="1"/>
  <c r="I2609" i="1" s="1"/>
  <c r="I2610" i="1" a="1"/>
  <c r="I2610" i="1" s="1"/>
  <c r="I2611" i="1" a="1"/>
  <c r="I2611" i="1"/>
  <c r="I2612" i="1" a="1"/>
  <c r="I2612" i="1" s="1"/>
  <c r="I2613" i="1" a="1"/>
  <c r="I2613" i="1" s="1"/>
  <c r="I2614" i="1" a="1"/>
  <c r="I2614" i="1" s="1"/>
  <c r="I2615" i="1" a="1"/>
  <c r="I2615" i="1"/>
  <c r="I2616" i="1" a="1"/>
  <c r="I2616" i="1" s="1"/>
  <c r="I2617" i="1" a="1"/>
  <c r="I2617" i="1" s="1"/>
  <c r="I2618" i="1" a="1"/>
  <c r="I2618" i="1" s="1"/>
  <c r="I2619" i="1" a="1"/>
  <c r="I2619" i="1"/>
  <c r="I2620" i="1" a="1"/>
  <c r="I2620" i="1" s="1"/>
  <c r="I2621" i="1" a="1"/>
  <c r="I2621" i="1" s="1"/>
  <c r="I2622" i="1" a="1"/>
  <c r="I2622" i="1" s="1"/>
  <c r="I2623" i="1" a="1"/>
  <c r="I2623" i="1"/>
  <c r="I2624" i="1" a="1"/>
  <c r="I2624" i="1" s="1"/>
  <c r="I2625" i="1" a="1"/>
  <c r="I2625" i="1" s="1"/>
  <c r="I2626" i="1" a="1"/>
  <c r="I2626" i="1" s="1"/>
  <c r="I2627" i="1" a="1"/>
  <c r="I2627" i="1"/>
  <c r="I2628" i="1" a="1"/>
  <c r="I2628" i="1" s="1"/>
  <c r="I2629" i="1" a="1"/>
  <c r="I2629" i="1" s="1"/>
  <c r="I2630" i="1" a="1"/>
  <c r="I2630" i="1" s="1"/>
  <c r="I2631" i="1" a="1"/>
  <c r="I2631" i="1"/>
  <c r="I2632" i="1" a="1"/>
  <c r="I2632" i="1" s="1"/>
  <c r="I2633" i="1" a="1"/>
  <c r="I2633" i="1" s="1"/>
  <c r="I2634" i="1" a="1"/>
  <c r="I2634" i="1" s="1"/>
  <c r="I2635" i="1" a="1"/>
  <c r="I2635" i="1"/>
  <c r="I2636" i="1" a="1"/>
  <c r="I2636" i="1" s="1"/>
  <c r="I2637" i="1" a="1"/>
  <c r="I2637" i="1" s="1"/>
  <c r="I2638" i="1" a="1"/>
  <c r="I2638" i="1" s="1"/>
  <c r="I2639" i="1" a="1"/>
  <c r="I2639" i="1"/>
  <c r="I2640" i="1" a="1"/>
  <c r="I2640" i="1" s="1"/>
  <c r="I2641" i="1" a="1"/>
  <c r="I2641" i="1" s="1"/>
  <c r="I2642" i="1" a="1"/>
  <c r="I2642" i="1" s="1"/>
  <c r="I2643" i="1" a="1"/>
  <c r="I2643" i="1"/>
  <c r="I2644" i="1" a="1"/>
  <c r="I2644" i="1" s="1"/>
  <c r="I2645" i="1" a="1"/>
  <c r="I2645" i="1" s="1"/>
  <c r="I2646" i="1" a="1"/>
  <c r="I2646" i="1" s="1"/>
  <c r="I2647" i="1" a="1"/>
  <c r="I2647" i="1"/>
  <c r="I2648" i="1" a="1"/>
  <c r="I2648" i="1" s="1"/>
  <c r="I2649" i="1" a="1"/>
  <c r="I2649" i="1" s="1"/>
  <c r="I2650" i="1" a="1"/>
  <c r="I2650" i="1" s="1"/>
  <c r="I2651" i="1" a="1"/>
  <c r="I2651" i="1"/>
  <c r="I2652" i="1" a="1"/>
  <c r="I2652" i="1" s="1"/>
  <c r="I2653" i="1" a="1"/>
  <c r="I2653" i="1" s="1"/>
  <c r="I2654" i="1" a="1"/>
  <c r="I2654" i="1" s="1"/>
  <c r="I2655" i="1" a="1"/>
  <c r="I2655" i="1"/>
  <c r="I2656" i="1" a="1"/>
  <c r="I2656" i="1" s="1"/>
  <c r="I2657" i="1" a="1"/>
  <c r="I2657" i="1" s="1"/>
  <c r="I2658" i="1" a="1"/>
  <c r="I2658" i="1" s="1"/>
  <c r="I2659" i="1" a="1"/>
  <c r="I2659" i="1"/>
  <c r="I2660" i="1" a="1"/>
  <c r="I2660" i="1" s="1"/>
  <c r="I2661" i="1" a="1"/>
  <c r="I2661" i="1" s="1"/>
  <c r="I2662" i="1" a="1"/>
  <c r="I2662" i="1" s="1"/>
  <c r="I2663" i="1" a="1"/>
  <c r="I2663" i="1"/>
  <c r="I2664" i="1" a="1"/>
  <c r="I2664" i="1" s="1"/>
  <c r="I2665" i="1" a="1"/>
  <c r="I2665" i="1" s="1"/>
  <c r="I2666" i="1" a="1"/>
  <c r="I2666" i="1" s="1"/>
  <c r="I2667" i="1" a="1"/>
  <c r="I2667" i="1"/>
  <c r="I2668" i="1" a="1"/>
  <c r="I2668" i="1" s="1"/>
  <c r="I2669" i="1" a="1"/>
  <c r="I2669" i="1" s="1"/>
  <c r="I2670" i="1" a="1"/>
  <c r="I2670" i="1" s="1"/>
  <c r="I2671" i="1" a="1"/>
  <c r="I2671" i="1"/>
  <c r="I2672" i="1" a="1"/>
  <c r="I2672" i="1" s="1"/>
  <c r="I2673" i="1" a="1"/>
  <c r="I2673" i="1" s="1"/>
  <c r="I2674" i="1" a="1"/>
  <c r="I2674" i="1" s="1"/>
  <c r="I2675" i="1" a="1"/>
  <c r="I2675" i="1"/>
  <c r="I2676" i="1" a="1"/>
  <c r="I2676" i="1" s="1"/>
  <c r="I2677" i="1" a="1"/>
  <c r="I2677" i="1" s="1"/>
  <c r="I2678" i="1" a="1"/>
  <c r="I2678" i="1" s="1"/>
  <c r="I2679" i="1" a="1"/>
  <c r="I2679" i="1"/>
  <c r="I2680" i="1" a="1"/>
  <c r="I2680" i="1" s="1"/>
  <c r="I2681" i="1" a="1"/>
  <c r="I2681" i="1" s="1"/>
  <c r="I2682" i="1" a="1"/>
  <c r="I2682" i="1" s="1"/>
  <c r="I2683" i="1" a="1"/>
  <c r="I2683" i="1"/>
  <c r="I2684" i="1" a="1"/>
  <c r="I2684" i="1" s="1"/>
  <c r="I2685" i="1" a="1"/>
  <c r="I2685" i="1" s="1"/>
  <c r="I2686" i="1" a="1"/>
  <c r="I2686" i="1" s="1"/>
  <c r="I2687" i="1" a="1"/>
  <c r="I2687" i="1"/>
  <c r="I2688" i="1" a="1"/>
  <c r="I2688" i="1" s="1"/>
  <c r="I2689" i="1" a="1"/>
  <c r="I2689" i="1" s="1"/>
  <c r="I2690" i="1" a="1"/>
  <c r="I2690" i="1" s="1"/>
  <c r="I2691" i="1" a="1"/>
  <c r="I2691" i="1"/>
  <c r="I2692" i="1" a="1"/>
  <c r="I2692" i="1" s="1"/>
  <c r="I2693" i="1" a="1"/>
  <c r="I2693" i="1" s="1"/>
  <c r="I2694" i="1" a="1"/>
  <c r="I2694" i="1" s="1"/>
  <c r="I2695" i="1" a="1"/>
  <c r="I2695" i="1"/>
  <c r="I2696" i="1" a="1"/>
  <c r="I2696" i="1" s="1"/>
  <c r="I2697" i="1" a="1"/>
  <c r="I2697" i="1" s="1"/>
  <c r="I2698" i="1" a="1"/>
  <c r="I2698" i="1" s="1"/>
  <c r="I2699" i="1" a="1"/>
  <c r="I2699" i="1"/>
  <c r="I2700" i="1" a="1"/>
  <c r="I2700" i="1" s="1"/>
  <c r="I2701" i="1" a="1"/>
  <c r="I2701" i="1" s="1"/>
  <c r="I2702" i="1" a="1"/>
  <c r="I2702" i="1" s="1"/>
  <c r="I2703" i="1" a="1"/>
  <c r="I2703" i="1"/>
  <c r="I2704" i="1" a="1"/>
  <c r="I2704" i="1" s="1"/>
  <c r="I2705" i="1" a="1"/>
  <c r="I2705" i="1" s="1"/>
  <c r="I2706" i="1" a="1"/>
  <c r="I2706" i="1" s="1"/>
  <c r="I2707" i="1" a="1"/>
  <c r="I2707" i="1"/>
  <c r="I2708" i="1" a="1"/>
  <c r="I2708" i="1" s="1"/>
  <c r="I2709" i="1" a="1"/>
  <c r="I2709" i="1" s="1"/>
  <c r="I2710" i="1" a="1"/>
  <c r="I2710" i="1" s="1"/>
  <c r="I2711" i="1" a="1"/>
  <c r="I2711" i="1"/>
  <c r="I2712" i="1" a="1"/>
  <c r="I2712" i="1" s="1"/>
  <c r="I2713" i="1" a="1"/>
  <c r="I2713" i="1" s="1"/>
  <c r="I2714" i="1" a="1"/>
  <c r="I2714" i="1" s="1"/>
  <c r="I2715" i="1" a="1"/>
  <c r="I2715" i="1"/>
  <c r="I2716" i="1" a="1"/>
  <c r="I2716" i="1" s="1"/>
  <c r="I2717" i="1" a="1"/>
  <c r="I2717" i="1" s="1"/>
  <c r="I2718" i="1" a="1"/>
  <c r="I2718" i="1" s="1"/>
  <c r="I2719" i="1" a="1"/>
  <c r="I2719" i="1"/>
  <c r="I2720" i="1" a="1"/>
  <c r="I2720" i="1" s="1"/>
  <c r="I2721" i="1" a="1"/>
  <c r="I2721" i="1" s="1"/>
  <c r="I2722" i="1" a="1"/>
  <c r="I2722" i="1" s="1"/>
  <c r="I2723" i="1" a="1"/>
  <c r="I2723" i="1"/>
  <c r="I2724" i="1" a="1"/>
  <c r="I2724" i="1" s="1"/>
  <c r="I2725" i="1" a="1"/>
  <c r="I2725" i="1" s="1"/>
  <c r="I2726" i="1" a="1"/>
  <c r="I2726" i="1" s="1"/>
  <c r="I2727" i="1" a="1"/>
  <c r="I2727" i="1"/>
  <c r="I2728" i="1" a="1"/>
  <c r="I2728" i="1" s="1"/>
  <c r="I2729" i="1" a="1"/>
  <c r="I2729" i="1" s="1"/>
  <c r="I2730" i="1" a="1"/>
  <c r="I2730" i="1" s="1"/>
  <c r="I2731" i="1" a="1"/>
  <c r="I2731" i="1"/>
  <c r="I2732" i="1" a="1"/>
  <c r="I2732" i="1"/>
  <c r="I2733" i="1" a="1"/>
  <c r="I2733" i="1"/>
  <c r="I2734" i="1" a="1"/>
  <c r="I2734" i="1"/>
  <c r="I2735" i="1" a="1"/>
  <c r="I2735" i="1"/>
  <c r="I2736" i="1" a="1"/>
  <c r="I2736" i="1"/>
  <c r="I2737" i="1" a="1"/>
  <c r="I2737" i="1"/>
  <c r="I2738" i="1" a="1"/>
  <c r="I2738" i="1"/>
  <c r="I2739" i="1" a="1"/>
  <c r="I2739" i="1"/>
  <c r="I2740" i="1" a="1"/>
  <c r="I2740" i="1"/>
  <c r="I2741" i="1" a="1"/>
  <c r="I2741" i="1"/>
  <c r="I2742" i="1" a="1"/>
  <c r="I2742" i="1"/>
  <c r="I2743" i="1" a="1"/>
  <c r="I2743" i="1"/>
  <c r="I2744" i="1" a="1"/>
  <c r="I2744" i="1"/>
  <c r="I2745" i="1" a="1"/>
  <c r="I2745" i="1"/>
  <c r="I2746" i="1" a="1"/>
  <c r="I2746" i="1"/>
  <c r="I2747" i="1" a="1"/>
  <c r="I2747" i="1"/>
  <c r="I2748" i="1" a="1"/>
  <c r="I2748" i="1"/>
  <c r="I2749" i="1" a="1"/>
  <c r="I2749" i="1"/>
  <c r="I2750" i="1" a="1"/>
  <c r="I2750" i="1"/>
  <c r="I2751" i="1" a="1"/>
  <c r="I2751" i="1"/>
  <c r="I2752" i="1" a="1"/>
  <c r="I2752" i="1"/>
  <c r="I2753" i="1" a="1"/>
  <c r="I2753" i="1"/>
  <c r="I2754" i="1" a="1"/>
  <c r="I2754" i="1"/>
  <c r="I2755" i="1" a="1"/>
  <c r="I2755" i="1"/>
  <c r="I2756" i="1" a="1"/>
  <c r="I2756" i="1"/>
  <c r="I2757" i="1" a="1"/>
  <c r="I2757" i="1"/>
  <c r="I2758" i="1" a="1"/>
  <c r="I2758" i="1"/>
  <c r="I2759" i="1" a="1"/>
  <c r="I2759" i="1"/>
  <c r="I2760" i="1" a="1"/>
  <c r="I2760" i="1"/>
  <c r="I2761" i="1" a="1"/>
  <c r="I2761" i="1"/>
  <c r="I2762" i="1" a="1"/>
  <c r="I2762" i="1"/>
  <c r="I2763" i="1" a="1"/>
  <c r="I2763" i="1"/>
  <c r="I2764" i="1" a="1"/>
  <c r="I2764" i="1"/>
  <c r="I2765" i="1" a="1"/>
  <c r="I2765" i="1"/>
  <c r="I2766" i="1" a="1"/>
  <c r="I2766" i="1"/>
  <c r="I2767" i="1" a="1"/>
  <c r="I2767" i="1"/>
  <c r="I2768" i="1" a="1"/>
  <c r="I2768" i="1"/>
  <c r="I2769" i="1" a="1"/>
  <c r="I2769" i="1"/>
  <c r="I2770" i="1" a="1"/>
  <c r="I2770" i="1"/>
  <c r="I2771" i="1" a="1"/>
  <c r="I2771" i="1"/>
  <c r="I2772" i="1" a="1"/>
  <c r="I2772" i="1"/>
  <c r="I2773" i="1" a="1"/>
  <c r="I2773" i="1"/>
  <c r="I2774" i="1" a="1"/>
  <c r="I2774" i="1"/>
  <c r="I2775" i="1" a="1"/>
  <c r="I2775" i="1"/>
  <c r="I2776" i="1" a="1"/>
  <c r="I2776" i="1"/>
  <c r="I2777" i="1" a="1"/>
  <c r="I2777" i="1"/>
  <c r="I2778" i="1" a="1"/>
  <c r="I2778" i="1"/>
  <c r="I2779" i="1" a="1"/>
  <c r="I2779" i="1"/>
  <c r="I2780" i="1" a="1"/>
  <c r="I2780" i="1"/>
  <c r="I2781" i="1" a="1"/>
  <c r="I2781" i="1"/>
  <c r="I2782" i="1" a="1"/>
  <c r="I2782" i="1" s="1"/>
  <c r="I2783" i="1" a="1"/>
  <c r="I2783" i="1"/>
  <c r="I2784" i="1" a="1"/>
  <c r="I2784" i="1" s="1"/>
  <c r="I2785" i="1" a="1"/>
  <c r="I2785" i="1"/>
  <c r="I2786" i="1" a="1"/>
  <c r="I2786" i="1" s="1"/>
  <c r="I2787" i="1" a="1"/>
  <c r="I2787" i="1"/>
  <c r="I2788" i="1" a="1"/>
  <c r="I2788" i="1" s="1"/>
  <c r="I2789" i="1" a="1"/>
  <c r="I2789" i="1"/>
  <c r="I2790" i="1" a="1"/>
  <c r="I2790" i="1" s="1"/>
  <c r="I2791" i="1" a="1"/>
  <c r="I2791" i="1"/>
  <c r="I2792" i="1" a="1"/>
  <c r="I2792" i="1" s="1"/>
  <c r="I2793" i="1" a="1"/>
  <c r="I2793" i="1"/>
  <c r="I2794" i="1" a="1"/>
  <c r="I2794" i="1" s="1"/>
  <c r="I2795" i="1" a="1"/>
  <c r="I2795" i="1"/>
  <c r="I2796" i="1" a="1"/>
  <c r="I2796" i="1" s="1"/>
  <c r="I2797" i="1" a="1"/>
  <c r="I2797" i="1"/>
  <c r="I2798" i="1" a="1"/>
  <c r="I2798" i="1" s="1"/>
  <c r="I2799" i="1" a="1"/>
  <c r="I2799" i="1"/>
  <c r="I2800" i="1" a="1"/>
  <c r="I2800" i="1" s="1"/>
  <c r="I2801" i="1" a="1"/>
  <c r="I2801" i="1"/>
  <c r="I2802" i="1" a="1"/>
  <c r="I2802" i="1" s="1"/>
  <c r="I2803" i="1" a="1"/>
  <c r="I2803" i="1"/>
  <c r="I2804" i="1" a="1"/>
  <c r="I2804" i="1" s="1"/>
  <c r="I2805" i="1" a="1"/>
  <c r="I2805" i="1"/>
  <c r="I2806" i="1" a="1"/>
  <c r="I2806" i="1" s="1"/>
  <c r="I2807" i="1" a="1"/>
  <c r="I2807" i="1"/>
  <c r="I2808" i="1" a="1"/>
  <c r="I2808" i="1" s="1"/>
  <c r="I2809" i="1" a="1"/>
  <c r="I2809" i="1"/>
  <c r="I2810" i="1" a="1"/>
  <c r="I2810" i="1" s="1"/>
  <c r="I2811" i="1" a="1"/>
  <c r="I2811" i="1"/>
  <c r="I2812" i="1" a="1"/>
  <c r="I2812" i="1" s="1"/>
  <c r="I2813" i="1" a="1"/>
  <c r="I2813" i="1"/>
  <c r="I2814" i="1" a="1"/>
  <c r="I2814" i="1" s="1"/>
  <c r="I2815" i="1" a="1"/>
  <c r="I2815" i="1"/>
  <c r="I2816" i="1" a="1"/>
  <c r="I2816" i="1" s="1"/>
  <c r="I2817" i="1" a="1"/>
  <c r="I2817" i="1"/>
  <c r="I2818" i="1" a="1"/>
  <c r="I2818" i="1" s="1"/>
  <c r="I2819" i="1" a="1"/>
  <c r="I2819" i="1"/>
  <c r="I2820" i="1" a="1"/>
  <c r="I2820" i="1" s="1"/>
  <c r="I2821" i="1" a="1"/>
  <c r="I2821" i="1"/>
  <c r="I2822" i="1" a="1"/>
  <c r="I2822" i="1" s="1"/>
  <c r="I2823" i="1" a="1"/>
  <c r="I2823" i="1"/>
  <c r="I2824" i="1" a="1"/>
  <c r="I2824" i="1" s="1"/>
  <c r="I2825" i="1" a="1"/>
  <c r="I2825" i="1"/>
  <c r="I2826" i="1" a="1"/>
  <c r="I2826" i="1" s="1"/>
  <c r="I2827" i="1" a="1"/>
  <c r="I2827" i="1"/>
  <c r="I2828" i="1" a="1"/>
  <c r="I2828" i="1" s="1"/>
  <c r="I2829" i="1" a="1"/>
  <c r="I2829" i="1"/>
  <c r="I2830" i="1" a="1"/>
  <c r="I2830" i="1" s="1"/>
  <c r="I2831" i="1" a="1"/>
  <c r="I2831" i="1"/>
  <c r="I2832" i="1" a="1"/>
  <c r="I2832" i="1" s="1"/>
  <c r="I2833" i="1" a="1"/>
  <c r="I2833" i="1"/>
  <c r="I2834" i="1" a="1"/>
  <c r="I2834" i="1" s="1"/>
  <c r="I2835" i="1" a="1"/>
  <c r="I2835" i="1"/>
  <c r="I2836" i="1" a="1"/>
  <c r="I2836" i="1" s="1"/>
  <c r="I2837" i="1" a="1"/>
  <c r="I2837" i="1"/>
  <c r="I2838" i="1" a="1"/>
  <c r="I2838" i="1" s="1"/>
  <c r="I2839" i="1" a="1"/>
  <c r="I2839" i="1"/>
  <c r="I2840" i="1" a="1"/>
  <c r="I2840" i="1" s="1"/>
  <c r="I2841" i="1" a="1"/>
  <c r="I2841" i="1"/>
  <c r="I2842" i="1" a="1"/>
  <c r="I2842" i="1" s="1"/>
  <c r="I2843" i="1" a="1"/>
  <c r="I2843" i="1"/>
  <c r="I2844" i="1" a="1"/>
  <c r="I2844" i="1" s="1"/>
  <c r="I2845" i="1" a="1"/>
  <c r="I2845" i="1"/>
  <c r="I2846" i="1" a="1"/>
  <c r="I2846" i="1" s="1"/>
  <c r="I2847" i="1" a="1"/>
  <c r="I2847" i="1"/>
  <c r="I2848" i="1" a="1"/>
  <c r="I2848" i="1" s="1"/>
  <c r="I2849" i="1" a="1"/>
  <c r="I2849" i="1"/>
  <c r="I2850" i="1" a="1"/>
  <c r="I2850" i="1" s="1"/>
  <c r="I2851" i="1" a="1"/>
  <c r="I2851" i="1"/>
  <c r="I2852" i="1" a="1"/>
  <c r="I2852" i="1" s="1"/>
  <c r="I2853" i="1" a="1"/>
  <c r="I2853" i="1"/>
  <c r="I2854" i="1" a="1"/>
  <c r="I2854" i="1" s="1"/>
  <c r="I2855" i="1" a="1"/>
  <c r="I2855" i="1"/>
  <c r="I2856" i="1" a="1"/>
  <c r="I2856" i="1" s="1"/>
  <c r="I2857" i="1" a="1"/>
  <c r="I2857" i="1"/>
  <c r="I2858" i="1" a="1"/>
  <c r="I2858" i="1" s="1"/>
  <c r="I2859" i="1" a="1"/>
  <c r="I2859" i="1"/>
  <c r="I2860" i="1" a="1"/>
  <c r="I2860" i="1" s="1"/>
  <c r="I2861" i="1" a="1"/>
  <c r="I2861" i="1"/>
  <c r="I2862" i="1" a="1"/>
  <c r="I2862" i="1" s="1"/>
  <c r="I2863" i="1" a="1"/>
  <c r="I2863" i="1"/>
  <c r="I2864" i="1" a="1"/>
  <c r="I2864" i="1" s="1"/>
  <c r="I2865" i="1" a="1"/>
  <c r="I2865" i="1"/>
  <c r="I2866" i="1" a="1"/>
  <c r="I2866" i="1" s="1"/>
  <c r="I2867" i="1" a="1"/>
  <c r="I2867" i="1"/>
  <c r="I2868" i="1" a="1"/>
  <c r="I2868" i="1" s="1"/>
  <c r="I2869" i="1" a="1"/>
  <c r="I2869" i="1"/>
  <c r="I2870" i="1" a="1"/>
  <c r="I2870" i="1" s="1"/>
  <c r="I2871" i="1" a="1"/>
  <c r="I2871" i="1"/>
  <c r="I2872" i="1" a="1"/>
  <c r="I2872" i="1" s="1"/>
  <c r="I2873" i="1" a="1"/>
  <c r="I2873" i="1"/>
  <c r="I2874" i="1" a="1"/>
  <c r="I2874" i="1" s="1"/>
  <c r="I2875" i="1" a="1"/>
  <c r="I2875" i="1"/>
  <c r="I2876" i="1" a="1"/>
  <c r="I2876" i="1" s="1"/>
  <c r="I2877" i="1" a="1"/>
  <c r="I2877" i="1"/>
  <c r="I2878" i="1" a="1"/>
  <c r="I2878" i="1" s="1"/>
  <c r="I2879" i="1" a="1"/>
  <c r="I2879" i="1"/>
  <c r="I2880" i="1" a="1"/>
  <c r="I2880" i="1" s="1"/>
  <c r="I2881" i="1" a="1"/>
  <c r="I2881" i="1"/>
  <c r="I2882" i="1" a="1"/>
  <c r="I2882" i="1" s="1"/>
  <c r="I2883" i="1" a="1"/>
  <c r="I2883" i="1"/>
  <c r="I2884" i="1" a="1"/>
  <c r="I2884" i="1" s="1"/>
  <c r="I2885" i="1" a="1"/>
  <c r="I2885" i="1"/>
  <c r="I2886" i="1" a="1"/>
  <c r="I2886" i="1" s="1"/>
  <c r="I2887" i="1" a="1"/>
  <c r="I2887" i="1"/>
  <c r="I2888" i="1" a="1"/>
  <c r="I2888" i="1" s="1"/>
  <c r="I2889" i="1" a="1"/>
  <c r="I2889" i="1"/>
  <c r="I2890" i="1" a="1"/>
  <c r="I2890" i="1" s="1"/>
  <c r="I2891" i="1" a="1"/>
  <c r="I2891" i="1"/>
  <c r="I2892" i="1" a="1"/>
  <c r="I2892" i="1" s="1"/>
  <c r="I2893" i="1" a="1"/>
  <c r="I2893" i="1"/>
  <c r="I2894" i="1" a="1"/>
  <c r="I2894" i="1" s="1"/>
  <c r="I2895" i="1" a="1"/>
  <c r="I2895" i="1"/>
  <c r="I2896" i="1" a="1"/>
  <c r="I2896" i="1" s="1"/>
  <c r="I2897" i="1" a="1"/>
  <c r="I2897" i="1"/>
  <c r="I2898" i="1" a="1"/>
  <c r="I2898" i="1" s="1"/>
  <c r="I2899" i="1" a="1"/>
  <c r="I2899" i="1"/>
  <c r="I2900" i="1" a="1"/>
  <c r="I2900" i="1" s="1"/>
  <c r="I2901" i="1" a="1"/>
  <c r="I2901" i="1"/>
  <c r="I2902" i="1" a="1"/>
  <c r="I2902" i="1" s="1"/>
  <c r="I2903" i="1" a="1"/>
  <c r="I2903" i="1"/>
  <c r="I2904" i="1" a="1"/>
  <c r="I2904" i="1" s="1"/>
  <c r="I2905" i="1" a="1"/>
  <c r="I2905" i="1"/>
  <c r="I2906" i="1" a="1"/>
  <c r="I2906" i="1" s="1"/>
  <c r="I2907" i="1" a="1"/>
  <c r="I2907" i="1"/>
  <c r="I2908" i="1" a="1"/>
  <c r="I2908" i="1" s="1"/>
  <c r="I2909" i="1" a="1"/>
  <c r="I2909" i="1"/>
  <c r="I2910" i="1" a="1"/>
  <c r="I2910" i="1" s="1"/>
  <c r="I2911" i="1" a="1"/>
  <c r="I2911" i="1"/>
  <c r="I2912" i="1" a="1"/>
  <c r="I2912" i="1" s="1"/>
  <c r="I2913" i="1" a="1"/>
  <c r="I2913" i="1"/>
  <c r="I2914" i="1" a="1"/>
  <c r="I2914" i="1" s="1"/>
  <c r="I2915" i="1" a="1"/>
  <c r="I2915" i="1"/>
  <c r="I2916" i="1" a="1"/>
  <c r="I2916" i="1" s="1"/>
  <c r="I2917" i="1" a="1"/>
  <c r="I2917" i="1"/>
  <c r="I2918" i="1" a="1"/>
  <c r="I2918" i="1" s="1"/>
  <c r="I2919" i="1" a="1"/>
  <c r="I2919" i="1"/>
  <c r="I2920" i="1" a="1"/>
  <c r="I2920" i="1" s="1"/>
  <c r="I2921" i="1" a="1"/>
  <c r="I2921" i="1"/>
  <c r="I2922" i="1" a="1"/>
  <c r="I2922" i="1" s="1"/>
  <c r="I2923" i="1" a="1"/>
  <c r="I2923" i="1"/>
  <c r="I2924" i="1" a="1"/>
  <c r="I2924" i="1" s="1"/>
  <c r="I2925" i="1" a="1"/>
  <c r="I2925" i="1"/>
  <c r="I2926" i="1" a="1"/>
  <c r="I2926" i="1" s="1"/>
  <c r="I2927" i="1" a="1"/>
  <c r="I2927" i="1"/>
  <c r="I2928" i="1" a="1"/>
  <c r="I2928" i="1" s="1"/>
  <c r="I2929" i="1" a="1"/>
  <c r="I2929" i="1"/>
  <c r="I2930" i="1" a="1"/>
  <c r="I2930" i="1" s="1"/>
  <c r="I2931" i="1" a="1"/>
  <c r="I2931" i="1"/>
  <c r="I2932" i="1" a="1"/>
  <c r="I2932" i="1" s="1"/>
  <c r="I2933" i="1" a="1"/>
  <c r="I2933" i="1"/>
  <c r="I2934" i="1" a="1"/>
  <c r="I2934" i="1" s="1"/>
  <c r="I2935" i="1" a="1"/>
  <c r="I2935" i="1"/>
  <c r="I2936" i="1" a="1"/>
  <c r="I2936" i="1" s="1"/>
  <c r="I2937" i="1" a="1"/>
  <c r="I2937" i="1"/>
  <c r="I2938" i="1" a="1"/>
  <c r="I2938" i="1" s="1"/>
  <c r="I2939" i="1" a="1"/>
  <c r="I2939" i="1"/>
  <c r="I2940" i="1" a="1"/>
  <c r="I2940" i="1" s="1"/>
  <c r="I2941" i="1" a="1"/>
  <c r="I2941" i="1"/>
  <c r="I2942" i="1" a="1"/>
  <c r="I2942" i="1" s="1"/>
  <c r="I2943" i="1" a="1"/>
  <c r="I2943" i="1"/>
  <c r="I2944" i="1" a="1"/>
  <c r="I2944" i="1" s="1"/>
  <c r="I2945" i="1" a="1"/>
  <c r="I2945" i="1"/>
  <c r="I2946" i="1" a="1"/>
  <c r="I2946" i="1" s="1"/>
  <c r="I2947" i="1" a="1"/>
  <c r="I2947" i="1"/>
  <c r="I2948" i="1" a="1"/>
  <c r="I2948" i="1" s="1"/>
  <c r="I2949" i="1" a="1"/>
  <c r="I2949" i="1"/>
  <c r="I2950" i="1" a="1"/>
  <c r="I2950" i="1" s="1"/>
  <c r="I2951" i="1" a="1"/>
  <c r="I2951" i="1"/>
  <c r="I2952" i="1" a="1"/>
  <c r="I2952" i="1" s="1"/>
  <c r="I2953" i="1" a="1"/>
  <c r="I2953" i="1"/>
  <c r="I2954" i="1" a="1"/>
  <c r="I2954" i="1" s="1"/>
  <c r="I2955" i="1" a="1"/>
  <c r="I2955" i="1"/>
  <c r="I2956" i="1" a="1"/>
  <c r="I2956" i="1" s="1"/>
  <c r="I2957" i="1" a="1"/>
  <c r="I2957" i="1"/>
  <c r="I2958" i="1" a="1"/>
  <c r="I2958" i="1" s="1"/>
  <c r="I2959" i="1" a="1"/>
  <c r="I2959" i="1"/>
  <c r="I2960" i="1" a="1"/>
  <c r="I2960" i="1" s="1"/>
  <c r="I2961" i="1" a="1"/>
  <c r="I2961" i="1"/>
  <c r="I2962" i="1" a="1"/>
  <c r="I2962" i="1" s="1"/>
  <c r="I2963" i="1" a="1"/>
  <c r="I2963" i="1"/>
  <c r="I2964" i="1" a="1"/>
  <c r="I2964" i="1" s="1"/>
  <c r="I2965" i="1" a="1"/>
  <c r="I2965" i="1"/>
  <c r="I2966" i="1" a="1"/>
  <c r="I2966" i="1" s="1"/>
  <c r="I2967" i="1" a="1"/>
  <c r="I2967" i="1"/>
  <c r="I2968" i="1" a="1"/>
  <c r="I2968" i="1" s="1"/>
  <c r="I2969" i="1" a="1"/>
  <c r="I2969" i="1"/>
  <c r="I2970" i="1" a="1"/>
  <c r="I2970" i="1" s="1"/>
  <c r="I2971" i="1" a="1"/>
  <c r="I2971" i="1"/>
  <c r="I2972" i="1" a="1"/>
  <c r="I2972" i="1" s="1"/>
  <c r="I2973" i="1" a="1"/>
  <c r="I2973" i="1"/>
  <c r="I2974" i="1" a="1"/>
  <c r="I2974" i="1" s="1"/>
  <c r="I2975" i="1" a="1"/>
  <c r="I2975" i="1"/>
  <c r="I2976" i="1" a="1"/>
  <c r="I2976" i="1" s="1"/>
  <c r="I2977" i="1" a="1"/>
  <c r="I2977" i="1"/>
  <c r="I2978" i="1" a="1"/>
  <c r="I2978" i="1" s="1"/>
  <c r="I2979" i="1" a="1"/>
  <c r="I2979" i="1"/>
  <c r="I2980" i="1" a="1"/>
  <c r="I2980" i="1" s="1"/>
  <c r="I2981" i="1" a="1"/>
  <c r="I2981" i="1"/>
  <c r="I2982" i="1" a="1"/>
  <c r="I2982" i="1" s="1"/>
  <c r="I2983" i="1" a="1"/>
  <c r="I2983" i="1"/>
  <c r="I2984" i="1" a="1"/>
  <c r="I2984" i="1" s="1"/>
  <c r="I2985" i="1" a="1"/>
  <c r="I2985" i="1"/>
  <c r="I2986" i="1" a="1"/>
  <c r="I2986" i="1" s="1"/>
  <c r="I2987" i="1" a="1"/>
  <c r="I2987" i="1"/>
  <c r="I2988" i="1" a="1"/>
  <c r="I2988" i="1" s="1"/>
  <c r="I2989" i="1" a="1"/>
  <c r="I2989" i="1"/>
  <c r="I2990" i="1" a="1"/>
  <c r="I2990" i="1" s="1"/>
  <c r="I2991" i="1" a="1"/>
  <c r="I2991" i="1"/>
  <c r="I2992" i="1" a="1"/>
  <c r="I2992" i="1" s="1"/>
  <c r="I2993" i="1" a="1"/>
  <c r="I2993" i="1"/>
  <c r="I2994" i="1" a="1"/>
  <c r="I2994" i="1" s="1"/>
  <c r="I2995" i="1" a="1"/>
  <c r="I2995" i="1"/>
  <c r="I2996" i="1" a="1"/>
  <c r="I2996" i="1" s="1"/>
  <c r="I2997" i="1" a="1"/>
  <c r="I2997" i="1"/>
  <c r="I2998" i="1" a="1"/>
  <c r="I2998" i="1" s="1"/>
  <c r="I2999" i="1" a="1"/>
  <c r="I2999" i="1"/>
  <c r="I3000" i="1" a="1"/>
  <c r="I3000" i="1" s="1"/>
  <c r="I3001" i="1" a="1"/>
  <c r="I3001" i="1"/>
  <c r="I3002" i="1" a="1"/>
  <c r="I3002" i="1" s="1"/>
  <c r="I3003" i="1" a="1"/>
  <c r="I3003" i="1"/>
  <c r="I3004" i="1" a="1"/>
  <c r="I3004" i="1" s="1"/>
  <c r="I3005" i="1" a="1"/>
  <c r="I3005" i="1"/>
  <c r="I3006" i="1" a="1"/>
  <c r="I3006" i="1" s="1"/>
  <c r="I3007" i="1" a="1"/>
  <c r="I3007" i="1"/>
  <c r="I3008" i="1" a="1"/>
  <c r="I3008" i="1" s="1"/>
  <c r="I3009" i="1" a="1"/>
  <c r="I3009" i="1"/>
  <c r="I3010" i="1" a="1"/>
  <c r="I3010" i="1" s="1"/>
  <c r="I3011" i="1" a="1"/>
  <c r="I3011" i="1"/>
  <c r="I3012" i="1" a="1"/>
  <c r="I3012" i="1" s="1"/>
  <c r="I3013" i="1" a="1"/>
  <c r="I3013" i="1"/>
  <c r="I3014" i="1" a="1"/>
  <c r="I3014" i="1" s="1"/>
  <c r="I3015" i="1" a="1"/>
  <c r="I3015" i="1"/>
  <c r="I3016" i="1" a="1"/>
  <c r="I3016" i="1" s="1"/>
  <c r="I3017" i="1" a="1"/>
  <c r="I3017" i="1"/>
  <c r="I3018" i="1" a="1"/>
  <c r="I3018" i="1" s="1"/>
  <c r="I3019" i="1" a="1"/>
  <c r="I3019" i="1"/>
  <c r="I3020" i="1" a="1"/>
  <c r="I3020" i="1" s="1"/>
  <c r="I3021" i="1" a="1"/>
  <c r="I3021" i="1"/>
  <c r="I3022" i="1" a="1"/>
  <c r="I3022" i="1" s="1"/>
  <c r="I3023" i="1" a="1"/>
  <c r="I3023" i="1"/>
  <c r="I3024" i="1" a="1"/>
  <c r="I3024" i="1" s="1"/>
  <c r="I3025" i="1" a="1"/>
  <c r="I3025" i="1"/>
  <c r="I3026" i="1" a="1"/>
  <c r="I3026" i="1" s="1"/>
  <c r="I3027" i="1" a="1"/>
  <c r="I3027" i="1"/>
  <c r="I3028" i="1" a="1"/>
  <c r="I3028" i="1" s="1"/>
  <c r="I3029" i="1" a="1"/>
  <c r="I3029" i="1"/>
  <c r="I3030" i="1" a="1"/>
  <c r="I3030" i="1" s="1"/>
  <c r="I3031" i="1" a="1"/>
  <c r="I3031" i="1"/>
  <c r="I3032" i="1" a="1"/>
  <c r="I3032" i="1" s="1"/>
  <c r="I3033" i="1" a="1"/>
  <c r="I3033" i="1"/>
  <c r="I3034" i="1" a="1"/>
  <c r="I3034" i="1" s="1"/>
  <c r="I3035" i="1" a="1"/>
  <c r="I3035" i="1"/>
  <c r="I3036" i="1" a="1"/>
  <c r="I3036" i="1" s="1"/>
  <c r="I3037" i="1" a="1"/>
  <c r="I3037" i="1"/>
  <c r="I3038" i="1" a="1"/>
  <c r="I3038" i="1" s="1"/>
  <c r="I3039" i="1" a="1"/>
  <c r="I3039" i="1"/>
  <c r="I3040" i="1" a="1"/>
  <c r="I3040" i="1" s="1"/>
  <c r="I3041" i="1" a="1"/>
  <c r="I3041" i="1"/>
  <c r="I3042" i="1" a="1"/>
  <c r="I3042" i="1" s="1"/>
  <c r="I3043" i="1" a="1"/>
  <c r="I3043" i="1"/>
  <c r="I3044" i="1" a="1"/>
  <c r="I3044" i="1" s="1"/>
  <c r="I3045" i="1" a="1"/>
  <c r="I3045" i="1"/>
  <c r="I3046" i="1" a="1"/>
  <c r="I3046" i="1" s="1"/>
  <c r="I3047" i="1" a="1"/>
  <c r="I3047" i="1"/>
  <c r="I3048" i="1" a="1"/>
  <c r="I3048" i="1" s="1"/>
  <c r="I3049" i="1" a="1"/>
  <c r="I3049" i="1"/>
  <c r="I3050" i="1" a="1"/>
  <c r="I3050" i="1" s="1"/>
  <c r="I3051" i="1" a="1"/>
  <c r="I3051" i="1"/>
  <c r="I3052" i="1" a="1"/>
  <c r="I3052" i="1" s="1"/>
  <c r="I3053" i="1" a="1"/>
  <c r="I3053" i="1"/>
  <c r="I3054" i="1" a="1"/>
  <c r="I3054" i="1" s="1"/>
  <c r="I3055" i="1" a="1"/>
  <c r="I3055" i="1"/>
  <c r="I3056" i="1" a="1"/>
  <c r="I3056" i="1" s="1"/>
  <c r="I3057" i="1" a="1"/>
  <c r="I3057" i="1"/>
  <c r="I3058" i="1" a="1"/>
  <c r="I3058" i="1" s="1"/>
  <c r="I3059" i="1" a="1"/>
  <c r="I3059" i="1"/>
  <c r="I3060" i="1" a="1"/>
  <c r="I3060" i="1" s="1"/>
  <c r="I3061" i="1" a="1"/>
  <c r="I3061" i="1"/>
  <c r="I3062" i="1" a="1"/>
  <c r="I3062" i="1" s="1"/>
  <c r="I3063" i="1" a="1"/>
  <c r="I3063" i="1"/>
  <c r="I3064" i="1" a="1"/>
  <c r="I3064" i="1" s="1"/>
  <c r="I3065" i="1" a="1"/>
  <c r="I3065" i="1"/>
  <c r="I3066" i="1" a="1"/>
  <c r="I3066" i="1" s="1"/>
  <c r="I3067" i="1" a="1"/>
  <c r="I3067" i="1"/>
  <c r="I3068" i="1" a="1"/>
  <c r="I3068" i="1" s="1"/>
  <c r="I3069" i="1" a="1"/>
  <c r="I3069" i="1"/>
  <c r="I3070" i="1" a="1"/>
  <c r="I3070" i="1" s="1"/>
  <c r="I3071" i="1" a="1"/>
  <c r="I3071" i="1"/>
  <c r="I3072" i="1" a="1"/>
  <c r="I3072" i="1" s="1"/>
  <c r="I3073" i="1" a="1"/>
  <c r="I3073" i="1" s="1"/>
  <c r="I3074" i="1" a="1"/>
  <c r="I3074" i="1" s="1"/>
  <c r="I3075" i="1" a="1"/>
  <c r="I3075" i="1"/>
  <c r="I3076" i="1" a="1"/>
  <c r="I3076" i="1" s="1"/>
  <c r="I3077" i="1" a="1"/>
  <c r="I3077" i="1"/>
  <c r="I3078" i="1" a="1"/>
  <c r="I3078" i="1" s="1"/>
  <c r="I3079" i="1" a="1"/>
  <c r="I3079" i="1"/>
  <c r="I3080" i="1" a="1"/>
  <c r="I3080" i="1" s="1"/>
  <c r="I3081" i="1" a="1"/>
  <c r="I3081" i="1" s="1"/>
  <c r="I3082" i="1" a="1"/>
  <c r="I3082" i="1" s="1"/>
  <c r="I3083" i="1" a="1"/>
  <c r="I3083" i="1"/>
  <c r="I3084" i="1" a="1"/>
  <c r="I3084" i="1" s="1"/>
  <c r="I3085" i="1" a="1"/>
  <c r="I3085" i="1"/>
  <c r="I3086" i="1" a="1"/>
  <c r="I3086" i="1" s="1"/>
  <c r="I3087" i="1" a="1"/>
  <c r="I3087" i="1"/>
  <c r="I3088" i="1" a="1"/>
  <c r="I3088" i="1" s="1"/>
  <c r="I3089" i="1" a="1"/>
  <c r="I3089" i="1" s="1"/>
  <c r="I3090" i="1" a="1"/>
  <c r="I3090" i="1" s="1"/>
  <c r="I3091" i="1" a="1"/>
  <c r="I3091" i="1"/>
  <c r="I3092" i="1" a="1"/>
  <c r="I3092" i="1" s="1"/>
  <c r="I3093" i="1" a="1"/>
  <c r="I3093" i="1"/>
  <c r="I3094" i="1" a="1"/>
  <c r="I3094" i="1" s="1"/>
  <c r="I3095" i="1" a="1"/>
  <c r="I3095" i="1"/>
  <c r="I3096" i="1" a="1"/>
  <c r="I3096" i="1" s="1"/>
  <c r="I3097" i="1" a="1"/>
  <c r="I3097" i="1" s="1"/>
  <c r="I3098" i="1" a="1"/>
  <c r="I3098" i="1" s="1"/>
  <c r="I3099" i="1" a="1"/>
  <c r="I3099" i="1"/>
  <c r="I3100" i="1" a="1"/>
  <c r="I3100" i="1" s="1"/>
  <c r="I3101" i="1" a="1"/>
  <c r="I3101" i="1"/>
  <c r="I3102" i="1" a="1"/>
  <c r="I3102" i="1" s="1"/>
  <c r="I3103" i="1" a="1"/>
  <c r="I3103" i="1"/>
  <c r="I3104" i="1" a="1"/>
  <c r="I3104" i="1" s="1"/>
  <c r="I3105" i="1" a="1"/>
  <c r="I3105" i="1" s="1"/>
  <c r="I3106" i="1" a="1"/>
  <c r="I3106" i="1" s="1"/>
  <c r="I3107" i="1" a="1"/>
  <c r="I3107" i="1"/>
  <c r="I3108" i="1" a="1"/>
  <c r="I3108" i="1" s="1"/>
  <c r="I3109" i="1" a="1"/>
  <c r="I3109" i="1"/>
  <c r="I3110" i="1" a="1"/>
  <c r="I3110" i="1" s="1"/>
  <c r="I3111" i="1" a="1"/>
  <c r="I3111" i="1"/>
  <c r="I3112" i="1" a="1"/>
  <c r="I3112" i="1" s="1"/>
  <c r="I3113" i="1" a="1"/>
  <c r="I3113" i="1" s="1"/>
  <c r="I3114" i="1" a="1"/>
  <c r="I3114" i="1" s="1"/>
  <c r="I3115" i="1" a="1"/>
  <c r="I3115" i="1"/>
  <c r="I3116" i="1" a="1"/>
  <c r="I3116" i="1" s="1"/>
  <c r="I3117" i="1" a="1"/>
  <c r="I3117" i="1"/>
  <c r="I3118" i="1" a="1"/>
  <c r="I3118" i="1" s="1"/>
  <c r="I3119" i="1" a="1"/>
  <c r="I3119" i="1"/>
  <c r="I3120" i="1" a="1"/>
  <c r="I3120" i="1" s="1"/>
  <c r="I3121" i="1" a="1"/>
  <c r="I3121" i="1" s="1"/>
  <c r="I3122" i="1" a="1"/>
  <c r="I3122" i="1" s="1"/>
  <c r="I3123" i="1" a="1"/>
  <c r="I3123" i="1"/>
  <c r="I3124" i="1" a="1"/>
  <c r="I3124" i="1" s="1"/>
  <c r="I3125" i="1" a="1"/>
  <c r="I3125" i="1"/>
  <c r="I3126" i="1" a="1"/>
  <c r="I3126" i="1" s="1"/>
  <c r="I3127" i="1" a="1"/>
  <c r="I3127" i="1"/>
  <c r="I3128" i="1" a="1"/>
  <c r="I3128" i="1" s="1"/>
  <c r="I3129" i="1" a="1"/>
  <c r="I3129" i="1" s="1"/>
  <c r="I3130" i="1" a="1"/>
  <c r="I3130" i="1" s="1"/>
  <c r="I3131" i="1" a="1"/>
  <c r="I3131" i="1"/>
  <c r="I3132" i="1" a="1"/>
  <c r="I3132" i="1" s="1"/>
  <c r="I3133" i="1" a="1"/>
  <c r="I3133" i="1"/>
  <c r="I3134" i="1" a="1"/>
  <c r="I3134" i="1" s="1"/>
  <c r="I3135" i="1" a="1"/>
  <c r="I3135" i="1"/>
  <c r="I3136" i="1" a="1"/>
  <c r="I3136" i="1" s="1"/>
  <c r="I3137" i="1" a="1"/>
  <c r="I3137" i="1" s="1"/>
  <c r="I3138" i="1" a="1"/>
  <c r="I3138" i="1" s="1"/>
  <c r="I3139" i="1" a="1"/>
  <c r="I3139" i="1"/>
  <c r="I3140" i="1" a="1"/>
  <c r="I3140" i="1" s="1"/>
  <c r="I3141" i="1" a="1"/>
  <c r="I3141" i="1"/>
  <c r="I3142" i="1" a="1"/>
  <c r="I3142" i="1" s="1"/>
  <c r="I3143" i="1" a="1"/>
  <c r="I3143" i="1"/>
  <c r="I3144" i="1" a="1"/>
  <c r="I3144" i="1" s="1"/>
  <c r="I3145" i="1" a="1"/>
  <c r="I3145" i="1" s="1"/>
  <c r="I3146" i="1" a="1"/>
  <c r="I3146" i="1" s="1"/>
  <c r="I3147" i="1" a="1"/>
  <c r="I3147" i="1" s="1"/>
  <c r="I3148" i="1" a="1"/>
  <c r="I3148" i="1" s="1"/>
  <c r="I3149" i="1" a="1"/>
  <c r="I3149" i="1"/>
  <c r="I3150" i="1" a="1"/>
  <c r="I3150" i="1" s="1"/>
  <c r="I3151" i="1" a="1"/>
  <c r="I3151" i="1" s="1"/>
  <c r="I3152" i="1" a="1"/>
  <c r="I3152" i="1" s="1"/>
  <c r="I3153" i="1" a="1"/>
  <c r="I3153" i="1" s="1"/>
  <c r="I3154" i="1" a="1"/>
  <c r="I3154" i="1" s="1"/>
  <c r="I3155" i="1" a="1"/>
  <c r="I3155" i="1"/>
  <c r="I3156" i="1" a="1"/>
  <c r="I3156" i="1" s="1"/>
  <c r="I3157" i="1" a="1"/>
  <c r="I3157" i="1"/>
  <c r="I3158" i="1" a="1"/>
  <c r="I3158" i="1" s="1"/>
  <c r="I3159" i="1" a="1"/>
  <c r="I3159" i="1" s="1"/>
  <c r="I3160" i="1" a="1"/>
  <c r="I3160" i="1" s="1"/>
  <c r="I3161" i="1" a="1"/>
  <c r="I3161" i="1" s="1"/>
  <c r="I3162" i="1" a="1"/>
  <c r="I3162" i="1" s="1"/>
  <c r="I3163" i="1" a="1"/>
  <c r="I3163" i="1" s="1"/>
  <c r="I3164" i="1" a="1"/>
  <c r="I3164" i="1" s="1"/>
  <c r="I3165" i="1" a="1"/>
  <c r="I3165" i="1"/>
  <c r="I3166" i="1" a="1"/>
  <c r="I3166" i="1" s="1"/>
  <c r="I3167" i="1" a="1"/>
  <c r="I3167" i="1" s="1"/>
  <c r="I3168" i="1" a="1"/>
  <c r="I3168" i="1" s="1"/>
  <c r="I3169" i="1" a="1"/>
  <c r="I3169" i="1" s="1"/>
  <c r="I3170" i="1" a="1"/>
  <c r="I3170" i="1" s="1"/>
  <c r="I3171" i="1" a="1"/>
  <c r="I3171" i="1"/>
  <c r="I3172" i="1" a="1"/>
  <c r="I3172" i="1" s="1"/>
  <c r="I3173" i="1" a="1"/>
  <c r="I3173" i="1"/>
  <c r="I3174" i="1" a="1"/>
  <c r="I3174" i="1" s="1"/>
  <c r="I3175" i="1" a="1"/>
  <c r="I3175" i="1" s="1"/>
  <c r="I3176" i="1" a="1"/>
  <c r="I3176" i="1" s="1"/>
  <c r="I3177" i="1" a="1"/>
  <c r="I3177" i="1" s="1"/>
  <c r="I3178" i="1" a="1"/>
  <c r="I3178" i="1" s="1"/>
  <c r="I3179" i="1" a="1"/>
  <c r="I3179" i="1" s="1"/>
  <c r="I3180" i="1" a="1"/>
  <c r="I3180" i="1" s="1"/>
  <c r="I3181" i="1" a="1"/>
  <c r="I3181" i="1"/>
  <c r="I3182" i="1" a="1"/>
  <c r="I3182" i="1" s="1"/>
  <c r="I3183" i="1" a="1"/>
  <c r="I3183" i="1" s="1"/>
  <c r="I3184" i="1" a="1"/>
  <c r="I3184" i="1" s="1"/>
  <c r="I3185" i="1" a="1"/>
  <c r="I3185" i="1" s="1"/>
  <c r="I3186" i="1" a="1"/>
  <c r="I3186" i="1" s="1"/>
  <c r="I3187" i="1" a="1"/>
  <c r="I3187" i="1" s="1"/>
  <c r="I3188" i="1" a="1"/>
  <c r="I3188" i="1" s="1"/>
  <c r="I3189" i="1" a="1"/>
  <c r="I3189" i="1"/>
  <c r="I3190" i="1" a="1"/>
  <c r="I3190" i="1" s="1"/>
  <c r="I3191" i="1" a="1"/>
  <c r="I3191" i="1" s="1"/>
  <c r="I3192" i="1" a="1"/>
  <c r="I3192" i="1" s="1"/>
  <c r="I3193" i="1" a="1"/>
  <c r="I3193" i="1" s="1"/>
  <c r="I3194" i="1" a="1"/>
  <c r="I3194" i="1" s="1"/>
  <c r="I3195" i="1" a="1"/>
  <c r="I3195" i="1" s="1"/>
  <c r="I3196" i="1" a="1"/>
  <c r="I3196" i="1" s="1"/>
  <c r="I3197" i="1" a="1"/>
  <c r="I3197" i="1"/>
  <c r="I3198" i="1" a="1"/>
  <c r="I3198" i="1" s="1"/>
  <c r="I3199" i="1" a="1"/>
  <c r="I3199" i="1"/>
  <c r="I3200" i="1" a="1"/>
  <c r="I3200" i="1" s="1"/>
  <c r="I3201" i="1" a="1"/>
  <c r="I3201" i="1" s="1"/>
  <c r="I3202" i="1" a="1"/>
  <c r="I3202" i="1" s="1"/>
  <c r="I3203" i="1" a="1"/>
  <c r="I3203" i="1" s="1"/>
  <c r="I3204" i="1" a="1"/>
  <c r="I3204" i="1" s="1"/>
  <c r="I3205" i="1" a="1"/>
  <c r="I3205" i="1"/>
  <c r="I3206" i="1" a="1"/>
  <c r="I3206" i="1" s="1"/>
  <c r="I3207" i="1" a="1"/>
  <c r="I3207" i="1"/>
  <c r="I3208" i="1" a="1"/>
  <c r="I3208" i="1" s="1"/>
  <c r="I3209" i="1" a="1"/>
  <c r="I3209" i="1" s="1"/>
  <c r="I3210" i="1" a="1"/>
  <c r="I3210" i="1" s="1"/>
  <c r="I3211" i="1" a="1"/>
  <c r="I3211" i="1"/>
  <c r="I3212" i="1" a="1"/>
  <c r="I3212" i="1" s="1"/>
  <c r="I3213" i="1" a="1"/>
  <c r="I3213" i="1"/>
  <c r="I3214" i="1" a="1"/>
  <c r="I3214" i="1" s="1"/>
  <c r="I3215" i="1" a="1"/>
  <c r="I3215" i="1" s="1"/>
  <c r="I3216" i="1" a="1"/>
  <c r="I3216" i="1" s="1"/>
  <c r="I3217" i="1" a="1"/>
  <c r="I3217" i="1" s="1"/>
  <c r="I3218" i="1" a="1"/>
  <c r="I3218" i="1" s="1"/>
  <c r="I3219" i="1" a="1"/>
  <c r="I3219" i="1" s="1"/>
  <c r="I3220" i="1" a="1"/>
  <c r="I3220" i="1" s="1"/>
  <c r="I3221" i="1" a="1"/>
  <c r="I3221" i="1"/>
  <c r="I3222" i="1" a="1"/>
  <c r="I3222" i="1" s="1"/>
  <c r="I3223" i="1" a="1"/>
  <c r="I3223" i="1" s="1"/>
  <c r="I3224" i="1" a="1"/>
  <c r="I3224" i="1" s="1"/>
  <c r="I3225" i="1" a="1"/>
  <c r="I3225" i="1" s="1"/>
  <c r="I3226" i="1" a="1"/>
  <c r="I3226" i="1" s="1"/>
  <c r="I3227" i="1" a="1"/>
  <c r="I3227" i="1" s="1"/>
  <c r="I3228" i="1" a="1"/>
  <c r="I3228" i="1" s="1"/>
  <c r="I3229" i="1" a="1"/>
  <c r="I3229" i="1"/>
  <c r="I3230" i="1" a="1"/>
  <c r="I3230" i="1" s="1"/>
  <c r="I3231" i="1" a="1"/>
  <c r="I3231" i="1" s="1"/>
  <c r="I3232" i="1" a="1"/>
  <c r="I3232" i="1" s="1"/>
  <c r="I3233" i="1" a="1"/>
  <c r="I3233" i="1" s="1"/>
  <c r="I3234" i="1" a="1"/>
  <c r="I3234" i="1" s="1"/>
  <c r="I3235" i="1" a="1"/>
  <c r="I3235" i="1" s="1"/>
  <c r="I3236" i="1" a="1"/>
  <c r="I3236" i="1" s="1"/>
  <c r="I3237" i="1" a="1"/>
  <c r="I3237" i="1"/>
  <c r="I3238" i="1" a="1"/>
  <c r="I3238" i="1" s="1"/>
  <c r="I3239" i="1" a="1"/>
  <c r="I3239" i="1"/>
  <c r="I3240" i="1" a="1"/>
  <c r="I3240" i="1" s="1"/>
  <c r="I3241" i="1" a="1"/>
  <c r="I3241" i="1" s="1"/>
  <c r="I3242" i="1" a="1"/>
  <c r="I3242" i="1" s="1"/>
  <c r="I3243" i="1" a="1"/>
  <c r="I3243" i="1" s="1"/>
  <c r="I3244" i="1" a="1"/>
  <c r="I3244" i="1" s="1"/>
  <c r="I3245" i="1" a="1"/>
  <c r="I3245" i="1"/>
  <c r="I3246" i="1" a="1"/>
  <c r="I3246" i="1" s="1"/>
  <c r="I3247" i="1" a="1"/>
  <c r="I3247" i="1" s="1"/>
  <c r="I3248" i="1" a="1"/>
  <c r="I3248" i="1" s="1"/>
  <c r="I3249" i="1" a="1"/>
  <c r="I3249" i="1" s="1"/>
  <c r="I3250" i="1" a="1"/>
  <c r="I3250" i="1" s="1"/>
  <c r="I3251" i="1" a="1"/>
  <c r="I3251" i="1" s="1"/>
  <c r="I3252" i="1" a="1"/>
  <c r="I3252" i="1" s="1"/>
  <c r="I3253" i="1" a="1"/>
  <c r="I3253" i="1"/>
  <c r="I3254" i="1" a="1"/>
  <c r="I3254" i="1" s="1"/>
  <c r="I3255" i="1" a="1"/>
  <c r="I3255" i="1"/>
  <c r="I3256" i="1" a="1"/>
  <c r="I3256" i="1" s="1"/>
  <c r="I3257" i="1" a="1"/>
  <c r="I3257" i="1" s="1"/>
  <c r="I3258" i="1" a="1"/>
  <c r="I3258" i="1" s="1"/>
  <c r="I3259" i="1" a="1"/>
  <c r="I3259" i="1" s="1"/>
  <c r="I3260" i="1" a="1"/>
  <c r="I3260" i="1" s="1"/>
  <c r="I3261" i="1" a="1"/>
  <c r="I3261" i="1"/>
  <c r="I3262" i="1" a="1"/>
  <c r="I3262" i="1" s="1"/>
  <c r="I3263" i="1" a="1"/>
  <c r="I3263" i="1" s="1"/>
  <c r="I3264" i="1" a="1"/>
  <c r="I3264" i="1" s="1"/>
  <c r="I3265" i="1" a="1"/>
  <c r="I3265" i="1" s="1"/>
  <c r="I3266" i="1" a="1"/>
  <c r="I3266" i="1" s="1"/>
  <c r="I3267" i="1" a="1"/>
  <c r="I3267" i="1" s="1"/>
  <c r="I3268" i="1" a="1"/>
  <c r="I3268" i="1" s="1"/>
  <c r="I3269" i="1" a="1"/>
  <c r="I3269" i="1"/>
  <c r="I3270" i="1" a="1"/>
  <c r="I3270" i="1" s="1"/>
  <c r="I3271" i="1" a="1"/>
  <c r="I3271" i="1" s="1"/>
  <c r="I3272" i="1" a="1"/>
  <c r="I3272" i="1" s="1"/>
  <c r="I3273" i="1" a="1"/>
  <c r="I3273" i="1" s="1"/>
  <c r="I3274" i="1" a="1"/>
  <c r="I3274" i="1" s="1"/>
  <c r="I3275" i="1" a="1"/>
  <c r="I3275" i="1" s="1"/>
  <c r="I3276" i="1" a="1"/>
  <c r="I3276" i="1" s="1"/>
  <c r="I3277" i="1" a="1"/>
  <c r="I3277" i="1"/>
  <c r="I3278" i="1" a="1"/>
  <c r="I3278" i="1" s="1"/>
  <c r="I3279" i="1" a="1"/>
  <c r="I3279" i="1" s="1"/>
  <c r="I3280" i="1" a="1"/>
  <c r="I3280" i="1" s="1"/>
  <c r="I3281" i="1" a="1"/>
  <c r="I3281" i="1" s="1"/>
  <c r="I3282" i="1" a="1"/>
  <c r="I3282" i="1" s="1"/>
  <c r="I3283" i="1" a="1"/>
  <c r="I3283" i="1" s="1"/>
  <c r="I3284" i="1" a="1"/>
  <c r="I3284" i="1" s="1"/>
  <c r="I3285" i="1" a="1"/>
  <c r="I3285" i="1"/>
  <c r="I3286" i="1" a="1"/>
  <c r="I3286" i="1" s="1"/>
  <c r="I3287" i="1" a="1"/>
  <c r="I3287" i="1" s="1"/>
  <c r="I3288" i="1" a="1"/>
  <c r="I3288" i="1" s="1"/>
  <c r="I3289" i="1" a="1"/>
  <c r="I3289" i="1" s="1"/>
  <c r="I3290" i="1" a="1"/>
  <c r="I3290" i="1" s="1"/>
  <c r="I3291" i="1" a="1"/>
  <c r="I3291" i="1" s="1"/>
  <c r="I3292" i="1" a="1"/>
  <c r="I3292" i="1" s="1"/>
  <c r="I3293" i="1" a="1"/>
  <c r="I3293" i="1"/>
  <c r="I3294" i="1" a="1"/>
  <c r="I3294" i="1" s="1"/>
  <c r="I3295" i="1" a="1"/>
  <c r="I3295" i="1" s="1"/>
  <c r="I3296" i="1" a="1"/>
  <c r="I3296" i="1" s="1"/>
  <c r="I3297" i="1" a="1"/>
  <c r="I3297" i="1" s="1"/>
  <c r="I3298" i="1" a="1"/>
  <c r="I3298" i="1" s="1"/>
  <c r="I3299" i="1" a="1"/>
  <c r="I3299" i="1" s="1"/>
  <c r="I3300" i="1" a="1"/>
  <c r="I3300" i="1" s="1"/>
  <c r="I3301" i="1" a="1"/>
  <c r="I3301" i="1"/>
  <c r="I3302" i="1" a="1"/>
  <c r="I3302" i="1" s="1"/>
  <c r="I3303" i="1" a="1"/>
  <c r="I3303" i="1" s="1"/>
  <c r="I3304" i="1" a="1"/>
  <c r="I3304" i="1" s="1"/>
  <c r="I3305" i="1" a="1"/>
  <c r="I3305" i="1" s="1"/>
  <c r="I3306" i="1" a="1"/>
  <c r="I3306" i="1" s="1"/>
  <c r="I3307" i="1" a="1"/>
  <c r="I3307" i="1"/>
  <c r="I3308" i="1" a="1"/>
  <c r="I3308" i="1" s="1"/>
  <c r="I3309" i="1" a="1"/>
  <c r="I3309" i="1"/>
  <c r="I3310" i="1" a="1"/>
  <c r="I3310" i="1" s="1"/>
  <c r="I3311" i="1" a="1"/>
  <c r="I3311" i="1" s="1"/>
  <c r="I3312" i="1" a="1"/>
  <c r="I3312" i="1" s="1"/>
  <c r="I3313" i="1" a="1"/>
  <c r="I3313" i="1" s="1"/>
  <c r="I3314" i="1" a="1"/>
  <c r="I3314" i="1" s="1"/>
  <c r="I3315" i="1" a="1"/>
  <c r="I3315" i="1" s="1"/>
  <c r="I3316" i="1" a="1"/>
  <c r="I3316" i="1" s="1"/>
  <c r="I3317" i="1" a="1"/>
  <c r="I3317" i="1"/>
  <c r="I3318" i="1" a="1"/>
  <c r="I3318" i="1" s="1"/>
  <c r="I3319" i="1" a="1"/>
  <c r="I3319" i="1" s="1"/>
  <c r="I3320" i="1" a="1"/>
  <c r="I3320" i="1" s="1"/>
  <c r="I3321" i="1" a="1"/>
  <c r="I3321" i="1" s="1"/>
  <c r="I3322" i="1" a="1"/>
  <c r="I3322" i="1" s="1"/>
  <c r="I3323" i="1" a="1"/>
  <c r="I3323" i="1"/>
  <c r="I3324" i="1" a="1"/>
  <c r="I3324" i="1" s="1"/>
  <c r="I3325" i="1" a="1"/>
  <c r="I3325" i="1"/>
  <c r="I3326" i="1" a="1"/>
  <c r="I3326" i="1" s="1"/>
  <c r="I3327" i="1" a="1"/>
  <c r="I3327" i="1" s="1"/>
  <c r="I3328" i="1" a="1"/>
  <c r="I3328" i="1" s="1"/>
  <c r="I3329" i="1" a="1"/>
  <c r="I3329" i="1" s="1"/>
  <c r="I3330" i="1" a="1"/>
  <c r="I3330" i="1" s="1"/>
  <c r="I3331" i="1" a="1"/>
  <c r="I3331" i="1" s="1"/>
  <c r="I3332" i="1" a="1"/>
  <c r="I3332" i="1" s="1"/>
  <c r="I3333" i="1" a="1"/>
  <c r="I3333" i="1"/>
  <c r="I3334" i="1" a="1"/>
  <c r="I3334" i="1" s="1"/>
  <c r="I3335" i="1" a="1"/>
  <c r="I3335" i="1" s="1"/>
  <c r="I3336" i="1" a="1"/>
  <c r="I3336" i="1" s="1"/>
  <c r="I3337" i="1" a="1"/>
  <c r="I3337" i="1" s="1"/>
  <c r="I3338" i="1" a="1"/>
  <c r="I3338" i="1" s="1"/>
  <c r="I3339" i="1" a="1"/>
  <c r="I3339" i="1" s="1"/>
  <c r="I3340" i="1" a="1"/>
  <c r="I3340" i="1" s="1"/>
  <c r="I3341" i="1" a="1"/>
  <c r="I3341" i="1"/>
  <c r="I3342" i="1" a="1"/>
  <c r="I3342" i="1" s="1"/>
  <c r="I3343" i="1" a="1"/>
  <c r="I3343" i="1" s="1"/>
  <c r="I3344" i="1" a="1"/>
  <c r="I3344" i="1" s="1"/>
  <c r="I3345" i="1" a="1"/>
  <c r="I3345" i="1" s="1"/>
  <c r="I3346" i="1" a="1"/>
  <c r="I3346" i="1" s="1"/>
  <c r="I3347" i="1" a="1"/>
  <c r="I3347" i="1" s="1"/>
  <c r="I3348" i="1" a="1"/>
  <c r="I3348" i="1" s="1"/>
  <c r="I3349" i="1" a="1"/>
  <c r="I3349" i="1"/>
  <c r="I3350" i="1" a="1"/>
  <c r="I3350" i="1" s="1"/>
  <c r="I3351" i="1" a="1"/>
  <c r="I3351" i="1" s="1"/>
  <c r="I3352" i="1" a="1"/>
  <c r="I3352" i="1" s="1"/>
  <c r="I3353" i="1" a="1"/>
  <c r="I3353" i="1" s="1"/>
  <c r="I3354" i="1" a="1"/>
  <c r="I3354" i="1" s="1"/>
  <c r="I3355" i="1" a="1"/>
  <c r="I3355" i="1" s="1"/>
  <c r="I3356" i="1" a="1"/>
  <c r="I3356" i="1" s="1"/>
  <c r="I3357" i="1" a="1"/>
  <c r="I3357" i="1"/>
  <c r="I3358" i="1" a="1"/>
  <c r="I3358" i="1" s="1"/>
  <c r="I3359" i="1" a="1"/>
  <c r="I3359" i="1" s="1"/>
  <c r="I3360" i="1" a="1"/>
  <c r="I3360" i="1" s="1"/>
  <c r="I3361" i="1" a="1"/>
  <c r="I3361" i="1" s="1"/>
  <c r="I3362" i="1" a="1"/>
  <c r="I3362" i="1" s="1"/>
  <c r="I3363" i="1" a="1"/>
  <c r="I3363" i="1" s="1"/>
  <c r="I3364" i="1" a="1"/>
  <c r="I3364" i="1" s="1"/>
  <c r="I3365" i="1" a="1"/>
  <c r="I3365" i="1"/>
  <c r="I3366" i="1" a="1"/>
  <c r="I3366" i="1" s="1"/>
  <c r="I3367" i="1" a="1"/>
  <c r="I3367" i="1" s="1"/>
  <c r="I3368" i="1" a="1"/>
  <c r="I3368" i="1" s="1"/>
  <c r="I3369" i="1" a="1"/>
  <c r="I3369" i="1" s="1"/>
  <c r="I3370" i="1" a="1"/>
  <c r="I3370" i="1" s="1"/>
  <c r="I3371" i="1" a="1"/>
  <c r="I3371" i="1" s="1"/>
  <c r="I3372" i="1" a="1"/>
  <c r="I3372" i="1" s="1"/>
  <c r="I3373" i="1" a="1"/>
  <c r="I3373" i="1"/>
  <c r="I3374" i="1" a="1"/>
  <c r="I3374" i="1" s="1"/>
  <c r="I3375" i="1" a="1"/>
  <c r="I3375" i="1" s="1"/>
  <c r="I3376" i="1" a="1"/>
  <c r="I3376" i="1" s="1"/>
  <c r="I3377" i="1" a="1"/>
  <c r="I3377" i="1" s="1"/>
  <c r="I3378" i="1" a="1"/>
  <c r="I3378" i="1" s="1"/>
  <c r="I3379" i="1" a="1"/>
  <c r="I3379" i="1"/>
  <c r="I3380" i="1" a="1"/>
  <c r="I3380" i="1" s="1"/>
  <c r="I3381" i="1" a="1"/>
  <c r="I3381" i="1"/>
  <c r="I3382" i="1" a="1"/>
  <c r="I3382" i="1" s="1"/>
  <c r="I3383" i="1" a="1"/>
  <c r="I3383" i="1" s="1"/>
  <c r="I3384" i="1" a="1"/>
  <c r="I3384" i="1" s="1"/>
  <c r="I3385" i="1" a="1"/>
  <c r="I3385" i="1" s="1"/>
  <c r="I3386" i="1" a="1"/>
  <c r="I3386" i="1" s="1"/>
  <c r="I3387" i="1" a="1"/>
  <c r="I3387" i="1" s="1"/>
  <c r="I3388" i="1" a="1"/>
  <c r="I3388" i="1" s="1"/>
  <c r="I3389" i="1" a="1"/>
  <c r="I3389" i="1"/>
  <c r="I3390" i="1" a="1"/>
  <c r="I3390" i="1" s="1"/>
  <c r="I3391" i="1" a="1"/>
  <c r="I3391" i="1" s="1"/>
  <c r="I3392" i="1" a="1"/>
  <c r="I3392" i="1" s="1"/>
  <c r="I3393" i="1" a="1"/>
  <c r="I3393" i="1" s="1"/>
  <c r="I3394" i="1" a="1"/>
  <c r="I3394" i="1" s="1"/>
  <c r="I3395" i="1" a="1"/>
  <c r="I3395" i="1" s="1"/>
  <c r="I3396" i="1" a="1"/>
  <c r="I3396" i="1" s="1"/>
  <c r="I3397" i="1" a="1"/>
  <c r="I3397" i="1"/>
  <c r="I3398" i="1" a="1"/>
  <c r="I3398" i="1" s="1"/>
  <c r="I3399" i="1" a="1"/>
  <c r="I3399" i="1" s="1"/>
  <c r="I3400" i="1" a="1"/>
  <c r="I3400" i="1" s="1"/>
  <c r="I3401" i="1" a="1"/>
  <c r="I3401" i="1" s="1"/>
  <c r="I3402" i="1" a="1"/>
  <c r="I3402" i="1" s="1"/>
  <c r="I3403" i="1" a="1"/>
  <c r="I3403" i="1" s="1"/>
  <c r="I3404" i="1" a="1"/>
  <c r="I3404" i="1" s="1"/>
  <c r="I3405" i="1" a="1"/>
  <c r="I3405" i="1"/>
  <c r="I3406" i="1" a="1"/>
  <c r="I3406" i="1" s="1"/>
  <c r="I3407" i="1" a="1"/>
  <c r="I3407" i="1" s="1"/>
  <c r="I3408" i="1" a="1"/>
  <c r="I3408" i="1" s="1"/>
  <c r="I3409" i="1" a="1"/>
  <c r="I3409" i="1" s="1"/>
  <c r="I3410" i="1" a="1"/>
  <c r="I3410" i="1" s="1"/>
  <c r="I3411" i="1" a="1"/>
  <c r="I3411" i="1" s="1"/>
  <c r="I3412" i="1" a="1"/>
  <c r="I3412" i="1" s="1"/>
  <c r="I3413" i="1" a="1"/>
  <c r="I3413" i="1" s="1"/>
  <c r="I3414" i="1" a="1"/>
  <c r="I3414" i="1" s="1"/>
  <c r="I3415" i="1" a="1"/>
  <c r="I3415" i="1"/>
  <c r="I3416" i="1" a="1"/>
  <c r="I3416" i="1" s="1"/>
  <c r="I3417" i="1" a="1"/>
  <c r="I3417" i="1" s="1"/>
  <c r="I3418" i="1" a="1"/>
  <c r="I3418" i="1" s="1"/>
  <c r="I3419" i="1" a="1"/>
  <c r="I3419" i="1" s="1"/>
  <c r="I3420" i="1" a="1"/>
  <c r="I3420" i="1" s="1"/>
  <c r="I3421" i="1" a="1"/>
  <c r="I3421" i="1" s="1"/>
  <c r="I3422" i="1" a="1"/>
  <c r="I3422" i="1" s="1"/>
  <c r="I3423" i="1" a="1"/>
  <c r="I3423" i="1"/>
  <c r="I3424" i="1" a="1"/>
  <c r="I3424" i="1" s="1"/>
  <c r="I3425" i="1" a="1"/>
  <c r="I3425" i="1" s="1"/>
  <c r="I3426" i="1" a="1"/>
  <c r="I3426" i="1" s="1"/>
  <c r="I3427" i="1" a="1"/>
  <c r="I3427" i="1" s="1"/>
  <c r="I3428" i="1" a="1"/>
  <c r="I3428" i="1" s="1"/>
  <c r="I3429" i="1" a="1"/>
  <c r="I3429" i="1" s="1"/>
  <c r="I3430" i="1" a="1"/>
  <c r="I3430" i="1" s="1"/>
  <c r="I3431" i="1" a="1"/>
  <c r="I3431" i="1"/>
  <c r="I3432" i="1" a="1"/>
  <c r="I3432" i="1" s="1"/>
  <c r="I3433" i="1" a="1"/>
  <c r="I3433" i="1" s="1"/>
  <c r="I3434" i="1" a="1"/>
  <c r="I3434" i="1" s="1"/>
  <c r="I3435" i="1" a="1"/>
  <c r="I3435" i="1" s="1"/>
  <c r="I3436" i="1" a="1"/>
  <c r="I3436" i="1" s="1"/>
  <c r="I3437" i="1" a="1"/>
  <c r="I3437" i="1" s="1"/>
  <c r="I3438" i="1" a="1"/>
  <c r="I3438" i="1" s="1"/>
  <c r="I3439" i="1" a="1"/>
  <c r="I3439" i="1"/>
  <c r="I3440" i="1" a="1"/>
  <c r="I3440" i="1" s="1"/>
  <c r="I3441" i="1" a="1"/>
  <c r="I3441" i="1" s="1"/>
  <c r="I3442" i="1" a="1"/>
  <c r="I3442" i="1" s="1"/>
  <c r="I3443" i="1" a="1"/>
  <c r="I3443" i="1" s="1"/>
  <c r="I3444" i="1" a="1"/>
  <c r="I3444" i="1" s="1"/>
  <c r="I3445" i="1" a="1"/>
  <c r="I3445" i="1" s="1"/>
  <c r="I3446" i="1" a="1"/>
  <c r="I3446" i="1" s="1"/>
  <c r="I3447" i="1" a="1"/>
  <c r="I3447" i="1"/>
  <c r="I3448" i="1" a="1"/>
  <c r="I3448" i="1" s="1"/>
  <c r="I3449" i="1" a="1"/>
  <c r="I3449" i="1" s="1"/>
  <c r="I3450" i="1" a="1"/>
  <c r="I3450" i="1" s="1"/>
  <c r="I3451" i="1" a="1"/>
  <c r="I3451" i="1" s="1"/>
  <c r="I3452" i="1" a="1"/>
  <c r="I3452" i="1" s="1"/>
  <c r="I3453" i="1" a="1"/>
  <c r="I3453" i="1" s="1"/>
  <c r="I3454" i="1" a="1"/>
  <c r="I3454" i="1" s="1"/>
  <c r="I3455" i="1" a="1"/>
  <c r="I3455" i="1"/>
  <c r="I3456" i="1" a="1"/>
  <c r="I3456" i="1" s="1"/>
  <c r="I3457" i="1" a="1"/>
  <c r="I3457" i="1" s="1"/>
  <c r="I3458" i="1" a="1"/>
  <c r="I3458" i="1" s="1"/>
  <c r="I3459" i="1" a="1"/>
  <c r="I3459" i="1" s="1"/>
  <c r="I3460" i="1" a="1"/>
  <c r="I3460" i="1" s="1"/>
  <c r="I3461" i="1" a="1"/>
  <c r="I3461" i="1" s="1"/>
  <c r="I3462" i="1" a="1"/>
  <c r="I3462" i="1" s="1"/>
  <c r="I3463" i="1" a="1"/>
  <c r="I3463" i="1"/>
  <c r="I3464" i="1" a="1"/>
  <c r="I3464" i="1" s="1"/>
  <c r="I3465" i="1" a="1"/>
  <c r="I3465" i="1"/>
  <c r="I3466" i="1" a="1"/>
  <c r="I3466" i="1" s="1"/>
  <c r="I3467" i="1" a="1"/>
  <c r="I3467" i="1" s="1"/>
  <c r="I3468" i="1" a="1"/>
  <c r="I3468" i="1" s="1"/>
  <c r="I3469" i="1" a="1"/>
  <c r="I3469" i="1" s="1"/>
  <c r="I3470" i="1" a="1"/>
  <c r="I3470" i="1" s="1"/>
  <c r="I3471" i="1" a="1"/>
  <c r="I3471" i="1"/>
  <c r="I3472" i="1" a="1"/>
  <c r="I3472" i="1" s="1"/>
  <c r="I3473" i="1" a="1"/>
  <c r="I3473" i="1"/>
  <c r="I3474" i="1" a="1"/>
  <c r="I3474" i="1" s="1"/>
  <c r="I3475" i="1" a="1"/>
  <c r="I3475" i="1" s="1"/>
  <c r="I3476" i="1" a="1"/>
  <c r="I3476" i="1" s="1"/>
  <c r="I3477" i="1" a="1"/>
  <c r="I3477" i="1" s="1"/>
  <c r="I3478" i="1" a="1"/>
  <c r="I3478" i="1" s="1"/>
  <c r="I3479" i="1" a="1"/>
  <c r="I3479" i="1"/>
  <c r="I3480" i="1" a="1"/>
  <c r="I3480" i="1" s="1"/>
  <c r="I3481" i="1" a="1"/>
  <c r="I3481" i="1"/>
  <c r="I3482" i="1" a="1"/>
  <c r="I3482" i="1" s="1"/>
  <c r="I3483" i="1" a="1"/>
  <c r="I3483" i="1"/>
  <c r="I3484" i="1" a="1"/>
  <c r="I3484" i="1" s="1"/>
  <c r="I3485" i="1" a="1"/>
  <c r="I3485" i="1" s="1"/>
  <c r="I3486" i="1" a="1"/>
  <c r="I3486" i="1" s="1"/>
  <c r="I3487" i="1" a="1"/>
  <c r="I3487" i="1"/>
  <c r="I3488" i="1" a="1"/>
  <c r="I3488" i="1" s="1"/>
  <c r="I3489" i="1" a="1"/>
  <c r="I3489" i="1"/>
  <c r="I3490" i="1" a="1"/>
  <c r="I3490" i="1" s="1"/>
  <c r="I3491" i="1" a="1"/>
  <c r="I3491" i="1"/>
  <c r="I3492" i="1" a="1"/>
  <c r="I3492" i="1" s="1"/>
  <c r="I3493" i="1" a="1"/>
  <c r="I3493" i="1" s="1"/>
  <c r="I3494" i="1" a="1"/>
  <c r="I3494" i="1" s="1"/>
  <c r="I3495" i="1" a="1"/>
  <c r="I3495" i="1"/>
  <c r="I3496" i="1" a="1"/>
  <c r="I3496" i="1" s="1"/>
  <c r="I3497" i="1" a="1"/>
  <c r="I3497" i="1"/>
  <c r="I3498" i="1" a="1"/>
  <c r="I3498" i="1" s="1"/>
  <c r="I3499" i="1" a="1"/>
  <c r="I3499" i="1" s="1"/>
  <c r="I3500" i="1" a="1"/>
  <c r="I3500" i="1" s="1"/>
  <c r="I3501" i="1" a="1"/>
  <c r="I3501" i="1" s="1"/>
  <c r="I3502" i="1" a="1"/>
  <c r="I3502" i="1" s="1"/>
  <c r="I3503" i="1" a="1"/>
  <c r="I3503" i="1"/>
  <c r="I3504" i="1" a="1"/>
  <c r="I3504" i="1" s="1"/>
  <c r="I3505" i="1" a="1"/>
  <c r="I3505" i="1"/>
  <c r="I3506" i="1" a="1"/>
  <c r="I3506" i="1" s="1"/>
  <c r="I3507" i="1" a="1"/>
  <c r="I3507" i="1" s="1"/>
  <c r="I3508" i="1" a="1"/>
  <c r="I3508" i="1" s="1"/>
  <c r="I3509" i="1" a="1"/>
  <c r="I3509" i="1" s="1"/>
  <c r="I3510" i="1" a="1"/>
  <c r="I3510" i="1" s="1"/>
  <c r="I3511" i="1" a="1"/>
  <c r="I3511" i="1"/>
  <c r="I3512" i="1" a="1"/>
  <c r="I3512" i="1" s="1"/>
  <c r="I3513" i="1" a="1"/>
  <c r="I3513" i="1"/>
  <c r="I3514" i="1" a="1"/>
  <c r="I3514" i="1" s="1"/>
  <c r="I3515" i="1" a="1"/>
  <c r="I3515" i="1" s="1"/>
  <c r="I3516" i="1" a="1"/>
  <c r="I3516" i="1" s="1"/>
  <c r="I3517" i="1" a="1"/>
  <c r="I3517" i="1" s="1"/>
  <c r="I3518" i="1" a="1"/>
  <c r="I3518" i="1" s="1"/>
  <c r="I3519" i="1" a="1"/>
  <c r="I3519" i="1"/>
  <c r="I3520" i="1" a="1"/>
  <c r="I3520" i="1" s="1"/>
  <c r="I3521" i="1" a="1"/>
  <c r="I3521" i="1"/>
  <c r="I3522" i="1" a="1"/>
  <c r="I3522" i="1" s="1"/>
  <c r="I3523" i="1" a="1"/>
  <c r="I3523" i="1"/>
  <c r="I3524" i="1" a="1"/>
  <c r="I3524" i="1" s="1"/>
  <c r="I3525" i="1" a="1"/>
  <c r="I3525" i="1" s="1"/>
  <c r="I3526" i="1" a="1"/>
  <c r="I3526" i="1" s="1"/>
  <c r="I3527" i="1" a="1"/>
  <c r="I3527" i="1"/>
  <c r="I3528" i="1" a="1"/>
  <c r="I3528" i="1" s="1"/>
  <c r="I3529" i="1" a="1"/>
  <c r="I3529" i="1"/>
  <c r="I3530" i="1" a="1"/>
  <c r="I3530" i="1" s="1"/>
  <c r="I3531" i="1" a="1"/>
  <c r="I3531" i="1"/>
  <c r="I3532" i="1" a="1"/>
  <c r="I3532" i="1" s="1"/>
  <c r="I3533" i="1" a="1"/>
  <c r="I3533" i="1" s="1"/>
  <c r="I3534" i="1" a="1"/>
  <c r="I3534" i="1" s="1"/>
  <c r="I3535" i="1" a="1"/>
  <c r="I3535" i="1"/>
  <c r="I3536" i="1" a="1"/>
  <c r="I3536" i="1" s="1"/>
  <c r="I3537" i="1" a="1"/>
  <c r="I3537" i="1"/>
  <c r="I3538" i="1" a="1"/>
  <c r="I3538" i="1" s="1"/>
  <c r="I3539" i="1" a="1"/>
  <c r="I3539" i="1"/>
  <c r="I3540" i="1" a="1"/>
  <c r="I3540" i="1" s="1"/>
  <c r="I3541" i="1" a="1"/>
  <c r="I3541" i="1" s="1"/>
  <c r="I3542" i="1" a="1"/>
  <c r="I3542" i="1" s="1"/>
  <c r="I3543" i="1" a="1"/>
  <c r="I3543" i="1"/>
  <c r="I3544" i="1" a="1"/>
  <c r="I3544" i="1" s="1"/>
  <c r="I3545" i="1" a="1"/>
  <c r="I3545" i="1"/>
  <c r="I3546" i="1" a="1"/>
  <c r="I3546" i="1" s="1"/>
  <c r="I3547" i="1" a="1"/>
  <c r="I3547" i="1"/>
  <c r="I3548" i="1" a="1"/>
  <c r="I3548" i="1" s="1"/>
  <c r="I3549" i="1" a="1"/>
  <c r="I3549" i="1" s="1"/>
  <c r="I3550" i="1" a="1"/>
  <c r="I3550" i="1" s="1"/>
  <c r="I3551" i="1" a="1"/>
  <c r="I3551" i="1"/>
  <c r="I3552" i="1" a="1"/>
  <c r="I3552" i="1" s="1"/>
  <c r="I3553" i="1" a="1"/>
  <c r="I3553" i="1"/>
  <c r="I3554" i="1" a="1"/>
  <c r="I3554" i="1" s="1"/>
  <c r="I3555" i="1" a="1"/>
  <c r="I3555" i="1"/>
  <c r="I3556" i="1" a="1"/>
  <c r="I3556" i="1" s="1"/>
  <c r="I3557" i="1" a="1"/>
  <c r="I3557" i="1" s="1"/>
  <c r="I3558" i="1" a="1"/>
  <c r="I3558" i="1" s="1"/>
  <c r="I3559" i="1" a="1"/>
  <c r="I3559" i="1"/>
  <c r="I3560" i="1" a="1"/>
  <c r="I3560" i="1" s="1"/>
  <c r="I3561" i="1" a="1"/>
  <c r="I3561" i="1"/>
  <c r="I3562" i="1" a="1"/>
  <c r="I3562" i="1" s="1"/>
  <c r="I3563" i="1" a="1"/>
  <c r="I3563" i="1"/>
  <c r="I3564" i="1" a="1"/>
  <c r="I3564" i="1" s="1"/>
  <c r="I3565" i="1" a="1"/>
  <c r="I3565" i="1" s="1"/>
  <c r="I3566" i="1" a="1"/>
  <c r="I3566" i="1" s="1"/>
  <c r="I3567" i="1" a="1"/>
  <c r="I3567" i="1"/>
  <c r="I3568" i="1" a="1"/>
  <c r="I3568" i="1" s="1"/>
  <c r="I3569" i="1" a="1"/>
  <c r="I3569" i="1"/>
  <c r="I3570" i="1" a="1"/>
  <c r="I3570" i="1" s="1"/>
  <c r="I3571" i="1" a="1"/>
  <c r="I3571" i="1"/>
  <c r="I3572" i="1" a="1"/>
  <c r="I3572" i="1" s="1"/>
  <c r="I3573" i="1" a="1"/>
  <c r="I3573" i="1" s="1"/>
  <c r="I3574" i="1" a="1"/>
  <c r="I3574" i="1" s="1"/>
  <c r="I3575" i="1" a="1"/>
  <c r="I3575" i="1"/>
  <c r="I3576" i="1" a="1"/>
  <c r="I3576" i="1" s="1"/>
  <c r="I3577" i="1" a="1"/>
  <c r="I3577" i="1"/>
  <c r="I3578" i="1" a="1"/>
  <c r="I3578" i="1" s="1"/>
  <c r="I3579" i="1" a="1"/>
  <c r="I3579" i="1"/>
  <c r="I3580" i="1" a="1"/>
  <c r="I3580" i="1" s="1"/>
  <c r="I3581" i="1" a="1"/>
  <c r="I3581" i="1" s="1"/>
  <c r="I3582" i="1" a="1"/>
  <c r="I3582" i="1" s="1"/>
  <c r="I3583" i="1" a="1"/>
  <c r="I3583" i="1"/>
  <c r="I3584" i="1" a="1"/>
  <c r="I3584" i="1" s="1"/>
  <c r="I3585" i="1" a="1"/>
  <c r="I3585" i="1"/>
  <c r="I3586" i="1" a="1"/>
  <c r="I3586" i="1" s="1"/>
  <c r="I3587" i="1" a="1"/>
  <c r="I3587" i="1"/>
  <c r="I3588" i="1" a="1"/>
  <c r="I3588" i="1" s="1"/>
  <c r="I3589" i="1" a="1"/>
  <c r="I3589" i="1" s="1"/>
  <c r="I3590" i="1" a="1"/>
  <c r="I3590" i="1" s="1"/>
  <c r="I3591" i="1" a="1"/>
  <c r="I3591" i="1"/>
  <c r="I3592" i="1" a="1"/>
  <c r="I3592" i="1" s="1"/>
  <c r="I3593" i="1" a="1"/>
  <c r="I3593" i="1"/>
  <c r="I3594" i="1" a="1"/>
  <c r="I3594" i="1" s="1"/>
  <c r="I3595" i="1" a="1"/>
  <c r="I3595" i="1"/>
  <c r="I3596" i="1" a="1"/>
  <c r="I3596" i="1" s="1"/>
  <c r="I3597" i="1" a="1"/>
  <c r="I3597" i="1" s="1"/>
  <c r="I3598" i="1" a="1"/>
  <c r="I3598" i="1" s="1"/>
  <c r="I3599" i="1" a="1"/>
  <c r="I3599" i="1"/>
  <c r="I3600" i="1" a="1"/>
  <c r="I3600" i="1" s="1"/>
  <c r="I3601" i="1" a="1"/>
  <c r="I3601" i="1"/>
  <c r="I3602" i="1" a="1"/>
  <c r="I3602" i="1" s="1"/>
  <c r="I3603" i="1" a="1"/>
  <c r="I3603" i="1"/>
  <c r="I3604" i="1" a="1"/>
  <c r="I3604" i="1" s="1"/>
  <c r="I3605" i="1" a="1"/>
  <c r="I3605" i="1" s="1"/>
  <c r="I3606" i="1" a="1"/>
  <c r="I3606" i="1" s="1"/>
  <c r="I3607" i="1" a="1"/>
  <c r="I3607" i="1"/>
  <c r="I3608" i="1" a="1"/>
  <c r="I3608" i="1" s="1"/>
  <c r="I3609" i="1" a="1"/>
  <c r="I3609" i="1"/>
  <c r="I3610" i="1" a="1"/>
  <c r="I3610" i="1" s="1"/>
  <c r="I3611" i="1" a="1"/>
  <c r="I3611" i="1"/>
  <c r="I3612" i="1" a="1"/>
  <c r="I3612" i="1" s="1"/>
  <c r="I3613" i="1" a="1"/>
  <c r="I3613" i="1" s="1"/>
  <c r="I3614" i="1" a="1"/>
  <c r="I3614" i="1" s="1"/>
  <c r="I3615" i="1" a="1"/>
  <c r="I3615" i="1"/>
  <c r="I3616" i="1" a="1"/>
  <c r="I3616" i="1" s="1"/>
  <c r="I3617" i="1" a="1"/>
  <c r="I3617" i="1"/>
  <c r="I3618" i="1" a="1"/>
  <c r="I3618" i="1" s="1"/>
  <c r="I3619" i="1" a="1"/>
  <c r="I3619" i="1"/>
  <c r="I3620" i="1" a="1"/>
  <c r="I3620" i="1" s="1"/>
  <c r="I3621" i="1" a="1"/>
  <c r="I3621" i="1" s="1"/>
  <c r="I3622" i="1" a="1"/>
  <c r="I3622" i="1" s="1"/>
  <c r="I3623" i="1" a="1"/>
  <c r="I3623" i="1"/>
  <c r="I3624" i="1" a="1"/>
  <c r="I3624" i="1" s="1"/>
  <c r="I3625" i="1" a="1"/>
  <c r="I3625" i="1"/>
  <c r="I3626" i="1" a="1"/>
  <c r="I3626" i="1" s="1"/>
  <c r="I3627" i="1" a="1"/>
  <c r="I3627" i="1"/>
  <c r="I3628" i="1" a="1"/>
  <c r="I3628" i="1" s="1"/>
  <c r="I3629" i="1" a="1"/>
  <c r="I3629" i="1" s="1"/>
  <c r="I3630" i="1" a="1"/>
  <c r="I3630" i="1" s="1"/>
  <c r="I3631" i="1" a="1"/>
  <c r="I3631" i="1"/>
  <c r="I3632" i="1" a="1"/>
  <c r="I3632" i="1" s="1"/>
  <c r="I3633" i="1" a="1"/>
  <c r="I3633" i="1"/>
  <c r="I3634" i="1" a="1"/>
  <c r="I3634" i="1" s="1"/>
  <c r="I3635" i="1" a="1"/>
  <c r="I3635" i="1"/>
  <c r="I3636" i="1" a="1"/>
  <c r="I3636" i="1" s="1"/>
  <c r="I3637" i="1" a="1"/>
  <c r="I3637" i="1" s="1"/>
  <c r="I3638" i="1" a="1"/>
  <c r="I3638" i="1" s="1"/>
  <c r="I3639" i="1" a="1"/>
  <c r="I3639" i="1"/>
  <c r="I3640" i="1" a="1"/>
  <c r="I3640" i="1" s="1"/>
  <c r="I3641" i="1" a="1"/>
  <c r="I3641" i="1"/>
  <c r="I3642" i="1" a="1"/>
  <c r="I3642" i="1" s="1"/>
  <c r="I3643" i="1" a="1"/>
  <c r="I3643" i="1"/>
  <c r="I3644" i="1" a="1"/>
  <c r="I3644" i="1" s="1"/>
  <c r="I3645" i="1" a="1"/>
  <c r="I3645" i="1" s="1"/>
  <c r="I3646" i="1" a="1"/>
  <c r="I3646" i="1" s="1"/>
  <c r="I3647" i="1" a="1"/>
  <c r="I3647" i="1"/>
  <c r="I3648" i="1" a="1"/>
  <c r="I3648" i="1" s="1"/>
  <c r="I3649" i="1" a="1"/>
  <c r="I3649" i="1"/>
  <c r="I3650" i="1" a="1"/>
  <c r="I3650" i="1" s="1"/>
  <c r="I3651" i="1" a="1"/>
  <c r="I3651" i="1"/>
  <c r="I3652" i="1" a="1"/>
  <c r="I3652" i="1" s="1"/>
  <c r="I3653" i="1" a="1"/>
  <c r="I3653" i="1" s="1"/>
  <c r="I3654" i="1" a="1"/>
  <c r="I3654" i="1" s="1"/>
  <c r="I3655" i="1" a="1"/>
  <c r="I3655" i="1"/>
  <c r="I3656" i="1" a="1"/>
  <c r="I3656" i="1" s="1"/>
  <c r="I3657" i="1" a="1"/>
  <c r="I3657" i="1"/>
  <c r="I3658" i="1" a="1"/>
  <c r="I3658" i="1" s="1"/>
  <c r="I3659" i="1" a="1"/>
  <c r="I3659" i="1" s="1"/>
  <c r="I3660" i="1" a="1"/>
  <c r="I3660" i="1" s="1"/>
  <c r="I3661" i="1" a="1"/>
  <c r="I3661" i="1" s="1"/>
  <c r="I3662" i="1" a="1"/>
  <c r="I3662" i="1" s="1"/>
  <c r="I3663" i="1" a="1"/>
  <c r="I3663" i="1"/>
  <c r="I3664" i="1" a="1"/>
  <c r="I3664" i="1" s="1"/>
  <c r="I3665" i="1" a="1"/>
  <c r="I3665" i="1"/>
  <c r="I3666" i="1" a="1"/>
  <c r="I3666" i="1" s="1"/>
  <c r="I3667" i="1" a="1"/>
  <c r="I3667" i="1" s="1"/>
  <c r="I3668" i="1" a="1"/>
  <c r="I3668" i="1" s="1"/>
  <c r="I3669" i="1" a="1"/>
  <c r="I3669" i="1" s="1"/>
  <c r="I3670" i="1" a="1"/>
  <c r="I3670" i="1" s="1"/>
  <c r="I3671" i="1" a="1"/>
  <c r="I3671" i="1"/>
  <c r="I3672" i="1" a="1"/>
  <c r="I3672" i="1" s="1"/>
  <c r="I3673" i="1" a="1"/>
  <c r="I3673" i="1"/>
  <c r="I3674" i="1" a="1"/>
  <c r="I3674" i="1" s="1"/>
  <c r="I3675" i="1" a="1"/>
  <c r="I3675" i="1" s="1"/>
  <c r="I3676" i="1" a="1"/>
  <c r="I3676" i="1" s="1"/>
  <c r="I3677" i="1" a="1"/>
  <c r="I3677" i="1" s="1"/>
  <c r="I3678" i="1" a="1"/>
  <c r="I3678" i="1" s="1"/>
  <c r="I3679" i="1" a="1"/>
  <c r="I3679" i="1"/>
  <c r="I3680" i="1" a="1"/>
  <c r="I3680" i="1" s="1"/>
  <c r="I3681" i="1" a="1"/>
  <c r="I3681" i="1"/>
  <c r="I3682" i="1" a="1"/>
  <c r="I3682" i="1" s="1"/>
  <c r="I3683" i="1" a="1"/>
  <c r="I3683" i="1" s="1"/>
  <c r="I3684" i="1" a="1"/>
  <c r="I3684" i="1" s="1"/>
  <c r="I3685" i="1" a="1"/>
  <c r="I3685" i="1" s="1"/>
  <c r="I3686" i="1" a="1"/>
  <c r="I3686" i="1" s="1"/>
  <c r="I3687" i="1" a="1"/>
  <c r="I3687" i="1"/>
  <c r="I3688" i="1" a="1"/>
  <c r="I3688" i="1" s="1"/>
  <c r="I3689" i="1" a="1"/>
  <c r="I3689" i="1"/>
  <c r="I3690" i="1" a="1"/>
  <c r="I3690" i="1" s="1"/>
  <c r="I3691" i="1" a="1"/>
  <c r="I3691" i="1" s="1"/>
  <c r="I3692" i="1" a="1"/>
  <c r="I3692" i="1" s="1"/>
  <c r="I3693" i="1" a="1"/>
  <c r="I3693" i="1" s="1"/>
  <c r="I3694" i="1" a="1"/>
  <c r="I3694" i="1" s="1"/>
  <c r="I3695" i="1" a="1"/>
  <c r="I3695" i="1"/>
  <c r="I3696" i="1" a="1"/>
  <c r="I3696" i="1" s="1"/>
  <c r="I3697" i="1" a="1"/>
  <c r="I3697" i="1"/>
  <c r="I3698" i="1" a="1"/>
  <c r="I3698" i="1" s="1"/>
  <c r="I3699" i="1" a="1"/>
  <c r="I3699" i="1" s="1"/>
  <c r="I3700" i="1" a="1"/>
  <c r="I3700" i="1" s="1"/>
  <c r="I3701" i="1" a="1"/>
  <c r="I3701" i="1" s="1"/>
  <c r="I3702" i="1" a="1"/>
  <c r="I3702" i="1" s="1"/>
  <c r="I3703" i="1" a="1"/>
  <c r="I3703" i="1"/>
  <c r="I3704" i="1" a="1"/>
  <c r="I3704" i="1" s="1"/>
  <c r="I3705" i="1" a="1"/>
  <c r="I3705" i="1"/>
  <c r="I3706" i="1" a="1"/>
  <c r="I3706" i="1" s="1"/>
  <c r="I3707" i="1" a="1"/>
  <c r="I3707" i="1" s="1"/>
  <c r="I3708" i="1" a="1"/>
  <c r="I3708" i="1" s="1"/>
  <c r="I3709" i="1" a="1"/>
  <c r="I3709" i="1" s="1"/>
  <c r="I3710" i="1" a="1"/>
  <c r="I3710" i="1" s="1"/>
  <c r="I3711" i="1" a="1"/>
  <c r="I3711" i="1"/>
  <c r="I3712" i="1" a="1"/>
  <c r="I3712" i="1" s="1"/>
  <c r="I3713" i="1" a="1"/>
  <c r="I3713" i="1"/>
  <c r="I3714" i="1" a="1"/>
  <c r="I3714" i="1" s="1"/>
  <c r="I3715" i="1" a="1"/>
  <c r="I3715" i="1" s="1"/>
  <c r="I3716" i="1" a="1"/>
  <c r="I3716" i="1" s="1"/>
  <c r="I3717" i="1" a="1"/>
  <c r="I3717" i="1" s="1"/>
  <c r="I3718" i="1" a="1"/>
  <c r="I3718" i="1" s="1"/>
  <c r="I3719" i="1" a="1"/>
  <c r="I3719" i="1"/>
  <c r="I3720" i="1" a="1"/>
  <c r="I3720" i="1" s="1"/>
  <c r="I3721" i="1" a="1"/>
  <c r="I3721" i="1"/>
  <c r="I3722" i="1" a="1"/>
  <c r="I3722" i="1" s="1"/>
  <c r="I3723" i="1" a="1"/>
  <c r="I3723" i="1"/>
  <c r="I3724" i="1" a="1"/>
  <c r="I3724" i="1" s="1"/>
  <c r="I3725" i="1" a="1"/>
  <c r="I3725" i="1" s="1"/>
  <c r="I3726" i="1" a="1"/>
  <c r="I3726" i="1" s="1"/>
  <c r="I3727" i="1" a="1"/>
  <c r="I3727" i="1"/>
  <c r="I3728" i="1" a="1"/>
  <c r="I3728" i="1" s="1"/>
  <c r="I3729" i="1" a="1"/>
  <c r="I3729" i="1"/>
  <c r="I3730" i="1" a="1"/>
  <c r="I3730" i="1" s="1"/>
  <c r="I3731" i="1" a="1"/>
  <c r="I3731" i="1" s="1"/>
  <c r="I3732" i="1" a="1"/>
  <c r="I3732" i="1" s="1"/>
  <c r="I3733" i="1" a="1"/>
  <c r="I3733" i="1" s="1"/>
  <c r="I3734" i="1" a="1"/>
  <c r="I3734" i="1" s="1"/>
  <c r="I3735" i="1" a="1"/>
  <c r="I3735" i="1"/>
  <c r="I3736" i="1" a="1"/>
  <c r="I3736" i="1" s="1"/>
  <c r="I3737" i="1" a="1"/>
  <c r="I3737" i="1"/>
  <c r="I3738" i="1" a="1"/>
  <c r="I3738" i="1" s="1"/>
  <c r="I3739" i="1" a="1"/>
  <c r="I3739" i="1" s="1"/>
  <c r="I3740" i="1" a="1"/>
  <c r="I3740" i="1" s="1"/>
  <c r="I3741" i="1" a="1"/>
  <c r="I3741" i="1" s="1"/>
  <c r="I3742" i="1" a="1"/>
  <c r="I3742" i="1" s="1"/>
  <c r="I3743" i="1" a="1"/>
  <c r="I3743" i="1"/>
  <c r="I3744" i="1" a="1"/>
  <c r="I3744" i="1" s="1"/>
  <c r="I3745" i="1" a="1"/>
  <c r="I3745" i="1"/>
  <c r="I3746" i="1" a="1"/>
  <c r="I3746" i="1" s="1"/>
  <c r="I3747" i="1" a="1"/>
  <c r="I3747" i="1" s="1"/>
  <c r="I3748" i="1" a="1"/>
  <c r="I3748" i="1" s="1"/>
  <c r="I3749" i="1" a="1"/>
  <c r="I3749" i="1" s="1"/>
  <c r="I3750" i="1" a="1"/>
  <c r="I3750" i="1" s="1"/>
  <c r="I3751" i="1" a="1"/>
  <c r="I3751" i="1"/>
  <c r="I3752" i="1" a="1"/>
  <c r="I3752" i="1" s="1"/>
  <c r="I3753" i="1" a="1"/>
  <c r="I3753" i="1"/>
  <c r="I3754" i="1" a="1"/>
  <c r="I3754" i="1" s="1"/>
  <c r="I3755" i="1" a="1"/>
  <c r="I3755" i="1" s="1"/>
  <c r="I3756" i="1" a="1"/>
  <c r="I3756" i="1" s="1"/>
  <c r="I3757" i="1" a="1"/>
  <c r="I3757" i="1" s="1"/>
  <c r="I3758" i="1" a="1"/>
  <c r="I3758" i="1" s="1"/>
  <c r="I3759" i="1" a="1"/>
  <c r="I3759" i="1"/>
  <c r="I3760" i="1" a="1"/>
  <c r="I3760" i="1" s="1"/>
  <c r="I3761" i="1" a="1"/>
  <c r="I3761" i="1"/>
  <c r="I3762" i="1" a="1"/>
  <c r="I3762" i="1" s="1"/>
  <c r="I3763" i="1" a="1"/>
  <c r="I3763" i="1" s="1"/>
  <c r="I3764" i="1" a="1"/>
  <c r="I3764" i="1" s="1"/>
  <c r="I3765" i="1" a="1"/>
  <c r="I3765" i="1" s="1"/>
  <c r="I3766" i="1" a="1"/>
  <c r="I3766" i="1" s="1"/>
  <c r="I3767" i="1" a="1"/>
  <c r="I3767" i="1"/>
  <c r="I3768" i="1" a="1"/>
  <c r="I3768" i="1" s="1"/>
  <c r="I3769" i="1" a="1"/>
  <c r="I3769" i="1"/>
  <c r="I3770" i="1" a="1"/>
  <c r="I3770" i="1" s="1"/>
  <c r="I3771" i="1" a="1"/>
  <c r="I3771" i="1" s="1"/>
  <c r="I3772" i="1" a="1"/>
  <c r="I3772" i="1" s="1"/>
  <c r="I3773" i="1" a="1"/>
  <c r="I3773" i="1" s="1"/>
  <c r="I3774" i="1" a="1"/>
  <c r="I3774" i="1" s="1"/>
  <c r="I3775" i="1" a="1"/>
  <c r="I3775" i="1"/>
  <c r="I3776" i="1" a="1"/>
  <c r="I3776" i="1" s="1"/>
  <c r="I3777" i="1" a="1"/>
  <c r="I3777" i="1"/>
  <c r="I3778" i="1" a="1"/>
  <c r="I3778" i="1" s="1"/>
  <c r="I3779" i="1" a="1"/>
  <c r="I3779" i="1" s="1"/>
  <c r="I3780" i="1" a="1"/>
  <c r="I3780" i="1" s="1"/>
  <c r="I3781" i="1" a="1"/>
  <c r="I3781" i="1" s="1"/>
  <c r="I3782" i="1" a="1"/>
  <c r="I3782" i="1" s="1"/>
  <c r="I3783" i="1" a="1"/>
  <c r="I3783" i="1"/>
  <c r="I3784" i="1" a="1"/>
  <c r="I3784" i="1" s="1"/>
  <c r="I3785" i="1" a="1"/>
  <c r="I3785" i="1"/>
  <c r="I3786" i="1" a="1"/>
  <c r="I3786" i="1" s="1"/>
  <c r="I3787" i="1" a="1"/>
  <c r="I3787" i="1" s="1"/>
  <c r="I3788" i="1" a="1"/>
  <c r="I3788" i="1" s="1"/>
  <c r="I3789" i="1" a="1"/>
  <c r="I3789" i="1" s="1"/>
  <c r="I3790" i="1" a="1"/>
  <c r="I3790" i="1" s="1"/>
  <c r="I3791" i="1" a="1"/>
  <c r="I3791" i="1"/>
  <c r="I3792" i="1" a="1"/>
  <c r="I3792" i="1" s="1"/>
  <c r="I3793" i="1" a="1"/>
  <c r="I3793" i="1"/>
  <c r="I3794" i="1" a="1"/>
  <c r="I3794" i="1" s="1"/>
  <c r="I3795" i="1" a="1"/>
  <c r="I3795" i="1"/>
  <c r="I3796" i="1" a="1"/>
  <c r="I3796" i="1" s="1"/>
  <c r="I3797" i="1" a="1"/>
  <c r="I3797" i="1" s="1"/>
  <c r="I3798" i="1" a="1"/>
  <c r="I3798" i="1" s="1"/>
  <c r="I3799" i="1" a="1"/>
  <c r="I3799" i="1"/>
  <c r="I3800" i="1" a="1"/>
  <c r="I3800" i="1" s="1"/>
  <c r="I3801" i="1" a="1"/>
  <c r="I3801" i="1"/>
  <c r="I3802" i="1" a="1"/>
  <c r="I3802" i="1" s="1"/>
  <c r="I3803" i="1" a="1"/>
  <c r="I3803" i="1" s="1"/>
  <c r="I3804" i="1" a="1"/>
  <c r="I3804" i="1" s="1"/>
  <c r="I3805" i="1" a="1"/>
  <c r="I3805" i="1" s="1"/>
  <c r="I3806" i="1" a="1"/>
  <c r="I3806" i="1" s="1"/>
  <c r="I3807" i="1" a="1"/>
  <c r="I3807" i="1"/>
  <c r="I3808" i="1" a="1"/>
  <c r="I3808" i="1" s="1"/>
  <c r="I3809" i="1" a="1"/>
  <c r="I3809" i="1"/>
  <c r="I3810" i="1" a="1"/>
  <c r="I3810" i="1" s="1"/>
  <c r="I3811" i="1" a="1"/>
  <c r="I3811" i="1" s="1"/>
  <c r="I3812" i="1" a="1"/>
  <c r="I3812" i="1" s="1"/>
  <c r="I3813" i="1" a="1"/>
  <c r="I3813" i="1" s="1"/>
  <c r="I3814" i="1" a="1"/>
  <c r="I3814" i="1" s="1"/>
  <c r="I3815" i="1" a="1"/>
  <c r="I3815" i="1"/>
  <c r="I3816" i="1" a="1"/>
  <c r="I3816" i="1" s="1"/>
  <c r="I3817" i="1" a="1"/>
  <c r="I3817" i="1"/>
  <c r="I3818" i="1" a="1"/>
  <c r="I3818" i="1" s="1"/>
  <c r="I3819" i="1" a="1"/>
  <c r="I3819" i="1" s="1"/>
  <c r="I3820" i="1" a="1"/>
  <c r="I3820" i="1" s="1"/>
  <c r="I3821" i="1" a="1"/>
  <c r="I3821" i="1" s="1"/>
  <c r="I3822" i="1" a="1"/>
  <c r="I3822" i="1" s="1"/>
  <c r="I3823" i="1" a="1"/>
  <c r="I3823" i="1"/>
  <c r="I3824" i="1" a="1"/>
  <c r="I3824" i="1" s="1"/>
  <c r="I3825" i="1" a="1"/>
  <c r="I3825" i="1"/>
  <c r="I3826" i="1" a="1"/>
  <c r="I3826" i="1" s="1"/>
  <c r="I3827" i="1" a="1"/>
  <c r="I3827" i="1" s="1"/>
  <c r="I3828" i="1" a="1"/>
  <c r="I3828" i="1" s="1"/>
  <c r="I3829" i="1" a="1"/>
  <c r="I3829" i="1" s="1"/>
  <c r="I3830" i="1" a="1"/>
  <c r="I3830" i="1" s="1"/>
  <c r="I3831" i="1" a="1"/>
  <c r="I3831" i="1"/>
  <c r="I3832" i="1" a="1"/>
  <c r="I3832" i="1" s="1"/>
  <c r="I3833" i="1" a="1"/>
  <c r="I3833" i="1"/>
  <c r="I3834" i="1" a="1"/>
  <c r="I3834" i="1" s="1"/>
  <c r="I3835" i="1" a="1"/>
  <c r="I3835" i="1" s="1"/>
  <c r="I3836" i="1" a="1"/>
  <c r="I3836" i="1" s="1"/>
  <c r="I3837" i="1" a="1"/>
  <c r="I3837" i="1" s="1"/>
  <c r="I3838" i="1" a="1"/>
  <c r="I3838" i="1" s="1"/>
  <c r="I3839" i="1" a="1"/>
  <c r="I3839" i="1"/>
  <c r="I3840" i="1" a="1"/>
  <c r="I3840" i="1" s="1"/>
  <c r="I3841" i="1" a="1"/>
  <c r="I3841" i="1"/>
  <c r="I3842" i="1" a="1"/>
  <c r="I3842" i="1" s="1"/>
  <c r="I3843" i="1" a="1"/>
  <c r="I3843" i="1" s="1"/>
  <c r="I3844" i="1" a="1"/>
  <c r="I3844" i="1" s="1"/>
  <c r="I3845" i="1" a="1"/>
  <c r="I3845" i="1" s="1"/>
  <c r="I3846" i="1" a="1"/>
  <c r="I3846" i="1" s="1"/>
  <c r="I3847" i="1" a="1"/>
  <c r="I3847" i="1"/>
  <c r="I3848" i="1" a="1"/>
  <c r="I3848" i="1" s="1"/>
  <c r="I3849" i="1" a="1"/>
  <c r="I3849" i="1"/>
  <c r="I3850" i="1" a="1"/>
  <c r="I3850" i="1" s="1"/>
  <c r="I3851" i="1" a="1"/>
  <c r="I3851" i="1" s="1"/>
  <c r="I3852" i="1" a="1"/>
  <c r="I3852" i="1" s="1"/>
  <c r="I3853" i="1" a="1"/>
  <c r="I3853" i="1" s="1"/>
  <c r="I3854" i="1" a="1"/>
  <c r="I3854" i="1" s="1"/>
  <c r="I3855" i="1" a="1"/>
  <c r="I3855" i="1"/>
  <c r="I3856" i="1" a="1"/>
  <c r="I3856" i="1" s="1"/>
  <c r="I3857" i="1" a="1"/>
  <c r="I3857" i="1"/>
  <c r="I3858" i="1" a="1"/>
  <c r="I3858" i="1" s="1"/>
  <c r="I3859" i="1" a="1"/>
  <c r="I3859" i="1" s="1"/>
  <c r="I3860" i="1" a="1"/>
  <c r="I3860" i="1" s="1"/>
  <c r="I3861" i="1" a="1"/>
  <c r="I3861" i="1" s="1"/>
  <c r="I3862" i="1" a="1"/>
  <c r="I3862" i="1" s="1"/>
  <c r="I3863" i="1" a="1"/>
  <c r="I3863" i="1"/>
  <c r="I3864" i="1" a="1"/>
  <c r="I3864" i="1" s="1"/>
  <c r="I3865" i="1" a="1"/>
  <c r="I3865" i="1"/>
  <c r="I3866" i="1" a="1"/>
  <c r="I3866" i="1" s="1"/>
  <c r="I3867" i="1" a="1"/>
  <c r="I3867" i="1"/>
  <c r="I3868" i="1" a="1"/>
  <c r="I3868" i="1" s="1"/>
  <c r="I3869" i="1" a="1"/>
  <c r="I3869" i="1" s="1"/>
  <c r="I3870" i="1" a="1"/>
  <c r="I3870" i="1" s="1"/>
  <c r="I3871" i="1" a="1"/>
  <c r="I3871" i="1"/>
  <c r="I3872" i="1" a="1"/>
  <c r="I3872" i="1" s="1"/>
  <c r="I3873" i="1" a="1"/>
  <c r="I3873" i="1"/>
  <c r="I3874" i="1" a="1"/>
  <c r="I3874" i="1" s="1"/>
  <c r="I3875" i="1" a="1"/>
  <c r="I3875" i="1"/>
  <c r="I3876" i="1" a="1"/>
  <c r="I3876" i="1" s="1"/>
  <c r="I3877" i="1" a="1"/>
  <c r="I3877" i="1" s="1"/>
  <c r="I3878" i="1" a="1"/>
  <c r="I3878" i="1" s="1"/>
  <c r="I3879" i="1" a="1"/>
  <c r="I3879" i="1"/>
  <c r="I3880" i="1" a="1"/>
  <c r="I3880" i="1" s="1"/>
  <c r="I3881" i="1" a="1"/>
  <c r="I3881" i="1"/>
  <c r="I3882" i="1" a="1"/>
  <c r="I3882" i="1" s="1"/>
  <c r="I3883" i="1" a="1"/>
  <c r="I3883" i="1" s="1"/>
  <c r="I3884" i="1" a="1"/>
  <c r="I3884" i="1" s="1"/>
  <c r="I3885" i="1" a="1"/>
  <c r="I3885" i="1" s="1"/>
  <c r="I3886" i="1" a="1"/>
  <c r="I3886" i="1" s="1"/>
  <c r="I3887" i="1" a="1"/>
  <c r="I3887" i="1"/>
  <c r="I3888" i="1" a="1"/>
  <c r="I3888" i="1" s="1"/>
  <c r="I3889" i="1" a="1"/>
  <c r="I3889" i="1"/>
  <c r="I3890" i="1" a="1"/>
  <c r="I3890" i="1" s="1"/>
  <c r="I3891" i="1" a="1"/>
  <c r="I3891" i="1" s="1"/>
  <c r="I3892" i="1" a="1"/>
  <c r="I3892" i="1" s="1"/>
  <c r="I3893" i="1" a="1"/>
  <c r="I3893" i="1" s="1"/>
  <c r="I3894" i="1" a="1"/>
  <c r="I3894" i="1" s="1"/>
  <c r="I3895" i="1" a="1"/>
  <c r="I3895" i="1"/>
  <c r="I3896" i="1" a="1"/>
  <c r="I3896" i="1" s="1"/>
  <c r="I3897" i="1" a="1"/>
  <c r="I3897" i="1"/>
  <c r="I3898" i="1" a="1"/>
  <c r="I3898" i="1" s="1"/>
  <c r="I3899" i="1" a="1"/>
  <c r="I3899" i="1" s="1"/>
  <c r="I3900" i="1" a="1"/>
  <c r="I3900" i="1" s="1"/>
  <c r="I3901" i="1" a="1"/>
  <c r="I3901" i="1" s="1"/>
  <c r="I3902" i="1" a="1"/>
  <c r="I3902" i="1" s="1"/>
  <c r="I3903" i="1" a="1"/>
  <c r="I3903" i="1"/>
  <c r="I3904" i="1" a="1"/>
  <c r="I3904" i="1" s="1"/>
  <c r="I3905" i="1" a="1"/>
  <c r="I3905" i="1"/>
  <c r="I3906" i="1" a="1"/>
  <c r="I3906" i="1" s="1"/>
  <c r="I3907" i="1" a="1"/>
  <c r="I3907" i="1" s="1"/>
  <c r="I3908" i="1" a="1"/>
  <c r="I3908" i="1" s="1"/>
  <c r="I3909" i="1" a="1"/>
  <c r="I3909" i="1" s="1"/>
  <c r="I3910" i="1" a="1"/>
  <c r="I3910" i="1" s="1"/>
  <c r="I3911" i="1" a="1"/>
  <c r="I3911" i="1"/>
  <c r="I3912" i="1" a="1"/>
  <c r="I3912" i="1" s="1"/>
  <c r="I3913" i="1" a="1"/>
  <c r="I3913" i="1"/>
  <c r="I3914" i="1" a="1"/>
  <c r="I3914" i="1" s="1"/>
  <c r="I3915" i="1" a="1"/>
  <c r="I3915" i="1" s="1"/>
  <c r="I3916" i="1" a="1"/>
  <c r="I3916" i="1" s="1"/>
  <c r="I3917" i="1" a="1"/>
  <c r="I3917" i="1" s="1"/>
  <c r="I3918" i="1" a="1"/>
  <c r="I3918" i="1" s="1"/>
  <c r="I3919" i="1" a="1"/>
  <c r="I3919" i="1"/>
  <c r="I3920" i="1" a="1"/>
  <c r="I3920" i="1" s="1"/>
  <c r="I3921" i="1" a="1"/>
  <c r="I3921" i="1"/>
  <c r="I3922" i="1" a="1"/>
  <c r="I3922" i="1" s="1"/>
  <c r="I3923" i="1" a="1"/>
  <c r="I3923" i="1" s="1"/>
  <c r="I3924" i="1" a="1"/>
  <c r="I3924" i="1" s="1"/>
  <c r="I3925" i="1" a="1"/>
  <c r="I3925" i="1" s="1"/>
  <c r="I3926" i="1" a="1"/>
  <c r="I3926" i="1" s="1"/>
  <c r="I3927" i="1" a="1"/>
  <c r="I3927" i="1"/>
  <c r="I3928" i="1" a="1"/>
  <c r="I3928" i="1" s="1"/>
  <c r="I3929" i="1" a="1"/>
  <c r="I3929" i="1"/>
  <c r="I3930" i="1" a="1"/>
  <c r="I3930" i="1" s="1"/>
  <c r="I3931" i="1" a="1"/>
  <c r="I3931" i="1" s="1"/>
  <c r="I3932" i="1" a="1"/>
  <c r="I3932" i="1" s="1"/>
  <c r="I3933" i="1" a="1"/>
  <c r="I3933" i="1" s="1"/>
  <c r="I3934" i="1" a="1"/>
  <c r="I3934" i="1" s="1"/>
  <c r="I3935" i="1" a="1"/>
  <c r="I3935" i="1"/>
  <c r="I3936" i="1" a="1"/>
  <c r="I3936" i="1" s="1"/>
  <c r="I3937" i="1" a="1"/>
  <c r="I3937" i="1"/>
  <c r="I3938" i="1" a="1"/>
  <c r="I3938" i="1" s="1"/>
  <c r="I3939" i="1" a="1"/>
  <c r="I3939" i="1" s="1"/>
  <c r="I3940" i="1" a="1"/>
  <c r="I3940" i="1" s="1"/>
  <c r="I3941" i="1" a="1"/>
  <c r="I3941" i="1" s="1"/>
  <c r="I3942" i="1" a="1"/>
  <c r="I3942" i="1" s="1"/>
  <c r="I3943" i="1" a="1"/>
  <c r="I3943" i="1"/>
  <c r="I3944" i="1" a="1"/>
  <c r="I3944" i="1" s="1"/>
  <c r="I3945" i="1" a="1"/>
  <c r="I3945" i="1"/>
  <c r="I3946" i="1" a="1"/>
  <c r="I3946" i="1" s="1"/>
  <c r="I3947" i="1" a="1"/>
  <c r="I3947" i="1" s="1"/>
  <c r="I3948" i="1" a="1"/>
  <c r="I3948" i="1" s="1"/>
  <c r="I3949" i="1" a="1"/>
  <c r="I3949" i="1" s="1"/>
  <c r="I3950" i="1" a="1"/>
  <c r="I3950" i="1" s="1"/>
  <c r="I3951" i="1" a="1"/>
  <c r="I3951" i="1"/>
  <c r="I3952" i="1" a="1"/>
  <c r="I3952" i="1" s="1"/>
  <c r="I3953" i="1" a="1"/>
  <c r="I3953" i="1"/>
  <c r="I3954" i="1" a="1"/>
  <c r="I3954" i="1" s="1"/>
  <c r="I3955" i="1" a="1"/>
  <c r="I3955" i="1" s="1"/>
  <c r="I3956" i="1" a="1"/>
  <c r="I3956" i="1" s="1"/>
  <c r="I3957" i="1" a="1"/>
  <c r="I3957" i="1" s="1"/>
  <c r="I3958" i="1" a="1"/>
  <c r="I3958" i="1" s="1"/>
  <c r="I3959" i="1" a="1"/>
  <c r="I3959" i="1"/>
  <c r="I3960" i="1" a="1"/>
  <c r="I3960" i="1" s="1"/>
  <c r="I3961" i="1" a="1"/>
  <c r="I3961" i="1"/>
  <c r="I3962" i="1" a="1"/>
  <c r="I3962" i="1" s="1"/>
  <c r="I3963" i="1" a="1"/>
  <c r="I3963" i="1" s="1"/>
  <c r="I3964" i="1" a="1"/>
  <c r="I3964" i="1" s="1"/>
  <c r="I3965" i="1" a="1"/>
  <c r="I3965" i="1" s="1"/>
  <c r="I3966" i="1" a="1"/>
  <c r="I3966" i="1" s="1"/>
  <c r="I3967" i="1" a="1"/>
  <c r="I3967" i="1"/>
  <c r="I3968" i="1" a="1"/>
  <c r="I3968" i="1" s="1"/>
  <c r="I3969" i="1" a="1"/>
  <c r="I3969" i="1"/>
  <c r="I3970" i="1" a="1"/>
  <c r="I3970" i="1" s="1"/>
  <c r="I3971" i="1" a="1"/>
  <c r="I3971" i="1" s="1"/>
  <c r="I3972" i="1" a="1"/>
  <c r="I3972" i="1" s="1"/>
  <c r="I3973" i="1" a="1"/>
  <c r="I3973" i="1" s="1"/>
  <c r="I3974" i="1" a="1"/>
  <c r="I3974" i="1" s="1"/>
  <c r="I3975" i="1" a="1"/>
  <c r="I3975" i="1"/>
  <c r="I3976" i="1" a="1"/>
  <c r="I3976" i="1" s="1"/>
  <c r="I3977" i="1" a="1"/>
  <c r="I3977" i="1"/>
  <c r="I3978" i="1" a="1"/>
  <c r="I3978" i="1" s="1"/>
  <c r="I3979" i="1" a="1"/>
  <c r="I3979" i="1" s="1"/>
  <c r="I3980" i="1" a="1"/>
  <c r="I3980" i="1" s="1"/>
  <c r="I3981" i="1" a="1"/>
  <c r="I3981" i="1" s="1"/>
  <c r="I3982" i="1" a="1"/>
  <c r="I3982" i="1" s="1"/>
  <c r="I3983" i="1" a="1"/>
  <c r="I3983" i="1"/>
  <c r="I3984" i="1" a="1"/>
  <c r="I3984" i="1" s="1"/>
  <c r="I3985" i="1" a="1"/>
  <c r="I3985" i="1"/>
  <c r="I3986" i="1" a="1"/>
  <c r="I3986" i="1" s="1"/>
  <c r="I3987" i="1" a="1"/>
  <c r="I3987" i="1" s="1"/>
  <c r="I3988" i="1" a="1"/>
  <c r="I3988" i="1" s="1"/>
  <c r="I3989" i="1" a="1"/>
  <c r="I3989" i="1" s="1"/>
  <c r="I3990" i="1" a="1"/>
  <c r="I3990" i="1" s="1"/>
  <c r="I3991" i="1" a="1"/>
  <c r="I3991" i="1"/>
  <c r="I3992" i="1" a="1"/>
  <c r="I3992" i="1" s="1"/>
  <c r="I3993" i="1" a="1"/>
  <c r="I3993" i="1"/>
  <c r="I3994" i="1" a="1"/>
  <c r="I3994" i="1" s="1"/>
  <c r="I3995" i="1" a="1"/>
  <c r="I3995" i="1" s="1"/>
  <c r="I3996" i="1" a="1"/>
  <c r="I3996" i="1" s="1"/>
  <c r="I3997" i="1" a="1"/>
  <c r="I3997" i="1" s="1"/>
  <c r="I3998" i="1" a="1"/>
  <c r="I3998" i="1" s="1"/>
  <c r="I3999" i="1" a="1"/>
  <c r="I3999" i="1"/>
  <c r="I4000" i="1" a="1"/>
  <c r="I4000" i="1" s="1"/>
  <c r="I4001" i="1" a="1"/>
  <c r="I4001" i="1"/>
  <c r="I4002" i="1" a="1"/>
  <c r="I4002" i="1" s="1"/>
  <c r="I4003" i="1" a="1"/>
  <c r="I4003" i="1" s="1"/>
  <c r="I4004" i="1" a="1"/>
  <c r="I4004" i="1" s="1"/>
  <c r="I4005" i="1" a="1"/>
  <c r="I4005" i="1" s="1"/>
  <c r="I4006" i="1" a="1"/>
  <c r="I4006" i="1" s="1"/>
  <c r="I4007" i="1" a="1"/>
  <c r="I4007" i="1"/>
  <c r="I4008" i="1" a="1"/>
  <c r="I4008" i="1" s="1"/>
  <c r="I4009" i="1" a="1"/>
  <c r="I4009" i="1"/>
  <c r="I4010" i="1" a="1"/>
  <c r="I4010" i="1" s="1"/>
  <c r="I4011" i="1" a="1"/>
  <c r="I4011" i="1"/>
  <c r="I4012" i="1" a="1"/>
  <c r="I4012" i="1" s="1"/>
  <c r="I4013" i="1" a="1"/>
  <c r="I4013" i="1" s="1"/>
  <c r="I4014" i="1" a="1"/>
  <c r="I4014" i="1" s="1"/>
  <c r="I4015" i="1" a="1"/>
  <c r="I4015" i="1"/>
  <c r="I4016" i="1" a="1"/>
  <c r="I4016" i="1" s="1"/>
  <c r="I4017" i="1" a="1"/>
  <c r="I4017" i="1"/>
  <c r="I4018" i="1" a="1"/>
  <c r="I4018" i="1" s="1"/>
  <c r="I4019" i="1" a="1"/>
  <c r="I4019" i="1" s="1"/>
  <c r="I4020" i="1" a="1"/>
  <c r="I4020" i="1" s="1"/>
  <c r="I4021" i="1" a="1"/>
  <c r="I4021" i="1" s="1"/>
  <c r="I4022" i="1" a="1"/>
  <c r="I4022" i="1" s="1"/>
  <c r="I4023" i="1" a="1"/>
  <c r="I4023" i="1"/>
  <c r="I4024" i="1" a="1"/>
  <c r="I4024" i="1" s="1"/>
  <c r="I4025" i="1" a="1"/>
  <c r="I4025" i="1"/>
  <c r="I4026" i="1" a="1"/>
  <c r="I4026" i="1" s="1"/>
  <c r="I4027" i="1" a="1"/>
  <c r="I4027" i="1" s="1"/>
  <c r="I4028" i="1" a="1"/>
  <c r="I4028" i="1" s="1"/>
  <c r="I4029" i="1" a="1"/>
  <c r="I4029" i="1" s="1"/>
  <c r="I4030" i="1" a="1"/>
  <c r="I4030" i="1" s="1"/>
  <c r="I4031" i="1" a="1"/>
  <c r="I4031" i="1"/>
  <c r="I4032" i="1" a="1"/>
  <c r="I4032" i="1" s="1"/>
  <c r="I4033" i="1" a="1"/>
  <c r="I4033" i="1"/>
  <c r="I4034" i="1" a="1"/>
  <c r="I4034" i="1" s="1"/>
  <c r="I4035" i="1" a="1"/>
  <c r="I4035" i="1" s="1"/>
  <c r="I4036" i="1" a="1"/>
  <c r="I4036" i="1" s="1"/>
  <c r="I4037" i="1" a="1"/>
  <c r="I4037" i="1" s="1"/>
  <c r="I4038" i="1" a="1"/>
  <c r="I4038" i="1" s="1"/>
  <c r="I4039" i="1" a="1"/>
  <c r="I4039" i="1"/>
  <c r="I4040" i="1" a="1"/>
  <c r="I4040" i="1" s="1"/>
  <c r="I4041" i="1" a="1"/>
  <c r="I4041" i="1"/>
  <c r="I4042" i="1" a="1"/>
  <c r="I4042" i="1" s="1"/>
  <c r="I4043" i="1" a="1"/>
  <c r="I4043" i="1" s="1"/>
  <c r="I4044" i="1" a="1"/>
  <c r="I4044" i="1" s="1"/>
  <c r="I4045" i="1" a="1"/>
  <c r="I4045" i="1" s="1"/>
  <c r="I4046" i="1" a="1"/>
  <c r="I4046" i="1" s="1"/>
  <c r="I4047" i="1" a="1"/>
  <c r="I4047" i="1"/>
  <c r="I4048" i="1" a="1"/>
  <c r="I4048" i="1" s="1"/>
  <c r="I4049" i="1" a="1"/>
  <c r="I4049" i="1"/>
  <c r="I4050" i="1" a="1"/>
  <c r="I4050" i="1" s="1"/>
  <c r="I4051" i="1" a="1"/>
  <c r="I4051" i="1" s="1"/>
  <c r="I4052" i="1" a="1"/>
  <c r="I4052" i="1" s="1"/>
  <c r="I4053" i="1" a="1"/>
  <c r="I4053" i="1" s="1"/>
  <c r="I4054" i="1" a="1"/>
  <c r="I4054" i="1" s="1"/>
  <c r="I4055" i="1" a="1"/>
  <c r="I4055" i="1"/>
  <c r="I4056" i="1" a="1"/>
  <c r="I4056" i="1" s="1"/>
  <c r="I4057" i="1" a="1"/>
  <c r="I4057" i="1"/>
  <c r="I4058" i="1" a="1"/>
  <c r="I4058" i="1" s="1"/>
  <c r="I4059" i="1" a="1"/>
  <c r="I4059" i="1" s="1"/>
  <c r="I4060" i="1" a="1"/>
  <c r="I4060" i="1" s="1"/>
  <c r="I4061" i="1" a="1"/>
  <c r="I4061" i="1" s="1"/>
  <c r="I4062" i="1" a="1"/>
  <c r="I4062" i="1" s="1"/>
  <c r="I4063" i="1" a="1"/>
  <c r="I4063" i="1"/>
  <c r="I4064" i="1" a="1"/>
  <c r="I4064" i="1" s="1"/>
  <c r="I4065" i="1" a="1"/>
  <c r="I4065" i="1"/>
  <c r="I4066" i="1" a="1"/>
  <c r="I4066" i="1" s="1"/>
  <c r="I4067" i="1" a="1"/>
  <c r="I4067" i="1" s="1"/>
  <c r="I4068" i="1" a="1"/>
  <c r="I4068" i="1" s="1"/>
  <c r="I4069" i="1" a="1"/>
  <c r="I4069" i="1" s="1"/>
  <c r="I4070" i="1" a="1"/>
  <c r="I4070" i="1" s="1"/>
  <c r="I4071" i="1" a="1"/>
  <c r="I4071" i="1"/>
  <c r="I4072" i="1" a="1"/>
  <c r="I4072" i="1" s="1"/>
  <c r="I4073" i="1" a="1"/>
  <c r="I4073" i="1"/>
  <c r="I4074" i="1" a="1"/>
  <c r="I4074" i="1" s="1"/>
  <c r="I4075" i="1" a="1"/>
  <c r="I4075" i="1" s="1"/>
  <c r="I4076" i="1" a="1"/>
  <c r="I4076" i="1" s="1"/>
  <c r="I4077" i="1" a="1"/>
  <c r="I4077" i="1" s="1"/>
  <c r="I4078" i="1" a="1"/>
  <c r="I4078" i="1" s="1"/>
  <c r="I4079" i="1" a="1"/>
  <c r="I4079" i="1"/>
  <c r="I4080" i="1" a="1"/>
  <c r="I4080" i="1" s="1"/>
  <c r="I4081" i="1" a="1"/>
  <c r="I4081" i="1"/>
  <c r="I4082" i="1" a="1"/>
  <c r="I4082" i="1" s="1"/>
  <c r="I4083" i="1" a="1"/>
  <c r="I4083" i="1" s="1"/>
  <c r="I4084" i="1" a="1"/>
  <c r="I4084" i="1" s="1"/>
  <c r="I4085" i="1" a="1"/>
  <c r="I4085" i="1" s="1"/>
  <c r="I4086" i="1" a="1"/>
  <c r="I4086" i="1" s="1"/>
  <c r="I4087" i="1" a="1"/>
  <c r="I4087" i="1"/>
  <c r="I4088" i="1" a="1"/>
  <c r="I4088" i="1" s="1"/>
  <c r="I4089" i="1" a="1"/>
  <c r="I4089" i="1"/>
  <c r="I4090" i="1" a="1"/>
  <c r="I4090" i="1" s="1"/>
  <c r="I4091" i="1" a="1"/>
  <c r="I4091" i="1" s="1"/>
  <c r="I4092" i="1" a="1"/>
  <c r="I4092" i="1" s="1"/>
  <c r="I4093" i="1" a="1"/>
  <c r="I4093" i="1" s="1"/>
  <c r="I4094" i="1" a="1"/>
  <c r="I4094" i="1" s="1"/>
  <c r="I4095" i="1" a="1"/>
  <c r="I4095" i="1"/>
  <c r="I4096" i="1" a="1"/>
  <c r="I4096" i="1" s="1"/>
  <c r="I4097" i="1" a="1"/>
  <c r="I4097" i="1"/>
  <c r="I4098" i="1" a="1"/>
  <c r="I4098" i="1" s="1"/>
  <c r="I4099" i="1" a="1"/>
  <c r="I4099" i="1" s="1"/>
  <c r="I4100" i="1" a="1"/>
  <c r="I4100" i="1" s="1"/>
  <c r="I4101" i="1" a="1"/>
  <c r="I4101" i="1" s="1"/>
  <c r="I4102" i="1" a="1"/>
  <c r="I4102" i="1" s="1"/>
  <c r="I4103" i="1" a="1"/>
  <c r="I4103" i="1"/>
  <c r="I4104" i="1" a="1"/>
  <c r="I4104" i="1" s="1"/>
  <c r="I4105" i="1" a="1"/>
  <c r="I4105" i="1"/>
  <c r="I4106" i="1" a="1"/>
  <c r="I4106" i="1" s="1"/>
  <c r="I4107" i="1" a="1"/>
  <c r="I4107" i="1" s="1"/>
  <c r="I4108" i="1" a="1"/>
  <c r="I4108" i="1" s="1"/>
  <c r="I4109" i="1" a="1"/>
  <c r="I4109" i="1" s="1"/>
  <c r="I4110" i="1" a="1"/>
  <c r="I4110" i="1" s="1"/>
  <c r="I4111" i="1" a="1"/>
  <c r="I4111" i="1"/>
  <c r="I4112" i="1" a="1"/>
  <c r="I4112" i="1" s="1"/>
  <c r="I4113" i="1" a="1"/>
  <c r="I4113" i="1"/>
  <c r="I4114" i="1" a="1"/>
  <c r="I4114" i="1" s="1"/>
  <c r="I4115" i="1" a="1"/>
  <c r="I4115" i="1"/>
  <c r="I4116" i="1" a="1"/>
  <c r="I4116" i="1" s="1"/>
  <c r="I4117" i="1" a="1"/>
  <c r="I4117" i="1" s="1"/>
  <c r="I4118" i="1" a="1"/>
  <c r="I4118" i="1" s="1"/>
  <c r="I4119" i="1" a="1"/>
  <c r="I4119" i="1"/>
  <c r="I4120" i="1" a="1"/>
  <c r="I4120" i="1" s="1"/>
  <c r="I4121" i="1" a="1"/>
  <c r="I4121" i="1"/>
  <c r="I4122" i="1" a="1"/>
  <c r="I4122" i="1" s="1"/>
  <c r="I4123" i="1" a="1"/>
  <c r="I4123" i="1" s="1"/>
  <c r="I4124" i="1" a="1"/>
  <c r="I4124" i="1" s="1"/>
  <c r="I4125" i="1" a="1"/>
  <c r="I4125" i="1" s="1"/>
  <c r="I4126" i="1" a="1"/>
  <c r="I4126" i="1" s="1"/>
  <c r="I4127" i="1" a="1"/>
  <c r="I4127" i="1"/>
  <c r="I4128" i="1" a="1"/>
  <c r="I4128" i="1" s="1"/>
  <c r="I4129" i="1" a="1"/>
  <c r="I4129" i="1"/>
  <c r="I4130" i="1" a="1"/>
  <c r="I4130" i="1" s="1"/>
  <c r="I4131" i="1" a="1"/>
  <c r="I4131" i="1" s="1"/>
  <c r="I4132" i="1" a="1"/>
  <c r="I4132" i="1" s="1"/>
  <c r="I4133" i="1" a="1"/>
  <c r="I4133" i="1" s="1"/>
  <c r="I4134" i="1" a="1"/>
  <c r="I4134" i="1" s="1"/>
  <c r="I4135" i="1" a="1"/>
  <c r="I4135" i="1"/>
  <c r="I4136" i="1" a="1"/>
  <c r="I4136" i="1" s="1"/>
  <c r="I4137" i="1" a="1"/>
  <c r="I4137" i="1"/>
  <c r="I4138" i="1" a="1"/>
  <c r="I4138" i="1" s="1"/>
  <c r="I4139" i="1" a="1"/>
  <c r="I4139" i="1"/>
  <c r="I4140" i="1" a="1"/>
  <c r="I4140" i="1" s="1"/>
  <c r="I4141" i="1" a="1"/>
  <c r="I4141" i="1"/>
  <c r="I4142" i="1" a="1"/>
  <c r="I4142" i="1" s="1"/>
  <c r="I4143" i="1" a="1"/>
  <c r="I4143" i="1"/>
  <c r="I4144" i="1" a="1"/>
  <c r="I4144" i="1" s="1"/>
  <c r="I4145" i="1" a="1"/>
  <c r="I4145" i="1"/>
  <c r="I4146" i="1" a="1"/>
  <c r="I4146" i="1" s="1"/>
  <c r="I4147" i="1" a="1"/>
  <c r="I4147" i="1"/>
  <c r="I4148" i="1" a="1"/>
  <c r="I4148" i="1" s="1"/>
  <c r="I4149" i="1" a="1"/>
  <c r="I4149" i="1"/>
  <c r="I4150" i="1" a="1"/>
  <c r="I4150" i="1" s="1"/>
  <c r="I4151" i="1" a="1"/>
  <c r="I4151" i="1"/>
  <c r="I4152" i="1" a="1"/>
  <c r="I4152" i="1" s="1"/>
  <c r="I4153" i="1" a="1"/>
  <c r="I4153" i="1"/>
  <c r="I4154" i="1" a="1"/>
  <c r="I4154" i="1" s="1"/>
  <c r="I4155" i="1" a="1"/>
  <c r="I4155" i="1"/>
  <c r="I4156" i="1" a="1"/>
  <c r="I4156" i="1" s="1"/>
  <c r="I4157" i="1" a="1"/>
  <c r="I4157" i="1"/>
  <c r="I4158" i="1" a="1"/>
  <c r="I4158" i="1" s="1"/>
  <c r="I4159" i="1" a="1"/>
  <c r="I4159" i="1"/>
  <c r="I4160" i="1" a="1"/>
  <c r="I4160" i="1" s="1"/>
  <c r="I4161" i="1" a="1"/>
  <c r="I4161" i="1"/>
  <c r="I4162" i="1" a="1"/>
  <c r="I4162" i="1" s="1"/>
  <c r="I4163" i="1" a="1"/>
  <c r="I4163" i="1"/>
  <c r="I4164" i="1" a="1"/>
  <c r="I4164" i="1" s="1"/>
  <c r="I4165" i="1" a="1"/>
  <c r="I4165" i="1"/>
  <c r="I4166" i="1" a="1"/>
  <c r="I4166" i="1" s="1"/>
  <c r="I4167" i="1" a="1"/>
  <c r="I4167" i="1"/>
  <c r="I4168" i="1" a="1"/>
  <c r="I4168" i="1" s="1"/>
  <c r="I4169" i="1" a="1"/>
  <c r="I4169" i="1"/>
  <c r="I4170" i="1" a="1"/>
  <c r="I4170" i="1" s="1"/>
  <c r="I4171" i="1" a="1"/>
  <c r="I4171" i="1"/>
  <c r="I4172" i="1" a="1"/>
  <c r="I4172" i="1" s="1"/>
  <c r="I4173" i="1" a="1"/>
  <c r="I4173" i="1"/>
  <c r="I4174" i="1" a="1"/>
  <c r="I4174" i="1" s="1"/>
  <c r="I4175" i="1" a="1"/>
  <c r="I4175" i="1"/>
  <c r="I4176" i="1" a="1"/>
  <c r="I4176" i="1" s="1"/>
  <c r="I4177" i="1" a="1"/>
  <c r="I4177" i="1"/>
  <c r="I4178" i="1" a="1"/>
  <c r="I4178" i="1" s="1"/>
  <c r="I4179" i="1" a="1"/>
  <c r="I4179" i="1"/>
  <c r="I4180" i="1" a="1"/>
  <c r="I4180" i="1" s="1"/>
  <c r="I4181" i="1" a="1"/>
  <c r="I4181" i="1"/>
  <c r="I4182" i="1" a="1"/>
  <c r="I4182" i="1" s="1"/>
  <c r="I4183" i="1" a="1"/>
  <c r="I4183" i="1"/>
  <c r="I4184" i="1" a="1"/>
  <c r="I4184" i="1" s="1"/>
  <c r="I4185" i="1" a="1"/>
  <c r="I4185" i="1"/>
  <c r="I4186" i="1" a="1"/>
  <c r="I4186" i="1" s="1"/>
  <c r="I4187" i="1" a="1"/>
  <c r="I4187" i="1"/>
  <c r="I4188" i="1" a="1"/>
  <c r="I4188" i="1" s="1"/>
  <c r="I4189" i="1" a="1"/>
  <c r="I4189" i="1"/>
  <c r="I4190" i="1" a="1"/>
  <c r="I4190" i="1" s="1"/>
  <c r="I4191" i="1" a="1"/>
  <c r="I4191" i="1"/>
  <c r="I4192" i="1" a="1"/>
  <c r="I4192" i="1" s="1"/>
  <c r="I4193" i="1" a="1"/>
  <c r="I4193" i="1"/>
  <c r="I4194" i="1" a="1"/>
  <c r="I4194" i="1" s="1"/>
  <c r="I4195" i="1" a="1"/>
  <c r="I4195" i="1"/>
  <c r="I4196" i="1" a="1"/>
  <c r="I4196" i="1" s="1"/>
  <c r="I4197" i="1" a="1"/>
  <c r="I4197" i="1"/>
  <c r="I4198" i="1" a="1"/>
  <c r="I4198" i="1" s="1"/>
  <c r="I4199" i="1" a="1"/>
  <c r="I4199" i="1"/>
  <c r="I4200" i="1" a="1"/>
  <c r="I4200" i="1" s="1"/>
  <c r="I4201" i="1" a="1"/>
  <c r="I4201" i="1"/>
  <c r="I4202" i="1" a="1"/>
  <c r="I4202" i="1" s="1"/>
  <c r="I4203" i="1" a="1"/>
  <c r="I4203" i="1"/>
  <c r="I4204" i="1" a="1"/>
  <c r="I4204" i="1" s="1"/>
  <c r="I4205" i="1" a="1"/>
  <c r="I4205" i="1"/>
  <c r="I4206" i="1" a="1"/>
  <c r="I4206" i="1" s="1"/>
  <c r="I4207" i="1" a="1"/>
  <c r="I4207" i="1"/>
  <c r="I4208" i="1" a="1"/>
  <c r="I4208" i="1" s="1"/>
  <c r="I4209" i="1" a="1"/>
  <c r="I4209" i="1"/>
  <c r="I4210" i="1" a="1"/>
  <c r="I4210" i="1" s="1"/>
  <c r="I4211" i="1" a="1"/>
  <c r="I4211" i="1"/>
  <c r="I4212" i="1" a="1"/>
  <c r="I4212" i="1" s="1"/>
  <c r="I4213" i="1" a="1"/>
  <c r="I4213" i="1"/>
  <c r="I4214" i="1" a="1"/>
  <c r="I4214" i="1" s="1"/>
  <c r="I4215" i="1" a="1"/>
  <c r="I4215" i="1"/>
  <c r="I4216" i="1" a="1"/>
  <c r="I4216" i="1" s="1"/>
  <c r="I4217" i="1" a="1"/>
  <c r="I4217" i="1"/>
  <c r="I4218" i="1" a="1"/>
  <c r="I4218" i="1" s="1"/>
  <c r="I4219" i="1" a="1"/>
  <c r="I4219" i="1"/>
  <c r="I4220" i="1" a="1"/>
  <c r="I4220" i="1" s="1"/>
  <c r="I4221" i="1" a="1"/>
  <c r="I4221" i="1"/>
  <c r="I4222" i="1" a="1"/>
  <c r="I4222" i="1" s="1"/>
  <c r="I4223" i="1" a="1"/>
  <c r="I4223" i="1"/>
  <c r="I4224" i="1" a="1"/>
  <c r="I4224" i="1" s="1"/>
  <c r="I4225" i="1" a="1"/>
  <c r="I4225" i="1"/>
  <c r="I4226" i="1" a="1"/>
  <c r="I4226" i="1" s="1"/>
  <c r="I4227" i="1" a="1"/>
  <c r="I4227" i="1"/>
  <c r="I4228" i="1" a="1"/>
  <c r="I4228" i="1" s="1"/>
  <c r="I4229" i="1" a="1"/>
  <c r="I4229" i="1"/>
  <c r="I4230" i="1" a="1"/>
  <c r="I4230" i="1" s="1"/>
  <c r="I4231" i="1" a="1"/>
  <c r="I4231" i="1"/>
  <c r="I4232" i="1" a="1"/>
  <c r="I4232" i="1" s="1"/>
  <c r="I4233" i="1" a="1"/>
  <c r="I4233" i="1"/>
  <c r="I4234" i="1" a="1"/>
  <c r="I4234" i="1" s="1"/>
  <c r="I4235" i="1" a="1"/>
  <c r="I4235" i="1"/>
  <c r="I4236" i="1" a="1"/>
  <c r="I4236" i="1" s="1"/>
  <c r="I4237" i="1" a="1"/>
  <c r="I4237" i="1"/>
  <c r="I4238" i="1" a="1"/>
  <c r="I4238" i="1" s="1"/>
  <c r="I4239" i="1" a="1"/>
  <c r="I4239" i="1"/>
  <c r="I4240" i="1" a="1"/>
  <c r="I4240" i="1" s="1"/>
  <c r="I4241" i="1" a="1"/>
  <c r="I4241" i="1"/>
  <c r="I4242" i="1" a="1"/>
  <c r="I4242" i="1" s="1"/>
  <c r="I4243" i="1" a="1"/>
  <c r="I4243" i="1"/>
  <c r="I4244" i="1" a="1"/>
  <c r="I4244" i="1" s="1"/>
  <c r="I4245" i="1" a="1"/>
  <c r="I4245" i="1"/>
  <c r="I4246" i="1" a="1"/>
  <c r="I4246" i="1" s="1"/>
  <c r="I4247" i="1" a="1"/>
  <c r="I4247" i="1"/>
  <c r="I4248" i="1" a="1"/>
  <c r="I4248" i="1" s="1"/>
  <c r="I4249" i="1" a="1"/>
  <c r="I4249" i="1"/>
  <c r="I4250" i="1" a="1"/>
  <c r="I4250" i="1" s="1"/>
  <c r="I4251" i="1" a="1"/>
  <c r="I4251" i="1"/>
  <c r="I4252" i="1" a="1"/>
  <c r="I4252" i="1" s="1"/>
  <c r="I4253" i="1" a="1"/>
  <c r="I4253" i="1"/>
  <c r="I4254" i="1" a="1"/>
  <c r="I4254" i="1" s="1"/>
  <c r="I4255" i="1" a="1"/>
  <c r="I4255" i="1"/>
  <c r="I4256" i="1" a="1"/>
  <c r="I4256" i="1" s="1"/>
  <c r="I4257" i="1" a="1"/>
  <c r="I4257" i="1"/>
  <c r="I4258" i="1" a="1"/>
  <c r="I4258" i="1" s="1"/>
  <c r="I4259" i="1" a="1"/>
  <c r="I4259" i="1"/>
  <c r="I4260" i="1" a="1"/>
  <c r="I4260" i="1" s="1"/>
  <c r="I4261" i="1" a="1"/>
  <c r="I4261" i="1"/>
  <c r="I4262" i="1" a="1"/>
  <c r="I4262" i="1" s="1"/>
  <c r="I4263" i="1" a="1"/>
  <c r="I4263" i="1"/>
  <c r="I4264" i="1" a="1"/>
  <c r="I4264" i="1" s="1"/>
  <c r="I4265" i="1" a="1"/>
  <c r="I4265" i="1"/>
  <c r="I4266" i="1" a="1"/>
  <c r="I4266" i="1" s="1"/>
  <c r="I4267" i="1" a="1"/>
  <c r="I4267" i="1"/>
  <c r="I4268" i="1" a="1"/>
  <c r="I4268" i="1" s="1"/>
  <c r="I4269" i="1" a="1"/>
  <c r="I4269" i="1"/>
  <c r="I4270" i="1" a="1"/>
  <c r="I4270" i="1" s="1"/>
  <c r="I4271" i="1" a="1"/>
  <c r="I4271" i="1"/>
  <c r="I4272" i="1" a="1"/>
  <c r="I4272" i="1" s="1"/>
  <c r="I4273" i="1" a="1"/>
  <c r="I4273" i="1"/>
  <c r="I4274" i="1" a="1"/>
  <c r="I4274" i="1" s="1"/>
  <c r="I4275" i="1" a="1"/>
  <c r="I4275" i="1"/>
  <c r="I4276" i="1" a="1"/>
  <c r="I4276" i="1" s="1"/>
  <c r="I4277" i="1" a="1"/>
  <c r="I4277" i="1"/>
  <c r="I4278" i="1" a="1"/>
  <c r="I4278" i="1" s="1"/>
  <c r="I4279" i="1" a="1"/>
  <c r="I4279" i="1"/>
  <c r="I4280" i="1" a="1"/>
  <c r="I4280" i="1" s="1"/>
  <c r="I4281" i="1" a="1"/>
  <c r="I4281" i="1"/>
  <c r="I4282" i="1" a="1"/>
  <c r="I4282" i="1" s="1"/>
  <c r="I4283" i="1" a="1"/>
  <c r="I4283" i="1"/>
  <c r="I4284" i="1" a="1"/>
  <c r="I4284" i="1" s="1"/>
  <c r="I4285" i="1" a="1"/>
  <c r="I4285" i="1"/>
  <c r="I4286" i="1" a="1"/>
  <c r="I4286" i="1" s="1"/>
  <c r="I4287" i="1" a="1"/>
  <c r="I4287" i="1"/>
  <c r="I4288" i="1" a="1"/>
  <c r="I4288" i="1" s="1"/>
  <c r="I4289" i="1" a="1"/>
  <c r="I4289" i="1"/>
  <c r="I4290" i="1" a="1"/>
  <c r="I4290" i="1" s="1"/>
  <c r="I4291" i="1" a="1"/>
  <c r="I4291" i="1"/>
  <c r="I4292" i="1" a="1"/>
  <c r="I4292" i="1" s="1"/>
  <c r="I4293" i="1" a="1"/>
  <c r="I4293" i="1"/>
  <c r="I4294" i="1" a="1"/>
  <c r="I4294" i="1" s="1"/>
  <c r="I4295" i="1" a="1"/>
  <c r="I4295" i="1"/>
  <c r="I4296" i="1" a="1"/>
  <c r="I4296" i="1" s="1"/>
  <c r="I4297" i="1" a="1"/>
  <c r="I4297" i="1"/>
  <c r="I4298" i="1" a="1"/>
  <c r="I4298" i="1" s="1"/>
  <c r="I4299" i="1" a="1"/>
  <c r="I4299" i="1"/>
  <c r="I4300" i="1" a="1"/>
  <c r="I4300" i="1" s="1"/>
  <c r="I4301" i="1" a="1"/>
  <c r="I4301" i="1"/>
  <c r="I4302" i="1" a="1"/>
  <c r="I4302" i="1" s="1"/>
  <c r="I4303" i="1" a="1"/>
  <c r="I4303" i="1"/>
  <c r="I4304" i="1" a="1"/>
  <c r="I4304" i="1" s="1"/>
  <c r="I4305" i="1" a="1"/>
  <c r="I4305" i="1"/>
  <c r="I4306" i="1" a="1"/>
  <c r="I4306" i="1" s="1"/>
  <c r="I4307" i="1" a="1"/>
  <c r="I4307" i="1"/>
  <c r="I4308" i="1" a="1"/>
  <c r="I4308" i="1" s="1"/>
  <c r="I4309" i="1" a="1"/>
  <c r="I4309" i="1"/>
  <c r="I4310" i="1" a="1"/>
  <c r="I4310" i="1" s="1"/>
  <c r="I4311" i="1" a="1"/>
  <c r="I4311" i="1"/>
  <c r="I4312" i="1" a="1"/>
  <c r="I4312" i="1" s="1"/>
  <c r="I4313" i="1" a="1"/>
  <c r="I4313" i="1"/>
  <c r="I4314" i="1" a="1"/>
  <c r="I4314" i="1" s="1"/>
  <c r="I4315" i="1" a="1"/>
  <c r="I4315" i="1"/>
  <c r="I4316" i="1" a="1"/>
  <c r="I4316" i="1" s="1"/>
  <c r="I4317" i="1" a="1"/>
  <c r="I4317" i="1"/>
  <c r="I4318" i="1" a="1"/>
  <c r="I4318" i="1" s="1"/>
  <c r="I4319" i="1" a="1"/>
  <c r="I4319" i="1"/>
  <c r="I4320" i="1" a="1"/>
  <c r="I4320" i="1" s="1"/>
  <c r="I4321" i="1" a="1"/>
  <c r="I4321" i="1"/>
  <c r="I4322" i="1" a="1"/>
  <c r="I4322" i="1" s="1"/>
  <c r="I4323" i="1" a="1"/>
  <c r="I4323" i="1"/>
  <c r="I4324" i="1" a="1"/>
  <c r="I4324" i="1" s="1"/>
  <c r="I4325" i="1" a="1"/>
  <c r="I4325" i="1"/>
  <c r="I4326" i="1" a="1"/>
  <c r="I4326" i="1" s="1"/>
  <c r="I4327" i="1" a="1"/>
  <c r="I4327" i="1"/>
  <c r="I4328" i="1" a="1"/>
  <c r="I4328" i="1" s="1"/>
  <c r="I4329" i="1" a="1"/>
  <c r="I4329" i="1"/>
  <c r="I4330" i="1" a="1"/>
  <c r="I4330" i="1" s="1"/>
  <c r="I4331" i="1" a="1"/>
  <c r="I4331" i="1"/>
  <c r="I4332" i="1" a="1"/>
  <c r="I4332" i="1" s="1"/>
  <c r="I4333" i="1" a="1"/>
  <c r="I4333" i="1"/>
  <c r="I4334" i="1" a="1"/>
  <c r="I4334" i="1" s="1"/>
  <c r="I4335" i="1" a="1"/>
  <c r="I4335" i="1"/>
  <c r="I4336" i="1" a="1"/>
  <c r="I4336" i="1" s="1"/>
  <c r="I4337" i="1" a="1"/>
  <c r="I4337" i="1"/>
  <c r="I4338" i="1" a="1"/>
  <c r="I4338" i="1" s="1"/>
  <c r="I4339" i="1" a="1"/>
  <c r="I4339" i="1"/>
  <c r="I4340" i="1" a="1"/>
  <c r="I4340" i="1" s="1"/>
  <c r="I4341" i="1" a="1"/>
  <c r="I4341" i="1"/>
  <c r="I4342" i="1" a="1"/>
  <c r="I4342" i="1" s="1"/>
  <c r="I4343" i="1" a="1"/>
  <c r="I4343" i="1"/>
  <c r="I4344" i="1" a="1"/>
  <c r="I4344" i="1" s="1"/>
  <c r="I4345" i="1" a="1"/>
  <c r="I4345" i="1"/>
  <c r="I4346" i="1" a="1"/>
  <c r="I4346" i="1" s="1"/>
  <c r="I4347" i="1" a="1"/>
  <c r="I4347" i="1"/>
  <c r="I4348" i="1" a="1"/>
  <c r="I4348" i="1" s="1"/>
  <c r="I4349" i="1" a="1"/>
  <c r="I4349" i="1"/>
  <c r="I4350" i="1" a="1"/>
  <c r="I4350" i="1" s="1"/>
  <c r="I4351" i="1" a="1"/>
  <c r="I4351" i="1"/>
  <c r="I4352" i="1" a="1"/>
  <c r="I4352" i="1" s="1"/>
  <c r="I4353" i="1" a="1"/>
  <c r="I4353" i="1"/>
  <c r="I4354" i="1" a="1"/>
  <c r="I4354" i="1" s="1"/>
  <c r="I4355" i="1" a="1"/>
  <c r="I4355" i="1"/>
  <c r="I4356" i="1" a="1"/>
  <c r="I4356" i="1" s="1"/>
  <c r="I4357" i="1" a="1"/>
  <c r="I4357" i="1"/>
  <c r="I4358" i="1" a="1"/>
  <c r="I4358" i="1" s="1"/>
  <c r="I4359" i="1" a="1"/>
  <c r="I4359" i="1"/>
  <c r="I4360" i="1" a="1"/>
  <c r="I4360" i="1" s="1"/>
  <c r="I4361" i="1" a="1"/>
  <c r="I4361" i="1"/>
  <c r="I4362" i="1" a="1"/>
  <c r="I4362" i="1" s="1"/>
  <c r="I4363" i="1" a="1"/>
  <c r="I4363" i="1"/>
  <c r="I4364" i="1" a="1"/>
  <c r="I4364" i="1" s="1"/>
  <c r="I4365" i="1" a="1"/>
  <c r="I4365" i="1"/>
  <c r="I4366" i="1" a="1"/>
  <c r="I4366" i="1" s="1"/>
  <c r="I4367" i="1" a="1"/>
  <c r="I4367" i="1"/>
  <c r="I4368" i="1" a="1"/>
  <c r="I4368" i="1" s="1"/>
  <c r="I4369" i="1" a="1"/>
  <c r="I4369" i="1"/>
  <c r="I4370" i="1" a="1"/>
  <c r="I4370" i="1" s="1"/>
  <c r="I4371" i="1" a="1"/>
  <c r="I4371" i="1"/>
  <c r="I4372" i="1" a="1"/>
  <c r="I4372" i="1" s="1"/>
  <c r="I4373" i="1" a="1"/>
  <c r="I4373" i="1"/>
  <c r="I4374" i="1" a="1"/>
  <c r="I4374" i="1" s="1"/>
  <c r="I4375" i="1" a="1"/>
  <c r="I4375" i="1"/>
  <c r="I4376" i="1" a="1"/>
  <c r="I4376" i="1" s="1"/>
  <c r="I4377" i="1" a="1"/>
  <c r="I4377" i="1"/>
  <c r="I4378" i="1" a="1"/>
  <c r="I4378" i="1" s="1"/>
  <c r="I4379" i="1" a="1"/>
  <c r="I4379" i="1"/>
  <c r="I4380" i="1" a="1"/>
  <c r="I4380" i="1" s="1"/>
  <c r="I4381" i="1" a="1"/>
  <c r="I4381" i="1"/>
  <c r="I4382" i="1" a="1"/>
  <c r="I4382" i="1" s="1"/>
  <c r="I4383" i="1" a="1"/>
  <c r="I4383" i="1"/>
  <c r="I4384" i="1" a="1"/>
  <c r="I4384" i="1" s="1"/>
  <c r="I4385" i="1" a="1"/>
  <c r="I4385" i="1"/>
  <c r="I4386" i="1" a="1"/>
  <c r="I4386" i="1" s="1"/>
  <c r="I4387" i="1" a="1"/>
  <c r="I4387" i="1"/>
  <c r="I4388" i="1" a="1"/>
  <c r="I4388" i="1" s="1"/>
  <c r="I4389" i="1" a="1"/>
  <c r="I4389" i="1"/>
  <c r="I4390" i="1" a="1"/>
  <c r="I4390" i="1" s="1"/>
  <c r="I4391" i="1" a="1"/>
  <c r="I4391" i="1"/>
  <c r="I4392" i="1" a="1"/>
  <c r="I4392" i="1" s="1"/>
  <c r="I4393" i="1" a="1"/>
  <c r="I4393" i="1"/>
  <c r="I4394" i="1" a="1"/>
  <c r="I4394" i="1" s="1"/>
  <c r="I4395" i="1" a="1"/>
  <c r="I4395" i="1"/>
  <c r="I4396" i="1" a="1"/>
  <c r="I4396" i="1" s="1"/>
  <c r="I4397" i="1" a="1"/>
  <c r="I4397" i="1"/>
  <c r="I4398" i="1" a="1"/>
  <c r="I4398" i="1" s="1"/>
  <c r="I4399" i="1" a="1"/>
  <c r="I4399" i="1"/>
  <c r="I4400" i="1" a="1"/>
  <c r="I4400" i="1" s="1"/>
  <c r="I4401" i="1" a="1"/>
  <c r="I4401" i="1"/>
  <c r="I4402" i="1" a="1"/>
  <c r="I4402" i="1" s="1"/>
  <c r="I4403" i="1" a="1"/>
  <c r="I4403" i="1"/>
  <c r="I4404" i="1" a="1"/>
  <c r="I4404" i="1" s="1"/>
  <c r="I4405" i="1" a="1"/>
  <c r="I4405" i="1"/>
  <c r="I4406" i="1" a="1"/>
  <c r="I4406" i="1" s="1"/>
  <c r="I4407" i="1" a="1"/>
  <c r="I4407" i="1"/>
  <c r="I4408" i="1" a="1"/>
  <c r="I4408" i="1" s="1"/>
  <c r="I4409" i="1" a="1"/>
  <c r="I4409" i="1"/>
  <c r="I4410" i="1" a="1"/>
  <c r="I4410" i="1" s="1"/>
  <c r="I4411" i="1" a="1"/>
  <c r="I4411" i="1"/>
  <c r="I4412" i="1" a="1"/>
  <c r="I4412" i="1" s="1"/>
  <c r="I4413" i="1" a="1"/>
  <c r="I4413" i="1"/>
  <c r="I4414" i="1" a="1"/>
  <c r="I4414" i="1" s="1"/>
  <c r="I4415" i="1" a="1"/>
  <c r="I4415" i="1"/>
  <c r="I4416" i="1" a="1"/>
  <c r="I4416" i="1" s="1"/>
  <c r="I4417" i="1" a="1"/>
  <c r="I4417" i="1"/>
  <c r="I4418" i="1" a="1"/>
  <c r="I4418" i="1" s="1"/>
  <c r="I4419" i="1" a="1"/>
  <c r="I4419" i="1"/>
  <c r="I4420" i="1" a="1"/>
  <c r="I4420" i="1" s="1"/>
  <c r="I4421" i="1" a="1"/>
  <c r="I4421" i="1"/>
  <c r="I4422" i="1" a="1"/>
  <c r="I4422" i="1" s="1"/>
  <c r="I4423" i="1" a="1"/>
  <c r="I4423" i="1"/>
  <c r="I4424" i="1" a="1"/>
  <c r="I4424" i="1" s="1"/>
  <c r="I4425" i="1" a="1"/>
  <c r="I4425" i="1"/>
  <c r="I4426" i="1" a="1"/>
  <c r="I4426" i="1" s="1"/>
  <c r="I4427" i="1" a="1"/>
  <c r="I4427" i="1"/>
  <c r="I4428" i="1" a="1"/>
  <c r="I4428" i="1" s="1"/>
  <c r="I4429" i="1" a="1"/>
  <c r="I4429" i="1"/>
  <c r="I4430" i="1" a="1"/>
  <c r="I4430" i="1" s="1"/>
  <c r="I4431" i="1" a="1"/>
  <c r="I4431" i="1"/>
  <c r="I4432" i="1" a="1"/>
  <c r="I4432" i="1" s="1"/>
  <c r="I4433" i="1" a="1"/>
  <c r="I4433" i="1"/>
  <c r="I4434" i="1" a="1"/>
  <c r="I4434" i="1" s="1"/>
  <c r="I4435" i="1" a="1"/>
  <c r="I4435" i="1"/>
  <c r="I4436" i="1" a="1"/>
  <c r="I4436" i="1" s="1"/>
  <c r="I4437" i="1" a="1"/>
  <c r="I4437" i="1"/>
  <c r="I4438" i="1" a="1"/>
  <c r="I4438" i="1" s="1"/>
  <c r="I4439" i="1" a="1"/>
  <c r="I4439" i="1"/>
  <c r="I4440" i="1" a="1"/>
  <c r="I4440" i="1" s="1"/>
  <c r="I4441" i="1" a="1"/>
  <c r="I4441" i="1"/>
  <c r="I4442" i="1" a="1"/>
  <c r="I4442" i="1" s="1"/>
  <c r="I4443" i="1" a="1"/>
  <c r="I4443" i="1"/>
  <c r="I4444" i="1" a="1"/>
  <c r="I4444" i="1" s="1"/>
  <c r="I4445" i="1" a="1"/>
  <c r="I4445" i="1"/>
  <c r="I4446" i="1" a="1"/>
  <c r="I4446" i="1" s="1"/>
  <c r="I4447" i="1" a="1"/>
  <c r="I4447" i="1"/>
  <c r="I4448" i="1" a="1"/>
  <c r="I4448" i="1" s="1"/>
  <c r="I4449" i="1" a="1"/>
  <c r="I4449" i="1"/>
  <c r="I4450" i="1" a="1"/>
  <c r="I4450" i="1" s="1"/>
  <c r="I4451" i="1" a="1"/>
  <c r="I4451" i="1"/>
  <c r="I4452" i="1" a="1"/>
  <c r="I4452" i="1" s="1"/>
  <c r="I4453" i="1" a="1"/>
  <c r="I4453" i="1"/>
  <c r="I4454" i="1" a="1"/>
  <c r="I4454" i="1" s="1"/>
  <c r="I4455" i="1" a="1"/>
  <c r="I4455" i="1"/>
  <c r="I4456" i="1" a="1"/>
  <c r="I4456" i="1" s="1"/>
  <c r="I4457" i="1" a="1"/>
  <c r="I4457" i="1"/>
  <c r="I4458" i="1" a="1"/>
  <c r="I4458" i="1" s="1"/>
  <c r="I4459" i="1" a="1"/>
  <c r="I4459" i="1"/>
  <c r="I4460" i="1" a="1"/>
  <c r="I4460" i="1" s="1"/>
  <c r="I4461" i="1" a="1"/>
  <c r="I4461" i="1"/>
  <c r="I4462" i="1" a="1"/>
  <c r="I4462" i="1" s="1"/>
  <c r="I4463" i="1" a="1"/>
  <c r="I4463" i="1"/>
  <c r="I4464" i="1" a="1"/>
  <c r="I4464" i="1" s="1"/>
  <c r="I4465" i="1" a="1"/>
  <c r="I4465" i="1"/>
  <c r="I4466" i="1" a="1"/>
  <c r="I4466" i="1" s="1"/>
  <c r="I4467" i="1" a="1"/>
  <c r="I4467" i="1"/>
  <c r="I4468" i="1" a="1"/>
  <c r="I4468" i="1" s="1"/>
  <c r="I4469" i="1" a="1"/>
  <c r="I4469" i="1"/>
  <c r="I4470" i="1" a="1"/>
  <c r="I4470" i="1" s="1"/>
  <c r="I4471" i="1" a="1"/>
  <c r="I4471" i="1"/>
  <c r="I4472" i="1" a="1"/>
  <c r="I4472" i="1" s="1"/>
  <c r="I4473" i="1" a="1"/>
  <c r="I4473" i="1"/>
  <c r="I4474" i="1" a="1"/>
  <c r="I4474" i="1" s="1"/>
  <c r="I4475" i="1" a="1"/>
  <c r="I4475" i="1"/>
  <c r="I4476" i="1" a="1"/>
  <c r="I4476" i="1" s="1"/>
  <c r="I4477" i="1" a="1"/>
  <c r="I4477" i="1"/>
  <c r="I4478" i="1" a="1"/>
  <c r="I4478" i="1" s="1"/>
  <c r="I4479" i="1" a="1"/>
  <c r="I4479" i="1"/>
  <c r="I4480" i="1" a="1"/>
  <c r="I4480" i="1" s="1"/>
  <c r="I4481" i="1" a="1"/>
  <c r="I4481" i="1"/>
  <c r="I4482" i="1" a="1"/>
  <c r="I4482" i="1" s="1"/>
  <c r="I4483" i="1" a="1"/>
  <c r="I4483" i="1"/>
  <c r="I4484" i="1" a="1"/>
  <c r="I4484" i="1" s="1"/>
  <c r="I4485" i="1" a="1"/>
  <c r="I4485" i="1"/>
  <c r="I4486" i="1" a="1"/>
  <c r="I4486" i="1" s="1"/>
  <c r="I4487" i="1" a="1"/>
  <c r="I4487" i="1"/>
  <c r="I4488" i="1" a="1"/>
  <c r="I4488" i="1" s="1"/>
  <c r="I4489" i="1" a="1"/>
  <c r="I4489" i="1"/>
  <c r="I4490" i="1" a="1"/>
  <c r="I4490" i="1" s="1"/>
  <c r="I4491" i="1" a="1"/>
  <c r="I4491" i="1"/>
  <c r="I4492" i="1" a="1"/>
  <c r="I4492" i="1" s="1"/>
  <c r="I4493" i="1" a="1"/>
  <c r="I4493" i="1"/>
  <c r="I4494" i="1" a="1"/>
  <c r="I4494" i="1" s="1"/>
  <c r="I4495" i="1" a="1"/>
  <c r="I4495" i="1"/>
  <c r="I4496" i="1" a="1"/>
  <c r="I4496" i="1" s="1"/>
  <c r="I4497" i="1" a="1"/>
  <c r="I4497" i="1"/>
  <c r="I4498" i="1" a="1"/>
  <c r="I4498" i="1" s="1"/>
  <c r="I4499" i="1" a="1"/>
  <c r="I4499" i="1"/>
  <c r="I4500" i="1" a="1"/>
  <c r="I4500" i="1" s="1"/>
  <c r="I4501" i="1" a="1"/>
  <c r="I4501" i="1"/>
  <c r="I4502" i="1" a="1"/>
  <c r="I4502" i="1" s="1"/>
  <c r="I4503" i="1" a="1"/>
  <c r="I4503" i="1"/>
  <c r="I4504" i="1" a="1"/>
  <c r="I4504" i="1" s="1"/>
  <c r="I4505" i="1" a="1"/>
  <c r="I4505" i="1"/>
  <c r="I4506" i="1" a="1"/>
  <c r="I4506" i="1" s="1"/>
  <c r="I4507" i="1" a="1"/>
  <c r="I4507" i="1"/>
  <c r="I4508" i="1" a="1"/>
  <c r="I4508" i="1" s="1"/>
  <c r="I4509" i="1" a="1"/>
  <c r="I4509" i="1"/>
  <c r="I4510" i="1" a="1"/>
  <c r="I4510" i="1" s="1"/>
  <c r="I4511" i="1" a="1"/>
  <c r="I4511" i="1"/>
  <c r="I4512" i="1" a="1"/>
  <c r="I4512" i="1" s="1"/>
  <c r="I4513" i="1" a="1"/>
  <c r="I4513" i="1"/>
  <c r="I4514" i="1" a="1"/>
  <c r="I4514" i="1" s="1"/>
  <c r="I4515" i="1" a="1"/>
  <c r="I4515" i="1"/>
  <c r="I4516" i="1" a="1"/>
  <c r="I4516" i="1" s="1"/>
  <c r="I4517" i="1" a="1"/>
  <c r="I4517" i="1"/>
  <c r="I4518" i="1" a="1"/>
  <c r="I4518" i="1" s="1"/>
  <c r="I4519" i="1" a="1"/>
  <c r="I4519" i="1"/>
  <c r="I4520" i="1" a="1"/>
  <c r="I4520" i="1" s="1"/>
  <c r="I4521" i="1" a="1"/>
  <c r="I4521" i="1"/>
  <c r="I4522" i="1" a="1"/>
  <c r="I4522" i="1" s="1"/>
  <c r="I4523" i="1" a="1"/>
  <c r="I4523" i="1"/>
  <c r="I4524" i="1" a="1"/>
  <c r="I4524" i="1" s="1"/>
  <c r="I4525" i="1" a="1"/>
  <c r="I4525" i="1"/>
  <c r="I4526" i="1" a="1"/>
  <c r="I4526" i="1" s="1"/>
  <c r="I4527" i="1" a="1"/>
  <c r="I4527" i="1"/>
  <c r="I4528" i="1" a="1"/>
  <c r="I4528" i="1" s="1"/>
  <c r="I4529" i="1" a="1"/>
  <c r="I4529" i="1"/>
  <c r="I4530" i="1" a="1"/>
  <c r="I4530" i="1" s="1"/>
  <c r="I4531" i="1" a="1"/>
  <c r="I4531" i="1"/>
  <c r="I4532" i="1" a="1"/>
  <c r="I4532" i="1" s="1"/>
  <c r="I4533" i="1" a="1"/>
  <c r="I4533" i="1"/>
  <c r="I4534" i="1" a="1"/>
  <c r="I4534" i="1" s="1"/>
  <c r="I4535" i="1" a="1"/>
  <c r="I4535" i="1"/>
  <c r="I4536" i="1" a="1"/>
  <c r="I4536" i="1" s="1"/>
  <c r="I4537" i="1" a="1"/>
  <c r="I4537" i="1"/>
  <c r="I4538" i="1" a="1"/>
  <c r="I4538" i="1" s="1"/>
  <c r="I4539" i="1" a="1"/>
  <c r="I4539" i="1"/>
  <c r="I4540" i="1" a="1"/>
  <c r="I4540" i="1" s="1"/>
  <c r="I4541" i="1" a="1"/>
  <c r="I4541" i="1"/>
  <c r="I4542" i="1" a="1"/>
  <c r="I4542" i="1" s="1"/>
  <c r="I4543" i="1" a="1"/>
  <c r="I4543" i="1"/>
  <c r="I4544" i="1" a="1"/>
  <c r="I4544" i="1" s="1"/>
  <c r="I4545" i="1" a="1"/>
  <c r="I4545" i="1"/>
  <c r="I4546" i="1" a="1"/>
  <c r="I4546" i="1" s="1"/>
  <c r="I4547" i="1" a="1"/>
  <c r="I4547" i="1"/>
  <c r="I4548" i="1" a="1"/>
  <c r="I4548" i="1" s="1"/>
  <c r="I4549" i="1" a="1"/>
  <c r="I4549" i="1"/>
  <c r="I4550" i="1" a="1"/>
  <c r="I4550" i="1" s="1"/>
  <c r="I4551" i="1" a="1"/>
  <c r="I4551" i="1"/>
  <c r="I4552" i="1" a="1"/>
  <c r="I4552" i="1" s="1"/>
  <c r="I4553" i="1" a="1"/>
  <c r="I4553" i="1"/>
  <c r="I4554" i="1" a="1"/>
  <c r="I4554" i="1" s="1"/>
  <c r="I4555" i="1" a="1"/>
  <c r="I4555" i="1"/>
  <c r="I4556" i="1" a="1"/>
  <c r="I4556" i="1" s="1"/>
  <c r="I4557" i="1" a="1"/>
  <c r="I4557" i="1"/>
  <c r="I4558" i="1" a="1"/>
  <c r="I4558" i="1" s="1"/>
  <c r="I4559" i="1" a="1"/>
  <c r="I4559" i="1"/>
  <c r="I4560" i="1" a="1"/>
  <c r="I4560" i="1" s="1"/>
  <c r="I4561" i="1" a="1"/>
  <c r="I4561" i="1"/>
  <c r="I4562" i="1" a="1"/>
  <c r="I4562" i="1" s="1"/>
  <c r="I4563" i="1" a="1"/>
  <c r="I4563" i="1"/>
  <c r="I4564" i="1" a="1"/>
  <c r="I4564" i="1" s="1"/>
  <c r="I4565" i="1" a="1"/>
  <c r="I4565" i="1"/>
  <c r="I4566" i="1" a="1"/>
  <c r="I4566" i="1" s="1"/>
  <c r="I4567" i="1" a="1"/>
  <c r="I4567" i="1"/>
  <c r="I4568" i="1" a="1"/>
  <c r="I4568" i="1" s="1"/>
  <c r="I4569" i="1" a="1"/>
  <c r="I4569" i="1"/>
  <c r="I4570" i="1" a="1"/>
  <c r="I4570" i="1" s="1"/>
  <c r="I4571" i="1" a="1"/>
  <c r="I4571" i="1"/>
  <c r="I4572" i="1" a="1"/>
  <c r="I4572" i="1" s="1"/>
  <c r="I4573" i="1" a="1"/>
  <c r="I4573" i="1"/>
  <c r="I4574" i="1" a="1"/>
  <c r="I4574" i="1" s="1"/>
  <c r="I4575" i="1" a="1"/>
  <c r="I4575" i="1"/>
  <c r="I4576" i="1" a="1"/>
  <c r="I4576" i="1" s="1"/>
  <c r="I4577" i="1" a="1"/>
  <c r="I4577" i="1"/>
  <c r="I4578" i="1" a="1"/>
  <c r="I4578" i="1" s="1"/>
  <c r="I4579" i="1" a="1"/>
  <c r="I4579" i="1"/>
  <c r="I4580" i="1" a="1"/>
  <c r="I4580" i="1" s="1"/>
  <c r="I4581" i="1" a="1"/>
  <c r="I4581" i="1"/>
  <c r="I4582" i="1" a="1"/>
  <c r="I4582" i="1" s="1"/>
  <c r="I4583" i="1" a="1"/>
  <c r="I4583" i="1"/>
  <c r="I4584" i="1" a="1"/>
  <c r="I4584" i="1" s="1"/>
  <c r="I4585" i="1" a="1"/>
  <c r="I4585" i="1"/>
  <c r="I4586" i="1" a="1"/>
  <c r="I4586" i="1" s="1"/>
  <c r="I4587" i="1" a="1"/>
  <c r="I4587" i="1"/>
  <c r="I4588" i="1" a="1"/>
  <c r="I4588" i="1" s="1"/>
  <c r="I4589" i="1" a="1"/>
  <c r="I4589" i="1"/>
  <c r="I4590" i="1" a="1"/>
  <c r="I4590" i="1" s="1"/>
  <c r="I4591" i="1" a="1"/>
  <c r="I4591" i="1"/>
  <c r="I4592" i="1" a="1"/>
  <c r="I4592" i="1" s="1"/>
  <c r="I4593" i="1" a="1"/>
  <c r="I4593" i="1"/>
  <c r="I4594" i="1" a="1"/>
  <c r="I4594" i="1" s="1"/>
  <c r="I4595" i="1" a="1"/>
  <c r="I4595" i="1"/>
  <c r="I4596" i="1" a="1"/>
  <c r="I4596" i="1" s="1"/>
  <c r="I4597" i="1" a="1"/>
  <c r="I4597" i="1"/>
  <c r="I4598" i="1" a="1"/>
  <c r="I4598" i="1" s="1"/>
  <c r="I4599" i="1" a="1"/>
  <c r="I4599" i="1" s="1"/>
  <c r="I4600" i="1" a="1"/>
  <c r="I4600" i="1" s="1"/>
  <c r="I4601" i="1" a="1"/>
  <c r="I4601" i="1"/>
  <c r="I4602" i="1" a="1"/>
  <c r="I4602" i="1" s="1"/>
  <c r="I4603" i="1" a="1"/>
  <c r="I4603" i="1"/>
  <c r="I4604" i="1" a="1"/>
  <c r="I4604" i="1" s="1"/>
  <c r="I4605" i="1" a="1"/>
  <c r="I4605" i="1"/>
  <c r="I4606" i="1" a="1"/>
  <c r="I4606" i="1" s="1"/>
  <c r="I4607" i="1" a="1"/>
  <c r="I4607" i="1"/>
  <c r="I4608" i="1" a="1"/>
  <c r="I4608" i="1" s="1"/>
  <c r="I4609" i="1" a="1"/>
  <c r="I4609" i="1"/>
  <c r="I4610" i="1" a="1"/>
  <c r="I4610" i="1" s="1"/>
  <c r="I4611" i="1" a="1"/>
  <c r="I4611" i="1"/>
  <c r="I4612" i="1" a="1"/>
  <c r="I4612" i="1" s="1"/>
  <c r="I4613" i="1" a="1"/>
  <c r="I4613" i="1"/>
  <c r="I4614" i="1" a="1"/>
  <c r="I4614" i="1" s="1"/>
  <c r="I4615" i="1" a="1"/>
  <c r="I4615" i="1"/>
  <c r="I4616" i="1" a="1"/>
  <c r="I4616" i="1" s="1"/>
  <c r="I4617" i="1" a="1"/>
  <c r="I4617" i="1"/>
  <c r="I4618" i="1" a="1"/>
  <c r="I4618" i="1" s="1"/>
  <c r="I4619" i="1" a="1"/>
  <c r="I4619" i="1"/>
  <c r="I4620" i="1" a="1"/>
  <c r="I4620" i="1" s="1"/>
  <c r="I4621" i="1" a="1"/>
  <c r="I4621" i="1"/>
  <c r="I4622" i="1" a="1"/>
  <c r="I4622" i="1" s="1"/>
  <c r="I4623" i="1" a="1"/>
  <c r="I4623" i="1"/>
  <c r="I4624" i="1" a="1"/>
  <c r="I4624" i="1" s="1"/>
  <c r="I4625" i="1" a="1"/>
  <c r="I4625" i="1"/>
  <c r="I4626" i="1" a="1"/>
  <c r="I4626" i="1" s="1"/>
  <c r="I4627" i="1" a="1"/>
  <c r="I4627" i="1"/>
  <c r="I4628" i="1" a="1"/>
  <c r="I4628" i="1" s="1"/>
  <c r="I4629" i="1" a="1"/>
  <c r="I4629" i="1"/>
  <c r="I4630" i="1" a="1"/>
  <c r="I4630" i="1" s="1"/>
  <c r="I4631" i="1" a="1"/>
  <c r="I4631" i="1"/>
  <c r="I4632" i="1" a="1"/>
  <c r="I4632" i="1" s="1"/>
  <c r="I4633" i="1" a="1"/>
  <c r="I4633" i="1"/>
  <c r="I4634" i="1" a="1"/>
  <c r="I4634" i="1" s="1"/>
  <c r="I4635" i="1" a="1"/>
  <c r="I4635" i="1"/>
  <c r="I4636" i="1" a="1"/>
  <c r="I4636" i="1" s="1"/>
  <c r="I4637" i="1" a="1"/>
  <c r="I4637" i="1"/>
  <c r="I4638" i="1" a="1"/>
  <c r="I4638" i="1" s="1"/>
  <c r="I4639" i="1" a="1"/>
  <c r="I4639" i="1"/>
  <c r="I4640" i="1" a="1"/>
  <c r="I4640" i="1" s="1"/>
  <c r="I4641" i="1" a="1"/>
  <c r="I4641" i="1"/>
  <c r="I4642" i="1" a="1"/>
  <c r="I4642" i="1" s="1"/>
  <c r="I4643" i="1" a="1"/>
  <c r="I4643" i="1"/>
  <c r="I4644" i="1" a="1"/>
  <c r="I4644" i="1" s="1"/>
  <c r="I4645" i="1" a="1"/>
  <c r="I4645" i="1"/>
  <c r="I4646" i="1" a="1"/>
  <c r="I4646" i="1" s="1"/>
  <c r="I4647" i="1" a="1"/>
  <c r="I4647" i="1"/>
  <c r="I4648" i="1" a="1"/>
  <c r="I4648" i="1" s="1"/>
  <c r="I4649" i="1" a="1"/>
  <c r="I4649" i="1"/>
  <c r="I4650" i="1" a="1"/>
  <c r="I4650" i="1" s="1"/>
  <c r="I4651" i="1" a="1"/>
  <c r="I4651" i="1"/>
  <c r="I4652" i="1" a="1"/>
  <c r="I4652" i="1" s="1"/>
  <c r="I4653" i="1" a="1"/>
  <c r="I4653" i="1"/>
  <c r="I4654" i="1" a="1"/>
  <c r="I4654" i="1" s="1"/>
  <c r="I4655" i="1" a="1"/>
  <c r="I4655" i="1"/>
  <c r="I4656" i="1" a="1"/>
  <c r="I4656" i="1" s="1"/>
  <c r="I4657" i="1" a="1"/>
  <c r="I4657" i="1"/>
  <c r="I4658" i="1" a="1"/>
  <c r="I4658" i="1" s="1"/>
  <c r="I4659" i="1" a="1"/>
  <c r="I4659" i="1"/>
  <c r="I4660" i="1" a="1"/>
  <c r="I4660" i="1" s="1"/>
  <c r="I4661" i="1" a="1"/>
  <c r="I4661" i="1"/>
  <c r="I4662" i="1" a="1"/>
  <c r="I4662" i="1" s="1"/>
  <c r="I4663" i="1" a="1"/>
  <c r="I4663" i="1"/>
  <c r="I4664" i="1" a="1"/>
  <c r="I4664" i="1" s="1"/>
  <c r="I4665" i="1" a="1"/>
  <c r="I4665" i="1"/>
  <c r="I4666" i="1" a="1"/>
  <c r="I4666" i="1" s="1"/>
  <c r="I4667" i="1" a="1"/>
  <c r="I4667" i="1"/>
  <c r="I4668" i="1" a="1"/>
  <c r="I4668" i="1" s="1"/>
  <c r="I4669" i="1" a="1"/>
  <c r="I4669" i="1"/>
  <c r="I4670" i="1" a="1"/>
  <c r="I4670" i="1" s="1"/>
  <c r="I4671" i="1" a="1"/>
  <c r="I4671" i="1"/>
  <c r="I4672" i="1" a="1"/>
  <c r="I4672" i="1" s="1"/>
  <c r="I4673" i="1" a="1"/>
  <c r="I4673" i="1"/>
  <c r="I4674" i="1" a="1"/>
  <c r="I4674" i="1" s="1"/>
  <c r="I4675" i="1" a="1"/>
  <c r="I4675" i="1"/>
  <c r="I4676" i="1" a="1"/>
  <c r="I4676" i="1" s="1"/>
  <c r="I4677" i="1" a="1"/>
  <c r="I4677" i="1"/>
  <c r="I4678" i="1" a="1"/>
  <c r="I4678" i="1" s="1"/>
  <c r="I4679" i="1" a="1"/>
  <c r="I4679" i="1"/>
  <c r="I4680" i="1" a="1"/>
  <c r="I4680" i="1" s="1"/>
  <c r="I4681" i="1" a="1"/>
  <c r="I4681" i="1"/>
  <c r="I4682" i="1" a="1"/>
  <c r="I4682" i="1" s="1"/>
  <c r="I4683" i="1" a="1"/>
  <c r="I4683" i="1"/>
  <c r="I4684" i="1" a="1"/>
  <c r="I4684" i="1" s="1"/>
  <c r="I4685" i="1" a="1"/>
  <c r="I4685" i="1"/>
  <c r="I4686" i="1" a="1"/>
  <c r="I4686" i="1" s="1"/>
  <c r="I4687" i="1" a="1"/>
  <c r="I4687" i="1"/>
  <c r="I4688" i="1" a="1"/>
  <c r="I4688" i="1" s="1"/>
  <c r="I4689" i="1" a="1"/>
  <c r="I4689" i="1"/>
  <c r="I4690" i="1" a="1"/>
  <c r="I4690" i="1" s="1"/>
  <c r="I4691" i="1" a="1"/>
  <c r="I4691" i="1"/>
  <c r="I4692" i="1" a="1"/>
  <c r="I4692" i="1" s="1"/>
  <c r="I4693" i="1" a="1"/>
  <c r="I4693" i="1"/>
  <c r="I4694" i="1" a="1"/>
  <c r="I4694" i="1" s="1"/>
  <c r="I4695" i="1" a="1"/>
  <c r="I4695" i="1"/>
  <c r="I4696" i="1" a="1"/>
  <c r="I4696" i="1" s="1"/>
  <c r="I4697" i="1" a="1"/>
  <c r="I4697" i="1"/>
  <c r="I4698" i="1" a="1"/>
  <c r="I4698" i="1" s="1"/>
  <c r="I4699" i="1" a="1"/>
  <c r="I4699" i="1"/>
  <c r="I4700" i="1" a="1"/>
  <c r="I4700" i="1" s="1"/>
  <c r="I4701" i="1" a="1"/>
  <c r="I4701" i="1"/>
  <c r="I4702" i="1" a="1"/>
  <c r="I4702" i="1" s="1"/>
  <c r="I4703" i="1" a="1"/>
  <c r="I4703" i="1"/>
  <c r="I4704" i="1" a="1"/>
  <c r="I4704" i="1" s="1"/>
  <c r="I4705" i="1" a="1"/>
  <c r="I4705" i="1"/>
  <c r="I4706" i="1" a="1"/>
  <c r="I4706" i="1" s="1"/>
  <c r="I4707" i="1" a="1"/>
  <c r="I4707" i="1"/>
  <c r="I4708" i="1" a="1"/>
  <c r="I4708" i="1" s="1"/>
  <c r="I4709" i="1" a="1"/>
  <c r="I4709" i="1"/>
  <c r="I4710" i="1" a="1"/>
  <c r="I4710" i="1" s="1"/>
  <c r="I4711" i="1" a="1"/>
  <c r="I4711" i="1"/>
  <c r="I4712" i="1" a="1"/>
  <c r="I4712" i="1" s="1"/>
  <c r="I4713" i="1" a="1"/>
  <c r="I4713" i="1"/>
  <c r="I4714" i="1" a="1"/>
  <c r="I4714" i="1" s="1"/>
  <c r="I4715" i="1" a="1"/>
  <c r="I4715" i="1"/>
  <c r="I4716" i="1" a="1"/>
  <c r="I4716" i="1" s="1"/>
  <c r="I4717" i="1" a="1"/>
  <c r="I4717" i="1"/>
  <c r="I4718" i="1" a="1"/>
  <c r="I4718" i="1" s="1"/>
  <c r="I4719" i="1" a="1"/>
  <c r="I4719" i="1"/>
  <c r="I4720" i="1" a="1"/>
  <c r="I4720" i="1" s="1"/>
  <c r="I4721" i="1" a="1"/>
  <c r="I4721" i="1"/>
  <c r="I4722" i="1" a="1"/>
  <c r="I4722" i="1" s="1"/>
  <c r="I4723" i="1" a="1"/>
  <c r="I4723" i="1"/>
  <c r="I4724" i="1" a="1"/>
  <c r="I4724" i="1" s="1"/>
  <c r="I4725" i="1" a="1"/>
  <c r="I4725" i="1"/>
  <c r="I4726" i="1" a="1"/>
  <c r="I4726" i="1" s="1"/>
  <c r="I4727" i="1" a="1"/>
  <c r="I4727" i="1"/>
  <c r="I4728" i="1" a="1"/>
  <c r="I4728" i="1" s="1"/>
  <c r="I4729" i="1" a="1"/>
  <c r="I4729" i="1"/>
  <c r="I4730" i="1" a="1"/>
  <c r="I4730" i="1" s="1"/>
  <c r="I4731" i="1" a="1"/>
  <c r="I4731" i="1"/>
  <c r="I4732" i="1" a="1"/>
  <c r="I4732" i="1" s="1"/>
  <c r="I4733" i="1" a="1"/>
  <c r="I4733" i="1"/>
  <c r="I4734" i="1" a="1"/>
  <c r="I4734" i="1" s="1"/>
  <c r="I4735" i="1" a="1"/>
  <c r="I4735" i="1"/>
  <c r="I4736" i="1" a="1"/>
  <c r="I4736" i="1" s="1"/>
  <c r="I4737" i="1" a="1"/>
  <c r="I4737" i="1"/>
  <c r="I4738" i="1" a="1"/>
  <c r="I4738" i="1" s="1"/>
  <c r="I4739" i="1" a="1"/>
  <c r="I4739" i="1"/>
  <c r="I4740" i="1" a="1"/>
  <c r="I4740" i="1" s="1"/>
  <c r="I4741" i="1" a="1"/>
  <c r="I4741" i="1"/>
  <c r="I4742" i="1" a="1"/>
  <c r="I4742" i="1" s="1"/>
  <c r="I4743" i="1" a="1"/>
  <c r="I4743" i="1"/>
  <c r="I4744" i="1" a="1"/>
  <c r="I4744" i="1" s="1"/>
  <c r="I4745" i="1" a="1"/>
  <c r="I4745" i="1"/>
  <c r="I4746" i="1" a="1"/>
  <c r="I4746" i="1" s="1"/>
  <c r="I4747" i="1" a="1"/>
  <c r="I4747" i="1"/>
  <c r="I4748" i="1" a="1"/>
  <c r="I4748" i="1" s="1"/>
  <c r="I4749" i="1" a="1"/>
  <c r="I4749" i="1"/>
  <c r="I4750" i="1" a="1"/>
  <c r="I4750" i="1" s="1"/>
  <c r="I4751" i="1" a="1"/>
  <c r="I4751" i="1"/>
  <c r="I4752" i="1" a="1"/>
  <c r="I4752" i="1" s="1"/>
  <c r="I4753" i="1" a="1"/>
  <c r="I4753" i="1"/>
  <c r="I4754" i="1" a="1"/>
  <c r="I4754" i="1" s="1"/>
  <c r="I4755" i="1" a="1"/>
  <c r="I4755" i="1"/>
  <c r="I4756" i="1" a="1"/>
  <c r="I4756" i="1" s="1"/>
  <c r="I4757" i="1" a="1"/>
  <c r="I4757" i="1"/>
  <c r="I4758" i="1" a="1"/>
  <c r="I4758" i="1" s="1"/>
  <c r="I4759" i="1" a="1"/>
  <c r="I4759" i="1"/>
  <c r="I4760" i="1" a="1"/>
  <c r="I4760" i="1" s="1"/>
  <c r="I4761" i="1" a="1"/>
  <c r="I4761" i="1" s="1"/>
  <c r="I4762" i="1" a="1"/>
  <c r="I4762" i="1" s="1"/>
  <c r="I4763" i="1" a="1"/>
  <c r="I4763" i="1" s="1"/>
  <c r="I4764" i="1" a="1"/>
  <c r="I4764" i="1" s="1"/>
  <c r="I4765" i="1" a="1"/>
  <c r="I4765" i="1" s="1"/>
  <c r="I4766" i="1" a="1"/>
  <c r="I4766" i="1" s="1"/>
  <c r="I4767" i="1" a="1"/>
  <c r="I4767" i="1" s="1"/>
  <c r="I4768" i="1" a="1"/>
  <c r="I4768" i="1" s="1"/>
  <c r="I4769" i="1" a="1"/>
  <c r="I4769" i="1" s="1"/>
  <c r="I4770" i="1" a="1"/>
  <c r="I4770" i="1" s="1"/>
  <c r="I4771" i="1" a="1"/>
  <c r="I4771" i="1" s="1"/>
  <c r="I4772" i="1" a="1"/>
  <c r="I4772" i="1" s="1"/>
  <c r="I4773" i="1" a="1"/>
  <c r="I4773" i="1" s="1"/>
  <c r="I4774" i="1" a="1"/>
  <c r="I4774" i="1" s="1"/>
  <c r="I4775" i="1" a="1"/>
  <c r="I4775" i="1" s="1"/>
  <c r="I4776" i="1" a="1"/>
  <c r="I4776" i="1" s="1"/>
  <c r="I4777" i="1" a="1"/>
  <c r="I4777" i="1" s="1"/>
  <c r="I4778" i="1" a="1"/>
  <c r="I4778" i="1" s="1"/>
  <c r="I4779" i="1" a="1"/>
  <c r="I4779" i="1" s="1"/>
  <c r="I4780" i="1" a="1"/>
  <c r="I4780" i="1" s="1"/>
  <c r="I4781" i="1" a="1"/>
  <c r="I4781" i="1" s="1"/>
  <c r="I4782" i="1" a="1"/>
  <c r="I4782" i="1" s="1"/>
  <c r="I4783" i="1" a="1"/>
  <c r="I4783" i="1" s="1"/>
  <c r="I4784" i="1" a="1"/>
  <c r="I4784" i="1" s="1"/>
  <c r="I4785" i="1" a="1"/>
  <c r="I4785" i="1" s="1"/>
  <c r="I4786" i="1" a="1"/>
  <c r="I4786" i="1" s="1"/>
  <c r="I4787" i="1" a="1"/>
  <c r="I4787" i="1" s="1"/>
  <c r="I4788" i="1" a="1"/>
  <c r="I4788" i="1" s="1"/>
  <c r="I4789" i="1" a="1"/>
  <c r="I4789" i="1" s="1"/>
  <c r="I4790" i="1" a="1"/>
  <c r="I4790" i="1" s="1"/>
  <c r="I4791" i="1" a="1"/>
  <c r="I4791" i="1" s="1"/>
  <c r="I4792" i="1" a="1"/>
  <c r="I4792" i="1" s="1"/>
  <c r="I4793" i="1" a="1"/>
  <c r="I4793" i="1" s="1"/>
  <c r="I4794" i="1" a="1"/>
  <c r="I4794" i="1" s="1"/>
  <c r="I4795" i="1" a="1"/>
  <c r="I4795" i="1" s="1"/>
  <c r="I4796" i="1" a="1"/>
  <c r="I4796" i="1" s="1"/>
  <c r="I4797" i="1" a="1"/>
  <c r="I4797" i="1" s="1"/>
  <c r="I4798" i="1" a="1"/>
  <c r="I4798" i="1" s="1"/>
  <c r="I4799" i="1" a="1"/>
  <c r="I4799" i="1" s="1"/>
  <c r="I4800" i="1" a="1"/>
  <c r="I4800" i="1" s="1"/>
  <c r="I4801" i="1" a="1"/>
  <c r="I4801" i="1" s="1"/>
  <c r="I4802" i="1" a="1"/>
  <c r="I4802" i="1" s="1"/>
  <c r="I4803" i="1" a="1"/>
  <c r="I4803" i="1" s="1"/>
  <c r="I4804" i="1" a="1"/>
  <c r="I4804" i="1" s="1"/>
  <c r="I4805" i="1" a="1"/>
  <c r="I4805" i="1" s="1"/>
  <c r="I4806" i="1" a="1"/>
  <c r="I4806" i="1" s="1"/>
  <c r="I4807" i="1" a="1"/>
  <c r="I4807" i="1" s="1"/>
  <c r="I4808" i="1" a="1"/>
  <c r="I4808" i="1" s="1"/>
  <c r="I4809" i="1" a="1"/>
  <c r="I4809" i="1" s="1"/>
  <c r="I4810" i="1" a="1"/>
  <c r="I4810" i="1" s="1"/>
  <c r="I4811" i="1" a="1"/>
  <c r="I4811" i="1" s="1"/>
  <c r="I4812" i="1" a="1"/>
  <c r="I4812" i="1" s="1"/>
  <c r="I4813" i="1" a="1"/>
  <c r="I4813" i="1" s="1"/>
  <c r="I4814" i="1" a="1"/>
  <c r="I4814" i="1" s="1"/>
  <c r="I4815" i="1" a="1"/>
  <c r="I4815" i="1" s="1"/>
  <c r="I4816" i="1" a="1"/>
  <c r="I4816" i="1" s="1"/>
  <c r="I4817" i="1" a="1"/>
  <c r="I4817" i="1" s="1"/>
  <c r="I4818" i="1" a="1"/>
  <c r="I4818" i="1" s="1"/>
  <c r="I4819" i="1" a="1"/>
  <c r="I4819" i="1" s="1"/>
  <c r="I4820" i="1" a="1"/>
  <c r="I4820" i="1" s="1"/>
  <c r="I4821" i="1" a="1"/>
  <c r="I4821" i="1" s="1"/>
  <c r="I4822" i="1" a="1"/>
  <c r="I4822" i="1" s="1"/>
  <c r="I4823" i="1" a="1"/>
  <c r="I4823" i="1" s="1"/>
  <c r="I4824" i="1" a="1"/>
  <c r="I4824" i="1" s="1"/>
  <c r="I4825" i="1" a="1"/>
  <c r="I4825" i="1" s="1"/>
  <c r="I4826" i="1" a="1"/>
  <c r="I4826" i="1" s="1"/>
  <c r="I4827" i="1" a="1"/>
  <c r="I4827" i="1" s="1"/>
  <c r="I4828" i="1" a="1"/>
  <c r="I4828" i="1" s="1"/>
  <c r="I4829" i="1" a="1"/>
  <c r="I4829" i="1" s="1"/>
  <c r="I4830" i="1" a="1"/>
  <c r="I4830" i="1" s="1"/>
  <c r="I4831" i="1" a="1"/>
  <c r="I4831" i="1" s="1"/>
  <c r="I4832" i="1" a="1"/>
  <c r="I4832" i="1" s="1"/>
  <c r="I4833" i="1" a="1"/>
  <c r="I4833" i="1" s="1"/>
  <c r="I4834" i="1" a="1"/>
  <c r="I4834" i="1" s="1"/>
  <c r="I4835" i="1" a="1"/>
  <c r="I4835" i="1" s="1"/>
  <c r="I4836" i="1" a="1"/>
  <c r="I4836" i="1" s="1"/>
  <c r="I4837" i="1" a="1"/>
  <c r="I4837" i="1" s="1"/>
  <c r="I4838" i="1" a="1"/>
  <c r="I4838" i="1" s="1"/>
  <c r="I4839" i="1" a="1"/>
  <c r="I4839" i="1" s="1"/>
  <c r="I4840" i="1" a="1"/>
  <c r="I4840" i="1" s="1"/>
  <c r="I4841" i="1" a="1"/>
  <c r="I4841" i="1" s="1"/>
  <c r="I4842" i="1" a="1"/>
  <c r="I4842" i="1" s="1"/>
  <c r="I4843" i="1" a="1"/>
  <c r="I4843" i="1" s="1"/>
  <c r="I4844" i="1" a="1"/>
  <c r="I4844" i="1" s="1"/>
  <c r="I4845" i="1" a="1"/>
  <c r="I4845" i="1" s="1"/>
  <c r="I4846" i="1" a="1"/>
  <c r="I4846" i="1" s="1"/>
  <c r="I4847" i="1" a="1"/>
  <c r="I4847" i="1" s="1"/>
  <c r="I4848" i="1" a="1"/>
  <c r="I4848" i="1" s="1"/>
  <c r="I4849" i="1" a="1"/>
  <c r="I4849" i="1" s="1"/>
  <c r="I4850" i="1" a="1"/>
  <c r="I4850" i="1" s="1"/>
  <c r="I4851" i="1" a="1"/>
  <c r="I4851" i="1" s="1"/>
  <c r="I4852" i="1" a="1"/>
  <c r="I4852" i="1" s="1"/>
  <c r="I4853" i="1" a="1"/>
  <c r="I4853" i="1" s="1"/>
  <c r="I4854" i="1" a="1"/>
  <c r="I4854" i="1" s="1"/>
  <c r="I4855" i="1" a="1"/>
  <c r="I4855" i="1" s="1"/>
  <c r="I4856" i="1" a="1"/>
  <c r="I4856" i="1" s="1"/>
  <c r="I4857" i="1" a="1"/>
  <c r="I4857" i="1" s="1"/>
  <c r="I4858" i="1" a="1"/>
  <c r="I4858" i="1" s="1"/>
  <c r="I4859" i="1" a="1"/>
  <c r="I4859" i="1" s="1"/>
  <c r="I4860" i="1" a="1"/>
  <c r="I4860" i="1" s="1"/>
  <c r="I4861" i="1" a="1"/>
  <c r="I4861" i="1" s="1"/>
  <c r="I4862" i="1" a="1"/>
  <c r="I4862" i="1" s="1"/>
  <c r="I4863" i="1" a="1"/>
  <c r="I4863" i="1" s="1"/>
  <c r="I4864" i="1" a="1"/>
  <c r="I4864" i="1" s="1"/>
  <c r="I4865" i="1" a="1"/>
  <c r="I4865" i="1" s="1"/>
  <c r="I4866" i="1" a="1"/>
  <c r="I4866" i="1" s="1"/>
  <c r="I4867" i="1" a="1"/>
  <c r="I4867" i="1" s="1"/>
  <c r="I4868" i="1" a="1"/>
  <c r="I4868" i="1" s="1"/>
  <c r="I4869" i="1" a="1"/>
  <c r="I4869" i="1" s="1"/>
  <c r="I4870" i="1" a="1"/>
  <c r="I4870" i="1" s="1"/>
  <c r="I4871" i="1" a="1"/>
  <c r="I4871" i="1" s="1"/>
  <c r="I4872" i="1" a="1"/>
  <c r="I4872" i="1" s="1"/>
  <c r="I4873" i="1" a="1"/>
  <c r="I4873" i="1" s="1"/>
  <c r="I4874" i="1" a="1"/>
  <c r="I4874" i="1" s="1"/>
  <c r="I4875" i="1" a="1"/>
  <c r="I4875" i="1"/>
  <c r="I4876" i="1" a="1"/>
  <c r="I4876" i="1" s="1"/>
  <c r="I4877" i="1" a="1"/>
  <c r="I4877" i="1"/>
  <c r="I4878" i="1" a="1"/>
  <c r="I4878" i="1" s="1"/>
  <c r="I4879" i="1" a="1"/>
  <c r="I4879" i="1" s="1"/>
  <c r="I4880" i="1" a="1"/>
  <c r="I4880" i="1" s="1"/>
  <c r="I4881" i="1" a="1"/>
  <c r="I4881" i="1" s="1"/>
  <c r="I4882" i="1" a="1"/>
  <c r="I4882" i="1" s="1"/>
  <c r="I4883" i="1" a="1"/>
  <c r="I4883" i="1"/>
  <c r="I4884" i="1" a="1"/>
  <c r="I4884" i="1" s="1"/>
  <c r="I4885" i="1" a="1"/>
  <c r="I4885" i="1"/>
  <c r="I4886" i="1" a="1"/>
  <c r="I4886" i="1" s="1"/>
  <c r="I4887" i="1" a="1"/>
  <c r="I4887" i="1" s="1"/>
  <c r="I4888" i="1" a="1"/>
  <c r="I4888" i="1" s="1"/>
  <c r="I4889" i="1" a="1"/>
  <c r="I4889" i="1" s="1"/>
  <c r="I4890" i="1" a="1"/>
  <c r="I4890" i="1" s="1"/>
  <c r="I4891" i="1" a="1"/>
  <c r="I4891" i="1"/>
  <c r="I4892" i="1" a="1"/>
  <c r="I4892" i="1" s="1"/>
  <c r="I4893" i="1" a="1"/>
  <c r="I4893" i="1"/>
  <c r="I4894" i="1" a="1"/>
  <c r="I4894" i="1" s="1"/>
  <c r="I4895" i="1" a="1"/>
  <c r="I4895" i="1" s="1"/>
  <c r="I4896" i="1" a="1"/>
  <c r="I4896" i="1" s="1"/>
  <c r="I4897" i="1" a="1"/>
  <c r="I4897" i="1" s="1"/>
  <c r="I4898" i="1" a="1"/>
  <c r="I4898" i="1" s="1"/>
  <c r="I4899" i="1" a="1"/>
  <c r="I4899" i="1"/>
  <c r="I4900" i="1" a="1"/>
  <c r="I4900" i="1" s="1"/>
  <c r="I4901" i="1" a="1"/>
  <c r="I4901" i="1"/>
  <c r="I4902" i="1" a="1"/>
  <c r="I4902" i="1" s="1"/>
  <c r="I4903" i="1" a="1"/>
  <c r="I4903" i="1" s="1"/>
  <c r="I4904" i="1" a="1"/>
  <c r="I4904" i="1" s="1"/>
  <c r="I4905" i="1" a="1"/>
  <c r="I4905" i="1" s="1"/>
  <c r="I4906" i="1" a="1"/>
  <c r="I4906" i="1" s="1"/>
  <c r="I4907" i="1" a="1"/>
  <c r="I4907" i="1"/>
  <c r="I4908" i="1" a="1"/>
  <c r="I4908" i="1" s="1"/>
  <c r="I4909" i="1" a="1"/>
  <c r="I4909" i="1"/>
  <c r="I4910" i="1" a="1"/>
  <c r="I4910" i="1" s="1"/>
  <c r="I4911" i="1" a="1"/>
  <c r="I4911" i="1" s="1"/>
  <c r="I4912" i="1" a="1"/>
  <c r="I4912" i="1" s="1"/>
  <c r="I4913" i="1" a="1"/>
  <c r="I4913" i="1" s="1"/>
  <c r="I4914" i="1" a="1"/>
  <c r="I4914" i="1" s="1"/>
  <c r="I4915" i="1" a="1"/>
  <c r="I4915" i="1"/>
  <c r="I4916" i="1" a="1"/>
  <c r="I4916" i="1" s="1"/>
  <c r="I4917" i="1" a="1"/>
  <c r="I4917" i="1"/>
  <c r="I4918" i="1" a="1"/>
  <c r="I4918" i="1" s="1"/>
  <c r="I4919" i="1" a="1"/>
  <c r="I4919" i="1" s="1"/>
  <c r="I4920" i="1" a="1"/>
  <c r="I4920" i="1" s="1"/>
  <c r="I4921" i="1" a="1"/>
  <c r="I4921" i="1" s="1"/>
  <c r="I4922" i="1" a="1"/>
  <c r="I4922" i="1" s="1"/>
  <c r="I4923" i="1" a="1"/>
  <c r="I4923" i="1"/>
  <c r="I4924" i="1" a="1"/>
  <c r="I4924" i="1" s="1"/>
  <c r="I4925" i="1" a="1"/>
  <c r="I4925" i="1"/>
  <c r="I4926" i="1" a="1"/>
  <c r="I4926" i="1" s="1"/>
  <c r="I4927" i="1" a="1"/>
  <c r="I4927" i="1" s="1"/>
  <c r="I4928" i="1" a="1"/>
  <c r="I4928" i="1" s="1"/>
  <c r="I4929" i="1" a="1"/>
  <c r="I4929" i="1" s="1"/>
  <c r="I4930" i="1" a="1"/>
  <c r="I4930" i="1" s="1"/>
  <c r="I4931" i="1" a="1"/>
  <c r="I4931" i="1"/>
  <c r="I4932" i="1" a="1"/>
  <c r="I4932" i="1" s="1"/>
  <c r="I4933" i="1" a="1"/>
  <c r="I4933" i="1"/>
  <c r="I4934" i="1" a="1"/>
  <c r="I4934" i="1" s="1"/>
  <c r="I4935" i="1" a="1"/>
  <c r="I4935" i="1" s="1"/>
  <c r="I4936" i="1" a="1"/>
  <c r="I4936" i="1" s="1"/>
  <c r="I4937" i="1" a="1"/>
  <c r="I4937" i="1" s="1"/>
  <c r="I4938" i="1" a="1"/>
  <c r="I4938" i="1" s="1"/>
  <c r="I4939" i="1" a="1"/>
  <c r="I4939" i="1"/>
  <c r="I4940" i="1" a="1"/>
  <c r="I4940" i="1" s="1"/>
  <c r="I4941" i="1" a="1"/>
  <c r="I4941" i="1"/>
  <c r="I4942" i="1" a="1"/>
  <c r="I4942" i="1" s="1"/>
  <c r="I4943" i="1" a="1"/>
  <c r="I4943" i="1" s="1"/>
  <c r="I4944" i="1" a="1"/>
  <c r="I4944" i="1" s="1"/>
  <c r="I4945" i="1" a="1"/>
  <c r="I4945" i="1" s="1"/>
  <c r="I4946" i="1" a="1"/>
  <c r="I4946" i="1" s="1"/>
  <c r="I4947" i="1" a="1"/>
  <c r="I4947" i="1"/>
  <c r="I4948" i="1" a="1"/>
  <c r="I4948" i="1" s="1"/>
  <c r="I4949" i="1" a="1"/>
  <c r="I4949" i="1"/>
  <c r="I4950" i="1" a="1"/>
  <c r="I4950" i="1" s="1"/>
  <c r="I4951" i="1" a="1"/>
  <c r="I4951" i="1" s="1"/>
  <c r="I4952" i="1" a="1"/>
  <c r="I4952" i="1" s="1"/>
  <c r="I4953" i="1" a="1"/>
  <c r="I4953" i="1" s="1"/>
  <c r="I4954" i="1" a="1"/>
  <c r="I4954" i="1" s="1"/>
  <c r="I4955" i="1" a="1"/>
  <c r="I4955" i="1"/>
  <c r="I4956" i="1" a="1"/>
  <c r="I4956" i="1" s="1"/>
  <c r="I4957" i="1" a="1"/>
  <c r="I4957" i="1"/>
  <c r="I4958" i="1" a="1"/>
  <c r="I4958" i="1" s="1"/>
  <c r="I4959" i="1" a="1"/>
  <c r="I4959" i="1" s="1"/>
  <c r="I4960" i="1" a="1"/>
  <c r="I4960" i="1" s="1"/>
  <c r="I4961" i="1" a="1"/>
  <c r="I4961" i="1" s="1"/>
  <c r="I4962" i="1" a="1"/>
  <c r="I4962" i="1" s="1"/>
  <c r="I4963" i="1" a="1"/>
  <c r="I4963" i="1"/>
  <c r="I4964" i="1" a="1"/>
  <c r="I4964" i="1" s="1"/>
  <c r="I4965" i="1" a="1"/>
  <c r="I4965" i="1"/>
  <c r="I4966" i="1" a="1"/>
  <c r="I4966" i="1" s="1"/>
  <c r="I4967" i="1" a="1"/>
  <c r="I4967" i="1" s="1"/>
  <c r="I4968" i="1" a="1"/>
  <c r="I4968" i="1" s="1"/>
  <c r="I4969" i="1" a="1"/>
  <c r="I4969" i="1" s="1"/>
  <c r="I4970" i="1" a="1"/>
  <c r="I4970" i="1" s="1"/>
  <c r="I4971" i="1" a="1"/>
  <c r="I4971" i="1"/>
  <c r="I4972" i="1" a="1"/>
  <c r="I4972" i="1" s="1"/>
  <c r="I4973" i="1" a="1"/>
  <c r="I4973" i="1"/>
  <c r="I4974" i="1" a="1"/>
  <c r="I4974" i="1" s="1"/>
  <c r="I4975" i="1" a="1"/>
  <c r="I4975" i="1" s="1"/>
  <c r="I4976" i="1" a="1"/>
  <c r="I4976" i="1" s="1"/>
  <c r="I4977" i="1" a="1"/>
  <c r="I4977" i="1" s="1"/>
  <c r="I4978" i="1" a="1"/>
  <c r="I4978" i="1" s="1"/>
  <c r="I4979" i="1" a="1"/>
  <c r="I4979" i="1"/>
  <c r="I4980" i="1" a="1"/>
  <c r="I4980" i="1" s="1"/>
  <c r="I4981" i="1" a="1"/>
  <c r="I4981" i="1"/>
  <c r="I4982" i="1" a="1"/>
  <c r="I4982" i="1" s="1"/>
  <c r="I4983" i="1" a="1"/>
  <c r="I4983" i="1" s="1"/>
  <c r="I4984" i="1" a="1"/>
  <c r="I4984" i="1" s="1"/>
  <c r="I4985" i="1" a="1"/>
  <c r="I4985" i="1" s="1"/>
  <c r="I4986" i="1" a="1"/>
  <c r="I4986" i="1" s="1"/>
  <c r="I4987" i="1" a="1"/>
  <c r="I4987" i="1"/>
  <c r="I4988" i="1" a="1"/>
  <c r="I4988" i="1" s="1"/>
  <c r="I4989" i="1" a="1"/>
  <c r="I4989" i="1"/>
  <c r="I4990" i="1" a="1"/>
  <c r="I4990" i="1" s="1"/>
  <c r="I4991" i="1" a="1"/>
  <c r="I4991" i="1" s="1"/>
  <c r="I4992" i="1" a="1"/>
  <c r="I4992" i="1" s="1"/>
  <c r="I4993" i="1" a="1"/>
  <c r="I4993" i="1" s="1"/>
  <c r="I4994" i="1" a="1"/>
  <c r="I4994" i="1" s="1"/>
  <c r="I4995" i="1" a="1"/>
  <c r="I4995" i="1"/>
  <c r="I4996" i="1" a="1"/>
  <c r="I4996" i="1" s="1"/>
  <c r="I4997" i="1" a="1"/>
  <c r="I4997" i="1"/>
  <c r="I4998" i="1" a="1"/>
  <c r="I4998" i="1" s="1"/>
  <c r="I4999" i="1" a="1"/>
  <c r="I4999" i="1" s="1"/>
  <c r="I5000" i="1" a="1"/>
  <c r="I5000" i="1" s="1"/>
  <c r="I5001" i="1" a="1"/>
  <c r="I5001" i="1" s="1"/>
  <c r="I2" i="1" a="1"/>
  <c r="I2" i="1" s="1"/>
  <c r="G2" i="2" l="1"/>
  <c r="J3" i="1" s="1"/>
  <c r="J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<sst xmlns="http://schemas.openxmlformats.org/spreadsheetml/2006/main" count="25072" uniqueCount="5057">
  <si>
    <t>VisitDate</t>
  </si>
  <si>
    <t>PatientID</t>
  </si>
  <si>
    <t>Age</t>
  </si>
  <si>
    <t>Gender</t>
  </si>
  <si>
    <t>Diagnosis</t>
  </si>
  <si>
    <t>Treatment</t>
  </si>
  <si>
    <t>Doctor</t>
  </si>
  <si>
    <t>Cost</t>
  </si>
  <si>
    <t>P3653</t>
  </si>
  <si>
    <t>Male</t>
  </si>
  <si>
    <t>Cancer</t>
  </si>
  <si>
    <t>Therapy</t>
  </si>
  <si>
    <t>Dr. Lee</t>
  </si>
  <si>
    <t>P3948</t>
  </si>
  <si>
    <t>Other</t>
  </si>
  <si>
    <t>Asthma</t>
  </si>
  <si>
    <t>Surgery</t>
  </si>
  <si>
    <t>Dr. Patel</t>
  </si>
  <si>
    <t>P4013</t>
  </si>
  <si>
    <t>Hypertension</t>
  </si>
  <si>
    <t>P491</t>
  </si>
  <si>
    <t>Female</t>
  </si>
  <si>
    <t>Migraine</t>
  </si>
  <si>
    <t>Observation</t>
  </si>
  <si>
    <t>P3223</t>
  </si>
  <si>
    <t>Diabetes</t>
  </si>
  <si>
    <t>P457</t>
  </si>
  <si>
    <t>Dr. John</t>
  </si>
  <si>
    <t>P4622</t>
  </si>
  <si>
    <t>Medication</t>
  </si>
  <si>
    <t>P3722</t>
  </si>
  <si>
    <t>P706</t>
  </si>
  <si>
    <t>Flu</t>
  </si>
  <si>
    <t>P184</t>
  </si>
  <si>
    <t>Covid-19</t>
  </si>
  <si>
    <t>P4448</t>
  </si>
  <si>
    <t>Dr. Smith</t>
  </si>
  <si>
    <t>P866</t>
  </si>
  <si>
    <t>P4827</t>
  </si>
  <si>
    <t>Dr. Wong</t>
  </si>
  <si>
    <t>P1911</t>
  </si>
  <si>
    <t>P4079</t>
  </si>
  <si>
    <t>P509</t>
  </si>
  <si>
    <t>P1764</t>
  </si>
  <si>
    <t>P904</t>
  </si>
  <si>
    <t>P273</t>
  </si>
  <si>
    <t>P123</t>
  </si>
  <si>
    <t>P951</t>
  </si>
  <si>
    <t>P1658</t>
  </si>
  <si>
    <t>P2741</t>
  </si>
  <si>
    <t>P2807</t>
  </si>
  <si>
    <t>P4793</t>
  </si>
  <si>
    <t>P259</t>
  </si>
  <si>
    <t>P4413</t>
  </si>
  <si>
    <t>P4790</t>
  </si>
  <si>
    <t>P1787</t>
  </si>
  <si>
    <t>P4336</t>
  </si>
  <si>
    <t>P1716</t>
  </si>
  <si>
    <t>P1617</t>
  </si>
  <si>
    <t>P1253</t>
  </si>
  <si>
    <t>P4575</t>
  </si>
  <si>
    <t>P4050</t>
  </si>
  <si>
    <t>P1457</t>
  </si>
  <si>
    <t>P1828</t>
  </si>
  <si>
    <t>P4736</t>
  </si>
  <si>
    <t>P4630</t>
  </si>
  <si>
    <t>P2575</t>
  </si>
  <si>
    <t>P2652</t>
  </si>
  <si>
    <t>P2271</t>
  </si>
  <si>
    <t>P2911</t>
  </si>
  <si>
    <t>P2385</t>
  </si>
  <si>
    <t>P1948</t>
  </si>
  <si>
    <t>P2222</t>
  </si>
  <si>
    <t>P3816</t>
  </si>
  <si>
    <t>P1210</t>
  </si>
  <si>
    <t>P3940</t>
  </si>
  <si>
    <t>P4185</t>
  </si>
  <si>
    <t>P745</t>
  </si>
  <si>
    <t>P4600</t>
  </si>
  <si>
    <t>P3489</t>
  </si>
  <si>
    <t>P3019</t>
  </si>
  <si>
    <t>P394</t>
  </si>
  <si>
    <t>P3077</t>
  </si>
  <si>
    <t>P3085</t>
  </si>
  <si>
    <t>P4664</t>
  </si>
  <si>
    <t>P156</t>
  </si>
  <si>
    <t>P416</t>
  </si>
  <si>
    <t>P4911</t>
  </si>
  <si>
    <t>P586</t>
  </si>
  <si>
    <t>P1015</t>
  </si>
  <si>
    <t>P1844</t>
  </si>
  <si>
    <t>P3805</t>
  </si>
  <si>
    <t>P2128</t>
  </si>
  <si>
    <t>P4435</t>
  </si>
  <si>
    <t>P1529</t>
  </si>
  <si>
    <t>P3619</t>
  </si>
  <si>
    <t>P4567</t>
  </si>
  <si>
    <t>P4922</t>
  </si>
  <si>
    <t>P3462</t>
  </si>
  <si>
    <t>P848</t>
  </si>
  <si>
    <t>P188</t>
  </si>
  <si>
    <t>P1486</t>
  </si>
  <si>
    <t>P4734</t>
  </si>
  <si>
    <t>P286</t>
  </si>
  <si>
    <t>P4021</t>
  </si>
  <si>
    <t>P443</t>
  </si>
  <si>
    <t>P3053</t>
  </si>
  <si>
    <t>P1304</t>
  </si>
  <si>
    <t>P2619</t>
  </si>
  <si>
    <t>P4306</t>
  </si>
  <si>
    <t>P802</t>
  </si>
  <si>
    <t>P1547</t>
  </si>
  <si>
    <t>P1663</t>
  </si>
  <si>
    <t>P4746</t>
  </si>
  <si>
    <t>P3917</t>
  </si>
  <si>
    <t>P4320</t>
  </si>
  <si>
    <t>P1202</t>
  </si>
  <si>
    <t>P2228</t>
  </si>
  <si>
    <t>P4088</t>
  </si>
  <si>
    <t>P2107</t>
  </si>
  <si>
    <t>P690</t>
  </si>
  <si>
    <t>P2014</t>
  </si>
  <si>
    <t>P3066</t>
  </si>
  <si>
    <t>P1967</t>
  </si>
  <si>
    <t>P654</t>
  </si>
  <si>
    <t>P4598</t>
  </si>
  <si>
    <t>P2110</t>
  </si>
  <si>
    <t>P4787</t>
  </si>
  <si>
    <t>P3218</t>
  </si>
  <si>
    <t>P1921</t>
  </si>
  <si>
    <t>P2358</t>
  </si>
  <si>
    <t>P893</t>
  </si>
  <si>
    <t>P3319</t>
  </si>
  <si>
    <t>P1561</t>
  </si>
  <si>
    <t>P1129</t>
  </si>
  <si>
    <t>P2253</t>
  </si>
  <si>
    <t>P492</t>
  </si>
  <si>
    <t>P160</t>
  </si>
  <si>
    <t>P4939</t>
  </si>
  <si>
    <t>P1191</t>
  </si>
  <si>
    <t>P3012</t>
  </si>
  <si>
    <t>P4363</t>
  </si>
  <si>
    <t>P4991</t>
  </si>
  <si>
    <t>P477</t>
  </si>
  <si>
    <t>P128</t>
  </si>
  <si>
    <t>P3785</t>
  </si>
  <si>
    <t>P41</t>
  </si>
  <si>
    <t>P4155</t>
  </si>
  <si>
    <t>P3482</t>
  </si>
  <si>
    <t>P3539</t>
  </si>
  <si>
    <t>P4779</t>
  </si>
  <si>
    <t>P4248</t>
  </si>
  <si>
    <t>P4211</t>
  </si>
  <si>
    <t>P2924</t>
  </si>
  <si>
    <t>P3560</t>
  </si>
  <si>
    <t>P1327</t>
  </si>
  <si>
    <t>P3884</t>
  </si>
  <si>
    <t>P4614</t>
  </si>
  <si>
    <t>P3657</t>
  </si>
  <si>
    <t>P1031</t>
  </si>
  <si>
    <t>P1726</t>
  </si>
  <si>
    <t>P4135</t>
  </si>
  <si>
    <t>P4795</t>
  </si>
  <si>
    <t>P524</t>
  </si>
  <si>
    <t>P17</t>
  </si>
  <si>
    <t>P3639</t>
  </si>
  <si>
    <t>P2655</t>
  </si>
  <si>
    <t>P3975</t>
  </si>
  <si>
    <t>P2147</t>
  </si>
  <si>
    <t>P2967</t>
  </si>
  <si>
    <t>P2870</t>
  </si>
  <si>
    <t>P4459</t>
  </si>
  <si>
    <t>P4374</t>
  </si>
  <si>
    <t>P1968</t>
  </si>
  <si>
    <t>P655</t>
  </si>
  <si>
    <t>P2145</t>
  </si>
  <si>
    <t>P3980</t>
  </si>
  <si>
    <t>P1377</t>
  </si>
  <si>
    <t>P3272</t>
  </si>
  <si>
    <t>P3570</t>
  </si>
  <si>
    <t>P1576</t>
  </si>
  <si>
    <t>P4058</t>
  </si>
  <si>
    <t>P2552</t>
  </si>
  <si>
    <t>P2991</t>
  </si>
  <si>
    <t>P4961</t>
  </si>
  <si>
    <t>P2697</t>
  </si>
  <si>
    <t>P2167</t>
  </si>
  <si>
    <t>P3457</t>
  </si>
  <si>
    <t>P4334</t>
  </si>
  <si>
    <t>P3312</t>
  </si>
  <si>
    <t>P46</t>
  </si>
  <si>
    <t>P4501</t>
  </si>
  <si>
    <t>P1507</t>
  </si>
  <si>
    <t>P4303</t>
  </si>
  <si>
    <t>P3538</t>
  </si>
  <si>
    <t>P2090</t>
  </si>
  <si>
    <t>P4206</t>
  </si>
  <si>
    <t>P1919</t>
  </si>
  <si>
    <t>P1331</t>
  </si>
  <si>
    <t>P629</t>
  </si>
  <si>
    <t>P4217</t>
  </si>
  <si>
    <t>P4105</t>
  </si>
  <si>
    <t>P1143</t>
  </si>
  <si>
    <t>P1274</t>
  </si>
  <si>
    <t>P2805</t>
  </si>
  <si>
    <t>P2059</t>
  </si>
  <si>
    <t>P4801</t>
  </si>
  <si>
    <t>P2373</t>
  </si>
  <si>
    <t>P2586</t>
  </si>
  <si>
    <t>P3334</t>
  </si>
  <si>
    <t>P1283</t>
  </si>
  <si>
    <t>P3587</t>
  </si>
  <si>
    <t>P365</t>
  </si>
  <si>
    <t>P4663</t>
  </si>
  <si>
    <t>P1732</t>
  </si>
  <si>
    <t>P284</t>
  </si>
  <si>
    <t>P2639</t>
  </si>
  <si>
    <t>P4391</t>
  </si>
  <si>
    <t>P1520</t>
  </si>
  <si>
    <t>P2647</t>
  </si>
  <si>
    <t>P1958</t>
  </si>
  <si>
    <t>P2135</t>
  </si>
  <si>
    <t>P4069</t>
  </si>
  <si>
    <t>P4388</t>
  </si>
  <si>
    <t>P2226</t>
  </si>
  <si>
    <t>P4132</t>
  </si>
  <si>
    <t>P813</t>
  </si>
  <si>
    <t>P1755</t>
  </si>
  <si>
    <t>P295</t>
  </si>
  <si>
    <t>P2576</t>
  </si>
  <si>
    <t>P2890</t>
  </si>
  <si>
    <t>P2488</t>
  </si>
  <si>
    <t>P2709</t>
  </si>
  <si>
    <t>P2852</t>
  </si>
  <si>
    <t>P1530</t>
  </si>
  <si>
    <t>P2345</t>
  </si>
  <si>
    <t>P48</t>
  </si>
  <si>
    <t>P131</t>
  </si>
  <si>
    <t>P3069</t>
  </si>
  <si>
    <t>P3100</t>
  </si>
  <si>
    <t>P3267</t>
  </si>
  <si>
    <t>P1164</t>
  </si>
  <si>
    <t>P3512</t>
  </si>
  <si>
    <t>P3098</t>
  </si>
  <si>
    <t>P2702</t>
  </si>
  <si>
    <t>P2721</t>
  </si>
  <si>
    <t>P1383</t>
  </si>
  <si>
    <t>P1795</t>
  </si>
  <si>
    <t>P1567</t>
  </si>
  <si>
    <t>P582</t>
  </si>
  <si>
    <t>P3398</t>
  </si>
  <si>
    <t>P3993</t>
  </si>
  <si>
    <t>P1938</t>
  </si>
  <si>
    <t>P152</t>
  </si>
  <si>
    <t>P3466</t>
  </si>
  <si>
    <t>P4422</t>
  </si>
  <si>
    <t>P2121</t>
  </si>
  <si>
    <t>P2523</t>
  </si>
  <si>
    <t>P4860</t>
  </si>
  <si>
    <t>P822</t>
  </si>
  <si>
    <t>P4476</t>
  </si>
  <si>
    <t>P908</t>
  </si>
  <si>
    <t>P4697</t>
  </si>
  <si>
    <t>P81</t>
  </si>
  <si>
    <t>P4341</t>
  </si>
  <si>
    <t>P4296</t>
  </si>
  <si>
    <t>P3840</t>
  </si>
  <si>
    <t>P4686</t>
  </si>
  <si>
    <t>P1511</t>
  </si>
  <si>
    <t>P1234</t>
  </si>
  <si>
    <t>P370</t>
  </si>
  <si>
    <t>P4060</t>
  </si>
  <si>
    <t>P4432</t>
  </si>
  <si>
    <t>P1476</t>
  </si>
  <si>
    <t>P538</t>
  </si>
  <si>
    <t>P1842</t>
  </si>
  <si>
    <t>P1939</t>
  </si>
  <si>
    <t>P4508</t>
  </si>
  <si>
    <t>P742</t>
  </si>
  <si>
    <t>P99</t>
  </si>
  <si>
    <t>P116</t>
  </si>
  <si>
    <t>P3227</t>
  </si>
  <si>
    <t>P2837</t>
  </si>
  <si>
    <t>P4036</t>
  </si>
  <si>
    <t>P3541</t>
  </si>
  <si>
    <t>P618</t>
  </si>
  <si>
    <t>COVID-19</t>
  </si>
  <si>
    <t>P810</t>
  </si>
  <si>
    <t>P4246</t>
  </si>
  <si>
    <t>P2600</t>
  </si>
  <si>
    <t>P883</t>
  </si>
  <si>
    <t>P2302</t>
  </si>
  <si>
    <t>P1868</t>
  </si>
  <si>
    <t>P3197</t>
  </si>
  <si>
    <t>P1964</t>
  </si>
  <si>
    <t>P2579</t>
  </si>
  <si>
    <t>P3160</t>
  </si>
  <si>
    <t>P4382</t>
  </si>
  <si>
    <t>P1894</t>
  </si>
  <si>
    <t>P2972</t>
  </si>
  <si>
    <t>P1022</t>
  </si>
  <si>
    <t>P797</t>
  </si>
  <si>
    <t>P4912</t>
  </si>
  <si>
    <t>P1838</t>
  </si>
  <si>
    <t>P2348</t>
  </si>
  <si>
    <t>P2535</t>
  </si>
  <si>
    <t>P2984</t>
  </si>
  <si>
    <t>P806</t>
  </si>
  <si>
    <t>P4894</t>
  </si>
  <si>
    <t>P3526</t>
  </si>
  <si>
    <t>P3475</t>
  </si>
  <si>
    <t>P403</t>
  </si>
  <si>
    <t>P2903</t>
  </si>
  <si>
    <t>P3207</t>
  </si>
  <si>
    <t>P1012</t>
  </si>
  <si>
    <t>P4568</t>
  </si>
  <si>
    <t>P4148</t>
  </si>
  <si>
    <t>P2346</t>
  </si>
  <si>
    <t>P4617</t>
  </si>
  <si>
    <t>P4707</t>
  </si>
  <si>
    <t>P4195</t>
  </si>
  <si>
    <t>P773</t>
  </si>
  <si>
    <t>P4077</t>
  </si>
  <si>
    <t>P2970</t>
  </si>
  <si>
    <t>P2068</t>
  </si>
  <si>
    <t>P3190</t>
  </si>
  <si>
    <t>P1664</t>
  </si>
  <si>
    <t>P4678</t>
  </si>
  <si>
    <t>P1756</t>
  </si>
  <si>
    <t>P2705</t>
  </si>
  <si>
    <t>P1468</t>
  </si>
  <si>
    <t>P1514</t>
  </si>
  <si>
    <t>P2510</t>
  </si>
  <si>
    <t>P2156</t>
  </si>
  <si>
    <t>P1282</t>
  </si>
  <si>
    <t>P4796</t>
  </si>
  <si>
    <t>P193</t>
  </si>
  <si>
    <t>P671</t>
  </si>
  <si>
    <t>P3479</t>
  </si>
  <si>
    <t>P3274</t>
  </si>
  <si>
    <t>P303</t>
  </si>
  <si>
    <t>P3042</t>
  </si>
  <si>
    <t>P1281</t>
  </si>
  <si>
    <t>P3030</t>
  </si>
  <si>
    <t>P2312</t>
  </si>
  <si>
    <t>P1869</t>
  </si>
  <si>
    <t>P4710</t>
  </si>
  <si>
    <t>P3794</t>
  </si>
  <si>
    <t>P4665</t>
  </si>
  <si>
    <t>P3126</t>
  </si>
  <si>
    <t>P3370</t>
  </si>
  <si>
    <t>P1376</t>
  </si>
  <si>
    <t>P4936</t>
  </si>
  <si>
    <t>P3494</t>
  </si>
  <si>
    <t>P3326</t>
  </si>
  <si>
    <t>P3911</t>
  </si>
  <si>
    <t>P2131</t>
  </si>
  <si>
    <t>P2449</t>
  </si>
  <si>
    <t>P4872</t>
  </si>
  <si>
    <t>P3962</t>
  </si>
  <si>
    <t>P3768</t>
  </si>
  <si>
    <t>P4468</t>
  </si>
  <si>
    <t>P145</t>
  </si>
  <si>
    <t>P4233</t>
  </si>
  <si>
    <t>P355</t>
  </si>
  <si>
    <t>P2365</t>
  </si>
  <si>
    <t>P1555</t>
  </si>
  <si>
    <t>P3965</t>
  </si>
  <si>
    <t>P2390</t>
  </si>
  <si>
    <t>P3364</t>
  </si>
  <si>
    <t>P2404</t>
  </si>
  <si>
    <t>P2694</t>
  </si>
  <si>
    <t>P978</t>
  </si>
  <si>
    <t>P2435</t>
  </si>
  <si>
    <t>P3640</t>
  </si>
  <si>
    <t>P1537</t>
  </si>
  <si>
    <t>P2158</t>
  </si>
  <si>
    <t>P4650</t>
  </si>
  <si>
    <t>P2078</t>
  </si>
  <si>
    <t>P990</t>
  </si>
  <si>
    <t>P3404</t>
  </si>
  <si>
    <t>P4942</t>
  </si>
  <si>
    <t>P1412</t>
  </si>
  <si>
    <t>P1959</t>
  </si>
  <si>
    <t>P234</t>
  </si>
  <si>
    <t>P2516</t>
  </si>
  <si>
    <t>P1062</t>
  </si>
  <si>
    <t>P483</t>
  </si>
  <si>
    <t>P187</t>
  </si>
  <si>
    <t>P3971</t>
  </si>
  <si>
    <t>P464</t>
  </si>
  <si>
    <t>P4862</t>
  </si>
  <si>
    <t>P3236</t>
  </si>
  <si>
    <t>P78</t>
  </si>
  <si>
    <t>P2481</t>
  </si>
  <si>
    <t>P1199</t>
  </si>
  <si>
    <t>P3391</t>
  </si>
  <si>
    <t>P670</t>
  </si>
  <si>
    <t>P1947</t>
  </si>
  <si>
    <t>P2814</t>
  </si>
  <si>
    <t>P363</t>
  </si>
  <si>
    <t>P1686</t>
  </si>
  <si>
    <t>P2569</t>
  </si>
  <si>
    <t>P2876</t>
  </si>
  <si>
    <t>P2375</t>
  </si>
  <si>
    <t>P3450</t>
  </si>
  <si>
    <t>P138</t>
  </si>
  <si>
    <t>P955</t>
  </si>
  <si>
    <t>P4946</t>
  </si>
  <si>
    <t>P3862</t>
  </si>
  <si>
    <t>P3026</t>
  </si>
  <si>
    <t>P1824</t>
  </si>
  <si>
    <t>P1354</t>
  </si>
  <si>
    <t>P1041</t>
  </si>
  <si>
    <t>P2774</t>
  </si>
  <si>
    <t>P229</t>
  </si>
  <si>
    <t>P3966</t>
  </si>
  <si>
    <t>P3865</t>
  </si>
  <si>
    <t>P2287</t>
  </si>
  <si>
    <t>P4594</t>
  </si>
  <si>
    <t>P799</t>
  </si>
  <si>
    <t>P513</t>
  </si>
  <si>
    <t>P1603</t>
  </si>
  <si>
    <t>P306</t>
  </si>
  <si>
    <t>P550</t>
  </si>
  <si>
    <t>P3919</t>
  </si>
  <si>
    <t>P4439</t>
  </si>
  <si>
    <t>P1785</t>
  </si>
  <si>
    <t>P3815</t>
  </si>
  <si>
    <t>P925</t>
  </si>
  <si>
    <t>P1760</t>
  </si>
  <si>
    <t>P3755</t>
  </si>
  <si>
    <t>P173</t>
  </si>
  <si>
    <t>P4198</t>
  </si>
  <si>
    <t>P4800</t>
  </si>
  <si>
    <t>P1585</t>
  </si>
  <si>
    <t>P1956</t>
  </si>
  <si>
    <t>P3937</t>
  </si>
  <si>
    <t>P1150</t>
  </si>
  <si>
    <t>P4914</t>
  </si>
  <si>
    <t>P368</t>
  </si>
  <si>
    <t>P2143</t>
  </si>
  <si>
    <t>P886</t>
  </si>
  <si>
    <t>P140</t>
  </si>
  <si>
    <t>P1</t>
  </si>
  <si>
    <t>P2104</t>
  </si>
  <si>
    <t>P1917</t>
  </si>
  <si>
    <t>P4073</t>
  </si>
  <si>
    <t>P1600</t>
  </si>
  <si>
    <t>P57</t>
  </si>
  <si>
    <t>P577</t>
  </si>
  <si>
    <t>P4549</t>
  </si>
  <si>
    <t>P1752</t>
  </si>
  <si>
    <t>P1720</t>
  </si>
  <si>
    <t>P441</t>
  </si>
  <si>
    <t>P3609</t>
  </si>
  <si>
    <t>P4514</t>
  </si>
  <si>
    <t>P1225</t>
  </si>
  <si>
    <t>P2496</t>
  </si>
  <si>
    <t>P1989</t>
  </si>
  <si>
    <t>P4287</t>
  </si>
  <si>
    <t>P4339</t>
  </si>
  <si>
    <t>P553</t>
  </si>
  <si>
    <t>P1618</t>
  </si>
  <si>
    <t>P4596</t>
  </si>
  <si>
    <t>P4045</t>
  </si>
  <si>
    <t>P251</t>
  </si>
  <si>
    <t>P1090</t>
  </si>
  <si>
    <t>P2534</t>
  </si>
  <si>
    <t>P4405</t>
  </si>
  <si>
    <t>P348</t>
  </si>
  <si>
    <t>P3732</t>
  </si>
  <si>
    <t>P100</t>
  </si>
  <si>
    <t>P2136</t>
  </si>
  <si>
    <t>P3198</t>
  </si>
  <si>
    <t>P2744</t>
  </si>
  <si>
    <t>P1613</t>
  </si>
  <si>
    <t>P215</t>
  </si>
  <si>
    <t>P2912</t>
  </si>
  <si>
    <t>P2436</t>
  </si>
  <si>
    <t>P1635</t>
  </si>
  <si>
    <t>P1312</t>
  </si>
  <si>
    <t>P2635</t>
  </si>
  <si>
    <t>P666</t>
  </si>
  <si>
    <t>P2802</t>
  </si>
  <si>
    <t>P3752</t>
  </si>
  <si>
    <t>P3720</t>
  </si>
  <si>
    <t>P1390</t>
  </si>
  <si>
    <t>P1803</t>
  </si>
  <si>
    <t>P1712</t>
  </si>
  <si>
    <t>P2957</t>
  </si>
  <si>
    <t>P3749</t>
  </si>
  <si>
    <t>P4543</t>
  </si>
  <si>
    <t>P437</t>
  </si>
  <si>
    <t>P4731</t>
  </si>
  <si>
    <t>P2571</t>
  </si>
  <si>
    <t>P76</t>
  </si>
  <si>
    <t>P3574</t>
  </si>
  <si>
    <t>P2196</t>
  </si>
  <si>
    <t>P4274</t>
  </si>
  <si>
    <t>P2220</t>
  </si>
  <si>
    <t>P1793</t>
  </si>
  <si>
    <t>P278</t>
  </si>
  <si>
    <t>P3664</t>
  </si>
  <si>
    <t>P1379</t>
  </si>
  <si>
    <t>P502</t>
  </si>
  <si>
    <t>P4178</t>
  </si>
  <si>
    <t>P1074</t>
  </si>
  <si>
    <t>P1489</t>
  </si>
  <si>
    <t>P2554</t>
  </si>
  <si>
    <t>P889</t>
  </si>
  <si>
    <t>P3366</t>
  </si>
  <si>
    <t>P3485</t>
  </si>
  <si>
    <t>P179</t>
  </si>
  <si>
    <t>P1009</t>
  </si>
  <si>
    <t>P4923</t>
  </si>
  <si>
    <t>P4602</t>
  </si>
  <si>
    <t>P4372</t>
  </si>
  <si>
    <t>P3633</t>
  </si>
  <si>
    <t>P4981</t>
  </si>
  <si>
    <t>P2678</t>
  </si>
  <si>
    <t>P484</t>
  </si>
  <si>
    <t>P4420</t>
  </si>
  <si>
    <t>P3709</t>
  </si>
  <si>
    <t>P1901</t>
  </si>
  <si>
    <t>P3751</t>
  </si>
  <si>
    <t>P3322</t>
  </si>
  <si>
    <t>P133</t>
  </si>
  <si>
    <t>P3686</t>
  </si>
  <si>
    <t>P594</t>
  </si>
  <si>
    <t>P408</t>
  </si>
  <si>
    <t>P3468</t>
  </si>
  <si>
    <t>P21</t>
  </si>
  <si>
    <t>P648</t>
  </si>
  <si>
    <t>P1453</t>
  </si>
  <si>
    <t>P3687</t>
  </si>
  <si>
    <t>P3378</t>
  </si>
  <si>
    <t>P3221</t>
  </si>
  <si>
    <t>P2236</t>
  </si>
  <si>
    <t>P168</t>
  </si>
  <si>
    <t>P105</t>
  </si>
  <si>
    <t>P4398</t>
  </si>
  <si>
    <t>P3456</t>
  </si>
  <si>
    <t>P3150</t>
  </si>
  <si>
    <t>P3773</t>
  </si>
  <si>
    <t>P4537</t>
  </si>
  <si>
    <t>P2791</t>
  </si>
  <si>
    <t>P2085</t>
  </si>
  <si>
    <t>P4657</t>
  </si>
  <si>
    <t>P2751</t>
  </si>
  <si>
    <t>P747</t>
  </si>
  <si>
    <t>P420</t>
  </si>
  <si>
    <t>P3184</t>
  </si>
  <si>
    <t>P3021</t>
  </si>
  <si>
    <t>P1931</t>
  </si>
  <si>
    <t>P1773</t>
  </si>
  <si>
    <t>P2965</t>
  </si>
  <si>
    <t>P107</t>
  </si>
  <si>
    <t>P4500</t>
  </si>
  <si>
    <t>P4828</t>
  </si>
  <si>
    <t>P1257</t>
  </si>
  <si>
    <t>P1130</t>
  </si>
  <si>
    <t>P3807</t>
  </si>
  <si>
    <t>P4523</t>
  </si>
  <si>
    <t>P3658</t>
  </si>
  <si>
    <t>P2670</t>
  </si>
  <si>
    <t>P1903</t>
  </si>
  <si>
    <t>P3299</t>
  </si>
  <si>
    <t>P3251</t>
  </si>
  <si>
    <t>P1435</t>
  </si>
  <si>
    <t>P475</t>
  </si>
  <si>
    <t>P1006</t>
  </si>
  <si>
    <t>P1629</t>
  </si>
  <si>
    <t>P2007</t>
  </si>
  <si>
    <t>P2748</t>
  </si>
  <si>
    <t>P2595</t>
  </si>
  <si>
    <t>P3907</t>
  </si>
  <si>
    <t>P3182</t>
  </si>
  <si>
    <t>P605</t>
  </si>
  <si>
    <t>P4059</t>
  </si>
  <si>
    <t>P1029</t>
  </si>
  <si>
    <t>P3887</t>
  </si>
  <si>
    <t>P3594</t>
  </si>
  <si>
    <t>P898</t>
  </si>
  <si>
    <t>P1695</t>
  </si>
  <si>
    <t>P1110</t>
  </si>
  <si>
    <t>P3760</t>
  </si>
  <si>
    <t>P527</t>
  </si>
  <si>
    <t>P4726</t>
  </si>
  <si>
    <t>P58</t>
  </si>
  <si>
    <t>P777</t>
  </si>
  <si>
    <t>P2366</t>
  </si>
  <si>
    <t>P4447</t>
  </si>
  <si>
    <t>P2026</t>
  </si>
  <si>
    <t>P531</t>
  </si>
  <si>
    <t>P675</t>
  </si>
  <si>
    <t>P96</t>
  </si>
  <si>
    <t>P728</t>
  </si>
  <si>
    <t>P4701</t>
  </si>
  <si>
    <t>P3731</t>
  </si>
  <si>
    <t>P1538</t>
  </si>
  <si>
    <t>P1568</t>
  </si>
  <si>
    <t>P2818</t>
  </si>
  <si>
    <t>P2260</t>
  </si>
  <si>
    <t>P1212</t>
  </si>
  <si>
    <t>P1098</t>
  </si>
  <si>
    <t>P999</t>
  </si>
  <si>
    <t>P1957</t>
  </si>
  <si>
    <t>P3693</t>
  </si>
  <si>
    <t>P1694</t>
  </si>
  <si>
    <t>P231</t>
  </si>
  <si>
    <t>P4104</t>
  </si>
  <si>
    <t>P4062</t>
  </si>
  <si>
    <t>P3880</t>
  </si>
  <si>
    <t>P3762</t>
  </si>
  <si>
    <t>P2607</t>
  </si>
  <si>
    <t>P4542</t>
  </si>
  <si>
    <t>P3068</t>
  </si>
  <si>
    <t>P812</t>
  </si>
  <si>
    <t>P4601</t>
  </si>
  <si>
    <t>P3273</t>
  </si>
  <si>
    <t>P1763</t>
  </si>
  <si>
    <t>P1648</t>
  </si>
  <si>
    <t>P300</t>
  </si>
  <si>
    <t>P1329</t>
  </si>
  <si>
    <t>P1439</t>
  </si>
  <si>
    <t>P1607</t>
  </si>
  <si>
    <t>P346</t>
  </si>
  <si>
    <t>P1551</t>
  </si>
  <si>
    <t>P3147</t>
  </si>
  <si>
    <t>P3089</t>
  </si>
  <si>
    <t>P3212</t>
  </si>
  <si>
    <t>P398</t>
  </si>
  <si>
    <t>P24</t>
  </si>
  <si>
    <t>P1780</t>
  </si>
  <si>
    <t>P3487</t>
  </si>
  <si>
    <t>P1325</t>
  </si>
  <si>
    <t>P379</t>
  </si>
  <si>
    <t>P3819</t>
  </si>
  <si>
    <t>P3403</t>
  </si>
  <si>
    <t>P3298</t>
  </si>
  <si>
    <t>P3699</t>
  </si>
  <si>
    <t>P891</t>
  </si>
  <si>
    <t>P2563</t>
  </si>
  <si>
    <t>P3944</t>
  </si>
  <si>
    <t>P3156</t>
  </si>
  <si>
    <t>P1758</t>
  </si>
  <si>
    <t>P897</t>
  </si>
  <si>
    <t>P3739</t>
  </si>
  <si>
    <t>P104</t>
  </si>
  <si>
    <t>P1907</t>
  </si>
  <si>
    <t>P1643</t>
  </si>
  <si>
    <t>P3330</t>
  </si>
  <si>
    <t>P2010</t>
  </si>
  <si>
    <t>P2583</t>
  </si>
  <si>
    <t>P3001</t>
  </si>
  <si>
    <t>P1224</t>
  </si>
  <si>
    <t>P1735</t>
  </si>
  <si>
    <t>P2819</t>
  </si>
  <si>
    <t>P2513</t>
  </si>
  <si>
    <t>P1741</t>
  </si>
  <si>
    <t>P340</t>
  </si>
  <si>
    <t>P2417</t>
  </si>
  <si>
    <t>P3111</t>
  </si>
  <si>
    <t>P3938</t>
  </si>
  <si>
    <t>P761</t>
  </si>
  <si>
    <t>P4008</t>
  </si>
  <si>
    <t>P3088</t>
  </si>
  <si>
    <t>P4807</t>
  </si>
  <si>
    <t>P2887</t>
  </si>
  <si>
    <t>P4901</t>
  </si>
  <si>
    <t>P635</t>
  </si>
  <si>
    <t>P4879</t>
  </si>
  <si>
    <t>P2859</t>
  </si>
  <si>
    <t>P4362</t>
  </si>
  <si>
    <t>P4346</t>
  </si>
  <si>
    <t>P471</t>
  </si>
  <si>
    <t>P3926</t>
  </si>
  <si>
    <t>P3614</t>
  </si>
  <si>
    <t>P4114</t>
  </si>
  <si>
    <t>P2379</t>
  </si>
  <si>
    <t>P852</t>
  </si>
  <si>
    <t>P4609</t>
  </si>
  <si>
    <t>P3982</t>
  </si>
  <si>
    <t>P3818</t>
  </si>
  <si>
    <t>P439</t>
  </si>
  <si>
    <t>P221</t>
  </si>
  <si>
    <t>P2663</t>
  </si>
  <si>
    <t>P3551</t>
  </si>
  <si>
    <t>P456</t>
  </si>
  <si>
    <t>P4592</t>
  </si>
  <si>
    <t>P1369</t>
  </si>
  <si>
    <t>P3483</t>
  </si>
  <si>
    <t>P3859</t>
  </si>
  <si>
    <t>P1261</t>
  </si>
  <si>
    <t>P2015</t>
  </si>
  <si>
    <t>P3510</t>
  </si>
  <si>
    <t>P4730</t>
  </si>
  <si>
    <t>P54</t>
  </si>
  <si>
    <t>P1328</t>
  </si>
  <si>
    <t>P26</t>
  </si>
  <si>
    <t>P3465</t>
  </si>
  <si>
    <t>P3059</t>
  </si>
  <si>
    <t>P3542</t>
  </si>
  <si>
    <t>P3961</t>
  </si>
  <si>
    <t>P3645</t>
  </si>
  <si>
    <t>P1207</t>
  </si>
  <si>
    <t>P2075</t>
  </si>
  <si>
    <t>P1080</t>
  </si>
  <si>
    <t>P7</t>
  </si>
  <si>
    <t>P2999</t>
  </si>
  <si>
    <t>P1831</t>
  </si>
  <si>
    <t>P2914</t>
  </si>
  <si>
    <t>P1305</t>
  </si>
  <si>
    <t>P4561</t>
  </si>
  <si>
    <t>P3549</t>
  </si>
  <si>
    <t>P4414</t>
  </si>
  <si>
    <t>P4762</t>
  </si>
  <si>
    <t>P1024</t>
  </si>
  <si>
    <t>P1408</t>
  </si>
  <si>
    <t>P3761</t>
  </si>
  <si>
    <t>P4982</t>
  </si>
  <si>
    <t>P4061</t>
  </si>
  <si>
    <t>P548</t>
  </si>
  <si>
    <t>P4937</t>
  </si>
  <si>
    <t>P1998</t>
  </si>
  <si>
    <t>P1509</t>
  </si>
  <si>
    <t>P4356</t>
  </si>
  <si>
    <t>P2160</t>
  </si>
  <si>
    <t>P213</t>
  </si>
  <si>
    <t>P1119</t>
  </si>
  <si>
    <t>P2191</t>
  </si>
  <si>
    <t>P698</t>
  </si>
  <si>
    <t>P1882</t>
  </si>
  <si>
    <t>P52</t>
  </si>
  <si>
    <t>P2525</t>
  </si>
  <si>
    <t>P1073</t>
  </si>
  <si>
    <t>P2313</t>
  </si>
  <si>
    <t>P4032</t>
  </si>
  <si>
    <t>P4607</t>
  </si>
  <si>
    <t>P2902</t>
  </si>
  <si>
    <t>P4873</t>
  </si>
  <si>
    <t>P2792</t>
  </si>
  <si>
    <t>P3130</t>
  </si>
  <si>
    <t>P87</t>
  </si>
  <si>
    <t>P4742</t>
  </si>
  <si>
    <t>P2917</t>
  </si>
  <si>
    <t>P986</t>
  </si>
  <si>
    <t>P3958</t>
  </si>
  <si>
    <t>P4619</t>
  </si>
  <si>
    <t>P2856</t>
  </si>
  <si>
    <t>P4646</t>
  </si>
  <si>
    <t>P4794</t>
  </si>
  <si>
    <t>P4812</t>
  </si>
  <si>
    <t>P4065</t>
  </si>
  <si>
    <t>P144</t>
  </si>
  <si>
    <t>P203</t>
  </si>
  <si>
    <t>P1479</t>
  </si>
  <si>
    <t>P3644</t>
  </si>
  <si>
    <t>P2044</t>
  </si>
  <si>
    <t>P1717</t>
  </si>
  <si>
    <t>P1743</t>
  </si>
  <si>
    <t>P2280</t>
  </si>
  <si>
    <t>P4996</t>
  </si>
  <si>
    <t>P2092</t>
  </si>
  <si>
    <t>P3593</t>
  </si>
  <si>
    <t>P3989</t>
  </si>
  <si>
    <t>P2429</t>
  </si>
  <si>
    <t>P554</t>
  </si>
  <si>
    <t>P875</t>
  </si>
  <si>
    <t>P2722</t>
  </si>
  <si>
    <t>P790</t>
  </si>
  <si>
    <t>P2763</t>
  </si>
  <si>
    <t>P935</t>
  </si>
  <si>
    <t>P3758</t>
  </si>
  <si>
    <t>P3881</t>
  </si>
  <si>
    <t>P2892</t>
  </si>
  <si>
    <t>P240</t>
  </si>
  <si>
    <t>P2789</t>
  </si>
  <si>
    <t>P1518</t>
  </si>
  <si>
    <t>P2671</t>
  </si>
  <si>
    <t>P2986</t>
  </si>
  <si>
    <t>P241</t>
  </si>
  <si>
    <t>P4703</t>
  </si>
  <si>
    <t>P4481</t>
  </si>
  <si>
    <t>P3546</t>
  </si>
  <si>
    <t>P1818</t>
  </si>
  <si>
    <t>P4425</t>
  </si>
  <si>
    <t>P1434</t>
  </si>
  <si>
    <t>P318</t>
  </si>
  <si>
    <t>P1605</t>
  </si>
  <si>
    <t>P4588</t>
  </si>
  <si>
    <t>P3906</t>
  </si>
  <si>
    <t>P4443</t>
  </si>
  <si>
    <t>P2106</t>
  </si>
  <si>
    <t>P2616</t>
  </si>
  <si>
    <t>P3166</t>
  </si>
  <si>
    <t>P3957</t>
  </si>
  <si>
    <t>P3973</t>
  </si>
  <si>
    <t>P175</t>
  </si>
  <si>
    <t>P2401</t>
  </si>
  <si>
    <t>P4403</t>
  </si>
  <si>
    <t>P2590</t>
  </si>
  <si>
    <t>P474</t>
  </si>
  <si>
    <t>P1446</t>
  </si>
  <si>
    <t>P4401</t>
  </si>
  <si>
    <t>P2395</t>
  </si>
  <si>
    <t>P272</t>
  </si>
  <si>
    <t>P1362</t>
  </si>
  <si>
    <t>P2623</t>
  </si>
  <si>
    <t>P653</t>
  </si>
  <si>
    <t>P2989</t>
  </si>
  <si>
    <t>P103</t>
  </si>
  <si>
    <t>P4371</t>
  </si>
  <si>
    <t>P2613</t>
  </si>
  <si>
    <t>P74</t>
  </si>
  <si>
    <t>P1413</t>
  </si>
  <si>
    <t>P236</t>
  </si>
  <si>
    <t>P15</t>
  </si>
  <si>
    <t>P1879</t>
  </si>
  <si>
    <t>P4581</t>
  </si>
  <si>
    <t>P4196</t>
  </si>
  <si>
    <t>P2533</t>
  </si>
  <si>
    <t>P4409</t>
  </si>
  <si>
    <t>P3823</t>
  </si>
  <si>
    <t>P2833</t>
  </si>
  <si>
    <t>P83</t>
  </si>
  <si>
    <t>P2455</t>
  </si>
  <si>
    <t>P1550</t>
  </si>
  <si>
    <t>P2580</t>
  </si>
  <si>
    <t>P536</t>
  </si>
  <si>
    <t>P4018</t>
  </si>
  <si>
    <t>P56</t>
  </si>
  <si>
    <t>P2376</t>
  </si>
  <si>
    <t>P2642</t>
  </si>
  <si>
    <t>P3781</t>
  </si>
  <si>
    <t>P2844</t>
  </si>
  <si>
    <t>P345</t>
  </si>
  <si>
    <t>P944</t>
  </si>
  <si>
    <t>P3501</t>
  </si>
  <si>
    <t>P2304</t>
  </si>
  <si>
    <t>P1443</t>
  </si>
  <si>
    <t>P4606</t>
  </si>
  <si>
    <t>P3634</t>
  </si>
  <si>
    <t>P839</t>
  </si>
  <si>
    <t>P4563</t>
  </si>
  <si>
    <t>P757</t>
  </si>
  <si>
    <t>P4151</t>
  </si>
  <si>
    <t>P2863</t>
  </si>
  <si>
    <t>P4819</t>
  </si>
  <si>
    <t>P442</t>
  </si>
  <si>
    <t>P2823</t>
  </si>
  <si>
    <t>P1314</t>
  </si>
  <si>
    <t>P1885</t>
  </si>
  <si>
    <t>P3914</t>
  </si>
  <si>
    <t>P3445</t>
  </si>
  <si>
    <t>P1747</t>
  </si>
  <si>
    <t>P2067</t>
  </si>
  <si>
    <t>P4241</t>
  </si>
  <si>
    <t>P1541</t>
  </si>
  <si>
    <t>P4656</t>
  </si>
  <si>
    <t>P2573</t>
  </si>
  <si>
    <t>P2148</t>
  </si>
  <si>
    <t>P4300</t>
  </si>
  <si>
    <t>P4197</t>
  </si>
  <si>
    <t>P1578</t>
  </si>
  <si>
    <t>P4557</t>
  </si>
  <si>
    <t>P850</t>
  </si>
  <si>
    <t>P4998</t>
  </si>
  <si>
    <t>P2173</t>
  </si>
  <si>
    <t>P4765</t>
  </si>
  <si>
    <t>P3725</t>
  </si>
  <si>
    <t>P4674</t>
  </si>
  <si>
    <t>P2703</t>
  </si>
  <si>
    <t>P544</t>
  </si>
  <si>
    <t>P2976</t>
  </si>
  <si>
    <t>P2750</t>
  </si>
  <si>
    <t>P2871</t>
  </si>
  <si>
    <t>P1517</t>
  </si>
  <si>
    <t>P3793</t>
  </si>
  <si>
    <t>P4850</t>
  </si>
  <si>
    <t>P304</t>
  </si>
  <si>
    <t>P2839</t>
  </si>
  <si>
    <t>P1813</t>
  </si>
  <si>
    <t>P3401</t>
  </si>
  <si>
    <t>P625</t>
  </si>
  <si>
    <t>P2688</t>
  </si>
  <si>
    <t>P4641</t>
  </si>
  <si>
    <t>P696</t>
  </si>
  <si>
    <t>P1259</t>
  </si>
  <si>
    <t>P1914</t>
  </si>
  <si>
    <t>P3928</t>
  </si>
  <si>
    <t>P4305</t>
  </si>
  <si>
    <t>P445</t>
  </si>
  <si>
    <t>P520</t>
  </si>
  <si>
    <t>P902</t>
  </si>
  <si>
    <t>P818</t>
  </si>
  <si>
    <t>P2291</t>
  </si>
  <si>
    <t>P2511</t>
  </si>
  <si>
    <t>P1048</t>
  </si>
  <si>
    <t>P2779</t>
  </si>
  <si>
    <t>P2200</t>
  </si>
  <si>
    <t>P610</t>
  </si>
  <si>
    <t>P3661</t>
  </si>
  <si>
    <t>P547</t>
  </si>
  <si>
    <t>P3271</t>
  </si>
  <si>
    <t>P4708</t>
  </si>
  <si>
    <t>P3891</t>
  </si>
  <si>
    <t>P3183</t>
  </si>
  <si>
    <t>P1264</t>
  </si>
  <si>
    <t>P3331</t>
  </si>
  <si>
    <t>P2338</t>
  </si>
  <si>
    <t>P4029</t>
  </si>
  <si>
    <t>P2905</t>
  </si>
  <si>
    <t>P4486</t>
  </si>
  <si>
    <t>P1056</t>
  </si>
  <si>
    <t>P1168</t>
  </si>
  <si>
    <t>P3607</t>
  </si>
  <si>
    <t>P118</t>
  </si>
  <si>
    <t>P2531</t>
  </si>
  <si>
    <t>P1657</t>
  </si>
  <si>
    <t>P452</t>
  </si>
  <si>
    <t>P2950</t>
  </si>
  <si>
    <t>P2396</t>
  </si>
  <si>
    <t>P4979</t>
  </si>
  <si>
    <t>P3788</t>
  </si>
  <si>
    <t>P1832</t>
  </si>
  <si>
    <t>P3285</t>
  </si>
  <si>
    <t>P4310</t>
  </si>
  <si>
    <t>P3164</t>
  </si>
  <si>
    <t>P1334</t>
  </si>
  <si>
    <t>P1836</t>
  </si>
  <si>
    <t>P2309</t>
  </si>
  <si>
    <t>P1969</t>
  </si>
  <si>
    <t>P4532</t>
  </si>
  <si>
    <t>P4760</t>
  </si>
  <si>
    <t>P4980</t>
  </si>
  <si>
    <t>P3105</t>
  </si>
  <si>
    <t>P1705</t>
  </si>
  <si>
    <t>P3118</t>
  </si>
  <si>
    <t>P3033</t>
  </si>
  <si>
    <t>P965</t>
  </si>
  <si>
    <t>P2898</t>
  </si>
  <si>
    <t>P324</t>
  </si>
  <si>
    <t>P1738</t>
  </si>
  <si>
    <t>P958</t>
  </si>
  <si>
    <t>P4436</t>
  </si>
  <si>
    <t>P1351</t>
  </si>
  <si>
    <t>P4376</t>
  </si>
  <si>
    <t>P1416</t>
  </si>
  <si>
    <t>P1896</t>
  </si>
  <si>
    <t>P2526</t>
  </si>
  <si>
    <t>P136</t>
  </si>
  <si>
    <t>P3356</t>
  </si>
  <si>
    <t>P2046</t>
  </si>
  <si>
    <t>P4952</t>
  </si>
  <si>
    <t>CANCER</t>
  </si>
  <si>
    <t>P3257</t>
  </si>
  <si>
    <t>P2620</t>
  </si>
  <si>
    <t>P4389</t>
  </si>
  <si>
    <t>P2507</t>
  </si>
  <si>
    <t>P3901</t>
  </si>
  <si>
    <t>P4615</t>
  </si>
  <si>
    <t>P737</t>
  </si>
  <si>
    <t>P4034</t>
  </si>
  <si>
    <t>P3427</t>
  </si>
  <si>
    <t>P1235</t>
  </si>
  <si>
    <t>P148</t>
  </si>
  <si>
    <t>P1642</t>
  </si>
  <si>
    <t>P1846</t>
  </si>
  <si>
    <t>P4342</t>
  </si>
  <si>
    <t>P53</t>
  </si>
  <si>
    <t>P3301</t>
  </si>
  <si>
    <t>P3249</t>
  </si>
  <si>
    <t>P1454</t>
  </si>
  <si>
    <t>P4988</t>
  </si>
  <si>
    <t>P280</t>
  </si>
  <si>
    <t>P2084</t>
  </si>
  <si>
    <t>P3325</t>
  </si>
  <si>
    <t>P980</t>
  </si>
  <si>
    <t>P126</t>
  </si>
  <si>
    <t>P2336</t>
  </si>
  <si>
    <t>P4406</t>
  </si>
  <si>
    <t>P4983</t>
  </si>
  <si>
    <t>P70</t>
  </si>
  <si>
    <t>P3970</t>
  </si>
  <si>
    <t>P1470</t>
  </si>
  <si>
    <t>P1046</t>
  </si>
  <si>
    <t>P3636</t>
  </si>
  <si>
    <t>P920</t>
  </si>
  <si>
    <t>P1003</t>
  </si>
  <si>
    <t>P3292</t>
  </si>
  <si>
    <t>P529</t>
  </si>
  <si>
    <t>P1372</t>
  </si>
  <si>
    <t>P3020</t>
  </si>
  <si>
    <t>P4328</t>
  </si>
  <si>
    <t>P1594</t>
  </si>
  <si>
    <t>P2410</t>
  </si>
  <si>
    <t>P4348</t>
  </si>
  <si>
    <t>P1631</t>
  </si>
  <si>
    <t>P1689</t>
  </si>
  <si>
    <t>P2900</t>
  </si>
  <si>
    <t>P4732</t>
  </si>
  <si>
    <t>P1019</t>
  </si>
  <si>
    <t>P2718</t>
  </si>
  <si>
    <t>P858</t>
  </si>
  <si>
    <t>P4145</t>
  </si>
  <si>
    <t>P1131</t>
  </si>
  <si>
    <t>P1181</t>
  </si>
  <si>
    <t>P4951</t>
  </si>
  <si>
    <t>P146</t>
  </si>
  <si>
    <t>P1508</t>
  </si>
  <si>
    <t>P44</t>
  </si>
  <si>
    <t>P3850</t>
  </si>
  <si>
    <t>P47</t>
  </si>
  <si>
    <t>P3350</t>
  </si>
  <si>
    <t>P4261</t>
  </si>
  <si>
    <t>P4215</t>
  </si>
  <si>
    <t>P1087</t>
  </si>
  <si>
    <t>P3728</t>
  </si>
  <si>
    <t>P3592</t>
  </si>
  <si>
    <t>P1117</t>
  </si>
  <si>
    <t>P332</t>
  </si>
  <si>
    <t>P1077</t>
  </si>
  <si>
    <t>P3672</t>
  </si>
  <si>
    <t>P3178</t>
  </si>
  <si>
    <t>P4444</t>
  </si>
  <si>
    <t>P1249</t>
  </si>
  <si>
    <t>P3863</t>
  </si>
  <si>
    <t>P3369</t>
  </si>
  <si>
    <t>P3930</t>
  </si>
  <si>
    <t>P3981</t>
  </si>
  <si>
    <t>P1044</t>
  </si>
  <si>
    <t>P4315</t>
  </si>
  <si>
    <t>P3847</t>
  </si>
  <si>
    <t>P776</t>
  </si>
  <si>
    <t>P1071</t>
  </si>
  <si>
    <t>P4682</t>
  </si>
  <si>
    <t>P1706</t>
  </si>
  <si>
    <t>P3833</t>
  </si>
  <si>
    <t>P3502</t>
  </si>
  <si>
    <t>P2464</t>
  </si>
  <si>
    <t>P1175</t>
  </si>
  <si>
    <t>P4220</t>
  </si>
  <si>
    <t>P1156</t>
  </si>
  <si>
    <t>P1218</t>
  </si>
  <si>
    <t>P4335</t>
  </si>
  <si>
    <t>P2489</t>
  </si>
  <si>
    <t>P2793</t>
  </si>
  <si>
    <t>P2326</t>
  </si>
  <si>
    <t>P3924</t>
  </si>
  <si>
    <t>P3946</t>
  </si>
  <si>
    <t>P3533</t>
  </si>
  <si>
    <t>P998</t>
  </si>
  <si>
    <t>P4193</t>
  </si>
  <si>
    <t>P2901</t>
  </si>
  <si>
    <t>P1051</t>
  </si>
  <si>
    <t>P592</t>
  </si>
  <si>
    <t>P1873</t>
  </si>
  <si>
    <t>P4404</t>
  </si>
  <si>
    <t>P2087</t>
  </si>
  <si>
    <t>P3317</t>
  </si>
  <si>
    <t>P3991</t>
  </si>
  <si>
    <t>P3165</t>
  </si>
  <si>
    <t>P561</t>
  </si>
  <si>
    <t>P2997</t>
  </si>
  <si>
    <t>P4017</t>
  </si>
  <si>
    <t>P73</t>
  </si>
  <si>
    <t>P434</t>
  </si>
  <si>
    <t>P4093</t>
  </si>
  <si>
    <t>P1128</t>
  </si>
  <si>
    <t>P3400</t>
  </si>
  <si>
    <t>P3460</t>
  </si>
  <si>
    <t>P3044</t>
  </si>
  <si>
    <t>P4948</t>
  </si>
  <si>
    <t>P1881</t>
  </si>
  <si>
    <t>P590</t>
  </si>
  <si>
    <t>P155</t>
  </si>
  <si>
    <t>P2644</t>
  </si>
  <si>
    <t>P4648</t>
  </si>
  <si>
    <t>P537</t>
  </si>
  <si>
    <t>P230</t>
  </si>
  <si>
    <t>P1308</t>
  </si>
  <si>
    <t>P2910</t>
  </si>
  <si>
    <t>P3726</t>
  </si>
  <si>
    <t>P3455</t>
  </si>
  <si>
    <t>P1963</t>
  </si>
  <si>
    <t>P3132</t>
  </si>
  <si>
    <t>P1932</t>
  </si>
  <si>
    <t>P672</t>
  </si>
  <si>
    <t>P1165</t>
  </si>
  <si>
    <t>P2223</t>
  </si>
  <si>
    <t>P2119</t>
  </si>
  <si>
    <t>P3046</t>
  </si>
  <si>
    <t>P4644</t>
  </si>
  <si>
    <t>P2611</t>
  </si>
  <si>
    <t>P4718</t>
  </si>
  <si>
    <t>P657</t>
  </si>
  <si>
    <t>P1945</t>
  </si>
  <si>
    <t>P831</t>
  </si>
  <si>
    <t>P2865</t>
  </si>
  <si>
    <t>P386</t>
  </si>
  <si>
    <t>P617</t>
  </si>
  <si>
    <t>P2063</t>
  </si>
  <si>
    <t>P4478</t>
  </si>
  <si>
    <t>P1599</t>
  </si>
  <si>
    <t>P3148</t>
  </si>
  <si>
    <t>P4526</t>
  </si>
  <si>
    <t>P4366</t>
  </si>
  <si>
    <t>P2354</t>
  </si>
  <si>
    <t>P1402</t>
  </si>
  <si>
    <t>P2428</t>
  </si>
  <si>
    <t>P2891</t>
  </si>
  <si>
    <t>P719</t>
  </si>
  <si>
    <t>P4074</t>
  </si>
  <si>
    <t>P4722</t>
  </si>
  <si>
    <t>P4634</t>
  </si>
  <si>
    <t>P3992</t>
  </si>
  <si>
    <t>P1908</t>
  </si>
  <si>
    <t>P588</t>
  </si>
  <si>
    <t>P4354</t>
  </si>
  <si>
    <t>P1575</t>
  </si>
  <si>
    <t>P4101</t>
  </si>
  <si>
    <t>P4834</t>
  </si>
  <si>
    <t>P836</t>
  </si>
  <si>
    <t>P1609</t>
  </si>
  <si>
    <t>P2927</t>
  </si>
  <si>
    <t>P1742</t>
  </si>
  <si>
    <t>P3137</t>
  </si>
  <si>
    <t>P2753</t>
  </si>
  <si>
    <t>P2311</t>
  </si>
  <si>
    <t>P1142</t>
  </si>
  <si>
    <t>P206</t>
  </si>
  <si>
    <t>P4282</t>
  </si>
  <si>
    <t>P1014</t>
  </si>
  <si>
    <t>P3621</t>
  </si>
  <si>
    <t>P3945</t>
  </si>
  <si>
    <t>P2190</t>
  </si>
  <si>
    <t>P1715</t>
  </si>
  <si>
    <t>P2925</t>
  </si>
  <si>
    <t>P3650</t>
  </si>
  <si>
    <t>P329</t>
  </si>
  <si>
    <t>P153</t>
  </si>
  <si>
    <t>P2574</t>
  </si>
  <si>
    <t>P4051</t>
  </si>
  <si>
    <t>P3242</t>
  </si>
  <si>
    <t>P4692</t>
  </si>
  <si>
    <t>P4462</t>
  </si>
  <si>
    <t>P453</t>
  </si>
  <si>
    <t>P2591</t>
  </si>
  <si>
    <t>P4349</t>
  </si>
  <si>
    <t>P3700</t>
  </si>
  <si>
    <t>P3631</t>
  </si>
  <si>
    <t>P1194</t>
  </si>
  <si>
    <t>P2926</t>
  </si>
  <si>
    <t>P1797</t>
  </si>
  <si>
    <t>P4859</t>
  </si>
  <si>
    <t>P4720</t>
  </si>
  <si>
    <t>P3220</t>
  </si>
  <si>
    <t>P1528</t>
  </si>
  <si>
    <t>P1127</t>
  </si>
  <si>
    <t>P1542</t>
  </si>
  <si>
    <t>P3009</t>
  </si>
  <si>
    <t>P4955</t>
  </si>
  <si>
    <t>P2214</t>
  </si>
  <si>
    <t>P1032</t>
  </si>
  <si>
    <t>P4322</t>
  </si>
  <si>
    <t>P1064</t>
  </si>
  <si>
    <t>P1495</t>
  </si>
  <si>
    <t>P186</t>
  </si>
  <si>
    <t>P3669</t>
  </si>
  <si>
    <t>P1405</t>
  </si>
  <si>
    <t>P2894</t>
  </si>
  <si>
    <t>P1079</t>
  </si>
  <si>
    <t>P429</t>
  </si>
  <si>
    <t>P4431</t>
  </si>
  <si>
    <t>P2879</t>
  </si>
  <si>
    <t>P4275</t>
  </si>
  <si>
    <t>P89</t>
  </si>
  <si>
    <t>P4042</t>
  </si>
  <si>
    <t>P1645</t>
  </si>
  <si>
    <t>P985</t>
  </si>
  <si>
    <t>P3837</t>
  </si>
  <si>
    <t>P4134</t>
  </si>
  <si>
    <t>P4434</t>
  </si>
  <si>
    <t>P12</t>
  </si>
  <si>
    <t>P4930</t>
  </si>
  <si>
    <t>P3151</t>
  </si>
  <si>
    <t>P3889</t>
  </si>
  <si>
    <t>P1492</t>
  </si>
  <si>
    <t>P599</t>
  </si>
  <si>
    <t>P2012</t>
  </si>
  <si>
    <t>P2088</t>
  </si>
  <si>
    <t>P315</t>
  </si>
  <si>
    <t>P718</t>
  </si>
  <si>
    <t>P4573</t>
  </si>
  <si>
    <t>P4417</t>
  </si>
  <si>
    <t>P4475</t>
  </si>
  <si>
    <t>P2038</t>
  </si>
  <si>
    <t>P2450</t>
  </si>
  <si>
    <t>P3222</t>
  </si>
  <si>
    <t>P2615</t>
  </si>
  <si>
    <t>P1915</t>
  </si>
  <si>
    <t>P3015</t>
  </si>
  <si>
    <t>P2733</t>
  </si>
  <si>
    <t>P1471</t>
  </si>
  <si>
    <t>P1338</t>
  </si>
  <si>
    <t>P4929</t>
  </si>
  <si>
    <t>P2836</t>
  </si>
  <si>
    <t>P481</t>
  </si>
  <si>
    <t>P3168</t>
  </si>
  <si>
    <t>P3797</t>
  </si>
  <si>
    <t>P2195</t>
  </si>
  <si>
    <t>P2729</t>
  </si>
  <si>
    <t>P4921</t>
  </si>
  <si>
    <t>P4081</t>
  </si>
  <si>
    <t>P3346</t>
  </si>
  <si>
    <t>P267</t>
  </si>
  <si>
    <t>P2179</t>
  </si>
  <si>
    <t>P468</t>
  </si>
  <si>
    <t>P2755</t>
  </si>
  <si>
    <t>P4565</t>
  </si>
  <si>
    <t>P1678</t>
  </si>
  <si>
    <t>P1445</t>
  </si>
  <si>
    <t>P3576</t>
  </si>
  <si>
    <t>P4232</t>
  </si>
  <si>
    <t>P1927</t>
  </si>
  <si>
    <t>P3329</t>
  </si>
  <si>
    <t>P4830</t>
  </si>
  <si>
    <t>P4818</t>
  </si>
  <si>
    <t>P3988</t>
  </si>
  <si>
    <t>P2153</t>
  </si>
  <si>
    <t>P2134</t>
  </si>
  <si>
    <t>P4856</t>
  </si>
  <si>
    <t>P293</t>
  </si>
  <si>
    <t>P3125</t>
  </si>
  <si>
    <t>P1941</t>
  </si>
  <si>
    <t>P1239</t>
  </si>
  <si>
    <t>P3263</t>
  </si>
  <si>
    <t>P3735</t>
  </si>
  <si>
    <t>P4035</t>
  </si>
  <si>
    <t>P3791</t>
  </si>
  <si>
    <t>P1076</t>
  </si>
  <si>
    <t>P319</t>
  </si>
  <si>
    <t>P1883</t>
  </si>
  <si>
    <t>P2830</t>
  </si>
  <si>
    <t>P3187</t>
  </si>
  <si>
    <t>P1849</t>
  </si>
  <si>
    <t>P4213</t>
  </si>
  <si>
    <t>P2630</t>
  </si>
  <si>
    <t>P4297</t>
  </si>
  <si>
    <t>P3080</t>
  </si>
  <si>
    <t>P3416</t>
  </si>
  <si>
    <t>P1356</t>
  </si>
  <si>
    <t>P683</t>
  </si>
  <si>
    <t>P1572</t>
  </si>
  <si>
    <t>P1848</t>
  </si>
  <si>
    <t>P1866</t>
  </si>
  <si>
    <t>P405</t>
  </si>
  <si>
    <t>P3429</t>
  </si>
  <si>
    <t>P45</t>
  </si>
  <si>
    <t>P523</t>
  </si>
  <si>
    <t>P2437</t>
  </si>
  <si>
    <t>P1834</t>
  </si>
  <si>
    <t>P3721</t>
  </si>
  <si>
    <t>P2796</t>
  </si>
  <si>
    <t>P1995</t>
  </si>
  <si>
    <t>P3784</t>
  </si>
  <si>
    <t>HYPERTENSION</t>
  </si>
  <si>
    <t>P3900</t>
  </si>
  <si>
    <t>P2281</t>
  </si>
  <si>
    <t>P3228</t>
  </si>
  <si>
    <t>P4109</t>
  </si>
  <si>
    <t>P1677</t>
  </si>
  <si>
    <t>P3579</t>
  </si>
  <si>
    <t>P3250</t>
  </si>
  <si>
    <t>P448</t>
  </si>
  <si>
    <t>P2184</t>
  </si>
  <si>
    <t>P2491</t>
  </si>
  <si>
    <t>P912</t>
  </si>
  <si>
    <t>P1946</t>
  </si>
  <si>
    <t>P1487</t>
  </si>
  <si>
    <t>P139</t>
  </si>
  <si>
    <t>P1532</t>
  </si>
  <si>
    <t>P2684</t>
  </si>
  <si>
    <t>P2070</t>
  </si>
  <si>
    <t>P2589</t>
  </si>
  <si>
    <t>P924</t>
  </si>
  <si>
    <t>P1548</t>
  </si>
  <si>
    <t>P2383</t>
  </si>
  <si>
    <t>P4876</t>
  </si>
  <si>
    <t>P3600</t>
  </si>
  <si>
    <t>P4950</t>
  </si>
  <si>
    <t>P1540</t>
  </si>
  <si>
    <t>P3143</t>
  </si>
  <si>
    <t>P584</t>
  </si>
  <si>
    <t>P3524</t>
  </si>
  <si>
    <t>P256</t>
  </si>
  <si>
    <t>P2193</t>
  </si>
  <si>
    <t>P2811</t>
  </si>
  <si>
    <t>P2787</t>
  </si>
  <si>
    <t>P2076</t>
  </si>
  <si>
    <t>P3436</t>
  </si>
  <si>
    <t>P4637</t>
  </si>
  <si>
    <t>P3209</t>
  </si>
  <si>
    <t>P2727</t>
  </si>
  <si>
    <t>P3172</t>
  </si>
  <si>
    <t>P4381</t>
  </si>
  <si>
    <t>P3511</t>
  </si>
  <si>
    <t>P4864</t>
  </si>
  <si>
    <t>P1007</t>
  </si>
  <si>
    <t>P2316</t>
  </si>
  <si>
    <t>P1521</t>
  </si>
  <si>
    <t>P4676</t>
  </si>
  <si>
    <t>P4680</t>
  </si>
  <si>
    <t>P4458</t>
  </si>
  <si>
    <t>P2919</t>
  </si>
  <si>
    <t>P3767</t>
  </si>
  <si>
    <t>P3244</t>
  </si>
  <si>
    <t>P2864</t>
  </si>
  <si>
    <t>P1501</t>
  </si>
  <si>
    <t>P4693</t>
  </si>
  <si>
    <t>P801</t>
  </si>
  <si>
    <t>P4875</t>
  </si>
  <si>
    <t>P3802</t>
  </si>
  <si>
    <t>P142</t>
  </si>
  <si>
    <t>P4159</t>
  </si>
  <si>
    <t>P2803</t>
  </si>
  <si>
    <t>P857</t>
  </si>
  <si>
    <t>P3265</t>
  </si>
  <si>
    <t>P2056</t>
  </si>
  <si>
    <t>P2022</t>
  </si>
  <si>
    <t>P4212</t>
  </si>
  <si>
    <t>P4369</t>
  </si>
  <si>
    <t>P1158</t>
  </si>
  <si>
    <t>P1370</t>
  </si>
  <si>
    <t>P3716</t>
  </si>
  <si>
    <t>P1604</t>
  </si>
  <si>
    <t>P3353</t>
  </si>
  <si>
    <t>P2909</t>
  </si>
  <si>
    <t>P792</t>
  </si>
  <si>
    <t>P4553</t>
  </si>
  <si>
    <t>P3381</t>
  </si>
  <si>
    <t>P2601</t>
  </si>
  <si>
    <t>P3360</t>
  </si>
  <si>
    <t>P3963</t>
  </si>
  <si>
    <t>P2757</t>
  </si>
  <si>
    <t>P2146</t>
  </si>
  <si>
    <t>P3203</t>
  </si>
  <si>
    <t>P820</t>
  </si>
  <si>
    <t>P3288</t>
  </si>
  <si>
    <t>P2286</t>
  </si>
  <si>
    <t>P3018</t>
  </si>
  <si>
    <t>P1700</t>
  </si>
  <si>
    <t>P245</t>
  </si>
  <si>
    <t>P1638</t>
  </si>
  <si>
    <t>P3140</t>
  </si>
  <si>
    <t>P4505</t>
  </si>
  <si>
    <t>P1069</t>
  </si>
  <si>
    <t>P4613</t>
  </si>
  <si>
    <t>P4156</t>
  </si>
  <si>
    <t>P2181</t>
  </si>
  <si>
    <t>P4055</t>
  </si>
  <si>
    <t>P2517</t>
  </si>
  <si>
    <t>P3025</t>
  </si>
  <si>
    <t>P114</t>
  </si>
  <si>
    <t>P3683</t>
  </si>
  <si>
    <t>P2381</t>
  </si>
  <si>
    <t>P389</t>
  </si>
  <si>
    <t>P2880</t>
  </si>
  <si>
    <t>P2827</t>
  </si>
  <si>
    <t>P4110</t>
  </si>
  <si>
    <t>P4039</t>
  </si>
  <si>
    <t>P643</t>
  </si>
  <si>
    <t>P3954</t>
  </si>
  <si>
    <t>P269</t>
  </si>
  <si>
    <t>P2725</t>
  </si>
  <si>
    <t>P1115</t>
  </si>
  <si>
    <t>P350</t>
  </si>
  <si>
    <t>P3694</t>
  </si>
  <si>
    <t>P1925</t>
  </si>
  <si>
    <t>P3180</t>
  </si>
  <si>
    <t>P238</t>
  </si>
  <si>
    <t>P3415</t>
  </si>
  <si>
    <t>P3508</t>
  </si>
  <si>
    <t>P1151</t>
  </si>
  <si>
    <t>P1300</t>
  </si>
  <si>
    <t>P3951</t>
  </si>
  <si>
    <t>P1811</t>
  </si>
  <si>
    <t>P3744</t>
  </si>
  <si>
    <t>P207</t>
  </si>
  <si>
    <t>P4046</t>
  </si>
  <si>
    <t>P3469</t>
  </si>
  <si>
    <t>P3949</t>
  </si>
  <si>
    <t>P945</t>
  </si>
  <si>
    <t>P4550</t>
  </si>
  <si>
    <t>P3106</t>
  </si>
  <si>
    <t>P2676</t>
  </si>
  <si>
    <t>P4610</t>
  </si>
  <si>
    <t>P3368</t>
  </si>
  <si>
    <t>P3061</t>
  </si>
  <si>
    <t>P1053</t>
  </si>
  <si>
    <t>P3778</t>
  </si>
  <si>
    <t>P823</t>
  </si>
  <si>
    <t>P1365</t>
  </si>
  <si>
    <t>P2654</t>
  </si>
  <si>
    <t>P3918</t>
  </si>
  <si>
    <t>P3379</t>
  </si>
  <si>
    <t>P3337</t>
  </si>
  <si>
    <t>P3108</t>
  </si>
  <si>
    <t>P868</t>
  </si>
  <si>
    <t>P2266</t>
  </si>
  <si>
    <t>P4033</t>
  </si>
  <si>
    <t>P4247</t>
  </si>
  <si>
    <t>P3002</t>
  </si>
  <si>
    <t>P1404</t>
  </si>
  <si>
    <t>P2227</t>
  </si>
  <si>
    <t>P3836</t>
  </si>
  <si>
    <t>P2327</t>
  </si>
  <si>
    <t>P2344</t>
  </si>
  <si>
    <t>P1118</t>
  </si>
  <si>
    <t>P3710</t>
  </si>
  <si>
    <t>P1871</t>
  </si>
  <si>
    <t>P3514</t>
  </si>
  <si>
    <t>P3615</t>
  </si>
  <si>
    <t>P2572</t>
  </si>
  <si>
    <t>P2270</t>
  </si>
  <si>
    <t>P3448</t>
  </si>
  <si>
    <t>P4620</t>
  </si>
  <si>
    <t>P1622</t>
  </si>
  <si>
    <t>P1845</t>
  </si>
  <si>
    <t>P1108</t>
  </si>
  <si>
    <t>P3124</t>
  </si>
  <si>
    <t>P3519</t>
  </si>
  <si>
    <t>P2711</t>
  </si>
  <si>
    <t>P689</t>
  </si>
  <si>
    <t>P1002</t>
  </si>
  <si>
    <t>P4270</t>
  </si>
  <si>
    <t>P793</t>
  </si>
  <si>
    <t>P4562</t>
  </si>
  <si>
    <t>P1459</t>
  </si>
  <si>
    <t>P3446</t>
  </si>
  <si>
    <t>P1384</t>
  </si>
  <si>
    <t>P4964</t>
  </si>
  <si>
    <t>P4639</t>
  </si>
  <si>
    <t>P299</t>
  </si>
  <si>
    <t>P2374</t>
  </si>
  <si>
    <t>P4777</t>
  </si>
  <si>
    <t>P3421</t>
  </si>
  <si>
    <t>P1766</t>
  </si>
  <si>
    <t>P3912</t>
  </si>
  <si>
    <t>P4097</t>
  </si>
  <si>
    <t>P246</t>
  </si>
  <si>
    <t>P2466</t>
  </si>
  <si>
    <t>P3573</t>
  </si>
  <si>
    <t>P997</t>
  </si>
  <si>
    <t>P2570</t>
  </si>
  <si>
    <t>P755</t>
  </si>
  <si>
    <t>P3144</t>
  </si>
  <si>
    <t>P597</t>
  </si>
  <si>
    <t>P1826</t>
  </si>
  <si>
    <t>P1177</t>
  </si>
  <si>
    <t>P2622</t>
  </si>
  <si>
    <t>P845</t>
  </si>
  <si>
    <t>P1382</t>
  </si>
  <si>
    <t>P449</t>
  </si>
  <si>
    <t>P2726</t>
  </si>
  <si>
    <t>P3883</t>
  </si>
  <si>
    <t>P1990</t>
  </si>
  <si>
    <t>P85</t>
  </si>
  <si>
    <t>P1653</t>
  </si>
  <si>
    <t>P4556</t>
  </si>
  <si>
    <t>P3886</t>
  </si>
  <si>
    <t>P3690</t>
  </si>
  <si>
    <t>P3335</t>
  </si>
  <si>
    <t>P3875</t>
  </si>
  <si>
    <t>P3239</t>
  </si>
  <si>
    <t>P2495</t>
  </si>
  <si>
    <t>P3185</t>
  </si>
  <si>
    <t>P4959</t>
  </si>
  <si>
    <t>P995</t>
  </si>
  <si>
    <t>P516</t>
  </si>
  <si>
    <t>P3081</t>
  </si>
  <si>
    <t>P1972</t>
  </si>
  <si>
    <t>P749</t>
  </si>
  <si>
    <t>P2120</t>
  </si>
  <si>
    <t>P4920</t>
  </si>
  <si>
    <t>P2568</t>
  </si>
  <si>
    <t>P2301</t>
  </si>
  <si>
    <t>P930</t>
  </si>
  <si>
    <t>P1821</t>
  </si>
  <si>
    <t>P2319</t>
  </si>
  <si>
    <t>P3770</t>
  </si>
  <si>
    <t>P1960</t>
  </si>
  <si>
    <t>P3977</t>
  </si>
  <si>
    <t>P1406</t>
  </si>
  <si>
    <t>P1200</t>
  </si>
  <si>
    <t>P2293</t>
  </si>
  <si>
    <t>P3625</t>
  </si>
  <si>
    <t>P2512</t>
  </si>
  <si>
    <t>P996</t>
  </si>
  <si>
    <t>P1063</t>
  </si>
  <si>
    <t>P2548</t>
  </si>
  <si>
    <t>P1782</t>
  </si>
  <si>
    <t>P4010</t>
  </si>
  <si>
    <t>P2956</t>
  </si>
  <si>
    <t>P3328</t>
  </si>
  <si>
    <t>P4958</t>
  </si>
  <si>
    <t>P952</t>
  </si>
  <si>
    <t>P2091</t>
  </si>
  <si>
    <t>P2205</t>
  </si>
  <si>
    <t>P2934</t>
  </si>
  <si>
    <t>P4612</t>
  </si>
  <si>
    <t>P4474</t>
  </si>
  <si>
    <t>P1293</t>
  </si>
  <si>
    <t>P65</t>
  </si>
  <si>
    <t>P1008</t>
  </si>
  <si>
    <t>P4007</t>
  </si>
  <si>
    <t>P4207</t>
  </si>
  <si>
    <t>P1059</t>
  </si>
  <si>
    <t>P2860</t>
  </si>
  <si>
    <t>P376</t>
  </si>
  <si>
    <t>P35</t>
  </si>
  <si>
    <t>P2268</t>
  </si>
  <si>
    <t>P2515</t>
  </si>
  <si>
    <t>P402</t>
  </si>
  <si>
    <t>P2096</t>
  </si>
  <si>
    <t>P565</t>
  </si>
  <si>
    <t>P2758</t>
  </si>
  <si>
    <t>P1332</t>
  </si>
  <si>
    <t>P938</t>
  </si>
  <si>
    <t>P877</t>
  </si>
  <si>
    <t>P3277</t>
  </si>
  <si>
    <t>P432</t>
  </si>
  <si>
    <t>P838</t>
  </si>
  <si>
    <t>P619</t>
  </si>
  <si>
    <t>P1571</t>
  </si>
  <si>
    <t>P61</t>
  </si>
  <si>
    <t>P4143</t>
  </si>
  <si>
    <t>P2674</t>
  </si>
  <si>
    <t>P2484</t>
  </si>
  <si>
    <t>P2666</t>
  </si>
  <si>
    <t>P3509</t>
  </si>
  <si>
    <t>P219</t>
  </si>
  <si>
    <t>P1504</t>
  </si>
  <si>
    <t>P1018</t>
  </si>
  <si>
    <t>P1549</t>
  </si>
  <si>
    <t>P2284</t>
  </si>
  <si>
    <t>P4456</t>
  </si>
  <si>
    <t>P3934</t>
  </si>
  <si>
    <t>P1178</t>
  </si>
  <si>
    <t>P4236</t>
  </si>
  <si>
    <t>P250</t>
  </si>
  <si>
    <t>P1066</t>
  </si>
  <si>
    <t>P1448</t>
  </si>
  <si>
    <t>P3388</t>
  </si>
  <si>
    <t>P3213</t>
  </si>
  <si>
    <t>P4292</t>
  </si>
  <si>
    <t>P3774</t>
  </si>
  <si>
    <t>P2418</t>
  </si>
  <si>
    <t>P2400</t>
  </si>
  <si>
    <t>P1731</t>
  </si>
  <si>
    <t>P1169</t>
  </si>
  <si>
    <t>P3136</t>
  </si>
  <si>
    <t>P4091</t>
  </si>
  <si>
    <t>P1484</t>
  </si>
  <si>
    <t>P3680</t>
  </si>
  <si>
    <t>P2690</t>
  </si>
  <si>
    <t>P2916</t>
  </si>
  <si>
    <t>P4714</t>
  </si>
  <si>
    <t>P4392</t>
  </si>
  <si>
    <t>P4899</t>
  </si>
  <si>
    <t>P2452</t>
  </si>
  <si>
    <t>P869</t>
  </si>
  <si>
    <t>P3606</t>
  </si>
  <si>
    <t>P4337</t>
  </si>
  <si>
    <t>P1174</t>
  </si>
  <si>
    <t>P2386</t>
  </si>
  <si>
    <t>P4095</t>
  </si>
  <si>
    <t>P3641</t>
  </si>
  <si>
    <t>P3488</t>
  </si>
  <si>
    <t>P1336</t>
  </si>
  <si>
    <t>P3471</t>
  </si>
  <si>
    <t>P3994</t>
  </si>
  <si>
    <t>P3327</t>
  </si>
  <si>
    <t>P4314</t>
  </si>
  <si>
    <t>P759</t>
  </si>
  <si>
    <t>P4379</t>
  </si>
  <si>
    <t>P1401</t>
  </si>
  <si>
    <t>P4825</t>
  </si>
  <si>
    <t>P2040</t>
  </si>
  <si>
    <t>P4761</t>
  </si>
  <si>
    <t>P824</t>
  </si>
  <si>
    <t>P489</t>
  </si>
  <si>
    <t>P1060</t>
  </si>
  <si>
    <t>P3814</t>
  </si>
  <si>
    <t>P4265</t>
  </si>
  <si>
    <t>P4712</t>
  </si>
  <si>
    <t>P301</t>
  </si>
  <si>
    <t>P2693</t>
  </si>
  <si>
    <t>P3506</t>
  </si>
  <si>
    <t>P2799</t>
  </si>
  <si>
    <t>P976</t>
  </si>
  <si>
    <t>P2369</t>
  </si>
  <si>
    <t>P4142</t>
  </si>
  <si>
    <t>P4316</t>
  </si>
  <si>
    <t>P1403</t>
  </si>
  <si>
    <t>P1973</t>
  </si>
  <si>
    <t>P1711</t>
  </si>
  <si>
    <t>P3772</t>
  </si>
  <si>
    <t>P903</t>
  </si>
  <si>
    <t>P4709</t>
  </si>
  <si>
    <t>P137</t>
  </si>
  <si>
    <t>P1855</t>
  </si>
  <si>
    <t>P2211</t>
  </si>
  <si>
    <t>P4099</t>
  </si>
  <si>
    <t>P3266</t>
  </si>
  <si>
    <t>P1438</t>
  </si>
  <si>
    <t>P4482</t>
  </si>
  <si>
    <t>P205</t>
  </si>
  <si>
    <t>P3206</t>
  </si>
  <si>
    <t>P2947</t>
  </si>
  <si>
    <t>P2307</t>
  </si>
  <si>
    <t>P4917</t>
  </si>
  <si>
    <t>P1126</t>
  </si>
  <si>
    <t>P1367</t>
  </si>
  <si>
    <t>P1897</t>
  </si>
  <si>
    <t>P892</t>
  </si>
  <si>
    <t>P159</t>
  </si>
  <si>
    <t>P3234</t>
  </si>
  <si>
    <t>P2540</t>
  </si>
  <si>
    <t>P668</t>
  </si>
  <si>
    <t>P189</t>
  </si>
  <si>
    <t>P1606</t>
  </si>
  <si>
    <t>P4267</t>
  </si>
  <si>
    <t>P4452</t>
  </si>
  <si>
    <t>P2713</t>
  </si>
  <si>
    <t>P1265</t>
  </si>
  <si>
    <t>P611</t>
  </si>
  <si>
    <t>P4430</t>
  </si>
  <si>
    <t>P2297</t>
  </si>
  <si>
    <t>P2251</t>
  </si>
  <si>
    <t>P2117</t>
  </si>
  <si>
    <t>P4419</t>
  </si>
  <si>
    <t>P3656</t>
  </si>
  <si>
    <t>P2936</t>
  </si>
  <si>
    <t>P4064</t>
  </si>
  <si>
    <t>P338</t>
  </si>
  <si>
    <t>P1214</t>
  </si>
  <si>
    <t>P147</t>
  </si>
  <si>
    <t>P3464</t>
  </si>
  <si>
    <t>P3454</t>
  </si>
  <si>
    <t>P828</t>
  </si>
  <si>
    <t>P1876</t>
  </si>
  <si>
    <t>P3177</t>
  </si>
  <si>
    <t>P50</t>
  </si>
  <si>
    <t>P4116</t>
  </si>
  <si>
    <t>P4892</t>
  </si>
  <si>
    <t>P1290</t>
  </si>
  <si>
    <t>P344</t>
  </si>
  <si>
    <t>P1804</t>
  </si>
  <si>
    <t>P4993</t>
  </si>
  <si>
    <t>P4171</t>
  </si>
  <si>
    <t>P2438</t>
  </si>
  <si>
    <t>P4229</t>
  </si>
  <si>
    <t>P2858</t>
  </si>
  <si>
    <t>P1993</t>
  </si>
  <si>
    <t>P2581</t>
  </si>
  <si>
    <t>P1616</t>
  </si>
  <si>
    <t>P3987</t>
  </si>
  <si>
    <t>P4845</t>
  </si>
  <si>
    <t>P2427</t>
  </si>
  <si>
    <t>P2505</t>
  </si>
  <si>
    <t>P2959</t>
  </si>
  <si>
    <t>P744</t>
  </si>
  <si>
    <t>P1068</t>
  </si>
  <si>
    <t>P2475</t>
  </si>
  <si>
    <t>P4473</t>
  </si>
  <si>
    <t>P169</t>
  </si>
  <si>
    <t>P2077</t>
  </si>
  <si>
    <t>P1498</t>
  </si>
  <si>
    <t>P833</t>
  </si>
  <si>
    <t>P185</t>
  </si>
  <si>
    <t>P4530</t>
  </si>
  <si>
    <t>P3583</t>
  </si>
  <si>
    <t>P2421</t>
  </si>
  <si>
    <t>P2446</t>
  </si>
  <si>
    <t>P3313</t>
  </si>
  <si>
    <t>P3667</t>
  </si>
  <si>
    <t>P3764</t>
  </si>
  <si>
    <t>P1699</t>
  </si>
  <si>
    <t>P1730</t>
  </si>
  <si>
    <t>P3035</t>
  </si>
  <si>
    <t>P257</t>
  </si>
  <si>
    <t>P4183</t>
  </si>
  <si>
    <t>P2080</t>
  </si>
  <si>
    <t>P2005</t>
  </si>
  <si>
    <t>P4984</t>
  </si>
  <si>
    <t>P62</t>
  </si>
  <si>
    <t>P2808</t>
  </si>
  <si>
    <t>P1193</t>
  </si>
  <si>
    <t>P2514</t>
  </si>
  <si>
    <t>P4428</t>
  </si>
  <si>
    <t>P4003</t>
  </si>
  <si>
    <t>P3472</t>
  </si>
  <si>
    <t>P1034</t>
  </si>
  <si>
    <t>P2658</t>
  </si>
  <si>
    <t>P1203</t>
  </si>
  <si>
    <t>P4470</t>
  </si>
  <si>
    <t>P1458</t>
  </si>
  <si>
    <t>P4256</t>
  </si>
  <si>
    <t>P3357</t>
  </si>
  <si>
    <t>P3304</t>
  </si>
  <si>
    <t>P4884</t>
  </si>
  <si>
    <t>P652</t>
  </si>
  <si>
    <t>P4751</t>
  </si>
  <si>
    <t>P343</t>
  </si>
  <si>
    <t>P2544</t>
  </si>
  <si>
    <t>P1536</t>
  </si>
  <si>
    <t>P1624</t>
  </si>
  <si>
    <t>P3964</t>
  </si>
  <si>
    <t>P42</t>
  </si>
  <si>
    <t>P2621</t>
  </si>
  <si>
    <t>P3347</t>
  </si>
  <si>
    <t>P415</t>
  </si>
  <si>
    <t>P3373</t>
  </si>
  <si>
    <t>P4494</t>
  </si>
  <si>
    <t>P2686</t>
  </si>
  <si>
    <t>P993</t>
  </si>
  <si>
    <t>P1237</t>
  </si>
  <si>
    <t>P1075</t>
  </si>
  <si>
    <t>P339</t>
  </si>
  <si>
    <t>P2296</t>
  </si>
  <si>
    <t>P1992</t>
  </si>
  <si>
    <t>P1937</t>
  </si>
  <si>
    <t>P2524</t>
  </si>
  <si>
    <t>P913</t>
  </si>
  <si>
    <t>P1920</t>
  </si>
  <si>
    <t>P2669</t>
  </si>
  <si>
    <t>P3742</t>
  </si>
  <si>
    <t>P2968</t>
  </si>
  <si>
    <t>P4368</t>
  </si>
  <si>
    <t>P1478</t>
  </si>
  <si>
    <t>P2194</t>
  </si>
  <si>
    <t>P969</t>
  </si>
  <si>
    <t>P1027</t>
  </si>
  <si>
    <t>P91</t>
  </si>
  <si>
    <t>P1527</t>
  </si>
  <si>
    <t>P2263</t>
  </si>
  <si>
    <t>P2420</t>
  </si>
  <si>
    <t>P1255</t>
  </si>
  <si>
    <t>P39</t>
  </si>
  <si>
    <t>P2412</t>
  </si>
  <si>
    <t>P1965</t>
  </si>
  <si>
    <t>P3998</t>
  </si>
  <si>
    <t>P2259</t>
  </si>
  <si>
    <t>P1335</t>
  </si>
  <si>
    <t>P3474</t>
  </si>
  <si>
    <t>P915</t>
  </si>
  <si>
    <t>P1641</t>
  </si>
  <si>
    <t>P364</t>
  </si>
  <si>
    <t>P1979</t>
  </si>
  <si>
    <t>P2804</t>
  </si>
  <si>
    <t>P2736</t>
  </si>
  <si>
    <t>P3527</t>
  </si>
  <si>
    <t>P2409</t>
  </si>
  <si>
    <t>P4934</t>
  </si>
  <si>
    <t>P3102</t>
  </si>
  <si>
    <t>P2889</t>
  </si>
  <si>
    <t>P4209</t>
  </si>
  <si>
    <t>P2072</t>
  </si>
  <si>
    <t>P4836</t>
  </si>
  <si>
    <t>P2820</t>
  </si>
  <si>
    <t>P1195</t>
  </si>
  <si>
    <t>P3119</t>
  </si>
  <si>
    <t>P478</t>
  </si>
  <si>
    <t>P3355</t>
  </si>
  <si>
    <t>P4418</t>
  </si>
  <si>
    <t>P2546</t>
  </si>
  <si>
    <t>P3868</t>
  </si>
  <si>
    <t>P3666</t>
  </si>
  <si>
    <t>P774</t>
  </si>
  <si>
    <t>P578</t>
  </si>
  <si>
    <t>P2969</t>
  </si>
  <si>
    <t>P479</t>
  </si>
  <si>
    <t>P1349</t>
  </si>
  <si>
    <t>P3748</t>
  </si>
  <si>
    <t>P1220</t>
  </si>
  <si>
    <t>P2353</t>
  </si>
  <si>
    <t>P1545</t>
  </si>
  <si>
    <t>P3064</t>
  </si>
  <si>
    <t>P1280</t>
  </si>
  <si>
    <t>P1013</t>
  </si>
  <si>
    <t>P1593</t>
  </si>
  <si>
    <t>P1685</t>
  </si>
  <si>
    <t>P3736</t>
  </si>
  <si>
    <t>P4809</t>
  </si>
  <si>
    <t>P2403</t>
  </si>
  <si>
    <t>P9</t>
  </si>
  <si>
    <t>P1103</t>
  </si>
  <si>
    <t>P4437</t>
  </si>
  <si>
    <t>P2547</t>
  </si>
  <si>
    <t>P3697</t>
  </si>
  <si>
    <t>P3127</t>
  </si>
  <si>
    <t>P764</t>
  </si>
  <si>
    <t>P3096</t>
  </si>
  <si>
    <t>P4001</t>
  </si>
  <si>
    <t>P4023</t>
  </si>
  <si>
    <t>P4503</t>
  </si>
  <si>
    <t>P1358</t>
  </si>
  <si>
    <t>P371</t>
  </si>
  <si>
    <t>P3796</t>
  </si>
  <si>
    <t>P1140</t>
  </si>
  <si>
    <t>P3385</t>
  </si>
  <si>
    <t>P141</t>
  </si>
  <si>
    <t>P4806</t>
  </si>
  <si>
    <t>P727</t>
  </si>
  <si>
    <t>P4548</t>
  </si>
  <si>
    <t>P3520</t>
  </si>
  <si>
    <t>P1810</t>
  </si>
  <si>
    <t>P4455</t>
  </si>
  <si>
    <t>P1083</t>
  </si>
  <si>
    <t>P2731</t>
  </si>
  <si>
    <t>P4072</t>
  </si>
  <si>
    <t>P603</t>
  </si>
  <si>
    <t>P202</t>
  </si>
  <si>
    <t>P3419</t>
  </si>
  <si>
    <t>P4695</t>
  </si>
  <si>
    <t>P352</t>
  </si>
  <si>
    <t>P3109</t>
  </si>
  <si>
    <t>P775</t>
  </si>
  <si>
    <t>P297</t>
  </si>
  <si>
    <t>P521</t>
  </si>
  <si>
    <t>P2612</t>
  </si>
  <si>
    <t>P1397</t>
  </si>
  <si>
    <t>P2282</t>
  </si>
  <si>
    <t>P4579</t>
  </si>
  <si>
    <t>P2634</t>
  </si>
  <si>
    <t>P1850</t>
  </si>
  <si>
    <t>P4896</t>
  </si>
  <si>
    <t>P3441</t>
  </si>
  <si>
    <t>P1371</t>
  </si>
  <si>
    <t>P1233</t>
  </si>
  <si>
    <t>P4054</t>
  </si>
  <si>
    <t>P3754</t>
  </si>
  <si>
    <t>P2105</t>
  </si>
  <si>
    <t>P575</t>
  </si>
  <si>
    <t>P3358</t>
  </si>
  <si>
    <t>P3635</t>
  </si>
  <si>
    <t>P1839</t>
  </si>
  <si>
    <t>P3565</t>
  </si>
  <si>
    <t>P2154</t>
  </si>
  <si>
    <t>P4269</t>
  </si>
  <si>
    <t>P2775</t>
  </si>
  <si>
    <t>P616</t>
  </si>
  <si>
    <t>P487</t>
  </si>
  <si>
    <t>P4330</t>
  </si>
  <si>
    <t>P3049</t>
  </si>
  <si>
    <t>P4774</t>
  </si>
  <si>
    <t>P1632</t>
  </si>
  <si>
    <t>P4170</t>
  </si>
  <si>
    <t>P249</t>
  </si>
  <si>
    <t>P4092</t>
  </si>
  <si>
    <t>P480</t>
  </si>
  <si>
    <t>P2367</t>
  </si>
  <si>
    <t>P2399</t>
  </si>
  <si>
    <t>P4317</t>
  </si>
  <si>
    <t>P3246</t>
  </si>
  <si>
    <t>P2111</t>
  </si>
  <si>
    <t>P4163</t>
  </si>
  <si>
    <t>P2109</t>
  </si>
  <si>
    <t>P3813</t>
  </si>
  <si>
    <t>P2060</t>
  </si>
  <si>
    <t>P1595</t>
  </si>
  <si>
    <t>P1154</t>
  </si>
  <si>
    <t>P4932</t>
  </si>
  <si>
    <t>P4973</t>
  </si>
  <si>
    <t>P4400</t>
  </si>
  <si>
    <t>P1355</t>
  </si>
  <si>
    <t>P4294</t>
  </si>
  <si>
    <t>P948</t>
  </si>
  <si>
    <t>P3158</t>
  </si>
  <si>
    <t>P791</t>
  </si>
  <si>
    <t>P4498</t>
  </si>
  <si>
    <t>P1562</t>
  </si>
  <si>
    <t>P4273</t>
  </si>
  <si>
    <t>P3838</t>
  </si>
  <si>
    <t>P2221</t>
  </si>
  <si>
    <t>P519</t>
  </si>
  <si>
    <t>P3985</t>
  </si>
  <si>
    <t>P2857</t>
  </si>
  <si>
    <t>P1460</t>
  </si>
  <si>
    <t>P3723</t>
  </si>
  <si>
    <t>P2650</t>
  </si>
  <si>
    <t>P2168</t>
  </si>
  <si>
    <t>P2761</t>
  </si>
  <si>
    <t>P2679</t>
  </si>
  <si>
    <t>P4681</t>
  </si>
  <si>
    <t>P1450</t>
  </si>
  <si>
    <t>P2349</t>
  </si>
  <si>
    <t>P3060</t>
  </si>
  <si>
    <t>P4102</t>
  </si>
  <si>
    <t>P1589</t>
  </si>
  <si>
    <t>P587</t>
  </si>
  <si>
    <t>P328</t>
  </si>
  <si>
    <t>P3</t>
  </si>
  <si>
    <t>P2321</t>
  </si>
  <si>
    <t>P200</t>
  </si>
  <si>
    <t>P1380</t>
  </si>
  <si>
    <t>P2806</t>
  </si>
  <si>
    <t>P1123</t>
  </si>
  <si>
    <t>P3588</t>
  </si>
  <si>
    <t>P1884</t>
  </si>
  <si>
    <t>P3500</t>
  </si>
  <si>
    <t>P2585</t>
  </si>
  <si>
    <t>P2930</t>
  </si>
  <si>
    <t>P2457</t>
  </si>
  <si>
    <t>P4750</t>
  </si>
  <si>
    <t>P2593</t>
  </si>
  <si>
    <t>P1943</t>
  </si>
  <si>
    <t>P4902</t>
  </si>
  <si>
    <t>P864</t>
  </si>
  <si>
    <t>P2350</t>
  </si>
  <si>
    <t>P411</t>
  </si>
  <si>
    <t>P4094</t>
  </si>
  <si>
    <t>P1028</t>
  </si>
  <si>
    <t>P919</t>
  </si>
  <si>
    <t>P3444</t>
  </si>
  <si>
    <t>P3173</t>
  </si>
  <si>
    <t>P2150</t>
  </si>
  <si>
    <t>P4022</t>
  </si>
  <si>
    <t>P4589</t>
  </si>
  <si>
    <t>P2201</t>
  </si>
  <si>
    <t>P2846</t>
  </si>
  <si>
    <t>P3129</t>
  </si>
  <si>
    <t>P819</t>
  </si>
  <si>
    <t>P1248</t>
  </si>
  <si>
    <t>P122</t>
  </si>
  <si>
    <t>P3174</t>
  </si>
  <si>
    <t>P1887</t>
  </si>
  <si>
    <t>P4891</t>
  </si>
  <si>
    <t>P4361</t>
  </si>
  <si>
    <t>P1728</t>
  </si>
  <si>
    <t>P2016</t>
  </si>
  <si>
    <t>P962</t>
  </si>
  <si>
    <t>P1444</t>
  </si>
  <si>
    <t>P2062</t>
  </si>
  <si>
    <t>P545</t>
  </si>
  <si>
    <t>P3685</t>
  </si>
  <si>
    <t>P4919</t>
  </si>
  <si>
    <t>P2788</t>
  </si>
  <si>
    <t>P4874</t>
  </si>
  <si>
    <t>P4424</t>
  </si>
  <si>
    <t>P928</t>
  </si>
  <si>
    <t>P2835</t>
  </si>
  <si>
    <t>P270</t>
  </si>
  <si>
    <t>P2998</t>
  </si>
  <si>
    <t>P2765</t>
  </si>
  <si>
    <t>P2362</t>
  </si>
  <si>
    <t>P2422</t>
  </si>
  <si>
    <t>P3915</t>
  </si>
  <si>
    <t>P1934</t>
  </si>
  <si>
    <t>P4636</t>
  </si>
  <si>
    <t>P1146</t>
  </si>
  <si>
    <t>P4147</t>
  </si>
  <si>
    <t>P2629</t>
  </si>
  <si>
    <t>P1451</t>
  </si>
  <si>
    <t>P3029</t>
  </si>
  <si>
    <t>P4259</t>
  </si>
  <si>
    <t>P1000</t>
  </si>
  <si>
    <t>P4649</t>
  </si>
  <si>
    <t>P1149</t>
  </si>
  <si>
    <t>P25</t>
  </si>
  <si>
    <t>P3056</t>
  </si>
  <si>
    <t>P2501</t>
  </si>
  <si>
    <t>P2398</t>
  </si>
  <si>
    <t>P3923</t>
  </si>
  <si>
    <t>P4075</t>
  </si>
  <si>
    <t>P1477</t>
  </si>
  <si>
    <t>P975</t>
  </si>
  <si>
    <t>P3578</t>
  </si>
  <si>
    <t>P4002</t>
  </si>
  <si>
    <t>P707</t>
  </si>
  <si>
    <t>P354</t>
  </si>
  <si>
    <t>P3092</t>
  </si>
  <si>
    <t>P3032</t>
  </si>
  <si>
    <t>P733</t>
  </si>
  <si>
    <t>P2426</t>
  </si>
  <si>
    <t>P4585</t>
  </si>
  <si>
    <t>P504</t>
  </si>
  <si>
    <t>P2308</t>
  </si>
  <si>
    <t>P4214</t>
  </si>
  <si>
    <t>P2651</t>
  </si>
  <si>
    <t>P2963</t>
  </si>
  <si>
    <t>P1535</t>
  </si>
  <si>
    <t>P3845</t>
  </si>
  <si>
    <t>P2962</t>
  </si>
  <si>
    <t>P2614</t>
  </si>
  <si>
    <t>P2522</t>
  </si>
  <si>
    <t>P1929</t>
  </si>
  <si>
    <t>P4484</t>
  </si>
  <si>
    <t>P3306</t>
  </si>
  <si>
    <t>P4030</t>
  </si>
  <si>
    <t>P1344</t>
  </si>
  <si>
    <t>P4089</t>
  </si>
  <si>
    <t>P4131</t>
  </si>
  <si>
    <t>P2149</t>
  </si>
  <si>
    <t>P95</t>
  </si>
  <si>
    <t>P1944</t>
  </si>
  <si>
    <t>P1088</t>
  </si>
  <si>
    <t>P211</t>
  </si>
  <si>
    <t>P3078</t>
  </si>
  <si>
    <t>P239</t>
  </si>
  <si>
    <t>P2272</t>
  </si>
  <si>
    <t>P1286</t>
  </si>
  <si>
    <t>P1247</t>
  </si>
  <si>
    <t>P3523</t>
  </si>
  <si>
    <t>P4227</t>
  </si>
  <si>
    <t>P2025</t>
  </si>
  <si>
    <t>P507</t>
  </si>
  <si>
    <t>P4661</t>
  </si>
  <si>
    <t>P2465</t>
  </si>
  <si>
    <t>P4244</t>
  </si>
  <si>
    <t>P2992</t>
  </si>
  <si>
    <t>P3396</t>
  </si>
  <si>
    <t>P2715</t>
  </si>
  <si>
    <t>P2812</t>
  </si>
  <si>
    <t>P807</t>
  </si>
  <si>
    <t>P1788</t>
  </si>
  <si>
    <t>P1740</t>
  </si>
  <si>
    <t>P815</t>
  </si>
  <si>
    <t>P4020</t>
  </si>
  <si>
    <t>P310</t>
  </si>
  <si>
    <t>P174</t>
  </si>
  <si>
    <t>P3377</t>
  </si>
  <si>
    <t>P431</t>
  </si>
  <si>
    <t>P2140</t>
  </si>
  <si>
    <t>P1392</t>
  </si>
  <si>
    <t>P2794</t>
  </si>
  <si>
    <t>P3217</t>
  </si>
  <si>
    <t>P3956</t>
  </si>
  <si>
    <t>P2277</t>
  </si>
  <si>
    <t>P380</t>
  </si>
  <si>
    <t>P2198</t>
  </si>
  <si>
    <t>P2952</t>
  </si>
  <si>
    <t>P2074</t>
  </si>
  <si>
    <t>P1577</t>
  </si>
  <si>
    <t>P4863</t>
  </si>
  <si>
    <t>P3905</t>
  </si>
  <si>
    <t>P768</t>
  </si>
  <si>
    <t>P3051</t>
  </si>
  <si>
    <t>P3826</t>
  </si>
  <si>
    <t>P3195</t>
  </si>
  <si>
    <t>P2915</t>
  </si>
  <si>
    <t>P1543</t>
  </si>
  <si>
    <t>P3338</t>
  </si>
  <si>
    <t>P134</t>
  </si>
  <si>
    <t>P3216</t>
  </si>
  <si>
    <t>P3075</t>
  </si>
  <si>
    <t>P4201</t>
  </si>
  <si>
    <t>P662</t>
  </si>
  <si>
    <t>P3581</t>
  </si>
  <si>
    <t>P212</t>
  </si>
  <si>
    <t>P2737</t>
  </si>
  <si>
    <t>P4729</t>
  </si>
  <si>
    <t>P3405</t>
  </si>
  <si>
    <t>P4202</t>
  </si>
  <si>
    <t>P217</t>
  </si>
  <si>
    <t>P2118</t>
  </si>
  <si>
    <t>P4618</t>
  </si>
  <si>
    <t>P4853</t>
  </si>
  <si>
    <t>P4329</t>
  </si>
  <si>
    <t>P1085</t>
  </si>
  <si>
    <t>P1875</t>
  </si>
  <si>
    <t>P2343</t>
  </si>
  <si>
    <t>P4047</t>
  </si>
  <si>
    <t>P2994</t>
  </si>
  <si>
    <t>P4822</t>
  </si>
  <si>
    <t>P2946</t>
  </si>
  <si>
    <t>P4706</t>
  </si>
  <si>
    <t>P2363</t>
  </si>
  <si>
    <t>P4582</t>
  </si>
  <si>
    <t>P899</t>
  </si>
  <si>
    <t>P3230</t>
  </si>
  <si>
    <t>P2974</t>
  </si>
  <si>
    <t>P4918</t>
  </si>
  <si>
    <t>P4866</t>
  </si>
  <si>
    <t>P3673</t>
  </si>
  <si>
    <t>P3835</t>
  </si>
  <si>
    <t>P1579</t>
  </si>
  <si>
    <t>P1467</t>
  </si>
  <si>
    <t>P2821</t>
  </si>
  <si>
    <t>P3079</t>
  </si>
  <si>
    <t>P628</t>
  </si>
  <si>
    <t>P4218</t>
  </si>
  <si>
    <t>P1750</t>
  </si>
  <si>
    <t>P1361</t>
  </si>
  <si>
    <t>P2941</t>
  </si>
  <si>
    <t>P3426</t>
  </si>
  <si>
    <t>P851</t>
  </si>
  <si>
    <t>P4174</t>
  </si>
  <si>
    <t>P1251</t>
  </si>
  <si>
    <t>P4782</t>
  </si>
  <si>
    <t>P2561</t>
  </si>
  <si>
    <t>P1020</t>
  </si>
  <si>
    <t>P66</t>
  </si>
  <si>
    <t>P1360</t>
  </si>
  <si>
    <t>P4453</t>
  </si>
  <si>
    <t>P765</t>
  </si>
  <si>
    <t>P849</t>
  </si>
  <si>
    <t>P3585</t>
  </si>
  <si>
    <t>P957</t>
  </si>
  <si>
    <t>P2424</t>
  </si>
  <si>
    <t>P3605</t>
  </si>
  <si>
    <t>P1030</t>
  </si>
  <si>
    <t>P2028</t>
  </si>
  <si>
    <t>P216</t>
  </si>
  <si>
    <t>P3316</t>
  </si>
  <si>
    <t>P410</t>
  </si>
  <si>
    <t>P3860</t>
  </si>
  <si>
    <t>P853</t>
  </si>
  <si>
    <t>P645</t>
  </si>
  <si>
    <t>P2204</t>
  </si>
  <si>
    <t>P2605</t>
  </si>
  <si>
    <t>P1292</t>
  </si>
  <si>
    <t>P4852</t>
  </si>
  <si>
    <t>P4154</t>
  </si>
  <si>
    <t>P4386</t>
  </si>
  <si>
    <t>P860</t>
  </si>
  <si>
    <t>P2878</t>
  </si>
  <si>
    <t>P2352</t>
  </si>
  <si>
    <t>P4082</t>
  </si>
  <si>
    <t>P2034</t>
  </si>
  <si>
    <t>P3529</t>
  </si>
  <si>
    <t>P3943</t>
  </si>
  <si>
    <t>P1316</t>
  </si>
  <si>
    <t>P2199</t>
  </si>
  <si>
    <t>P3380</t>
  </si>
  <si>
    <t>P3893</t>
  </si>
  <si>
    <t>P3428</t>
  </si>
  <si>
    <t>P1822</t>
  </si>
  <si>
    <t>P2683</t>
  </si>
  <si>
    <t>P3663</t>
  </si>
  <si>
    <t>P607</t>
  </si>
  <si>
    <t>P171</t>
  </si>
  <si>
    <t>P4208</t>
  </si>
  <si>
    <t>P3071</t>
  </si>
  <si>
    <t>P1124</t>
  </si>
  <si>
    <t>P3530</t>
  </si>
  <si>
    <t>P2351</t>
  </si>
  <si>
    <t>P796</t>
  </si>
  <si>
    <t>P4956</t>
  </si>
  <si>
    <t>P3931</t>
  </si>
  <si>
    <t>P1684</t>
  </si>
  <si>
    <t>P805</t>
  </si>
  <si>
    <t>P2499</t>
  </si>
  <si>
    <t>P2735</t>
  </si>
  <si>
    <t>P2210</t>
  </si>
  <si>
    <t>P2233</t>
  </si>
  <si>
    <t>P1166</t>
  </si>
  <si>
    <t>P3921</t>
  </si>
  <si>
    <t>P1162</t>
  </si>
  <si>
    <t>P2862</t>
  </si>
  <si>
    <t>P641</t>
  </si>
  <si>
    <t>P1254</t>
  </si>
  <si>
    <t>P3879</t>
  </si>
  <si>
    <t>P2716</t>
  </si>
  <si>
    <t>P3395</t>
  </si>
  <si>
    <t>P2141</t>
  </si>
  <si>
    <t>P786</t>
  </si>
  <si>
    <t>P2949</t>
  </si>
  <si>
    <t>P2885</t>
  </si>
  <si>
    <t>P4048</t>
  </si>
  <si>
    <t>P1389</t>
  </si>
  <si>
    <t>P4347</t>
  </si>
  <si>
    <t>P2996</t>
  </si>
  <si>
    <t>P302</t>
  </si>
  <si>
    <t>P2219</t>
  </si>
  <si>
    <t>P632</t>
  </si>
  <si>
    <t>P4383</t>
  </si>
  <si>
    <t>P4107</t>
  </si>
  <si>
    <t>P3499</t>
  </si>
  <si>
    <t>P3830</t>
  </si>
  <si>
    <t>P518</t>
  </si>
  <si>
    <t>P3307</t>
  </si>
  <si>
    <t>P4510</t>
  </si>
  <si>
    <t>P2672</t>
  </si>
  <si>
    <t>P4395</t>
  </si>
  <si>
    <t>P539</t>
  </si>
  <si>
    <t>P3706</t>
  </si>
  <si>
    <t>P716</t>
  </si>
  <si>
    <t>P3157</t>
  </si>
  <si>
    <t>P473</t>
  </si>
  <si>
    <t>P511</t>
  </si>
  <si>
    <t>P843</t>
  </si>
  <si>
    <t>P1348</t>
  </si>
  <si>
    <t>P884</t>
  </si>
  <si>
    <t>P2948</t>
  </si>
  <si>
    <t>P2530</t>
  </si>
  <si>
    <t>P4490</t>
  </si>
  <si>
    <t>P2419</t>
  </si>
  <si>
    <t>P708</t>
  </si>
  <si>
    <t>P3031</t>
  </si>
  <si>
    <t>P1263</t>
  </si>
  <si>
    <t>P3145</t>
  </si>
  <si>
    <t>P3440</t>
  </si>
  <si>
    <t>P3349</t>
  </si>
  <si>
    <t>P1526</t>
  </si>
  <si>
    <t>P1182</t>
  </si>
  <si>
    <t>P3877</t>
  </si>
  <si>
    <t>P4766</t>
  </si>
  <si>
    <t>P637</t>
  </si>
  <si>
    <t>P488</t>
  </si>
  <si>
    <t>P694</t>
  </si>
  <si>
    <t>P4112</t>
  </si>
  <si>
    <t>P681</t>
  </si>
  <si>
    <t>P1980</t>
  </si>
  <si>
    <t>P2020</t>
  </si>
  <si>
    <t>P1805</t>
  </si>
  <si>
    <t>P4829</t>
  </si>
  <si>
    <t>P1512</t>
  </si>
  <si>
    <t>P4466</t>
  </si>
  <si>
    <t>P34</t>
  </si>
  <si>
    <t>P3407</t>
  </si>
  <si>
    <t>P2961</t>
  </si>
  <si>
    <t>P4487</t>
  </si>
  <si>
    <t>P4855</t>
  </si>
  <si>
    <t>P830</t>
  </si>
  <si>
    <t>P4224</t>
  </si>
  <si>
    <t>P4086</t>
  </si>
  <si>
    <t>P4696</t>
  </si>
  <si>
    <t>P1398</t>
  </si>
  <si>
    <t>P3638</t>
  </si>
  <si>
    <t>P2267</t>
  </si>
  <si>
    <t>P4522</t>
  </si>
  <si>
    <t>P872</t>
  </si>
  <si>
    <t>P3023</t>
  </si>
  <si>
    <t>P1772</t>
  </si>
  <si>
    <t>P3864</t>
  </si>
  <si>
    <t>P2037</t>
  </si>
  <si>
    <t>P3484</t>
  </si>
  <si>
    <t>P2053</t>
  </si>
  <si>
    <t>P2334</t>
  </si>
  <si>
    <t>P1388</t>
  </si>
  <si>
    <t>P1429</t>
  </si>
  <si>
    <t>P2162</t>
  </si>
  <si>
    <t>P374</t>
  </si>
  <si>
    <t>P4721</t>
  </si>
  <si>
    <t>P4770</t>
  </si>
  <si>
    <t>P4121</t>
  </si>
  <si>
    <t>P4146</t>
  </si>
  <si>
    <t>P2249</t>
  </si>
  <si>
    <t>P3882</t>
  </si>
  <si>
    <t>P3202</t>
  </si>
  <si>
    <t>P1751</t>
  </si>
  <si>
    <t>P2073</t>
  </si>
  <si>
    <t>P3480</t>
  </si>
  <si>
    <t>P2361</t>
  </si>
  <si>
    <t>P3839</t>
  </si>
  <si>
    <t>P4838</t>
  </si>
  <si>
    <t>P458</t>
  </si>
  <si>
    <t>P4691</t>
  </si>
  <si>
    <t>P2064</t>
  </si>
  <si>
    <t>P2594</t>
  </si>
  <si>
    <t>P417</t>
  </si>
  <si>
    <t>P4849</t>
  </si>
  <si>
    <t>P485</t>
  </si>
  <si>
    <t>P154</t>
  </si>
  <si>
    <t>P4769</t>
  </si>
  <si>
    <t>P2364</t>
  </si>
  <si>
    <t>P2112</t>
  </si>
  <si>
    <t>P60</t>
  </si>
  <si>
    <t>P1757</t>
  </si>
  <si>
    <t>P3540</t>
  </si>
  <si>
    <t>P237</t>
  </si>
  <si>
    <t>P4485</t>
  </si>
  <si>
    <t>P3091</t>
  </si>
  <si>
    <t>P1244</t>
  </si>
  <si>
    <t>P373</t>
  </si>
  <si>
    <t>P3908</t>
  </si>
  <si>
    <t>P3692</t>
  </si>
  <si>
    <t>P674</t>
  </si>
  <si>
    <t>P2766</t>
  </si>
  <si>
    <t>P2929</t>
  </si>
  <si>
    <t>P4015</t>
  </si>
  <si>
    <t>P3842</t>
  </si>
  <si>
    <t>P3580</t>
  </si>
  <si>
    <t>P1608</t>
  </si>
  <si>
    <t>P1206</t>
  </si>
  <si>
    <t>P2397</t>
  </si>
  <si>
    <t>P1339</t>
  </si>
  <si>
    <t>P2883</t>
  </si>
  <si>
    <t>P4129</t>
  </si>
  <si>
    <t>P2781</t>
  </si>
  <si>
    <t>P4492</t>
  </si>
  <si>
    <t>P2502</t>
  </si>
  <si>
    <t>P2960</t>
  </si>
  <si>
    <t>P974</t>
  </si>
  <si>
    <t>P4604</t>
  </si>
  <si>
    <t>P506</t>
  </si>
  <si>
    <t>P4536</t>
  </si>
  <si>
    <t>P5000</t>
  </si>
  <si>
    <t>P779</t>
  </si>
  <si>
    <t>P4177</t>
  </si>
  <si>
    <t>P1035</t>
  </si>
  <si>
    <t>P2767</t>
  </si>
  <si>
    <t>P4603</t>
  </si>
  <si>
    <t>P1386</t>
  </si>
  <si>
    <t>P1084</t>
  </si>
  <si>
    <t>P2797</t>
  </si>
  <si>
    <t>P1134</t>
  </si>
  <si>
    <t>P2597</t>
  </si>
  <si>
    <t>P1475</t>
  </si>
  <si>
    <t>P3920</t>
  </si>
  <si>
    <t>P1258</t>
  </si>
  <si>
    <t>P784</t>
  </si>
  <si>
    <t>P556</t>
  </si>
  <si>
    <t>P3857</t>
  </si>
  <si>
    <t>P1918</t>
  </si>
  <si>
    <t>P23</t>
  </si>
  <si>
    <t>P638</t>
  </si>
  <si>
    <t>P2842</t>
  </si>
  <si>
    <t>P2054</t>
  </si>
  <si>
    <t>P4552</t>
  </si>
  <si>
    <t>P307</t>
  </si>
  <si>
    <t>P3591</t>
  </si>
  <si>
    <t>P1573</t>
  </si>
  <si>
    <t>P347</t>
  </si>
  <si>
    <t>P1701</t>
  </si>
  <si>
    <t>P4180</t>
  </si>
  <si>
    <t>P31</t>
  </si>
  <si>
    <t>P1721</t>
  </si>
  <si>
    <t>P4266</t>
  </si>
  <si>
    <t>P390</t>
  </si>
  <si>
    <t>P1231</t>
  </si>
  <si>
    <t>P4351</t>
  </si>
  <si>
    <t>P3283</t>
  </si>
  <si>
    <t>P3014</t>
  </si>
  <si>
    <t>P1125</t>
  </si>
  <si>
    <t>P826</t>
  </si>
  <si>
    <t>P1852</t>
  </si>
  <si>
    <t>P2127</t>
  </si>
  <si>
    <t>P1161</t>
  </si>
  <si>
    <t>P2360</t>
  </si>
  <si>
    <t>P3566</t>
  </si>
  <si>
    <t>P2384</t>
  </si>
  <si>
    <t>P2701</t>
  </si>
  <si>
    <t>P2895</t>
  </si>
  <si>
    <t>P3406</t>
  </si>
  <si>
    <t>P4775</t>
  </si>
  <si>
    <t>P4438</t>
  </si>
  <si>
    <t>P1522</t>
  </si>
  <si>
    <t>P4005</t>
  </si>
  <si>
    <t>P51</t>
  </si>
  <si>
    <t>P3275</t>
  </si>
  <si>
    <t>P2347</t>
  </si>
  <si>
    <t>P2850</t>
  </si>
  <si>
    <t>P486</t>
  </si>
  <si>
    <t>P1466</t>
  </si>
  <si>
    <t>P1094</t>
  </si>
  <si>
    <t>P395</t>
  </si>
  <si>
    <t>P2180</t>
  </si>
  <si>
    <t>P2983</t>
  </si>
  <si>
    <t>P1734</t>
  </si>
  <si>
    <t>P166</t>
  </si>
  <si>
    <t>P942</t>
  </si>
  <si>
    <t>P3473</t>
  </si>
  <si>
    <t>P3371</t>
  </si>
  <si>
    <t>P3849</t>
  </si>
  <si>
    <t>P2632</t>
  </si>
  <si>
    <t>P1042</t>
  </si>
  <si>
    <t>P1320</t>
  </si>
  <si>
    <t>P446</t>
  </si>
  <si>
    <t>P4881</t>
  </si>
  <si>
    <t>P1723</t>
  </si>
  <si>
    <t>P552</t>
  </si>
  <si>
    <t>P1322</t>
  </si>
  <si>
    <t>P4797</t>
  </si>
  <si>
    <t>P748</t>
  </si>
  <si>
    <t>P4534</t>
  </si>
  <si>
    <t>P451</t>
  </si>
  <si>
    <t>P227</t>
  </si>
  <si>
    <t>P298</t>
  </si>
  <si>
    <t>P3534</t>
  </si>
  <si>
    <t>P3393</t>
  </si>
  <si>
    <t>P1858</t>
  </si>
  <si>
    <t>P1814</t>
  </si>
  <si>
    <t>P647</t>
  </si>
  <si>
    <t>P1713</t>
  </si>
  <si>
    <t>P2125</t>
  </si>
  <si>
    <t>P2216</t>
  </si>
  <si>
    <t>P623</t>
  </si>
  <si>
    <t>P2468</t>
  </si>
  <si>
    <t>P2330</t>
  </si>
  <si>
    <t>P1184</t>
  </si>
  <si>
    <t>P752</t>
  </si>
  <si>
    <t>P1590</t>
  </si>
  <si>
    <t>P2285</t>
  </si>
  <si>
    <t>P1183</t>
  </si>
  <si>
    <t>P143</t>
  </si>
  <si>
    <t>P916</t>
  </si>
  <si>
    <t>P963</t>
  </si>
  <si>
    <t>P772</t>
  </si>
  <si>
    <t>P3253</t>
  </si>
  <si>
    <t>P4219</t>
  </si>
  <si>
    <t>P3654</t>
  </si>
  <si>
    <t>P4647</t>
  </si>
  <si>
    <t>P3783</t>
  </si>
  <si>
    <t>P1672</t>
  </si>
  <si>
    <t>P2780</t>
  </si>
  <si>
    <t>P1278</t>
  </si>
  <si>
    <t>P931</t>
  </si>
  <si>
    <t>P4433</t>
  </si>
  <si>
    <t>P4281</t>
  </si>
  <si>
    <t>P4176</t>
  </si>
  <si>
    <t>P3047</t>
  </si>
  <si>
    <t>P1693</t>
  </si>
  <si>
    <t>P1296</t>
  </si>
  <si>
    <t>P1778</t>
  </si>
  <si>
    <t>P4675</t>
  </si>
  <si>
    <t>P2939</t>
  </si>
  <si>
    <t>P3443</t>
  </si>
  <si>
    <t>P3952</t>
  </si>
  <si>
    <t>P1243</t>
  </si>
  <si>
    <t>P3870</t>
  </si>
  <si>
    <t>P2314</t>
  </si>
  <si>
    <t>P260</t>
  </si>
  <si>
    <t>P3660</t>
  </si>
  <si>
    <t>P946</t>
  </si>
  <si>
    <t>P3990</t>
  </si>
  <si>
    <t>P3498</t>
  </si>
  <si>
    <t>P3897</t>
  </si>
  <si>
    <t>P3028</t>
  </si>
  <si>
    <t>P1499</t>
  </si>
  <si>
    <t>P3916</t>
  </si>
  <si>
    <t>P4725</t>
  </si>
  <si>
    <t>P535</t>
  </si>
  <si>
    <t>P4450</t>
  </si>
  <si>
    <t>P3679</t>
  </si>
  <si>
    <t>P2838</t>
  </si>
  <si>
    <t>P1970</t>
  </si>
  <si>
    <t>P1298</t>
  </si>
  <si>
    <t>P1659</t>
  </si>
  <si>
    <t>P2845</t>
  </si>
  <si>
    <t>P59</t>
  </si>
  <si>
    <t>P562</t>
  </si>
  <si>
    <t>P1775</t>
  </si>
  <si>
    <t>P1913</t>
  </si>
  <si>
    <t>P576</t>
  </si>
  <si>
    <t>P3470</t>
  </si>
  <si>
    <t>P1975</t>
  </si>
  <si>
    <t>P642</t>
  </si>
  <si>
    <t>P4291</t>
  </si>
  <si>
    <t>P2732</t>
  </si>
  <si>
    <t>P436</t>
  </si>
  <si>
    <t>P2206</t>
  </si>
  <si>
    <t>P1505</t>
  </si>
  <si>
    <t>P2273</t>
  </si>
  <si>
    <t>P67</t>
  </si>
  <si>
    <t>P4271</t>
  </si>
  <si>
    <t>P3953</t>
  </si>
  <si>
    <t>P4445</t>
  </si>
  <si>
    <t>P3649</t>
  </si>
  <si>
    <t>P3790</t>
  </si>
  <si>
    <t>P4768</t>
  </si>
  <si>
    <t>P4992</t>
  </si>
  <si>
    <t>P4182</t>
  </si>
  <si>
    <t>P3117</t>
  </si>
  <si>
    <t>P927</t>
  </si>
  <si>
    <t>P4627</t>
  </si>
  <si>
    <t>P465</t>
  </si>
  <si>
    <t>P3318</t>
  </si>
  <si>
    <t>P1099</t>
  </si>
  <si>
    <t>P2783</t>
  </si>
  <si>
    <t>P2790</t>
  </si>
  <si>
    <t>P4865</t>
  </si>
  <si>
    <t>P3005</t>
  </si>
  <si>
    <t>P4331</t>
  </si>
  <si>
    <t>P803</t>
  </si>
  <si>
    <t>P4343</t>
  </si>
  <si>
    <t>P2944</t>
  </si>
  <si>
    <t>P2469</t>
  </si>
  <si>
    <t>P3753</t>
  </si>
  <si>
    <t>P543</t>
  </si>
  <si>
    <t>P4645</t>
  </si>
  <si>
    <t>P2391</t>
  </si>
  <si>
    <t>P4805</t>
  </si>
  <si>
    <t>P33</t>
  </si>
  <si>
    <t>P1865</t>
  </si>
  <si>
    <t>P2699</t>
  </si>
  <si>
    <t>P1843</t>
  </si>
  <si>
    <t>P3295</t>
  </si>
  <si>
    <t>P3935</t>
  </si>
  <si>
    <t>P4141</t>
  </si>
  <si>
    <t>P2933</t>
  </si>
  <si>
    <t>P2001</t>
  </si>
  <si>
    <t>P567</t>
  </si>
  <si>
    <t>P2979</t>
  </si>
  <si>
    <t>P225</t>
  </si>
  <si>
    <t>P1330</t>
  </si>
  <si>
    <t>P3960</t>
  </si>
  <si>
    <t>P80</t>
  </si>
  <si>
    <t>P789</t>
  </si>
  <si>
    <t>P2746</t>
  </si>
  <si>
    <t>P4831</t>
  </si>
  <si>
    <t>P4442</t>
  </si>
  <si>
    <t>P1260</t>
  </si>
  <si>
    <t>P4683</t>
  </si>
  <si>
    <t>P2527</t>
  </si>
  <si>
    <t>P2764</t>
  </si>
  <si>
    <t>P4699</t>
  </si>
  <si>
    <t>P840</t>
  </si>
  <si>
    <t>P3386</t>
  </si>
  <si>
    <t>P4326</t>
  </si>
  <si>
    <t>P3647</t>
  </si>
  <si>
    <t>P3972</t>
  </si>
  <si>
    <t>P2617</t>
  </si>
  <si>
    <t>P4990</t>
  </si>
  <si>
    <t>P4133</t>
  </si>
  <si>
    <t>P782</t>
  </si>
  <si>
    <t>P2031</t>
  </si>
  <si>
    <t>P4842</t>
  </si>
  <si>
    <t>P2340</t>
  </si>
  <si>
    <t>P1525</t>
  </si>
  <si>
    <t>P1768</t>
  </si>
  <si>
    <t>P4191</t>
  </si>
  <si>
    <t>P3493</t>
  </si>
  <si>
    <t>P3142</t>
  </si>
  <si>
    <t>P1902</t>
  </si>
  <si>
    <t>P2234</t>
  </si>
  <si>
    <t>P4531</t>
  </si>
  <si>
    <t>P2414</t>
  </si>
  <si>
    <t>P783</t>
  </si>
  <si>
    <t>P909</t>
  </si>
  <si>
    <t>P3240</t>
  </si>
  <si>
    <t>P4169</t>
  </si>
  <si>
    <t>P3913</t>
  </si>
  <si>
    <t>P3162</t>
  </si>
  <si>
    <t>P2176</t>
  </si>
  <si>
    <t>P4499</t>
  </si>
  <si>
    <t>P2877</t>
  </si>
  <si>
    <t>P2444</t>
  </si>
  <si>
    <t>P2685</t>
  </si>
  <si>
    <t>P503</t>
  </si>
  <si>
    <t>P4893</t>
  </si>
  <si>
    <t>P3522</t>
  </si>
  <si>
    <t>P1940</t>
  </si>
  <si>
    <t>P591</t>
  </si>
  <si>
    <t>P4465</t>
  </si>
  <si>
    <t>P4416</t>
  </si>
  <si>
    <t>P1588</t>
  </si>
  <si>
    <t>P4192</t>
  </si>
  <si>
    <t>P3851</t>
  </si>
  <si>
    <t>P621</t>
  </si>
  <si>
    <t>P4972</t>
  </si>
  <si>
    <t>P4128</t>
  </si>
  <si>
    <t>P2288</t>
  </si>
  <si>
    <t>P2324</t>
  </si>
  <si>
    <t>P3714</t>
  </si>
  <si>
    <t>P2873</t>
  </si>
  <si>
    <t>P2712</t>
  </si>
  <si>
    <t>P1988</t>
  </si>
  <si>
    <t>P4125</t>
  </si>
  <si>
    <t>P4660</t>
  </si>
  <si>
    <t>P4857</t>
  </si>
  <si>
    <t>P4837</t>
  </si>
  <si>
    <t>P1345</t>
  </si>
  <si>
    <t>P3214</t>
  </si>
  <si>
    <t>P4927</t>
  </si>
  <si>
    <t>P574</t>
  </si>
  <si>
    <t>P4239</t>
  </si>
  <si>
    <t>P4469</t>
  </si>
  <si>
    <t>P4144</t>
  </si>
  <si>
    <t>P2471</t>
  </si>
  <si>
    <t>P1374</t>
  </si>
  <si>
    <t>P758</t>
  </si>
  <si>
    <t>P438</t>
  </si>
  <si>
    <t>P4672</t>
  </si>
  <si>
    <t>P1387</t>
  </si>
  <si>
    <t>P4327</t>
  </si>
  <si>
    <t>P3798</t>
  </si>
  <si>
    <t>P1190</t>
  </si>
  <si>
    <t>P568</t>
  </si>
  <si>
    <t>P2461</t>
  </si>
  <si>
    <t>P2071</t>
  </si>
  <si>
    <t>P4898</t>
  </si>
  <si>
    <t>P196</t>
  </si>
  <si>
    <t>P2380</t>
  </si>
  <si>
    <t>P1039</t>
  </si>
  <si>
    <t>P4716</t>
  </si>
  <si>
    <t>P760</t>
  </si>
  <si>
    <t>P1163</t>
  </si>
  <si>
    <t>P2681</t>
  </si>
  <si>
    <t>P693</t>
  </si>
  <si>
    <t>P3892</t>
  </si>
  <si>
    <t>P593</t>
  </si>
  <si>
    <t>P700</t>
  </si>
  <si>
    <t>P1288</t>
  </si>
  <si>
    <t>P412</t>
  </si>
  <si>
    <t>P3873</t>
  </si>
  <si>
    <t>P3525</t>
  </si>
  <si>
    <t>P4905</t>
  </si>
  <si>
    <t>P294</t>
  </si>
  <si>
    <t>P686</t>
  </si>
  <si>
    <t>P4799</t>
  </si>
  <si>
    <t>P3571</t>
  </si>
  <si>
    <t>P1983</t>
  </si>
  <si>
    <t>P4103</t>
  </si>
  <si>
    <t>P1155</t>
  </si>
  <si>
    <t>P2155</t>
  </si>
  <si>
    <t>P4915</t>
  </si>
  <si>
    <t>P551</t>
  </si>
  <si>
    <t>P4090</t>
  </si>
  <si>
    <t>P4792</t>
  </si>
  <si>
    <t>P981</t>
  </si>
  <si>
    <t>P811</t>
  </si>
  <si>
    <t>P330</t>
  </si>
  <si>
    <t>P881</t>
  </si>
  <si>
    <t>P2278</t>
  </si>
  <si>
    <t>P3909</t>
  </si>
  <si>
    <t>P4040</t>
  </si>
  <si>
    <t>P2114</t>
  </si>
  <si>
    <t>P1116</t>
  </si>
  <si>
    <t>P4352</t>
  </si>
  <si>
    <t>P2692</t>
  </si>
  <si>
    <t>P3688</t>
  </si>
  <si>
    <t>P2387</t>
  </si>
  <si>
    <t>P2942</t>
  </si>
  <si>
    <t>P2730</t>
  </si>
  <si>
    <t>P1954</t>
  </si>
  <si>
    <t>P1294</t>
  </si>
  <si>
    <t>P572</t>
  </si>
  <si>
    <t>P2487</t>
  </si>
  <si>
    <t>P720</t>
  </si>
  <si>
    <t>P4460</t>
  </si>
  <si>
    <t>P2734</t>
  </si>
  <si>
    <t>P2161</t>
  </si>
  <si>
    <t>P2786</t>
  </si>
  <si>
    <t>P2497</t>
  </si>
  <si>
    <t>P271</t>
  </si>
  <si>
    <t>P1058</t>
  </si>
  <si>
    <t>P2122</t>
  </si>
  <si>
    <t>P3630</t>
  </si>
  <si>
    <t>P3270</t>
  </si>
  <si>
    <t>P3413</t>
  </si>
  <si>
    <t>P4168</t>
  </si>
  <si>
    <t>P4754</t>
  </si>
  <si>
    <t>P3531</t>
  </si>
  <si>
    <t>P4106</t>
  </si>
  <si>
    <t>P1859</t>
  </si>
  <si>
    <t>P4727</t>
  </si>
  <si>
    <t>P4925</t>
  </si>
  <si>
    <t>P3775</t>
  </si>
  <si>
    <t>P2244</t>
  </si>
  <si>
    <t>P1173</t>
  </si>
  <si>
    <t>P1111</t>
  </si>
  <si>
    <t>P1277</t>
  </si>
  <si>
    <t>P3844</t>
  </si>
  <si>
    <t>P3425</t>
  </si>
  <si>
    <t>P3344</t>
  </si>
  <si>
    <t>P3491</t>
  </si>
  <si>
    <t>P1303</t>
  </si>
  <si>
    <t>P3854</t>
  </si>
  <si>
    <t>P3800</t>
  </si>
  <si>
    <t>P1485</t>
  </si>
  <si>
    <t>P682</t>
  </si>
  <si>
    <t>P4788</t>
  </si>
  <si>
    <t>P1465</t>
  </si>
  <si>
    <t>P421</t>
  </si>
  <si>
    <t>P2848</t>
  </si>
  <si>
    <t>P4254</t>
  </si>
  <si>
    <t>P396</t>
  </si>
  <si>
    <t>P788</t>
  </si>
  <si>
    <t>P1391</t>
  </si>
  <si>
    <t>P2724</t>
  </si>
  <si>
    <t>P2169</t>
  </si>
  <si>
    <t>P3188</t>
  </si>
  <si>
    <t>P1935</t>
  </si>
  <si>
    <t>P3853</t>
  </si>
  <si>
    <t>P4688</t>
  </si>
  <si>
    <t>P1343</t>
  </si>
  <si>
    <t>P1141</t>
  </si>
  <si>
    <t>P1737</t>
  </si>
  <si>
    <t>P4883</t>
  </si>
  <si>
    <t>P3063</t>
  </si>
  <si>
    <t>P3564</t>
  </si>
  <si>
    <t>P3260</t>
  </si>
  <si>
    <t>P5</t>
  </si>
  <si>
    <t>P1580</t>
  </si>
  <si>
    <t>P177</t>
  </si>
  <si>
    <t>P1414</t>
  </si>
  <si>
    <t>P3562</t>
  </si>
  <si>
    <t>P2178</t>
  </si>
  <si>
    <t>P3983</t>
  </si>
  <si>
    <t>P4546</t>
  </si>
  <si>
    <t>P856</t>
  </si>
  <si>
    <t>P2980</t>
  </si>
  <si>
    <t>P4411</t>
  </si>
  <si>
    <t>P4520</t>
  </si>
  <si>
    <t>P3659</t>
  </si>
  <si>
    <t>P918</t>
  </si>
  <si>
    <t>P2261</t>
  </si>
  <si>
    <t>P1135</t>
  </si>
  <si>
    <t>P3490</t>
  </si>
  <si>
    <t>P4524</t>
  </si>
  <si>
    <t>P3676</t>
  </si>
  <si>
    <t>P3689</t>
  </si>
  <si>
    <t>P335</t>
  </si>
  <si>
    <t>P1533</t>
  </si>
  <si>
    <t>P4811</t>
  </si>
  <si>
    <t>P2370</t>
  </si>
  <si>
    <t>P4954</t>
  </si>
  <si>
    <t>P4441</t>
  </si>
  <si>
    <t>P3922</t>
  </si>
  <si>
    <t>P910</t>
  </si>
  <si>
    <t>P4576</t>
  </si>
  <si>
    <t>P2235</t>
  </si>
  <si>
    <t>P4242</t>
  </si>
  <si>
    <t>P2248</t>
  </si>
  <si>
    <t>P2413</t>
  </si>
  <si>
    <t>P1666</t>
  </si>
  <si>
    <t>P1924</t>
  </si>
  <si>
    <t>P30</t>
  </si>
  <si>
    <t>P4480</t>
  </si>
  <si>
    <t>P692</t>
  </si>
  <si>
    <t>P769</t>
  </si>
  <si>
    <t>P399</t>
  </si>
  <si>
    <t>P2095</t>
  </si>
  <si>
    <t>P3121</t>
  </si>
  <si>
    <t>P4139</t>
  </si>
  <si>
    <t>P3225</t>
  </si>
  <si>
    <t>P709</t>
  </si>
  <si>
    <t>P939</t>
  </si>
  <si>
    <t>P2506</t>
  </si>
  <si>
    <t>P1230</t>
  </si>
  <si>
    <t>P69</t>
  </si>
  <si>
    <t>P4745</t>
  </si>
  <si>
    <t>P2013</t>
  </si>
  <si>
    <t>P1159</t>
  </si>
  <si>
    <t>P923</t>
  </si>
  <si>
    <t>P2315</t>
  </si>
  <si>
    <t>P1378</t>
  </si>
  <si>
    <t>P4006</t>
  </si>
  <si>
    <t>P1739</t>
  </si>
  <si>
    <t>P1649</t>
  </si>
  <si>
    <t>P4344</t>
  </si>
  <si>
    <t>P2687</t>
  </si>
  <si>
    <t>P1409</t>
  </si>
  <si>
    <t>P1949</t>
  </si>
  <si>
    <t>P3303</t>
  </si>
  <si>
    <t>P4728</t>
  </si>
  <si>
    <t>P3114</t>
  </si>
  <si>
    <t>P1160</t>
  </si>
  <si>
    <t>P1539</t>
  </si>
  <si>
    <t>P1670</t>
  </si>
  <si>
    <t>P1011</t>
  </si>
  <si>
    <t>P3022</t>
  </si>
  <si>
    <t>P624</t>
  </si>
  <si>
    <t>P778</t>
  </si>
  <si>
    <t>P1232</t>
  </si>
  <si>
    <t>P2416</t>
  </si>
  <si>
    <t>P3437</t>
  </si>
  <si>
    <t>P1767</t>
  </si>
  <si>
    <t>P2116</t>
  </si>
  <si>
    <t>P750</t>
  </si>
  <si>
    <t>P1201</t>
  </si>
  <si>
    <t>P4694</t>
  </si>
  <si>
    <t>P3210</t>
  </si>
  <si>
    <t>P3095</t>
  </si>
  <si>
    <t>P3750</t>
  </si>
  <si>
    <t>P1886</t>
  </si>
  <si>
    <t>P4123</t>
  </si>
  <si>
    <t>P4971</t>
  </si>
  <si>
    <t>P3146</t>
  </si>
  <si>
    <t>P730</t>
  </si>
  <si>
    <t>P3612</t>
  </si>
  <si>
    <t>P1240</t>
  </si>
  <si>
    <t>P2089</t>
  </si>
  <si>
    <t>P3139</t>
  </si>
  <si>
    <t>P1289</t>
  </si>
  <si>
    <t>P393</t>
  </si>
  <si>
    <t>P419</t>
  </si>
  <si>
    <t>P2677</t>
  </si>
  <si>
    <t>P3323</t>
  </si>
  <si>
    <t>P199</t>
  </si>
  <si>
    <t>P1081</t>
  </si>
  <si>
    <t>P4586</t>
  </si>
  <si>
    <t>P1205</t>
  </si>
  <si>
    <t>P2245</t>
  </si>
  <si>
    <t>P1273</t>
  </si>
  <si>
    <t>P2203</t>
  </si>
  <si>
    <t>P4839</t>
  </si>
  <si>
    <t>P4311</t>
  </si>
  <si>
    <t>P1683</t>
  </si>
  <si>
    <t>P1829</t>
  </si>
  <si>
    <t>P2139</t>
  </si>
  <si>
    <t>P4181</t>
  </si>
  <si>
    <t>P4625</t>
  </si>
  <si>
    <t>P2784</t>
  </si>
  <si>
    <t>P2448</t>
  </si>
  <si>
    <t>P1966</t>
  </si>
  <si>
    <t>P4377</t>
  </si>
  <si>
    <t>P4304</t>
  </si>
  <si>
    <t>P181</t>
  </si>
  <si>
    <t>P3765</t>
  </si>
  <si>
    <t>P361</t>
  </si>
  <si>
    <t>P2689</t>
  </si>
  <si>
    <t>P1710</t>
  </si>
  <si>
    <t>DIABETES</t>
  </si>
  <si>
    <t>P3171</t>
  </si>
  <si>
    <t>P2559</t>
  </si>
  <si>
    <t>P646</t>
  </si>
  <si>
    <t>P4653</t>
  </si>
  <si>
    <t>P639</t>
  </si>
  <si>
    <t>P739</t>
  </si>
  <si>
    <t>P2592</t>
  </si>
  <si>
    <t>P3417</t>
  </si>
  <si>
    <t>P2123</t>
  </si>
  <si>
    <t>P865</t>
  </si>
  <si>
    <t>P2886</t>
  </si>
  <si>
    <t>P1204</t>
  </si>
  <si>
    <t>P1198</t>
  </si>
  <si>
    <t>P3737</t>
  </si>
  <si>
    <t>P4231</t>
  </si>
  <si>
    <t>P4713</t>
  </si>
  <si>
    <t>P1790</t>
  </si>
  <si>
    <t>P1515</t>
  </si>
  <si>
    <t>P90</t>
  </si>
  <si>
    <t>P4756</t>
  </si>
  <si>
    <t>P3430</t>
  </si>
  <si>
    <t>P2039</t>
  </si>
  <si>
    <t>P1483</t>
  </si>
  <si>
    <t>P2740</t>
  </si>
  <si>
    <t>P3856</t>
  </si>
  <si>
    <t>P274</t>
  </si>
  <si>
    <t>P277</t>
  </si>
  <si>
    <t>P4138</t>
  </si>
  <si>
    <t>P4719</t>
  </si>
  <si>
    <t>P1052</t>
  </si>
  <si>
    <t>P404</t>
  </si>
  <si>
    <t>P4808</t>
  </si>
  <si>
    <t>P2537</t>
  </si>
  <si>
    <t>P3871</t>
  </si>
  <si>
    <t>P2332</t>
  </si>
  <si>
    <t>P4491</t>
  </si>
  <si>
    <t>P517</t>
  </si>
  <si>
    <t>P880</t>
  </si>
  <si>
    <t>P4037</t>
  </si>
  <si>
    <t>P2209</t>
  </si>
  <si>
    <t>P4824</t>
  </si>
  <si>
    <t>P1433</t>
  </si>
  <si>
    <t>P8</t>
  </si>
  <si>
    <t>P3191</t>
  </si>
  <si>
    <t>P1025</t>
  </si>
  <si>
    <t>P1687</t>
  </si>
  <si>
    <t>P2908</t>
  </si>
  <si>
    <t>P3734</t>
  </si>
  <si>
    <t>P2470</t>
  </si>
  <si>
    <t>P4472</t>
  </si>
  <si>
    <t>P455</t>
  </si>
  <si>
    <t>P3684</t>
  </si>
  <si>
    <t>P4572</t>
  </si>
  <si>
    <t>P3817</t>
  </si>
  <si>
    <t>P1481</t>
  </si>
  <si>
    <t>P2164</t>
  </si>
  <si>
    <t>P161</t>
  </si>
  <si>
    <t>P2631</t>
  </si>
  <si>
    <t>P3743</t>
  </si>
  <si>
    <t>P4539</t>
  </si>
  <si>
    <t>P4907</t>
  </si>
  <si>
    <t>P1270</t>
  </si>
  <si>
    <t>P2532</t>
  </si>
  <si>
    <t>P2861</t>
  </si>
  <si>
    <t>P1823</t>
  </si>
  <si>
    <t>P262</t>
  </si>
  <si>
    <t>P2738</t>
  </si>
  <si>
    <t>P204</t>
  </si>
  <si>
    <t>P1702</t>
  </si>
  <si>
    <t>P1633</t>
  </si>
  <si>
    <t>P950</t>
  </si>
  <si>
    <t>P1506</t>
  </si>
  <si>
    <t>P2252</t>
  </si>
  <si>
    <t>P4851</t>
  </si>
  <si>
    <t>P1425</t>
  </si>
  <si>
    <t>P3262</t>
  </si>
  <si>
    <t>P2834</t>
  </si>
  <si>
    <t>P1812</t>
  </si>
  <si>
    <t>P2541</t>
  </si>
  <si>
    <t>P1302</t>
  </si>
  <si>
    <t>P684</t>
  </si>
  <si>
    <t>P2785</t>
  </si>
  <si>
    <t>P3013</t>
  </si>
  <si>
    <t>P943</t>
  </si>
  <si>
    <t>P2029</t>
  </si>
  <si>
    <t>P4070</t>
  </si>
  <si>
    <t>P3452</t>
  </si>
  <si>
    <t>P4904</t>
  </si>
  <si>
    <t>P3467</t>
  </si>
  <si>
    <t>P1157</t>
  </si>
  <si>
    <t>P1994</t>
  </si>
  <si>
    <t>P2172</t>
  </si>
  <si>
    <t>P4621</t>
  </si>
  <si>
    <t>P688</t>
  </si>
  <si>
    <t>P4518</t>
  </si>
  <si>
    <t>P1133</t>
  </si>
  <si>
    <t>P3226</t>
  </si>
  <si>
    <t>P609</t>
  </si>
  <si>
    <t>P4205</t>
  </si>
  <si>
    <t>P3279</t>
  </si>
  <si>
    <t>P4165</t>
  </si>
  <si>
    <t>P4057</t>
  </si>
  <si>
    <t>P3738</t>
  </si>
  <si>
    <t>P2935</t>
  </si>
  <si>
    <t>P4940</t>
  </si>
  <si>
    <t>P2770</t>
  </si>
  <si>
    <t>P3596</t>
  </si>
  <si>
    <t>P2192</t>
  </si>
  <si>
    <t>P3584</t>
  </si>
  <si>
    <t>P1615</t>
  </si>
  <si>
    <t>P4947</t>
  </si>
  <si>
    <t>P2539</t>
  </si>
  <si>
    <t>P1553</t>
  </si>
  <si>
    <t>P3309</t>
  </si>
  <si>
    <t>P854</t>
  </si>
  <si>
    <t>P4540</t>
  </si>
  <si>
    <t>P4843</t>
  </si>
  <si>
    <t>P1065</t>
  </si>
  <si>
    <t>P68</t>
  </si>
  <si>
    <t>P4669</t>
  </si>
  <si>
    <t>P1250</t>
  </si>
  <si>
    <t>P2405</t>
  </si>
  <si>
    <t>P4136</t>
  </si>
  <si>
    <t>P164</t>
  </si>
  <si>
    <t>P1324</t>
  </si>
  <si>
    <t>P695</t>
  </si>
  <si>
    <t>P1456</t>
  </si>
  <si>
    <t>P3367</t>
  </si>
  <si>
    <t>P734</t>
  </si>
  <si>
    <t>P604</t>
  </si>
  <si>
    <t>P3497</t>
  </si>
  <si>
    <t>P1857</t>
  </si>
  <si>
    <t>P3902</t>
  </si>
  <si>
    <t>P4590</t>
  </si>
  <si>
    <t>P1623</t>
  </si>
  <si>
    <t>P4789</t>
  </si>
  <si>
    <t>P1440</t>
  </si>
  <si>
    <t>P2066</t>
  </si>
  <si>
    <t>P2922</t>
  </si>
  <si>
    <t>P255</t>
  </si>
  <si>
    <t>P754</t>
  </si>
  <si>
    <t>P863</t>
  </si>
  <si>
    <t>P2337</t>
  </si>
  <si>
    <t>P4677</t>
  </si>
  <si>
    <t>P2813</t>
  </si>
  <si>
    <t>P1583</t>
  </si>
  <si>
    <t>P4119</t>
  </si>
  <si>
    <t>P4360</t>
  </si>
  <si>
    <t>P4358</t>
  </si>
  <si>
    <t>P4960</t>
  </si>
  <si>
    <t>P247</t>
  </si>
  <si>
    <t>P3447</t>
  </si>
  <si>
    <t>P1221</t>
  </si>
  <si>
    <t>P669</t>
  </si>
  <si>
    <t>P1054</t>
  </si>
  <si>
    <t>P2993</t>
  </si>
  <si>
    <t>P4970</t>
  </si>
  <si>
    <t>P3822</t>
  </si>
  <si>
    <t>P4867</t>
  </si>
  <si>
    <t>P1113</t>
  </si>
  <si>
    <t>P1554</t>
  </si>
  <si>
    <t>P176</t>
  </si>
  <si>
    <t>P1510</t>
  </si>
  <si>
    <t>P3255</t>
  </si>
  <si>
    <t>P3535</t>
  </si>
  <si>
    <t>P4684</t>
  </si>
  <si>
    <t>P842</t>
  </si>
  <si>
    <t>P19</t>
  </si>
  <si>
    <t>P4184</t>
  </si>
  <si>
    <t>P191</t>
  </si>
  <si>
    <t>P4702</t>
  </si>
  <si>
    <t>P165</t>
  </si>
  <si>
    <t>P4994</t>
  </si>
  <si>
    <t>P2897</t>
  </si>
  <si>
    <t>P660</t>
  </si>
  <si>
    <t>P3211</t>
  </si>
  <si>
    <t>P1707</t>
  </si>
  <si>
    <t>P663</t>
  </si>
  <si>
    <t>P2747</t>
  </si>
  <si>
    <t>P2138</t>
  </si>
  <si>
    <t>P2938</t>
  </si>
  <si>
    <t>ASTHMA</t>
  </si>
  <si>
    <t>P4049</t>
  </si>
  <si>
    <t>P4166</t>
  </si>
  <si>
    <t>P2310</t>
  </si>
  <si>
    <t>P1462</t>
  </si>
  <si>
    <t>P3041</t>
  </si>
  <si>
    <t>P1121</t>
  </si>
  <si>
    <t>P4513</t>
  </si>
  <si>
    <t>P110</t>
  </si>
  <si>
    <t>P3646</t>
  </si>
  <si>
    <t>P1587</t>
  </si>
  <si>
    <t>P2492</t>
  </si>
  <si>
    <t>P1301</t>
  </si>
  <si>
    <t>P1092</t>
  </si>
  <si>
    <t>P2700</t>
  </si>
  <si>
    <t>P1933</t>
  </si>
  <si>
    <t>P2017</t>
  </si>
  <si>
    <t>P3086</t>
  </si>
  <si>
    <t>P111</t>
  </si>
  <si>
    <t>P1227</t>
  </si>
  <si>
    <t>P2257</t>
  </si>
  <si>
    <t>P4506</t>
  </si>
  <si>
    <t>P1269</t>
  </si>
  <si>
    <t>P4249</t>
  </si>
  <si>
    <t>P1781</t>
  </si>
  <si>
    <t>P580</t>
  </si>
  <si>
    <t>P4953</t>
  </si>
  <si>
    <t>P1423</t>
  </si>
  <si>
    <t>P36</t>
  </si>
  <si>
    <t>P3276</t>
  </si>
  <si>
    <t>P1791</t>
  </si>
  <si>
    <t>P4449</t>
  </si>
  <si>
    <t>P1746</t>
  </si>
  <si>
    <t>P3115</t>
  </si>
  <si>
    <t>P2225</t>
  </si>
  <si>
    <t>P1888</t>
  </si>
  <si>
    <t>P1800</t>
  </si>
  <si>
    <t>P388</t>
  </si>
  <si>
    <t>P4172</t>
  </si>
  <si>
    <t>P3545</t>
  </si>
  <si>
    <t>P64</t>
  </si>
  <si>
    <t>P715</t>
  </si>
  <si>
    <t>P4111</t>
  </si>
  <si>
    <t>P3189</t>
  </si>
  <si>
    <t>P2610</t>
  </si>
  <si>
    <t>P1496</t>
  </si>
  <si>
    <t>P43</t>
  </si>
  <si>
    <t>P362</t>
  </si>
  <si>
    <t>P2406</t>
  </si>
  <si>
    <t>P2217</t>
  </si>
  <si>
    <t>P397</t>
  </si>
  <si>
    <t>P157</t>
  </si>
  <si>
    <t>P1690</t>
  </si>
  <si>
    <t>P86</t>
  </si>
  <si>
    <t>P1447</t>
  </si>
  <si>
    <t>P834</t>
  </si>
  <si>
    <t>P4264</t>
  </si>
  <si>
    <t>P2241</t>
  </si>
  <si>
    <t>P2177</t>
  </si>
  <si>
    <t>P2411</t>
  </si>
  <si>
    <t>P2392</t>
  </si>
  <si>
    <t>P1091</t>
  </si>
  <si>
    <t>P1185</t>
  </si>
  <si>
    <t>P2680</t>
  </si>
  <si>
    <t>P4868</t>
  </si>
  <si>
    <t>P3043</t>
  </si>
  <si>
    <t>P2815</t>
  </si>
  <si>
    <t>P482</t>
  </si>
  <si>
    <t>P1310</t>
  </si>
  <si>
    <t>P1996</t>
  </si>
  <si>
    <t>P1794</t>
  </si>
  <si>
    <t>P4238</t>
  </si>
  <si>
    <t>P1798</t>
  </si>
  <si>
    <t>P2388</t>
  </si>
  <si>
    <t>P1639</t>
  </si>
  <si>
    <t>P3011</t>
  </si>
  <si>
    <t>P3397</t>
  </si>
  <si>
    <t>P38</t>
  </si>
  <si>
    <t>P3027</t>
  </si>
  <si>
    <t>P601</t>
  </si>
  <si>
    <t>P3420</t>
  </si>
  <si>
    <t>P3806</t>
  </si>
  <si>
    <t>P3093</t>
  </si>
  <si>
    <t>P1428</t>
  </si>
  <si>
    <t>P2407</t>
  </si>
  <si>
    <t>P2113</t>
  </si>
  <si>
    <t>P2303</t>
  </si>
  <si>
    <t>P1021</t>
  </si>
  <si>
    <t>P4028</t>
  </si>
  <si>
    <t>P3898</t>
  </si>
  <si>
    <t>P321</t>
  </si>
  <si>
    <t>P4157</t>
  </si>
  <si>
    <t>P3048</t>
  </si>
  <si>
    <t>P2566</t>
  </si>
  <si>
    <t>P1209</t>
  </si>
  <si>
    <t>P3544</t>
  </si>
  <si>
    <t>P377</t>
  </si>
  <si>
    <t>P4698</t>
  </si>
  <si>
    <t>P4025</t>
  </si>
  <si>
    <t>P2673</t>
  </si>
  <si>
    <t>P2494</t>
  </si>
  <si>
    <t>P2708</t>
  </si>
  <si>
    <t>P3478</t>
  </si>
  <si>
    <t>P1395</t>
  </si>
  <si>
    <t>P717</t>
  </si>
  <si>
    <t>P1001</t>
  </si>
  <si>
    <t>P3904</t>
  </si>
  <si>
    <t>P1241</t>
  </si>
  <si>
    <t>P3984</t>
  </si>
  <si>
    <t>P3037</t>
  </si>
  <si>
    <t>P3116</t>
  </si>
  <si>
    <t>P3677</t>
  </si>
  <si>
    <t>P1104</t>
  </si>
  <si>
    <t>P1861</t>
  </si>
  <si>
    <t>P940</t>
  </si>
  <si>
    <t>P4724</t>
  </si>
  <si>
    <t>P3269</t>
  </si>
  <si>
    <t>P4655</t>
  </si>
  <si>
    <t>P3235</t>
  </si>
  <si>
    <t>P4784</t>
  </si>
  <si>
    <t>P459</t>
  </si>
  <si>
    <t>P4190</t>
  </si>
  <si>
    <t>P4924</t>
  </si>
  <si>
    <t>P1714</t>
  </si>
  <si>
    <t>P3974</t>
  </si>
  <si>
    <t>P4457</t>
  </si>
  <si>
    <t>P2824</t>
  </si>
  <si>
    <t>P3711</t>
  </si>
  <si>
    <t>P4999</t>
  </si>
  <si>
    <t>P846</t>
  </si>
  <si>
    <t>P2955</t>
  </si>
  <si>
    <t>P650</t>
  </si>
  <si>
    <t>P4257</t>
  </si>
  <si>
    <t>P3852</t>
  </si>
  <si>
    <t>P334</t>
  </si>
  <si>
    <t>P2299</t>
  </si>
  <si>
    <t>P387</t>
  </si>
  <si>
    <t>P4772</t>
  </si>
  <si>
    <t>P63</t>
  </si>
  <si>
    <t>P600</t>
  </si>
  <si>
    <t>P3927</t>
  </si>
  <si>
    <t>P2940</t>
  </si>
  <si>
    <t>P691</t>
  </si>
  <si>
    <t>P2659</t>
  </si>
  <si>
    <t>P3618</t>
  </si>
  <si>
    <t>P2798</t>
  </si>
  <si>
    <t>P3820</t>
  </si>
  <si>
    <t>P3792</t>
  </si>
  <si>
    <t>P2425</t>
  </si>
  <si>
    <t>P4569</t>
  </si>
  <si>
    <t>P678</t>
  </si>
  <si>
    <t>P2777</t>
  </si>
  <si>
    <t>P1005</t>
  </si>
  <si>
    <t>P1557</t>
  </si>
  <si>
    <t>P546</t>
  </si>
  <si>
    <t>P1625</t>
  </si>
  <si>
    <t>P2720</t>
  </si>
  <si>
    <t>P2627</t>
  </si>
  <si>
    <t>P2132</t>
  </si>
  <si>
    <t>P2582</t>
  </si>
  <si>
    <t>P4511</t>
  </si>
  <si>
    <t>P4011</t>
  </si>
  <si>
    <t>P192</t>
  </si>
  <si>
    <t>P4738</t>
  </si>
  <si>
    <t>P3824</t>
  </si>
  <si>
    <t>P1284</t>
  </si>
  <si>
    <t>P2129</t>
  </si>
  <si>
    <t>P3832</t>
  </si>
  <si>
    <t>P1923</t>
  </si>
  <si>
    <t>P2295</t>
  </si>
  <si>
    <t>P2598</t>
  </si>
  <si>
    <t>P2752</t>
  </si>
  <si>
    <t>P3247</t>
  </si>
  <si>
    <t>P901</t>
  </si>
  <si>
    <t>P3652</t>
  </si>
  <si>
    <t>P3601</t>
  </si>
  <si>
    <t>P871</t>
  </si>
  <si>
    <t>P2045</t>
  </si>
  <si>
    <t>P496</t>
  </si>
  <si>
    <t>P4120</t>
  </si>
  <si>
    <t>P3942</t>
  </si>
  <si>
    <t>P1877</t>
  </si>
  <si>
    <t>P1179</t>
  </si>
  <si>
    <t>P3518</t>
  </si>
  <si>
    <t>P1400</t>
  </si>
  <si>
    <t>P2144</t>
  </si>
  <si>
    <t>P3152</t>
  </si>
  <si>
    <t>P512</t>
  </si>
  <si>
    <t>P3777</t>
  </si>
  <si>
    <t>P13</t>
  </si>
  <si>
    <t>P2098</t>
  </si>
  <si>
    <t>P740</t>
  </si>
  <si>
    <t>P282</t>
  </si>
  <si>
    <t>P2441</t>
  </si>
  <si>
    <t>P3205</t>
  </si>
  <si>
    <t>P2023</t>
  </si>
  <si>
    <t>P2825</t>
  </si>
  <si>
    <t>P135</t>
  </si>
  <si>
    <t>P699</t>
  </si>
  <si>
    <t>P1759</t>
  </si>
  <si>
    <t>P2667</t>
  </si>
  <si>
    <t>P3704</t>
  </si>
  <si>
    <t>P1819</t>
  </si>
  <si>
    <t>P2042</t>
  </si>
  <si>
    <t>P3237</t>
  </si>
  <si>
    <t>P2341</t>
  </si>
  <si>
    <t>P1217</t>
  </si>
  <si>
    <t>P1900</t>
  </si>
  <si>
    <t>P1749</t>
  </si>
  <si>
    <t>P4652</t>
  </si>
  <si>
    <t>P3067</t>
  </si>
  <si>
    <t>P220</t>
  </si>
  <si>
    <t>P3084</t>
  </si>
  <si>
    <t>P1837</t>
  </si>
  <si>
    <t>P2907</t>
  </si>
  <si>
    <t>P785</t>
  </si>
  <si>
    <t>P4554</t>
  </si>
  <si>
    <t>P4890</t>
  </si>
  <si>
    <t>P3895</t>
  </si>
  <si>
    <t>P705</t>
  </si>
  <si>
    <t>P1417</t>
  </si>
  <si>
    <t>P2355</t>
  </si>
  <si>
    <t>P844</t>
  </si>
  <si>
    <t>P2394</t>
  </si>
  <si>
    <t>P3264</t>
  </si>
  <si>
    <t>P977</t>
  </si>
  <si>
    <t>P1137</t>
  </si>
  <si>
    <t>P1333</t>
  </si>
  <si>
    <t>P2049</t>
  </si>
  <si>
    <t>P926</t>
  </si>
  <si>
    <t>P3869</t>
  </si>
  <si>
    <t>P4283</t>
  </si>
  <si>
    <t>P564</t>
  </si>
  <si>
    <t>P1582</t>
  </si>
  <si>
    <t>P1880</t>
  </si>
  <si>
    <t>P896</t>
  </si>
  <si>
    <t>P3513</t>
  </si>
  <si>
    <t>P4345</t>
  </si>
  <si>
    <t>P4974</t>
  </si>
  <si>
    <t>P685</t>
  </si>
  <si>
    <t>P1922</t>
  </si>
  <si>
    <t>P4016</t>
  </si>
  <si>
    <t>P1340</t>
  </si>
  <si>
    <t>P3163</t>
  </si>
  <si>
    <t>P290</t>
  </si>
  <si>
    <t>P3389</t>
  </si>
  <si>
    <t>P614</t>
  </si>
  <si>
    <t>P3332</t>
  </si>
  <si>
    <t>P1999</t>
  </si>
  <si>
    <t>P3719</t>
  </si>
  <si>
    <t>P3375</t>
  </si>
  <si>
    <t>P2762</t>
  </si>
  <si>
    <t>P1870</t>
  </si>
  <si>
    <t>P88</t>
  </si>
  <si>
    <t>P4997</t>
  </si>
  <si>
    <t>P4429</t>
  </si>
  <si>
    <t>P1636</t>
  </si>
  <si>
    <t>P342</t>
  </si>
  <si>
    <t>P3238</t>
  </si>
  <si>
    <t>P1267</t>
  </si>
  <si>
    <t>P4758</t>
  </si>
  <si>
    <t>P4204</t>
  </si>
  <si>
    <t>P4014</t>
  </si>
  <si>
    <t>P704</t>
  </si>
  <si>
    <t>P771</t>
  </si>
  <si>
    <t>P4877</t>
  </si>
  <si>
    <t>P3613</t>
  </si>
  <si>
    <t>P1745</t>
  </si>
  <si>
    <t>P1544</t>
  </si>
  <si>
    <t>P3181</t>
  </si>
  <si>
    <t>P2704</t>
  </si>
  <si>
    <t>P29</t>
  </si>
  <si>
    <t>P22</t>
  </si>
  <si>
    <t>P1962</t>
  </si>
  <si>
    <t>P4258</t>
  </si>
  <si>
    <t>P106</t>
  </si>
  <si>
    <t>P1682</t>
  </si>
  <si>
    <t>P3261</t>
  </si>
  <si>
    <t>P1192</t>
  </si>
  <si>
    <t>P526</t>
  </si>
  <si>
    <t>P2521</t>
  </si>
  <si>
    <t>P1986</t>
  </si>
  <si>
    <t>P1516</t>
  </si>
  <si>
    <t>P2749</t>
  </si>
  <si>
    <t>P151</t>
  </si>
  <si>
    <t>P3258</t>
  </si>
  <si>
    <t>P4446</t>
  </si>
  <si>
    <t>P1597</t>
  </si>
  <si>
    <t>P2082</t>
  </si>
  <si>
    <t>P2472</t>
  </si>
  <si>
    <t>P3192</t>
  </si>
  <si>
    <t>P2923</t>
  </si>
  <si>
    <t>P3599</t>
  </si>
  <si>
    <t>P3787</t>
  </si>
  <si>
    <t>P4083</t>
  </si>
  <si>
    <t>P1049</t>
  </si>
  <si>
    <t>P1807</t>
  </si>
  <si>
    <t>P1411</t>
  </si>
  <si>
    <t>P3010</t>
  </si>
  <si>
    <t>P2843</t>
  </si>
  <si>
    <t>P3811</t>
  </si>
  <si>
    <t>P3229</t>
  </si>
  <si>
    <t>P1256</t>
  </si>
  <si>
    <t>P895</t>
  </si>
  <si>
    <t>P4412</t>
  </si>
  <si>
    <t>P656</t>
  </si>
  <si>
    <t>P1679</t>
  </si>
  <si>
    <t>P4628</t>
  </si>
  <si>
    <t>P2636</t>
  </si>
  <si>
    <t>P82</t>
  </si>
  <si>
    <t>P3016</t>
  </si>
  <si>
    <t>P1809</t>
  </si>
  <si>
    <t>P4885</t>
  </si>
  <si>
    <t>P2565</t>
  </si>
  <si>
    <t>P4394</t>
  </si>
  <si>
    <t>P2086</t>
  </si>
  <si>
    <t>P1291</t>
  </si>
  <si>
    <t>P11</t>
  </si>
  <si>
    <t>P4285</t>
  </si>
  <si>
    <t>P2868</t>
  </si>
  <si>
    <t>P4483</t>
  </si>
  <si>
    <t>P3629</t>
  </si>
  <si>
    <t>P4087</t>
  </si>
  <si>
    <t>P4711</t>
  </si>
  <si>
    <t>P1523</t>
  </si>
  <si>
    <t>P3746</t>
  </si>
  <si>
    <t>P3604</t>
  </si>
  <si>
    <t>P832</t>
  </si>
  <si>
    <t>P3039</t>
  </si>
  <si>
    <t>P1093</t>
  </si>
  <si>
    <t>P4451</t>
  </si>
  <si>
    <t>P2771</t>
  </si>
  <si>
    <t>P4471</t>
  </si>
  <si>
    <t>P3333</t>
  </si>
  <si>
    <t>P4293</t>
  </si>
  <si>
    <t>P117</t>
  </si>
  <si>
    <t>P194</t>
  </si>
  <si>
    <t>P2453</t>
  </si>
  <si>
    <t>P4564</t>
  </si>
  <si>
    <t>P3950</t>
  </si>
  <si>
    <t>P2874</t>
  </si>
  <si>
    <t>P2906</t>
  </si>
  <si>
    <t>P1442</t>
  </si>
  <si>
    <t>P3103</t>
  </si>
  <si>
    <t>P1905</t>
  </si>
  <si>
    <t>P751</t>
  </si>
  <si>
    <t>P4384</t>
  </si>
  <si>
    <t>P3342</t>
  </si>
  <si>
    <t>P530</t>
  </si>
  <si>
    <t>P2238</t>
  </si>
  <si>
    <t>P1427</t>
  </si>
  <si>
    <t>P1753</t>
  </si>
  <si>
    <t>P2555</t>
  </si>
  <si>
    <t>P2402</t>
  </si>
  <si>
    <t>P2476</t>
  </si>
  <si>
    <t>P2477</t>
  </si>
  <si>
    <t>P4969</t>
  </si>
  <si>
    <t>P3281</t>
  </si>
  <si>
    <t>P2152</t>
  </si>
  <si>
    <t>P4679</t>
  </si>
  <si>
    <t>P2776</t>
  </si>
  <si>
    <t>P4813</t>
  </si>
  <si>
    <t>P3199</t>
  </si>
  <si>
    <t>P1138</t>
  </si>
  <si>
    <t>P1936</t>
  </si>
  <si>
    <t>P4390</t>
  </si>
  <si>
    <t>P3617</t>
  </si>
  <si>
    <t>P528</t>
  </si>
  <si>
    <t>P3434</t>
  </si>
  <si>
    <t>P4985</t>
  </si>
  <si>
    <t>P2478</t>
  </si>
  <si>
    <t>P4690</t>
  </si>
  <si>
    <t>P4521</t>
  </si>
  <si>
    <t>P1215</t>
  </si>
  <si>
    <t>P557</t>
  </si>
  <si>
    <t>P2951</t>
  </si>
  <si>
    <t>P2641</t>
  </si>
  <si>
    <t>P2638</t>
  </si>
  <si>
    <t>P2294</t>
  </si>
  <si>
    <t>P3392</t>
  </si>
  <si>
    <t>P991</t>
  </si>
  <si>
    <t>P2851</t>
  </si>
  <si>
    <t>P894</t>
  </si>
  <si>
    <t>P407</t>
  </si>
  <si>
    <t>P4763</t>
  </si>
  <si>
    <t>P3628</t>
  </si>
  <si>
    <t>P1055</t>
  </si>
  <si>
    <t>P4854</t>
  </si>
  <si>
    <t>P2159</t>
  </si>
  <si>
    <t>P3741</t>
  </si>
  <si>
    <t>P119</t>
  </si>
  <si>
    <t>P4179</t>
  </si>
  <si>
    <t>P2047</t>
  </si>
  <si>
    <t>P3925</t>
  </si>
  <si>
    <t>P4747</t>
  </si>
  <si>
    <t>P3422</t>
  </si>
  <si>
    <t>P2795</t>
  </si>
  <si>
    <t>P3569</t>
  </si>
  <si>
    <t>P3341</t>
  </si>
  <si>
    <t>P879</t>
  </si>
  <si>
    <t>P2698</t>
  </si>
  <si>
    <t>P4986</t>
  </si>
  <si>
    <t>P726</t>
  </si>
  <si>
    <t>P4426</t>
  </si>
  <si>
    <t>P1321</t>
  </si>
  <si>
    <t>P3810</t>
  </si>
  <si>
    <t>P2231</t>
  </si>
  <si>
    <t>P4802</t>
  </si>
  <si>
    <t>P3278</t>
  </si>
  <si>
    <t>P827</t>
  </si>
  <si>
    <t>P2966</t>
  </si>
  <si>
    <t>P3439</t>
  </si>
  <si>
    <t>P3827</t>
  </si>
  <si>
    <t>P433</t>
  </si>
  <si>
    <t>P130</t>
  </si>
  <si>
    <t>P2745</t>
  </si>
  <si>
    <t>P4798</t>
  </si>
  <si>
    <t>P3243</t>
  </si>
  <si>
    <t>P4823</t>
  </si>
  <si>
    <t>P994</t>
  </si>
  <si>
    <t>P2262</t>
  </si>
  <si>
    <t>P3431</t>
  </si>
  <si>
    <t>P3196</t>
  </si>
  <si>
    <t>P291</t>
  </si>
  <si>
    <t>P4597</t>
  </si>
  <si>
    <t>P1847</t>
  </si>
  <si>
    <t>P4410</t>
  </si>
  <si>
    <t>P201</t>
  </si>
  <si>
    <t>P1188</t>
  </si>
  <si>
    <t>P3310</t>
  </si>
  <si>
    <t>P4962</t>
  </si>
  <si>
    <t>P2987</t>
  </si>
  <si>
    <t>P158</t>
  </si>
  <si>
    <t>P2393</t>
  </si>
  <si>
    <t>P3003</t>
  </si>
  <si>
    <t>P1630</t>
  </si>
  <si>
    <t>P3515</t>
  </si>
  <si>
    <t>P1114</t>
  </si>
  <si>
    <t>P3070</t>
  </si>
  <si>
    <t>P2760</t>
  </si>
  <si>
    <t>P2103</t>
  </si>
  <si>
    <t>P1898</t>
  </si>
  <si>
    <t>P233</t>
  </si>
  <si>
    <t>P3099</t>
  </si>
  <si>
    <t>P3547</t>
  </si>
  <si>
    <t>P1503</t>
  </si>
  <si>
    <t>P349</t>
  </si>
  <si>
    <t>P4803</t>
  </si>
  <si>
    <t>P4755</t>
  </si>
  <si>
    <t>P4916</t>
  </si>
  <si>
    <t>P1147</t>
  </si>
  <si>
    <t>P1452</t>
  </si>
  <si>
    <t>P3481</t>
  </si>
  <si>
    <t>P825</t>
  </si>
  <si>
    <t>P1375</t>
  </si>
  <si>
    <t>P92</t>
  </si>
  <si>
    <t>P4737</t>
  </si>
  <si>
    <t>P4280</t>
  </si>
  <si>
    <t>P2151</t>
  </si>
  <si>
    <t>P644</t>
  </si>
  <si>
    <t>P500</t>
  </si>
  <si>
    <t>P571</t>
  </si>
  <si>
    <t>P4555</t>
  </si>
  <si>
    <t>P2661</t>
  </si>
  <si>
    <t>P4928</t>
  </si>
  <si>
    <t>P3324</t>
  </si>
  <si>
    <t>P1317</t>
  </si>
  <si>
    <t>P499</t>
  </si>
  <si>
    <t>P2459</t>
  </si>
  <si>
    <t>P4415</t>
  </si>
  <si>
    <t>P922</t>
  </si>
  <si>
    <t>P1806</t>
  </si>
  <si>
    <t>P2937</t>
  </si>
  <si>
    <t>P2562</t>
  </si>
  <si>
    <t>P3929</t>
  </si>
  <si>
    <t>P77</t>
  </si>
  <si>
    <t>P589</t>
  </si>
  <si>
    <t>P540</t>
  </si>
  <si>
    <t>P2157</t>
  </si>
  <si>
    <t>P2240</t>
  </si>
  <si>
    <t>P968</t>
  </si>
  <si>
    <t>P383</t>
  </si>
  <si>
    <t>P947</t>
  </si>
  <si>
    <t>P2618</t>
  </si>
  <si>
    <t>P3782</t>
  </si>
  <si>
    <t>P861</t>
  </si>
  <si>
    <t>P4495</t>
  </si>
  <si>
    <t>P3459</t>
  </si>
  <si>
    <t>P4355</t>
  </si>
  <si>
    <t>P4187</t>
  </si>
  <si>
    <t>P170</t>
  </si>
  <si>
    <t>P2981</t>
  </si>
  <si>
    <t>P4312</t>
  </si>
  <si>
    <t>P305</t>
  </si>
  <si>
    <t>P1815</t>
  </si>
  <si>
    <t>P1817</t>
  </si>
  <si>
    <t>P1266</t>
  </si>
  <si>
    <t>P4210</t>
  </si>
  <si>
    <t>P1816</t>
  </si>
  <si>
    <t>P766</t>
  </si>
  <si>
    <t>P3999</t>
  </si>
  <si>
    <t>P1889</t>
  </si>
  <si>
    <t>P1955</t>
  </si>
  <si>
    <t>P4288</t>
  </si>
  <si>
    <t>P3691</t>
  </si>
  <si>
    <t>P4367</t>
  </si>
  <si>
    <t>P711</t>
  </si>
  <si>
    <t>P585</t>
  </si>
  <si>
    <t>P435</t>
  </si>
  <si>
    <t>P2000</t>
  </si>
  <si>
    <t>P3290</t>
  </si>
  <si>
    <t>P490</t>
  </si>
  <si>
    <t>P4378</t>
  </si>
  <si>
    <t>P3017</t>
  </si>
  <si>
    <t>P1394</t>
  </si>
  <si>
    <t>P2009</t>
  </si>
  <si>
    <t>P4137</t>
  </si>
  <si>
    <t>P4068</t>
  </si>
  <si>
    <t>P115</t>
  </si>
  <si>
    <t>P2869</t>
  </si>
  <si>
    <t>P983</t>
  </si>
  <si>
    <t>P4162</t>
  </si>
  <si>
    <t>P1783</t>
  </si>
  <si>
    <t>P218</t>
  </si>
  <si>
    <t>P2170</t>
  </si>
  <si>
    <t>P2954</t>
  </si>
  <si>
    <t>P2800</t>
  </si>
  <si>
    <t>P4000</t>
  </si>
  <si>
    <t>P2460</t>
  </si>
  <si>
    <t>P753</t>
  </si>
  <si>
    <t>P3632</t>
  </si>
  <si>
    <t>P2003</t>
  </si>
  <si>
    <t>P2773</t>
  </si>
  <si>
    <t>P1650</t>
  </si>
  <si>
    <t>P4574</t>
  </si>
  <si>
    <t>P4080</t>
  </si>
  <si>
    <t>P1120</t>
  </si>
  <si>
    <t>P4547</t>
  </si>
  <si>
    <t>P1830</t>
  </si>
  <si>
    <t>P4667</t>
  </si>
  <si>
    <t>P1268</t>
  </si>
  <si>
    <t>P4847</t>
  </si>
  <si>
    <t>P3507</t>
  </si>
  <si>
    <t>P1271</t>
  </si>
  <si>
    <t>P2101</t>
  </si>
  <si>
    <t>P2442</t>
  </si>
  <si>
    <t>P2829</t>
  </si>
  <si>
    <t>P559</t>
  </si>
  <si>
    <t>P2018</t>
  </si>
  <si>
    <t>P3058</t>
  </si>
  <si>
    <t>P3112</t>
  </si>
  <si>
    <t>P127</t>
  </si>
  <si>
    <t>P1655</t>
  </si>
  <si>
    <t>P4279</t>
  </si>
  <si>
    <t>P1586</t>
  </si>
  <si>
    <t>P2854</t>
  </si>
  <si>
    <t>P467</t>
  </si>
  <si>
    <t>P1295</t>
  </si>
  <si>
    <t>P4250</t>
  </si>
  <si>
    <t>P2608</t>
  </si>
  <si>
    <t>P4826</t>
  </si>
  <si>
    <t>P228</t>
  </si>
  <si>
    <t>P4252</t>
  </si>
  <si>
    <t>P3701</t>
  </si>
  <si>
    <t>P1640</t>
  </si>
  <si>
    <t>P2508</t>
  </si>
  <si>
    <t>P2052</t>
  </si>
  <si>
    <t>P4488</t>
  </si>
  <si>
    <t>P1611</t>
  </si>
  <si>
    <t>P425</t>
  </si>
  <si>
    <t>P2853</t>
  </si>
  <si>
    <t>P2239</t>
  </si>
  <si>
    <t>P413</t>
  </si>
  <si>
    <t>P3858</t>
  </si>
  <si>
    <t>P3007</t>
  </si>
  <si>
    <t>P1368</t>
  </si>
  <si>
    <t>P781</t>
  </si>
  <si>
    <t>P2079</t>
  </si>
  <si>
    <t>P79</t>
  </si>
  <si>
    <t>P1620</t>
  </si>
  <si>
    <t>P3703</t>
  </si>
  <si>
    <t>P3829</t>
  </si>
  <si>
    <t>P3670</t>
  </si>
  <si>
    <t>P322</t>
  </si>
  <si>
    <t>P1792</t>
  </si>
  <si>
    <t>P3311</t>
  </si>
  <si>
    <t>P2578</t>
  </si>
  <si>
    <t>P2378</t>
  </si>
  <si>
    <t>P2503</t>
  </si>
  <si>
    <t>P4160</t>
  </si>
  <si>
    <t>P2218</t>
  </si>
  <si>
    <t>P3411</t>
  </si>
  <si>
    <t>P1906</t>
  </si>
  <si>
    <t>P1455</t>
  </si>
  <si>
    <t>P2828</t>
  </si>
  <si>
    <t>P2276</t>
  </si>
  <si>
    <t>P121</t>
  </si>
  <si>
    <t>P4753</t>
  </si>
  <si>
    <t>P622</t>
  </si>
  <si>
    <t>P2165</t>
  </si>
  <si>
    <t>P357</t>
  </si>
  <si>
    <t>P4689</t>
  </si>
  <si>
    <t>P1272</t>
  </si>
  <si>
    <t>P4289</t>
  </si>
  <si>
    <t>P4781</t>
  </si>
  <si>
    <t>P3104</t>
  </si>
  <si>
    <t>P4662</t>
  </si>
  <si>
    <t>P1078</t>
  </si>
  <si>
    <t>P2318</t>
  </si>
  <si>
    <t>P3910</t>
  </si>
  <si>
    <t>P3280</t>
  </si>
  <si>
    <t>P424</t>
  </si>
  <si>
    <t>P3867</t>
  </si>
  <si>
    <t>P3113</t>
  </si>
  <si>
    <t>P3204</t>
  </si>
  <si>
    <t>P3376</t>
  </si>
  <si>
    <t>P1097</t>
  </si>
  <si>
    <t>P4325</t>
  </si>
  <si>
    <t>P1424</t>
  </si>
  <si>
    <t>P2896</t>
  </si>
  <si>
    <t>P3348</t>
  </si>
  <si>
    <t>P4203</t>
  </si>
  <si>
    <t>P1279</t>
  </si>
  <si>
    <t>P988</t>
  </si>
  <si>
    <t>P3876</t>
  </si>
  <si>
    <t>P3149</t>
  </si>
  <si>
    <t>P4968</t>
  </si>
  <si>
    <t>P3315</t>
  </si>
  <si>
    <t>P1602</t>
  </si>
  <si>
    <t>P1309</t>
  </si>
  <si>
    <t>P3537</t>
  </si>
  <si>
    <t>P3175</t>
  </si>
  <si>
    <t>P498</t>
  </si>
  <si>
    <t>P1662</t>
  </si>
  <si>
    <t>P4324</t>
  </si>
  <si>
    <t>P224</t>
  </si>
  <si>
    <t>P1560</t>
  </si>
  <si>
    <t>P450</t>
  </si>
  <si>
    <t>P308</t>
  </si>
  <si>
    <t>P3967</t>
  </si>
  <si>
    <t>P4158</t>
  </si>
  <si>
    <t>P703</t>
  </si>
  <si>
    <t>P2265</t>
  </si>
  <si>
    <t>P770</t>
  </si>
  <si>
    <t>P2255</t>
  </si>
  <si>
    <t>P4044</t>
  </si>
  <si>
    <t>P3390</t>
  </si>
  <si>
    <t>P1985</t>
  </si>
  <si>
    <t>P964</t>
  </si>
  <si>
    <t>P1112</t>
  </si>
  <si>
    <t>P3567</t>
  </si>
  <si>
    <t>P372</t>
  </si>
  <si>
    <t>P4507</t>
  </si>
  <si>
    <t>P917</t>
  </si>
  <si>
    <t>P4440</t>
  </si>
  <si>
    <t>P2656</t>
  </si>
  <si>
    <t>P3123</t>
  </si>
  <si>
    <t>P132</t>
  </si>
  <si>
    <t>P209</t>
  </si>
  <si>
    <t>P1222</t>
  </si>
  <si>
    <t>P1808</t>
  </si>
  <si>
    <t>P3766</t>
  </si>
  <si>
    <t>P1171</t>
  </si>
  <si>
    <t>P1862</t>
  </si>
  <si>
    <t>P721</t>
  </si>
  <si>
    <t>P1357</t>
  </si>
  <si>
    <t>P4764</t>
  </si>
  <si>
    <t>P3821</t>
  </si>
  <si>
    <t>P3933</t>
  </si>
  <si>
    <t>P2977</t>
  </si>
  <si>
    <t>P3302</t>
  </si>
  <si>
    <t>P1552</t>
  </si>
  <si>
    <t>P2640</t>
  </si>
  <si>
    <t>P288</t>
  </si>
  <si>
    <t>P984</t>
  </si>
  <si>
    <t>P501</t>
  </si>
  <si>
    <t>P1801</t>
  </si>
  <si>
    <t>P549</t>
  </si>
  <si>
    <t>P3477</t>
  </si>
  <si>
    <t>P2831</t>
  </si>
  <si>
    <t>P1047</t>
  </si>
  <si>
    <t>P4284</t>
  </si>
  <si>
    <t>P3655</t>
  </si>
  <si>
    <t>P3801</t>
  </si>
  <si>
    <t>P1987</t>
  </si>
  <si>
    <t>P1473</t>
  </si>
  <si>
    <t>P1017</t>
  </si>
  <si>
    <t>P3361</t>
  </si>
  <si>
    <t>P2467</t>
  </si>
  <si>
    <t>P1841</t>
  </si>
  <si>
    <t>P2036</t>
  </si>
  <si>
    <t>P4052</t>
  </si>
  <si>
    <t>P3941</t>
  </si>
  <si>
    <t>P190</t>
  </si>
  <si>
    <t>P1669</t>
  </si>
  <si>
    <t>P2126</t>
  </si>
  <si>
    <t>P4126</t>
  </si>
  <si>
    <t>P4957</t>
  </si>
  <si>
    <t>P3896</t>
  </si>
  <si>
    <t>P679</t>
  </si>
  <si>
    <t>P2675</t>
  </si>
  <si>
    <t>P180</t>
  </si>
  <si>
    <t>P3855</t>
  </si>
  <si>
    <t>P1399</t>
  </si>
  <si>
    <t>P4067</t>
  </si>
  <si>
    <t>P4041</t>
  </si>
  <si>
    <t>P3705</t>
  </si>
  <si>
    <t>P4085</t>
  </si>
  <si>
    <t>P2130</t>
  </si>
  <si>
    <t>P1856</t>
  </si>
  <si>
    <t>P4461</t>
  </si>
  <si>
    <t>P4307</t>
  </si>
  <si>
    <t>P4295</t>
  </si>
  <si>
    <t>P3169</t>
  </si>
  <si>
    <t>P2051</t>
  </si>
  <si>
    <t>P341</t>
  </si>
  <si>
    <t>P1323</t>
  </si>
  <si>
    <t>P279</t>
  </si>
  <si>
    <t>P4066</t>
  </si>
  <si>
    <t>P1569</t>
  </si>
  <si>
    <t>P4268</t>
  </si>
  <si>
    <t>P795</t>
  </si>
  <si>
    <t>P1619</t>
  </si>
  <si>
    <t>P3424</t>
  </si>
  <si>
    <t>P418</t>
  </si>
  <si>
    <t>P3308</t>
  </si>
  <si>
    <t>P596</t>
  </si>
  <si>
    <t>P2648</t>
  </si>
  <si>
    <t>P1904</t>
  </si>
  <si>
    <t>P4098</t>
  </si>
  <si>
    <t>P4504</t>
  </si>
  <si>
    <t>P3451</t>
  </si>
  <si>
    <t>P4965</t>
  </si>
  <si>
    <t>P1833</t>
  </si>
  <si>
    <t>P723</t>
  </si>
  <si>
    <t>P2913</t>
  </si>
  <si>
    <t>P3969</t>
  </si>
  <si>
    <t>P665</t>
  </si>
  <si>
    <t>P2567</t>
  </si>
  <si>
    <t>P1461</t>
  </si>
  <si>
    <t>P1519</t>
  </si>
  <si>
    <t>P2904</t>
  </si>
  <si>
    <t>P2728</t>
  </si>
  <si>
    <t>P2551</t>
  </si>
  <si>
    <t>P366</t>
  </si>
  <si>
    <t>P2102</t>
  </si>
  <si>
    <t>P1463</t>
  </si>
  <si>
    <t>P2163</t>
  </si>
  <si>
    <t>P4783</t>
  </si>
  <si>
    <t>P2137</t>
  </si>
  <si>
    <t>P4977</t>
  </si>
  <si>
    <t>P1559</t>
  </si>
  <si>
    <t>P3074</t>
  </si>
  <si>
    <t>P3828</t>
  </si>
  <si>
    <t>P3458</t>
  </si>
  <si>
    <t>P3959</t>
  </si>
  <si>
    <t>P1070</t>
  </si>
  <si>
    <t>P1566</t>
  </si>
  <si>
    <t>P763</t>
  </si>
  <si>
    <t>P729</t>
  </si>
  <si>
    <t>P1910</t>
  </si>
  <si>
    <t>P4479</t>
  </si>
  <si>
    <t>P3245</t>
  </si>
  <si>
    <t>P4527</t>
  </si>
  <si>
    <t>P351</t>
  </si>
  <si>
    <t>P762</t>
  </si>
  <si>
    <t>P1189</t>
  </si>
  <si>
    <t>P841</t>
  </si>
  <si>
    <t>P3231</t>
  </si>
  <si>
    <t>P2973</t>
  </si>
  <si>
    <t>P2447</t>
  </si>
  <si>
    <t>P2660</t>
  </si>
  <si>
    <t>P243</t>
  </si>
  <si>
    <t>P2754</t>
  </si>
  <si>
    <t>P2081</t>
  </si>
  <si>
    <t>P72</t>
  </si>
  <si>
    <t>P4026</t>
  </si>
  <si>
    <t>P1502</t>
  </si>
  <si>
    <t>P3803</t>
  </si>
  <si>
    <t>P2560</t>
  </si>
  <si>
    <t>P3382</t>
  </si>
  <si>
    <t>P1703</t>
  </si>
  <si>
    <t>P4640</t>
  </si>
  <si>
    <t>P254</t>
  </si>
  <si>
    <t>P1153</t>
  </si>
  <si>
    <t>P3340</t>
  </si>
  <si>
    <t>P2027</t>
  </si>
  <si>
    <t>P934</t>
  </si>
  <si>
    <t>P967</t>
  </si>
  <si>
    <t>P98</t>
  </si>
  <si>
    <t>P3284</t>
  </si>
  <si>
    <t>P2440</t>
  </si>
  <si>
    <t>P3724</t>
  </si>
  <si>
    <t>P4533</t>
  </si>
  <si>
    <t>P4559</t>
  </si>
  <si>
    <t>P800</t>
  </si>
  <si>
    <t>P4817</t>
  </si>
  <si>
    <t>P873</t>
  </si>
  <si>
    <t>P558</t>
  </si>
  <si>
    <t>P1748</t>
  </si>
  <si>
    <t>P3073</t>
  </si>
  <si>
    <t>P2283</t>
  </si>
  <si>
    <t>P369</t>
  </si>
  <si>
    <t>P4277</t>
  </si>
  <si>
    <t>P462</t>
  </si>
  <si>
    <t>P4230</t>
  </si>
  <si>
    <t>P1825</t>
  </si>
  <si>
    <t>P4668</t>
  </si>
  <si>
    <t>P3812</t>
  </si>
  <si>
    <t>P710</t>
  </si>
  <si>
    <t>P3795</t>
  </si>
  <si>
    <t>P534</t>
  </si>
  <si>
    <t>P309</t>
  </si>
  <si>
    <t>P2055</t>
  </si>
  <si>
    <t>P1152</t>
  </si>
  <si>
    <t>P804</t>
  </si>
  <si>
    <t>P725</t>
  </si>
  <si>
    <t>P1592</t>
  </si>
  <si>
    <t>P163</t>
  </si>
  <si>
    <t>P2298</t>
  </si>
  <si>
    <t>P1216</t>
  </si>
  <si>
    <t>P987</t>
  </si>
  <si>
    <t>P3626</t>
  </si>
  <si>
    <t>P2189</t>
  </si>
  <si>
    <t>P4870</t>
  </si>
  <si>
    <t>P149</t>
  </si>
  <si>
    <t>P4903</t>
  </si>
  <si>
    <t>P2305</t>
  </si>
  <si>
    <t>P2108</t>
  </si>
  <si>
    <t>P651</t>
  </si>
  <si>
    <t>P1045</t>
  </si>
  <si>
    <t>P3861</t>
  </si>
  <si>
    <t>P94</t>
  </si>
  <si>
    <t>P636</t>
  </si>
  <si>
    <t>P2810</t>
  </si>
  <si>
    <t>P4323</t>
  </si>
  <si>
    <t>P3461</t>
  </si>
  <si>
    <t>P4263</t>
  </si>
  <si>
    <t>P4216</t>
  </si>
  <si>
    <t>P4975</t>
  </si>
  <si>
    <t>P613</t>
  </si>
  <si>
    <t>P3808</t>
  </si>
  <si>
    <t>P4262</t>
  </si>
  <si>
    <t>P4580</t>
  </si>
  <si>
    <t>P1704</t>
  </si>
  <si>
    <t>P1531</t>
  </si>
  <si>
    <t>P3678</t>
  </si>
  <si>
    <t>P3215</t>
  </si>
  <si>
    <t>P4301</t>
  </si>
  <si>
    <t>P314</t>
  </si>
  <si>
    <t>P3219</t>
  </si>
  <si>
    <t>P3799</t>
  </si>
  <si>
    <t>P476</t>
  </si>
  <si>
    <t>P1872</t>
  </si>
  <si>
    <t>P1341</t>
  </si>
  <si>
    <t>P2964</t>
  </si>
  <si>
    <t>P3834</t>
  </si>
  <si>
    <t>P1736</t>
  </si>
  <si>
    <t>P3161</t>
  </si>
  <si>
    <t>P3642</t>
  </si>
  <si>
    <t>P2899</t>
  </si>
  <si>
    <t>P4880</t>
  </si>
  <si>
    <t>P2664</t>
  </si>
  <si>
    <t>P2500</t>
  </si>
  <si>
    <t>P3730</t>
  </si>
  <si>
    <t>P1771</t>
  </si>
  <si>
    <t>P178</t>
  </si>
  <si>
    <t>P1591</t>
  </si>
  <si>
    <t>P3759</t>
  </si>
  <si>
    <t>P4477</t>
  </si>
  <si>
    <t>P4666</t>
  </si>
  <si>
    <t>P4895</t>
  </si>
  <si>
    <t>P3976</t>
  </si>
  <si>
    <t>P1835</t>
  </si>
  <si>
    <t>P3141</t>
  </si>
  <si>
    <t>P3394</t>
  </si>
  <si>
    <t>P4464</t>
  </si>
  <si>
    <t>P4635</t>
  </si>
  <si>
    <t>P1893</t>
  </si>
  <si>
    <t>P817</t>
  </si>
  <si>
    <t>P1951</t>
  </si>
  <si>
    <t>P3008</t>
  </si>
  <si>
    <t>P2928</t>
  </si>
  <si>
    <t>P4113</t>
  </si>
  <si>
    <t>P4009</t>
  </si>
  <si>
    <t>P4489</t>
  </si>
  <si>
    <t>P3438</t>
  </si>
  <si>
    <t>P933</t>
  </si>
  <si>
    <t>P3268</t>
  </si>
  <si>
    <t>P1860</t>
  </si>
  <si>
    <t>P1373</t>
  </si>
  <si>
    <t>P4427</t>
  </si>
  <si>
    <t>P3504</t>
  </si>
  <si>
    <t>P882</t>
  </si>
  <si>
    <t>P1667</t>
  </si>
  <si>
    <t>P4749</t>
  </si>
  <si>
    <t>P2356</t>
  </si>
  <si>
    <t>P326</t>
  </si>
  <si>
    <t>P3780</t>
  </si>
  <si>
    <t>P2691</t>
  </si>
  <si>
    <t>P949</t>
  </si>
  <si>
    <t>P2832</t>
  </si>
  <si>
    <t>P113</t>
  </si>
  <si>
    <t>P3505</t>
  </si>
  <si>
    <t>P1480</t>
  </si>
  <si>
    <t>P3320</t>
  </si>
  <si>
    <t>P1381</t>
  </si>
  <si>
    <t>P1306</t>
  </si>
  <si>
    <t>P2646</t>
  </si>
  <si>
    <t>P1570</t>
  </si>
  <si>
    <t>P4785</t>
  </si>
  <si>
    <t>P515</t>
  </si>
  <si>
    <t>P1016</t>
  </si>
  <si>
    <t>P1347</t>
  </si>
  <si>
    <t>P2097</t>
  </si>
  <si>
    <t>P214</t>
  </si>
  <si>
    <t>P1581</t>
  </si>
  <si>
    <t>P4108</t>
  </si>
  <si>
    <t>P4243</t>
  </si>
  <si>
    <t>P1719</t>
  </si>
  <si>
    <t>P3359</t>
  </si>
  <si>
    <t>P1776</t>
  </si>
  <si>
    <t>P2985</t>
  </si>
  <si>
    <t>P3516</t>
  </si>
  <si>
    <t>P1744</t>
  </si>
  <si>
    <t>P3256</t>
  </si>
  <si>
    <t>P4943</t>
  </si>
  <si>
    <t>P4611</t>
  </si>
  <si>
    <t>P1036</t>
  </si>
  <si>
    <t>P3503</t>
  </si>
  <si>
    <t>P2050</t>
  </si>
  <si>
    <t>P714</t>
  </si>
  <si>
    <t>P3082</t>
  </si>
  <si>
    <t>P1584</t>
  </si>
  <si>
    <t>P514</t>
  </si>
  <si>
    <t>P4117</t>
  </si>
  <si>
    <t>P1228</t>
  </si>
  <si>
    <t>P497</t>
  </si>
  <si>
    <t>P4651</t>
  </si>
  <si>
    <t>P510</t>
  </si>
  <si>
    <t>P2637</t>
  </si>
  <si>
    <t>P4186</t>
  </si>
  <si>
    <t>P4976</t>
  </si>
  <si>
    <t>P2187</t>
  </si>
  <si>
    <t>P4608</t>
  </si>
  <si>
    <t>P4926</t>
  </si>
  <si>
    <t>P1930</t>
  </si>
  <si>
    <t>P4251</t>
  </si>
  <si>
    <t>P3154</t>
  </si>
  <si>
    <t>P640</t>
  </si>
  <si>
    <t>P2458</t>
  </si>
  <si>
    <t>P2359</t>
  </si>
  <si>
    <t>P888</t>
  </si>
  <si>
    <t>P4493</t>
  </si>
  <si>
    <t>P423</t>
  </si>
  <si>
    <t>P1410</t>
  </si>
  <si>
    <t>P4332</t>
  </si>
  <si>
    <t>P878</t>
  </si>
  <si>
    <t>P4528</t>
  </si>
  <si>
    <t>P4373</t>
  </si>
  <si>
    <t>P3050</t>
  </si>
  <si>
    <t>P1050</t>
  </si>
  <si>
    <t>P2577</t>
  </si>
  <si>
    <t>P4773</t>
  </si>
  <si>
    <t>P1319</t>
  </si>
  <si>
    <t>P630</t>
  </si>
  <si>
    <t>P392</t>
  </si>
  <si>
    <t>P320</t>
  </si>
  <si>
    <t>P3383</t>
  </si>
  <si>
    <t>P2538</t>
  </si>
  <si>
    <t>P49</t>
  </si>
  <si>
    <t>P1352</t>
  </si>
  <si>
    <t>P4127</t>
  </si>
  <si>
    <t>P353</t>
  </si>
  <si>
    <t>P2445</t>
  </si>
  <si>
    <t>P1072</t>
  </si>
  <si>
    <t>P4153</t>
  </si>
  <si>
    <t>P780</t>
  </si>
  <si>
    <t>P4659</t>
  </si>
  <si>
    <t>P1180</t>
  </si>
  <si>
    <t>P1385</t>
  </si>
  <si>
    <t>P3036</t>
  </si>
  <si>
    <t>P1095</t>
  </si>
  <si>
    <t>P3155</t>
  </si>
  <si>
    <t>P1393</t>
  </si>
  <si>
    <t>P2958</t>
  </si>
  <si>
    <t>P4593</t>
  </si>
  <si>
    <t>P3559</t>
  </si>
  <si>
    <t>P1441</t>
  </si>
  <si>
    <t>P10</t>
  </si>
  <si>
    <t>P3536</t>
  </si>
  <si>
    <t>P970</t>
  </si>
  <si>
    <t>P3034</t>
  </si>
  <si>
    <t>P1916</t>
  </si>
  <si>
    <t>P4188</t>
  </si>
  <si>
    <t>P634</t>
  </si>
  <si>
    <t>P4200</t>
  </si>
  <si>
    <t>P1660</t>
  </si>
  <si>
    <t>P4616</t>
  </si>
  <si>
    <t>P3248</t>
  </si>
  <si>
    <t>P4587</t>
  </si>
  <si>
    <t>P3550</t>
  </si>
  <si>
    <t>P2032</t>
  </si>
  <si>
    <t>P1033</t>
  </si>
  <si>
    <t>P208</t>
  </si>
  <si>
    <t>P2454</t>
  </si>
  <si>
    <t>P2322</t>
  </si>
  <si>
    <t>P1971</t>
  </si>
  <si>
    <t>P283</t>
  </si>
  <si>
    <t>P3648</t>
  </si>
  <si>
    <t>P2142</t>
  </si>
  <si>
    <t>P2662</t>
  </si>
  <si>
    <t>P633</t>
  </si>
  <si>
    <t>P325</t>
  </si>
  <si>
    <t>P2549</t>
  </si>
  <si>
    <t>P2339</t>
  </si>
  <si>
    <t>P3087</t>
  </si>
  <si>
    <t>P2604</t>
  </si>
  <si>
    <t>P960</t>
  </si>
  <si>
    <t>P941</t>
  </si>
  <si>
    <t>P2493</t>
  </si>
  <si>
    <t>P2474</t>
  </si>
  <si>
    <t>P1004</t>
  </si>
  <si>
    <t>P3453</t>
  </si>
  <si>
    <t>P767</t>
  </si>
  <si>
    <t>P2185</t>
  </si>
  <si>
    <t>P3552</t>
  </si>
  <si>
    <t>P3517</t>
  </si>
  <si>
    <t>P2041</t>
  </si>
  <si>
    <t>P4194</t>
  </si>
  <si>
    <t>P1422</t>
  </si>
  <si>
    <t>P4031</t>
  </si>
  <si>
    <t>P756</t>
  </si>
  <si>
    <t>P3351</t>
  </si>
  <si>
    <t>P1464</t>
  </si>
  <si>
    <t>P226</t>
  </si>
  <si>
    <t>P55</t>
  </si>
  <si>
    <t>P3486</t>
  </si>
  <si>
    <t>P3712</t>
  </si>
  <si>
    <t>P2431</t>
  </si>
  <si>
    <t>P4897</t>
  </si>
  <si>
    <t>P4933</t>
  </si>
  <si>
    <t>P460</t>
  </si>
  <si>
    <t>P4632</t>
  </si>
  <si>
    <t>P4715</t>
  </si>
  <si>
    <t>P3083</t>
  </si>
  <si>
    <t>P4519</t>
  </si>
  <si>
    <t>P3352</t>
  </si>
  <si>
    <t>P1176</t>
  </si>
  <si>
    <t>P1853</t>
  </si>
  <si>
    <t>P2932</t>
  </si>
  <si>
    <t>P2292</t>
  </si>
  <si>
    <t>P1997</t>
  </si>
  <si>
    <t>P3314</t>
  </si>
  <si>
    <t>P4570</t>
  </si>
  <si>
    <t>P2772</t>
  </si>
  <si>
    <t>P359</t>
  </si>
  <si>
    <t>P1500</t>
  </si>
  <si>
    <t>P2197</t>
  </si>
  <si>
    <t>P4276</t>
  </si>
  <si>
    <t>P4512</t>
  </si>
  <si>
    <t>P71</t>
  </si>
  <si>
    <t>P1342</t>
  </si>
  <si>
    <t>P4012</t>
  </si>
  <si>
    <t>P3433</t>
  </si>
  <si>
    <t>P409</t>
  </si>
  <si>
    <t>P3252</t>
  </si>
  <si>
    <t>P3556</t>
  </si>
  <si>
    <t>P4290</t>
  </si>
  <si>
    <t>P3193</t>
  </si>
  <si>
    <t>P3558</t>
  </si>
  <si>
    <t>P4935</t>
  </si>
  <si>
    <t>P2043</t>
  </si>
  <si>
    <t>P4558</t>
  </si>
  <si>
    <t>P4467</t>
  </si>
  <si>
    <t>P3321</t>
  </si>
  <si>
    <t>P3841</t>
  </si>
  <si>
    <t>P20</t>
  </si>
  <si>
    <t>P1353</t>
  </si>
  <si>
    <t>P4024</t>
  </si>
  <si>
    <t>P3786</t>
  </si>
  <si>
    <t>P3532</t>
  </si>
  <si>
    <t>P2186</t>
  </si>
  <si>
    <t>P3899</t>
  </si>
  <si>
    <t>P1043</t>
  </si>
  <si>
    <t>P3054</t>
  </si>
  <si>
    <t>P1926</t>
  </si>
  <si>
    <t>P3343</t>
  </si>
  <si>
    <t>P2626</t>
  </si>
  <si>
    <t>P2706</t>
  </si>
  <si>
    <t>P3409</t>
  </si>
  <si>
    <t>P1799</t>
  </si>
  <si>
    <t>P2230</t>
  </si>
  <si>
    <t>P337</t>
  </si>
  <si>
    <t>P401</t>
  </si>
  <si>
    <t>P2</t>
  </si>
  <si>
    <t>P3365</t>
  </si>
  <si>
    <t>P2743</t>
  </si>
  <si>
    <t>P120</t>
  </si>
  <si>
    <t>P124</t>
  </si>
  <si>
    <t>P3449</t>
  </si>
  <si>
    <t>P428</t>
  </si>
  <si>
    <t>P664</t>
  </si>
  <si>
    <t>P4631</t>
  </si>
  <si>
    <t>P953</t>
  </si>
  <si>
    <t>P1431</t>
  </si>
  <si>
    <t>P3076</t>
  </si>
  <si>
    <t>P3776</t>
  </si>
  <si>
    <t>P2558</t>
  </si>
  <si>
    <t>P3939</t>
  </si>
  <si>
    <t>P626</t>
  </si>
  <si>
    <t>P75</t>
  </si>
  <si>
    <t>P4700</t>
  </si>
  <si>
    <t>P4541</t>
  </si>
  <si>
    <t>P385</t>
  </si>
  <si>
    <t>P2317</t>
  </si>
  <si>
    <t>P3598</t>
  </si>
  <si>
    <t>P4340</t>
  </si>
  <si>
    <t>P3718</t>
  </si>
  <si>
    <t>P4278</t>
  </si>
  <si>
    <t>P1167</t>
  </si>
  <si>
    <t>P1136</t>
  </si>
  <si>
    <t>P287</t>
  </si>
  <si>
    <t>P1708</t>
  </si>
  <si>
    <t>P973</t>
  </si>
  <si>
    <t>P1674</t>
  </si>
  <si>
    <t>P2368</t>
  </si>
  <si>
    <t>P1724</t>
  </si>
  <si>
    <t>P4748</t>
  </si>
  <si>
    <t>P3065</t>
  </si>
  <si>
    <t>P3194</t>
  </si>
  <si>
    <t>P3153</t>
  </si>
  <si>
    <t>P3572</t>
  </si>
  <si>
    <t>P4741</t>
  </si>
  <si>
    <t>P4815</t>
  </si>
  <si>
    <t>P1145</t>
  </si>
  <si>
    <t>P4687</t>
  </si>
  <si>
    <t>P3495</t>
  </si>
  <si>
    <t>P3548</t>
  </si>
  <si>
    <t>P3637</t>
  </si>
  <si>
    <t>P2258</t>
  </si>
  <si>
    <t>P4299</t>
  </si>
  <si>
    <t>P360</t>
  </si>
  <si>
    <t>P4318</t>
  </si>
  <si>
    <t>P3232</t>
  </si>
  <si>
    <t>P1546</t>
  </si>
  <si>
    <t>P2782</t>
  </si>
  <si>
    <t>P1491</t>
  </si>
  <si>
    <t>P1299</t>
  </si>
  <si>
    <t>P3582</t>
  </si>
  <si>
    <t>P2841</t>
  </si>
  <si>
    <t>P2995</t>
  </si>
  <si>
    <t>P1211</t>
  </si>
  <si>
    <t>P1419</t>
  </si>
  <si>
    <t>P381</t>
  </si>
  <si>
    <t>P1598</t>
  </si>
  <si>
    <t>P4319</t>
  </si>
  <si>
    <t>P4053</t>
  </si>
  <si>
    <t>P3528</t>
  </si>
  <si>
    <t>P4566</t>
  </si>
  <si>
    <t>P1109</t>
  </si>
  <si>
    <t>P595</t>
  </si>
  <si>
    <t>P1067</t>
  </si>
  <si>
    <t>P4723</t>
  </si>
  <si>
    <t>P3097</t>
  </si>
  <si>
    <t>P2289</t>
  </si>
  <si>
    <t>P4365</t>
  </si>
  <si>
    <t>P3476</t>
  </si>
  <si>
    <t>P1626</t>
  </si>
  <si>
    <t>P911</t>
  </si>
  <si>
    <t>P1676</t>
  </si>
  <si>
    <t>P3675</t>
  </si>
  <si>
    <t>P1472</t>
  </si>
  <si>
    <t>P522</t>
  </si>
  <si>
    <t>P631</t>
  </si>
  <si>
    <t>P27</t>
  </si>
  <si>
    <t>P4871</t>
  </si>
  <si>
    <t>P612</t>
  </si>
  <si>
    <t>P2945</t>
  </si>
  <si>
    <t>P2866</t>
  </si>
  <si>
    <t>P2542</t>
  </si>
  <si>
    <t>P2183</t>
  </si>
  <si>
    <t>P2587</t>
  </si>
  <si>
    <t>P2742</t>
  </si>
  <si>
    <t>P1326</t>
  </si>
  <si>
    <t>P1057</t>
  </si>
  <si>
    <t>P4966</t>
  </si>
  <si>
    <t>P2920</t>
  </si>
  <si>
    <t>P4515</t>
  </si>
  <si>
    <t>P1105</t>
  </si>
  <si>
    <t>P906</t>
  </si>
  <si>
    <t>P4886</t>
  </si>
  <si>
    <t>P3305</t>
  </si>
  <si>
    <t>P1874</t>
  </si>
  <si>
    <t>P454</t>
  </si>
  <si>
    <t>P3771</t>
  </si>
  <si>
    <t>P3336</t>
  </si>
  <si>
    <t>P1656</t>
  </si>
  <si>
    <t>P3620</t>
  </si>
  <si>
    <t>P3418</t>
  </si>
  <si>
    <t>P2099</t>
  </si>
  <si>
    <t>P3387</t>
  </si>
  <si>
    <t>P472</t>
  </si>
  <si>
    <t>P2115</t>
  </si>
  <si>
    <t>P3297</t>
  </si>
  <si>
    <t>P3399</t>
  </si>
  <si>
    <t>P195</t>
  </si>
  <si>
    <t>P3608</t>
  </si>
  <si>
    <t>P2504</t>
  </si>
  <si>
    <t>P358</t>
  </si>
  <si>
    <t>P1796</t>
  </si>
  <si>
    <t>P3589</t>
  </si>
  <si>
    <t>P4791</t>
  </si>
  <si>
    <t>P4333</t>
  </si>
  <si>
    <t>P4364</t>
  </si>
  <si>
    <t>P2182</t>
  </si>
  <si>
    <t>P3287</t>
  </si>
  <si>
    <t>P2826</t>
  </si>
  <si>
    <t>P2188</t>
  </si>
  <si>
    <t>P1359</t>
  </si>
  <si>
    <t>P3848</t>
  </si>
  <si>
    <t>P4423</t>
  </si>
  <si>
    <t>P447</t>
  </si>
  <si>
    <t>P4944</t>
  </si>
  <si>
    <t>P4286</t>
  </si>
  <si>
    <t>P2536</t>
  </si>
  <si>
    <t>P3052</t>
  </si>
  <si>
    <t>P3363</t>
  </si>
  <si>
    <t>P1978</t>
  </si>
  <si>
    <t>P2030</t>
  </si>
  <si>
    <t>P3668</t>
  </si>
  <si>
    <t>P1976</t>
  </si>
  <si>
    <t>P1132</t>
  </si>
  <si>
    <t>P4595</t>
  </si>
  <si>
    <t>P1096</t>
  </si>
  <si>
    <t>P1144</t>
  </si>
  <si>
    <t>P3131</t>
  </si>
  <si>
    <t>P391</t>
  </si>
  <si>
    <t>P2320</t>
  </si>
  <si>
    <t>P2519</t>
  </si>
  <si>
    <t>P4560</t>
  </si>
  <si>
    <t>P4496</t>
  </si>
  <si>
    <t>P659</t>
  </si>
  <si>
    <t>P1407</t>
  </si>
  <si>
    <t>P3374</t>
  </si>
  <si>
    <t>P18</t>
  </si>
  <si>
    <t>P150</t>
  </si>
  <si>
    <t>P1275</t>
  </si>
  <si>
    <t>P1415</t>
  </si>
  <si>
    <t>P4882</t>
  </si>
  <si>
    <t>P4502</t>
  </si>
  <si>
    <t>P4670</t>
  </si>
  <si>
    <t>P667</t>
  </si>
  <si>
    <t>P281</t>
  </si>
  <si>
    <t>P2323</t>
  </si>
  <si>
    <t>P4810</t>
  </si>
  <si>
    <t>P3170</t>
  </si>
  <si>
    <t>P323</t>
  </si>
  <si>
    <t>P2739</t>
  </si>
  <si>
    <t>P4945</t>
  </si>
  <si>
    <t>P4633</t>
  </si>
  <si>
    <t>P1729</t>
  </si>
  <si>
    <t>P1102</t>
  </si>
  <si>
    <t>P3241</t>
  </si>
  <si>
    <t>P4370</t>
  </si>
  <si>
    <t>P4509</t>
  </si>
  <si>
    <t>P4353</t>
  </si>
  <si>
    <t>P4820</t>
  </si>
  <si>
    <t>P658</t>
  </si>
  <si>
    <t>P1696</t>
  </si>
  <si>
    <t>P3561</t>
  </si>
  <si>
    <t>P712</t>
  </si>
  <si>
    <t>P3432</t>
  </si>
  <si>
    <t>P2653</t>
  </si>
  <si>
    <t>P2335</t>
  </si>
  <si>
    <t>P3412</t>
  </si>
  <si>
    <t>P867</t>
  </si>
  <si>
    <t>P1961</t>
  </si>
  <si>
    <t>P2269</t>
  </si>
  <si>
    <t>P2553</t>
  </si>
  <si>
    <t>P2006</t>
  </si>
  <si>
    <t>P1621</t>
  </si>
  <si>
    <t>P470</t>
  </si>
  <si>
    <t>P1172</t>
  </si>
  <si>
    <t>P1226</t>
  </si>
  <si>
    <t>P3616</t>
  </si>
  <si>
    <t>P4835</t>
  </si>
  <si>
    <t>P333</t>
  </si>
  <si>
    <t>P2171</t>
  </si>
  <si>
    <t>P1313</t>
  </si>
  <si>
    <t>P4717</t>
  </si>
  <si>
    <t>P2801</t>
  </si>
  <si>
    <t>P1420</t>
  </si>
  <si>
    <t>P855</t>
  </si>
  <si>
    <t>P1867</t>
  </si>
  <si>
    <t>P2008</t>
  </si>
  <si>
    <t>P1524</t>
  </si>
  <si>
    <t>P4624</t>
  </si>
  <si>
    <t>P2855</t>
  </si>
  <si>
    <t>P1890</t>
  </si>
  <si>
    <t>P2456</t>
  </si>
  <si>
    <t>P1436</t>
  </si>
  <si>
    <t>P4642</t>
  </si>
  <si>
    <t>P4396</t>
  </si>
  <si>
    <t>P4685</t>
  </si>
  <si>
    <t>P3715</t>
  </si>
  <si>
    <t>P2518</t>
  </si>
  <si>
    <t>P606</t>
  </si>
  <si>
    <t>P1318</t>
  </si>
  <si>
    <t>P809</t>
  </si>
  <si>
    <t>P3120</t>
  </si>
  <si>
    <t>P2603</t>
  </si>
  <si>
    <t>P4848</t>
  </si>
  <si>
    <t>P1565</t>
  </si>
  <si>
    <t>P3885</t>
  </si>
  <si>
    <t>P1558</t>
  </si>
  <si>
    <t>P937</t>
  </si>
  <si>
    <t>P4638</t>
  </si>
  <si>
    <t>P3179</t>
  </si>
  <si>
    <t>P2333</t>
  </si>
  <si>
    <t>P4584</t>
  </si>
  <si>
    <t>P3662</t>
  </si>
  <si>
    <t>P3543</t>
  </si>
  <si>
    <t>P1977</t>
  </si>
  <si>
    <t>P2004</t>
  </si>
  <si>
    <t>P3756</t>
  </si>
  <si>
    <t>P2300</t>
  </si>
  <si>
    <t>P3167</t>
  </si>
  <si>
    <t>P3698</t>
  </si>
  <si>
    <t>P3888</t>
  </si>
  <si>
    <t>P1494</t>
  </si>
  <si>
    <t>P4821</t>
  </si>
  <si>
    <t>P3872</t>
  </si>
  <si>
    <t>P1418</t>
  </si>
  <si>
    <t>P4629</t>
  </si>
  <si>
    <t>P4393</t>
  </si>
  <si>
    <t>P3804</t>
  </si>
  <si>
    <t>P3603</t>
  </si>
  <si>
    <t>P731</t>
  </si>
  <si>
    <t>P2246</t>
  </si>
  <si>
    <t>P4832</t>
  </si>
  <si>
    <t>P2093</t>
  </si>
  <si>
    <t>P2430</t>
  </si>
  <si>
    <t>P367</t>
  </si>
  <si>
    <t>P1727</t>
  </si>
  <si>
    <t>P1139</t>
  </si>
  <si>
    <t>P3643</t>
  </si>
  <si>
    <t>P3354</t>
  </si>
  <si>
    <t>P1187</t>
  </si>
  <si>
    <t>P3062</t>
  </si>
  <si>
    <t>P735</t>
  </si>
  <si>
    <t>P4308</t>
  </si>
  <si>
    <t>P3729</t>
  </si>
  <si>
    <t>P4577</t>
  </si>
  <si>
    <t>P3006</t>
  </si>
  <si>
    <t>P4908</t>
  </si>
  <si>
    <t>P4757</t>
  </si>
  <si>
    <t>P3997</t>
  </si>
  <si>
    <t>P2279</t>
  </si>
  <si>
    <t>P4938</t>
  </si>
  <si>
    <t>P3745</t>
  </si>
  <si>
    <t>P4643</t>
  </si>
  <si>
    <t>P2723</t>
  </si>
  <si>
    <t>P3463</t>
  </si>
  <si>
    <t>P182</t>
  </si>
  <si>
    <t>P1634</t>
  </si>
  <si>
    <t>P859</t>
  </si>
  <si>
    <t>P4402</t>
  </si>
  <si>
    <t>P463</t>
  </si>
  <si>
    <t>P4910</t>
  </si>
  <si>
    <t>P4739</t>
  </si>
  <si>
    <t>P3101</t>
  </si>
  <si>
    <t>P4941</t>
  </si>
  <si>
    <t>P1974</t>
  </si>
  <si>
    <t>P732</t>
  </si>
  <si>
    <t>P4140</t>
  </si>
  <si>
    <t>P1106</t>
  </si>
  <si>
    <t>P275</t>
  </si>
  <si>
    <t>P2175</t>
  </si>
  <si>
    <t>P3110</t>
  </si>
  <si>
    <t>P1765</t>
  </si>
  <si>
    <t>P2769</t>
  </si>
  <si>
    <t>P1950</t>
  </si>
  <si>
    <t>P1982</t>
  </si>
  <si>
    <t>P743</t>
  </si>
  <si>
    <t>P798</t>
  </si>
  <si>
    <t>P1651</t>
  </si>
  <si>
    <t>P2588</t>
  </si>
  <si>
    <t>P3045</t>
  </si>
  <si>
    <t>P3866</t>
  </si>
  <si>
    <t>P4906</t>
  </si>
  <si>
    <t>P1891</t>
  </si>
  <si>
    <t>P816</t>
  </si>
  <si>
    <t>P1469</t>
  </si>
  <si>
    <t>P2065</t>
  </si>
  <si>
    <t>P108</t>
  </si>
  <si>
    <t>P1297</t>
  </si>
  <si>
    <t>P1991</t>
  </si>
  <si>
    <t>P1601</t>
  </si>
  <si>
    <t>P3624</t>
  </si>
  <si>
    <t>P3408</t>
  </si>
  <si>
    <t>P2382</t>
  </si>
  <si>
    <t>P1698</t>
  </si>
  <si>
    <t>P4931</t>
  </si>
  <si>
    <t>P4571</t>
  </si>
  <si>
    <t>P2423</t>
  </si>
  <si>
    <t>P1363</t>
  </si>
  <si>
    <t>P573</t>
  </si>
  <si>
    <t>P2232</t>
  </si>
  <si>
    <t>P4228</t>
  </si>
  <si>
    <t>P2133</t>
  </si>
  <si>
    <t>P2325</t>
  </si>
  <si>
    <t>P1421</t>
  </si>
  <si>
    <t>P311</t>
  </si>
  <si>
    <t>P870</t>
  </si>
  <si>
    <t>P2893</t>
  </si>
  <si>
    <t>P3968</t>
  </si>
  <si>
    <t>P3681</t>
  </si>
  <si>
    <t>P1432</t>
  </si>
  <si>
    <t>P4019</t>
  </si>
  <si>
    <t>P3423</t>
  </si>
  <si>
    <t>P3717</t>
  </si>
  <si>
    <t>P4397</t>
  </si>
  <si>
    <t>P971</t>
  </si>
  <si>
    <t>P3122</t>
  </si>
  <si>
    <t>P4752</t>
  </si>
  <si>
    <t>P28</t>
  </si>
  <si>
    <t>P1346</t>
  </si>
  <si>
    <t>P3651</t>
  </si>
  <si>
    <t>P1219</t>
  </si>
  <si>
    <t>P2918</t>
  </si>
  <si>
    <t>P4399</t>
  </si>
  <si>
    <t>P2696</t>
  </si>
  <si>
    <t>P375</t>
  </si>
  <si>
    <t>P890</t>
  </si>
  <si>
    <t>P2058</t>
  </si>
  <si>
    <t>P907</t>
  </si>
  <si>
    <t>P2714</t>
  </si>
  <si>
    <t>P627</t>
  </si>
  <si>
    <t>P4535</t>
  </si>
  <si>
    <t>P1574</t>
  </si>
  <si>
    <t>P2872</t>
  </si>
  <si>
    <t>P2882</t>
  </si>
  <si>
    <t>P2024</t>
  </si>
  <si>
    <t>P1770</t>
  </si>
  <si>
    <t>P1984</t>
  </si>
  <si>
    <t>P1082</t>
  </si>
  <si>
    <t>P1733</t>
  </si>
  <si>
    <t>P3557</t>
  </si>
  <si>
    <t>P3740</t>
  </si>
  <si>
    <t>P2306</t>
  </si>
  <si>
    <t>P1026</t>
  </si>
  <si>
    <t>P4167</t>
  </si>
  <si>
    <t>P1556</t>
  </si>
  <si>
    <t>P1864</t>
  </si>
  <si>
    <t>P2237</t>
  </si>
  <si>
    <t>P1789</t>
  </si>
  <si>
    <t>P3291</t>
  </si>
  <si>
    <t>P2543</t>
  </si>
  <si>
    <t>P2480</t>
  </si>
  <si>
    <t>P1596</t>
  </si>
  <si>
    <t>P3707</t>
  </si>
  <si>
    <t>P4407</t>
  </si>
  <si>
    <t>P3903</t>
  </si>
  <si>
    <t>P677</t>
  </si>
  <si>
    <t>P1912</t>
  </si>
  <si>
    <t>P3289</t>
  </si>
  <si>
    <t>P1779</t>
  </si>
  <si>
    <t>P2372</t>
  </si>
  <si>
    <t>P905</t>
  </si>
  <si>
    <t>P3384</t>
  </si>
  <si>
    <t>P4122</t>
  </si>
  <si>
    <t>P2490</t>
  </si>
  <si>
    <t>P2809</t>
  </si>
  <si>
    <t>P3414</t>
  </si>
  <si>
    <t>P4357</t>
  </si>
  <si>
    <t>P2021</t>
  </si>
  <si>
    <t>P430</t>
  </si>
  <si>
    <t>P444</t>
  </si>
  <si>
    <t>P3040</t>
  </si>
  <si>
    <t>P2759</t>
  </si>
  <si>
    <t>P1928</t>
  </si>
  <si>
    <t>P3094</t>
  </si>
  <si>
    <t>P2057</t>
  </si>
  <si>
    <t>P3128</t>
  </si>
  <si>
    <t>P3763</t>
  </si>
  <si>
    <t>P569</t>
  </si>
  <si>
    <t>P1208</t>
  </si>
  <si>
    <t>P4084</t>
  </si>
  <si>
    <t>P3138</t>
  </si>
  <si>
    <t>P2256</t>
  </si>
  <si>
    <t>P2645</t>
  </si>
  <si>
    <t>P167</t>
  </si>
  <si>
    <t>P2213</t>
  </si>
  <si>
    <t>P1892</t>
  </si>
  <si>
    <t>P3055</t>
  </si>
  <si>
    <t>P2389</t>
  </si>
  <si>
    <t>P4004</t>
  </si>
  <si>
    <t>P741</t>
  </si>
  <si>
    <t>P258</t>
  </si>
  <si>
    <t>P3135</t>
  </si>
  <si>
    <t>P4887</t>
  </si>
  <si>
    <t>P2242</t>
  </si>
  <si>
    <t>P3674</t>
  </si>
  <si>
    <t>P1122</t>
  </si>
  <si>
    <t>P532</t>
  </si>
  <si>
    <t>P1213</t>
  </si>
  <si>
    <t>P736</t>
  </si>
  <si>
    <t>P2953</t>
  </si>
  <si>
    <t>P3995</t>
  </si>
  <si>
    <t>P2439</t>
  </si>
  <si>
    <t>P4309</t>
  </si>
  <si>
    <t>P1186</t>
  </si>
  <si>
    <t>P2943</t>
  </si>
  <si>
    <t>P794</t>
  </si>
  <si>
    <t>P4234</t>
  </si>
  <si>
    <t>P3004</t>
  </si>
  <si>
    <t>P1497</t>
  </si>
  <si>
    <t>P4673</t>
  </si>
  <si>
    <t>P505</t>
  </si>
  <si>
    <t>P2509</t>
  </si>
  <si>
    <t>P4255</t>
  </si>
  <si>
    <t>P1647</t>
  </si>
  <si>
    <t>P494</t>
  </si>
  <si>
    <t>P1307</t>
  </si>
  <si>
    <t>P1671</t>
  </si>
  <si>
    <t>P2328</t>
  </si>
  <si>
    <t>P2224</t>
  </si>
  <si>
    <t>P285</t>
  </si>
  <si>
    <t>P2371</t>
  </si>
  <si>
    <t>P2083</t>
  </si>
  <si>
    <t>P3107</t>
  </si>
  <si>
    <t>P2840</t>
  </si>
  <si>
    <t>P3733</t>
  </si>
  <si>
    <t>P2486</t>
  </si>
  <si>
    <t>P4759</t>
  </si>
  <si>
    <t>P989</t>
  </si>
  <si>
    <t>P4027</t>
  </si>
  <si>
    <t>P2778</t>
  </si>
  <si>
    <t>P1197</t>
  </si>
  <si>
    <t>P555</t>
  </si>
  <si>
    <t>P4298</t>
  </si>
  <si>
    <t>P661</t>
  </si>
  <si>
    <t>P1610</t>
  </si>
  <si>
    <t>P1437</t>
  </si>
  <si>
    <t>P4623</t>
  </si>
  <si>
    <t>P954</t>
  </si>
  <si>
    <t>P4063</t>
  </si>
  <si>
    <t>P2002</t>
  </si>
  <si>
    <t>P2485</t>
  </si>
  <si>
    <t>P1040</t>
  </si>
  <si>
    <t>P3789</t>
  </si>
  <si>
    <t>P1863</t>
  </si>
  <si>
    <t>P2921</t>
  </si>
  <si>
    <t>P2100</t>
  </si>
  <si>
    <t>P4226</t>
  </si>
  <si>
    <t>P4844</t>
  </si>
  <si>
    <t>P1981</t>
  </si>
  <si>
    <t>P4043</t>
  </si>
  <si>
    <t>P972</t>
  </si>
  <si>
    <t>P1878</t>
  </si>
  <si>
    <t>P4889</t>
  </si>
  <si>
    <t>P495</t>
  </si>
  <si>
    <t>P223</t>
  </si>
  <si>
    <t>P885</t>
  </si>
  <si>
    <t>P4221</t>
  </si>
  <si>
    <t>P4778</t>
  </si>
  <si>
    <t>P1038</t>
  </si>
  <si>
    <t>P426</t>
  </si>
  <si>
    <t>P2415</t>
  </si>
  <si>
    <t>P4225</t>
  </si>
  <si>
    <t>P3133</t>
  </si>
  <si>
    <t>P3622</t>
  </si>
  <si>
    <t>P4302</t>
  </si>
  <si>
    <t>P1665</t>
  </si>
  <si>
    <t>P4538</t>
  </si>
  <si>
    <t>P4771</t>
  </si>
  <si>
    <t>P4744</t>
  </si>
  <si>
    <t>P887</t>
  </si>
  <si>
    <t>P2264</t>
  </si>
  <si>
    <t>P1430</t>
  </si>
  <si>
    <t>P2451</t>
  </si>
  <si>
    <t>P2817</t>
  </si>
  <si>
    <t>P1827</t>
  </si>
  <si>
    <t>P2048</t>
  </si>
  <si>
    <t>P93</t>
  </si>
  <si>
    <t>P2768</t>
  </si>
  <si>
    <t>P2290</t>
  </si>
  <si>
    <t>P4118</t>
  </si>
  <si>
    <t>P4387</t>
  </si>
  <si>
    <t>P3339</t>
  </si>
  <si>
    <t>P3602</t>
  </si>
  <si>
    <t>P4909</t>
  </si>
  <si>
    <t>P3362</t>
  </si>
  <si>
    <t>P232</t>
  </si>
  <si>
    <t>P493</t>
  </si>
  <si>
    <t>P2990</t>
  </si>
  <si>
    <t>P162</t>
  </si>
  <si>
    <t>P3208</t>
  </si>
  <si>
    <t>P1285</t>
  </si>
  <si>
    <t>P2584</t>
  </si>
  <si>
    <t>P4658</t>
  </si>
  <si>
    <t>P2822</t>
  </si>
  <si>
    <t>P3597</t>
  </si>
  <si>
    <t>P4321</t>
  </si>
  <si>
    <t>P583</t>
  </si>
  <si>
    <t>P2094</t>
  </si>
  <si>
    <t>P1170</t>
  </si>
  <si>
    <t>P2275</t>
  </si>
  <si>
    <t>P4038</t>
  </si>
  <si>
    <t>P313</t>
  </si>
  <si>
    <t>P2668</t>
  </si>
  <si>
    <t>P3682</t>
  </si>
  <si>
    <t>P4056</t>
  </si>
  <si>
    <t>P3038</t>
  </si>
  <si>
    <t>P4978</t>
  </si>
  <si>
    <t>P2624</t>
  </si>
  <si>
    <t>P2033</t>
  </si>
  <si>
    <t>P1513</t>
  </si>
  <si>
    <t>P4223</t>
  </si>
  <si>
    <t>P2212</t>
  </si>
  <si>
    <t>P1895</t>
  </si>
  <si>
    <t>P2247</t>
  </si>
  <si>
    <t>P4199</t>
  </si>
  <si>
    <t>P936</t>
  </si>
  <si>
    <t>P2643</t>
  </si>
  <si>
    <t>P1784</t>
  </si>
  <si>
    <t>P4949</t>
  </si>
  <si>
    <t>P914</t>
  </si>
  <si>
    <t>P4913</t>
  </si>
  <si>
    <t>P253</t>
  </si>
  <si>
    <t>P244</t>
  </si>
  <si>
    <t>P3372</t>
  </si>
  <si>
    <t>P4583</t>
  </si>
  <si>
    <t>P3200</t>
  </si>
  <si>
    <t>P1777</t>
  </si>
  <si>
    <t>P4385</t>
  </si>
  <si>
    <t>P3233</t>
  </si>
  <si>
    <t>P4987</t>
  </si>
  <si>
    <t>P1762</t>
  </si>
  <si>
    <t>P1820</t>
  </si>
  <si>
    <t>P4130</t>
  </si>
  <si>
    <t>P2545</t>
  </si>
  <si>
    <t>P2888</t>
  </si>
  <si>
    <t>P4175</t>
  </si>
  <si>
    <t>P1366</t>
  </si>
  <si>
    <t>P2482</t>
  </si>
  <si>
    <t>P16</t>
  </si>
  <si>
    <t>P4164</t>
  </si>
  <si>
    <t>P4516</t>
  </si>
  <si>
    <t>P296</t>
  </si>
  <si>
    <t>P3224</t>
  </si>
  <si>
    <t>P676</t>
  </si>
  <si>
    <t>P183</t>
  </si>
  <si>
    <t>P2529</t>
  </si>
  <si>
    <t>P1851</t>
  </si>
  <si>
    <t>P4858</t>
  </si>
  <si>
    <t>P837</t>
  </si>
  <si>
    <t>P4786</t>
  </si>
  <si>
    <t>P40</t>
  </si>
  <si>
    <t>P2124</t>
  </si>
  <si>
    <t>P2875</t>
  </si>
  <si>
    <t>P1238</t>
  </si>
  <si>
    <t>P1709</t>
  </si>
  <si>
    <t>P101</t>
  </si>
  <si>
    <t>P2557</t>
  </si>
  <si>
    <t>P1196</t>
  </si>
  <si>
    <t>P1628</t>
  </si>
  <si>
    <t>P2625</t>
  </si>
  <si>
    <t>P3747</t>
  </si>
  <si>
    <t>P3282</t>
  </si>
  <si>
    <t>P3769</t>
  </si>
  <si>
    <t>P2479</t>
  </si>
  <si>
    <t>P4189</t>
  </si>
  <si>
    <t>P4525</t>
  </si>
  <si>
    <t>P4173</t>
  </si>
  <si>
    <t>P1037</t>
  </si>
  <si>
    <t>P1802</t>
  </si>
  <si>
    <t>P197</t>
  </si>
  <si>
    <t>P3435</t>
  </si>
  <si>
    <t>P4408</t>
  </si>
  <si>
    <t>P620</t>
  </si>
  <si>
    <t>P1718</t>
  </si>
  <si>
    <t>P3702</t>
  </si>
  <si>
    <t>P3623</t>
  </si>
  <si>
    <t>P3294</t>
  </si>
  <si>
    <t>P1614</t>
  </si>
  <si>
    <t>P4240</t>
  </si>
  <si>
    <t>P4076</t>
  </si>
  <si>
    <t>P461</t>
  </si>
  <si>
    <t>P3874</t>
  </si>
  <si>
    <t>P84</t>
  </si>
  <si>
    <t>P615</t>
  </si>
  <si>
    <t>P2166</t>
  </si>
  <si>
    <t>P956</t>
  </si>
  <si>
    <t>P2596</t>
  </si>
  <si>
    <t>P2665</t>
  </si>
  <si>
    <t>P1668</t>
  </si>
  <si>
    <t>P4380</t>
  </si>
  <si>
    <t>P2357</t>
  </si>
  <si>
    <t>P1840</t>
  </si>
  <si>
    <t>P1952</t>
  </si>
  <si>
    <t>P697</t>
  </si>
  <si>
    <t>P2254</t>
  </si>
  <si>
    <t>P4861</t>
  </si>
  <si>
    <t>P265</t>
  </si>
  <si>
    <t>P4833</t>
  </si>
  <si>
    <t>P2498</t>
  </si>
  <si>
    <t>P97</t>
  </si>
  <si>
    <t>P2329</t>
  </si>
  <si>
    <t>P2978</t>
  </si>
  <si>
    <t>P3554</t>
  </si>
  <si>
    <t>P992</t>
  </si>
  <si>
    <t>P1680</t>
  </si>
  <si>
    <t>P1899</t>
  </si>
  <si>
    <t>P1722</t>
  </si>
  <si>
    <t>P4517</t>
  </si>
  <si>
    <t>P4841</t>
  </si>
  <si>
    <t>P3695</t>
  </si>
  <si>
    <t>P702</t>
  </si>
  <si>
    <t>P900</t>
  </si>
  <si>
    <t>P1337</t>
  </si>
  <si>
    <t>P3627</t>
  </si>
  <si>
    <t>P331</t>
  </si>
  <si>
    <t>P1061</t>
  </si>
  <si>
    <t>P4313</t>
  </si>
  <si>
    <t>P1681</t>
  </si>
  <si>
    <t>P4578</t>
  </si>
  <si>
    <t>P32</t>
  </si>
  <si>
    <t>P4740</t>
  </si>
  <si>
    <t>P1774</t>
  </si>
  <si>
    <t>P3442</t>
  </si>
  <si>
    <t>P6</t>
  </si>
  <si>
    <t>P2717</t>
  </si>
  <si>
    <t>P3978</t>
  </si>
  <si>
    <t>P961</t>
  </si>
  <si>
    <t>P3345</t>
  </si>
  <si>
    <t>P2847</t>
  </si>
  <si>
    <t>P4626</t>
  </si>
  <si>
    <t>P1107</t>
  </si>
  <si>
    <t>P1754</t>
  </si>
  <si>
    <t>P2250</t>
  </si>
  <si>
    <t>P261</t>
  </si>
  <si>
    <t>P1482</t>
  </si>
  <si>
    <t>P1010</t>
  </si>
  <si>
    <t>P384</t>
  </si>
  <si>
    <t>P4253</t>
  </si>
  <si>
    <t>P414</t>
  </si>
  <si>
    <t>P1646</t>
  </si>
  <si>
    <t>P808</t>
  </si>
  <si>
    <t>P356</t>
  </si>
  <si>
    <t>P37</t>
  </si>
  <si>
    <t>P2331</t>
  </si>
  <si>
    <t>P3057</t>
  </si>
  <si>
    <t>P1675</t>
  </si>
  <si>
    <t>P2528</t>
  </si>
  <si>
    <t>P129</t>
  </si>
  <si>
    <t>P982</t>
  </si>
  <si>
    <t>P327</t>
  </si>
  <si>
    <t>P3259</t>
  </si>
  <si>
    <t>P4900</t>
  </si>
  <si>
    <t>P722</t>
  </si>
  <si>
    <t>P1236</t>
  </si>
  <si>
    <t>P1474</t>
  </si>
  <si>
    <t>P316</t>
  </si>
  <si>
    <t>P2849</t>
  </si>
  <si>
    <t>P1252</t>
  </si>
  <si>
    <t>P3979</t>
  </si>
  <si>
    <t>P821</t>
  </si>
  <si>
    <t>P400</t>
  </si>
  <si>
    <t>P4767</t>
  </si>
  <si>
    <t>P713</t>
  </si>
  <si>
    <t>P862</t>
  </si>
  <si>
    <t>P3186</t>
  </si>
  <si>
    <t>P235</t>
  </si>
  <si>
    <t>P1350</t>
  </si>
  <si>
    <t>P3296</t>
  </si>
  <si>
    <t>P3090</t>
  </si>
  <si>
    <t>P336</t>
  </si>
  <si>
    <t>P2035</t>
  </si>
  <si>
    <t>P724</t>
  </si>
  <si>
    <t>P2550</t>
  </si>
  <si>
    <t>P2069</t>
  </si>
  <si>
    <t>P2483</t>
  </si>
  <si>
    <t>P929</t>
  </si>
  <si>
    <t>P649</t>
  </si>
  <si>
    <t>P4733</t>
  </si>
  <si>
    <t>P4497</t>
  </si>
  <si>
    <t>P242</t>
  </si>
  <si>
    <t>P3521</t>
  </si>
  <si>
    <t>P4071</t>
  </si>
  <si>
    <t>P1246</t>
  </si>
  <si>
    <t>P2971</t>
  </si>
  <si>
    <t>P570</t>
  </si>
  <si>
    <t>P680</t>
  </si>
  <si>
    <t>P560</t>
  </si>
  <si>
    <t>P4150</t>
  </si>
  <si>
    <t>P921</t>
  </si>
  <si>
    <t>P508</t>
  </si>
  <si>
    <t>P422</t>
  </si>
  <si>
    <t>P248</t>
  </si>
  <si>
    <t>P2628</t>
  </si>
  <si>
    <t>P312</t>
  </si>
  <si>
    <t>P4704</t>
  </si>
  <si>
    <t>P1612</t>
  </si>
  <si>
    <t>P172</t>
  </si>
  <si>
    <t>P3986</t>
  </si>
  <si>
    <t>P4463</t>
  </si>
  <si>
    <t>P4743</t>
  </si>
  <si>
    <t>P4780</t>
  </si>
  <si>
    <t>P1493</t>
  </si>
  <si>
    <t>P4888</t>
  </si>
  <si>
    <t>P3568</t>
  </si>
  <si>
    <t>P4840</t>
  </si>
  <si>
    <t>P1697</t>
  </si>
  <si>
    <t>P4260</t>
  </si>
  <si>
    <t>P3410</t>
  </si>
  <si>
    <t>P738</t>
  </si>
  <si>
    <t>P3595</t>
  </si>
  <si>
    <t>P3936</t>
  </si>
  <si>
    <t>P466</t>
  </si>
  <si>
    <t>P1673</t>
  </si>
  <si>
    <t>P3159</t>
  </si>
  <si>
    <t>P427</t>
  </si>
  <si>
    <t>P3072</t>
  </si>
  <si>
    <t>P2434</t>
  </si>
  <si>
    <t>P4816</t>
  </si>
  <si>
    <t>P4237</t>
  </si>
  <si>
    <t>P4245</t>
  </si>
  <si>
    <t>P959</t>
  </si>
  <si>
    <t>P542</t>
  </si>
  <si>
    <t>P4161</t>
  </si>
  <si>
    <t>P1942</t>
  </si>
  <si>
    <t>P2215</t>
  </si>
  <si>
    <t>P746</t>
  </si>
  <si>
    <t>P112</t>
  </si>
  <si>
    <t>P2867</t>
  </si>
  <si>
    <t>P1101</t>
  </si>
  <si>
    <t>P1426</t>
  </si>
  <si>
    <t>P1364</t>
  </si>
  <si>
    <t>P1654</t>
  </si>
  <si>
    <t>P3553</t>
  </si>
  <si>
    <t>P1564</t>
  </si>
  <si>
    <t>P2011</t>
  </si>
  <si>
    <t>P3577</t>
  </si>
  <si>
    <t>P3890</t>
  </si>
  <si>
    <t>P109</t>
  </si>
  <si>
    <t>P2881</t>
  </si>
  <si>
    <t>P829</t>
  </si>
  <si>
    <t>P252</t>
  </si>
  <si>
    <t>P2602</t>
  </si>
  <si>
    <t>P292</t>
  </si>
  <si>
    <t>P3825</t>
  </si>
  <si>
    <t>P3254</t>
  </si>
  <si>
    <t>P4846</t>
  </si>
  <si>
    <t>P2274</t>
  </si>
  <si>
    <t>P3563</t>
  </si>
  <si>
    <t>P2520</t>
  </si>
  <si>
    <t>P4100</t>
  </si>
  <si>
    <t>P4454</t>
  </si>
  <si>
    <t>P835</t>
  </si>
  <si>
    <t>P525</t>
  </si>
  <si>
    <t>P4152</t>
  </si>
  <si>
    <t>P3708</t>
  </si>
  <si>
    <t>P4421</t>
  </si>
  <si>
    <t>P3713</t>
  </si>
  <si>
    <t>P1449</t>
  </si>
  <si>
    <t>P1691</t>
  </si>
  <si>
    <t>P876</t>
  </si>
  <si>
    <t>P317</t>
  </si>
  <si>
    <t>P264</t>
  </si>
  <si>
    <t>P4</t>
  </si>
  <si>
    <t>P701</t>
  </si>
  <si>
    <t>P932</t>
  </si>
  <si>
    <t>P4115</t>
  </si>
  <si>
    <t>P3000</t>
  </si>
  <si>
    <t>P2174</t>
  </si>
  <si>
    <t>P1311</t>
  </si>
  <si>
    <t>P1661</t>
  </si>
  <si>
    <t>P4149</t>
  </si>
  <si>
    <t>P1725</t>
  </si>
  <si>
    <t>P1229</t>
  </si>
  <si>
    <t>P2609</t>
  </si>
  <si>
    <t>P3846</t>
  </si>
  <si>
    <t>P2019</t>
  </si>
  <si>
    <t>P966</t>
  </si>
  <si>
    <t>P3843</t>
  </si>
  <si>
    <t>P4705</t>
  </si>
  <si>
    <t>P3176</t>
  </si>
  <si>
    <t>P263</t>
  </si>
  <si>
    <t>P602</t>
  </si>
  <si>
    <t>P222</t>
  </si>
  <si>
    <t>P673</t>
  </si>
  <si>
    <t>P598</t>
  </si>
  <si>
    <t>P4967</t>
  </si>
  <si>
    <t>P1148</t>
  </si>
  <si>
    <t>P2564</t>
  </si>
  <si>
    <t>P1627</t>
  </si>
  <si>
    <t>P1490</t>
  </si>
  <si>
    <t>P533</t>
  </si>
  <si>
    <t>P4869</t>
  </si>
  <si>
    <t>P4375</t>
  </si>
  <si>
    <t>P4989</t>
  </si>
  <si>
    <t>P4814</t>
  </si>
  <si>
    <t>P3996</t>
  </si>
  <si>
    <t>P3402</t>
  </si>
  <si>
    <t>P4096</t>
  </si>
  <si>
    <t>P1786</t>
  </si>
  <si>
    <t>P1089</t>
  </si>
  <si>
    <t>P1086</t>
  </si>
  <si>
    <t>P378</t>
  </si>
  <si>
    <t>P608</t>
  </si>
  <si>
    <t>P3134</t>
  </si>
  <si>
    <t>P3894</t>
  </si>
  <si>
    <t>P4272</t>
  </si>
  <si>
    <t>P4599</t>
  </si>
  <si>
    <t>P276</t>
  </si>
  <si>
    <t>P2657</t>
  </si>
  <si>
    <t>P814</t>
  </si>
  <si>
    <t>P1396</t>
  </si>
  <si>
    <t>P289</t>
  </si>
  <si>
    <t>P581</t>
  </si>
  <si>
    <t>P3555</t>
  </si>
  <si>
    <t>P3293</t>
  </si>
  <si>
    <t>P4545</t>
  </si>
  <si>
    <t>P4551</t>
  </si>
  <si>
    <t>P2756</t>
  </si>
  <si>
    <t>P4995</t>
  </si>
  <si>
    <t>P3496</t>
  </si>
  <si>
    <t>P1100</t>
  </si>
  <si>
    <t>P2816</t>
  </si>
  <si>
    <t>P3932</t>
  </si>
  <si>
    <t>P979</t>
  </si>
  <si>
    <t>P3575</t>
  </si>
  <si>
    <t>P4124</t>
  </si>
  <si>
    <t>P266</t>
  </si>
  <si>
    <t>P3492</t>
  </si>
  <si>
    <t>P1769</t>
  </si>
  <si>
    <t>P2229</t>
  </si>
  <si>
    <t>P3286</t>
  </si>
  <si>
    <t>P198</t>
  </si>
  <si>
    <t>P3779</t>
  </si>
  <si>
    <t>P2988</t>
  </si>
  <si>
    <t>P1223</t>
  </si>
  <si>
    <t>P2443</t>
  </si>
  <si>
    <t>P2707</t>
  </si>
  <si>
    <t>P2243</t>
  </si>
  <si>
    <t>P4654</t>
  </si>
  <si>
    <t>P4359</t>
  </si>
  <si>
    <t>P440</t>
  </si>
  <si>
    <t>P1761</t>
  </si>
  <si>
    <t>P2433</t>
  </si>
  <si>
    <t>P1637</t>
  </si>
  <si>
    <t>P2342</t>
  </si>
  <si>
    <t>P2975</t>
  </si>
  <si>
    <t>P2710</t>
  </si>
  <si>
    <t>P687</t>
  </si>
  <si>
    <t>P787</t>
  </si>
  <si>
    <t>P125</t>
  </si>
  <si>
    <t>P1245</t>
  </si>
  <si>
    <t>P2884</t>
  </si>
  <si>
    <t>P4222</t>
  </si>
  <si>
    <t>P4963</t>
  </si>
  <si>
    <t>P469</t>
  </si>
  <si>
    <t>P2556</t>
  </si>
  <si>
    <t>P1534</t>
  </si>
  <si>
    <t>P1652</t>
  </si>
  <si>
    <t>P3590</t>
  </si>
  <si>
    <t>P2408</t>
  </si>
  <si>
    <t>P874</t>
  </si>
  <si>
    <t>P1692</t>
  </si>
  <si>
    <t>P2649</t>
  </si>
  <si>
    <t>P847</t>
  </si>
  <si>
    <t>P2682</t>
  </si>
  <si>
    <t>P3611</t>
  </si>
  <si>
    <t>P1242</t>
  </si>
  <si>
    <t>P4804</t>
  </si>
  <si>
    <t>P1262</t>
  </si>
  <si>
    <t>P102</t>
  </si>
  <si>
    <t>P2719</t>
  </si>
  <si>
    <t>P4544</t>
  </si>
  <si>
    <t>P3586</t>
  </si>
  <si>
    <t>P4235</t>
  </si>
  <si>
    <t>P3809</t>
  </si>
  <si>
    <t>P3878</t>
  </si>
  <si>
    <t>P2473</t>
  </si>
  <si>
    <t>P1953</t>
  </si>
  <si>
    <t>P382</t>
  </si>
  <si>
    <t>P4338</t>
  </si>
  <si>
    <t>P541</t>
  </si>
  <si>
    <t>P3831</t>
  </si>
  <si>
    <t>P4591</t>
  </si>
  <si>
    <t>P1023</t>
  </si>
  <si>
    <t>P2377</t>
  </si>
  <si>
    <t>P4529</t>
  </si>
  <si>
    <t>P268</t>
  </si>
  <si>
    <t>P2695</t>
  </si>
  <si>
    <t>P566</t>
  </si>
  <si>
    <t>P2462</t>
  </si>
  <si>
    <t>P2061</t>
  </si>
  <si>
    <t>P2633</t>
  </si>
  <si>
    <t>P1276</t>
  </si>
  <si>
    <t>P4605</t>
  </si>
  <si>
    <t>P2432</t>
  </si>
  <si>
    <t>P579</t>
  </si>
  <si>
    <t>P1315</t>
  </si>
  <si>
    <t>P4776</t>
  </si>
  <si>
    <t>P3757</t>
  </si>
  <si>
    <t>P3610</t>
  </si>
  <si>
    <t>P3955</t>
  </si>
  <si>
    <t>P210</t>
  </si>
  <si>
    <t>P2606</t>
  </si>
  <si>
    <t>P3300</t>
  </si>
  <si>
    <t>P563</t>
  </si>
  <si>
    <t>P3201</t>
  </si>
  <si>
    <t>P2207</t>
  </si>
  <si>
    <t>P406</t>
  </si>
  <si>
    <t>P1644</t>
  </si>
  <si>
    <t>P1854</t>
  </si>
  <si>
    <t>P4878</t>
  </si>
  <si>
    <t>P1287</t>
  </si>
  <si>
    <t>P2599</t>
  </si>
  <si>
    <t>P2202</t>
  </si>
  <si>
    <t>P3665</t>
  </si>
  <si>
    <t>P3727</t>
  </si>
  <si>
    <t>P1563</t>
  </si>
  <si>
    <t>P3671</t>
  </si>
  <si>
    <t>P4671</t>
  </si>
  <si>
    <t>P2208</t>
  </si>
  <si>
    <t>P2931</t>
  </si>
  <si>
    <t>P2463</t>
  </si>
  <si>
    <t>P4078</t>
  </si>
  <si>
    <t>P3696</t>
  </si>
  <si>
    <t>P1909</t>
  </si>
  <si>
    <t>P14</t>
  </si>
  <si>
    <t>P4735</t>
  </si>
  <si>
    <t>P3947</t>
  </si>
  <si>
    <t>P3024</t>
  </si>
  <si>
    <t>P2982</t>
  </si>
  <si>
    <t>P1488</t>
  </si>
  <si>
    <t>P4350</t>
  </si>
  <si>
    <t>P1688</t>
  </si>
  <si>
    <t>Unknown</t>
  </si>
  <si>
    <t>Unassigned</t>
  </si>
  <si>
    <t>Age Group</t>
  </si>
  <si>
    <t>Min</t>
  </si>
  <si>
    <t>Max</t>
  </si>
  <si>
    <t>Average</t>
  </si>
  <si>
    <t>Count of Patients with Diabetes</t>
  </si>
  <si>
    <t>Standard Cost</t>
  </si>
  <si>
    <t>Cost with Tax (Rounddown)</t>
  </si>
  <si>
    <t>Cost with Tax (Roundup)</t>
  </si>
  <si>
    <t>Cost with Tax (Round)</t>
  </si>
  <si>
    <t>Extracted Date</t>
  </si>
  <si>
    <t>Row Labels</t>
  </si>
  <si>
    <t>Grand Total</t>
  </si>
  <si>
    <t>Sum of Cost</t>
  </si>
  <si>
    <t>Count of PatientID</t>
  </si>
  <si>
    <t>Average of Cost</t>
  </si>
  <si>
    <t>Children and Young Adolescents</t>
  </si>
  <si>
    <t>Seniors</t>
  </si>
  <si>
    <t>Working Age</t>
  </si>
  <si>
    <t>Overall Average</t>
  </si>
  <si>
    <t>Column Labels</t>
  </si>
  <si>
    <t>Total Sum of Cost</t>
  </si>
  <si>
    <t>Total Count of PatientID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</si>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</sst>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33" borderId="0" xfId="0" applyFont="1" applyFill="1"/>
    <xf numFmtId="0" fontId="16" fillId="34" borderId="0" xfId="0" applyFont="1" applyFill="1"/>
    <xf numFmtId="44" fontId="0" fillId="0" borderId="0" xfId="42" applyFont="1"/>
    <xf numFmtId="2" fontId="0" fillId="0" borderId="0" xfId="0" applyNumberFormat="1"/>
    <xf numFmtId="2" fontId="0" fillId="0" borderId="0" xfId="42" applyNumberFormat="1" applyFont="1"/>
    <xf numFmtId="0" fontId="0" fillId="0" borderId="0" xfId="0" quotePrefix="1"/>
    <xf numFmtId="44" fontId="16" fillId="0" borderId="0" xfId="42" applyFont="1"/>
    <xf numFmtId="0" fontId="0" fillId="33" borderId="0" xfId="0" applyFill="1"/>
    <xf numFmtId="44" fontId="16" fillId="33" borderId="0" xfId="42" applyFont="1" applyFill="1"/>
    <xf numFmtId="44" fontId="0" fillId="33" borderId="0" xfId="42" applyFont="1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lightGray">
          <fgColor theme="2"/>
          <bgColor rgb="FF92D050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13" formatCode="0%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2" defaultTableStyle="TableStyleMedium2" defaultPivotStyle="PivotStyleLight16">
    <tableStyle name="Invisible" pivot="0" table="0" count="0" xr9:uid="{82B6ED9E-3441-4A71-A0C3-3ACD854F85C3}"/>
    <tableStyle name="Table Style 1" pivot="0" count="0" xr9:uid="{2593CA48-3AC5-4BD1-B97E-E3A35AA123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[Health_Dirty.xlsx]Analysis!PivotTable3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Analysis!$O$1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3E5-4386-9C6B-CC0EAA6AE2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3E5-4386-9C6B-CC0EAA6AE2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3E5-4386-9C6B-CC0EAA6AE24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Analysis!$N$2:$N$5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Analysis!$O$2:$O$5</c:f>
              <c:numCache>
                <c:formatCode>General</c:formatCode>
                <c:ptCount val="3"/>
                <c:pt idx="0">
                  <c:v>1653</c:v>
                </c:pt>
                <c:pt idx="1">
                  <c:v>1653</c:v>
                </c:pt>
                <c:pt idx="2">
                  <c:v>1694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1-413C-B9A7-458B16833F2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123825</xdr:colOff>
      <xdr:row>17</xdr:row>
      <xdr:rowOff>61912</xdr:rowOff>
    </xdr:from>
    <xdr:to>
      <xdr:col>17</xdr:col>
      <xdr:colOff>295275</xdr:colOff>
      <xdr:row>31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94C87-1096-B7A0-D787-8976C6F1A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50.973552314812" createdVersion="8" refreshedVersion="8" minRefreshableVersion="3" recordCount="5000" xr:uid="{AA41807F-0FDE-47CA-8470-BC471C01520D}">
  <cacheSource type="worksheet">
    <worksheetSource ref="A1:N5001" sheet="in"/>
  </cacheSource>
  <cacheFields count="14">
    <cacheField name="VisitDate" numFmtId="14">
      <sharedItems containsSemiMixedTypes="0" containsNonDate="0" containsDate="1" containsString="0" minDate="2022-01-01T00:00:00" maxDate="2024-01-01T00:00:00"/>
    </cacheField>
    <cacheField name="PatientID" numFmtId="0">
      <sharedItems count="5000">
        <s v="P1328"/>
        <s v="P3065"/>
        <s v="P3447"/>
        <s v="P3470"/>
        <s v="P3590"/>
        <s v="P4049"/>
        <s v="P4290"/>
        <s v="P745"/>
        <s v="P1356"/>
        <s v="P2221"/>
        <s v="P2376"/>
        <s v="P3121"/>
        <s v="P3731"/>
        <s v="P1685"/>
        <s v="P2080"/>
        <s v="P3682"/>
        <s v="P4561"/>
        <s v="P1178"/>
        <s v="P2820"/>
        <s v="P4272"/>
        <s v="P4495"/>
        <s v="P4803"/>
        <s v="P4926"/>
        <s v="P76"/>
        <s v="P780"/>
        <s v="P2449"/>
        <s v="P3536"/>
        <s v="P3776"/>
        <s v="P4080"/>
        <s v="P4681"/>
        <s v="P609"/>
        <s v="P746"/>
        <s v="P2517"/>
        <s v="P3215"/>
        <s v="P3771"/>
        <s v="P4180"/>
        <s v="P4348"/>
        <s v="P812"/>
        <s v="P233"/>
        <s v="P3516"/>
        <s v="P3637"/>
        <s v="P4898"/>
        <s v="P682"/>
        <s v="P2665"/>
        <s v="P4251"/>
        <s v="P64"/>
        <s v="P87"/>
        <s v="P1518"/>
        <s v="P1560"/>
        <s v="P2682"/>
        <s v="P384"/>
        <s v="P1109"/>
        <s v="P2604"/>
        <s v="P2883"/>
        <s v="P3060"/>
        <s v="P3560"/>
        <s v="P3668"/>
        <s v="P4268"/>
        <s v="P4755"/>
        <s v="P4928"/>
        <s v="P1778"/>
        <s v="P2437"/>
        <s v="P2659"/>
        <s v="P846"/>
        <s v="P4802"/>
        <s v="P4930"/>
        <s v="P98"/>
        <s v="P3492"/>
        <s v="P4605"/>
        <s v="P536"/>
        <s v="P787"/>
        <s v="P1436"/>
        <s v="P1702"/>
        <s v="P2212"/>
        <s v="P2473"/>
        <s v="P253"/>
        <s v="P3266"/>
        <s v="P3336"/>
        <s v="P3481"/>
        <s v="P3616"/>
        <s v="P4338"/>
        <s v="P102"/>
        <s v="P2460"/>
        <s v="P1122"/>
        <s v="P2276"/>
        <s v="P2574"/>
        <s v="P4483"/>
        <s v="P532"/>
        <s v="P1914"/>
        <s v="P2777"/>
        <s v="P3078"/>
        <s v="P3119"/>
        <s v="P3389"/>
        <s v="P1467"/>
        <s v="P1470"/>
        <s v="P1810"/>
        <s v="P2949"/>
        <s v="P3400"/>
        <s v="P3512"/>
        <s v="P3931"/>
        <s v="P4774"/>
        <s v="P1096"/>
        <s v="P1449"/>
        <s v="P2559"/>
        <s v="P3189"/>
        <s v="P3756"/>
        <s v="P4101"/>
        <s v="P4587"/>
        <s v="P4876"/>
        <s v="P218"/>
        <s v="P2274"/>
        <s v="P292"/>
        <s v="P3118"/>
        <s v="P3259"/>
        <s v="P3661"/>
        <s v="P4221"/>
        <s v="P4871"/>
        <s v="P790"/>
        <s v="P1025"/>
        <s v="P1077"/>
        <s v="P1447"/>
        <s v="P1792"/>
        <s v="P1940"/>
        <s v="P2648"/>
        <s v="P2984"/>
        <s v="P3683"/>
        <s v="P4321"/>
        <s v="P4437"/>
        <s v="P962"/>
        <s v="P155"/>
        <s v="P2382"/>
        <s v="P3116"/>
        <s v="P3677"/>
        <s v="P4861"/>
        <s v="P863"/>
        <s v="P179"/>
        <s v="P2752"/>
        <s v="P4432"/>
        <s v="P592"/>
        <s v="P77"/>
        <s v="P884"/>
        <s v="P14"/>
        <s v="P1996"/>
        <s v="P3656"/>
        <s v="P3943"/>
        <s v="P543"/>
        <s v="P708"/>
        <s v="P154"/>
        <s v="P2631"/>
        <s v="P3034"/>
        <s v="P4336"/>
        <s v="P4460"/>
        <s v="P4885"/>
        <s v="P555"/>
        <s v="P622"/>
        <s v="P2327"/>
        <s v="P247"/>
        <s v="P3139"/>
        <s v="P3292"/>
        <s v="P3331"/>
        <s v="P4682"/>
        <s v="P1371"/>
        <s v="P2897"/>
        <s v="P2929"/>
        <s v="P3922"/>
        <s v="P4248"/>
        <s v="P4387"/>
        <s v="P4725"/>
        <s v="P1625"/>
        <s v="P2423"/>
        <s v="P4088"/>
        <s v="P585"/>
        <s v="P873"/>
        <s v="P1861"/>
        <s v="P2210"/>
        <s v="P3208"/>
        <s v="P3463"/>
        <s v="P3699"/>
        <s v="P3888"/>
        <s v="P4454"/>
        <s v="P4506"/>
        <s v="P4941"/>
        <s v="P575"/>
        <s v="P597"/>
        <s v="P613"/>
        <s v="P877"/>
        <s v="P913"/>
        <s v="P1455"/>
        <s v="P2642"/>
        <s v="P2903"/>
        <s v="P370"/>
        <s v="P4661"/>
        <s v="P4800"/>
        <s v="P1479"/>
        <s v="P159"/>
        <s v="P1721"/>
        <s v="P1898"/>
        <s v="P2712"/>
        <s v="P2739"/>
        <s v="P2995"/>
        <s v="P4283"/>
        <s v="P4470"/>
        <s v="P131"/>
        <s v="P1648"/>
        <s v="P1831"/>
        <s v="P267"/>
        <s v="P2774"/>
        <s v="P4068"/>
        <s v="P489"/>
        <s v="P3579"/>
        <s v="P4859"/>
        <s v="P4929"/>
        <s v="P524"/>
        <s v="P611"/>
        <s v="P674"/>
        <s v="P928"/>
        <s v="P1216"/>
        <s v="P1871"/>
        <s v="P2409"/>
        <s v="P3886"/>
        <s v="P4429"/>
        <s v="P1080"/>
        <s v="P1718"/>
        <s v="P2292"/>
        <s v="P2718"/>
        <s v="P3968"/>
        <s v="P4417"/>
        <s v="P586"/>
        <s v="P772"/>
        <s v="P835"/>
        <s v="P2199"/>
        <s v="P2504"/>
        <s v="P3578"/>
        <s v="P3779"/>
        <s v="P4395"/>
        <s v="P4549"/>
        <s v="P503"/>
        <s v="P2698"/>
        <s v="P2845"/>
        <s v="P3043"/>
        <s v="P4041"/>
        <s v="P743"/>
        <s v="P1606"/>
        <s v="P2962"/>
        <s v="P301"/>
        <s v="P902"/>
        <s v="P1673"/>
        <s v="P95"/>
        <s v="P1514"/>
        <s v="P1700"/>
        <s v="P3136"/>
        <s v="P3196"/>
        <s v="P3582"/>
        <s v="P4167"/>
        <s v="P4236"/>
        <s v="P791"/>
        <s v="P1457"/>
        <s v="P2799"/>
        <s v="P3047"/>
        <s v="P3149"/>
        <s v="P438"/>
        <s v="P4738"/>
        <s v="P773"/>
        <s v="P1291"/>
        <s v="P153"/>
        <s v="P4112"/>
        <s v="P4294"/>
        <s v="P107"/>
        <s v="P1243"/>
        <s v="P1345"/>
        <s v="P2548"/>
        <s v="P2919"/>
        <s v="P3781"/>
        <s v="P4593"/>
        <s v="P2201"/>
        <s v="P2514"/>
        <s v="P3102"/>
        <s v="P3184"/>
        <s v="P487"/>
        <s v="P1581"/>
        <s v="P2960"/>
        <s v="P345"/>
        <s v="P3981"/>
        <s v="P4332"/>
        <s v="P1989"/>
        <s v="P2586"/>
        <s v="P2587"/>
        <s v="P3313"/>
        <s v="P4992"/>
        <s v="P811"/>
        <s v="P1582"/>
        <s v="P1979"/>
        <s v="P2187"/>
        <s v="P424"/>
        <s v="P208"/>
        <s v="P3495"/>
        <s v="P490"/>
        <s v="P1557"/>
        <s v="P2216"/>
        <s v="P3433"/>
        <s v="P4084"/>
        <s v="P4780"/>
        <s v="P623"/>
        <s v="P855"/>
        <s v="P1246"/>
        <s v="P2450"/>
        <s v="P2633"/>
        <s v="P3794"/>
        <s v="P1651"/>
        <s v="P1799"/>
        <s v="P2174"/>
        <s v="P232"/>
        <s v="P2425"/>
        <s v="P2857"/>
        <s v="P2932"/>
        <s v="P33"/>
        <s v="P970"/>
        <s v="P3326"/>
        <s v="P3816"/>
        <s v="P464"/>
        <s v="P567"/>
        <s v="P766"/>
        <s v="P1469"/>
        <s v="P1525"/>
        <s v="P1758"/>
        <s v="P2787"/>
        <s v="P3168"/>
        <s v="P3977"/>
        <s v="P4247"/>
        <s v="P1935"/>
        <s v="P396"/>
        <s v="P4406"/>
        <s v="P4909"/>
        <s v="P798"/>
        <s v="P3701"/>
        <s v="P4481"/>
        <s v="P1213"/>
        <s v="P1507"/>
        <s v="P2082"/>
        <s v="P3297"/>
        <s v="P4074"/>
        <s v="P4688"/>
        <s v="P4734"/>
        <s v="P4968"/>
        <s v="P1483"/>
        <s v="P1761"/>
        <s v="P2011"/>
        <s v="P209"/>
        <s v="P2643"/>
        <s v="P2804"/>
        <s v="P314"/>
        <s v="P3860"/>
        <s v="P96"/>
        <s v="P2359"/>
        <s v="P3032"/>
        <s v="P4147"/>
        <s v="P416"/>
        <s v="P578"/>
        <s v="P594"/>
        <s v="P1330"/>
        <s v="P2825"/>
        <s v="P295"/>
        <s v="P3130"/>
        <s v="P353"/>
        <s v="P359"/>
        <s v="P4071"/>
        <s v="P4085"/>
        <s v="P4756"/>
        <s v="P4759"/>
        <s v="P4768"/>
        <s v="P1958"/>
        <s v="P2640"/>
        <s v="P3221"/>
        <s v="P3354"/>
        <s v="P4970"/>
        <s v="P727"/>
        <s v="P1538"/>
        <s v="P1176"/>
        <s v="P3406"/>
        <s v="P4699"/>
        <s v="P49"/>
        <s v="P4977"/>
        <s v="P1108"/>
        <s v="P142"/>
        <s v="P1977"/>
        <s v="P3152"/>
        <s v="P3268"/>
        <s v="P3445"/>
        <s v="P4402"/>
        <s v="P4819"/>
        <s v="P2091"/>
        <s v="P2757"/>
        <s v="P3120"/>
        <s v="P3729"/>
        <s v="P4286"/>
        <s v="P956"/>
        <s v="P1351"/>
        <s v="P1355"/>
        <s v="P177"/>
        <s v="P2218"/>
        <s v="P2575"/>
        <s v="P2702"/>
        <s v="P2704"/>
        <s v="P328"/>
        <s v="P3831"/>
        <s v="P3914"/>
        <s v="P4005"/>
        <s v="P4906"/>
        <s v="P1240"/>
        <s v="P1368"/>
        <s v="P3013"/>
        <s v="P3584"/>
        <s v="P4188"/>
        <s v="P4352"/>
        <s v="P4514"/>
        <s v="P4733"/>
        <s v="P941"/>
        <s v="P109"/>
        <s v="P1462"/>
        <s v="P1959"/>
        <s v="P2440"/>
        <s v="P2936"/>
        <s v="P4263"/>
        <s v="P431"/>
        <s v="P661"/>
        <s v="P1251"/>
        <s v="P2917"/>
        <s v="P3284"/>
        <s v="P4574"/>
        <s v="P4959"/>
        <s v="P646"/>
        <s v="P687"/>
        <s v="P1294"/>
        <s v="P2189"/>
        <s v="P2348"/>
        <s v="P2788"/>
        <s v="P30"/>
        <s v="P3077"/>
        <s v="P48"/>
        <s v="P493"/>
        <s v="P1380"/>
        <s v="P3025"/>
        <s v="P3753"/>
        <s v="P4090"/>
        <s v="P4197"/>
        <s v="P2867"/>
        <s v="P3105"/>
        <s v="P3310"/>
        <s v="P3402"/>
        <s v="P344"/>
        <s v="P4033"/>
        <s v="P4606"/>
        <s v="P1202"/>
        <s v="P1963"/>
        <s v="P2219"/>
        <s v="P245"/>
        <s v="P2793"/>
        <s v="P4038"/>
        <s v="P4327"/>
        <s v="P4453"/>
        <s v="P4542"/>
        <s v="P4589"/>
        <s v="P1494"/>
        <s v="P2865"/>
        <s v="P2876"/>
        <s v="P3004"/>
        <s v="P3562"/>
        <s v="P4054"/>
        <s v="P4055"/>
        <s v="P417"/>
        <s v="P4616"/>
        <s v="P1133"/>
        <s v="P2215"/>
        <s v="P2684"/>
        <s v="P3533"/>
        <s v="P4477"/>
        <s v="P4860"/>
        <s v="P1519"/>
        <s v="P3865"/>
        <s v="P4172"/>
        <s v="P4764"/>
        <s v="P843"/>
        <s v="P900"/>
        <s v="P1001"/>
        <s v="P1352"/>
        <s v="P1811"/>
        <s v="P332"/>
        <s v="P4039"/>
        <s v="P4964"/>
        <s v="P508"/>
        <s v="P825"/>
        <s v="P108"/>
        <s v="P2065"/>
        <s v="P2073"/>
        <s v="P2236"/>
        <s v="P2323"/>
        <s v="P2660"/>
        <s v="P2884"/>
        <s v="P343"/>
        <s v="P3435"/>
        <s v="P3845"/>
        <s v="P3985"/>
        <s v="P4032"/>
        <s v="P4164"/>
        <s v="P1021"/>
        <s v="P2220"/>
        <s v="P3005"/>
        <s v="P3614"/>
        <s v="P4322"/>
        <s v="P4643"/>
        <s v="P595"/>
        <s v="P754"/>
        <s v="P1498"/>
        <s v="P1640"/>
        <s v="P1714"/>
        <s v="P2246"/>
        <s v="P2629"/>
        <s v="P2898"/>
        <s v="P3604"/>
        <s v="P4436"/>
        <s v="P4818"/>
        <s v="P1066"/>
        <s v="P1838"/>
        <s v="P1939"/>
        <s v="P2112"/>
        <s v="P2387"/>
        <s v="P3201"/>
        <s v="P3209"/>
        <s v="P3374"/>
        <s v="P4244"/>
        <s v="P4375"/>
        <s v="P4490"/>
        <s v="P495"/>
        <s v="P1491"/>
        <s v="P1655"/>
        <s v="P1675"/>
        <s v="P3069"/>
        <s v="P3238"/>
        <s v="P3974"/>
        <s v="P4139"/>
        <s v="P4211"/>
        <s v="P4999"/>
        <s v="P1030"/>
        <s v="P225"/>
        <s v="P3314"/>
        <s v="P3364"/>
        <s v="P4379"/>
        <s v="P4473"/>
        <s v="P1785"/>
        <s v="P2397"/>
        <s v="P3012"/>
        <s v="P3649"/>
        <s v="P1014"/>
        <s v="P1590"/>
        <s v="P2053"/>
        <s v="P2084"/>
        <s v="P2107"/>
        <s v="P4063"/>
        <s v="P553"/>
        <s v="P1131"/>
        <s v="P149"/>
        <s v="P1599"/>
        <s v="P235"/>
        <s v="P2728"/>
        <s v="P2989"/>
        <s v="P3103"/>
        <s v="P4476"/>
        <s v="P686"/>
        <s v="P904"/>
        <s v="P624"/>
        <s v="P1143"/>
        <s v="P1870"/>
        <s v="P2863"/>
        <s v="P3599"/>
        <s v="P4142"/>
        <s v="P4962"/>
        <s v="P637"/>
        <s v="P1786"/>
        <s v="P2051"/>
        <s v="P2930"/>
        <s v="P297"/>
        <s v="P3571"/>
        <s v="P3843"/>
        <s v="P4158"/>
        <s v="P980"/>
        <s v="P1115"/>
        <s v="P1385"/>
        <s v="P2235"/>
        <s v="P2271"/>
        <s v="P2554"/>
        <s v="P2592"/>
        <s v="P3172"/>
        <s v="P3625"/>
        <s v="P402"/>
        <s v="P4274"/>
        <s v="P498"/>
        <s v="P641"/>
        <s v="P672"/>
        <s v="P696"/>
        <s v="P1669"/>
        <s v="P3452"/>
        <s v="P3688"/>
        <s v="P3748"/>
        <s v="P997"/>
        <s v="P1181"/>
        <s v="P164"/>
        <s v="P2766"/>
        <s v="P3009"/>
        <s v="P3091"/>
        <s v="P3490"/>
        <s v="P4131"/>
        <s v="P4769"/>
        <s v="P4857"/>
        <s v="P715"/>
        <s v="P2273"/>
        <s v="P3879"/>
        <s v="P4735"/>
        <s v="P2970"/>
        <s v="P323"/>
        <s v="P3796"/>
        <s v="P612"/>
        <s v="P1970"/>
        <s v="P2513"/>
        <s v="P2983"/>
        <s v="P3183"/>
        <s v="P3989"/>
        <s v="P4662"/>
        <s v="P4989"/>
        <s v="P115"/>
        <s v="P1698"/>
        <s v="P1703"/>
        <s v="P188"/>
        <s v="P2030"/>
        <s v="P2709"/>
        <s v="P4396"/>
        <s v="P4922"/>
        <s v="P645"/>
        <s v="P692"/>
        <s v="P2148"/>
        <s v="P302"/>
        <s v="P3606"/>
        <s v="P4176"/>
        <s v="P4479"/>
        <s v="P4814"/>
        <s v="P4958"/>
        <s v="P786"/>
        <s v="P2012"/>
        <s v="P206"/>
        <s v="P2122"/>
        <s v="P3472"/>
        <s v="P348"/>
        <s v="P4484"/>
        <s v="P4614"/>
        <s v="P1934"/>
        <s v="P214"/>
        <s v="P2213"/>
        <s v="P450"/>
        <s v="P882"/>
        <s v="P1093"/>
        <s v="P1724"/>
        <s v="P2484"/>
        <s v="P3000"/>
        <s v="P3072"/>
        <s v="P3337"/>
        <s v="P3790"/>
        <s v="P4013"/>
        <s v="P833"/>
        <s v="P1334"/>
        <s v="P1575"/>
        <s v="P171"/>
        <s v="P1874"/>
        <s v="P261"/>
        <s v="P2806"/>
        <s v="P3207"/>
        <s v="P3352"/>
        <s v="P3820"/>
        <s v="P983"/>
        <s v="P1008"/>
        <s v="P1072"/>
        <s v="P1329"/>
        <s v="P1794"/>
        <s v="P239"/>
        <s v="P246"/>
        <s v="P4638"/>
        <s v="P4785"/>
        <s v="P1287"/>
        <s v="P1338"/>
        <s v="P1592"/>
        <s v="P1789"/>
        <s v="P3600"/>
        <s v="P4990"/>
        <s v="P580"/>
        <s v="P1132"/>
        <s v="P1667"/>
        <s v="P170"/>
        <s v="P174"/>
        <s v="P2746"/>
        <s v="P34"/>
        <s v="P3431"/>
        <s v="P3737"/>
        <s v="P4550"/>
        <s v="P770"/>
        <s v="P1105"/>
        <s v="P1168"/>
        <s v="P123"/>
        <s v="P1726"/>
        <s v="P2906"/>
        <s v="P390"/>
        <s v="P4303"/>
        <s v="P4678"/>
        <s v="P820"/>
        <s v="P1529"/>
        <s v="P1923"/>
        <s v="P2585"/>
        <s v="P3281"/>
        <s v="P1035"/>
        <s v="P114"/>
        <s v="P2536"/>
        <s v="P2893"/>
        <s v="P3397"/>
        <s v="P3773"/>
        <s v="P3802"/>
        <s v="P4037"/>
        <s v="P4702"/>
        <s v="P4935"/>
        <s v="P1280"/>
        <s v="P1499"/>
        <s v="P2918"/>
        <s v="P3395"/>
        <s v="P3551"/>
        <s v="P451"/>
        <s v="P664"/>
        <s v="P1324"/>
        <s v="P1653"/>
        <s v="P2128"/>
        <s v="P2735"/>
        <s v="P2954"/>
        <s v="P3325"/>
        <s v="P706"/>
        <s v="P1740"/>
        <s v="P3289"/>
        <s v="P4061"/>
        <s v="P4444"/>
        <s v="P4850"/>
        <s v="P2691"/>
        <s v="P2912"/>
        <s v="P3122"/>
        <s v="P3378"/>
        <s v="P4073"/>
        <s v="P454"/>
        <s v="P647"/>
        <s v="P1379"/>
        <s v="P2445"/>
        <s v="P3177"/>
        <s v="P3743"/>
        <s v="P4381"/>
        <s v="P1236"/>
        <s v="P2981"/>
        <s v="P4511"/>
        <s v="P4986"/>
        <s v="P1802"/>
        <s v="P2601"/>
        <s v="P4065"/>
        <s v="P4692"/>
        <s v="P1408"/>
        <s v="P1468"/>
        <s v="P1586"/>
        <s v="P1619"/>
        <s v="P1717"/>
        <s v="P2025"/>
        <s v="P2388"/>
        <s v="P2811"/>
        <s v="P3073"/>
        <s v="P4017"/>
        <s v="P4239"/>
        <s v="P4496"/>
        <s v="P652"/>
        <s v="P1152"/>
        <s v="P1269"/>
        <s v="P1550"/>
        <s v="P3096"/>
        <s v="P3216"/>
        <s v="P4584"/>
        <s v="P4745"/>
        <s v="P4950"/>
        <s v="P86"/>
        <s v="P1493"/>
        <s v="P1591"/>
        <s v="P1727"/>
        <s v="P4529"/>
        <s v="P4799"/>
        <s v="P4835"/>
        <s v="P104"/>
        <s v="P182"/>
        <s v="P1991"/>
        <s v="P2378"/>
        <s v="P2730"/>
        <s v="P2955"/>
        <s v="P556"/>
        <s v="P685"/>
        <s v="P1697"/>
        <s v="P2946"/>
        <s v="P3940"/>
        <s v="P4408"/>
        <s v="P4782"/>
        <s v="P80"/>
        <s v="P1032"/>
        <s v="P2268"/>
        <s v="P3089"/>
        <s v="P3343"/>
        <s v="P3840"/>
        <s v="P461"/>
        <s v="P604"/>
        <s v="P2145"/>
        <s v="P2368"/>
        <s v="P2374"/>
        <s v="P2494"/>
        <s v="P3291"/>
        <s v="P1201"/>
        <s v="P1219"/>
        <s v="P2180"/>
        <s v="P2249"/>
        <s v="P304"/>
        <s v="P3062"/>
        <s v="P333"/>
        <s v="P4342"/>
        <s v="P1446"/>
        <s v="P1942"/>
        <s v="P1951"/>
        <s v="P2740"/>
        <s v="P2744"/>
        <s v="P2978"/>
        <s v="P3641"/>
        <s v="P3644"/>
        <s v="P859"/>
        <s v="P1230"/>
        <s v="P2085"/>
        <s v="P2362"/>
        <s v="P2490"/>
        <s v="P2681"/>
        <s v="P3317"/>
        <s v="P3479"/>
        <s v="P663"/>
        <s v="P1478"/>
        <s v="P1531"/>
        <s v="P3717"/>
        <s v="P3994"/>
        <s v="P1242"/>
        <s v="P1762"/>
        <s v="P2033"/>
        <s v="P2944"/>
        <s v="P2988"/>
        <s v="P3083"/>
        <s v="P4727"/>
        <s v="P530"/>
        <s v="P1859"/>
        <s v="P2489"/>
        <s v="P3002"/>
        <s v="P3738"/>
        <s v="P4295"/>
        <s v="P1185"/>
        <s v="P1580"/>
        <s v="P2427"/>
        <s v="P2519"/>
        <s v="P3066"/>
        <s v="P354"/>
        <s v="P3577"/>
        <s v="P3839"/>
        <s v="P977"/>
        <s v="P3302"/>
        <s v="P3833"/>
        <s v="P4154"/>
        <s v="P4233"/>
        <s v="P4560"/>
        <s v="P1247"/>
        <s v="P4566"/>
        <s v="P468"/>
        <s v="P219"/>
        <s v="P4455"/>
        <s v="P4641"/>
        <s v="P649"/>
        <s v="P1867"/>
        <s v="P1895"/>
        <s v="P2551"/>
        <s v="P3322"/>
        <s v="P369"/>
        <s v="P4904"/>
        <s v="P933"/>
        <s v="P942"/>
        <s v="P1078"/>
        <s v="P2472"/>
        <s v="P3305"/>
        <s v="P371"/>
        <s v="P4062"/>
        <s v="P4126"/>
        <s v="P4424"/>
        <s v="P1746"/>
        <s v="P2655"/>
        <s v="P3424"/>
        <s v="P1197"/>
        <s v="P1569"/>
        <s v="P1663"/>
        <s v="P1893"/>
        <s v="P2998"/>
        <s v="P3678"/>
        <s v="P4194"/>
        <s v="P4626"/>
        <s v="P945"/>
        <s v="P1343"/>
        <s v="P1366"/>
        <s v="P1589"/>
        <s v="P3757"/>
        <s v="P4608"/>
        <s v="P837"/>
        <s v="P3726"/>
        <s v="P3852"/>
        <s v="P4711"/>
        <s v="P4717"/>
        <s v="P1050"/>
        <s v="P3126"/>
        <s v="P4111"/>
        <s v="P4193"/>
        <s v="P4564"/>
        <s v="P1574"/>
        <s v="P2121"/>
        <s v="P1127"/>
        <s v="P2294"/>
        <s v="P2314"/>
        <s v="P2389"/>
        <s v="P2792"/>
        <s v="P391"/>
        <s v="P4044"/>
        <s v="P483"/>
        <s v="P55"/>
        <s v="P879"/>
        <s v="P1749"/>
        <s v="P2745"/>
        <s v="P4920"/>
        <s v="P4933"/>
        <s v="P599"/>
        <s v="P767"/>
        <s v="P1281"/>
        <s v="P2417"/>
        <s v="P2755"/>
        <s v="P2905"/>
        <s v="P3084"/>
        <s v="P3186"/>
        <s v="P927"/>
        <s v="P1422"/>
        <s v="P1463"/>
        <s v="P2394"/>
        <s v="P2540"/>
        <s v="P2895"/>
        <s v="P3505"/>
        <s v="P4653"/>
        <s v="P4849"/>
        <s v="P1603"/>
        <s v="P2381"/>
        <s v="P2467"/>
        <s v="P2874"/>
        <s v="P3935"/>
        <s v="P1480"/>
        <s v="P2334"/>
        <s v="P2349"/>
        <s v="P3469"/>
        <s v="P3838"/>
        <s v="P4196"/>
        <s v="P4621"/>
        <s v="P472"/>
        <s v="P4974"/>
        <s v="P924"/>
        <s v="P1647"/>
        <s v="P1921"/>
        <s v="P2957"/>
        <s v="P531"/>
        <s v="P1244"/>
        <s v="P1540"/>
        <s v="P1674"/>
        <s v="P3421"/>
        <s v="P3832"/>
        <s v="P3950"/>
        <s v="P829"/>
        <s v="P1450"/>
        <s v="P2993"/>
        <s v="P331"/>
        <s v="P3655"/>
        <s v="P2618"/>
        <s v="P2894"/>
        <s v="P3586"/>
        <s v="P415"/>
        <s v="P858"/>
        <s v="P162"/>
        <s v="P2044"/>
        <s v="P2649"/>
        <s v="P3140"/>
        <s v="P3144"/>
        <s v="P3162"/>
        <s v="P3446"/>
        <s v="P3520"/>
        <s v="P406"/>
        <s v="P4629"/>
        <s v="P4890"/>
        <s v="P1353"/>
        <s v="P1512"/>
        <s v="P1998"/>
        <s v="P250"/>
        <s v="P263"/>
        <s v="P1266"/>
        <s v="P2248"/>
        <s v="P3612"/>
        <s v="P4010"/>
        <s v="P4828"/>
        <s v="P2354"/>
        <s v="P2579"/>
        <s v="P2750"/>
        <s v="P3487"/>
        <s v="P3494"/>
        <s v="P3549"/>
        <s v="P4541"/>
        <s v="P1797"/>
        <s v="P2132"/>
        <s v="P2181"/>
        <s v="P389"/>
        <s v="P4567"/>
        <s v="P4910"/>
        <s v="P1288"/>
        <s v="P1877"/>
        <s v="P2297"/>
        <s v="P2424"/>
        <s v="P2866"/>
        <s v="P3454"/>
        <s v="P3849"/>
        <s v="P3983"/>
        <s v="P4284"/>
        <s v="P444"/>
        <s v="P1405"/>
        <s v="P194"/>
        <s v="P2934"/>
        <s v="P2965"/>
        <s v="P4635"/>
        <s v="P1773"/>
        <s v="P2399"/>
        <s v="P4046"/>
        <s v="P4206"/>
        <s v="P1226"/>
        <s v="P165"/>
        <s v="P1763"/>
        <s v="P2426"/>
        <s v="P317"/>
        <s v="P3850"/>
        <s v="P3925"/>
        <s v="P4113"/>
        <s v="P4498"/>
        <s v="P4531"/>
        <s v="P4779"/>
        <s v="P4807"/>
        <s v="P1305"/>
        <s v="P1384"/>
        <s v="P140"/>
        <s v="P2502"/>
        <s v="P2832"/>
        <s v="P2885"/>
        <s v="P2953"/>
        <s v="P3592"/>
        <s v="P420"/>
        <s v="P425"/>
        <s v="P4288"/>
        <s v="P4575"/>
        <s v="P857"/>
        <s v="P1676"/>
        <s v="P1728"/>
        <s v="P2495"/>
        <s v="P2674"/>
        <s v="P2872"/>
        <s v="P342"/>
        <s v="P423"/>
        <s v="P4771"/>
        <s v="P4811"/>
        <s v="P1759"/>
        <s v="P3237"/>
        <s v="P3558"/>
        <s v="P486"/>
        <s v="P492"/>
        <s v="P572"/>
        <s v="P1361"/>
        <s v="P2278"/>
        <s v="P2452"/>
        <s v="P290"/>
        <s v="P3531"/>
        <s v="P3949"/>
        <s v="P133"/>
        <s v="P2330"/>
        <s v="P2823"/>
        <s v="P3267"/>
        <s v="P3411"/>
        <s v="P4110"/>
        <s v="P4523"/>
        <s v="P876"/>
        <s v="P1584"/>
        <s v="P1601"/>
        <s v="P1766"/>
        <s v="P2007"/>
        <s v="P226"/>
        <s v="P2741"/>
        <s v="P3594"/>
        <s v="P4335"/>
        <s v="P4363"/>
        <s v="P1710"/>
        <s v="P2588"/>
        <s v="P2661"/>
        <s v="P429"/>
        <s v="P4500"/>
        <s v="P4631"/>
        <s v="P899"/>
        <s v="P1594"/>
        <s v="P1830"/>
        <s v="P2781"/>
        <s v="P3134"/>
        <s v="P3367"/>
        <s v="P3791"/>
        <s v="P488"/>
        <s v="P1578"/>
        <s v="P2358"/>
        <s v="P4854"/>
        <s v="P527"/>
        <s v="P606"/>
        <s v="P1600"/>
        <s v="P2205"/>
        <s v="P2259"/>
        <s v="P2433"/>
        <s v="P4056"/>
        <s v="P84"/>
        <s v="P4946"/>
        <s v="P1128"/>
        <s v="P129"/>
        <s v="P1713"/>
        <s v="P2369"/>
        <s v="P3053"/>
        <s v="P4346"/>
        <s v="P1485"/>
        <s v="P1809"/>
        <s v="P3823"/>
        <s v="P756"/>
        <s v="P1037"/>
        <s v="P2105"/>
        <s v="P2311"/>
        <s v="P2617"/>
        <s v="P4328"/>
        <s v="P1666"/>
        <s v="P2729"/>
        <s v="P277"/>
        <s v="P4813"/>
        <s v="P700"/>
        <s v="P1863"/>
        <s v="P2749"/>
        <s v="P3496"/>
        <s v="P4086"/>
        <s v="P4355"/>
        <s v="P4669"/>
        <s v="P4742"/>
        <s v="P4820"/>
        <s v="P561"/>
        <s v="P808"/>
        <s v="P1063"/>
        <s v="P1375"/>
        <s v="P1489"/>
        <s v="P1941"/>
        <s v="P2058"/>
        <s v="P2819"/>
        <s v="P2947"/>
        <s v="P4960"/>
        <s v="P937"/>
        <s v="P1855"/>
        <s v="P2140"/>
        <s v="P2179"/>
        <s v="P2336"/>
        <s v="P3188"/>
        <s v="P3338"/>
        <s v="P436"/>
        <s v="P1111"/>
        <s v="P1742"/>
        <s v="P2018"/>
        <s v="P2360"/>
        <s v="P3114"/>
        <s v="P3312"/>
        <s v="P3428"/>
        <s v="P3601"/>
        <s v="P3706"/>
        <s v="P4689"/>
        <s v="P901"/>
        <s v="P97"/>
        <s v="P1456"/>
        <s v="P2170"/>
        <s v="P220"/>
        <s v="P2287"/>
        <s v="P2462"/>
        <s v="P2761"/>
        <s v="P2896"/>
        <s v="P3054"/>
        <s v="P3167"/>
        <s v="P3835"/>
        <s v="P403"/>
        <s v="P4201"/>
        <s v="P4794"/>
        <s v="P1458"/>
        <s v="P1484"/>
        <s v="P1846"/>
        <s v="P3817"/>
        <s v="P4478"/>
        <s v="P4544"/>
        <s v="P504"/>
        <s v="P765"/>
        <s v="P2622"/>
        <s v="P2780"/>
        <s v="P3241"/>
        <s v="P3429"/>
        <s v="P3786"/>
        <s v="P4674"/>
        <s v="P949"/>
        <s v="P1579"/>
        <s v="P3460"/>
        <s v="P4886"/>
        <s v="P1683"/>
        <s v="P1735"/>
        <s v="P1929"/>
        <s v="P2135"/>
        <s v="P3128"/>
        <s v="P3234"/>
        <s v="P409"/>
        <s v="P726"/>
        <s v="P1044"/>
        <s v="P1188"/>
        <s v="P1834"/>
        <s v="P2518"/>
        <s v="P2542"/>
        <s v="P2773"/>
        <s v="P3907"/>
        <s v="P1644"/>
        <s v="P3570"/>
        <s v="P441"/>
        <s v="P4884"/>
        <s v="P1348"/>
        <s v="P1573"/>
        <s v="P2169"/>
        <s v="P3027"/>
        <s v="P3588"/>
        <s v="P4883"/>
        <s v="P569"/>
        <s v="P1154"/>
        <s v="P1910"/>
        <s v="P22"/>
        <s v="P2416"/>
        <s v="P3165"/>
        <s v="P361"/>
        <s v="P4279"/>
        <s v="P4832"/>
        <s v="P690"/>
        <s v="P784"/>
        <s v="P836"/>
        <s v="P867"/>
        <s v="P2676"/>
        <s v="P4345"/>
        <s v="P1301"/>
        <s v="P2347"/>
        <s v="P2881"/>
        <s v="P2961"/>
        <s v="P3067"/>
        <s v="P4016"/>
        <s v="P1672"/>
        <s v="P1828"/>
        <s v="P1997"/>
        <s v="P2060"/>
        <s v="P3381"/>
        <s v="P3394"/>
        <s v="P365"/>
        <s v="P4228"/>
        <s v="P4548"/>
        <s v="P4889"/>
        <s v="P963"/>
        <s v="P1068"/>
        <s v="P1307"/>
        <s v="P1688"/>
        <s v="P1826"/>
        <s v="P2521"/>
        <s v="P2736"/>
        <s v="P2924"/>
        <s v="P2948"/>
        <s v="P3026"/>
        <s v="P3430"/>
        <s v="P3568"/>
        <s v="P3541"/>
        <s v="P990"/>
        <s v="P1231"/>
        <s v="P1971"/>
        <s v="P2443"/>
        <s v="P2938"/>
        <s v="P3966"/>
        <s v="P4107"/>
        <s v="P4161"/>
        <s v="P1984"/>
        <s v="P4138"/>
        <s v="P615"/>
        <s v="P1156"/>
        <s v="P2644"/>
        <s v="P3214"/>
        <s v="P3521"/>
        <s v="P1061"/>
        <s v="P1103"/>
        <s v="P3348"/>
        <s v="P4214"/>
        <s v="P66"/>
        <s v="P724"/>
        <s v="P1725"/>
        <s v="P607"/>
        <s v="P710"/>
        <s v="P1013"/>
        <s v="P1147"/>
        <s v="P2769"/>
        <s v="P3416"/>
        <s v="P3889"/>
        <s v="P4642"/>
        <s v="P2763"/>
        <s v="P3952"/>
        <s v="P4546"/>
        <s v="P1043"/>
        <s v="P1901"/>
        <s v="P1904"/>
        <s v="P2322"/>
        <s v="P2754"/>
        <s v="P2900"/>
        <s v="P3192"/>
        <s v="P3685"/>
        <s v="P4278"/>
        <s v="P1894"/>
        <s v="P2186"/>
        <s v="P2663"/>
        <s v="P2829"/>
        <s v="P3414"/>
        <s v="P3455"/>
        <s v="P3862"/>
        <s v="P818"/>
        <s v="P2300"/>
        <s v="P3240"/>
        <s v="P3287"/>
        <s v="P477"/>
        <s v="P4770"/>
        <s v="P742"/>
        <s v="P1292"/>
        <s v="P207"/>
        <s v="P2561"/>
        <s v="P4997"/>
        <s v="P1153"/>
        <s v="P1916"/>
        <s v="P2864"/>
        <s v="P2869"/>
        <s v="P3624"/>
        <s v="P3970"/>
        <s v="P440"/>
        <s v="P729"/>
        <s v="P1661"/>
        <s v="P2185"/>
        <s v="P4664"/>
        <s v="P698"/>
        <s v="P890"/>
        <s v="P1412"/>
        <s v="P2608"/>
        <s v="P2654"/>
        <s v="P3109"/>
        <s v="P358"/>
        <s v="P4781"/>
        <s v="P1046"/>
        <s v="P1222"/>
        <s v="P1604"/>
        <s v="P2658"/>
        <s v="P3461"/>
        <s v="P3811"/>
        <s v="P3961"/>
        <s v="P4163"/>
        <s v="P4620"/>
        <s v="P1073"/>
        <s v="P3466"/>
        <s v="P4571"/>
        <s v="P502"/>
        <s v="P749"/>
        <s v="P1214"/>
        <s v="P1357"/>
        <s v="P3318"/>
        <s v="P3603"/>
        <s v="P4851"/>
        <s v="P2662"/>
        <s v="P3357"/>
        <s v="P3785"/>
        <s v="P4238"/>
        <s v="P1787"/>
        <s v="P2281"/>
        <s v="P351"/>
        <s v="P4178"/>
        <s v="P596"/>
        <s v="P2039"/>
        <s v="P2600"/>
        <s v="P4633"/>
        <s v="P526"/>
        <s v="P554"/>
        <s v="P792"/>
        <s v="P1936"/>
        <s v="P3383"/>
        <s v="P776"/>
        <s v="P1151"/>
        <s v="P1576"/>
        <s v="P2124"/>
        <s v="P2578"/>
        <s v="P2779"/>
        <s v="P288"/>
        <s v="P3878"/>
        <s v="P4706"/>
        <s v="P1558"/>
        <s v="P1922"/>
        <s v="P1964"/>
        <s v="P2120"/>
        <s v="P2226"/>
        <s v="P3927"/>
        <s v="P1250"/>
        <s v="P2023"/>
        <s v="P2036"/>
        <s v="P2110"/>
        <s v="P2178"/>
        <s v="P2595"/>
        <s v="P3523"/>
        <s v="P4452"/>
        <s v="P587"/>
        <s v="P1369"/>
        <s v="P2401"/>
        <s v="P3993"/>
        <s v="P4563"/>
        <s v="P1182"/>
        <s v="P1396"/>
        <s v="P2228"/>
        <s v="P2353"/>
        <s v="P3159"/>
        <s v="P3294"/>
        <s v="P3303"/>
        <s v="P4435"/>
        <s v="P4459"/>
        <s v="P4777"/>
        <s v="P2471"/>
        <s v="P3020"/>
        <s v="P3272"/>
        <s v="P3403"/>
        <s v="P3847"/>
        <s v="P3936"/>
        <s v="P4721"/>
        <s v="P1082"/>
        <s v="P136"/>
        <s v="P2639"/>
        <s v="P3256"/>
        <s v="P3269"/>
        <s v="P4277"/>
        <s v="P4762"/>
        <s v="P4937"/>
        <s v="P545"/>
        <s v="P1487"/>
        <s v="P1527"/>
        <s v="P2204"/>
        <s v="P2252"/>
        <s v="P2770"/>
        <s v="P4518"/>
        <s v="P4827"/>
        <s v="P753"/>
        <s v="P1121"/>
        <s v="P1520"/>
        <s v="P3024"/>
        <s v="P380"/>
        <s v="P4098"/>
        <s v="P4404"/>
        <s v="P881"/>
        <s v="P1327"/>
        <s v="P2229"/>
        <s v="P321"/>
        <s v="P4318"/>
        <s v="P626"/>
        <s v="P1460"/>
        <s v="P2338"/>
        <s v="P3554"/>
        <s v="P3627"/>
        <s v="P4169"/>
        <s v="P723"/>
        <s v="P2050"/>
        <s v="P2544"/>
        <s v="P3361"/>
        <s v="P3705"/>
        <s v="P4714"/>
        <s v="P158"/>
        <s v="P1634"/>
        <s v="P1770"/>
        <s v="P3626"/>
        <s v="P4252"/>
        <s v="P458"/>
        <s v="P4796"/>
        <s v="P2635"/>
        <s v="P3883"/>
        <s v="P4060"/>
        <s v="P4264"/>
        <s v="P4644"/>
        <s v="P571"/>
        <s v="P1036"/>
        <s v="P150"/>
        <s v="P2265"/>
        <s v="P2469"/>
        <s v="P2794"/>
        <s v="P324"/>
        <s v="P656"/>
        <s v="P1199"/>
        <s v="P1608"/>
        <s v="P1612"/>
        <s v="P1771"/>
        <s v="P2125"/>
        <s v="P254"/>
        <s v="P3199"/>
        <s v="P4471"/>
        <s v="P4509"/>
        <s v="P515"/>
        <s v="P1739"/>
        <s v="P1944"/>
        <s v="P2026"/>
        <s v="P268"/>
        <s v="P3044"/>
        <s v="P3870"/>
        <s v="P4275"/>
        <s v="P1113"/>
        <s v="P121"/>
        <s v="P1769"/>
        <s v="P2088"/>
        <s v="P2243"/>
        <s v="P3563"/>
        <s v="P625"/>
        <s v="P169"/>
        <s v="P3861"/>
        <s v="P3884"/>
        <s v="P3906"/>
        <s v="P4343"/>
        <s v="P666"/>
        <s v="P138"/>
        <s v="P2406"/>
        <s v="P2466"/>
        <s v="P3667"/>
        <s v="P3755"/>
        <s v="P4130"/>
        <s v="P414"/>
        <s v="P1536"/>
        <s v="P2432"/>
        <s v="P2516"/>
        <s v="P2532"/>
        <s v="P2835"/>
        <s v="P3694"/>
        <s v="P4533"/>
        <s v="P113"/>
        <s v="P2177"/>
        <s v="P2610"/>
        <s v="P3076"/>
        <s v="P4615"/>
        <s v="P1110"/>
        <s v="P3365"/>
        <s v="P3619"/>
        <s v="P3963"/>
        <s v="P4737"/>
        <s v="P1209"/>
        <s v="P1347"/>
        <s v="P1842"/>
        <s v="P2067"/>
        <s v="P3100"/>
        <s v="P3311"/>
        <s v="P3426"/>
        <s v="P3515"/>
        <s v="P3691"/>
        <s v="P3770"/>
        <s v="P1502"/>
        <s v="P1950"/>
        <s v="P2636"/>
        <s v="P3423"/>
        <s v="P1054"/>
        <s v="P1417"/>
        <s v="P2567"/>
        <s v="P2645"/>
        <s v="P2920"/>
        <s v="P3658"/>
        <s v="P3716"/>
        <s v="P4150"/>
        <s v="P4691"/>
        <s v="P4988"/>
        <s v="P63"/>
        <s v="P755"/>
        <s v="P2700"/>
        <s v="P3161"/>
        <s v="P4493"/>
        <s v="P616"/>
        <s v="P959"/>
        <s v="P1086"/>
        <s v="P1100"/>
        <s v="P1342"/>
        <s v="P2337"/>
        <s v="P26"/>
        <s v="P3393"/>
        <s v="P4271"/>
        <s v="P4334"/>
        <s v="P4783"/>
        <s v="P143"/>
        <s v="P2318"/>
        <s v="P2563"/>
        <s v="P280"/>
        <s v="P3075"/>
        <s v="P360"/>
        <s v="P3834"/>
        <s v="P3955"/>
        <s v="P3987"/>
        <s v="P4767"/>
        <s v="P1011"/>
        <s v="P1559"/>
        <s v="P2014"/>
        <s v="P2096"/>
        <s v="P3814"/>
        <s v="P4376"/>
        <s v="P4923"/>
        <s v="P15"/>
        <s v="P2111"/>
        <s v="P2623"/>
        <s v="P2847"/>
        <s v="P3081"/>
        <s v="P3153"/>
        <s v="P3233"/>
        <s v="P3632"/>
        <s v="P4409"/>
        <s v="P4537"/>
        <s v="P4559"/>
        <s v="P99"/>
        <s v="P1392"/>
        <s v="P2069"/>
        <s v="P2193"/>
        <s v="P3030"/>
        <s v="P38"/>
        <s v="P1890"/>
        <s v="P2487"/>
        <s v="P2530"/>
        <s v="P334"/>
        <s v="P3467"/>
        <s v="P434"/>
        <s v="P662"/>
        <s v="P1461"/>
        <s v="P2263"/>
        <s v="P2290"/>
        <s v="P3522"/>
        <s v="P909"/>
        <s v="P1085"/>
        <s v="P2004"/>
        <s v="P2602"/>
        <s v="P3052"/>
        <s v="P3205"/>
        <s v="P3436"/>
        <s v="P3593"/>
        <s v="P4309"/>
        <s v="P2974"/>
        <s v="P3576"/>
        <s v="P3821"/>
        <s v="P473"/>
        <s v="P4892"/>
        <s v="P2846"/>
        <s v="P3485"/>
        <s v="P3498"/>
        <s v="P3519"/>
        <s v="P3566"/>
        <s v="P4693"/>
        <s v="P1019"/>
        <s v="P1123"/>
        <s v="P1256"/>
        <s v="P2383"/>
        <s v="P2405"/>
        <s v="P2550"/>
        <s v="P484"/>
        <s v="P4991"/>
        <s v="P535"/>
        <s v="P984"/>
        <s v="P118"/>
        <s v="P2062"/>
        <s v="P256"/>
        <s v="P3163"/>
        <s v="P4100"/>
        <s v="P4984"/>
        <s v="P976"/>
        <s v="P1259"/>
        <s v="P1418"/>
        <s v="P1854"/>
        <s v="P2068"/>
        <s v="P2756"/>
        <s v="P3031"/>
        <s v="P386"/>
        <s v="P4059"/>
        <s v="P994"/>
        <s v="P2404"/>
        <s v="P3399"/>
        <s v="P4292"/>
        <s v="P4296"/>
        <s v="P1903"/>
        <s v="P1968"/>
        <s v="P2002"/>
        <s v="P260"/>
        <s v="P2523"/>
        <s v="P2531"/>
        <s v="P291"/>
        <s v="P3104"/>
        <s v="P3489"/>
        <s v="P3598"/>
        <s v="P4020"/>
        <s v="P4407"/>
        <s v="P1705"/>
        <s v="P2373"/>
        <s v="P2673"/>
        <s v="P3253"/>
        <s v="P3362"/>
        <s v="P3575"/>
        <s v="P3959"/>
        <s v="P4012"/>
        <s v="P4304"/>
        <s v="P4384"/>
        <s v="P4485"/>
        <s v="P1124"/>
        <s v="P2054"/>
        <s v="P2856"/>
        <s v="P3198"/>
        <s v="P3546"/>
        <s v="P3615"/>
        <s v="P3723"/>
        <s v="P4416"/>
        <s v="P683"/>
        <s v="P1000"/>
        <s v="P2431"/>
        <s v="P346"/>
        <s v="P3596"/>
        <s v="P4461"/>
        <s v="P1618"/>
        <s v="P195"/>
        <s v="P2560"/>
        <s v="P2605"/>
        <s v="P2837"/>
        <s v="P2910"/>
        <s v="P2980"/>
        <s v="P395"/>
        <s v="P4667"/>
        <s v="P4810"/>
        <s v="P1776"/>
        <s v="P2609"/>
        <s v="P3286"/>
        <s v="P4625"/>
        <s v="P4690"/>
        <s v="P1414"/>
        <s v="P1657"/>
        <s v="P2412"/>
        <s v="P3086"/>
        <s v="P3360"/>
        <s v="P3633"/>
        <s v="P433"/>
        <s v="P1053"/>
        <s v="P1367"/>
        <s v="P2465"/>
        <s v="P3048"/>
        <s v="P3131"/>
        <s v="P3784"/>
        <s v="P4184"/>
        <s v="P4686"/>
        <s v="P470"/>
        <s v="P4815"/>
        <s v="P533"/>
        <s v="P1144"/>
        <s v="P1192"/>
        <s v="P1500"/>
        <s v="P1812"/>
        <s v="P3722"/>
        <s v="P392"/>
        <s v="P1"/>
        <s v="P1495"/>
        <s v="P1626"/>
        <s v="P2562"/>
        <s v="P3321"/>
        <s v="P3969"/>
        <s v="P4035"/>
        <s v="P4592"/>
        <s v="P4840"/>
        <s v="P544"/>
        <s v="P1159"/>
        <s v="P1542"/>
        <s v="P1985"/>
        <s v="P2309"/>
        <s v="P281"/>
        <s v="P3532"/>
        <s v="P3715"/>
        <s v="P4028"/>
        <s v="P964"/>
        <s v="P1232"/>
        <s v="P1490"/>
        <s v="P259"/>
        <s v="P3514"/>
        <s v="P4190"/>
        <s v="P4472"/>
        <s v="P671"/>
        <s v="P865"/>
        <s v="P105"/>
        <s v="P1170"/>
        <s v="P1505"/>
        <s v="P20"/>
        <s v="P4077"/>
        <s v="P4235"/>
        <s v="P4895"/>
        <s v="P125"/>
        <s v="P1434"/>
        <s v="P1752"/>
        <s v="P1930"/>
        <s v="P2270"/>
        <s v="P2352"/>
        <s v="P4250"/>
        <s v="P826"/>
        <s v="P1317"/>
        <s v="P1884"/>
        <s v="P1912"/>
        <s v="P2269"/>
        <s v="P2335"/>
        <s v="P4157"/>
        <s v="P4515"/>
        <s v="P4844"/>
        <s v="P744"/>
        <s v="P1445"/>
        <s v="P2031"/>
        <s v="P2150"/>
        <s v="P356"/>
        <s v="P3864"/>
        <s v="P4200"/>
        <s v="P4326"/>
        <s v="P785"/>
        <s v="P1095"/>
        <s v="P1453"/>
        <s v="P157"/>
        <s v="P372"/>
        <s v="P376"/>
        <s v="P3988"/>
        <s v="P714"/>
        <s v="P2637"/>
        <s v="P3101"/>
        <s v="P3873"/>
        <s v="P4118"/>
        <s v="P4360"/>
        <s v="P4865"/>
        <s v="P4905"/>
        <s v="P897"/>
        <s v="P1302"/>
        <s v="P2914"/>
        <s v="P2963"/>
        <s v="P3270"/>
        <s v="P2066"/>
        <s v="P2244"/>
        <s v="P2968"/>
        <s v="P3262"/>
        <s v="P3274"/>
        <s v="P3704"/>
        <s v="P4752"/>
        <s v="P1615"/>
        <s v="P1627"/>
        <s v="P1734"/>
        <s v="P2176"/>
        <s v="P3474"/>
        <s v="P3997"/>
        <s v="P681"/>
        <s v="P1200"/>
        <s v="P2015"/>
        <s v="P3117"/>
        <s v="P3735"/>
        <s v="P4186"/>
        <s v="P557"/>
        <s v="P601"/>
        <s v="P750"/>
        <s v="P2255"/>
        <s v="P2911"/>
        <s v="P3813"/>
        <s v="P4540"/>
        <s v="P4773"/>
        <s v="P1691"/>
        <s v="P2817"/>
        <s v="P3529"/>
        <s v="P4102"/>
        <s v="P62"/>
        <s v="P730"/>
        <s v="P1404"/>
        <s v="P2206"/>
        <s v="P2396"/>
        <s v="P283"/>
        <s v="P3457"/>
        <s v="P3754"/>
        <s v="P4109"/>
        <s v="P1905"/>
        <s v="P1949"/>
        <s v="P2301"/>
        <s v="P3315"/>
        <s v="P3359"/>
        <s v="P4072"/>
        <s v="P4249"/>
        <s v="P764"/>
        <s v="P1515"/>
        <s v="P2285"/>
        <s v="P3039"/>
        <s v="P3195"/>
        <s v="P3617"/>
        <s v="P4137"/>
        <s v="P697"/>
        <s v="P244"/>
        <s v="P2861"/>
        <s v="P3346"/>
        <s v="P340"/>
        <s v="P4127"/>
        <s v="P4245"/>
        <s v="P1016"/>
        <s v="P2172"/>
        <s v="P2391"/>
        <s v="P2703"/>
        <s v="P3335"/>
        <s v="P1377"/>
        <s v="P1696"/>
        <s v="P1813"/>
        <s v="P1845"/>
        <s v="P262"/>
        <s v="P2784"/>
        <s v="P3017"/>
        <s v="P3064"/>
        <s v="P946"/>
        <s v="P1052"/>
        <s v="P1261"/>
        <s v="P1610"/>
        <s v="P2882"/>
        <s v="P3271"/>
        <s v="P3826"/>
        <s v="P4399"/>
        <s v="P1587"/>
        <s v="P1967"/>
        <s v="P2697"/>
        <s v="P3106"/>
        <s v="P4209"/>
        <s v="P4623"/>
        <s v="P699"/>
        <s v="P1102"/>
        <s v="P1325"/>
        <s v="P1426"/>
        <s v="P1816"/>
        <s v="P2020"/>
        <s v="P2341"/>
        <s v="P2474"/>
        <s v="P2510"/>
        <s v="P2679"/>
        <s v="P2710"/>
        <s v="P4051"/>
        <s v="P4207"/>
        <s v="P4451"/>
        <s v="P4570"/>
        <s v="P4617"/>
        <s v="P4683"/>
        <s v="P988"/>
        <s v="P1171"/>
        <s v="P1886"/>
        <s v="P1955"/>
        <s v="P2312"/>
        <s v="P2695"/>
        <s v="P3300"/>
        <s v="P3530"/>
        <s v="P456"/>
        <s v="P4902"/>
        <s v="P1382"/>
        <s v="P1564"/>
        <s v="P175"/>
        <s v="P2535"/>
        <s v="P2696"/>
        <s v="P2705"/>
        <s v="P3482"/>
        <s v="P4450"/>
        <s v="P4538"/>
        <s v="P1416"/>
        <s v="P1476"/>
        <s v="P2385"/>
        <s v="P2407"/>
        <s v="P2915"/>
        <s v="P3719"/>
        <s v="P3725"/>
        <s v="P4594"/>
        <s v="P479"/>
        <s v="P1393"/>
        <s v="P1473"/>
        <s v="P1692"/>
        <s v="P2380"/>
        <s v="P3094"/>
        <s v="P1047"/>
        <s v="P1263"/>
        <s v="P1336"/>
        <s v="P1376"/>
        <s v="P2209"/>
        <s v="P2886"/>
        <s v="P3138"/>
        <s v="P3646"/>
        <s v="P566"/>
        <s v="P1986"/>
        <s v="P2447"/>
        <s v="P2723"/>
        <s v="P3011"/>
        <s v="P3016"/>
        <s v="P3693"/>
        <s v="P3937"/>
        <s v="P4558"/>
        <s v="P46"/>
        <s v="P1947"/>
        <s v="P216"/>
        <s v="P3662"/>
        <s v="P2047"/>
        <s v="P3342"/>
        <s v="P3486"/>
        <s v="P3674"/>
        <s v="P3857"/>
        <s v="P388"/>
        <s v="P4036"/>
        <s v="P4220"/>
        <s v="P560"/>
        <s v="P813"/>
        <s v="P888"/>
        <s v="P1736"/>
        <s v="P1864"/>
        <s v="P2320"/>
        <s v="P3038"/>
        <s v="P4260"/>
        <s v="P4833"/>
        <s v="P518"/>
        <s v="P78"/>
        <s v="P1157"/>
        <s v="P2059"/>
        <s v="P2464"/>
        <s v="P258"/>
        <s v="P4517"/>
        <s v="P496"/>
        <s v="P1114"/>
        <s v="P2093"/>
        <s v="P293"/>
        <s v="P3093"/>
        <s v="P4412"/>
        <s v="P4748"/>
        <s v="P4792"/>
        <s v="P1670"/>
        <s v="P2370"/>
        <s v="P2690"/>
        <s v="P366"/>
        <s v="P3745"/>
        <s v="P4023"/>
        <s v="P4215"/>
        <s v="P4504"/>
        <s v="P676"/>
        <s v="P684"/>
        <s v="P1539"/>
        <s v="P1925"/>
        <s v="P2006"/>
        <s v="P2573"/>
        <s v="P265"/>
        <s v="P2922"/>
        <s v="P3363"/>
        <s v="P387"/>
        <s v="P4826"/>
        <s v="P1387"/>
        <s v="P2129"/>
        <s v="P2133"/>
        <s v="P2166"/>
        <s v="P3142"/>
        <s v="P377"/>
        <s v="P3858"/>
        <s v="P4040"/>
        <s v="P1570"/>
        <s v="P1943"/>
        <s v="P1961"/>
        <s v="P2158"/>
        <s v="P3097"/>
        <s v="P3377"/>
        <s v="P4475"/>
        <s v="P4650"/>
        <s v="P4739"/>
        <s v="P4757"/>
        <s v="P59"/>
        <s v="P995"/>
        <s v="P1290"/>
        <s v="P1401"/>
        <s v="P160"/>
        <s v="P2286"/>
        <s v="P275"/>
        <s v="P3608"/>
        <s v="P4367"/>
        <s v="P1262"/>
        <s v="P2079"/>
        <s v="P37"/>
        <s v="P4347"/>
        <s v="P4588"/>
        <s v="P2344"/>
        <s v="P2685"/>
        <s v="P3061"/>
        <s v="P1482"/>
        <s v="P1994"/>
        <s v="P2144"/>
        <s v="P2196"/>
        <s v="P4229"/>
        <s v="P4421"/>
        <s v="P816"/>
        <s v="P1101"/>
        <s v="P1145"/>
        <s v="P3327"/>
        <s v="P363"/>
        <s v="P3947"/>
        <s v="P4333"/>
        <s v="P4671"/>
        <s v="P499"/>
        <s v="P1020"/>
        <s v="P1428"/>
        <s v="P2293"/>
        <s v="P1788"/>
        <s v="P1962"/>
        <s v="P312"/>
        <s v="P4953"/>
        <s v="P1398"/>
        <s v="P1403"/>
        <s v="P1563"/>
        <s v="P2098"/>
        <s v="P2776"/>
        <s v="P4280"/>
        <s v="P4580"/>
        <s v="P702"/>
        <s v="P9"/>
        <s v="P2048"/>
        <s v="P2260"/>
        <s v="P2678"/>
        <s v="P274"/>
        <s v="P3022"/>
        <s v="P3544"/>
        <s v="P4998"/>
        <s v="P523"/>
        <s v="P883"/>
        <s v="P989"/>
        <s v="P1337"/>
        <s v="P1654"/>
        <s v="P266"/>
        <s v="P2868"/>
        <s v="P4582"/>
        <s v="P1598"/>
        <s v="P2056"/>
        <s v="P2254"/>
        <s v="P2319"/>
        <s v="P3070"/>
        <s v="P3580"/>
        <s v="P4380"/>
        <s v="P1220"/>
        <s v="P1858"/>
        <s v="P3501"/>
        <s v="P3675"/>
        <s v="P3851"/>
        <s v="P4050"/>
        <s v="P4095"/>
        <s v="P4378"/>
        <s v="P861"/>
        <s v="P2470"/>
        <s v="P2611"/>
        <s v="P4685"/>
        <s v="P721"/>
        <s v="P2049"/>
        <s v="P2628"/>
        <s v="P300"/>
        <s v="P3631"/>
        <s v="P4171"/>
        <s v="P4241"/>
        <s v="P4939"/>
        <s v="P67"/>
        <s v="P875"/>
        <s v="P1234"/>
        <s v="P1335"/>
        <s v="P1350"/>
        <s v="P1388"/>
        <s v="P1585"/>
        <s v="P2099"/>
        <s v="P2634"/>
        <s v="P2708"/>
        <s v="P2836"/>
        <s v="P3220"/>
        <s v="P3721"/>
        <s v="P1409"/>
        <s v="P1873"/>
        <s v="P2429"/>
        <s v="P3010"/>
        <s v="P308"/>
        <s v="P4456"/>
        <s v="P741"/>
        <s v="P917"/>
        <s v="P1033"/>
        <s v="P1326"/>
        <s v="P1496"/>
        <s v="P1501"/>
        <s v="P1841"/>
        <s v="P2136"/>
        <s v="P2324"/>
        <s v="P4258"/>
        <s v="P4842"/>
        <s v="P704"/>
        <s v="P210"/>
        <s v="P3156"/>
        <s v="P3710"/>
        <s v="P4535"/>
        <s v="P4547"/>
        <s v="P4607"/>
        <s v="P1040"/>
        <s v="P1205"/>
        <s v="P1333"/>
        <s v="P224"/>
        <s v="P2743"/>
        <s v="P3739"/>
        <s v="P3837"/>
        <s v="P4703"/>
        <s v="P520"/>
        <s v="P2095"/>
        <s v="P3235"/>
        <s v="P3254"/>
        <s v="P3930"/>
        <s v="P4179"/>
        <s v="P4887"/>
        <s v="P947"/>
        <s v="P2398"/>
        <s v="P2616"/>
        <s v="P285"/>
        <s v="P3143"/>
        <s v="P3146"/>
        <s v="P355"/>
        <s v="P3556"/>
        <s v="P4795"/>
        <s v="P971"/>
        <s v="P1034"/>
        <s v="P1169"/>
        <s v="P1511"/>
        <s v="P2094"/>
        <s v="P234"/>
        <s v="P2572"/>
        <s v="P4952"/>
        <s v="P1296"/>
        <s v="P1309"/>
        <s v="P1699"/>
        <s v="P1796"/>
        <s v="P2113"/>
        <s v="P2627"/>
        <s v="P3369"/>
        <s v="P1399"/>
        <s v="P1532"/>
        <s v="P3059"/>
        <s v="P4123"/>
        <s v="P432"/>
        <s v="P919"/>
        <s v="P2902"/>
        <s v="P4267"/>
        <s v="P4524"/>
        <s v="P926"/>
        <s v="P1649"/>
        <s v="P4569"/>
        <s v="P4645"/>
        <s v="P467"/>
        <s v="P2063"/>
        <s v="P2160"/>
        <s v="P2231"/>
        <s v="P3897"/>
        <s v="P85"/>
        <s v="P1938"/>
        <s v="P1976"/>
        <s v="P2372"/>
        <s v="P2413"/>
        <s v="P3901"/>
        <s v="P4253"/>
        <s v="P4314"/>
        <s v="P4804"/>
        <s v="P1196"/>
        <s v="P1513"/>
        <s v="P1790"/>
        <s v="P215"/>
        <s v="P2339"/>
        <s v="P3368"/>
        <s v="P4660"/>
        <s v="P1058"/>
        <s v="P1411"/>
        <s v="P161"/>
        <s v="P3092"/>
        <s v="P1268"/>
        <s v="P2225"/>
        <s v="P3018"/>
        <s v="P3258"/>
        <s v="P3319"/>
        <s v="P3728"/>
        <s v="P3912"/>
        <s v="P3996"/>
        <s v="P4448"/>
        <s v="P511"/>
        <s v="P2713"/>
        <s v="P341"/>
        <s v="P3462"/>
        <s v="P3819"/>
        <s v="P4007"/>
        <s v="P4183"/>
        <s v="P4411"/>
        <s v="P4675"/>
        <s v="P720"/>
        <s v="P1486"/>
        <s v="P2762"/>
        <s v="P3509"/>
        <s v="P4216"/>
        <s v="P2687"/>
        <s v="P2916"/>
        <s v="P2939"/>
        <s v="P3019"/>
        <s v="P326"/>
        <s v="P4000"/>
        <s v="P908"/>
        <s v="P1149"/>
        <s v="P1719"/>
        <s v="P2198"/>
        <s v="P2478"/>
        <s v="P2496"/>
        <s v="P2875"/>
        <s v="P381"/>
        <s v="P4624"/>
        <s v="P1142"/>
        <s v="P1847"/>
        <s v="P525"/>
        <s v="P91"/>
        <s v="P1706"/>
        <s v="P183"/>
        <s v="P2331"/>
        <s v="P2630"/>
        <s v="P3373"/>
        <s v="P3439"/>
        <s v="P3856"/>
        <s v="P413"/>
        <s v="P6"/>
        <s v="P1051"/>
        <s v="P1397"/>
        <s v="P2692"/>
        <s v="P3797"/>
        <s v="P1723"/>
        <s v="P2414"/>
        <s v="P2458"/>
        <s v="P2668"/>
        <s v="P316"/>
        <s v="P3251"/>
        <s v="P4291"/>
        <s v="P100"/>
        <s v="P1708"/>
        <s v="P3438"/>
        <s v="P3653"/>
        <s v="P4751"/>
        <s v="P2275"/>
        <s v="P2342"/>
        <s v="P2537"/>
        <s v="P2759"/>
        <s v="P3506"/>
        <s v="P385"/>
        <s v="P4728"/>
        <s v="P1134"/>
        <s v="P1920"/>
        <s v="P2717"/>
        <s v="P3945"/>
        <s v="P4108"/>
        <s v="P4414"/>
        <s v="P854"/>
        <s v="P1283"/>
        <s v="P1425"/>
        <s v="P4115"/>
        <s v="P621"/>
        <s v="P1223"/>
        <s v="P1442"/>
        <s v="P2457"/>
        <s v="P2507"/>
        <s v="P1806"/>
        <s v="P2979"/>
        <s v="P2990"/>
        <s v="P3224"/>
        <s v="P394"/>
        <s v="P4078"/>
        <s v="P4092"/>
        <s v="P4503"/>
        <s v="P584"/>
        <s v="P657"/>
        <s v="P1285"/>
        <s v="P2284"/>
        <s v="P4299"/>
        <s v="P4413"/>
        <s v="P4489"/>
        <s v="P550"/>
        <s v="P731"/>
        <s v="P75"/>
        <s v="P803"/>
        <s v="P16"/>
        <s v="P3085"/>
        <s v="P3349"/>
        <s v="P3919"/>
        <s v="P4630"/>
        <s v="P4679"/>
        <s v="P1732"/>
        <s v="P3477"/>
        <s v="P3602"/>
        <s v="P4097"/>
        <s v="P4125"/>
        <s v="P51"/>
        <s v="P748"/>
        <s v="P1118"/>
        <s v="P2190"/>
        <s v="P2195"/>
        <s v="P2310"/>
        <s v="P2570"/>
        <s v="P3828"/>
        <s v="P3277"/>
        <s v="P4870"/>
        <s v="P4874"/>
        <s v="P628"/>
        <s v="P1320"/>
        <s v="P2403"/>
        <s v="P2420"/>
        <s v="P2506"/>
        <s v="P2999"/>
        <s v="P4598"/>
        <s v="P868"/>
        <s v="P1431"/>
        <s v="P191"/>
        <s v="P2061"/>
        <s v="P2448"/>
        <s v="P3769"/>
        <s v="P1983"/>
        <s v="P227"/>
        <s v="P4372"/>
        <s v="P4747"/>
        <s v="P4797"/>
        <s v="P582"/>
        <s v="P1089"/>
        <s v="P1228"/>
        <s v="P1545"/>
        <s v="P2343"/>
        <s v="P3151"/>
        <s v="P4486"/>
        <s v="P4632"/>
        <s v="P665"/>
        <s v="P148"/>
        <s v="P3451"/>
        <s v="P3734"/>
        <s v="P4156"/>
        <s v="P4397"/>
        <s v="P4467"/>
        <s v="P1960"/>
        <s v="P3410"/>
        <s v="P3804"/>
        <s v="P849"/>
        <s v="P2258"/>
        <s v="P310"/>
        <s v="P796"/>
        <s v="P1303"/>
        <s v="P2892"/>
        <s v="P3595"/>
        <s v="P4217"/>
        <s v="P4293"/>
        <s v="P1322"/>
        <s v="P1443"/>
        <s v="P1658"/>
        <s v="P3921"/>
        <s v="P41"/>
        <s v="P2982"/>
        <s v="P4882"/>
        <s v="P519"/>
        <s v="P591"/>
        <s v="P1768"/>
        <s v="P2217"/>
        <s v="P2491"/>
        <s v="P2899"/>
        <s v="P2904"/>
        <s v="P3636"/>
        <s v="P4565"/>
        <s v="P4668"/>
        <s v="P620"/>
        <s v="P722"/>
        <s v="P1316"/>
        <s v="P1860"/>
        <s v="P2716"/>
        <s v="P2890"/>
        <s v="P3511"/>
        <s v="P3760"/>
        <s v="P382"/>
        <s v="P4257"/>
        <s v="P4778"/>
        <s v="P4873"/>
        <s v="P794"/>
        <s v="P805"/>
        <s v="P1620"/>
        <s v="P3404"/>
        <s v="P3744"/>
        <s v="P549"/>
        <s v="P1150"/>
        <s v="P1774"/>
        <s v="P1999"/>
        <s v="P2184"/>
        <s v="P2727"/>
        <s v="P3513"/>
        <s v="P364"/>
        <s v="P4519"/>
        <s v="P4649"/>
        <s v="P588"/>
        <s v="P827"/>
        <s v="P1611"/>
        <s v="P193"/>
        <s v="P4731"/>
        <s v="P242"/>
        <s v="P3045"/>
        <s v="P3948"/>
        <s v="P4754"/>
        <s v="P847"/>
        <s v="P1194"/>
        <s v="P1602"/>
        <s v="P2104"/>
        <s v="P2123"/>
        <s v="P2732"/>
        <s v="P3569"/>
        <s v="P4353"/>
        <s v="P1125"/>
        <s v="P2032"/>
        <s v="P4018"/>
        <s v="P4949"/>
        <s v="P4976"/>
        <s v="P1229"/>
        <s v="P18"/>
        <s v="P1848"/>
        <s v="P1872"/>
        <s v="P1875"/>
        <s v="P2758"/>
        <s v="P4512"/>
        <s v="P4532"/>
        <s v="P973"/>
        <s v="P1777"/>
        <s v="P1953"/>
        <s v="P2167"/>
        <s v="P2168"/>
        <s v="P2264"/>
        <s v="P2828"/>
        <s v="P2937"/>
        <s v="P3182"/>
        <s v="P3202"/>
        <s v="P3324"/>
        <s v="P3504"/>
        <s v="P4014"/>
        <s v="P4841"/>
        <s v="P1265"/>
        <s v="P1444"/>
        <s v="P2087"/>
        <s v="P2577"/>
        <s v="P2719"/>
        <s v="P4124"/>
        <s v="P4715"/>
        <s v="P4899"/>
        <s v="P864"/>
        <s v="P1381"/>
        <s v="P24"/>
        <s v="P2706"/>
        <s v="P2809"/>
        <s v="P4151"/>
        <s v="P4210"/>
        <s v="P4364"/>
        <s v="P1212"/>
        <s v="P1314"/>
        <s v="P1793"/>
        <s v="P2839"/>
        <s v="P4173"/>
        <s v="P4772"/>
        <s v="P634"/>
        <s v="P751"/>
        <s v="P1227"/>
        <s v="P1521"/>
        <s v="P1883"/>
        <s v="P1919"/>
        <s v="P2234"/>
        <s v="P3900"/>
        <s v="P4464"/>
        <s v="P2010"/>
        <s v="P3475"/>
        <s v="P4189"/>
        <s v="P4389"/>
        <s v="P4488"/>
        <s v="P1682"/>
        <s v="P3443"/>
        <s v="P3628"/>
        <s v="P3778"/>
        <s v="P2753"/>
        <s v="P3809"/>
        <s v="P4144"/>
        <s v="P542"/>
        <s v="P675"/>
        <s v="P2257"/>
        <s v="P230"/>
        <s v="P3788"/>
        <s v="P4204"/>
        <s v="P979"/>
        <s v="P1362"/>
        <s v="P176"/>
        <s v="P2594"/>
        <s v="P276"/>
        <s v="P3055"/>
        <s v="P4521"/>
        <s v="P703"/>
        <s v="P93"/>
        <s v="P2090"/>
        <s v="P2827"/>
        <s v="P3340"/>
        <s v="P4099"/>
        <s v="P4791"/>
        <s v="P4816"/>
        <s v="P1195"/>
        <s v="P1207"/>
        <s v="P1635"/>
        <s v="P1803"/>
        <s v="P1899"/>
        <s v="P3550"/>
        <s v="P3762"/>
        <s v="P4212"/>
        <s v="P4254"/>
        <s v="P4443"/>
        <s v="P1389"/>
        <s v="P1552"/>
        <s v="P2400"/>
        <s v="P4831"/>
        <s v="P4911"/>
        <s v="P541"/>
        <s v="P60"/>
        <s v="P740"/>
        <s v="P800"/>
        <s v="P1900"/>
        <s v="P289"/>
        <s v="P3015"/>
        <s v="P327"/>
        <s v="P3440"/>
        <s v="P4048"/>
        <s v="P4696"/>
        <s v="P521"/>
        <s v="P1049"/>
        <s v="P251"/>
        <s v="P3132"/>
        <s v="P3573"/>
        <s v="P4064"/>
        <s v="P4205"/>
        <s v="P4213"/>
        <s v="P4371"/>
        <s v="P452"/>
        <s v="P1038"/>
        <s v="P2941"/>
        <s v="P3801"/>
        <s v="P4577"/>
        <s v="P4601"/>
        <s v="P4823"/>
        <s v="P4912"/>
        <s v="P960"/>
        <s v="P2363"/>
        <s v="P2476"/>
        <s v="P2598"/>
        <s v="P272"/>
        <s v="P2810"/>
        <s v="P3420"/>
        <s v="P4153"/>
        <s v="P844"/>
        <s v="P4331"/>
        <s v="P514"/>
        <s v="P1517"/>
        <s v="P1987"/>
        <s v="P2149"/>
        <s v="P2272"/>
        <s v="P2862"/>
        <s v="P439"/>
        <s v="P4776"/>
        <s v="P654"/>
        <s v="P2677"/>
        <s v="P3007"/>
        <s v="P4225"/>
        <s v="P4948"/>
        <s v="P173"/>
        <s v="P2796"/>
        <s v="P303"/>
        <s v="P3249"/>
        <s v="P3565"/>
        <s v="P4480"/>
        <s v="P4492"/>
        <s v="P4597"/>
        <s v="P4761"/>
        <s v="P802"/>
        <s v="P1084"/>
        <s v="P1439"/>
        <s v="P4052"/>
        <s v="P4297"/>
        <s v="P1750"/>
        <s v="P1926"/>
        <s v="P1981"/>
        <s v="P2233"/>
        <s v="P2582"/>
        <s v="P357"/>
        <s v="P2675"/>
        <s v="P3347"/>
        <s v="P4855"/>
        <s v="P1386"/>
        <s v="P2164"/>
        <s v="P2626"/>
        <s v="P3320"/>
        <s v="P3759"/>
        <s v="P4082"/>
        <s v="P4175"/>
        <s v="P4282"/>
        <s v="P4289"/>
        <s v="P840"/>
        <s v="P905"/>
        <s v="P912"/>
        <s v="P167"/>
        <s v="P2203"/>
        <s v="P2593"/>
        <s v="P3998"/>
        <s v="P4732"/>
        <s v="P632"/>
        <s v="P65"/>
        <s v="P1402"/>
        <s v="P1528"/>
        <s v="P2488"/>
        <s v="P3210"/>
        <s v="P4034"/>
        <s v="P943"/>
        <s v="P1373"/>
        <s v="P1751"/>
        <s v="P189"/>
        <s v="P2590"/>
        <s v="P3853"/>
        <s v="P4315"/>
        <s v="P4431"/>
        <s v="P559"/>
        <s v="P1567"/>
        <s v="P2017"/>
        <s v="P2683"/>
        <s v="P3880"/>
        <s v="P4356"/>
        <s v="P4516"/>
        <s v="P4591"/>
        <s v="P4852"/>
        <s v="P951"/>
        <s v="P1273"/>
        <s v="P2045"/>
        <s v="P2159"/>
        <s v="P264"/>
        <s v="P2966"/>
        <s v="P3071"/>
        <s v="P3417"/>
        <s v="P3581"/>
        <s v="P3647"/>
        <s v="P3871"/>
        <s v="P3951"/>
        <s v="P4162"/>
        <s v="P442"/>
        <s v="P4753"/>
        <s v="P4805"/>
        <s v="P2326"/>
        <s v="P412"/>
        <s v="P4784"/>
        <s v="P1701"/>
        <s v="P2859"/>
        <s v="P2992"/>
        <s v="P3830"/>
        <s v="P1255"/>
        <s v="P2223"/>
        <s v="P330"/>
        <s v="P4438"/>
        <s v="P446"/>
        <s v="P939"/>
        <s v="P1681"/>
        <s v="P1711"/>
        <s v="P273"/>
        <s v="P3273"/>
        <s v="P3351"/>
        <s v="P3405"/>
        <s v="P3895"/>
        <s v="P4198"/>
        <s v="P4310"/>
        <s v="P538"/>
        <s v="P1360"/>
        <s v="P1628"/>
        <s v="P2565"/>
        <s v="P2566"/>
        <s v="P269"/>
        <s v="P3663"/>
        <s v="P4159"/>
        <s v="P1116"/>
        <s v="P1641"/>
        <s v="P2022"/>
        <s v="P2430"/>
        <s v="P3518"/>
        <s v="P3751"/>
        <s v="P4119"/>
        <s v="P4793"/>
        <s v="P4983"/>
        <s v="P1424"/>
        <s v="P3442"/>
        <s v="P4931"/>
        <s v="P1010"/>
        <s v="P147"/>
        <s v="P1636"/>
        <s v="P2901"/>
        <s v="P3450"/>
        <s v="P3679"/>
        <s v="P4070"/>
        <s v="P4418"/>
        <s v="P4720"/>
        <s v="P1112"/>
        <s v="P393"/>
        <s v="P419"/>
        <s v="P4775"/>
        <s v="P529"/>
        <s v="P653"/>
        <s v="P1275"/>
        <s v="P3014"/>
        <s v="P3115"/>
        <s v="P3203"/>
        <s v="P3822"/>
        <s v="P4639"/>
        <s v="P68"/>
        <s v="P1071"/>
        <s v="P1945"/>
        <s v="P240"/>
        <s v="P2621"/>
        <s v="P3145"/>
        <s v="P3629"/>
        <s v="P4129"/>
        <s v="P931"/>
        <s v="P1881"/>
        <s v="P3559"/>
        <s v="P4114"/>
        <s v="P47"/>
        <s v="P679"/>
        <s v="P2108"/>
        <s v="P2441"/>
        <s v="P2511"/>
        <s v="P2666"/>
        <s v="P2724"/>
        <s v="P3137"/>
        <s v="P318"/>
        <s v="P3979"/>
        <s v="P4003"/>
        <s v="P475"/>
        <s v="P736"/>
        <s v="P1429"/>
        <s v="P1616"/>
        <s v="P1695"/>
        <s v="P3280"/>
        <s v="P3896"/>
        <s v="P4330"/>
        <s v="P850"/>
        <s v="P1856"/>
        <s v="P2237"/>
        <s v="P2552"/>
        <s v="P2726"/>
        <s v="P2765"/>
        <s v="P3538"/>
        <s v="P4385"/>
        <s v="P4527"/>
        <s v="P4658"/>
        <s v="P4913"/>
        <s v="P701"/>
        <s v="P305"/>
        <s v="P3787"/>
        <s v="P4723"/>
        <s v="P712"/>
        <s v="P2009"/>
        <s v="P2043"/>
        <s v="P2250"/>
        <s v="P2849"/>
        <s v="P3129"/>
        <s v="P4398"/>
        <s v="P4744"/>
        <s v="P758"/>
        <s v="P934"/>
        <s v="P3306"/>
        <s v="P4430"/>
        <s v="P1092"/>
        <s v="P2052"/>
        <s v="P2083"/>
        <s v="P2117"/>
        <s v="P4341"/>
        <s v="P4445"/>
        <s v="P4932"/>
        <s v="P789"/>
        <s v="P1533"/>
        <s v="P2571"/>
        <s v="P3527"/>
        <s v="P3932"/>
        <s v="P4177"/>
        <s v="P4362"/>
        <s v="P56"/>
        <s v="P824"/>
        <s v="P1289"/>
        <s v="P1623"/>
        <s v="P2410"/>
        <s v="P3872"/>
        <s v="P4502"/>
        <s v="P4789"/>
        <s v="P887"/>
        <s v="P1427"/>
        <s v="P1891"/>
        <s v="P2499"/>
        <s v="P2526"/>
        <s v="P4361"/>
        <s v="P4572"/>
        <s v="P4613"/>
        <s v="P691"/>
        <s v="P814"/>
        <s v="P920"/>
        <s v="P1177"/>
        <s v="P2302"/>
        <s v="P2878"/>
        <s v="P4419"/>
        <s v="P4505"/>
        <s v="P5000"/>
        <s v="P83"/>
        <s v="P2545"/>
        <s v="P322"/>
        <s v="P3707"/>
        <s v="P728"/>
        <s v="P1018"/>
        <s v="P1435"/>
        <s v="P3135"/>
        <s v="P4837"/>
        <s v="P255"/>
        <s v="P2615"/>
        <s v="P3341"/>
        <s v="P4382"/>
        <s v="P4622"/>
        <s v="P1286"/>
        <s v="P130"/>
        <s v="P2171"/>
        <s v="P3652"/>
        <s v="P373"/>
        <s v="P506"/>
        <s v="P1119"/>
        <s v="P1184"/>
        <s v="P1224"/>
        <s v="P1354"/>
        <s v="P2620"/>
        <s v="P2670"/>
        <s v="P3068"/>
        <s v="P311"/>
        <s v="P3574"/>
        <s v="P3733"/>
        <s v="P3824"/>
        <s v="P2102"/>
        <s v="P2481"/>
        <s v="P3197"/>
        <s v="P3239"/>
        <s v="P3749"/>
        <s v="P3975"/>
        <s v="P4354"/>
        <s v="P4655"/>
        <s v="P929"/>
        <s v="P4609"/>
        <s v="P1254"/>
        <s v="P1565"/>
        <s v="P1840"/>
        <s v="P2173"/>
        <s v="P2887"/>
        <s v="P2935"/>
        <s v="P3587"/>
        <s v="P4947"/>
        <s v="P795"/>
        <s v="P1918"/>
        <s v="P1972"/>
        <s v="P3204"/>
        <s v="P4146"/>
        <s v="P4374"/>
        <s v="P4963"/>
        <s v="P2699"/>
        <s v="P3285"/>
        <s v="P4710"/>
        <s v="P4829"/>
        <s v="P564"/>
        <s v="P565"/>
        <s v="P579"/>
        <s v="P1562"/>
        <s v="P2538"/>
        <s v="P3248"/>
        <s v="P336"/>
        <s v="P4203"/>
        <s v="P4273"/>
        <s v="P3692"/>
        <s v="P2214"/>
        <s v="P2959"/>
        <s v="P3246"/>
        <s v="P374"/>
        <s v="P3957"/>
        <s v="P4148"/>
        <s v="P4265"/>
        <s v="P1413"/>
        <s v="P19"/>
        <s v="P205"/>
        <s v="P2524"/>
        <s v="P3535"/>
        <s v="P3548"/>
        <s v="P3789"/>
        <s v="P4008"/>
        <s v="P4029"/>
        <s v="P4469"/>
        <s v="P4866"/>
        <s v="P57"/>
        <s v="P69"/>
        <s v="P793"/>
        <s v="P3041"/>
        <s v="P4152"/>
        <s v="P4676"/>
        <s v="P4822"/>
        <s v="P598"/>
        <s v="P648"/>
        <s v="P958"/>
        <s v="P1215"/>
        <s v="P126"/>
        <s v="P1452"/>
        <s v="P1948"/>
        <s v="P2778"/>
        <s v="P3545"/>
        <s v="P411"/>
        <s v="P4140"/>
        <s v="P8"/>
        <s v="P1516"/>
        <s v="P2656"/>
        <s v="P3006"/>
        <s v="P306"/>
        <s v="P36"/>
        <s v="P522"/>
        <s v="P1173"/>
        <s v="P248"/>
        <s v="P2657"/>
        <s v="P3665"/>
        <s v="P4287"/>
        <s v="P4573"/>
        <s v="P23"/>
        <s v="P3141"/>
        <s v="P3747"/>
        <s v="P447"/>
        <s v="P1106"/>
        <s v="P134"/>
        <s v="P135"/>
        <s v="P1808"/>
        <s v="P21"/>
        <s v="P282"/>
        <s v="P4002"/>
        <s v="P1757"/>
        <s v="P2208"/>
        <s v="P2534"/>
        <s v="P2880"/>
        <s v="P3088"/>
        <s v="P3282"/>
        <s v="P3408"/>
        <s v="P4463"/>
        <s v="P4612"/>
        <s v="P4665"/>
        <s v="P2357"/>
        <s v="P2591"/>
        <s v="P2652"/>
        <s v="P309"/>
        <s v="P3288"/>
        <s v="P3534"/>
        <s v="P4191"/>
        <s v="P4595"/>
        <s v="P112"/>
        <s v="P1208"/>
        <s v="P3098"/>
        <s v="P3226"/>
        <s v="P3827"/>
        <s v="P4004"/>
        <s v="P4808"/>
        <s v="P1906"/>
        <s v="P2097"/>
        <s v="P2100"/>
        <s v="P2165"/>
        <s v="P2345"/>
        <s v="P2527"/>
        <s v="P2589"/>
        <s v="P3082"/>
        <s v="P4218"/>
        <s v="P4458"/>
        <s v="P510"/>
        <s v="P856"/>
        <s v="P1992"/>
        <s v="P2072"/>
        <s v="P2106"/>
        <s v="P2280"/>
        <s v="P2772"/>
        <s v="P2834"/>
        <s v="P2844"/>
        <s v="P3255"/>
        <s v="P3350"/>
        <s v="P3387"/>
        <s v="P3613"/>
        <s v="P3766"/>
        <s v="P4373"/>
        <s v="P10"/>
        <s v="P3370"/>
        <s v="P3491"/>
        <s v="P3898"/>
        <s v="P4640"/>
        <s v="P1042"/>
        <s v="P1410"/>
        <s v="P1440"/>
        <s v="P1880"/>
        <s v="P2556"/>
        <s v="P2625"/>
        <s v="P3547"/>
        <s v="P3607"/>
        <s v="P4058"/>
        <s v="P709"/>
        <s v="P1062"/>
        <s v="P1211"/>
        <s v="P1238"/>
        <s v="P1508"/>
        <s v="P4"/>
        <s v="P4553"/>
        <s v="P480"/>
        <s v="P938"/>
        <s v="P2671"/>
        <s v="P4581"/>
        <s v="P4944"/>
        <s v="P629"/>
        <s v="P2163"/>
        <s v="P2760"/>
        <s v="P4586"/>
        <s v="P4684"/>
        <s v="P2267"/>
        <s v="P2512"/>
        <s v="P3099"/>
        <s v="P4596"/>
        <s v="P88"/>
        <s v="P894"/>
        <s v="P1319"/>
        <s v="P1892"/>
        <s v="P2089"/>
        <s v="P2855"/>
        <s v="P45"/>
        <s v="P491"/>
        <s v="P886"/>
        <s v="P1577"/>
        <s v="P2576"/>
        <s v="P3609"/>
        <s v="P3681"/>
        <s v="P3915"/>
        <s v="P4116"/>
        <s v="P4121"/>
        <s v="P4439"/>
        <s v="P627"/>
        <s v="P1221"/>
        <s v="P2689"/>
        <s v="P2833"/>
        <s v="P3483"/>
        <s v="P3918"/>
        <s v="P40"/>
        <s v="P4447"/>
        <s v="P4672"/>
        <s v="P1632"/>
        <s v="P4969"/>
        <s v="P13"/>
        <s v="P3275"/>
        <s v="P3542"/>
        <s v="P3772"/>
        <s v="P44"/>
        <s v="P2076"/>
        <s v="P2764"/>
        <s v="P3296"/>
        <s v="P4042"/>
        <s v="P4319"/>
        <s v="P819"/>
        <s v="P212"/>
        <s v="P2303"/>
        <s v="P3213"/>
        <s v="P3859"/>
        <s v="P4262"/>
        <s v="P4344"/>
        <s v="P4377"/>
        <s v="P4466"/>
        <s v="P4508"/>
        <s v="P4955"/>
        <s v="P497"/>
        <s v="P71"/>
        <s v="P1818"/>
        <s v="P2115"/>
        <s v="P2247"/>
        <s v="P3173"/>
        <s v="P350"/>
        <s v="P4651"/>
        <s v="P583"/>
        <s v="P774"/>
        <s v="P3107"/>
        <s v="P3818"/>
        <s v="P405"/>
        <s v="P4656"/>
        <s v="P1421"/>
        <s v="P1544"/>
        <s v="P2821"/>
        <s v="P3803"/>
        <s v="P4603"/>
        <s v="P4695"/>
        <s v="P1852"/>
        <s v="P1957"/>
        <s v="P1978"/>
        <s v="P2493"/>
        <s v="P3917"/>
        <s v="P4243"/>
        <s v="P558"/>
        <s v="P738"/>
        <s v="P156"/>
        <s v="P2483"/>
        <s v="P2891"/>
        <s v="P3080"/>
        <s v="P3379"/>
        <s v="P3829"/>
        <s v="P4666"/>
        <s v="P4722"/>
        <s v="P2046"/>
        <s v="P2116"/>
        <s v="P2854"/>
        <s v="P3476"/>
        <s v="P3642"/>
        <s v="P3954"/>
        <s v="P4182"/>
        <s v="P4507"/>
        <s v="P4736"/>
        <s v="P907"/>
        <s v="P1824"/>
        <s v="P3049"/>
        <s v="P3164"/>
        <s v="P3227"/>
        <s v="P3703"/>
        <s v="P474"/>
        <s v="P985"/>
        <s v="P1264"/>
        <s v="P2775"/>
        <s v="P2921"/>
        <s v="P2985"/>
        <s v="P3942"/>
        <s v="P1017"/>
        <s v="P1045"/>
        <s v="P1090"/>
        <s v="P2333"/>
        <s v="P237"/>
        <s v="P2501"/>
        <s v="P3962"/>
        <s v="P1642"/>
        <s v="P1879"/>
        <s v="P3333"/>
        <s v="P352"/>
        <s v="P4011"/>
        <s v="P4370"/>
        <s v="P4809"/>
        <s v="P610"/>
        <s v="P1784"/>
        <s v="P3174"/>
        <s v="P4393"/>
        <s v="P448"/>
        <s v="P4539"/>
        <s v="P4862"/>
        <s v="P547"/>
        <s v="P17"/>
        <s v="P2393"/>
        <s v="P2871"/>
        <s v="P3465"/>
        <s v="P4208"/>
        <s v="P1041"/>
        <s v="P1130"/>
        <s v="P1304"/>
        <s v="P2317"/>
        <s v="P2888"/>
        <s v="P335"/>
        <s v="P3418"/>
        <s v="P1391"/>
        <s v="P1432"/>
        <s v="P1741"/>
        <s v="P241"/>
        <s v="P4908"/>
        <s v="P1928"/>
        <s v="P2016"/>
        <s v="P2034"/>
        <s v="P2444"/>
        <s v="P2840"/>
        <s v="P2991"/>
        <s v="P3028"/>
        <s v="P3185"/>
        <s v="P2942"/>
        <s v="P3382"/>
        <s v="P3390"/>
        <s v="P4075"/>
        <s v="P1716"/>
        <s v="P1974"/>
        <s v="P2722"/>
        <s v="P2731"/>
        <s v="P3193"/>
        <s v="P3583"/>
        <s v="P3881"/>
        <s v="P2134"/>
        <s v="P2367"/>
        <s v="P2972"/>
        <s v="P422"/>
        <s v="P4400"/>
        <s v="P4965"/>
        <s v="P716"/>
        <s v="P1029"/>
        <s v="P2848"/>
        <s v="P3805"/>
        <s v="P418"/>
        <s v="P4499"/>
        <s v="P693"/>
        <s v="P1358"/>
        <s v="P2463"/>
        <s v="P3964"/>
        <s v="P528"/>
        <s v="P3334"/>
        <s v="P3468"/>
        <s v="P4324"/>
        <s v="P644"/>
        <s v="P1306"/>
        <s v="P1743"/>
        <s v="P2207"/>
        <s v="P2377"/>
        <s v="P3236"/>
        <s v="P3441"/>
        <s v="P3464"/>
        <s v="P3622"/>
        <s v="P4590"/>
        <s v="P4637"/>
        <s v="P540"/>
        <s v="P1664"/>
        <s v="P2529"/>
        <s v="P2797"/>
        <s v="P28"/>
        <s v="P3686"/>
        <s v="P3782"/>
        <s v="P777"/>
        <s v="P1028"/>
        <s v="P2599"/>
        <s v="P2619"/>
        <s v="P4337"/>
        <s v="P4383"/>
        <s v="P4410"/>
        <s v="P459"/>
        <s v="P880"/>
        <s v="P2307"/>
        <s v="P2987"/>
        <s v="P797"/>
        <s v="P1274"/>
        <s v="P1622"/>
        <s v="P1913"/>
        <s v="P1931"/>
        <s v="P2142"/>
        <s v="P3187"/>
        <s v="P3934"/>
        <s v="P4973"/>
        <s v="P642"/>
        <s v="P202"/>
        <s v="P2224"/>
        <s v="P2283"/>
        <s v="P3074"/>
        <s v="P4853"/>
        <s v="P783"/>
        <s v="P1344"/>
        <s v="P1526"/>
        <s v="P1815"/>
        <s v="P223"/>
        <s v="P3648"/>
        <s v="P4302"/>
        <s v="P1056"/>
        <s v="P1120"/>
        <s v="P1295"/>
        <s v="P1660"/>
        <s v="P2081"/>
        <s v="P2242"/>
        <s v="P3887"/>
        <s v="P50"/>
        <s v="P640"/>
        <s v="P1312"/>
        <s v="P1497"/>
        <s v="P1969"/>
        <s v="P3561"/>
        <s v="P4170"/>
        <s v="P198"/>
        <s v="P2969"/>
        <s v="P3308"/>
        <s v="P4386"/>
        <s v="P1995"/>
        <s v="P286"/>
        <s v="P3366"/>
        <s v="P401"/>
        <s v="P4718"/>
        <s v="P53"/>
        <s v="P151"/>
        <s v="P1637"/>
        <s v="P2126"/>
        <s v="P4261"/>
        <s v="P4359"/>
        <s v="P4611"/>
        <s v="P4869"/>
        <s v="P1555"/>
        <s v="P1689"/>
        <s v="P1833"/>
        <s v="P2814"/>
        <s v="P3444"/>
        <s v="P4246"/>
        <s v="P4425"/>
        <s v="P1024"/>
        <s v="P1075"/>
        <s v="P2879"/>
        <s v="P3293"/>
        <s v="P3415"/>
        <s v="P4351"/>
        <s v="P4657"/>
        <s v="P4749"/>
        <s v="P4972"/>
        <s v="P1129"/>
        <s v="P2155"/>
        <s v="P3147"/>
        <s v="P3909"/>
        <s v="P3166"/>
        <s v="P3230"/>
        <s v="P3808"/>
        <s v="P4673"/>
        <s v="P1406"/>
        <s v="P1548"/>
        <s v="P1556"/>
        <s v="P1679"/>
        <s v="P221"/>
        <s v="P3654"/>
        <s v="P4015"/>
        <s v="P4242"/>
        <s v="P449"/>
        <s v="P4552"/>
        <s v="P4943"/>
        <s v="P948"/>
        <s v="P1629"/>
        <s v="P1952"/>
        <s v="P2074"/>
        <s v="P3229"/>
        <s v="P3503"/>
        <s v="P4174"/>
        <s v="P603"/>
        <s v="P152"/>
        <s v="P1780"/>
        <s v="P1843"/>
        <s v="P1937"/>
        <s v="P2162"/>
        <s v="P3243"/>
        <s v="P3869"/>
        <s v="P4307"/>
        <s v="P914"/>
        <s v="P975"/>
        <s v="P2143"/>
        <s v="P236"/>
        <s v="P3407"/>
        <s v="P1760"/>
        <s v="P1801"/>
        <s v="P2298"/>
        <s v="P32"/>
        <s v="P4025"/>
        <s v="P760"/>
        <s v="P1210"/>
        <s v="P1534"/>
        <s v="P1639"/>
        <s v="P1783"/>
        <s v="P1980"/>
        <s v="P3219"/>
        <s v="P4083"/>
        <s v="P4557"/>
        <s v="P576"/>
        <s v="P762"/>
        <s v="P2956"/>
        <s v="P4105"/>
        <s v="P4135"/>
        <s v="P659"/>
        <s v="P2328"/>
        <s v="P2351"/>
        <s v="P3247"/>
        <s v="P3409"/>
        <s v="P3986"/>
        <s v="P4067"/>
        <s v="P4951"/>
        <s v="P923"/>
        <s v="P1459"/>
        <s v="P2477"/>
        <s v="P398"/>
        <s v="P4750"/>
        <s v="P589"/>
        <s v="P111"/>
        <s v="P1772"/>
        <s v="P2024"/>
        <s v="P2931"/>
        <s v="P4133"/>
        <s v="P633"/>
        <s v="P845"/>
        <s v="P2528"/>
        <s v="P2707"/>
        <s v="P4848"/>
        <s v="P1186"/>
        <s v="P137"/>
        <s v="P1633"/>
        <s v="P2315"/>
        <s v="P2366"/>
        <s v="P2438"/>
        <s v="P2927"/>
        <s v="P319"/>
        <s v="P3212"/>
        <s v="P4045"/>
        <s v="P4522"/>
        <s v="P673"/>
        <s v="P733"/>
        <s v="P1148"/>
        <s v="P127"/>
        <s v="P2070"/>
        <s v="P4043"/>
        <s v="P991"/>
        <s v="P1023"/>
        <s v="P2480"/>
        <s v="P3290"/>
        <s v="P3740"/>
        <s v="P3741"/>
        <s v="P3792"/>
        <s v="P421"/>
        <s v="P1595"/>
        <s v="P3"/>
        <s v="P4687"/>
        <s v="P4801"/>
        <s v="P1174"/>
        <s v="P1638"/>
        <s v="P1866"/>
        <s v="P1946"/>
        <s v="P2114"/>
        <s v="P2137"/>
        <s v="P2492"/>
        <s v="P2546"/>
        <s v="P298"/>
        <s v="P3669"/>
        <s v="P4441"/>
        <s v="P2454"/>
        <s v="P271"/>
        <s v="P2725"/>
        <s v="P337"/>
        <s v="P3524"/>
        <s v="P3638"/>
        <s v="P804"/>
        <s v="P1003"/>
        <s v="P2109"/>
        <s v="P2436"/>
        <s v="P4128"/>
        <s v="P630"/>
        <s v="P1218"/>
        <s v="P2422"/>
        <s v="P2909"/>
        <s v="P3264"/>
        <s v="P3543"/>
        <s v="P3087"/>
        <s v="P3610"/>
        <s v="P3875"/>
        <s v="P408"/>
        <s v="P752"/>
        <s v="P1258"/>
        <s v="P2227"/>
        <s v="P2316"/>
        <s v="P2720"/>
        <s v="P2951"/>
        <s v="P3926"/>
        <s v="P1631"/>
        <s v="P1690"/>
        <s v="P2486"/>
        <s v="P4227"/>
        <s v="P4420"/>
        <s v="P457"/>
        <s v="P4903"/>
        <s v="P4938"/>
        <s v="P775"/>
        <s v="P950"/>
        <s v="P982"/>
        <s v="P1878"/>
        <s v="P3980"/>
        <s v="P658"/>
        <s v="P1299"/>
        <s v="P1588"/>
        <s v="P2475"/>
        <s v="P2555"/>
        <s v="P3904"/>
        <s v="P732"/>
        <s v="P1059"/>
        <s v="P1135"/>
        <s v="P199"/>
        <s v="P2230"/>
        <s v="P2800"/>
        <s v="P2852"/>
        <s v="P3353"/>
        <s v="P404"/>
        <s v="P4956"/>
        <s v="P501"/>
        <s v="P781"/>
        <s v="P1593"/>
        <s v="P1868"/>
        <s v="P2607"/>
        <s v="P3458"/>
        <s v="P4202"/>
        <s v="P4585"/>
        <s v="P650"/>
        <s v="P848"/>
        <s v="P932"/>
        <s v="P1165"/>
        <s v="P1643"/>
        <s v="P1844"/>
        <s v="P1869"/>
        <s v="P197"/>
        <s v="P969"/>
        <s v="P1139"/>
        <s v="P1680"/>
        <s v="P2392"/>
        <s v="P2485"/>
        <s v="P279"/>
        <s v="P4602"/>
        <s v="P3250"/>
        <s v="P4301"/>
        <s v="P4740"/>
        <s v="P1915"/>
        <s v="P3042"/>
        <s v="P4087"/>
        <s v="P4877"/>
        <s v="P953"/>
        <s v="P965"/>
        <s v="P1141"/>
        <s v="P1217"/>
        <s v="P1395"/>
        <s v="P2191"/>
        <s v="P3283"/>
        <s v="P81"/>
        <s v="P817"/>
        <s v="P2340"/>
        <s v="P2641"/>
        <s v="P4528"/>
        <s v="P494"/>
        <s v="P509"/>
        <s v="P717"/>
        <s v="P1284"/>
        <s v="P3528"/>
        <s v="P3670"/>
        <s v="P3798"/>
        <s v="P3846"/>
        <s v="P4106"/>
        <s v="P1889"/>
        <s v="P2415"/>
        <s v="P4915"/>
        <s v="P639"/>
        <s v="P79"/>
        <s v="P2101"/>
        <s v="P2291"/>
        <s v="P3371"/>
        <s v="P3585"/>
        <s v="P70"/>
        <s v="P1179"/>
        <s v="P1614"/>
        <s v="P1765"/>
        <s v="P3841"/>
        <s v="P852"/>
        <s v="P1007"/>
        <s v="P1488"/>
        <s v="P2543"/>
        <s v="P2632"/>
        <s v="P3299"/>
        <s v="P3767"/>
        <s v="P4181"/>
        <s v="P4628"/>
        <s v="P788"/>
        <s v="P1097"/>
        <s v="P1472"/>
        <s v="P2086"/>
        <s v="P2795"/>
        <s v="P3708"/>
        <s v="P379"/>
        <s v="P4240"/>
        <s v="P4365"/>
        <s v="P460"/>
        <s v="P471"/>
        <s v="P694"/>
        <s v="P1009"/>
        <s v="P2042"/>
        <s v="P2157"/>
        <s v="P2332"/>
        <s v="P4149"/>
        <s v="P4729"/>
        <s v="P4836"/>
        <s v="P4846"/>
        <s v="P779"/>
        <s v="P957"/>
        <s v="P1067"/>
        <s v="P139"/>
        <s v="P3507"/>
        <s v="P399"/>
        <s v="P410"/>
        <s v="P455"/>
        <s v="P4798"/>
        <s v="P4907"/>
        <s v="P713"/>
        <s v="P89"/>
        <s v="P1767"/>
        <s v="P3160"/>
        <s v="P3938"/>
        <s v="P1747"/>
        <s v="P217"/>
        <s v="P2624"/>
        <s v="P3750"/>
        <s v="P1070"/>
        <s v="P1136"/>
        <s v="P1308"/>
        <s v="P181"/>
        <s v="P278"/>
        <s v="P2908"/>
        <s v="P4132"/>
        <s v="P4141"/>
        <s v="P921"/>
        <s v="P1257"/>
        <s v="P3332"/>
        <s v="P428"/>
        <s v="P546"/>
        <s v="P874"/>
        <s v="P1248"/>
        <s v="P1481"/>
        <s v="P1543"/>
        <s v="P2037"/>
        <s v="P222"/>
        <s v="P2455"/>
        <s v="P2647"/>
        <s v="P2830"/>
        <s v="P3971"/>
        <s v="P4434"/>
        <s v="P4987"/>
        <s v="P1065"/>
        <s v="P1441"/>
        <s v="P1821"/>
        <s v="P185"/>
        <s v="P187"/>
        <s v="P1927"/>
        <s v="P2926"/>
        <s v="P2958"/>
        <s v="P3478"/>
        <s v="P3671"/>
        <s v="P3903"/>
        <s v="P2841"/>
        <s v="P3316"/>
        <s v="P4864"/>
        <s v="P677"/>
        <s v="P2721"/>
        <s v="P3023"/>
        <s v="P3040"/>
        <s v="P3046"/>
        <s v="P3344"/>
        <s v="P3657"/>
        <s v="P1087"/>
        <s v="P1693"/>
        <s v="P2"/>
        <s v="P3003"/>
        <s v="P3133"/>
        <s v="P3572"/>
        <s v="P3680"/>
        <s v="P3713"/>
        <s v="P940"/>
        <s v="P1026"/>
        <s v="P4786"/>
        <s v="P1374"/>
        <s v="P1954"/>
        <s v="P2553"/>
        <s v="P3965"/>
        <s v="P4026"/>
        <s v="P228"/>
        <s v="P3449"/>
        <s v="P2421"/>
        <s v="P2816"/>
        <s v="P3412"/>
        <s v="P4094"/>
        <s v="P4763"/>
        <s v="P4894"/>
        <s v="P893"/>
        <s v="P122"/>
        <s v="P1390"/>
        <s v="P3944"/>
        <s v="P866"/>
        <s v="P955"/>
        <s v="P1233"/>
        <s v="P1378"/>
        <s v="P2077"/>
        <s v="P2092"/>
        <s v="P2299"/>
        <s v="P2584"/>
        <s v="P4001"/>
        <s v="P4313"/>
        <s v="P4856"/>
        <s v="P617"/>
        <s v="P1293"/>
        <s v="P2813"/>
        <s v="P3651"/>
        <s v="P3700"/>
        <s v="P3848"/>
        <s v="P1260"/>
        <s v="P141"/>
        <s v="P1897"/>
        <s v="P2505"/>
        <s v="P3090"/>
        <s v="P3836"/>
        <s v="P608"/>
        <s v="P614"/>
        <s v="P1364"/>
        <s v="P1394"/>
        <s v="P2183"/>
        <s v="P2533"/>
        <s v="P4089"/>
        <s v="P4555"/>
        <s v="P4994"/>
        <s v="P90"/>
        <s v="P1081"/>
        <s v="P2118"/>
        <s v="P2569"/>
        <s v="P2826"/>
        <s v="P3276"/>
        <s v="P3991"/>
        <s v="P4868"/>
        <s v="P1340"/>
        <s v="P2119"/>
        <s v="P2459"/>
        <s v="P2785"/>
        <s v="P2996"/>
        <s v="P3480"/>
        <s v="P4812"/>
        <s v="P1433"/>
        <s v="P1466"/>
        <s v="P1475"/>
        <s v="P1510"/>
        <s v="P1988"/>
        <s v="P2557"/>
        <s v="P3825"/>
        <s v="P94"/>
        <s v="P999"/>
        <s v="P1069"/>
        <s v="P1341"/>
        <s v="P1583"/>
        <s v="P1665"/>
        <s v="P2771"/>
        <s v="P2994"/>
        <s v="P3493"/>
        <s v="P4388"/>
        <s v="P832"/>
        <s v="P1605"/>
        <s v="P1822"/>
        <s v="P2539"/>
        <s v="P2967"/>
        <s v="P3206"/>
        <s v="P3218"/>
        <s v="P3401"/>
        <s v="P3666"/>
        <s v="P3689"/>
        <s v="P4325"/>
        <s v="P4659"/>
        <s v="P4921"/>
        <s v="P1039"/>
        <s v="P132"/>
        <s v="P1993"/>
        <s v="P2152"/>
        <s v="P3711"/>
        <s v="P4136"/>
        <s v="P4427"/>
        <s v="P4530"/>
        <s v="P500"/>
        <s v="P552"/>
        <s v="P1474"/>
        <s v="P1753"/>
        <s v="P1851"/>
        <s v="P2798"/>
        <s v="P3764"/>
        <s v="P3973"/>
        <s v="P42"/>
        <s v="P4618"/>
        <s v="P655"/>
        <s v="P806"/>
        <s v="P922"/>
        <s v="P2734"/>
        <s v="P2913"/>
        <s v="P3127"/>
        <s v="P1276"/>
        <s v="P1795"/>
        <s v="P2503"/>
        <s v="P3517"/>
        <s v="P3807"/>
        <s v="P568"/>
        <s v="P1423"/>
        <s v="P1553"/>
        <s v="P168"/>
        <s v="P3113"/>
        <s v="P3157"/>
        <s v="P3355"/>
        <s v="P3380"/>
        <s v="P3425"/>
        <s v="P3923"/>
        <s v="P4746"/>
        <s v="P4919"/>
        <s v="P2379"/>
        <s v="P3050"/>
        <s v="P593"/>
        <s v="P128"/>
        <s v="P2822"/>
        <s v="P3761"/>
        <s v="P400"/>
        <s v="P4403"/>
        <s v="P2860"/>
        <s v="P2943"/>
        <s v="P4790"/>
        <s v="P4934"/>
        <s v="P1656"/>
        <s v="P1853"/>
        <s v="P3459"/>
        <s v="P3720"/>
        <s v="P4891"/>
        <s v="P4897"/>
        <s v="P651"/>
        <s v="P2001"/>
        <s v="P2945"/>
        <s v="P4709"/>
        <s v="P635"/>
        <s v="P1571"/>
        <s v="P2277"/>
        <s v="P3036"/>
        <s v="P3356"/>
        <s v="P3620"/>
        <s v="P4357"/>
        <s v="P4924"/>
        <s v="P1079"/>
        <s v="P1737"/>
        <s v="P2013"/>
        <s v="P3148"/>
        <s v="P3552"/>
        <s v="P3752"/>
        <s v="P427"/>
        <s v="P4392"/>
        <s v="P1107"/>
        <s v="P2850"/>
        <s v="P3035"/>
        <s v="P3630"/>
        <s v="P485"/>
        <s v="P4914"/>
        <s v="P1272"/>
        <s v="P1876"/>
        <s v="P2525"/>
        <s v="P2889"/>
        <s v="P3231"/>
        <s v="P3330"/>
        <s v="P3591"/>
        <s v="P453"/>
        <s v="P4961"/>
        <s v="P3228"/>
        <s v="P3358"/>
        <s v="P3634"/>
        <s v="P3664"/>
        <s v="P1687"/>
        <s v="P1909"/>
        <s v="P2321"/>
        <s v="P29"/>
        <s v="P35"/>
        <s v="P1166"/>
        <s v="P3176"/>
        <s v="P3339"/>
        <s v="P3398"/>
        <s v="P3777"/>
        <s v="P3876"/>
        <s v="P3933"/>
        <s v="P4117"/>
        <s v="P4160"/>
        <s v="P4256"/>
        <s v="P562"/>
        <s v="P1083"/>
        <s v="P2325"/>
        <s v="P2783"/>
        <s v="P3222"/>
        <s v="P3484"/>
        <s v="P660"/>
        <s v="P1088"/>
        <s v="P1339"/>
        <s v="P2308"/>
        <s v="P2356"/>
        <s v="P2853"/>
        <s v="P315"/>
        <s v="P3225"/>
        <s v="P339"/>
        <s v="P4230"/>
        <s v="P4428"/>
        <s v="P4741"/>
        <s v="P670"/>
        <s v="P2240"/>
        <s v="P252"/>
        <s v="P3611"/>
        <s v="P4465"/>
        <s v="P4487"/>
        <s v="P4556"/>
        <s v="P860"/>
        <s v="P1609"/>
        <s v="P2664"/>
        <s v="P4027"/>
        <s v="P4187"/>
        <s v="P4259"/>
        <s v="P4513"/>
        <s v="P4534"/>
        <s v="P463"/>
        <s v="P4788"/>
        <s v="P4979"/>
        <s v="P507"/>
        <s v="P54"/>
        <s v="P1249"/>
        <s v="P1715"/>
        <s v="P172"/>
        <s v="P1814"/>
        <s v="P229"/>
        <s v="P2456"/>
        <s v="P2522"/>
        <s v="P2612"/>
        <s v="P3150"/>
        <s v="P3170"/>
        <s v="P3178"/>
        <s v="P3650"/>
        <s v="P3763"/>
        <s v="P3863"/>
        <s v="P2141"/>
        <s v="P3257"/>
        <s v="P3263"/>
        <s v="P4096"/>
        <s v="P4231"/>
        <s v="P4232"/>
        <s v="P4446"/>
        <s v="P4730"/>
        <s v="P870"/>
        <s v="P1158"/>
        <s v="P1370"/>
        <s v="P1837"/>
        <s v="P3639"/>
        <s v="P4224"/>
        <s v="P1094"/>
        <s v="P1363"/>
        <s v="P1756"/>
        <s v="P2008"/>
        <s v="P25"/>
        <s v="P2975"/>
        <s v="P3972"/>
        <s v="P4838"/>
        <s v="P737"/>
        <s v="P1270"/>
        <s v="P1730"/>
        <s v="P3448"/>
        <s v="P4927"/>
        <s v="P619"/>
        <s v="P1646"/>
        <s v="P201"/>
        <s v="P2468"/>
        <s v="P2801"/>
        <s v="P2923"/>
        <s v="P3893"/>
        <s v="P4166"/>
        <s v="P4578"/>
        <s v="P505"/>
        <s v="P978"/>
        <s v="P1126"/>
        <s v="P1744"/>
        <s v="P3265"/>
        <s v="P3304"/>
        <s v="P3623"/>
        <s v="P4843"/>
        <s v="P831"/>
        <s v="P1720"/>
        <s v="P1804"/>
        <s v="P3056"/>
        <s v="P3422"/>
        <s v="P3471"/>
        <s v="P3946"/>
        <s v="P443"/>
        <s v="P1104"/>
        <s v="P119"/>
        <s v="P231"/>
        <s v="P465"/>
        <s v="P469"/>
        <s v="P590"/>
        <s v="P643"/>
        <s v="P981"/>
        <s v="P1506"/>
        <s v="P1956"/>
        <s v="P2139"/>
        <s v="P3211"/>
        <s v="P3244"/>
        <s v="P3427"/>
        <s v="P3806"/>
        <s v="P3815"/>
        <s v="P2386"/>
        <s v="P3525"/>
        <s v="P3842"/>
        <s v="P4030"/>
        <s v="P966"/>
        <s v="P1729"/>
        <s v="P3301"/>
        <s v="P3999"/>
        <s v="P823"/>
        <s v="P869"/>
        <s v="P889"/>
        <s v="P2266"/>
        <s v="P2802"/>
        <s v="P3732"/>
        <s v="P3854"/>
        <s v="P638"/>
        <s v="P1477"/>
        <s v="P1621"/>
        <s v="P1659"/>
        <s v="P3924"/>
        <s v="P954"/>
        <s v="P2027"/>
        <s v="P2390"/>
        <s v="P3902"/>
        <s v="P4663"/>
        <s v="P4834"/>
        <s v="P1005"/>
        <s v="P2029"/>
        <s v="P2103"/>
        <s v="P3437"/>
        <s v="P3564"/>
        <s v="P4966"/>
        <s v="P2130"/>
        <s v="P2439"/>
        <s v="P2870"/>
        <s v="P2873"/>
        <s v="P3727"/>
        <s v="P3810"/>
        <s v="P1509"/>
        <s v="P2701"/>
        <s v="P2782"/>
        <s v="P3640"/>
        <s v="P3939"/>
        <s v="P3953"/>
        <s v="P4298"/>
        <s v="P689"/>
        <s v="P117"/>
        <s v="P2028"/>
        <s v="P2549"/>
        <s v="P2596"/>
        <s v="P4610"/>
        <s v="P1155"/>
        <s v="P1193"/>
        <s v="P1882"/>
        <s v="P3899"/>
        <s v="P4339"/>
        <s v="P600"/>
        <s v="P1004"/>
        <s v="P1849"/>
        <s v="P3179"/>
        <s v="P3391"/>
        <s v="P3855"/>
        <s v="P972"/>
        <s v="P1492"/>
        <s v="P2253"/>
        <s v="P2520"/>
        <s v="P3456"/>
        <s v="P3800"/>
        <s v="P3885"/>
        <s v="P4031"/>
        <s v="P4300"/>
        <s v="P437"/>
        <s v="P4554"/>
        <s v="P4604"/>
        <s v="P1187"/>
        <s v="P1278"/>
        <s v="P1885"/>
        <s v="P2078"/>
        <s v="P2831"/>
        <s v="P3175"/>
        <s v="P1827"/>
        <s v="P184"/>
        <s v="P2638"/>
        <s v="P299"/>
        <s v="P4543"/>
        <s v="P1271"/>
        <s v="P1282"/>
        <s v="P1888"/>
        <s v="P2156"/>
        <s v="P2313"/>
        <s v="P3329"/>
        <s v="P349"/>
        <s v="P719"/>
        <s v="P801"/>
        <s v="P1624"/>
        <s v="P186"/>
        <s v="P2064"/>
        <s v="P2211"/>
        <s v="P27"/>
        <s v="P2803"/>
        <s v="P2986"/>
        <s v="P3746"/>
        <s v="P4350"/>
        <s v="P4647"/>
        <s v="P2075"/>
        <s v="P4896"/>
        <s v="P1865"/>
        <s v="P2021"/>
        <s v="P2807"/>
        <s v="P3158"/>
        <s v="P3673"/>
        <s v="P4482"/>
        <s v="P4918"/>
        <s v="P4981"/>
        <s v="P1504"/>
        <s v="P1535"/>
        <s v="P1819"/>
        <s v="P3432"/>
        <s v="P3659"/>
        <s v="P2541"/>
        <s v="P3635"/>
        <s v="P3866"/>
        <s v="P4305"/>
        <s v="P4536"/>
        <s v="P885"/>
        <s v="P1027"/>
        <s v="P2976"/>
        <s v="P4076"/>
        <s v="P4281"/>
        <s v="P4648"/>
        <s v="P1298"/>
        <s v="P2843"/>
        <s v="P3245"/>
        <s v="P3388"/>
        <s v="P3413"/>
        <s v="P573"/>
        <s v="P1064"/>
        <s v="P1277"/>
        <s v="P1924"/>
        <s v="P1990"/>
        <s v="P2000"/>
        <s v="P2295"/>
        <s v="P3298"/>
        <s v="P725"/>
        <s v="P4670"/>
        <s v="P4760"/>
        <s v="P4888"/>
        <s v="P618"/>
        <s v="P759"/>
        <s v="P952"/>
        <s v="P1908"/>
        <s v="P3345"/>
        <s v="P4743"/>
        <s v="P204"/>
        <s v="P2940"/>
        <s v="P329"/>
        <s v="P3908"/>
        <s v="P4081"/>
        <s v="P4168"/>
        <s v="P707"/>
        <s v="P768"/>
        <s v="P1076"/>
        <s v="P1454"/>
        <s v="P1731"/>
        <s v="P211"/>
        <s v="P2261"/>
        <s v="P2952"/>
        <s v="P4917"/>
        <s v="P1537"/>
        <s v="P4713"/>
        <s v="P581"/>
        <s v="P145"/>
        <s v="P1932"/>
        <s v="P2547"/>
        <s v="P3058"/>
        <s v="P3687"/>
        <s v="P3913"/>
        <s v="P1060"/>
        <s v="P1091"/>
        <s v="P124"/>
        <s v="P2003"/>
        <s v="P2842"/>
        <s v="P4047"/>
        <s v="P4266"/>
        <s v="P4340"/>
        <s v="P631"/>
        <s v="P1245"/>
        <s v="P3123"/>
        <s v="P1137"/>
        <s v="P1323"/>
        <s v="P2194"/>
        <s v="P238"/>
        <s v="P2768"/>
        <s v="P3125"/>
        <s v="P3868"/>
        <s v="P821"/>
        <s v="P1438"/>
        <s v="P1668"/>
        <s v="P190"/>
        <s v="P3323"/>
        <s v="P3497"/>
        <s v="P3982"/>
        <s v="P4312"/>
        <s v="P4646"/>
        <s v="P4863"/>
        <s v="P5"/>
        <s v="P1817"/>
        <s v="P1975"/>
        <s v="P368"/>
        <s v="P3894"/>
        <s v="P3920"/>
        <s v="P4079"/>
        <s v="P763"/>
        <s v="P2667"/>
        <s v="P2971"/>
        <s v="P3232"/>
        <s v="P3660"/>
        <s v="P4349"/>
        <s v="P1252"/>
        <s v="P1420"/>
        <s v="P1448"/>
        <s v="P1547"/>
        <s v="P2035"/>
        <s v="P2188"/>
        <s v="P383"/>
        <s v="P898"/>
        <s v="P1407"/>
        <s v="P1839"/>
        <s v="P2282"/>
        <s v="P3882"/>
        <s v="P4694"/>
        <s v="P1006"/>
        <s v="P1530"/>
        <s v="P1566"/>
        <s v="P3676"/>
        <s v="P3867"/>
        <s v="P3905"/>
        <s v="P1709"/>
        <s v="P2161"/>
        <s v="P2346"/>
        <s v="P3795"/>
        <s v="P4276"/>
        <s v="P4442"/>
        <s v="P1297"/>
        <s v="P1313"/>
        <s v="P1650"/>
        <s v="P4494"/>
        <s v="P4545"/>
        <s v="P4680"/>
        <s v="P4806"/>
        <s v="P761"/>
        <s v="P903"/>
        <s v="P918"/>
        <s v="P2442"/>
        <s v="P3765"/>
        <s v="P4839"/>
        <s v="P4940"/>
        <s v="P892"/>
        <s v="P992"/>
        <s v="P1164"/>
        <s v="P1206"/>
        <s v="P1832"/>
        <s v="P3618"/>
        <s v="P4143"/>
        <s v="P4199"/>
        <s v="P4583"/>
        <s v="P1099"/>
        <s v="P1146"/>
        <s v="P1346"/>
        <s v="P2005"/>
        <s v="P2479"/>
        <s v="P4120"/>
        <s v="P4329"/>
        <s v="P4634"/>
        <s v="P841"/>
        <s v="P906"/>
        <s v="P998"/>
        <s v="P1318"/>
        <s v="P1383"/>
        <s v="P2364"/>
        <s v="P2680"/>
        <s v="P4510"/>
        <s v="P577"/>
        <s v="P778"/>
        <s v="P1349"/>
        <s v="P3396"/>
        <s v="P3419"/>
        <s v="P3557"/>
        <s v="P4192"/>
        <s v="P4449"/>
        <s v="P4697"/>
        <s v="P4872"/>
        <s v="P1684"/>
        <s v="P2646"/>
        <s v="P2812"/>
        <s v="P3112"/>
        <s v="P3171"/>
        <s v="P4323"/>
        <s v="P72"/>
        <s v="P1225"/>
        <s v="P1310"/>
        <s v="P1372"/>
        <s v="P1503"/>
        <s v="P2256"/>
        <s v="P3453"/>
        <s v="P426"/>
        <s v="P4562"/>
        <s v="P4576"/>
        <s v="P1138"/>
        <s v="P1722"/>
        <s v="P2748"/>
        <s v="P3510"/>
        <s v="P3844"/>
        <s v="P851"/>
        <s v="P862"/>
        <s v="P1167"/>
        <s v="P1678"/>
        <s v="P3110"/>
        <s v="P347"/>
        <s v="P4700"/>
        <s v="P4825"/>
        <s v="P513"/>
        <s v="P718"/>
        <s v="P1400"/>
        <s v="P1823"/>
        <s v="P2200"/>
        <s v="P39"/>
        <s v="P3928"/>
        <s v="P4053"/>
        <s v="P4066"/>
        <s v="P4093"/>
        <s v="P734"/>
        <s v="P1180"/>
        <s v="P1437"/>
        <s v="P1754"/>
        <s v="P2350"/>
        <s v="P2384"/>
        <s v="P3984"/>
        <s v="P4415"/>
        <s v="P4787"/>
        <s v="P517"/>
        <s v="P3008"/>
        <s v="P3488"/>
        <s v="P1048"/>
        <s v="P1057"/>
        <s v="P106"/>
        <s v="P12"/>
        <s v="P1415"/>
        <s v="P178"/>
        <s v="P1887"/>
        <s v="P3260"/>
        <s v="P4006"/>
        <s v="P4497"/>
        <s v="P512"/>
        <s v="P1807"/>
        <s v="P82"/>
        <s v="P915"/>
        <s v="P1237"/>
        <s v="P2606"/>
        <s v="P3500"/>
        <s v="P986"/>
        <s v="P2568"/>
        <s v="P3555"/>
        <s v="P4069"/>
        <s v="P476"/>
        <s v="P4878"/>
        <s v="P1203"/>
        <s v="P1568"/>
        <s v="P1896"/>
        <s v="P2153"/>
        <s v="P602"/>
        <s v="P61"/>
        <s v="P822"/>
        <s v="P1791"/>
        <s v="P2428"/>
        <s v="P249"/>
        <s v="P4501"/>
        <s v="P4893"/>
        <s v="P1973"/>
        <s v="P445"/>
        <s v="P4881"/>
        <s v="P563"/>
        <s v="P834"/>
        <s v="P1522"/>
        <s v="P2057"/>
        <s v="P2329"/>
        <s v="P3124"/>
        <s v="P3643"/>
        <s v="P367"/>
        <s v="P4765"/>
        <s v="P4942"/>
        <s v="P4971"/>
        <s v="P570"/>
        <s v="P2238"/>
        <s v="P2262"/>
        <s v="P2408"/>
        <s v="P2688"/>
        <s v="P4237"/>
        <s v="P771"/>
        <s v="P944"/>
        <s v="P110"/>
        <s v="P1836"/>
        <s v="P2147"/>
        <s v="P2222"/>
        <s v="P2767"/>
        <s v="P838"/>
        <s v="P910"/>
        <s v="P1321"/>
        <s v="P1800"/>
        <s v="P4317"/>
        <s v="P4875"/>
        <s v="P74"/>
        <s v="P166"/>
        <s v="P2515"/>
        <s v="P2808"/>
        <s v="P2973"/>
        <s v="P3057"/>
        <s v="P3892"/>
        <s v="P4491"/>
        <s v="P1172"/>
        <s v="P1279"/>
        <s v="P1733"/>
        <s v="P2232"/>
        <s v="P2693"/>
        <s v="P3037"/>
        <s v="P3111"/>
        <s v="P3191"/>
        <s v="P3278"/>
        <s v="P4636"/>
        <s v="P1022"/>
        <s v="P2928"/>
        <s v="P3242"/>
        <s v="P3376"/>
        <s v="P3891"/>
        <s v="P4021"/>
        <s v="P4845"/>
        <s v="P839"/>
        <s v="P2355"/>
        <s v="P2653"/>
        <s v="P2737"/>
        <s v="P338"/>
        <s v="P3793"/>
        <s v="P3978"/>
        <s v="P3992"/>
        <s v="P1002"/>
        <s v="P180"/>
        <s v="P2402"/>
        <s v="P3033"/>
        <s v="P3194"/>
        <s v="P3200"/>
        <s v="P3295"/>
        <s v="P3911"/>
        <s v="P3976"/>
        <s v="P2375"/>
        <s v="P551"/>
        <s v="P853"/>
        <s v="P1204"/>
        <s v="P1966"/>
        <s v="P2838"/>
        <s v="P4024"/>
        <s v="P435"/>
        <s v="P4619"/>
        <s v="P4677"/>
        <s v="P4824"/>
        <s v="P667"/>
        <s v="P1745"/>
        <s v="P2564"/>
        <s v="P375"/>
        <s v="P3960"/>
        <s v="P4401"/>
        <s v="P4520"/>
        <s v="P4707"/>
        <s v="P4945"/>
        <s v="P896"/>
        <s v="P1546"/>
        <s v="P3095"/>
        <s v="P911"/>
        <s v="P1549"/>
        <s v="P1748"/>
        <s v="P2071"/>
        <s v="P2497"/>
        <s v="P2715"/>
        <s v="P3108"/>
        <s v="P4219"/>
        <s v="P43"/>
        <s v="P4426"/>
        <s v="P4982"/>
        <s v="P516"/>
        <s v="P809"/>
        <s v="P1235"/>
        <s v="P1645"/>
        <s v="P2175"/>
        <s v="P2751"/>
        <s v="P2790"/>
        <s v="P2791"/>
        <s v="P2964"/>
        <s v="P3958"/>
        <s v="P4368"/>
        <s v="P799"/>
        <s v="P968"/>
        <s v="P2818"/>
        <s v="P2824"/>
        <s v="P3718"/>
        <s v="P4057"/>
        <s v="P4185"/>
        <s v="P4698"/>
        <s v="P1572"/>
        <s v="P200"/>
        <s v="P2411"/>
        <s v="P2733"/>
        <s v="P3508"/>
        <s v="P3684"/>
        <s v="P482"/>
        <s v="P192"/>
        <s v="P2245"/>
        <s v="P2461"/>
        <s v="P3051"/>
        <s v="P3967"/>
        <s v="P4858"/>
        <s v="P1189"/>
        <s v="P1857"/>
        <s v="P2597"/>
        <s v="P2789"/>
        <s v="P3021"/>
        <s v="P3063"/>
        <s v="P4440"/>
        <s v="P4900"/>
        <s v="P757"/>
        <s v="P1300"/>
        <s v="P1311"/>
        <s v="P1911"/>
        <s v="P2858"/>
        <s v="P3589"/>
        <s v="P4009"/>
        <s v="P4223"/>
        <s v="P705"/>
        <s v="P828"/>
        <s v="P1541"/>
        <s v="P1907"/>
        <s v="P3180"/>
        <s v="P3742"/>
        <s v="P4821"/>
        <s v="P537"/>
        <s v="P1933"/>
        <s v="P3392"/>
        <s v="P3597"/>
        <s v="P4462"/>
        <s v="P4579"/>
        <s v="P4704"/>
        <s v="P815"/>
        <s v="P967"/>
        <s v="P2019"/>
        <s v="P2197"/>
        <s v="P2614"/>
        <s v="P735"/>
        <s v="P782"/>
        <s v="P916"/>
        <s v="P1239"/>
        <s v="P2907"/>
        <s v="P3217"/>
        <s v="P3567"/>
        <s v="P935"/>
        <s v="P1161"/>
        <s v="P1465"/>
        <s v="P3252"/>
        <s v="P4599"/>
        <s v="P678"/>
        <s v="P1175"/>
        <s v="P1613"/>
        <s v="P2306"/>
        <s v="P2434"/>
        <s v="P2613"/>
        <s v="P2738"/>
        <s v="P711"/>
        <s v="P92"/>
        <s v="P930"/>
        <s v="P996"/>
        <s v="P1190"/>
        <s v="P1253"/>
        <s v="P2435"/>
        <s v="P3169"/>
        <s v="P4867"/>
        <s v="P4967"/>
        <s v="P891"/>
        <s v="P1965"/>
        <s v="P2361"/>
        <s v="P3154"/>
        <s v="P3539"/>
        <s v="P747"/>
        <s v="P1829"/>
        <s v="P2251"/>
        <s v="P3526"/>
        <s v="P3916"/>
        <s v="P3956"/>
        <s v="P4019"/>
        <s v="P4226"/>
        <s v="P4880"/>
        <s v="P4980"/>
        <s v="P4996"/>
        <s v="P636"/>
        <s v="P842"/>
        <s v="P987"/>
        <s v="P2288"/>
        <s v="P2815"/>
        <s v="P4901"/>
        <s v="P539"/>
        <s v="P605"/>
        <s v="P2418"/>
        <s v="P4390"/>
        <s v="P3502"/>
        <s v="P3702"/>
        <s v="P2365"/>
        <s v="P3890"/>
        <s v="P4022"/>
        <s v="P4103"/>
        <s v="P4122"/>
        <s v="P1686"/>
        <s v="P2151"/>
        <s v="P2650"/>
        <s v="P284"/>
        <s v="P1524"/>
        <s v="P1652"/>
        <s v="P2304"/>
        <s v="P3190"/>
        <s v="P1798"/>
        <s v="P3709"/>
        <s v="P4422"/>
        <s v="P4719"/>
        <s v="P1198"/>
        <s v="P1551"/>
        <s v="P1630"/>
        <s v="P196"/>
        <s v="P2603"/>
        <s v="P2711"/>
        <s v="P3155"/>
        <s v="P4526"/>
        <s v="P466"/>
        <s v="P830"/>
        <s v="P116"/>
        <s v="P3375"/>
        <s v="P4195"/>
        <s v="P4369"/>
        <s v="P895"/>
        <s v="P2453"/>
        <s v="P2742"/>
        <s v="P3309"/>
        <s v="P3730"/>
        <s v="P4091"/>
        <s v="P4701"/>
        <s v="P680"/>
        <s v="P961"/>
        <s v="P1015"/>
        <s v="P320"/>
        <s v="P4311"/>
        <s v="P4391"/>
        <s v="P4712"/>
        <s v="P1183"/>
        <s v="P1241"/>
        <s v="P1267"/>
        <s v="P307"/>
        <s v="P3724"/>
        <s v="P397"/>
        <s v="P574"/>
        <s v="P974"/>
        <s v="P1523"/>
        <s v="P1779"/>
        <s v="P287"/>
        <s v="P3910"/>
        <s v="P4165"/>
        <s v="P4985"/>
        <s v="P1464"/>
        <s v="P1694"/>
        <s v="P1707"/>
        <s v="P2138"/>
        <s v="P2296"/>
        <s v="P2558"/>
        <s v="P3079"/>
        <s v="P3223"/>
        <s v="P3758"/>
        <s v="P3941"/>
        <s v="P4975"/>
        <s v="P810"/>
        <s v="P1012"/>
        <s v="P120"/>
        <s v="P203"/>
        <s v="P3261"/>
        <s v="P3385"/>
        <s v="P3712"/>
        <s v="P4234"/>
        <s v="P4600"/>
        <s v="P3279"/>
        <s v="P407"/>
        <s v="P4320"/>
        <s v="P4405"/>
        <s v="P4830"/>
        <s v="P739"/>
        <s v="P103"/>
        <s v="P1098"/>
        <s v="P1607"/>
        <s v="P2279"/>
        <s v="P2580"/>
        <s v="P2977"/>
        <s v="P3386"/>
        <s v="P3697"/>
        <s v="P4705"/>
        <s v="P4758"/>
        <s v="P1862"/>
        <s v="P2305"/>
        <s v="P2500"/>
        <s v="P296"/>
        <s v="P4306"/>
        <s v="P4366"/>
        <s v="P144"/>
        <s v="P362"/>
        <s v="P3995"/>
        <s v="P4433"/>
        <s v="P4525"/>
        <s v="P871"/>
        <s v="P4145"/>
        <s v="P1671"/>
        <s v="P1775"/>
        <s v="P1982"/>
        <s v="P294"/>
        <s v="P3605"/>
        <s v="P3736"/>
        <s v="P4255"/>
        <s v="P695"/>
        <s v="P2694"/>
        <s v="P270"/>
        <s v="P3384"/>
        <s v="P548"/>
        <s v="P807"/>
        <s v="P925"/>
        <s v="P101"/>
        <s v="P2154"/>
        <s v="P2239"/>
        <s v="P3774"/>
        <s v="P4766"/>
        <s v="P1365"/>
        <s v="P1825"/>
        <s v="P2446"/>
        <s v="P2508"/>
        <s v="P2805"/>
        <s v="P3372"/>
        <s v="P3499"/>
        <s v="P3696"/>
        <s v="P4551"/>
        <s v="P1074"/>
        <s v="P1430"/>
        <s v="P146"/>
        <s v="P1597"/>
        <s v="P1677"/>
        <s v="P2371"/>
        <s v="P2583"/>
        <s v="P2997"/>
        <s v="P3540"/>
        <s v="P3990"/>
        <s v="P4270"/>
        <s v="P4457"/>
        <s v="P4708"/>
        <s v="P4954"/>
        <s v="P2786"/>
        <s v="P2925"/>
        <s v="P3537"/>
        <s v="P430"/>
        <s v="P4957"/>
        <s v="P4993"/>
        <s v="P534"/>
        <s v="P936"/>
        <s v="P1315"/>
        <s v="P1332"/>
        <s v="P1596"/>
        <s v="P1712"/>
        <s v="P1835"/>
        <s v="P1902"/>
        <s v="P2055"/>
        <s v="P2192"/>
        <s v="P2241"/>
        <s v="P243"/>
        <s v="P3690"/>
        <s v="P3698"/>
        <s v="P4155"/>
        <s v="P4423"/>
        <s v="P4716"/>
        <s v="P4916"/>
        <s v="P58"/>
        <s v="P7"/>
        <s v="P1617"/>
        <s v="P2040"/>
        <s v="P2202"/>
        <s v="P4474"/>
        <s v="P668"/>
        <s v="P2950"/>
        <s v="P3768"/>
        <s v="P4847"/>
        <s v="P11"/>
        <s v="P163"/>
        <s v="P1782"/>
        <s v="P2041"/>
        <s v="P3029"/>
        <s v="P4468"/>
        <s v="P4627"/>
        <s v="P4817"/>
        <s v="P669"/>
        <s v="P878"/>
        <s v="P1554"/>
        <s v="P1117"/>
        <s v="P1781"/>
        <s v="P2395"/>
        <s v="P2419"/>
        <s v="P2669"/>
        <s v="P2851"/>
        <s v="P31"/>
        <s v="P3181"/>
        <s v="P478"/>
        <s v="P1764"/>
        <s v="P2509"/>
        <s v="P2672"/>
        <s v="P3775"/>
        <s v="P3799"/>
        <s v="P3812"/>
        <s v="P462"/>
        <s v="P1055"/>
        <s v="P1755"/>
        <s v="P2146"/>
        <s v="P2686"/>
        <s v="P313"/>
        <s v="P3473"/>
        <s v="P4936"/>
        <s v="P4995"/>
        <s v="P52"/>
        <s v="P1191"/>
        <s v="P1917"/>
        <s v="P2182"/>
        <s v="P2451"/>
        <s v="P257"/>
        <s v="P3328"/>
        <s v="P3780"/>
        <s v="P73"/>
        <s v="P1140"/>
        <s v="P1451"/>
        <s v="P1662"/>
        <s v="P1850"/>
        <s v="P2482"/>
        <s v="P2933"/>
        <s v="P3672"/>
        <s v="P4308"/>
        <s v="P4358"/>
        <s v="P4879"/>
        <s v="P2127"/>
        <s v="P3877"/>
        <s v="P872"/>
        <s v="P1031"/>
        <s v="P2289"/>
        <s v="P2651"/>
        <s v="P3001"/>
        <s v="P3929"/>
        <s v="P4134"/>
        <s v="P4222"/>
        <s v="P4978"/>
        <s v="P1331"/>
        <s v="P1419"/>
        <s v="P1738"/>
        <s v="P2038"/>
        <s v="P2498"/>
        <s v="P2747"/>
        <s v="P1160"/>
        <s v="P3645"/>
        <s v="P4316"/>
        <s v="P1163"/>
        <s v="P1359"/>
        <s v="P1471"/>
        <s v="P1561"/>
        <s v="P325"/>
        <s v="P3553"/>
        <s v="P4285"/>
        <s v="P4394"/>
        <s v="P481"/>
        <s v="P1162"/>
        <s v="P1820"/>
        <s v="P2714"/>
        <s v="P2877"/>
        <s v="P3434"/>
        <s v="P3621"/>
        <s v="P3714"/>
        <s v="P3874"/>
        <s v="P4652"/>
        <s v="P4104"/>
        <s v="P4724"/>
        <s v="P4925"/>
        <s v="P3307"/>
        <s v="P378"/>
        <s v="P4568"/>
        <s v="P4654"/>
        <s v="P4726"/>
        <s v="P769"/>
        <s v="P993"/>
        <s v="P1805"/>
        <s v="P213"/>
        <s v="P2131"/>
        <s v="P3695"/>
        <s v="P3783"/>
        <s v="P1704"/>
        <s v="P2581"/>
        <s v="P4269"/>
        <s v="P688"/>
      </sharedItems>
    </cacheField>
    <cacheField name="Age" numFmtId="0">
      <sharedItems containsSemiMixedTypes="0" containsString="0" containsNumber="1" containsInteger="1" minValue="0" maxValue="99"/>
    </cacheField>
    <cacheField name="Gender" numFmtId="0">
      <sharedItems count="3">
        <s v="Male"/>
        <s v="Other"/>
        <s v="Female"/>
      </sharedItems>
    </cacheField>
    <cacheField name="Diagnosis" numFmtId="0">
      <sharedItems count="8">
        <s v="Covid-19"/>
        <s v="Cancer"/>
        <s v="Asthma"/>
        <s v="Migraine"/>
        <s v="Diabetes"/>
        <s v="Flu"/>
        <s v="Unknown"/>
        <s v="Hypertension"/>
      </sharedItems>
    </cacheField>
    <cacheField name="Treatment" numFmtId="0">
      <sharedItems count="4">
        <s v="Therapy"/>
        <s v="Surgery"/>
        <s v="Observation"/>
        <s v="Medication"/>
      </sharedItems>
    </cacheField>
    <cacheField name="Doctor" numFmtId="0">
      <sharedItems count="6">
        <s v="Dr. John"/>
        <s v="Dr. Patel"/>
        <s v="Dr. Lee"/>
        <s v="Dr. Wong"/>
        <s v="Dr. Smith"/>
        <s v="Unassigned"/>
      </sharedItems>
    </cacheField>
    <cacheField name="Cost" numFmtId="0">
      <sharedItems containsSemiMixedTypes="0" containsString="0" containsNumber="1" minValue="20.23" maxValue="4998.47"/>
    </cacheField>
    <cacheField name="Age Group" numFmtId="0">
      <sharedItems count="3">
        <s v="Seniors"/>
        <s v="Working Age"/>
        <s v="Children and Young Adolescents"/>
      </sharedItems>
    </cacheField>
    <cacheField name="Standard Cost" numFmtId="2">
      <sharedItems containsSemiMixedTypes="0" containsString="0" containsNumber="1" minValue="2440.2966694490838" maxValue="2509.1716796874912"/>
    </cacheField>
    <cacheField name="Cost with Tax (Rounddown)" numFmtId="0">
      <sharedItems containsSemiMixedTypes="0" containsString="0" containsNumber="1" minValue="22.25" maxValue="5498.31"/>
    </cacheField>
    <cacheField name="Cost with Tax (Roundup)" numFmtId="0">
      <sharedItems containsSemiMixedTypes="0" containsString="0" containsNumber="1" minValue="22.26" maxValue="5498.3200000000006"/>
    </cacheField>
    <cacheField name="Cost with Tax (Round)" numFmtId="0">
      <sharedItems containsSemiMixedTypes="0" containsString="0" containsNumber="1" minValue="22.25" maxValue="5498.32"/>
    </cacheField>
    <cacheField name="Extracted Date" numFmtId="4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d v="2022-01-01T00:00:00"/>
    <x v="0"/>
    <n v="75"/>
    <x v="0"/>
    <x v="0"/>
    <x v="0"/>
    <x v="0"/>
    <n v="2609.73"/>
    <x v="0"/>
    <n v="2503.6022787783854"/>
    <n v="2870.7"/>
    <n v="2870.71"/>
    <n v="2870.7"/>
    <s v="January 2022"/>
  </r>
  <r>
    <d v="2022-01-01T00:00:00"/>
    <x v="1"/>
    <n v="43"/>
    <x v="1"/>
    <x v="1"/>
    <x v="0"/>
    <x v="0"/>
    <n v="4137.97"/>
    <x v="1"/>
    <n v="2503.6022787783854"/>
    <n v="4551.76"/>
    <n v="4551.7700000000004"/>
    <n v="4551.7700000000004"/>
    <s v="January 2022"/>
  </r>
  <r>
    <d v="2022-01-01T00:00:00"/>
    <x v="2"/>
    <n v="78"/>
    <x v="1"/>
    <x v="2"/>
    <x v="1"/>
    <x v="1"/>
    <n v="3482.19"/>
    <x v="0"/>
    <n v="2509.1716796874912"/>
    <n v="3830.4"/>
    <n v="3830.4100000000003"/>
    <n v="3830.41"/>
    <s v="January 2022"/>
  </r>
  <r>
    <d v="2022-01-01T00:00:00"/>
    <x v="3"/>
    <n v="1"/>
    <x v="1"/>
    <x v="0"/>
    <x v="1"/>
    <x v="2"/>
    <n v="1114.1400000000001"/>
    <x v="2"/>
    <n v="2509.1716796874912"/>
    <n v="1225.55"/>
    <n v="1225.56"/>
    <n v="1225.55"/>
    <s v="January 2022"/>
  </r>
  <r>
    <d v="2022-01-01T00:00:00"/>
    <x v="4"/>
    <n v="64"/>
    <x v="1"/>
    <x v="2"/>
    <x v="2"/>
    <x v="3"/>
    <n v="3587.99"/>
    <x v="1"/>
    <n v="2440.2966694490838"/>
    <n v="3946.78"/>
    <n v="3946.7900000000004"/>
    <n v="3946.79"/>
    <s v="January 2022"/>
  </r>
  <r>
    <d v="2022-01-01T00:00:00"/>
    <x v="5"/>
    <n v="65"/>
    <x v="1"/>
    <x v="1"/>
    <x v="1"/>
    <x v="4"/>
    <n v="4361.6099999999997"/>
    <x v="0"/>
    <n v="2509.1716796874912"/>
    <n v="4797.7700000000004"/>
    <n v="4797.7800000000007"/>
    <n v="4797.7700000000004"/>
    <s v="January 2022"/>
  </r>
  <r>
    <d v="2022-01-01T00:00:00"/>
    <x v="6"/>
    <n v="74"/>
    <x v="1"/>
    <x v="2"/>
    <x v="2"/>
    <x v="4"/>
    <n v="283.95"/>
    <x v="0"/>
    <n v="2440.2966694490838"/>
    <n v="312.33999999999997"/>
    <n v="312.34999999999997"/>
    <n v="312.35000000000002"/>
    <s v="January 2022"/>
  </r>
  <r>
    <d v="2022-01-01T00:00:00"/>
    <x v="7"/>
    <n v="64"/>
    <x v="2"/>
    <x v="3"/>
    <x v="0"/>
    <x v="3"/>
    <n v="3456.39"/>
    <x v="1"/>
    <n v="2503.6022787783854"/>
    <n v="3802.02"/>
    <n v="3802.03"/>
    <n v="3802.03"/>
    <s v="January 2022"/>
  </r>
  <r>
    <d v="2022-01-02T00:00:00"/>
    <x v="8"/>
    <n v="59"/>
    <x v="2"/>
    <x v="1"/>
    <x v="2"/>
    <x v="0"/>
    <n v="835.71"/>
    <x v="1"/>
    <n v="2440.2966694490838"/>
    <n v="919.28"/>
    <n v="919.29"/>
    <n v="919.28"/>
    <s v="January 2022"/>
  </r>
  <r>
    <d v="2022-01-02T00:00:00"/>
    <x v="9"/>
    <n v="93"/>
    <x v="1"/>
    <x v="2"/>
    <x v="0"/>
    <x v="1"/>
    <n v="4799.51"/>
    <x v="0"/>
    <n v="2503.6022787783854"/>
    <n v="5279.46"/>
    <n v="5279.47"/>
    <n v="5279.46"/>
    <s v="January 2022"/>
  </r>
  <r>
    <d v="2022-01-02T00:00:00"/>
    <x v="10"/>
    <n v="65"/>
    <x v="0"/>
    <x v="4"/>
    <x v="3"/>
    <x v="0"/>
    <n v="4769.88"/>
    <x v="0"/>
    <n v="2496.7676064256989"/>
    <n v="5246.86"/>
    <n v="5246.87"/>
    <n v="5246.87"/>
    <s v="January 2022"/>
  </r>
  <r>
    <d v="2022-01-02T00:00:00"/>
    <x v="11"/>
    <n v="40"/>
    <x v="0"/>
    <x v="1"/>
    <x v="3"/>
    <x v="0"/>
    <n v="1137.72"/>
    <x v="1"/>
    <n v="2496.7676064256989"/>
    <n v="1251.49"/>
    <n v="1251.5"/>
    <n v="1251.49"/>
    <s v="January 2022"/>
  </r>
  <r>
    <d v="2022-01-02T00:00:00"/>
    <x v="12"/>
    <n v="91"/>
    <x v="1"/>
    <x v="5"/>
    <x v="1"/>
    <x v="2"/>
    <n v="1579.82"/>
    <x v="0"/>
    <n v="2509.1716796874912"/>
    <n v="1737.8"/>
    <n v="1737.81"/>
    <n v="1737.8"/>
    <s v="January 2022"/>
  </r>
  <r>
    <d v="2022-01-03T00:00:00"/>
    <x v="13"/>
    <n v="73"/>
    <x v="2"/>
    <x v="6"/>
    <x v="1"/>
    <x v="1"/>
    <n v="3108.83"/>
    <x v="0"/>
    <n v="2509.1716796874912"/>
    <n v="3419.71"/>
    <n v="3419.7200000000003"/>
    <n v="3419.71"/>
    <s v="January 2022"/>
  </r>
  <r>
    <d v="2022-01-03T00:00:00"/>
    <x v="14"/>
    <n v="77"/>
    <x v="2"/>
    <x v="7"/>
    <x v="3"/>
    <x v="0"/>
    <n v="470.52"/>
    <x v="0"/>
    <n v="2496.7676064256989"/>
    <n v="517.57000000000005"/>
    <n v="517.58000000000004"/>
    <n v="517.57000000000005"/>
    <s v="January 2022"/>
  </r>
  <r>
    <d v="2022-01-03T00:00:00"/>
    <x v="15"/>
    <n v="56"/>
    <x v="1"/>
    <x v="4"/>
    <x v="3"/>
    <x v="2"/>
    <n v="2994.58"/>
    <x v="1"/>
    <n v="2496.7676064256989"/>
    <n v="3294.03"/>
    <n v="3294.0400000000004"/>
    <n v="3294.04"/>
    <s v="January 2022"/>
  </r>
  <r>
    <d v="2022-01-03T00:00:00"/>
    <x v="16"/>
    <n v="21"/>
    <x v="0"/>
    <x v="0"/>
    <x v="1"/>
    <x v="4"/>
    <n v="2689.37"/>
    <x v="1"/>
    <n v="2509.1716796874912"/>
    <n v="2958.3"/>
    <n v="2958.3100000000004"/>
    <n v="2958.31"/>
    <s v="January 2022"/>
  </r>
  <r>
    <d v="2022-01-04T00:00:00"/>
    <x v="17"/>
    <n v="14"/>
    <x v="1"/>
    <x v="2"/>
    <x v="3"/>
    <x v="1"/>
    <n v="565.03"/>
    <x v="2"/>
    <n v="2496.7676064256989"/>
    <n v="621.53"/>
    <n v="621.54"/>
    <n v="621.53"/>
    <s v="January 2022"/>
  </r>
  <r>
    <d v="2022-01-04T00:00:00"/>
    <x v="18"/>
    <n v="91"/>
    <x v="1"/>
    <x v="6"/>
    <x v="3"/>
    <x v="2"/>
    <n v="2328.0700000000002"/>
    <x v="0"/>
    <n v="2496.7676064256989"/>
    <n v="2560.87"/>
    <n v="2560.88"/>
    <n v="2560.88"/>
    <s v="January 2022"/>
  </r>
  <r>
    <d v="2022-01-04T00:00:00"/>
    <x v="19"/>
    <n v="18"/>
    <x v="1"/>
    <x v="2"/>
    <x v="3"/>
    <x v="1"/>
    <n v="4885.3999999999996"/>
    <x v="1"/>
    <n v="2496.7676064256989"/>
    <n v="5373.94"/>
    <n v="5373.94"/>
    <n v="5373.94"/>
    <s v="January 2022"/>
  </r>
  <r>
    <d v="2022-01-04T00:00:00"/>
    <x v="20"/>
    <n v="95"/>
    <x v="1"/>
    <x v="0"/>
    <x v="3"/>
    <x v="1"/>
    <n v="3114.25"/>
    <x v="0"/>
    <n v="2496.7676064256989"/>
    <n v="3425.67"/>
    <n v="3425.6800000000003"/>
    <n v="3425.68"/>
    <s v="January 2022"/>
  </r>
  <r>
    <d v="2022-01-04T00:00:00"/>
    <x v="21"/>
    <n v="95"/>
    <x v="1"/>
    <x v="1"/>
    <x v="2"/>
    <x v="0"/>
    <n v="4320.29"/>
    <x v="0"/>
    <n v="2440.2966694490838"/>
    <n v="4752.3100000000004"/>
    <n v="4752.3200000000006"/>
    <n v="4752.32"/>
    <s v="January 2022"/>
  </r>
  <r>
    <d v="2022-01-04T00:00:00"/>
    <x v="22"/>
    <n v="0"/>
    <x v="1"/>
    <x v="3"/>
    <x v="3"/>
    <x v="4"/>
    <n v="715.2"/>
    <x v="2"/>
    <n v="2496.7676064256989"/>
    <n v="786.72"/>
    <n v="786.72"/>
    <n v="786.72"/>
    <s v="January 2022"/>
  </r>
  <r>
    <d v="2022-01-04T00:00:00"/>
    <x v="23"/>
    <n v="11"/>
    <x v="0"/>
    <x v="5"/>
    <x v="2"/>
    <x v="4"/>
    <n v="3570.38"/>
    <x v="2"/>
    <n v="2440.2966694490838"/>
    <n v="3927.41"/>
    <n v="3927.42"/>
    <n v="3927.42"/>
    <s v="January 2022"/>
  </r>
  <r>
    <d v="2022-01-04T00:00:00"/>
    <x v="24"/>
    <n v="12"/>
    <x v="1"/>
    <x v="3"/>
    <x v="1"/>
    <x v="0"/>
    <n v="2482.91"/>
    <x v="2"/>
    <n v="2509.1716796874912"/>
    <n v="2731.2"/>
    <n v="2731.21"/>
    <n v="2731.2"/>
    <s v="January 2022"/>
  </r>
  <r>
    <d v="2022-01-05T00:00:00"/>
    <x v="25"/>
    <n v="41"/>
    <x v="1"/>
    <x v="7"/>
    <x v="1"/>
    <x v="3"/>
    <n v="4913.53"/>
    <x v="1"/>
    <n v="2509.1716796874912"/>
    <n v="5404.88"/>
    <n v="5404.89"/>
    <n v="5404.88"/>
    <s v="January 2022"/>
  </r>
  <r>
    <d v="2022-01-05T00:00:00"/>
    <x v="26"/>
    <n v="89"/>
    <x v="1"/>
    <x v="6"/>
    <x v="1"/>
    <x v="3"/>
    <n v="3684.53"/>
    <x v="0"/>
    <n v="2509.1716796874912"/>
    <n v="4052.98"/>
    <n v="4052.9900000000002"/>
    <n v="4052.98"/>
    <s v="January 2022"/>
  </r>
  <r>
    <d v="2022-01-05T00:00:00"/>
    <x v="27"/>
    <n v="31"/>
    <x v="0"/>
    <x v="0"/>
    <x v="0"/>
    <x v="0"/>
    <n v="3951.59"/>
    <x v="1"/>
    <n v="2503.6022787783854"/>
    <n v="4346.74"/>
    <n v="4346.75"/>
    <n v="4346.75"/>
    <s v="January 2022"/>
  </r>
  <r>
    <d v="2022-01-05T00:00:00"/>
    <x v="28"/>
    <n v="34"/>
    <x v="2"/>
    <x v="3"/>
    <x v="2"/>
    <x v="1"/>
    <n v="4602.8900000000003"/>
    <x v="1"/>
    <n v="2440.2966694490838"/>
    <n v="5063.17"/>
    <n v="5063.18"/>
    <n v="5063.18"/>
    <s v="January 2022"/>
  </r>
  <r>
    <d v="2022-01-05T00:00:00"/>
    <x v="29"/>
    <n v="98"/>
    <x v="0"/>
    <x v="4"/>
    <x v="0"/>
    <x v="4"/>
    <n v="1417.48"/>
    <x v="0"/>
    <n v="2503.6022787783854"/>
    <n v="1559.22"/>
    <n v="1559.23"/>
    <n v="1559.23"/>
    <s v="January 2022"/>
  </r>
  <r>
    <d v="2022-01-05T00:00:00"/>
    <x v="30"/>
    <n v="83"/>
    <x v="2"/>
    <x v="0"/>
    <x v="1"/>
    <x v="2"/>
    <n v="2233.5700000000002"/>
    <x v="0"/>
    <n v="2509.1716796874912"/>
    <n v="2456.92"/>
    <n v="2456.9300000000003"/>
    <n v="2456.9299999999998"/>
    <s v="January 2022"/>
  </r>
  <r>
    <d v="2022-01-05T00:00:00"/>
    <x v="31"/>
    <n v="29"/>
    <x v="2"/>
    <x v="1"/>
    <x v="3"/>
    <x v="4"/>
    <n v="2450.58"/>
    <x v="1"/>
    <n v="2496.7676064256989"/>
    <n v="2695.63"/>
    <n v="2695.6400000000003"/>
    <n v="2695.64"/>
    <s v="January 2022"/>
  </r>
  <r>
    <d v="2022-01-06T00:00:00"/>
    <x v="32"/>
    <n v="77"/>
    <x v="0"/>
    <x v="0"/>
    <x v="0"/>
    <x v="3"/>
    <n v="2115.64"/>
    <x v="0"/>
    <n v="2503.6022787783854"/>
    <n v="2327.1999999999998"/>
    <n v="2327.21"/>
    <n v="2327.1999999999998"/>
    <s v="January 2022"/>
  </r>
  <r>
    <d v="2022-01-06T00:00:00"/>
    <x v="33"/>
    <n v="8"/>
    <x v="0"/>
    <x v="6"/>
    <x v="2"/>
    <x v="0"/>
    <n v="608.16999999999996"/>
    <x v="2"/>
    <n v="2440.2966694490838"/>
    <n v="668.98"/>
    <n v="668.99"/>
    <n v="668.99"/>
    <s v="January 2022"/>
  </r>
  <r>
    <d v="2022-01-06T00:00:00"/>
    <x v="34"/>
    <n v="29"/>
    <x v="0"/>
    <x v="6"/>
    <x v="1"/>
    <x v="2"/>
    <n v="669.36"/>
    <x v="1"/>
    <n v="2509.1716796874912"/>
    <n v="736.29"/>
    <n v="736.3"/>
    <n v="736.3"/>
    <s v="January 2022"/>
  </r>
  <r>
    <d v="2022-01-06T00:00:00"/>
    <x v="35"/>
    <n v="76"/>
    <x v="0"/>
    <x v="2"/>
    <x v="2"/>
    <x v="4"/>
    <n v="1701.59"/>
    <x v="0"/>
    <n v="2440.2966694490838"/>
    <n v="1871.74"/>
    <n v="1871.75"/>
    <n v="1871.75"/>
    <s v="January 2022"/>
  </r>
  <r>
    <d v="2022-01-06T00:00:00"/>
    <x v="36"/>
    <n v="50"/>
    <x v="2"/>
    <x v="5"/>
    <x v="3"/>
    <x v="1"/>
    <n v="1869.03"/>
    <x v="1"/>
    <n v="2496.7676064256989"/>
    <n v="2055.9299999999998"/>
    <n v="2055.94"/>
    <n v="2055.9299999999998"/>
    <s v="January 2022"/>
  </r>
  <r>
    <d v="2022-01-06T00:00:00"/>
    <x v="37"/>
    <n v="84"/>
    <x v="0"/>
    <x v="3"/>
    <x v="2"/>
    <x v="2"/>
    <n v="4444.47"/>
    <x v="0"/>
    <n v="2440.2966694490838"/>
    <n v="4888.91"/>
    <n v="4888.92"/>
    <n v="4888.92"/>
    <s v="January 2022"/>
  </r>
  <r>
    <d v="2022-01-07T00:00:00"/>
    <x v="38"/>
    <n v="86"/>
    <x v="0"/>
    <x v="5"/>
    <x v="1"/>
    <x v="1"/>
    <n v="2987.23"/>
    <x v="0"/>
    <n v="2509.1716796874912"/>
    <n v="3285.95"/>
    <n v="3285.96"/>
    <n v="3285.95"/>
    <s v="January 2022"/>
  </r>
  <r>
    <d v="2022-01-07T00:00:00"/>
    <x v="39"/>
    <n v="37"/>
    <x v="0"/>
    <x v="5"/>
    <x v="2"/>
    <x v="2"/>
    <n v="1570.66"/>
    <x v="1"/>
    <n v="2440.2966694490838"/>
    <n v="1727.72"/>
    <n v="1727.73"/>
    <n v="1727.73"/>
    <s v="January 2022"/>
  </r>
  <r>
    <d v="2022-01-07T00:00:00"/>
    <x v="40"/>
    <n v="56"/>
    <x v="0"/>
    <x v="7"/>
    <x v="3"/>
    <x v="1"/>
    <n v="2508.04"/>
    <x v="1"/>
    <n v="2496.7676064256989"/>
    <n v="2758.84"/>
    <n v="2758.8500000000004"/>
    <n v="2758.84"/>
    <s v="January 2022"/>
  </r>
  <r>
    <d v="2022-01-07T00:00:00"/>
    <x v="41"/>
    <n v="27"/>
    <x v="2"/>
    <x v="1"/>
    <x v="1"/>
    <x v="0"/>
    <n v="317.38"/>
    <x v="1"/>
    <n v="2509.1716796874912"/>
    <n v="349.11"/>
    <n v="349.12"/>
    <n v="349.12"/>
    <s v="January 2022"/>
  </r>
  <r>
    <d v="2022-01-07T00:00:00"/>
    <x v="42"/>
    <n v="45"/>
    <x v="1"/>
    <x v="2"/>
    <x v="3"/>
    <x v="0"/>
    <n v="2028.76"/>
    <x v="1"/>
    <n v="2496.7676064256989"/>
    <n v="2231.63"/>
    <n v="2231.6400000000003"/>
    <n v="2231.64"/>
    <s v="January 2022"/>
  </r>
  <r>
    <d v="2022-01-08T00:00:00"/>
    <x v="43"/>
    <n v="52"/>
    <x v="2"/>
    <x v="1"/>
    <x v="0"/>
    <x v="4"/>
    <n v="1269.93"/>
    <x v="1"/>
    <n v="2503.6022787783854"/>
    <n v="1396.92"/>
    <n v="1396.93"/>
    <n v="1396.92"/>
    <s v="January 2022"/>
  </r>
  <r>
    <d v="2022-01-08T00:00:00"/>
    <x v="44"/>
    <n v="95"/>
    <x v="1"/>
    <x v="1"/>
    <x v="2"/>
    <x v="0"/>
    <n v="2801.34"/>
    <x v="0"/>
    <n v="2440.2966694490838"/>
    <n v="3081.47"/>
    <n v="3081.48"/>
    <n v="3081.47"/>
    <s v="January 2022"/>
  </r>
  <r>
    <d v="2022-01-08T00:00:00"/>
    <x v="45"/>
    <n v="64"/>
    <x v="2"/>
    <x v="0"/>
    <x v="3"/>
    <x v="2"/>
    <n v="485.96"/>
    <x v="1"/>
    <n v="2496.7676064256989"/>
    <n v="534.54999999999995"/>
    <n v="534.55999999999995"/>
    <n v="534.55999999999995"/>
    <s v="January 2022"/>
  </r>
  <r>
    <d v="2022-01-08T00:00:00"/>
    <x v="46"/>
    <n v="74"/>
    <x v="1"/>
    <x v="4"/>
    <x v="0"/>
    <x v="5"/>
    <n v="4896.38"/>
    <x v="0"/>
    <n v="2503.6022787783854"/>
    <n v="5386.01"/>
    <n v="5386.02"/>
    <n v="5386.02"/>
    <s v="January 2022"/>
  </r>
  <r>
    <d v="2022-01-09T00:00:00"/>
    <x v="47"/>
    <n v="73"/>
    <x v="2"/>
    <x v="4"/>
    <x v="3"/>
    <x v="4"/>
    <n v="3831.02"/>
    <x v="0"/>
    <n v="2496.7676064256989"/>
    <n v="4214.12"/>
    <n v="4214.13"/>
    <n v="4214.12"/>
    <s v="January 2022"/>
  </r>
  <r>
    <d v="2022-01-09T00:00:00"/>
    <x v="48"/>
    <n v="39"/>
    <x v="0"/>
    <x v="7"/>
    <x v="3"/>
    <x v="1"/>
    <n v="3400.59"/>
    <x v="1"/>
    <n v="2496.7676064256989"/>
    <n v="3740.64"/>
    <n v="3740.65"/>
    <n v="3740.65"/>
    <s v="January 2022"/>
  </r>
  <r>
    <d v="2022-01-09T00:00:00"/>
    <x v="49"/>
    <n v="57"/>
    <x v="0"/>
    <x v="3"/>
    <x v="1"/>
    <x v="1"/>
    <n v="2790.7"/>
    <x v="1"/>
    <n v="2509.1716796874912"/>
    <n v="3069.77"/>
    <n v="3069.77"/>
    <n v="3069.77"/>
    <s v="January 2022"/>
  </r>
  <r>
    <d v="2022-01-09T00:00:00"/>
    <x v="50"/>
    <n v="55"/>
    <x v="2"/>
    <x v="5"/>
    <x v="2"/>
    <x v="0"/>
    <n v="3873.85"/>
    <x v="1"/>
    <n v="2440.2966694490838"/>
    <n v="4261.2299999999996"/>
    <n v="4261.24"/>
    <n v="4261.24"/>
    <s v="January 2022"/>
  </r>
  <r>
    <d v="2022-01-10T00:00:00"/>
    <x v="51"/>
    <n v="9"/>
    <x v="0"/>
    <x v="1"/>
    <x v="2"/>
    <x v="1"/>
    <n v="377.17"/>
    <x v="2"/>
    <n v="2440.2966694490838"/>
    <n v="414.88"/>
    <n v="414.89"/>
    <n v="414.89"/>
    <s v="January 2022"/>
  </r>
  <r>
    <d v="2022-01-10T00:00:00"/>
    <x v="52"/>
    <n v="58"/>
    <x v="2"/>
    <x v="6"/>
    <x v="3"/>
    <x v="2"/>
    <n v="2586.16"/>
    <x v="1"/>
    <n v="2496.7676064256989"/>
    <n v="2844.77"/>
    <n v="2844.78"/>
    <n v="2844.78"/>
    <s v="January 2022"/>
  </r>
  <r>
    <d v="2022-01-10T00:00:00"/>
    <x v="53"/>
    <n v="97"/>
    <x v="0"/>
    <x v="3"/>
    <x v="2"/>
    <x v="4"/>
    <n v="1755.25"/>
    <x v="0"/>
    <n v="2440.2966694490838"/>
    <n v="1930.77"/>
    <n v="1930.78"/>
    <n v="1930.78"/>
    <s v="January 2022"/>
  </r>
  <r>
    <d v="2022-01-10T00:00:00"/>
    <x v="54"/>
    <n v="26"/>
    <x v="0"/>
    <x v="7"/>
    <x v="1"/>
    <x v="4"/>
    <n v="2006.38"/>
    <x v="1"/>
    <n v="2509.1716796874912"/>
    <n v="2207.0100000000002"/>
    <n v="2207.0200000000004"/>
    <n v="2207.02"/>
    <s v="January 2022"/>
  </r>
  <r>
    <d v="2022-01-10T00:00:00"/>
    <x v="55"/>
    <n v="10"/>
    <x v="0"/>
    <x v="7"/>
    <x v="1"/>
    <x v="3"/>
    <n v="868.35"/>
    <x v="2"/>
    <n v="2509.1716796874912"/>
    <n v="955.18"/>
    <n v="955.18999999999994"/>
    <n v="955.19"/>
    <s v="January 2022"/>
  </r>
  <r>
    <d v="2022-01-10T00:00:00"/>
    <x v="56"/>
    <n v="13"/>
    <x v="2"/>
    <x v="4"/>
    <x v="2"/>
    <x v="3"/>
    <n v="4678.13"/>
    <x v="2"/>
    <n v="2440.2966694490838"/>
    <n v="5145.9399999999996"/>
    <n v="5145.95"/>
    <n v="5145.9399999999996"/>
    <s v="January 2022"/>
  </r>
  <r>
    <d v="2022-01-10T00:00:00"/>
    <x v="57"/>
    <n v="97"/>
    <x v="1"/>
    <x v="7"/>
    <x v="2"/>
    <x v="0"/>
    <n v="3541.06"/>
    <x v="0"/>
    <n v="2440.2966694490838"/>
    <n v="3895.16"/>
    <n v="3895.17"/>
    <n v="3895.17"/>
    <s v="January 2022"/>
  </r>
  <r>
    <d v="2022-01-10T00:00:00"/>
    <x v="58"/>
    <n v="62"/>
    <x v="0"/>
    <x v="1"/>
    <x v="1"/>
    <x v="3"/>
    <n v="1015.21"/>
    <x v="1"/>
    <n v="2509.1716796874912"/>
    <n v="1116.73"/>
    <n v="1116.74"/>
    <n v="1116.73"/>
    <s v="January 2022"/>
  </r>
  <r>
    <d v="2022-01-10T00:00:00"/>
    <x v="59"/>
    <n v="54"/>
    <x v="1"/>
    <x v="7"/>
    <x v="0"/>
    <x v="1"/>
    <n v="2378.06"/>
    <x v="1"/>
    <n v="2503.6022787783854"/>
    <n v="2615.86"/>
    <n v="2615.8700000000003"/>
    <n v="2615.87"/>
    <s v="January 2022"/>
  </r>
  <r>
    <d v="2022-01-11T00:00:00"/>
    <x v="60"/>
    <n v="63"/>
    <x v="0"/>
    <x v="5"/>
    <x v="0"/>
    <x v="2"/>
    <n v="3841.57"/>
    <x v="1"/>
    <n v="2503.6022787783854"/>
    <n v="4225.72"/>
    <n v="4225.7300000000005"/>
    <n v="4225.7299999999996"/>
    <s v="January 2022"/>
  </r>
  <r>
    <d v="2022-01-11T00:00:00"/>
    <x v="61"/>
    <n v="51"/>
    <x v="0"/>
    <x v="4"/>
    <x v="0"/>
    <x v="2"/>
    <n v="2511.4"/>
    <x v="1"/>
    <n v="2503.6022787783854"/>
    <n v="2762.54"/>
    <n v="2762.54"/>
    <n v="2762.54"/>
    <s v="January 2022"/>
  </r>
  <r>
    <d v="2022-01-11T00:00:00"/>
    <x v="62"/>
    <n v="64"/>
    <x v="0"/>
    <x v="5"/>
    <x v="0"/>
    <x v="0"/>
    <n v="4364.57"/>
    <x v="1"/>
    <n v="2503.6022787783854"/>
    <n v="4801.0200000000004"/>
    <n v="4801.0300000000007"/>
    <n v="4801.03"/>
    <s v="January 2022"/>
  </r>
  <r>
    <d v="2022-01-11T00:00:00"/>
    <x v="63"/>
    <n v="93"/>
    <x v="1"/>
    <x v="1"/>
    <x v="3"/>
    <x v="0"/>
    <n v="446.05"/>
    <x v="0"/>
    <n v="2496.7676064256989"/>
    <n v="490.65"/>
    <n v="490.65999999999997"/>
    <n v="490.66"/>
    <s v="January 2022"/>
  </r>
  <r>
    <d v="2022-01-12T00:00:00"/>
    <x v="64"/>
    <n v="29"/>
    <x v="0"/>
    <x v="1"/>
    <x v="3"/>
    <x v="1"/>
    <n v="2462.63"/>
    <x v="1"/>
    <n v="2496.7676064256989"/>
    <n v="2708.89"/>
    <n v="2708.9"/>
    <n v="2708.89"/>
    <s v="January 2022"/>
  </r>
  <r>
    <d v="2022-01-12T00:00:00"/>
    <x v="65"/>
    <n v="81"/>
    <x v="2"/>
    <x v="1"/>
    <x v="1"/>
    <x v="0"/>
    <n v="4125.72"/>
    <x v="0"/>
    <n v="2509.1716796874912"/>
    <n v="4538.29"/>
    <n v="4538.3"/>
    <n v="4538.29"/>
    <s v="January 2022"/>
  </r>
  <r>
    <d v="2022-01-12T00:00:00"/>
    <x v="66"/>
    <n v="56"/>
    <x v="0"/>
    <x v="2"/>
    <x v="0"/>
    <x v="2"/>
    <n v="1435.92"/>
    <x v="1"/>
    <n v="2503.6022787783854"/>
    <n v="1579.51"/>
    <n v="1579.52"/>
    <n v="1579.51"/>
    <s v="January 2022"/>
  </r>
  <r>
    <d v="2022-01-13T00:00:00"/>
    <x v="67"/>
    <n v="10"/>
    <x v="1"/>
    <x v="3"/>
    <x v="1"/>
    <x v="2"/>
    <n v="3857.77"/>
    <x v="2"/>
    <n v="2509.1716796874912"/>
    <n v="4243.54"/>
    <n v="4243.55"/>
    <n v="4243.55"/>
    <s v="January 2022"/>
  </r>
  <r>
    <d v="2022-01-13T00:00:00"/>
    <x v="68"/>
    <n v="93"/>
    <x v="1"/>
    <x v="2"/>
    <x v="1"/>
    <x v="2"/>
    <n v="2785.19"/>
    <x v="0"/>
    <n v="2509.1716796874912"/>
    <n v="3063.7"/>
    <n v="3063.71"/>
    <n v="3063.71"/>
    <s v="January 2022"/>
  </r>
  <r>
    <d v="2022-01-13T00:00:00"/>
    <x v="69"/>
    <n v="48"/>
    <x v="1"/>
    <x v="0"/>
    <x v="2"/>
    <x v="3"/>
    <n v="1147.7"/>
    <x v="1"/>
    <n v="2440.2966694490838"/>
    <n v="1262.47"/>
    <n v="1262.47"/>
    <n v="1262.47"/>
    <s v="January 2022"/>
  </r>
  <r>
    <d v="2022-01-13T00:00:00"/>
    <x v="70"/>
    <n v="67"/>
    <x v="1"/>
    <x v="3"/>
    <x v="0"/>
    <x v="1"/>
    <n v="4870.5200000000004"/>
    <x v="0"/>
    <n v="2503.6022787783854"/>
    <n v="5357.57"/>
    <n v="5357.58"/>
    <n v="5357.57"/>
    <s v="January 2022"/>
  </r>
  <r>
    <d v="2022-01-14T00:00:00"/>
    <x v="71"/>
    <n v="95"/>
    <x v="0"/>
    <x v="4"/>
    <x v="2"/>
    <x v="0"/>
    <n v="1937.56"/>
    <x v="0"/>
    <n v="2440.2966694490838"/>
    <n v="2131.31"/>
    <n v="2131.3200000000002"/>
    <n v="2131.3200000000002"/>
    <s v="January 2022"/>
  </r>
  <r>
    <d v="2022-01-14T00:00:00"/>
    <x v="72"/>
    <n v="40"/>
    <x v="2"/>
    <x v="7"/>
    <x v="0"/>
    <x v="1"/>
    <n v="1926.96"/>
    <x v="1"/>
    <n v="2503.6022787783854"/>
    <n v="2119.65"/>
    <n v="2119.6600000000003"/>
    <n v="2119.66"/>
    <s v="January 2022"/>
  </r>
  <r>
    <d v="2022-01-14T00:00:00"/>
    <x v="73"/>
    <n v="80"/>
    <x v="2"/>
    <x v="7"/>
    <x v="3"/>
    <x v="1"/>
    <n v="3099.2"/>
    <x v="0"/>
    <n v="2496.7676064256989"/>
    <n v="3409.12"/>
    <n v="3409.12"/>
    <n v="3409.12"/>
    <s v="January 2022"/>
  </r>
  <r>
    <d v="2022-01-14T00:00:00"/>
    <x v="74"/>
    <n v="44"/>
    <x v="1"/>
    <x v="2"/>
    <x v="1"/>
    <x v="3"/>
    <n v="1983.92"/>
    <x v="1"/>
    <n v="2509.1716796874912"/>
    <n v="2182.31"/>
    <n v="2182.3200000000002"/>
    <n v="2182.31"/>
    <s v="January 2022"/>
  </r>
  <r>
    <d v="2022-01-14T00:00:00"/>
    <x v="75"/>
    <n v="66"/>
    <x v="1"/>
    <x v="1"/>
    <x v="2"/>
    <x v="2"/>
    <n v="3718.41"/>
    <x v="0"/>
    <n v="2440.2966694490838"/>
    <n v="4090.25"/>
    <n v="4090.26"/>
    <n v="4090.25"/>
    <s v="January 2022"/>
  </r>
  <r>
    <d v="2022-01-14T00:00:00"/>
    <x v="76"/>
    <n v="82"/>
    <x v="0"/>
    <x v="6"/>
    <x v="2"/>
    <x v="0"/>
    <n v="2364.6"/>
    <x v="0"/>
    <n v="2440.2966694490838"/>
    <n v="2601.06"/>
    <n v="2601.06"/>
    <n v="2601.06"/>
    <s v="January 2022"/>
  </r>
  <r>
    <d v="2022-01-14T00:00:00"/>
    <x v="77"/>
    <n v="31"/>
    <x v="0"/>
    <x v="7"/>
    <x v="2"/>
    <x v="4"/>
    <n v="283.75"/>
    <x v="1"/>
    <n v="2440.2966694490838"/>
    <n v="312.12"/>
    <n v="312.13"/>
    <n v="312.13"/>
    <s v="January 2022"/>
  </r>
  <r>
    <d v="2022-01-14T00:00:00"/>
    <x v="78"/>
    <n v="95"/>
    <x v="2"/>
    <x v="7"/>
    <x v="2"/>
    <x v="2"/>
    <n v="1049.6400000000001"/>
    <x v="0"/>
    <n v="2440.2966694490838"/>
    <n v="1154.5999999999999"/>
    <n v="1154.6099999999999"/>
    <n v="1154.5999999999999"/>
    <s v="January 2022"/>
  </r>
  <r>
    <d v="2022-01-14T00:00:00"/>
    <x v="79"/>
    <n v="18"/>
    <x v="1"/>
    <x v="7"/>
    <x v="0"/>
    <x v="3"/>
    <n v="4108.67"/>
    <x v="1"/>
    <n v="2503.6022787783854"/>
    <n v="4519.53"/>
    <n v="4519.54"/>
    <n v="4519.54"/>
    <s v="January 2022"/>
  </r>
  <r>
    <d v="2022-01-14T00:00:00"/>
    <x v="80"/>
    <n v="43"/>
    <x v="1"/>
    <x v="5"/>
    <x v="2"/>
    <x v="1"/>
    <n v="2117.8000000000002"/>
    <x v="1"/>
    <n v="2440.2966694490838"/>
    <n v="2329.58"/>
    <n v="2329.58"/>
    <n v="2329.58"/>
    <s v="January 2022"/>
  </r>
  <r>
    <d v="2022-01-15T00:00:00"/>
    <x v="81"/>
    <n v="53"/>
    <x v="0"/>
    <x v="4"/>
    <x v="0"/>
    <x v="0"/>
    <n v="336.04"/>
    <x v="1"/>
    <n v="2503.6022787783854"/>
    <n v="369.64"/>
    <n v="369.65"/>
    <n v="369.64"/>
    <s v="January 2022"/>
  </r>
  <r>
    <d v="2022-01-15T00:00:00"/>
    <x v="82"/>
    <n v="9"/>
    <x v="0"/>
    <x v="2"/>
    <x v="3"/>
    <x v="1"/>
    <n v="1180.4000000000001"/>
    <x v="2"/>
    <n v="2496.7676064256989"/>
    <n v="1298.44"/>
    <n v="1298.44"/>
    <n v="1298.44"/>
    <s v="January 2022"/>
  </r>
  <r>
    <d v="2022-01-16T00:00:00"/>
    <x v="83"/>
    <n v="80"/>
    <x v="1"/>
    <x v="7"/>
    <x v="2"/>
    <x v="1"/>
    <n v="824.9"/>
    <x v="0"/>
    <n v="2440.2966694490838"/>
    <n v="907.39"/>
    <n v="907.39"/>
    <n v="907.39"/>
    <s v="January 2022"/>
  </r>
  <r>
    <d v="2022-01-16T00:00:00"/>
    <x v="84"/>
    <n v="63"/>
    <x v="0"/>
    <x v="3"/>
    <x v="0"/>
    <x v="4"/>
    <n v="4954.8"/>
    <x v="1"/>
    <n v="2503.6022787783854"/>
    <n v="5450.28"/>
    <n v="5450.28"/>
    <n v="5450.28"/>
    <s v="January 2022"/>
  </r>
  <r>
    <d v="2022-01-16T00:00:00"/>
    <x v="85"/>
    <n v="73"/>
    <x v="1"/>
    <x v="7"/>
    <x v="1"/>
    <x v="1"/>
    <n v="650.71"/>
    <x v="0"/>
    <n v="2509.1716796874912"/>
    <n v="715.78"/>
    <n v="715.79"/>
    <n v="715.78"/>
    <s v="January 2022"/>
  </r>
  <r>
    <d v="2022-01-16T00:00:00"/>
    <x v="86"/>
    <n v="42"/>
    <x v="0"/>
    <x v="7"/>
    <x v="1"/>
    <x v="4"/>
    <n v="3060.98"/>
    <x v="1"/>
    <n v="2509.1716796874912"/>
    <n v="3367.07"/>
    <n v="3367.0800000000004"/>
    <n v="3367.08"/>
    <s v="January 2022"/>
  </r>
  <r>
    <d v="2022-01-16T00:00:00"/>
    <x v="87"/>
    <n v="10"/>
    <x v="2"/>
    <x v="3"/>
    <x v="1"/>
    <x v="0"/>
    <n v="1608.31"/>
    <x v="2"/>
    <n v="2509.1716796874912"/>
    <n v="1769.14"/>
    <n v="1769.15"/>
    <n v="1769.14"/>
    <s v="January 2022"/>
  </r>
  <r>
    <d v="2022-01-17T00:00:00"/>
    <x v="88"/>
    <n v="19"/>
    <x v="0"/>
    <x v="1"/>
    <x v="3"/>
    <x v="4"/>
    <n v="1857.66"/>
    <x v="1"/>
    <n v="2496.7676064256989"/>
    <n v="2043.42"/>
    <n v="2043.43"/>
    <n v="2043.43"/>
    <s v="January 2022"/>
  </r>
  <r>
    <d v="2022-01-17T00:00:00"/>
    <x v="89"/>
    <n v="53"/>
    <x v="2"/>
    <x v="7"/>
    <x v="3"/>
    <x v="0"/>
    <n v="4246.37"/>
    <x v="1"/>
    <n v="2496.7676064256989"/>
    <n v="4671"/>
    <n v="4671.01"/>
    <n v="4671.01"/>
    <s v="January 2022"/>
  </r>
  <r>
    <d v="2022-01-17T00:00:00"/>
    <x v="90"/>
    <n v="88"/>
    <x v="0"/>
    <x v="0"/>
    <x v="2"/>
    <x v="1"/>
    <n v="1375.73"/>
    <x v="0"/>
    <n v="2440.2966694490838"/>
    <n v="1513.3"/>
    <n v="1513.31"/>
    <n v="1513.3"/>
    <s v="January 2022"/>
  </r>
  <r>
    <d v="2022-01-17T00:00:00"/>
    <x v="91"/>
    <n v="63"/>
    <x v="2"/>
    <x v="6"/>
    <x v="2"/>
    <x v="4"/>
    <n v="189.91"/>
    <x v="1"/>
    <n v="2440.2966694490838"/>
    <n v="208.9"/>
    <n v="208.91"/>
    <n v="208.9"/>
    <s v="January 2022"/>
  </r>
  <r>
    <d v="2022-01-17T00:00:00"/>
    <x v="92"/>
    <n v="98"/>
    <x v="1"/>
    <x v="1"/>
    <x v="1"/>
    <x v="3"/>
    <n v="3542.62"/>
    <x v="0"/>
    <n v="2509.1716796874912"/>
    <n v="3896.88"/>
    <n v="3896.8900000000003"/>
    <n v="3896.88"/>
    <s v="January 2022"/>
  </r>
  <r>
    <d v="2022-01-18T00:00:00"/>
    <x v="93"/>
    <n v="53"/>
    <x v="0"/>
    <x v="6"/>
    <x v="3"/>
    <x v="4"/>
    <n v="525.55999999999995"/>
    <x v="1"/>
    <n v="2496.7676064256989"/>
    <n v="578.11"/>
    <n v="578.12"/>
    <n v="578.12"/>
    <s v="January 2022"/>
  </r>
  <r>
    <d v="2022-01-18T00:00:00"/>
    <x v="94"/>
    <n v="0"/>
    <x v="0"/>
    <x v="7"/>
    <x v="0"/>
    <x v="1"/>
    <n v="3775.75"/>
    <x v="2"/>
    <n v="2503.6022787783854"/>
    <n v="4153.32"/>
    <n v="4153.33"/>
    <n v="4153.33"/>
    <s v="January 2022"/>
  </r>
  <r>
    <d v="2022-01-18T00:00:00"/>
    <x v="95"/>
    <n v="92"/>
    <x v="0"/>
    <x v="0"/>
    <x v="0"/>
    <x v="2"/>
    <n v="2042.87"/>
    <x v="0"/>
    <n v="2503.6022787783854"/>
    <n v="2247.15"/>
    <n v="2247.1600000000003"/>
    <n v="2247.16"/>
    <s v="January 2022"/>
  </r>
  <r>
    <d v="2022-01-18T00:00:00"/>
    <x v="96"/>
    <n v="17"/>
    <x v="2"/>
    <x v="1"/>
    <x v="1"/>
    <x v="1"/>
    <n v="1785.6"/>
    <x v="1"/>
    <n v="2509.1716796874912"/>
    <n v="1964.16"/>
    <n v="1964.16"/>
    <n v="1964.16"/>
    <s v="January 2022"/>
  </r>
  <r>
    <d v="2022-01-18T00:00:00"/>
    <x v="97"/>
    <n v="48"/>
    <x v="0"/>
    <x v="3"/>
    <x v="1"/>
    <x v="2"/>
    <n v="4665.28"/>
    <x v="1"/>
    <n v="2509.1716796874912"/>
    <n v="5131.8"/>
    <n v="5131.8100000000004"/>
    <n v="5131.8100000000004"/>
    <s v="January 2022"/>
  </r>
  <r>
    <d v="2022-01-18T00:00:00"/>
    <x v="98"/>
    <n v="57"/>
    <x v="0"/>
    <x v="3"/>
    <x v="0"/>
    <x v="4"/>
    <n v="1299.4000000000001"/>
    <x v="1"/>
    <n v="2503.6022787783854"/>
    <n v="1429.34"/>
    <n v="1429.34"/>
    <n v="1429.34"/>
    <s v="January 2022"/>
  </r>
  <r>
    <d v="2022-01-18T00:00:00"/>
    <x v="99"/>
    <n v="74"/>
    <x v="2"/>
    <x v="7"/>
    <x v="3"/>
    <x v="3"/>
    <n v="4613.46"/>
    <x v="0"/>
    <n v="2496.7676064256989"/>
    <n v="5074.8"/>
    <n v="5074.8100000000004"/>
    <n v="5074.8100000000004"/>
    <s v="January 2022"/>
  </r>
  <r>
    <d v="2022-01-18T00:00:00"/>
    <x v="100"/>
    <n v="74"/>
    <x v="0"/>
    <x v="0"/>
    <x v="1"/>
    <x v="4"/>
    <n v="4878.3100000000004"/>
    <x v="0"/>
    <n v="2509.1716796874912"/>
    <n v="5366.14"/>
    <n v="5366.1500000000005"/>
    <n v="5366.14"/>
    <s v="January 2022"/>
  </r>
  <r>
    <d v="2022-01-19T00:00:00"/>
    <x v="101"/>
    <n v="85"/>
    <x v="1"/>
    <x v="6"/>
    <x v="1"/>
    <x v="5"/>
    <n v="4369.75"/>
    <x v="0"/>
    <n v="2509.1716796874912"/>
    <n v="4806.72"/>
    <n v="4806.7300000000005"/>
    <n v="4806.7299999999996"/>
    <s v="January 2022"/>
  </r>
  <r>
    <d v="2022-01-19T00:00:00"/>
    <x v="102"/>
    <n v="89"/>
    <x v="1"/>
    <x v="3"/>
    <x v="1"/>
    <x v="1"/>
    <n v="569.55999999999995"/>
    <x v="0"/>
    <n v="2509.1716796874912"/>
    <n v="626.51"/>
    <n v="626.52"/>
    <n v="626.52"/>
    <s v="January 2022"/>
  </r>
  <r>
    <d v="2022-01-19T00:00:00"/>
    <x v="103"/>
    <n v="46"/>
    <x v="1"/>
    <x v="7"/>
    <x v="1"/>
    <x v="3"/>
    <n v="3363.24"/>
    <x v="1"/>
    <n v="2509.1716796874912"/>
    <n v="3699.56"/>
    <n v="3699.57"/>
    <n v="3699.56"/>
    <s v="January 2022"/>
  </r>
  <r>
    <d v="2022-01-19T00:00:00"/>
    <x v="104"/>
    <n v="44"/>
    <x v="0"/>
    <x v="6"/>
    <x v="1"/>
    <x v="0"/>
    <n v="3728.58"/>
    <x v="1"/>
    <n v="2509.1716796874912"/>
    <n v="4101.43"/>
    <n v="4101.4400000000005"/>
    <n v="4101.4399999999996"/>
    <s v="January 2022"/>
  </r>
  <r>
    <d v="2022-01-19T00:00:00"/>
    <x v="105"/>
    <n v="7"/>
    <x v="2"/>
    <x v="3"/>
    <x v="2"/>
    <x v="0"/>
    <n v="72.739999999999995"/>
    <x v="2"/>
    <n v="2440.2966694490838"/>
    <n v="80.010000000000005"/>
    <n v="80.02000000000001"/>
    <n v="80.010000000000005"/>
    <s v="January 2022"/>
  </r>
  <r>
    <d v="2022-01-19T00:00:00"/>
    <x v="106"/>
    <n v="60"/>
    <x v="0"/>
    <x v="4"/>
    <x v="3"/>
    <x v="1"/>
    <n v="979.77"/>
    <x v="1"/>
    <n v="2496.7676064256989"/>
    <n v="1077.74"/>
    <n v="1077.75"/>
    <n v="1077.75"/>
    <s v="January 2022"/>
  </r>
  <r>
    <d v="2022-01-19T00:00:00"/>
    <x v="107"/>
    <n v="40"/>
    <x v="2"/>
    <x v="5"/>
    <x v="0"/>
    <x v="1"/>
    <n v="2551.88"/>
    <x v="1"/>
    <n v="2503.6022787783854"/>
    <n v="2807.06"/>
    <n v="2807.07"/>
    <n v="2807.07"/>
    <s v="January 2022"/>
  </r>
  <r>
    <d v="2022-01-19T00:00:00"/>
    <x v="108"/>
    <n v="53"/>
    <x v="0"/>
    <x v="4"/>
    <x v="3"/>
    <x v="1"/>
    <n v="601.69000000000005"/>
    <x v="1"/>
    <n v="2496.7676064256989"/>
    <n v="661.85"/>
    <n v="661.86"/>
    <n v="661.86"/>
    <s v="January 2022"/>
  </r>
  <r>
    <d v="2022-01-20T00:00:00"/>
    <x v="109"/>
    <n v="91"/>
    <x v="2"/>
    <x v="7"/>
    <x v="1"/>
    <x v="2"/>
    <n v="3653.35"/>
    <x v="0"/>
    <n v="2509.1716796874912"/>
    <n v="4018.68"/>
    <n v="4018.69"/>
    <n v="4018.69"/>
    <s v="January 2022"/>
  </r>
  <r>
    <d v="2022-01-20T00:00:00"/>
    <x v="110"/>
    <n v="69"/>
    <x v="1"/>
    <x v="2"/>
    <x v="0"/>
    <x v="4"/>
    <n v="1508.95"/>
    <x v="0"/>
    <n v="2503.6022787783854"/>
    <n v="1659.84"/>
    <n v="1659.85"/>
    <n v="1659.85"/>
    <s v="January 2022"/>
  </r>
  <r>
    <d v="2022-01-20T00:00:00"/>
    <x v="111"/>
    <n v="59"/>
    <x v="1"/>
    <x v="0"/>
    <x v="1"/>
    <x v="1"/>
    <n v="3967.76"/>
    <x v="1"/>
    <n v="2509.1716796874912"/>
    <n v="4364.53"/>
    <n v="4364.54"/>
    <n v="4364.54"/>
    <s v="January 2022"/>
  </r>
  <r>
    <d v="2022-01-20T00:00:00"/>
    <x v="112"/>
    <n v="68"/>
    <x v="1"/>
    <x v="2"/>
    <x v="2"/>
    <x v="1"/>
    <n v="1902.96"/>
    <x v="0"/>
    <n v="2440.2966694490838"/>
    <n v="2093.25"/>
    <n v="2093.2600000000002"/>
    <n v="2093.2600000000002"/>
    <s v="January 2022"/>
  </r>
  <r>
    <d v="2022-01-20T00:00:00"/>
    <x v="113"/>
    <n v="50"/>
    <x v="2"/>
    <x v="1"/>
    <x v="3"/>
    <x v="1"/>
    <n v="3629.58"/>
    <x v="1"/>
    <n v="2496.7676064256989"/>
    <n v="3992.53"/>
    <n v="3992.5400000000004"/>
    <n v="3992.54"/>
    <s v="January 2022"/>
  </r>
  <r>
    <d v="2022-01-20T00:00:00"/>
    <x v="114"/>
    <n v="68"/>
    <x v="0"/>
    <x v="1"/>
    <x v="0"/>
    <x v="2"/>
    <n v="2135.71"/>
    <x v="0"/>
    <n v="2503.6022787783854"/>
    <n v="2349.2800000000002"/>
    <n v="2349.2900000000004"/>
    <n v="2349.2800000000002"/>
    <s v="January 2022"/>
  </r>
  <r>
    <d v="2022-01-20T00:00:00"/>
    <x v="115"/>
    <n v="8"/>
    <x v="2"/>
    <x v="2"/>
    <x v="3"/>
    <x v="3"/>
    <n v="454.09"/>
    <x v="2"/>
    <n v="2496.7676064256989"/>
    <n v="499.49"/>
    <n v="499.5"/>
    <n v="499.5"/>
    <s v="January 2022"/>
  </r>
  <r>
    <d v="2022-01-20T00:00:00"/>
    <x v="116"/>
    <n v="65"/>
    <x v="2"/>
    <x v="0"/>
    <x v="0"/>
    <x v="4"/>
    <n v="1386.34"/>
    <x v="0"/>
    <n v="2503.6022787783854"/>
    <n v="1524.97"/>
    <n v="1524.98"/>
    <n v="1524.97"/>
    <s v="January 2022"/>
  </r>
  <r>
    <d v="2022-01-20T00:00:00"/>
    <x v="117"/>
    <n v="56"/>
    <x v="0"/>
    <x v="1"/>
    <x v="2"/>
    <x v="5"/>
    <n v="3096.93"/>
    <x v="1"/>
    <n v="2440.2966694490838"/>
    <n v="3406.62"/>
    <n v="3406.63"/>
    <n v="3406.62"/>
    <s v="January 2022"/>
  </r>
  <r>
    <d v="2022-01-21T00:00:00"/>
    <x v="118"/>
    <n v="57"/>
    <x v="0"/>
    <x v="3"/>
    <x v="2"/>
    <x v="1"/>
    <n v="4063.81"/>
    <x v="1"/>
    <n v="2440.2966694490838"/>
    <n v="4470.1899999999996"/>
    <n v="4470.2"/>
    <n v="4470.1899999999996"/>
    <s v="January 2022"/>
  </r>
  <r>
    <d v="2022-01-21T00:00:00"/>
    <x v="119"/>
    <n v="97"/>
    <x v="0"/>
    <x v="3"/>
    <x v="2"/>
    <x v="0"/>
    <n v="1113.94"/>
    <x v="0"/>
    <n v="2440.2966694490838"/>
    <n v="1225.33"/>
    <n v="1225.3399999999999"/>
    <n v="1225.33"/>
    <s v="January 2022"/>
  </r>
  <r>
    <d v="2022-01-21T00:00:00"/>
    <x v="120"/>
    <n v="5"/>
    <x v="0"/>
    <x v="6"/>
    <x v="1"/>
    <x v="4"/>
    <n v="4742.57"/>
    <x v="2"/>
    <n v="2509.1716796874912"/>
    <n v="5216.82"/>
    <n v="5216.83"/>
    <n v="5216.83"/>
    <s v="January 2022"/>
  </r>
  <r>
    <d v="2022-01-21T00:00:00"/>
    <x v="121"/>
    <n v="56"/>
    <x v="1"/>
    <x v="4"/>
    <x v="1"/>
    <x v="0"/>
    <n v="1020.23"/>
    <x v="1"/>
    <n v="2509.1716796874912"/>
    <n v="1122.25"/>
    <n v="1122.26"/>
    <n v="1122.25"/>
    <s v="January 2022"/>
  </r>
  <r>
    <d v="2022-01-21T00:00:00"/>
    <x v="122"/>
    <n v="82"/>
    <x v="0"/>
    <x v="0"/>
    <x v="2"/>
    <x v="2"/>
    <n v="515.11"/>
    <x v="0"/>
    <n v="2440.2966694490838"/>
    <n v="566.62"/>
    <n v="566.63"/>
    <n v="566.62"/>
    <s v="January 2022"/>
  </r>
  <r>
    <d v="2022-01-21T00:00:00"/>
    <x v="123"/>
    <n v="5"/>
    <x v="1"/>
    <x v="5"/>
    <x v="0"/>
    <x v="0"/>
    <n v="836.16"/>
    <x v="2"/>
    <n v="2503.6022787783854"/>
    <n v="919.77"/>
    <n v="919.78"/>
    <n v="919.78"/>
    <s v="January 2022"/>
  </r>
  <r>
    <d v="2022-01-21T00:00:00"/>
    <x v="124"/>
    <n v="81"/>
    <x v="0"/>
    <x v="5"/>
    <x v="0"/>
    <x v="2"/>
    <n v="2495.3000000000002"/>
    <x v="0"/>
    <n v="2503.6022787783854"/>
    <n v="2744.83"/>
    <n v="2744.83"/>
    <n v="2744.83"/>
    <s v="January 2022"/>
  </r>
  <r>
    <d v="2022-01-21T00:00:00"/>
    <x v="125"/>
    <n v="3"/>
    <x v="0"/>
    <x v="4"/>
    <x v="3"/>
    <x v="1"/>
    <n v="2361.94"/>
    <x v="2"/>
    <n v="2496.7676064256989"/>
    <n v="2598.13"/>
    <n v="2598.1400000000003"/>
    <n v="2598.13"/>
    <s v="January 2022"/>
  </r>
  <r>
    <d v="2022-01-21T00:00:00"/>
    <x v="126"/>
    <n v="49"/>
    <x v="0"/>
    <x v="1"/>
    <x v="2"/>
    <x v="5"/>
    <n v="4541.99"/>
    <x v="1"/>
    <n v="2440.2966694490838"/>
    <n v="4996.18"/>
    <n v="4996.1900000000005"/>
    <n v="4996.1899999999996"/>
    <s v="January 2022"/>
  </r>
  <r>
    <d v="2022-01-21T00:00:00"/>
    <x v="127"/>
    <n v="2"/>
    <x v="2"/>
    <x v="0"/>
    <x v="2"/>
    <x v="3"/>
    <n v="2041.87"/>
    <x v="2"/>
    <n v="2440.2966694490838"/>
    <n v="2246.0500000000002"/>
    <n v="2246.0600000000004"/>
    <n v="2246.06"/>
    <s v="January 2022"/>
  </r>
  <r>
    <d v="2022-01-21T00:00:00"/>
    <x v="128"/>
    <n v="64"/>
    <x v="1"/>
    <x v="6"/>
    <x v="0"/>
    <x v="2"/>
    <n v="3571.39"/>
    <x v="1"/>
    <n v="2503.6022787783854"/>
    <n v="3928.52"/>
    <n v="3928.53"/>
    <n v="3928.53"/>
    <s v="January 2022"/>
  </r>
  <r>
    <d v="2022-01-22T00:00:00"/>
    <x v="129"/>
    <n v="87"/>
    <x v="1"/>
    <x v="3"/>
    <x v="2"/>
    <x v="4"/>
    <n v="471.45"/>
    <x v="0"/>
    <n v="2440.2966694490838"/>
    <n v="518.59"/>
    <n v="518.6"/>
    <n v="518.6"/>
    <s v="January 2022"/>
  </r>
  <r>
    <d v="2022-01-22T00:00:00"/>
    <x v="130"/>
    <n v="98"/>
    <x v="1"/>
    <x v="5"/>
    <x v="0"/>
    <x v="4"/>
    <n v="3550.78"/>
    <x v="0"/>
    <n v="2503.6022787783854"/>
    <n v="3905.85"/>
    <n v="3905.86"/>
    <n v="3905.86"/>
    <s v="January 2022"/>
  </r>
  <r>
    <d v="2022-01-22T00:00:00"/>
    <x v="131"/>
    <n v="63"/>
    <x v="0"/>
    <x v="7"/>
    <x v="0"/>
    <x v="0"/>
    <n v="2927.77"/>
    <x v="1"/>
    <n v="2503.6022787783854"/>
    <n v="3220.54"/>
    <n v="3220.55"/>
    <n v="3220.55"/>
    <s v="January 2022"/>
  </r>
  <r>
    <d v="2022-01-22T00:00:00"/>
    <x v="132"/>
    <n v="35"/>
    <x v="2"/>
    <x v="7"/>
    <x v="1"/>
    <x v="3"/>
    <n v="1114.31"/>
    <x v="1"/>
    <n v="2509.1716796874912"/>
    <n v="1225.74"/>
    <n v="1225.75"/>
    <n v="1225.74"/>
    <s v="January 2022"/>
  </r>
  <r>
    <d v="2022-01-22T00:00:00"/>
    <x v="133"/>
    <n v="2"/>
    <x v="0"/>
    <x v="2"/>
    <x v="1"/>
    <x v="3"/>
    <n v="2828.4"/>
    <x v="2"/>
    <n v="2509.1716796874912"/>
    <n v="3111.24"/>
    <n v="3111.24"/>
    <n v="3111.24"/>
    <s v="January 2022"/>
  </r>
  <r>
    <d v="2022-01-22T00:00:00"/>
    <x v="134"/>
    <n v="71"/>
    <x v="0"/>
    <x v="7"/>
    <x v="1"/>
    <x v="3"/>
    <n v="4433.8900000000003"/>
    <x v="0"/>
    <n v="2509.1716796874912"/>
    <n v="4877.2700000000004"/>
    <n v="4877.2800000000007"/>
    <n v="4877.28"/>
    <s v="January 2022"/>
  </r>
  <r>
    <d v="2022-01-23T00:00:00"/>
    <x v="135"/>
    <n v="57"/>
    <x v="1"/>
    <x v="6"/>
    <x v="3"/>
    <x v="0"/>
    <n v="26.34"/>
    <x v="1"/>
    <n v="2496.7676064256989"/>
    <n v="28.97"/>
    <n v="28.98"/>
    <n v="28.97"/>
    <s v="January 2022"/>
  </r>
  <r>
    <d v="2022-01-23T00:00:00"/>
    <x v="136"/>
    <n v="59"/>
    <x v="0"/>
    <x v="1"/>
    <x v="2"/>
    <x v="4"/>
    <n v="1606.47"/>
    <x v="1"/>
    <n v="2440.2966694490838"/>
    <n v="1767.11"/>
    <n v="1767.12"/>
    <n v="1767.12"/>
    <s v="January 2022"/>
  </r>
  <r>
    <d v="2022-01-23T00:00:00"/>
    <x v="137"/>
    <n v="64"/>
    <x v="2"/>
    <x v="4"/>
    <x v="2"/>
    <x v="1"/>
    <n v="3516.65"/>
    <x v="1"/>
    <n v="2440.2966694490838"/>
    <n v="3868.31"/>
    <n v="3868.32"/>
    <n v="3868.32"/>
    <s v="January 2022"/>
  </r>
  <r>
    <d v="2022-01-23T00:00:00"/>
    <x v="138"/>
    <n v="73"/>
    <x v="0"/>
    <x v="4"/>
    <x v="1"/>
    <x v="1"/>
    <n v="2292.96"/>
    <x v="0"/>
    <n v="2509.1716796874912"/>
    <n v="2522.25"/>
    <n v="2522.2600000000002"/>
    <n v="2522.2600000000002"/>
    <s v="January 2022"/>
  </r>
  <r>
    <d v="2022-01-23T00:00:00"/>
    <x v="139"/>
    <n v="80"/>
    <x v="2"/>
    <x v="2"/>
    <x v="3"/>
    <x v="3"/>
    <n v="3585.75"/>
    <x v="0"/>
    <n v="2496.7676064256989"/>
    <n v="3944.32"/>
    <n v="3944.3300000000004"/>
    <n v="3944.33"/>
    <s v="January 2022"/>
  </r>
  <r>
    <d v="2022-01-23T00:00:00"/>
    <x v="140"/>
    <n v="24"/>
    <x v="2"/>
    <x v="1"/>
    <x v="3"/>
    <x v="3"/>
    <n v="2037.31"/>
    <x v="1"/>
    <n v="2496.7676064256989"/>
    <n v="2241.04"/>
    <n v="2241.0500000000002"/>
    <n v="2241.04"/>
    <s v="January 2022"/>
  </r>
  <r>
    <d v="2022-01-24T00:00:00"/>
    <x v="141"/>
    <n v="8"/>
    <x v="1"/>
    <x v="5"/>
    <x v="0"/>
    <x v="3"/>
    <n v="4062.19"/>
    <x v="2"/>
    <n v="2503.6022787783854"/>
    <n v="4468.3999999999996"/>
    <n v="4468.41"/>
    <n v="4468.41"/>
    <s v="January 2022"/>
  </r>
  <r>
    <d v="2022-01-24T00:00:00"/>
    <x v="142"/>
    <n v="90"/>
    <x v="0"/>
    <x v="0"/>
    <x v="3"/>
    <x v="3"/>
    <n v="2455.52"/>
    <x v="0"/>
    <n v="2496.7676064256989"/>
    <n v="2701.07"/>
    <n v="2701.0800000000004"/>
    <n v="2701.07"/>
    <s v="January 2022"/>
  </r>
  <r>
    <d v="2022-01-24T00:00:00"/>
    <x v="143"/>
    <n v="67"/>
    <x v="2"/>
    <x v="1"/>
    <x v="2"/>
    <x v="1"/>
    <n v="1366.45"/>
    <x v="0"/>
    <n v="2440.2966694490838"/>
    <n v="1503.09"/>
    <n v="1503.1"/>
    <n v="1503.1"/>
    <s v="January 2022"/>
  </r>
  <r>
    <d v="2022-01-24T00:00:00"/>
    <x v="144"/>
    <n v="41"/>
    <x v="2"/>
    <x v="4"/>
    <x v="1"/>
    <x v="0"/>
    <n v="4126.9399999999996"/>
    <x v="1"/>
    <n v="2509.1716796874912"/>
    <n v="4539.63"/>
    <n v="4539.6400000000003"/>
    <n v="4539.63"/>
    <s v="January 2022"/>
  </r>
  <r>
    <d v="2022-01-24T00:00:00"/>
    <x v="145"/>
    <n v="32"/>
    <x v="2"/>
    <x v="2"/>
    <x v="0"/>
    <x v="2"/>
    <n v="2171.25"/>
    <x v="1"/>
    <n v="2503.6022787783854"/>
    <n v="2388.37"/>
    <n v="2388.38"/>
    <n v="2388.38"/>
    <s v="January 2022"/>
  </r>
  <r>
    <d v="2022-01-24T00:00:00"/>
    <x v="146"/>
    <n v="4"/>
    <x v="1"/>
    <x v="1"/>
    <x v="1"/>
    <x v="0"/>
    <n v="49.55"/>
    <x v="2"/>
    <n v="2509.1716796874912"/>
    <n v="54.5"/>
    <n v="54.51"/>
    <n v="54.51"/>
    <s v="January 2022"/>
  </r>
  <r>
    <d v="2022-01-25T00:00:00"/>
    <x v="147"/>
    <n v="71"/>
    <x v="0"/>
    <x v="7"/>
    <x v="2"/>
    <x v="3"/>
    <n v="3826.4"/>
    <x v="0"/>
    <n v="2440.2966694490838"/>
    <n v="4209.04"/>
    <n v="4209.04"/>
    <n v="4209.04"/>
    <s v="January 2022"/>
  </r>
  <r>
    <d v="2022-01-25T00:00:00"/>
    <x v="148"/>
    <n v="73"/>
    <x v="0"/>
    <x v="3"/>
    <x v="2"/>
    <x v="3"/>
    <n v="2832.01"/>
    <x v="0"/>
    <n v="2440.2966694490838"/>
    <n v="3115.21"/>
    <n v="3115.2200000000003"/>
    <n v="3115.21"/>
    <s v="January 2022"/>
  </r>
  <r>
    <d v="2022-01-25T00:00:00"/>
    <x v="149"/>
    <n v="39"/>
    <x v="1"/>
    <x v="1"/>
    <x v="2"/>
    <x v="1"/>
    <n v="346.91"/>
    <x v="1"/>
    <n v="2440.2966694490838"/>
    <n v="381.6"/>
    <n v="381.61"/>
    <n v="381.6"/>
    <s v="January 2022"/>
  </r>
  <r>
    <d v="2022-01-25T00:00:00"/>
    <x v="150"/>
    <n v="34"/>
    <x v="2"/>
    <x v="4"/>
    <x v="3"/>
    <x v="2"/>
    <n v="2471.39"/>
    <x v="1"/>
    <n v="2496.7676064256989"/>
    <n v="2718.52"/>
    <n v="2718.53"/>
    <n v="2718.53"/>
    <s v="January 2022"/>
  </r>
  <r>
    <d v="2022-01-25T00:00:00"/>
    <x v="151"/>
    <n v="51"/>
    <x v="1"/>
    <x v="1"/>
    <x v="3"/>
    <x v="1"/>
    <n v="3536.48"/>
    <x v="1"/>
    <n v="2496.7676064256989"/>
    <n v="3890.12"/>
    <n v="3890.13"/>
    <n v="3890.13"/>
    <s v="January 2022"/>
  </r>
  <r>
    <d v="2022-01-25T00:00:00"/>
    <x v="152"/>
    <n v="75"/>
    <x v="1"/>
    <x v="0"/>
    <x v="2"/>
    <x v="1"/>
    <n v="4376.55"/>
    <x v="0"/>
    <n v="2440.2966694490838"/>
    <n v="4814.2"/>
    <n v="4814.21"/>
    <n v="4814.21"/>
    <s v="January 2022"/>
  </r>
  <r>
    <d v="2022-01-25T00:00:00"/>
    <x v="153"/>
    <n v="78"/>
    <x v="1"/>
    <x v="0"/>
    <x v="0"/>
    <x v="1"/>
    <n v="3478.28"/>
    <x v="0"/>
    <n v="2503.6022787783854"/>
    <n v="3826.1"/>
    <n v="3826.11"/>
    <n v="3826.11"/>
    <s v="January 2022"/>
  </r>
  <r>
    <d v="2022-01-25T00:00:00"/>
    <x v="154"/>
    <n v="28"/>
    <x v="0"/>
    <x v="1"/>
    <x v="0"/>
    <x v="2"/>
    <n v="2353.12"/>
    <x v="1"/>
    <n v="2503.6022787783854"/>
    <n v="2588.4299999999998"/>
    <n v="2588.44"/>
    <n v="2588.4299999999998"/>
    <s v="January 2022"/>
  </r>
  <r>
    <d v="2022-01-26T00:00:00"/>
    <x v="155"/>
    <n v="23"/>
    <x v="1"/>
    <x v="2"/>
    <x v="3"/>
    <x v="3"/>
    <n v="1904.25"/>
    <x v="1"/>
    <n v="2496.7676064256989"/>
    <n v="2094.67"/>
    <n v="2094.6800000000003"/>
    <n v="2094.6799999999998"/>
    <s v="January 2022"/>
  </r>
  <r>
    <d v="2022-01-26T00:00:00"/>
    <x v="156"/>
    <n v="12"/>
    <x v="0"/>
    <x v="2"/>
    <x v="0"/>
    <x v="5"/>
    <n v="1100.29"/>
    <x v="2"/>
    <n v="2503.6022787783854"/>
    <n v="1210.31"/>
    <n v="1210.32"/>
    <n v="1210.32"/>
    <s v="January 2022"/>
  </r>
  <r>
    <d v="2022-01-26T00:00:00"/>
    <x v="157"/>
    <n v="36"/>
    <x v="1"/>
    <x v="6"/>
    <x v="0"/>
    <x v="1"/>
    <n v="876.73"/>
    <x v="1"/>
    <n v="2503.6022787783854"/>
    <n v="964.4"/>
    <n v="964.41"/>
    <n v="964.4"/>
    <s v="January 2022"/>
  </r>
  <r>
    <d v="2022-01-26T00:00:00"/>
    <x v="158"/>
    <n v="81"/>
    <x v="0"/>
    <x v="4"/>
    <x v="1"/>
    <x v="3"/>
    <n v="2253.92"/>
    <x v="0"/>
    <n v="2509.1716796874912"/>
    <n v="2479.31"/>
    <n v="2479.3200000000002"/>
    <n v="2479.31"/>
    <s v="January 2022"/>
  </r>
  <r>
    <d v="2022-01-26T00:00:00"/>
    <x v="159"/>
    <n v="23"/>
    <x v="0"/>
    <x v="0"/>
    <x v="2"/>
    <x v="4"/>
    <n v="55.68"/>
    <x v="1"/>
    <n v="2440.2966694490838"/>
    <n v="61.24"/>
    <n v="61.25"/>
    <n v="61.25"/>
    <s v="January 2022"/>
  </r>
  <r>
    <d v="2022-01-26T00:00:00"/>
    <x v="160"/>
    <n v="83"/>
    <x v="2"/>
    <x v="1"/>
    <x v="3"/>
    <x v="4"/>
    <n v="2937.22"/>
    <x v="0"/>
    <n v="2496.7676064256989"/>
    <n v="3230.94"/>
    <n v="3230.9500000000003"/>
    <n v="3230.94"/>
    <s v="January 2022"/>
  </r>
  <r>
    <d v="2022-01-27T00:00:00"/>
    <x v="161"/>
    <n v="20"/>
    <x v="0"/>
    <x v="3"/>
    <x v="2"/>
    <x v="5"/>
    <n v="461.81"/>
    <x v="1"/>
    <n v="2440.2966694490838"/>
    <n v="507.99"/>
    <n v="508"/>
    <n v="507.99"/>
    <s v="January 2022"/>
  </r>
  <r>
    <d v="2022-01-27T00:00:00"/>
    <x v="162"/>
    <n v="16"/>
    <x v="1"/>
    <x v="1"/>
    <x v="1"/>
    <x v="1"/>
    <n v="4249.1099999999997"/>
    <x v="1"/>
    <n v="2509.1716796874912"/>
    <n v="4674.0200000000004"/>
    <n v="4674.0300000000007"/>
    <n v="4674.0200000000004"/>
    <s v="January 2022"/>
  </r>
  <r>
    <d v="2022-01-27T00:00:00"/>
    <x v="163"/>
    <n v="35"/>
    <x v="2"/>
    <x v="7"/>
    <x v="2"/>
    <x v="3"/>
    <n v="4468.53"/>
    <x v="1"/>
    <n v="2440.2966694490838"/>
    <n v="4915.38"/>
    <n v="4915.3900000000003"/>
    <n v="4915.38"/>
    <s v="January 2022"/>
  </r>
  <r>
    <d v="2022-01-27T00:00:00"/>
    <x v="164"/>
    <n v="2"/>
    <x v="2"/>
    <x v="2"/>
    <x v="2"/>
    <x v="1"/>
    <n v="4455.75"/>
    <x v="2"/>
    <n v="2440.2966694490838"/>
    <n v="4901.32"/>
    <n v="4901.33"/>
    <n v="4901.33"/>
    <s v="January 2022"/>
  </r>
  <r>
    <d v="2022-01-27T00:00:00"/>
    <x v="165"/>
    <n v="86"/>
    <x v="0"/>
    <x v="3"/>
    <x v="1"/>
    <x v="2"/>
    <n v="1952.14"/>
    <x v="0"/>
    <n v="2509.1716796874912"/>
    <n v="2147.35"/>
    <n v="2147.36"/>
    <n v="2147.35"/>
    <s v="January 2022"/>
  </r>
  <r>
    <d v="2022-01-27T00:00:00"/>
    <x v="166"/>
    <n v="79"/>
    <x v="0"/>
    <x v="2"/>
    <x v="2"/>
    <x v="2"/>
    <n v="2660.66"/>
    <x v="0"/>
    <n v="2440.2966694490838"/>
    <n v="2926.72"/>
    <n v="2926.73"/>
    <n v="2926.73"/>
    <s v="January 2022"/>
  </r>
  <r>
    <d v="2022-01-27T00:00:00"/>
    <x v="167"/>
    <n v="88"/>
    <x v="0"/>
    <x v="0"/>
    <x v="3"/>
    <x v="0"/>
    <n v="2306.63"/>
    <x v="0"/>
    <n v="2496.7676064256989"/>
    <n v="2537.29"/>
    <n v="2537.3000000000002"/>
    <n v="2537.29"/>
    <s v="January 2022"/>
  </r>
  <r>
    <d v="2022-01-28T00:00:00"/>
    <x v="168"/>
    <n v="38"/>
    <x v="2"/>
    <x v="7"/>
    <x v="3"/>
    <x v="5"/>
    <n v="4560.68"/>
    <x v="1"/>
    <n v="2496.7676064256989"/>
    <n v="5016.74"/>
    <n v="5016.75"/>
    <n v="5016.75"/>
    <s v="January 2022"/>
  </r>
  <r>
    <d v="2022-01-28T00:00:00"/>
    <x v="169"/>
    <n v="66"/>
    <x v="1"/>
    <x v="4"/>
    <x v="3"/>
    <x v="2"/>
    <n v="2932.19"/>
    <x v="0"/>
    <n v="2496.7676064256989"/>
    <n v="3225.4"/>
    <n v="3225.4100000000003"/>
    <n v="3225.41"/>
    <s v="January 2022"/>
  </r>
  <r>
    <d v="2022-01-28T00:00:00"/>
    <x v="170"/>
    <n v="21"/>
    <x v="0"/>
    <x v="1"/>
    <x v="2"/>
    <x v="1"/>
    <n v="716.39"/>
    <x v="1"/>
    <n v="2440.2966694490838"/>
    <n v="788.02"/>
    <n v="788.03"/>
    <n v="788.03"/>
    <s v="January 2022"/>
  </r>
  <r>
    <d v="2022-01-28T00:00:00"/>
    <x v="171"/>
    <n v="66"/>
    <x v="2"/>
    <x v="4"/>
    <x v="3"/>
    <x v="3"/>
    <n v="3318.1"/>
    <x v="0"/>
    <n v="2496.7676064256989"/>
    <n v="3649.91"/>
    <n v="3649.91"/>
    <n v="3649.91"/>
    <s v="January 2022"/>
  </r>
  <r>
    <d v="2022-01-28T00:00:00"/>
    <x v="172"/>
    <n v="78"/>
    <x v="1"/>
    <x v="6"/>
    <x v="2"/>
    <x v="4"/>
    <n v="3466.17"/>
    <x v="0"/>
    <n v="2440.2966694490838"/>
    <n v="3812.78"/>
    <n v="3812.7900000000004"/>
    <n v="3812.79"/>
    <s v="January 2022"/>
  </r>
  <r>
    <d v="2022-01-29T00:00:00"/>
    <x v="173"/>
    <n v="27"/>
    <x v="1"/>
    <x v="5"/>
    <x v="3"/>
    <x v="3"/>
    <n v="4540.33"/>
    <x v="1"/>
    <n v="2496.7676064256989"/>
    <n v="4994.3599999999997"/>
    <n v="4994.37"/>
    <n v="4994.3599999999997"/>
    <s v="January 2022"/>
  </r>
  <r>
    <d v="2022-01-29T00:00:00"/>
    <x v="174"/>
    <n v="10"/>
    <x v="0"/>
    <x v="0"/>
    <x v="0"/>
    <x v="2"/>
    <n v="1125.8399999999999"/>
    <x v="2"/>
    <n v="2503.6022787783854"/>
    <n v="1238.42"/>
    <n v="1238.43"/>
    <n v="1238.42"/>
    <s v="January 2022"/>
  </r>
  <r>
    <d v="2022-01-29T00:00:00"/>
    <x v="175"/>
    <n v="60"/>
    <x v="1"/>
    <x v="2"/>
    <x v="1"/>
    <x v="3"/>
    <n v="3271"/>
    <x v="1"/>
    <n v="2509.1716796874912"/>
    <n v="3598.1"/>
    <n v="3598.1"/>
    <n v="3598.1"/>
    <s v="January 2022"/>
  </r>
  <r>
    <d v="2022-01-29T00:00:00"/>
    <x v="176"/>
    <n v="36"/>
    <x v="0"/>
    <x v="7"/>
    <x v="0"/>
    <x v="1"/>
    <n v="2969.96"/>
    <x v="1"/>
    <n v="2503.6022787783854"/>
    <n v="3266.95"/>
    <n v="3266.96"/>
    <n v="3266.96"/>
    <s v="January 2022"/>
  </r>
  <r>
    <d v="2022-01-29T00:00:00"/>
    <x v="177"/>
    <n v="51"/>
    <x v="0"/>
    <x v="1"/>
    <x v="0"/>
    <x v="2"/>
    <n v="4406.26"/>
    <x v="1"/>
    <n v="2503.6022787783854"/>
    <n v="4846.88"/>
    <n v="4846.8900000000003"/>
    <n v="4846.8900000000003"/>
    <s v="January 2022"/>
  </r>
  <r>
    <d v="2022-01-29T00:00:00"/>
    <x v="178"/>
    <n v="91"/>
    <x v="1"/>
    <x v="0"/>
    <x v="1"/>
    <x v="4"/>
    <n v="452.98"/>
    <x v="0"/>
    <n v="2509.1716796874912"/>
    <n v="498.27"/>
    <n v="498.28"/>
    <n v="498.28"/>
    <s v="January 2022"/>
  </r>
  <r>
    <d v="2022-01-29T00:00:00"/>
    <x v="179"/>
    <n v="35"/>
    <x v="1"/>
    <x v="3"/>
    <x v="2"/>
    <x v="2"/>
    <n v="2777.88"/>
    <x v="1"/>
    <n v="2440.2966694490838"/>
    <n v="3055.66"/>
    <n v="3055.67"/>
    <n v="3055.67"/>
    <s v="January 2022"/>
  </r>
  <r>
    <d v="2022-01-29T00:00:00"/>
    <x v="180"/>
    <n v="14"/>
    <x v="1"/>
    <x v="0"/>
    <x v="3"/>
    <x v="3"/>
    <n v="3431.93"/>
    <x v="2"/>
    <n v="2496.7676064256989"/>
    <n v="3775.12"/>
    <n v="3775.13"/>
    <n v="3775.12"/>
    <s v="January 2022"/>
  </r>
  <r>
    <d v="2022-01-29T00:00:00"/>
    <x v="181"/>
    <n v="86"/>
    <x v="0"/>
    <x v="2"/>
    <x v="2"/>
    <x v="4"/>
    <n v="2621.96"/>
    <x v="0"/>
    <n v="2440.2966694490838"/>
    <n v="2884.15"/>
    <n v="2884.1600000000003"/>
    <n v="2884.16"/>
    <s v="January 2022"/>
  </r>
  <r>
    <d v="2022-01-29T00:00:00"/>
    <x v="182"/>
    <n v="76"/>
    <x v="1"/>
    <x v="0"/>
    <x v="2"/>
    <x v="1"/>
    <n v="3092.53"/>
    <x v="0"/>
    <n v="2440.2966694490838"/>
    <n v="3401.78"/>
    <n v="3401.7900000000004"/>
    <n v="3401.78"/>
    <s v="January 2022"/>
  </r>
  <r>
    <d v="2022-01-29T00:00:00"/>
    <x v="183"/>
    <n v="70"/>
    <x v="0"/>
    <x v="0"/>
    <x v="2"/>
    <x v="1"/>
    <n v="4462.1499999999996"/>
    <x v="0"/>
    <n v="2440.2966694490838"/>
    <n v="4908.3599999999997"/>
    <n v="4908.37"/>
    <n v="4908.37"/>
    <s v="January 2022"/>
  </r>
  <r>
    <d v="2022-01-29T00:00:00"/>
    <x v="184"/>
    <n v="6"/>
    <x v="0"/>
    <x v="4"/>
    <x v="1"/>
    <x v="2"/>
    <n v="4695.54"/>
    <x v="2"/>
    <n v="2509.1716796874912"/>
    <n v="5165.09"/>
    <n v="5165.1000000000004"/>
    <n v="5165.09"/>
    <s v="January 2022"/>
  </r>
  <r>
    <d v="2022-01-29T00:00:00"/>
    <x v="185"/>
    <n v="11"/>
    <x v="0"/>
    <x v="4"/>
    <x v="0"/>
    <x v="0"/>
    <n v="1849.81"/>
    <x v="2"/>
    <n v="2503.6022787783854"/>
    <n v="2034.79"/>
    <n v="2034.8"/>
    <n v="2034.79"/>
    <s v="January 2022"/>
  </r>
  <r>
    <d v="2022-01-29T00:00:00"/>
    <x v="186"/>
    <n v="8"/>
    <x v="1"/>
    <x v="3"/>
    <x v="1"/>
    <x v="3"/>
    <n v="2881.34"/>
    <x v="2"/>
    <n v="2509.1716796874912"/>
    <n v="3169.47"/>
    <n v="3169.48"/>
    <n v="3169.47"/>
    <s v="January 2022"/>
  </r>
  <r>
    <d v="2022-01-30T00:00:00"/>
    <x v="187"/>
    <n v="20"/>
    <x v="0"/>
    <x v="0"/>
    <x v="3"/>
    <x v="4"/>
    <n v="2949.87"/>
    <x v="1"/>
    <n v="2496.7676064256989"/>
    <n v="3244.85"/>
    <n v="3244.86"/>
    <n v="3244.86"/>
    <s v="January 2022"/>
  </r>
  <r>
    <d v="2022-01-30T00:00:00"/>
    <x v="188"/>
    <n v="56"/>
    <x v="0"/>
    <x v="6"/>
    <x v="2"/>
    <x v="1"/>
    <n v="3406.24"/>
    <x v="1"/>
    <n v="2440.2966694490838"/>
    <n v="3746.86"/>
    <n v="3746.8700000000003"/>
    <n v="3746.86"/>
    <s v="January 2022"/>
  </r>
  <r>
    <d v="2022-01-30T00:00:00"/>
    <x v="189"/>
    <n v="74"/>
    <x v="1"/>
    <x v="0"/>
    <x v="3"/>
    <x v="2"/>
    <n v="90.34"/>
    <x v="0"/>
    <n v="2496.7676064256989"/>
    <n v="99.37"/>
    <n v="99.38000000000001"/>
    <n v="99.37"/>
    <s v="January 2022"/>
  </r>
  <r>
    <d v="2022-01-30T00:00:00"/>
    <x v="190"/>
    <n v="63"/>
    <x v="2"/>
    <x v="2"/>
    <x v="0"/>
    <x v="3"/>
    <n v="2448.11"/>
    <x v="1"/>
    <n v="2503.6022787783854"/>
    <n v="2692.92"/>
    <n v="2692.9300000000003"/>
    <n v="2692.92"/>
    <s v="January 2022"/>
  </r>
  <r>
    <d v="2022-01-30T00:00:00"/>
    <x v="191"/>
    <n v="78"/>
    <x v="1"/>
    <x v="0"/>
    <x v="0"/>
    <x v="4"/>
    <n v="3662.77"/>
    <x v="0"/>
    <n v="2503.6022787783854"/>
    <n v="4029.04"/>
    <n v="4029.05"/>
    <n v="4029.05"/>
    <s v="January 2022"/>
  </r>
  <r>
    <d v="2022-01-30T00:00:00"/>
    <x v="192"/>
    <n v="95"/>
    <x v="0"/>
    <x v="3"/>
    <x v="1"/>
    <x v="3"/>
    <n v="4896.43"/>
    <x v="0"/>
    <n v="2509.1716796874912"/>
    <n v="5386.07"/>
    <n v="5386.08"/>
    <n v="5386.07"/>
    <s v="January 2022"/>
  </r>
  <r>
    <d v="2022-01-31T00:00:00"/>
    <x v="193"/>
    <n v="32"/>
    <x v="2"/>
    <x v="2"/>
    <x v="3"/>
    <x v="3"/>
    <n v="1098.7"/>
    <x v="1"/>
    <n v="2496.7676064256989"/>
    <n v="1208.57"/>
    <n v="1208.57"/>
    <n v="1208.57"/>
    <s v="January 2022"/>
  </r>
  <r>
    <d v="2022-01-31T00:00:00"/>
    <x v="194"/>
    <n v="29"/>
    <x v="0"/>
    <x v="1"/>
    <x v="3"/>
    <x v="3"/>
    <n v="1387.37"/>
    <x v="1"/>
    <n v="2496.7676064256989"/>
    <n v="1526.1"/>
    <n v="1526.11"/>
    <n v="1526.11"/>
    <s v="January 2022"/>
  </r>
  <r>
    <d v="2022-01-31T00:00:00"/>
    <x v="195"/>
    <n v="48"/>
    <x v="2"/>
    <x v="4"/>
    <x v="0"/>
    <x v="0"/>
    <n v="1029.72"/>
    <x v="1"/>
    <n v="2503.6022787783854"/>
    <n v="1132.69"/>
    <n v="1132.7"/>
    <n v="1132.69"/>
    <s v="January 2022"/>
  </r>
  <r>
    <d v="2022-01-31T00:00:00"/>
    <x v="196"/>
    <n v="53"/>
    <x v="0"/>
    <x v="1"/>
    <x v="1"/>
    <x v="2"/>
    <n v="1875.29"/>
    <x v="1"/>
    <n v="2509.1716796874912"/>
    <n v="2062.81"/>
    <n v="2062.8200000000002"/>
    <n v="2062.8200000000002"/>
    <s v="January 2022"/>
  </r>
  <r>
    <d v="2022-01-31T00:00:00"/>
    <x v="197"/>
    <n v="82"/>
    <x v="0"/>
    <x v="7"/>
    <x v="1"/>
    <x v="2"/>
    <n v="4942.68"/>
    <x v="0"/>
    <n v="2509.1716796874912"/>
    <n v="5436.94"/>
    <n v="5436.95"/>
    <n v="5436.95"/>
    <s v="January 2022"/>
  </r>
  <r>
    <d v="2022-01-31T00:00:00"/>
    <x v="198"/>
    <n v="67"/>
    <x v="0"/>
    <x v="2"/>
    <x v="0"/>
    <x v="3"/>
    <n v="4343.4399999999996"/>
    <x v="0"/>
    <n v="2503.6022787783854"/>
    <n v="4777.78"/>
    <n v="4777.79"/>
    <n v="4777.78"/>
    <s v="January 2022"/>
  </r>
  <r>
    <d v="2022-01-31T00:00:00"/>
    <x v="199"/>
    <n v="67"/>
    <x v="1"/>
    <x v="5"/>
    <x v="3"/>
    <x v="1"/>
    <n v="3252.46"/>
    <x v="0"/>
    <n v="2496.7676064256989"/>
    <n v="3577.7"/>
    <n v="3577.71"/>
    <n v="3577.71"/>
    <s v="January 2022"/>
  </r>
  <r>
    <d v="2022-01-31T00:00:00"/>
    <x v="200"/>
    <n v="17"/>
    <x v="0"/>
    <x v="3"/>
    <x v="1"/>
    <x v="0"/>
    <n v="2968.95"/>
    <x v="1"/>
    <n v="2509.1716796874912"/>
    <n v="3265.84"/>
    <n v="3265.8500000000004"/>
    <n v="3265.85"/>
    <s v="January 2022"/>
  </r>
  <r>
    <d v="2022-01-31T00:00:00"/>
    <x v="201"/>
    <n v="36"/>
    <x v="0"/>
    <x v="3"/>
    <x v="1"/>
    <x v="4"/>
    <n v="2478.5"/>
    <x v="1"/>
    <n v="2509.1716796874912"/>
    <n v="2726.35"/>
    <n v="2726.35"/>
    <n v="2726.35"/>
    <s v="January 2022"/>
  </r>
  <r>
    <d v="2022-02-01T00:00:00"/>
    <x v="202"/>
    <n v="1"/>
    <x v="2"/>
    <x v="1"/>
    <x v="3"/>
    <x v="1"/>
    <n v="1386.28"/>
    <x v="2"/>
    <n v="2496.7676064256989"/>
    <n v="1524.9"/>
    <n v="1524.91"/>
    <n v="1524.91"/>
    <s v="February 2022"/>
  </r>
  <r>
    <d v="2022-02-01T00:00:00"/>
    <x v="203"/>
    <n v="79"/>
    <x v="1"/>
    <x v="4"/>
    <x v="1"/>
    <x v="3"/>
    <n v="703.53"/>
    <x v="0"/>
    <n v="2509.1716796874912"/>
    <n v="773.88"/>
    <n v="773.89"/>
    <n v="773.88"/>
    <s v="February 2022"/>
  </r>
  <r>
    <d v="2022-02-01T00:00:00"/>
    <x v="204"/>
    <n v="43"/>
    <x v="2"/>
    <x v="4"/>
    <x v="1"/>
    <x v="0"/>
    <n v="2189.02"/>
    <x v="1"/>
    <n v="2509.1716796874912"/>
    <n v="2407.92"/>
    <n v="2407.9300000000003"/>
    <n v="2407.92"/>
    <s v="February 2022"/>
  </r>
  <r>
    <d v="2022-02-01T00:00:00"/>
    <x v="205"/>
    <n v="35"/>
    <x v="0"/>
    <x v="2"/>
    <x v="0"/>
    <x v="3"/>
    <n v="1570.45"/>
    <x v="1"/>
    <n v="2503.6022787783854"/>
    <n v="1727.49"/>
    <n v="1727.5"/>
    <n v="1727.5"/>
    <s v="February 2022"/>
  </r>
  <r>
    <d v="2022-02-01T00:00:00"/>
    <x v="206"/>
    <n v="12"/>
    <x v="1"/>
    <x v="1"/>
    <x v="0"/>
    <x v="4"/>
    <n v="4408.67"/>
    <x v="2"/>
    <n v="2503.6022787783854"/>
    <n v="4849.53"/>
    <n v="4849.54"/>
    <n v="4849.54"/>
    <s v="February 2022"/>
  </r>
  <r>
    <d v="2022-02-01T00:00:00"/>
    <x v="207"/>
    <n v="13"/>
    <x v="2"/>
    <x v="7"/>
    <x v="2"/>
    <x v="0"/>
    <n v="701.86"/>
    <x v="2"/>
    <n v="2440.2966694490838"/>
    <n v="772.04"/>
    <n v="772.05"/>
    <n v="772.05"/>
    <s v="February 2022"/>
  </r>
  <r>
    <d v="2022-02-01T00:00:00"/>
    <x v="208"/>
    <n v="57"/>
    <x v="0"/>
    <x v="2"/>
    <x v="1"/>
    <x v="3"/>
    <n v="3790.46"/>
    <x v="1"/>
    <n v="2509.1716796874912"/>
    <n v="4169.5"/>
    <n v="4169.51"/>
    <n v="4169.51"/>
    <s v="February 2022"/>
  </r>
  <r>
    <d v="2022-02-02T00:00:00"/>
    <x v="209"/>
    <n v="26"/>
    <x v="1"/>
    <x v="2"/>
    <x v="3"/>
    <x v="5"/>
    <n v="1771.03"/>
    <x v="1"/>
    <n v="2496.7676064256989"/>
    <n v="1948.13"/>
    <n v="1948.14"/>
    <n v="1948.13"/>
    <s v="February 2022"/>
  </r>
  <r>
    <d v="2022-02-02T00:00:00"/>
    <x v="210"/>
    <n v="50"/>
    <x v="2"/>
    <x v="6"/>
    <x v="1"/>
    <x v="3"/>
    <n v="366.59"/>
    <x v="1"/>
    <n v="2509.1716796874912"/>
    <n v="403.24"/>
    <n v="403.25"/>
    <n v="403.25"/>
    <s v="February 2022"/>
  </r>
  <r>
    <d v="2022-02-02T00:00:00"/>
    <x v="211"/>
    <n v="49"/>
    <x v="0"/>
    <x v="7"/>
    <x v="3"/>
    <x v="3"/>
    <n v="536.04"/>
    <x v="1"/>
    <n v="2496.7676064256989"/>
    <n v="589.64"/>
    <n v="589.65"/>
    <n v="589.64"/>
    <s v="February 2022"/>
  </r>
  <r>
    <d v="2022-02-02T00:00:00"/>
    <x v="212"/>
    <n v="62"/>
    <x v="0"/>
    <x v="2"/>
    <x v="1"/>
    <x v="3"/>
    <n v="1488.06"/>
    <x v="1"/>
    <n v="2509.1716796874912"/>
    <n v="1636.86"/>
    <n v="1636.87"/>
    <n v="1636.87"/>
    <s v="February 2022"/>
  </r>
  <r>
    <d v="2022-02-02T00:00:00"/>
    <x v="213"/>
    <n v="35"/>
    <x v="1"/>
    <x v="3"/>
    <x v="0"/>
    <x v="2"/>
    <n v="4606.91"/>
    <x v="1"/>
    <n v="2503.6022787783854"/>
    <n v="5067.6000000000004"/>
    <n v="5067.6100000000006"/>
    <n v="5067.6000000000004"/>
    <s v="February 2022"/>
  </r>
  <r>
    <d v="2022-02-02T00:00:00"/>
    <x v="214"/>
    <n v="70"/>
    <x v="0"/>
    <x v="6"/>
    <x v="2"/>
    <x v="4"/>
    <n v="3341.15"/>
    <x v="0"/>
    <n v="2440.2966694490838"/>
    <n v="3675.26"/>
    <n v="3675.2700000000004"/>
    <n v="3675.27"/>
    <s v="February 2022"/>
  </r>
  <r>
    <d v="2022-02-02T00:00:00"/>
    <x v="215"/>
    <n v="84"/>
    <x v="1"/>
    <x v="3"/>
    <x v="1"/>
    <x v="0"/>
    <n v="2804.68"/>
    <x v="0"/>
    <n v="2509.1716796874912"/>
    <n v="3085.14"/>
    <n v="3085.15"/>
    <n v="3085.15"/>
    <s v="February 2022"/>
  </r>
  <r>
    <d v="2022-02-03T00:00:00"/>
    <x v="216"/>
    <n v="78"/>
    <x v="0"/>
    <x v="2"/>
    <x v="1"/>
    <x v="4"/>
    <n v="2387.48"/>
    <x v="0"/>
    <n v="2509.1716796874912"/>
    <n v="2626.22"/>
    <n v="2626.23"/>
    <n v="2626.23"/>
    <s v="February 2022"/>
  </r>
  <r>
    <d v="2022-02-03T00:00:00"/>
    <x v="217"/>
    <n v="36"/>
    <x v="1"/>
    <x v="7"/>
    <x v="0"/>
    <x v="0"/>
    <n v="1429.15"/>
    <x v="1"/>
    <n v="2503.6022787783854"/>
    <n v="1572.06"/>
    <n v="1572.07"/>
    <n v="1572.07"/>
    <s v="February 2022"/>
  </r>
  <r>
    <d v="2022-02-03T00:00:00"/>
    <x v="218"/>
    <n v="59"/>
    <x v="2"/>
    <x v="3"/>
    <x v="1"/>
    <x v="3"/>
    <n v="2517.0300000000002"/>
    <x v="1"/>
    <n v="2509.1716796874912"/>
    <n v="2768.73"/>
    <n v="2768.7400000000002"/>
    <n v="2768.73"/>
    <s v="February 2022"/>
  </r>
  <r>
    <d v="2022-02-03T00:00:00"/>
    <x v="219"/>
    <n v="60"/>
    <x v="0"/>
    <x v="2"/>
    <x v="2"/>
    <x v="1"/>
    <n v="3015.54"/>
    <x v="1"/>
    <n v="2440.2966694490838"/>
    <n v="3317.09"/>
    <n v="3317.1000000000004"/>
    <n v="3317.09"/>
    <s v="February 2022"/>
  </r>
  <r>
    <d v="2022-02-03T00:00:00"/>
    <x v="220"/>
    <n v="58"/>
    <x v="0"/>
    <x v="4"/>
    <x v="0"/>
    <x v="0"/>
    <n v="1684.75"/>
    <x v="1"/>
    <n v="2503.6022787783854"/>
    <n v="1853.22"/>
    <n v="1853.23"/>
    <n v="1853.23"/>
    <s v="February 2022"/>
  </r>
  <r>
    <d v="2022-02-04T00:00:00"/>
    <x v="221"/>
    <n v="18"/>
    <x v="1"/>
    <x v="2"/>
    <x v="3"/>
    <x v="4"/>
    <n v="4037.13"/>
    <x v="1"/>
    <n v="2496.7676064256989"/>
    <n v="4440.84"/>
    <n v="4440.8500000000004"/>
    <n v="4440.84"/>
    <s v="February 2022"/>
  </r>
  <r>
    <d v="2022-02-04T00:00:00"/>
    <x v="222"/>
    <n v="95"/>
    <x v="1"/>
    <x v="4"/>
    <x v="2"/>
    <x v="3"/>
    <n v="3160.95"/>
    <x v="0"/>
    <n v="2440.2966694490838"/>
    <n v="3477.04"/>
    <n v="3477.05"/>
    <n v="3477.05"/>
    <s v="February 2022"/>
  </r>
  <r>
    <d v="2022-02-04T00:00:00"/>
    <x v="223"/>
    <n v="36"/>
    <x v="1"/>
    <x v="5"/>
    <x v="3"/>
    <x v="2"/>
    <n v="530.98"/>
    <x v="1"/>
    <n v="2496.7676064256989"/>
    <n v="584.07000000000005"/>
    <n v="584.08000000000004"/>
    <n v="584.08000000000004"/>
    <s v="February 2022"/>
  </r>
  <r>
    <d v="2022-02-04T00:00:00"/>
    <x v="224"/>
    <n v="4"/>
    <x v="2"/>
    <x v="7"/>
    <x v="0"/>
    <x v="3"/>
    <n v="1511.35"/>
    <x v="2"/>
    <n v="2503.6022787783854"/>
    <n v="1662.48"/>
    <n v="1662.49"/>
    <n v="1662.49"/>
    <s v="February 2022"/>
  </r>
  <r>
    <d v="2022-02-04T00:00:00"/>
    <x v="225"/>
    <n v="53"/>
    <x v="1"/>
    <x v="6"/>
    <x v="0"/>
    <x v="3"/>
    <n v="4921.29"/>
    <x v="1"/>
    <n v="2503.6022787783854"/>
    <n v="5413.41"/>
    <n v="5413.42"/>
    <n v="5413.42"/>
    <s v="February 2022"/>
  </r>
  <r>
    <d v="2022-02-04T00:00:00"/>
    <x v="226"/>
    <n v="59"/>
    <x v="2"/>
    <x v="7"/>
    <x v="2"/>
    <x v="3"/>
    <n v="3203.99"/>
    <x v="1"/>
    <n v="2440.2966694490838"/>
    <n v="3524.38"/>
    <n v="3524.3900000000003"/>
    <n v="3524.39"/>
    <s v="February 2022"/>
  </r>
  <r>
    <d v="2022-02-04T00:00:00"/>
    <x v="227"/>
    <n v="2"/>
    <x v="2"/>
    <x v="0"/>
    <x v="1"/>
    <x v="2"/>
    <n v="3144.82"/>
    <x v="2"/>
    <n v="2509.1716796874912"/>
    <n v="3459.3"/>
    <n v="3459.3100000000004"/>
    <n v="3459.3"/>
    <s v="February 2022"/>
  </r>
  <r>
    <d v="2022-02-04T00:00:00"/>
    <x v="228"/>
    <n v="4"/>
    <x v="0"/>
    <x v="7"/>
    <x v="2"/>
    <x v="3"/>
    <n v="1871.1"/>
    <x v="2"/>
    <n v="2440.2966694490838"/>
    <n v="2058.21"/>
    <n v="2058.21"/>
    <n v="2058.21"/>
    <s v="February 2022"/>
  </r>
  <r>
    <d v="2022-02-04T00:00:00"/>
    <x v="229"/>
    <n v="11"/>
    <x v="1"/>
    <x v="0"/>
    <x v="2"/>
    <x v="3"/>
    <n v="4829.96"/>
    <x v="2"/>
    <n v="2440.2966694490838"/>
    <n v="5312.95"/>
    <n v="5312.96"/>
    <n v="5312.96"/>
    <s v="February 2022"/>
  </r>
  <r>
    <d v="2022-02-05T00:00:00"/>
    <x v="230"/>
    <n v="64"/>
    <x v="2"/>
    <x v="1"/>
    <x v="0"/>
    <x v="4"/>
    <n v="429.32"/>
    <x v="1"/>
    <n v="2503.6022787783854"/>
    <n v="472.25"/>
    <n v="472.26"/>
    <n v="472.25"/>
    <s v="February 2022"/>
  </r>
  <r>
    <d v="2022-02-05T00:00:00"/>
    <x v="231"/>
    <n v="57"/>
    <x v="0"/>
    <x v="5"/>
    <x v="0"/>
    <x v="1"/>
    <n v="2476.16"/>
    <x v="1"/>
    <n v="2503.6022787783854"/>
    <n v="2723.77"/>
    <n v="2723.78"/>
    <n v="2723.78"/>
    <s v="February 2022"/>
  </r>
  <r>
    <d v="2022-02-05T00:00:00"/>
    <x v="232"/>
    <n v="20"/>
    <x v="2"/>
    <x v="7"/>
    <x v="0"/>
    <x v="1"/>
    <n v="2011.33"/>
    <x v="1"/>
    <n v="2503.6022787783854"/>
    <n v="2212.46"/>
    <n v="2212.4700000000003"/>
    <n v="2212.46"/>
    <s v="February 2022"/>
  </r>
  <r>
    <d v="2022-02-05T00:00:00"/>
    <x v="233"/>
    <n v="57"/>
    <x v="0"/>
    <x v="3"/>
    <x v="1"/>
    <x v="2"/>
    <n v="3699.55"/>
    <x v="1"/>
    <n v="2509.1716796874912"/>
    <n v="4069.5"/>
    <n v="4069.51"/>
    <n v="4069.51"/>
    <s v="February 2022"/>
  </r>
  <r>
    <d v="2022-02-05T00:00:00"/>
    <x v="234"/>
    <n v="38"/>
    <x v="0"/>
    <x v="4"/>
    <x v="3"/>
    <x v="2"/>
    <n v="1760.32"/>
    <x v="1"/>
    <n v="2496.7676064256989"/>
    <n v="1936.35"/>
    <n v="1936.36"/>
    <n v="1936.35"/>
    <s v="February 2022"/>
  </r>
  <r>
    <d v="2022-02-05T00:00:00"/>
    <x v="235"/>
    <n v="54"/>
    <x v="2"/>
    <x v="6"/>
    <x v="0"/>
    <x v="4"/>
    <n v="1905.57"/>
    <x v="1"/>
    <n v="2503.6022787783854"/>
    <n v="2096.12"/>
    <n v="2096.13"/>
    <n v="2096.13"/>
    <s v="February 2022"/>
  </r>
  <r>
    <d v="2022-02-05T00:00:00"/>
    <x v="236"/>
    <n v="65"/>
    <x v="0"/>
    <x v="3"/>
    <x v="1"/>
    <x v="3"/>
    <n v="1471.72"/>
    <x v="0"/>
    <n v="2509.1716796874912"/>
    <n v="1618.89"/>
    <n v="1618.9"/>
    <n v="1618.89"/>
    <s v="February 2022"/>
  </r>
  <r>
    <d v="2022-02-06T00:00:00"/>
    <x v="237"/>
    <n v="9"/>
    <x v="0"/>
    <x v="6"/>
    <x v="0"/>
    <x v="3"/>
    <n v="1116.33"/>
    <x v="2"/>
    <n v="2503.6022787783854"/>
    <n v="1227.96"/>
    <n v="1227.97"/>
    <n v="1227.96"/>
    <s v="February 2022"/>
  </r>
  <r>
    <d v="2022-02-06T00:00:00"/>
    <x v="238"/>
    <n v="58"/>
    <x v="2"/>
    <x v="0"/>
    <x v="0"/>
    <x v="3"/>
    <n v="2497.2600000000002"/>
    <x v="1"/>
    <n v="2503.6022787783854"/>
    <n v="2746.98"/>
    <n v="2746.9900000000002"/>
    <n v="2746.99"/>
    <s v="February 2022"/>
  </r>
  <r>
    <d v="2022-02-06T00:00:00"/>
    <x v="239"/>
    <n v="44"/>
    <x v="1"/>
    <x v="5"/>
    <x v="3"/>
    <x v="0"/>
    <n v="4723.3100000000004"/>
    <x v="1"/>
    <n v="2496.7676064256989"/>
    <n v="5195.6400000000003"/>
    <n v="5195.6500000000005"/>
    <n v="5195.6400000000003"/>
    <s v="February 2022"/>
  </r>
  <r>
    <d v="2022-02-06T00:00:00"/>
    <x v="240"/>
    <n v="46"/>
    <x v="1"/>
    <x v="4"/>
    <x v="3"/>
    <x v="3"/>
    <n v="1343.35"/>
    <x v="1"/>
    <n v="2496.7676064256989"/>
    <n v="1477.68"/>
    <n v="1477.69"/>
    <n v="1477.69"/>
    <s v="February 2022"/>
  </r>
  <r>
    <d v="2022-02-06T00:00:00"/>
    <x v="241"/>
    <n v="30"/>
    <x v="2"/>
    <x v="3"/>
    <x v="0"/>
    <x v="5"/>
    <n v="3140.53"/>
    <x v="1"/>
    <n v="2503.6022787783854"/>
    <n v="3454.58"/>
    <n v="3454.59"/>
    <n v="3454.58"/>
    <s v="February 2022"/>
  </r>
  <r>
    <d v="2022-02-07T00:00:00"/>
    <x v="242"/>
    <n v="48"/>
    <x v="1"/>
    <x v="3"/>
    <x v="0"/>
    <x v="2"/>
    <n v="4716.3"/>
    <x v="1"/>
    <n v="2503.6022787783854"/>
    <n v="5187.93"/>
    <n v="5187.93"/>
    <n v="5187.93"/>
    <s v="February 2022"/>
  </r>
  <r>
    <d v="2022-02-07T00:00:00"/>
    <x v="243"/>
    <n v="9"/>
    <x v="1"/>
    <x v="4"/>
    <x v="0"/>
    <x v="0"/>
    <n v="860.49"/>
    <x v="2"/>
    <n v="2503.6022787783854"/>
    <n v="946.53"/>
    <n v="946.54"/>
    <n v="946.54"/>
    <s v="February 2022"/>
  </r>
  <r>
    <d v="2022-02-07T00:00:00"/>
    <x v="244"/>
    <n v="52"/>
    <x v="0"/>
    <x v="1"/>
    <x v="3"/>
    <x v="4"/>
    <n v="4672.55"/>
    <x v="1"/>
    <n v="2496.7676064256989"/>
    <n v="5139.8"/>
    <n v="5139.8100000000004"/>
    <n v="5139.8100000000004"/>
    <s v="February 2022"/>
  </r>
  <r>
    <d v="2022-02-07T00:00:00"/>
    <x v="245"/>
    <n v="29"/>
    <x v="0"/>
    <x v="5"/>
    <x v="0"/>
    <x v="1"/>
    <n v="4413.6499999999996"/>
    <x v="1"/>
    <n v="2503.6022787783854"/>
    <n v="4855.01"/>
    <n v="4855.0200000000004"/>
    <n v="4855.0200000000004"/>
    <s v="February 2022"/>
  </r>
  <r>
    <d v="2022-02-08T00:00:00"/>
    <x v="246"/>
    <n v="50"/>
    <x v="0"/>
    <x v="1"/>
    <x v="3"/>
    <x v="2"/>
    <n v="2252.3000000000002"/>
    <x v="1"/>
    <n v="2496.7676064256989"/>
    <n v="2477.5300000000002"/>
    <n v="2477.5300000000002"/>
    <n v="2477.5300000000002"/>
    <s v="February 2022"/>
  </r>
  <r>
    <d v="2022-02-08T00:00:00"/>
    <x v="247"/>
    <n v="90"/>
    <x v="1"/>
    <x v="5"/>
    <x v="3"/>
    <x v="2"/>
    <n v="812.56"/>
    <x v="0"/>
    <n v="2496.7676064256989"/>
    <n v="893.81"/>
    <n v="893.81999999999994"/>
    <n v="893.82"/>
    <s v="February 2022"/>
  </r>
  <r>
    <d v="2022-02-09T00:00:00"/>
    <x v="248"/>
    <n v="5"/>
    <x v="2"/>
    <x v="1"/>
    <x v="2"/>
    <x v="2"/>
    <n v="3538.08"/>
    <x v="2"/>
    <n v="2440.2966694490838"/>
    <n v="3891.88"/>
    <n v="3891.8900000000003"/>
    <n v="3891.89"/>
    <s v="February 2022"/>
  </r>
  <r>
    <d v="2022-02-09T00:00:00"/>
    <x v="249"/>
    <n v="96"/>
    <x v="1"/>
    <x v="3"/>
    <x v="3"/>
    <x v="0"/>
    <n v="3051.04"/>
    <x v="0"/>
    <n v="2496.7676064256989"/>
    <n v="3356.14"/>
    <n v="3356.15"/>
    <n v="3356.14"/>
    <s v="February 2022"/>
  </r>
  <r>
    <d v="2022-02-09T00:00:00"/>
    <x v="250"/>
    <n v="72"/>
    <x v="1"/>
    <x v="4"/>
    <x v="0"/>
    <x v="4"/>
    <n v="283.08999999999997"/>
    <x v="0"/>
    <n v="2503.6022787783854"/>
    <n v="311.39"/>
    <n v="311.39999999999998"/>
    <n v="311.39999999999998"/>
    <s v="February 2022"/>
  </r>
  <r>
    <d v="2022-02-09T00:00:00"/>
    <x v="251"/>
    <n v="12"/>
    <x v="0"/>
    <x v="0"/>
    <x v="3"/>
    <x v="1"/>
    <n v="2337.75"/>
    <x v="2"/>
    <n v="2496.7676064256989"/>
    <n v="2571.52"/>
    <n v="2571.5300000000002"/>
    <n v="2571.5300000000002"/>
    <s v="February 2022"/>
  </r>
  <r>
    <d v="2022-02-09T00:00:00"/>
    <x v="252"/>
    <n v="80"/>
    <x v="2"/>
    <x v="7"/>
    <x v="2"/>
    <x v="1"/>
    <n v="1105.93"/>
    <x v="0"/>
    <n v="2440.2966694490838"/>
    <n v="1216.52"/>
    <n v="1216.53"/>
    <n v="1216.52"/>
    <s v="February 2022"/>
  </r>
  <r>
    <d v="2022-02-09T00:00:00"/>
    <x v="253"/>
    <n v="72"/>
    <x v="0"/>
    <x v="6"/>
    <x v="0"/>
    <x v="3"/>
    <n v="3636.19"/>
    <x v="0"/>
    <n v="2503.6022787783854"/>
    <n v="3999.8"/>
    <n v="3999.8100000000004"/>
    <n v="3999.81"/>
    <s v="February 2022"/>
  </r>
  <r>
    <d v="2022-02-09T00:00:00"/>
    <x v="254"/>
    <n v="90"/>
    <x v="0"/>
    <x v="6"/>
    <x v="1"/>
    <x v="1"/>
    <n v="3830.13"/>
    <x v="0"/>
    <n v="2509.1716796874912"/>
    <n v="4213.1400000000003"/>
    <n v="4213.1500000000005"/>
    <n v="4213.1400000000003"/>
    <s v="February 2022"/>
  </r>
  <r>
    <d v="2022-02-09T00:00:00"/>
    <x v="255"/>
    <n v="36"/>
    <x v="0"/>
    <x v="7"/>
    <x v="0"/>
    <x v="0"/>
    <n v="3299.44"/>
    <x v="1"/>
    <n v="2503.6022787783854"/>
    <n v="3629.38"/>
    <n v="3629.3900000000003"/>
    <n v="3629.38"/>
    <s v="February 2022"/>
  </r>
  <r>
    <d v="2022-02-10T00:00:00"/>
    <x v="256"/>
    <n v="50"/>
    <x v="2"/>
    <x v="7"/>
    <x v="0"/>
    <x v="1"/>
    <n v="2400.5700000000002"/>
    <x v="1"/>
    <n v="2503.6022787783854"/>
    <n v="2640.62"/>
    <n v="2640.63"/>
    <n v="2640.63"/>
    <s v="February 2022"/>
  </r>
  <r>
    <d v="2022-02-10T00:00:00"/>
    <x v="257"/>
    <n v="28"/>
    <x v="0"/>
    <x v="3"/>
    <x v="1"/>
    <x v="4"/>
    <n v="1775.76"/>
    <x v="1"/>
    <n v="2509.1716796874912"/>
    <n v="1953.33"/>
    <n v="1953.34"/>
    <n v="1953.34"/>
    <s v="February 2022"/>
  </r>
  <r>
    <d v="2022-02-10T00:00:00"/>
    <x v="258"/>
    <n v="34"/>
    <x v="2"/>
    <x v="3"/>
    <x v="1"/>
    <x v="4"/>
    <n v="4012.41"/>
    <x v="1"/>
    <n v="2509.1716796874912"/>
    <n v="4413.6499999999996"/>
    <n v="4413.66"/>
    <n v="4413.6499999999996"/>
    <s v="February 2022"/>
  </r>
  <r>
    <d v="2022-02-10T00:00:00"/>
    <x v="259"/>
    <n v="3"/>
    <x v="0"/>
    <x v="6"/>
    <x v="0"/>
    <x v="3"/>
    <n v="4941.6400000000003"/>
    <x v="2"/>
    <n v="2503.6022787783854"/>
    <n v="5435.8"/>
    <n v="5435.81"/>
    <n v="5435.8"/>
    <s v="February 2022"/>
  </r>
  <r>
    <d v="2022-02-10T00:00:00"/>
    <x v="260"/>
    <n v="1"/>
    <x v="2"/>
    <x v="3"/>
    <x v="2"/>
    <x v="1"/>
    <n v="1175.25"/>
    <x v="2"/>
    <n v="2440.2966694490838"/>
    <n v="1292.77"/>
    <n v="1292.78"/>
    <n v="1292.78"/>
    <s v="February 2022"/>
  </r>
  <r>
    <d v="2022-02-10T00:00:00"/>
    <x v="261"/>
    <n v="70"/>
    <x v="2"/>
    <x v="2"/>
    <x v="3"/>
    <x v="3"/>
    <n v="3989.47"/>
    <x v="0"/>
    <n v="2496.7676064256989"/>
    <n v="4388.41"/>
    <n v="4388.42"/>
    <n v="4388.42"/>
    <s v="February 2022"/>
  </r>
  <r>
    <d v="2022-02-10T00:00:00"/>
    <x v="262"/>
    <n v="77"/>
    <x v="0"/>
    <x v="7"/>
    <x v="3"/>
    <x v="4"/>
    <n v="3467.68"/>
    <x v="0"/>
    <n v="2496.7676064256989"/>
    <n v="3814.44"/>
    <n v="3814.4500000000003"/>
    <n v="3814.45"/>
    <s v="February 2022"/>
  </r>
  <r>
    <d v="2022-02-11T00:00:00"/>
    <x v="263"/>
    <n v="92"/>
    <x v="1"/>
    <x v="3"/>
    <x v="2"/>
    <x v="2"/>
    <n v="3341.61"/>
    <x v="0"/>
    <n v="2440.2966694490838"/>
    <n v="3675.77"/>
    <n v="3675.78"/>
    <n v="3675.77"/>
    <s v="February 2022"/>
  </r>
  <r>
    <d v="2022-02-11T00:00:00"/>
    <x v="264"/>
    <n v="1"/>
    <x v="0"/>
    <x v="0"/>
    <x v="0"/>
    <x v="1"/>
    <n v="4874.1099999999997"/>
    <x v="2"/>
    <n v="2503.6022787783854"/>
    <n v="5361.52"/>
    <n v="5361.5300000000007"/>
    <n v="5361.52"/>
    <s v="February 2022"/>
  </r>
  <r>
    <d v="2022-02-11T00:00:00"/>
    <x v="265"/>
    <n v="53"/>
    <x v="1"/>
    <x v="5"/>
    <x v="2"/>
    <x v="1"/>
    <n v="1247.1600000000001"/>
    <x v="1"/>
    <n v="2440.2966694490838"/>
    <n v="1371.87"/>
    <n v="1371.8799999999999"/>
    <n v="1371.88"/>
    <s v="February 2022"/>
  </r>
  <r>
    <d v="2022-02-11T00:00:00"/>
    <x v="266"/>
    <n v="73"/>
    <x v="1"/>
    <x v="6"/>
    <x v="3"/>
    <x v="1"/>
    <n v="668.52"/>
    <x v="0"/>
    <n v="2496.7676064256989"/>
    <n v="735.37"/>
    <n v="735.38"/>
    <n v="735.37"/>
    <s v="February 2022"/>
  </r>
  <r>
    <d v="2022-02-12T00:00:00"/>
    <x v="267"/>
    <n v="49"/>
    <x v="2"/>
    <x v="6"/>
    <x v="0"/>
    <x v="4"/>
    <n v="1075.03"/>
    <x v="1"/>
    <n v="2503.6022787783854"/>
    <n v="1182.53"/>
    <n v="1182.54"/>
    <n v="1182.53"/>
    <s v="February 2022"/>
  </r>
  <r>
    <d v="2022-02-12T00:00:00"/>
    <x v="268"/>
    <n v="84"/>
    <x v="2"/>
    <x v="1"/>
    <x v="0"/>
    <x v="3"/>
    <n v="346.43"/>
    <x v="0"/>
    <n v="2503.6022787783854"/>
    <n v="381.07"/>
    <n v="381.08"/>
    <n v="381.07"/>
    <s v="February 2022"/>
  </r>
  <r>
    <d v="2022-02-12T00:00:00"/>
    <x v="269"/>
    <n v="72"/>
    <x v="2"/>
    <x v="5"/>
    <x v="3"/>
    <x v="0"/>
    <n v="4503.87"/>
    <x v="0"/>
    <n v="2496.7676064256989"/>
    <n v="4954.25"/>
    <n v="4954.26"/>
    <n v="4954.26"/>
    <s v="February 2022"/>
  </r>
  <r>
    <d v="2022-02-12T00:00:00"/>
    <x v="270"/>
    <n v="1"/>
    <x v="0"/>
    <x v="0"/>
    <x v="1"/>
    <x v="2"/>
    <n v="955.32"/>
    <x v="2"/>
    <n v="2509.1716796874912"/>
    <n v="1050.8499999999999"/>
    <n v="1050.8599999999999"/>
    <n v="1050.8499999999999"/>
    <s v="February 2022"/>
  </r>
  <r>
    <d v="2022-02-12T00:00:00"/>
    <x v="271"/>
    <n v="86"/>
    <x v="0"/>
    <x v="7"/>
    <x v="3"/>
    <x v="2"/>
    <n v="3289.53"/>
    <x v="0"/>
    <n v="2496.7676064256989"/>
    <n v="3618.48"/>
    <n v="3618.4900000000002"/>
    <n v="3618.48"/>
    <s v="February 2022"/>
  </r>
  <r>
    <d v="2022-02-12T00:00:00"/>
    <x v="272"/>
    <n v="53"/>
    <x v="0"/>
    <x v="5"/>
    <x v="2"/>
    <x v="2"/>
    <n v="220.31"/>
    <x v="1"/>
    <n v="2440.2966694490838"/>
    <n v="242.34"/>
    <n v="242.35"/>
    <n v="242.34"/>
    <s v="February 2022"/>
  </r>
  <r>
    <d v="2022-02-12T00:00:00"/>
    <x v="273"/>
    <n v="55"/>
    <x v="0"/>
    <x v="4"/>
    <x v="2"/>
    <x v="4"/>
    <n v="2564.38"/>
    <x v="1"/>
    <n v="2440.2966694490838"/>
    <n v="2820.81"/>
    <n v="2820.82"/>
    <n v="2820.82"/>
    <s v="February 2022"/>
  </r>
  <r>
    <d v="2022-02-13T00:00:00"/>
    <x v="274"/>
    <n v="3"/>
    <x v="1"/>
    <x v="2"/>
    <x v="0"/>
    <x v="1"/>
    <n v="2326.8000000000002"/>
    <x v="2"/>
    <n v="2503.6022787783854"/>
    <n v="2559.48"/>
    <n v="2559.48"/>
    <n v="2559.48"/>
    <s v="February 2022"/>
  </r>
  <r>
    <d v="2022-02-13T00:00:00"/>
    <x v="275"/>
    <n v="17"/>
    <x v="1"/>
    <x v="4"/>
    <x v="3"/>
    <x v="2"/>
    <n v="43.26"/>
    <x v="1"/>
    <n v="2496.7676064256989"/>
    <n v="47.58"/>
    <n v="47.589999999999996"/>
    <n v="47.59"/>
    <s v="February 2022"/>
  </r>
  <r>
    <d v="2022-02-13T00:00:00"/>
    <x v="276"/>
    <n v="98"/>
    <x v="1"/>
    <x v="6"/>
    <x v="0"/>
    <x v="0"/>
    <n v="1461.52"/>
    <x v="0"/>
    <n v="2503.6022787783854"/>
    <n v="1607.67"/>
    <n v="1607.68"/>
    <n v="1607.67"/>
    <s v="February 2022"/>
  </r>
  <r>
    <d v="2022-02-13T00:00:00"/>
    <x v="277"/>
    <n v="55"/>
    <x v="2"/>
    <x v="0"/>
    <x v="0"/>
    <x v="3"/>
    <n v="3615.63"/>
    <x v="1"/>
    <n v="2503.6022787783854"/>
    <n v="3977.19"/>
    <n v="3977.2000000000003"/>
    <n v="3977.19"/>
    <s v="February 2022"/>
  </r>
  <r>
    <d v="2022-02-13T00:00:00"/>
    <x v="278"/>
    <n v="51"/>
    <x v="0"/>
    <x v="4"/>
    <x v="1"/>
    <x v="5"/>
    <n v="116.33"/>
    <x v="1"/>
    <n v="2509.1716796874912"/>
    <n v="127.96"/>
    <n v="127.97"/>
    <n v="127.96"/>
    <s v="February 2022"/>
  </r>
  <r>
    <d v="2022-02-14T00:00:00"/>
    <x v="279"/>
    <n v="54"/>
    <x v="0"/>
    <x v="6"/>
    <x v="3"/>
    <x v="4"/>
    <n v="303.93"/>
    <x v="1"/>
    <n v="2496.7676064256989"/>
    <n v="334.32"/>
    <n v="334.33"/>
    <n v="334.32"/>
    <s v="February 2022"/>
  </r>
  <r>
    <d v="2022-02-14T00:00:00"/>
    <x v="280"/>
    <n v="90"/>
    <x v="1"/>
    <x v="5"/>
    <x v="0"/>
    <x v="2"/>
    <n v="4967.6499999999996"/>
    <x v="0"/>
    <n v="2503.6022787783854"/>
    <n v="5464.41"/>
    <n v="5464.42"/>
    <n v="5464.42"/>
    <s v="February 2022"/>
  </r>
  <r>
    <d v="2022-02-14T00:00:00"/>
    <x v="281"/>
    <n v="83"/>
    <x v="0"/>
    <x v="3"/>
    <x v="1"/>
    <x v="4"/>
    <n v="1521.26"/>
    <x v="0"/>
    <n v="2509.1716796874912"/>
    <n v="1673.38"/>
    <n v="1673.39"/>
    <n v="1673.39"/>
    <s v="February 2022"/>
  </r>
  <r>
    <d v="2022-02-14T00:00:00"/>
    <x v="282"/>
    <n v="87"/>
    <x v="0"/>
    <x v="7"/>
    <x v="3"/>
    <x v="2"/>
    <n v="2463.65"/>
    <x v="0"/>
    <n v="2496.7676064256989"/>
    <n v="2710.01"/>
    <n v="2710.0200000000004"/>
    <n v="2710.02"/>
    <s v="February 2022"/>
  </r>
  <r>
    <d v="2022-02-14T00:00:00"/>
    <x v="283"/>
    <n v="64"/>
    <x v="2"/>
    <x v="5"/>
    <x v="3"/>
    <x v="3"/>
    <n v="3988.02"/>
    <x v="1"/>
    <n v="2496.7676064256989"/>
    <n v="4386.82"/>
    <n v="4386.83"/>
    <n v="4386.82"/>
    <s v="February 2022"/>
  </r>
  <r>
    <d v="2022-02-15T00:00:00"/>
    <x v="284"/>
    <n v="23"/>
    <x v="0"/>
    <x v="4"/>
    <x v="1"/>
    <x v="4"/>
    <n v="649.20000000000005"/>
    <x v="1"/>
    <n v="2509.1716796874912"/>
    <n v="714.12"/>
    <n v="714.12"/>
    <n v="714.12"/>
    <s v="February 2022"/>
  </r>
  <r>
    <d v="2022-02-15T00:00:00"/>
    <x v="285"/>
    <n v="61"/>
    <x v="1"/>
    <x v="7"/>
    <x v="1"/>
    <x v="1"/>
    <n v="1685.14"/>
    <x v="1"/>
    <n v="2509.1716796874912"/>
    <n v="1853.65"/>
    <n v="1853.66"/>
    <n v="1853.65"/>
    <s v="February 2022"/>
  </r>
  <r>
    <d v="2022-02-15T00:00:00"/>
    <x v="286"/>
    <n v="43"/>
    <x v="0"/>
    <x v="7"/>
    <x v="0"/>
    <x v="0"/>
    <n v="935.28"/>
    <x v="1"/>
    <n v="2503.6022787783854"/>
    <n v="1028.8"/>
    <n v="1028.81"/>
    <n v="1028.81"/>
    <s v="February 2022"/>
  </r>
  <r>
    <d v="2022-02-15T00:00:00"/>
    <x v="287"/>
    <n v="74"/>
    <x v="2"/>
    <x v="4"/>
    <x v="2"/>
    <x v="1"/>
    <n v="1338.79"/>
    <x v="0"/>
    <n v="2440.2966694490838"/>
    <n v="1472.66"/>
    <n v="1472.67"/>
    <n v="1472.67"/>
    <s v="February 2022"/>
  </r>
  <r>
    <d v="2022-02-15T00:00:00"/>
    <x v="288"/>
    <n v="38"/>
    <x v="0"/>
    <x v="5"/>
    <x v="1"/>
    <x v="2"/>
    <n v="3981.24"/>
    <x v="1"/>
    <n v="2509.1716796874912"/>
    <n v="4379.3599999999997"/>
    <n v="4379.37"/>
    <n v="4379.3599999999997"/>
    <s v="February 2022"/>
  </r>
  <r>
    <d v="2022-02-15T00:00:00"/>
    <x v="289"/>
    <n v="5"/>
    <x v="1"/>
    <x v="3"/>
    <x v="1"/>
    <x v="5"/>
    <n v="3986.46"/>
    <x v="2"/>
    <n v="2509.1716796874912"/>
    <n v="4385.1000000000004"/>
    <n v="4385.1100000000006"/>
    <n v="4385.1099999999997"/>
    <s v="February 2022"/>
  </r>
  <r>
    <d v="2022-02-16T00:00:00"/>
    <x v="290"/>
    <n v="7"/>
    <x v="2"/>
    <x v="7"/>
    <x v="0"/>
    <x v="3"/>
    <n v="1741.69"/>
    <x v="2"/>
    <n v="2503.6022787783854"/>
    <n v="1915.85"/>
    <n v="1915.86"/>
    <n v="1915.86"/>
    <s v="February 2022"/>
  </r>
  <r>
    <d v="2022-02-16T00:00:00"/>
    <x v="291"/>
    <n v="35"/>
    <x v="0"/>
    <x v="0"/>
    <x v="2"/>
    <x v="5"/>
    <n v="1082.97"/>
    <x v="1"/>
    <n v="2440.2966694490838"/>
    <n v="1191.26"/>
    <n v="1191.27"/>
    <n v="1191.27"/>
    <s v="February 2022"/>
  </r>
  <r>
    <d v="2022-02-16T00:00:00"/>
    <x v="292"/>
    <n v="86"/>
    <x v="2"/>
    <x v="3"/>
    <x v="2"/>
    <x v="3"/>
    <n v="1509.99"/>
    <x v="0"/>
    <n v="2440.2966694490838"/>
    <n v="1660.98"/>
    <n v="1660.99"/>
    <n v="1660.99"/>
    <s v="February 2022"/>
  </r>
  <r>
    <d v="2022-02-16T00:00:00"/>
    <x v="293"/>
    <n v="66"/>
    <x v="0"/>
    <x v="2"/>
    <x v="3"/>
    <x v="1"/>
    <n v="2862.51"/>
    <x v="0"/>
    <n v="2496.7676064256989"/>
    <n v="3148.76"/>
    <n v="3148.7700000000004"/>
    <n v="3148.76"/>
    <s v="February 2022"/>
  </r>
  <r>
    <d v="2022-02-17T00:00:00"/>
    <x v="294"/>
    <n v="91"/>
    <x v="2"/>
    <x v="2"/>
    <x v="0"/>
    <x v="3"/>
    <n v="2970.44"/>
    <x v="0"/>
    <n v="2503.6022787783854"/>
    <n v="3267.48"/>
    <n v="3267.4900000000002"/>
    <n v="3267.48"/>
    <s v="February 2022"/>
  </r>
  <r>
    <d v="2022-02-17T00:00:00"/>
    <x v="295"/>
    <n v="43"/>
    <x v="1"/>
    <x v="0"/>
    <x v="2"/>
    <x v="4"/>
    <n v="3445.32"/>
    <x v="1"/>
    <n v="2440.2966694490838"/>
    <n v="3789.85"/>
    <n v="3789.86"/>
    <n v="3789.85"/>
    <s v="February 2022"/>
  </r>
  <r>
    <d v="2022-02-17T00:00:00"/>
    <x v="296"/>
    <n v="11"/>
    <x v="0"/>
    <x v="2"/>
    <x v="1"/>
    <x v="4"/>
    <n v="426.05"/>
    <x v="2"/>
    <n v="2509.1716796874912"/>
    <n v="468.65"/>
    <n v="468.65999999999997"/>
    <n v="468.66"/>
    <s v="February 2022"/>
  </r>
  <r>
    <d v="2022-02-18T00:00:00"/>
    <x v="297"/>
    <n v="96"/>
    <x v="2"/>
    <x v="3"/>
    <x v="3"/>
    <x v="2"/>
    <n v="3184.79"/>
    <x v="0"/>
    <n v="2496.7676064256989"/>
    <n v="3503.26"/>
    <n v="3503.2700000000004"/>
    <n v="3503.27"/>
    <s v="February 2022"/>
  </r>
  <r>
    <d v="2022-02-18T00:00:00"/>
    <x v="298"/>
    <n v="67"/>
    <x v="2"/>
    <x v="2"/>
    <x v="1"/>
    <x v="3"/>
    <n v="4239.8999999999996"/>
    <x v="0"/>
    <n v="2509.1716796874912"/>
    <n v="4663.8900000000003"/>
    <n v="4663.8900000000003"/>
    <n v="4663.8900000000003"/>
    <s v="February 2022"/>
  </r>
  <r>
    <d v="2022-02-18T00:00:00"/>
    <x v="299"/>
    <n v="88"/>
    <x v="1"/>
    <x v="1"/>
    <x v="2"/>
    <x v="3"/>
    <n v="57.17"/>
    <x v="0"/>
    <n v="2440.2966694490838"/>
    <n v="62.88"/>
    <n v="62.89"/>
    <n v="62.89"/>
    <s v="February 2022"/>
  </r>
  <r>
    <d v="2022-02-18T00:00:00"/>
    <x v="300"/>
    <n v="65"/>
    <x v="0"/>
    <x v="1"/>
    <x v="1"/>
    <x v="2"/>
    <n v="531.32000000000005"/>
    <x v="0"/>
    <n v="2509.1716796874912"/>
    <n v="584.45000000000005"/>
    <n v="584.46"/>
    <n v="584.45000000000005"/>
    <s v="February 2022"/>
  </r>
  <r>
    <d v="2022-02-18T00:00:00"/>
    <x v="301"/>
    <n v="86"/>
    <x v="2"/>
    <x v="5"/>
    <x v="2"/>
    <x v="4"/>
    <n v="1315.64"/>
    <x v="0"/>
    <n v="2440.2966694490838"/>
    <n v="1447.2"/>
    <n v="1447.21"/>
    <n v="1447.2"/>
    <s v="February 2022"/>
  </r>
  <r>
    <d v="2022-02-18T00:00:00"/>
    <x v="302"/>
    <n v="69"/>
    <x v="1"/>
    <x v="2"/>
    <x v="2"/>
    <x v="1"/>
    <n v="960.06"/>
    <x v="0"/>
    <n v="2440.2966694490838"/>
    <n v="1056.06"/>
    <n v="1056.07"/>
    <n v="1056.07"/>
    <s v="February 2022"/>
  </r>
  <r>
    <d v="2022-02-18T00:00:00"/>
    <x v="303"/>
    <n v="65"/>
    <x v="2"/>
    <x v="0"/>
    <x v="3"/>
    <x v="0"/>
    <n v="468.93"/>
    <x v="0"/>
    <n v="2496.7676064256989"/>
    <n v="515.82000000000005"/>
    <n v="515.83000000000004"/>
    <n v="515.82000000000005"/>
    <s v="February 2022"/>
  </r>
  <r>
    <d v="2022-02-19T00:00:00"/>
    <x v="304"/>
    <n v="28"/>
    <x v="0"/>
    <x v="4"/>
    <x v="0"/>
    <x v="2"/>
    <n v="336.88"/>
    <x v="1"/>
    <n v="2503.6022787783854"/>
    <n v="370.56"/>
    <n v="370.57"/>
    <n v="370.57"/>
    <s v="February 2022"/>
  </r>
  <r>
    <d v="2022-02-19T00:00:00"/>
    <x v="305"/>
    <n v="90"/>
    <x v="0"/>
    <x v="7"/>
    <x v="0"/>
    <x v="0"/>
    <n v="3070.74"/>
    <x v="0"/>
    <n v="2503.6022787783854"/>
    <n v="3377.81"/>
    <n v="3377.82"/>
    <n v="3377.81"/>
    <s v="February 2022"/>
  </r>
  <r>
    <d v="2022-02-19T00:00:00"/>
    <x v="306"/>
    <n v="91"/>
    <x v="0"/>
    <x v="0"/>
    <x v="3"/>
    <x v="3"/>
    <n v="1371.67"/>
    <x v="0"/>
    <n v="2496.7676064256989"/>
    <n v="1508.83"/>
    <n v="1508.84"/>
    <n v="1508.84"/>
    <s v="February 2022"/>
  </r>
  <r>
    <d v="2022-02-19T00:00:00"/>
    <x v="307"/>
    <n v="50"/>
    <x v="0"/>
    <x v="3"/>
    <x v="3"/>
    <x v="2"/>
    <n v="3523.95"/>
    <x v="1"/>
    <n v="2496.7676064256989"/>
    <n v="3876.34"/>
    <n v="3876.3500000000004"/>
    <n v="3876.35"/>
    <s v="February 2022"/>
  </r>
  <r>
    <d v="2022-02-20T00:00:00"/>
    <x v="308"/>
    <n v="39"/>
    <x v="0"/>
    <x v="4"/>
    <x v="1"/>
    <x v="1"/>
    <n v="1113.5"/>
    <x v="1"/>
    <n v="2509.1716796874912"/>
    <n v="1224.8499999999999"/>
    <n v="1224.8499999999999"/>
    <n v="1224.8499999999999"/>
    <s v="February 2022"/>
  </r>
  <r>
    <d v="2022-02-20T00:00:00"/>
    <x v="309"/>
    <n v="4"/>
    <x v="1"/>
    <x v="3"/>
    <x v="0"/>
    <x v="2"/>
    <n v="1156.21"/>
    <x v="2"/>
    <n v="2503.6022787783854"/>
    <n v="1271.83"/>
    <n v="1271.8399999999999"/>
    <n v="1271.83"/>
    <s v="February 2022"/>
  </r>
  <r>
    <d v="2022-02-20T00:00:00"/>
    <x v="310"/>
    <n v="61"/>
    <x v="2"/>
    <x v="4"/>
    <x v="1"/>
    <x v="4"/>
    <n v="129.06"/>
    <x v="1"/>
    <n v="2509.1716796874912"/>
    <n v="141.96"/>
    <n v="141.97"/>
    <n v="141.97"/>
    <s v="February 2022"/>
  </r>
  <r>
    <d v="2022-02-20T00:00:00"/>
    <x v="311"/>
    <n v="31"/>
    <x v="2"/>
    <x v="3"/>
    <x v="0"/>
    <x v="0"/>
    <n v="2804.1"/>
    <x v="1"/>
    <n v="2503.6022787783854"/>
    <n v="3084.51"/>
    <n v="3084.51"/>
    <n v="3084.51"/>
    <s v="February 2022"/>
  </r>
  <r>
    <d v="2022-02-20T00:00:00"/>
    <x v="312"/>
    <n v="38"/>
    <x v="0"/>
    <x v="5"/>
    <x v="1"/>
    <x v="5"/>
    <n v="537.46"/>
    <x v="1"/>
    <n v="2509.1716796874912"/>
    <n v="591.20000000000005"/>
    <n v="591.21"/>
    <n v="591.21"/>
    <s v="February 2022"/>
  </r>
  <r>
    <d v="2022-02-20T00:00:00"/>
    <x v="313"/>
    <n v="42"/>
    <x v="0"/>
    <x v="2"/>
    <x v="1"/>
    <x v="2"/>
    <n v="994.09"/>
    <x v="1"/>
    <n v="2509.1716796874912"/>
    <n v="1093.49"/>
    <n v="1093.5"/>
    <n v="1093.5"/>
    <s v="February 2022"/>
  </r>
  <r>
    <d v="2022-02-20T00:00:00"/>
    <x v="314"/>
    <n v="25"/>
    <x v="0"/>
    <x v="5"/>
    <x v="3"/>
    <x v="1"/>
    <n v="4782.8"/>
    <x v="1"/>
    <n v="2496.7676064256989"/>
    <n v="5261.08"/>
    <n v="5261.08"/>
    <n v="5261.08"/>
    <s v="February 2022"/>
  </r>
  <r>
    <d v="2022-02-20T00:00:00"/>
    <x v="315"/>
    <n v="50"/>
    <x v="0"/>
    <x v="1"/>
    <x v="1"/>
    <x v="4"/>
    <n v="2339.46"/>
    <x v="1"/>
    <n v="2509.1716796874912"/>
    <n v="2573.4"/>
    <n v="2573.4100000000003"/>
    <n v="2573.41"/>
    <s v="February 2022"/>
  </r>
  <r>
    <d v="2022-02-20T00:00:00"/>
    <x v="316"/>
    <n v="69"/>
    <x v="0"/>
    <x v="2"/>
    <x v="1"/>
    <x v="0"/>
    <n v="1347.71"/>
    <x v="0"/>
    <n v="2509.1716796874912"/>
    <n v="1482.48"/>
    <n v="1482.49"/>
    <n v="1482.48"/>
    <s v="February 2022"/>
  </r>
  <r>
    <d v="2022-02-21T00:00:00"/>
    <x v="317"/>
    <n v="66"/>
    <x v="1"/>
    <x v="6"/>
    <x v="1"/>
    <x v="3"/>
    <n v="578.54999999999995"/>
    <x v="0"/>
    <n v="2509.1716796874912"/>
    <n v="636.4"/>
    <n v="636.41"/>
    <n v="636.41"/>
    <s v="February 2022"/>
  </r>
  <r>
    <d v="2022-02-21T00:00:00"/>
    <x v="318"/>
    <n v="97"/>
    <x v="0"/>
    <x v="3"/>
    <x v="1"/>
    <x v="1"/>
    <n v="4363.71"/>
    <x v="0"/>
    <n v="2509.1716796874912"/>
    <n v="4800.08"/>
    <n v="4800.09"/>
    <n v="4800.08"/>
    <s v="February 2022"/>
  </r>
  <r>
    <d v="2022-02-21T00:00:00"/>
    <x v="319"/>
    <n v="30"/>
    <x v="1"/>
    <x v="5"/>
    <x v="2"/>
    <x v="3"/>
    <n v="1124.73"/>
    <x v="1"/>
    <n v="2440.2966694490838"/>
    <n v="1237.2"/>
    <n v="1237.21"/>
    <n v="1237.2"/>
    <s v="February 2022"/>
  </r>
  <r>
    <d v="2022-02-21T00:00:00"/>
    <x v="320"/>
    <n v="32"/>
    <x v="1"/>
    <x v="3"/>
    <x v="0"/>
    <x v="3"/>
    <n v="4916.0200000000004"/>
    <x v="1"/>
    <n v="2503.6022787783854"/>
    <n v="5407.62"/>
    <n v="5407.63"/>
    <n v="5407.62"/>
    <s v="February 2022"/>
  </r>
  <r>
    <d v="2022-02-21T00:00:00"/>
    <x v="321"/>
    <n v="12"/>
    <x v="0"/>
    <x v="5"/>
    <x v="0"/>
    <x v="3"/>
    <n v="4311.8500000000004"/>
    <x v="2"/>
    <n v="2503.6022787783854"/>
    <n v="4743.03"/>
    <n v="4743.04"/>
    <n v="4743.04"/>
    <s v="February 2022"/>
  </r>
  <r>
    <d v="2022-02-22T00:00:00"/>
    <x v="322"/>
    <n v="92"/>
    <x v="2"/>
    <x v="7"/>
    <x v="3"/>
    <x v="4"/>
    <n v="396.14"/>
    <x v="0"/>
    <n v="2496.7676064256989"/>
    <n v="435.75"/>
    <n v="435.76"/>
    <n v="435.75"/>
    <s v="February 2022"/>
  </r>
  <r>
    <d v="2022-02-22T00:00:00"/>
    <x v="323"/>
    <n v="60"/>
    <x v="2"/>
    <x v="6"/>
    <x v="1"/>
    <x v="4"/>
    <n v="525.79"/>
    <x v="1"/>
    <n v="2509.1716796874912"/>
    <n v="578.36"/>
    <n v="578.37"/>
    <n v="578.37"/>
    <s v="February 2022"/>
  </r>
  <r>
    <d v="2022-02-22T00:00:00"/>
    <x v="324"/>
    <n v="90"/>
    <x v="0"/>
    <x v="7"/>
    <x v="1"/>
    <x v="1"/>
    <n v="2623.99"/>
    <x v="0"/>
    <n v="2509.1716796874912"/>
    <n v="2886.38"/>
    <n v="2886.3900000000003"/>
    <n v="2886.39"/>
    <s v="February 2022"/>
  </r>
  <r>
    <d v="2022-02-22T00:00:00"/>
    <x v="325"/>
    <n v="4"/>
    <x v="2"/>
    <x v="4"/>
    <x v="1"/>
    <x v="2"/>
    <n v="2560.25"/>
    <x v="2"/>
    <n v="2509.1716796874912"/>
    <n v="2816.27"/>
    <n v="2816.28"/>
    <n v="2816.28"/>
    <s v="February 2022"/>
  </r>
  <r>
    <d v="2022-02-22T00:00:00"/>
    <x v="326"/>
    <n v="29"/>
    <x v="0"/>
    <x v="7"/>
    <x v="2"/>
    <x v="3"/>
    <n v="3873.2"/>
    <x v="1"/>
    <n v="2440.2966694490838"/>
    <n v="4260.5200000000004"/>
    <n v="4260.5200000000004"/>
    <n v="4260.5200000000004"/>
    <s v="February 2022"/>
  </r>
  <r>
    <d v="2022-02-22T00:00:00"/>
    <x v="327"/>
    <n v="14"/>
    <x v="2"/>
    <x v="4"/>
    <x v="0"/>
    <x v="1"/>
    <n v="2927.56"/>
    <x v="2"/>
    <n v="2503.6022787783854"/>
    <n v="3220.31"/>
    <n v="3220.32"/>
    <n v="3220.32"/>
    <s v="February 2022"/>
  </r>
  <r>
    <d v="2022-02-22T00:00:00"/>
    <x v="328"/>
    <n v="56"/>
    <x v="2"/>
    <x v="4"/>
    <x v="0"/>
    <x v="3"/>
    <n v="1592.84"/>
    <x v="1"/>
    <n v="2503.6022787783854"/>
    <n v="1752.12"/>
    <n v="1752.1299999999999"/>
    <n v="1752.12"/>
    <s v="February 2022"/>
  </r>
  <r>
    <d v="2022-02-23T00:00:00"/>
    <x v="329"/>
    <n v="27"/>
    <x v="1"/>
    <x v="3"/>
    <x v="3"/>
    <x v="3"/>
    <n v="4064.59"/>
    <x v="1"/>
    <n v="2496.7676064256989"/>
    <n v="4471.04"/>
    <n v="4471.05"/>
    <n v="4471.05"/>
    <s v="February 2022"/>
  </r>
  <r>
    <d v="2022-02-23T00:00:00"/>
    <x v="330"/>
    <n v="5"/>
    <x v="0"/>
    <x v="4"/>
    <x v="0"/>
    <x v="1"/>
    <n v="510.95"/>
    <x v="2"/>
    <n v="2503.6022787783854"/>
    <n v="562.04"/>
    <n v="562.04999999999995"/>
    <n v="562.04999999999995"/>
    <s v="February 2022"/>
  </r>
  <r>
    <d v="2022-02-23T00:00:00"/>
    <x v="331"/>
    <n v="46"/>
    <x v="1"/>
    <x v="3"/>
    <x v="0"/>
    <x v="0"/>
    <n v="4848.66"/>
    <x v="1"/>
    <n v="2503.6022787783854"/>
    <n v="5333.52"/>
    <n v="5333.5300000000007"/>
    <n v="5333.53"/>
    <s v="February 2022"/>
  </r>
  <r>
    <d v="2022-02-23T00:00:00"/>
    <x v="332"/>
    <n v="53"/>
    <x v="1"/>
    <x v="6"/>
    <x v="3"/>
    <x v="0"/>
    <n v="3463.57"/>
    <x v="1"/>
    <n v="2496.7676064256989"/>
    <n v="3809.92"/>
    <n v="3809.9300000000003"/>
    <n v="3809.93"/>
    <s v="February 2022"/>
  </r>
  <r>
    <d v="2022-02-23T00:00:00"/>
    <x v="333"/>
    <n v="19"/>
    <x v="0"/>
    <x v="3"/>
    <x v="1"/>
    <x v="0"/>
    <n v="1062.78"/>
    <x v="1"/>
    <n v="2509.1716796874912"/>
    <n v="1169.05"/>
    <n v="1169.06"/>
    <n v="1169.06"/>
    <s v="February 2022"/>
  </r>
  <r>
    <d v="2022-02-24T00:00:00"/>
    <x v="334"/>
    <n v="31"/>
    <x v="0"/>
    <x v="0"/>
    <x v="2"/>
    <x v="4"/>
    <n v="4088.68"/>
    <x v="1"/>
    <n v="2440.2966694490838"/>
    <n v="4497.54"/>
    <n v="4497.55"/>
    <n v="4497.55"/>
    <s v="February 2022"/>
  </r>
  <r>
    <d v="2022-02-24T00:00:00"/>
    <x v="335"/>
    <n v="19"/>
    <x v="1"/>
    <x v="0"/>
    <x v="3"/>
    <x v="4"/>
    <n v="4039.41"/>
    <x v="1"/>
    <n v="2496.7676064256989"/>
    <n v="4443.3500000000004"/>
    <n v="4443.3600000000006"/>
    <n v="4443.3500000000004"/>
    <s v="February 2022"/>
  </r>
  <r>
    <d v="2022-02-25T00:00:00"/>
    <x v="336"/>
    <n v="91"/>
    <x v="1"/>
    <x v="2"/>
    <x v="3"/>
    <x v="0"/>
    <n v="3899.58"/>
    <x v="0"/>
    <n v="2496.7676064256989"/>
    <n v="4289.53"/>
    <n v="4289.54"/>
    <n v="4289.54"/>
    <s v="February 2022"/>
  </r>
  <r>
    <d v="2022-02-25T00:00:00"/>
    <x v="337"/>
    <n v="42"/>
    <x v="2"/>
    <x v="2"/>
    <x v="2"/>
    <x v="2"/>
    <n v="1654.85"/>
    <x v="1"/>
    <n v="2440.2966694490838"/>
    <n v="1820.33"/>
    <n v="1820.34"/>
    <n v="1820.34"/>
    <s v="February 2022"/>
  </r>
  <r>
    <d v="2022-02-25T00:00:00"/>
    <x v="338"/>
    <n v="14"/>
    <x v="1"/>
    <x v="3"/>
    <x v="3"/>
    <x v="4"/>
    <n v="567.12"/>
    <x v="2"/>
    <n v="2496.7676064256989"/>
    <n v="623.83000000000004"/>
    <n v="623.84"/>
    <n v="623.83000000000004"/>
    <s v="February 2022"/>
  </r>
  <r>
    <d v="2022-02-25T00:00:00"/>
    <x v="339"/>
    <n v="8"/>
    <x v="2"/>
    <x v="3"/>
    <x v="2"/>
    <x v="2"/>
    <n v="4308.93"/>
    <x v="2"/>
    <n v="2440.2966694490838"/>
    <n v="4739.82"/>
    <n v="4739.83"/>
    <n v="4739.82"/>
    <s v="February 2022"/>
  </r>
  <r>
    <d v="2022-02-25T00:00:00"/>
    <x v="340"/>
    <n v="34"/>
    <x v="1"/>
    <x v="0"/>
    <x v="1"/>
    <x v="3"/>
    <n v="2901.58"/>
    <x v="1"/>
    <n v="2509.1716796874912"/>
    <n v="3191.73"/>
    <n v="3191.7400000000002"/>
    <n v="3191.74"/>
    <s v="February 2022"/>
  </r>
  <r>
    <d v="2022-02-25T00:00:00"/>
    <x v="341"/>
    <n v="61"/>
    <x v="2"/>
    <x v="0"/>
    <x v="0"/>
    <x v="3"/>
    <n v="2489.81"/>
    <x v="1"/>
    <n v="2503.6022787783854"/>
    <n v="2738.79"/>
    <n v="2738.8"/>
    <n v="2738.79"/>
    <s v="February 2022"/>
  </r>
  <r>
    <d v="2022-02-25T00:00:00"/>
    <x v="342"/>
    <n v="21"/>
    <x v="0"/>
    <x v="0"/>
    <x v="3"/>
    <x v="3"/>
    <n v="1118.98"/>
    <x v="1"/>
    <n v="2496.7676064256989"/>
    <n v="1230.8699999999999"/>
    <n v="1230.8799999999999"/>
    <n v="1230.8800000000001"/>
    <s v="February 2022"/>
  </r>
  <r>
    <d v="2022-02-25T00:00:00"/>
    <x v="343"/>
    <n v="52"/>
    <x v="2"/>
    <x v="3"/>
    <x v="3"/>
    <x v="4"/>
    <n v="2039.54"/>
    <x v="1"/>
    <n v="2496.7676064256989"/>
    <n v="2243.4899999999998"/>
    <n v="2243.5"/>
    <n v="2243.4899999999998"/>
    <s v="February 2022"/>
  </r>
  <r>
    <d v="2022-02-26T00:00:00"/>
    <x v="344"/>
    <n v="2"/>
    <x v="1"/>
    <x v="4"/>
    <x v="2"/>
    <x v="2"/>
    <n v="1625.16"/>
    <x v="2"/>
    <n v="2440.2966694490838"/>
    <n v="1787.67"/>
    <n v="1787.68"/>
    <n v="1787.68"/>
    <s v="February 2022"/>
  </r>
  <r>
    <d v="2022-02-26T00:00:00"/>
    <x v="345"/>
    <n v="12"/>
    <x v="0"/>
    <x v="1"/>
    <x v="3"/>
    <x v="1"/>
    <n v="1182.43"/>
    <x v="2"/>
    <n v="2496.7676064256989"/>
    <n v="1300.67"/>
    <n v="1300.68"/>
    <n v="1300.67"/>
    <s v="February 2022"/>
  </r>
  <r>
    <d v="2022-02-26T00:00:00"/>
    <x v="346"/>
    <n v="1"/>
    <x v="1"/>
    <x v="1"/>
    <x v="2"/>
    <x v="1"/>
    <n v="3135.58"/>
    <x v="2"/>
    <n v="2440.2966694490838"/>
    <n v="3449.13"/>
    <n v="3449.1400000000003"/>
    <n v="3449.14"/>
    <s v="February 2022"/>
  </r>
  <r>
    <d v="2022-02-26T00:00:00"/>
    <x v="347"/>
    <n v="81"/>
    <x v="0"/>
    <x v="7"/>
    <x v="0"/>
    <x v="2"/>
    <n v="2620.59"/>
    <x v="0"/>
    <n v="2503.6022787783854"/>
    <n v="2882.64"/>
    <n v="2882.65"/>
    <n v="2882.65"/>
    <s v="February 2022"/>
  </r>
  <r>
    <d v="2022-02-26T00:00:00"/>
    <x v="348"/>
    <n v="41"/>
    <x v="2"/>
    <x v="1"/>
    <x v="0"/>
    <x v="0"/>
    <n v="921.86"/>
    <x v="1"/>
    <n v="2503.6022787783854"/>
    <n v="1014.04"/>
    <n v="1014.05"/>
    <n v="1014.05"/>
    <s v="February 2022"/>
  </r>
  <r>
    <d v="2022-02-26T00:00:00"/>
    <x v="349"/>
    <n v="71"/>
    <x v="1"/>
    <x v="0"/>
    <x v="1"/>
    <x v="3"/>
    <n v="3540.71"/>
    <x v="0"/>
    <n v="2509.1716796874912"/>
    <n v="3894.78"/>
    <n v="3894.7900000000004"/>
    <n v="3894.78"/>
    <s v="February 2022"/>
  </r>
  <r>
    <d v="2022-02-26T00:00:00"/>
    <x v="350"/>
    <n v="73"/>
    <x v="1"/>
    <x v="7"/>
    <x v="1"/>
    <x v="0"/>
    <n v="4169.93"/>
    <x v="0"/>
    <n v="2509.1716796874912"/>
    <n v="4586.92"/>
    <n v="4586.93"/>
    <n v="4586.92"/>
    <s v="February 2022"/>
  </r>
  <r>
    <d v="2022-02-26T00:00:00"/>
    <x v="351"/>
    <n v="91"/>
    <x v="0"/>
    <x v="4"/>
    <x v="0"/>
    <x v="3"/>
    <n v="499.77"/>
    <x v="0"/>
    <n v="2503.6022787783854"/>
    <n v="549.74"/>
    <n v="549.75"/>
    <n v="549.75"/>
    <s v="February 2022"/>
  </r>
  <r>
    <d v="2022-02-26T00:00:00"/>
    <x v="352"/>
    <n v="7"/>
    <x v="2"/>
    <x v="2"/>
    <x v="1"/>
    <x v="0"/>
    <n v="4096.79"/>
    <x v="2"/>
    <n v="2509.1716796874912"/>
    <n v="4506.46"/>
    <n v="4506.47"/>
    <n v="4506.47"/>
    <s v="February 2022"/>
  </r>
  <r>
    <d v="2022-02-27T00:00:00"/>
    <x v="353"/>
    <n v="82"/>
    <x v="2"/>
    <x v="0"/>
    <x v="2"/>
    <x v="3"/>
    <n v="1852.2"/>
    <x v="0"/>
    <n v="2440.2966694490838"/>
    <n v="2037.42"/>
    <n v="2037.42"/>
    <n v="2037.42"/>
    <s v="February 2022"/>
  </r>
  <r>
    <d v="2022-02-27T00:00:00"/>
    <x v="354"/>
    <n v="63"/>
    <x v="2"/>
    <x v="7"/>
    <x v="3"/>
    <x v="1"/>
    <n v="1362.34"/>
    <x v="1"/>
    <n v="2496.7676064256989"/>
    <n v="1498.57"/>
    <n v="1498.58"/>
    <n v="1498.57"/>
    <s v="February 2022"/>
  </r>
  <r>
    <d v="2022-02-27T00:00:00"/>
    <x v="355"/>
    <n v="91"/>
    <x v="1"/>
    <x v="4"/>
    <x v="3"/>
    <x v="0"/>
    <n v="2643.06"/>
    <x v="0"/>
    <n v="2496.7676064256989"/>
    <n v="2907.36"/>
    <n v="2907.3700000000003"/>
    <n v="2907.37"/>
    <s v="February 2022"/>
  </r>
  <r>
    <d v="2022-02-27T00:00:00"/>
    <x v="356"/>
    <n v="93"/>
    <x v="0"/>
    <x v="5"/>
    <x v="3"/>
    <x v="3"/>
    <n v="3925.3"/>
    <x v="0"/>
    <n v="2496.7676064256989"/>
    <n v="4317.83"/>
    <n v="4317.83"/>
    <n v="4317.83"/>
    <s v="February 2022"/>
  </r>
  <r>
    <d v="2022-02-27T00:00:00"/>
    <x v="357"/>
    <n v="1"/>
    <x v="1"/>
    <x v="7"/>
    <x v="1"/>
    <x v="3"/>
    <n v="3500.16"/>
    <x v="2"/>
    <n v="2509.1716796874912"/>
    <n v="3850.17"/>
    <n v="3850.1800000000003"/>
    <n v="3850.18"/>
    <s v="February 2022"/>
  </r>
  <r>
    <d v="2022-02-27T00:00:00"/>
    <x v="358"/>
    <n v="17"/>
    <x v="1"/>
    <x v="0"/>
    <x v="1"/>
    <x v="1"/>
    <n v="2356.5100000000002"/>
    <x v="1"/>
    <n v="2509.1716796874912"/>
    <n v="2592.16"/>
    <n v="2592.17"/>
    <n v="2592.16"/>
    <s v="February 2022"/>
  </r>
  <r>
    <d v="2022-02-28T00:00:00"/>
    <x v="359"/>
    <n v="33"/>
    <x v="0"/>
    <x v="5"/>
    <x v="2"/>
    <x v="1"/>
    <n v="324.8"/>
    <x v="1"/>
    <n v="2440.2966694490838"/>
    <n v="357.28"/>
    <n v="357.28"/>
    <n v="357.28"/>
    <s v="February 2022"/>
  </r>
  <r>
    <d v="2022-02-28T00:00:00"/>
    <x v="360"/>
    <n v="96"/>
    <x v="0"/>
    <x v="3"/>
    <x v="1"/>
    <x v="2"/>
    <n v="4042.66"/>
    <x v="0"/>
    <n v="2509.1716796874912"/>
    <n v="4446.92"/>
    <n v="4446.93"/>
    <n v="4446.93"/>
    <s v="February 2022"/>
  </r>
  <r>
    <d v="2022-02-28T00:00:00"/>
    <x v="361"/>
    <n v="39"/>
    <x v="1"/>
    <x v="3"/>
    <x v="1"/>
    <x v="0"/>
    <n v="4741.07"/>
    <x v="1"/>
    <n v="2509.1716796874912"/>
    <n v="5215.17"/>
    <n v="5215.18"/>
    <n v="5215.18"/>
    <s v="February 2022"/>
  </r>
  <r>
    <d v="2022-02-28T00:00:00"/>
    <x v="362"/>
    <n v="58"/>
    <x v="2"/>
    <x v="3"/>
    <x v="0"/>
    <x v="4"/>
    <n v="3316.63"/>
    <x v="1"/>
    <n v="2503.6022787783854"/>
    <n v="3648.29"/>
    <n v="3648.3"/>
    <n v="3648.29"/>
    <s v="February 2022"/>
  </r>
  <r>
    <d v="2022-02-28T00:00:00"/>
    <x v="363"/>
    <n v="80"/>
    <x v="2"/>
    <x v="1"/>
    <x v="3"/>
    <x v="3"/>
    <n v="1944.84"/>
    <x v="0"/>
    <n v="2496.7676064256989"/>
    <n v="2139.3200000000002"/>
    <n v="2139.3300000000004"/>
    <n v="2139.3200000000002"/>
    <s v="February 2022"/>
  </r>
  <r>
    <d v="2022-02-28T00:00:00"/>
    <x v="364"/>
    <n v="69"/>
    <x v="0"/>
    <x v="3"/>
    <x v="1"/>
    <x v="0"/>
    <n v="1407.71"/>
    <x v="0"/>
    <n v="2509.1716796874912"/>
    <n v="1548.48"/>
    <n v="1548.49"/>
    <n v="1548.48"/>
    <s v="February 2022"/>
  </r>
  <r>
    <d v="2022-02-28T00:00:00"/>
    <x v="365"/>
    <n v="59"/>
    <x v="1"/>
    <x v="2"/>
    <x v="3"/>
    <x v="1"/>
    <n v="4558.49"/>
    <x v="1"/>
    <n v="2496.7676064256989"/>
    <n v="5014.33"/>
    <n v="5014.34"/>
    <n v="5014.34"/>
    <s v="February 2022"/>
  </r>
  <r>
    <d v="2022-02-28T00:00:00"/>
    <x v="366"/>
    <n v="61"/>
    <x v="0"/>
    <x v="0"/>
    <x v="0"/>
    <x v="1"/>
    <n v="103.51"/>
    <x v="1"/>
    <n v="2503.6022787783854"/>
    <n v="113.86"/>
    <n v="113.87"/>
    <n v="113.86"/>
    <s v="February 2022"/>
  </r>
  <r>
    <d v="2022-02-28T00:00:00"/>
    <x v="367"/>
    <n v="1"/>
    <x v="0"/>
    <x v="2"/>
    <x v="0"/>
    <x v="4"/>
    <n v="1060.9000000000001"/>
    <x v="2"/>
    <n v="2503.6022787783854"/>
    <n v="1166.99"/>
    <n v="1166.99"/>
    <n v="1166.99"/>
    <s v="February 2022"/>
  </r>
  <r>
    <d v="2022-02-28T00:00:00"/>
    <x v="368"/>
    <n v="59"/>
    <x v="2"/>
    <x v="3"/>
    <x v="1"/>
    <x v="0"/>
    <n v="2866.44"/>
    <x v="1"/>
    <n v="2509.1716796874912"/>
    <n v="3153.08"/>
    <n v="3153.09"/>
    <n v="3153.08"/>
    <s v="February 2022"/>
  </r>
  <r>
    <d v="2022-02-28T00:00:00"/>
    <x v="369"/>
    <n v="70"/>
    <x v="0"/>
    <x v="0"/>
    <x v="1"/>
    <x v="2"/>
    <n v="2888.05"/>
    <x v="0"/>
    <n v="2509.1716796874912"/>
    <n v="3176.85"/>
    <n v="3176.86"/>
    <n v="3176.86"/>
    <s v="February 2022"/>
  </r>
  <r>
    <d v="2022-03-01T00:00:00"/>
    <x v="370"/>
    <n v="55"/>
    <x v="1"/>
    <x v="7"/>
    <x v="2"/>
    <x v="2"/>
    <n v="718.99"/>
    <x v="1"/>
    <n v="2440.2966694490838"/>
    <n v="790.88"/>
    <n v="790.89"/>
    <n v="790.89"/>
    <s v="March 2022"/>
  </r>
  <r>
    <d v="2022-03-01T00:00:00"/>
    <x v="371"/>
    <n v="0"/>
    <x v="0"/>
    <x v="0"/>
    <x v="0"/>
    <x v="4"/>
    <n v="325.2"/>
    <x v="2"/>
    <n v="2503.6022787783854"/>
    <n v="357.72"/>
    <n v="357.72"/>
    <n v="357.72"/>
    <s v="March 2022"/>
  </r>
  <r>
    <d v="2022-03-01T00:00:00"/>
    <x v="372"/>
    <n v="28"/>
    <x v="0"/>
    <x v="7"/>
    <x v="3"/>
    <x v="0"/>
    <n v="3438.05"/>
    <x v="1"/>
    <n v="2496.7676064256989"/>
    <n v="3781.85"/>
    <n v="3781.86"/>
    <n v="3781.86"/>
    <s v="March 2022"/>
  </r>
  <r>
    <d v="2022-03-01T00:00:00"/>
    <x v="373"/>
    <n v="6"/>
    <x v="1"/>
    <x v="2"/>
    <x v="0"/>
    <x v="2"/>
    <n v="4759.76"/>
    <x v="2"/>
    <n v="2503.6022787783854"/>
    <n v="5235.7299999999996"/>
    <n v="5235.74"/>
    <n v="5235.74"/>
    <s v="March 2022"/>
  </r>
  <r>
    <d v="2022-03-01T00:00:00"/>
    <x v="374"/>
    <n v="73"/>
    <x v="1"/>
    <x v="2"/>
    <x v="2"/>
    <x v="2"/>
    <n v="164.08"/>
    <x v="0"/>
    <n v="2440.2966694490838"/>
    <n v="180.48"/>
    <n v="180.48999999999998"/>
    <n v="180.49"/>
    <s v="March 2022"/>
  </r>
  <r>
    <d v="2022-03-01T00:00:00"/>
    <x v="375"/>
    <n v="46"/>
    <x v="1"/>
    <x v="4"/>
    <x v="1"/>
    <x v="3"/>
    <n v="4727.32"/>
    <x v="1"/>
    <n v="2509.1716796874912"/>
    <n v="5200.05"/>
    <n v="5200.0600000000004"/>
    <n v="5200.05"/>
    <s v="March 2022"/>
  </r>
  <r>
    <d v="2022-03-02T00:00:00"/>
    <x v="376"/>
    <n v="75"/>
    <x v="1"/>
    <x v="7"/>
    <x v="2"/>
    <x v="2"/>
    <n v="4398.3900000000003"/>
    <x v="0"/>
    <n v="2440.2966694490838"/>
    <n v="4838.22"/>
    <n v="4838.2300000000005"/>
    <n v="4838.2299999999996"/>
    <s v="March 2022"/>
  </r>
  <r>
    <d v="2022-03-03T00:00:00"/>
    <x v="377"/>
    <n v="35"/>
    <x v="2"/>
    <x v="7"/>
    <x v="2"/>
    <x v="0"/>
    <n v="3490.35"/>
    <x v="1"/>
    <n v="2440.2966694490838"/>
    <n v="3839.38"/>
    <n v="3839.3900000000003"/>
    <n v="3839.39"/>
    <s v="March 2022"/>
  </r>
  <r>
    <d v="2022-03-03T00:00:00"/>
    <x v="378"/>
    <n v="55"/>
    <x v="0"/>
    <x v="7"/>
    <x v="1"/>
    <x v="3"/>
    <n v="644.97"/>
    <x v="1"/>
    <n v="2509.1716796874912"/>
    <n v="709.46"/>
    <n v="709.47"/>
    <n v="709.47"/>
    <s v="March 2022"/>
  </r>
  <r>
    <d v="2022-03-03T00:00:00"/>
    <x v="379"/>
    <n v="45"/>
    <x v="1"/>
    <x v="4"/>
    <x v="2"/>
    <x v="3"/>
    <n v="2754.93"/>
    <x v="1"/>
    <n v="2440.2966694490838"/>
    <n v="3030.42"/>
    <n v="3030.4300000000003"/>
    <n v="3030.42"/>
    <s v="March 2022"/>
  </r>
  <r>
    <d v="2022-03-03T00:00:00"/>
    <x v="380"/>
    <n v="11"/>
    <x v="1"/>
    <x v="4"/>
    <x v="2"/>
    <x v="3"/>
    <n v="3484.22"/>
    <x v="2"/>
    <n v="2440.2966694490838"/>
    <n v="3832.64"/>
    <n v="3832.65"/>
    <n v="3832.64"/>
    <s v="March 2022"/>
  </r>
  <r>
    <d v="2022-03-03T00:00:00"/>
    <x v="381"/>
    <n v="43"/>
    <x v="2"/>
    <x v="4"/>
    <x v="0"/>
    <x v="0"/>
    <n v="2210.5100000000002"/>
    <x v="1"/>
    <n v="2503.6022787783854"/>
    <n v="2431.56"/>
    <n v="2431.5700000000002"/>
    <n v="2431.56"/>
    <s v="March 2022"/>
  </r>
  <r>
    <d v="2022-03-04T00:00:00"/>
    <x v="382"/>
    <n v="89"/>
    <x v="2"/>
    <x v="4"/>
    <x v="2"/>
    <x v="1"/>
    <n v="4010.29"/>
    <x v="0"/>
    <n v="2440.2966694490838"/>
    <n v="4411.3100000000004"/>
    <n v="4411.3200000000006"/>
    <n v="4411.32"/>
    <s v="March 2022"/>
  </r>
  <r>
    <d v="2022-03-04T00:00:00"/>
    <x v="383"/>
    <n v="71"/>
    <x v="0"/>
    <x v="5"/>
    <x v="3"/>
    <x v="3"/>
    <n v="683.61"/>
    <x v="0"/>
    <n v="2496.7676064256989"/>
    <n v="751.97"/>
    <n v="751.98"/>
    <n v="751.97"/>
    <s v="March 2022"/>
  </r>
  <r>
    <d v="2022-03-04T00:00:00"/>
    <x v="384"/>
    <n v="6"/>
    <x v="2"/>
    <x v="6"/>
    <x v="3"/>
    <x v="0"/>
    <n v="4164.17"/>
    <x v="2"/>
    <n v="2496.7676064256989"/>
    <n v="4580.58"/>
    <n v="4580.59"/>
    <n v="4580.59"/>
    <s v="March 2022"/>
  </r>
  <r>
    <d v="2022-03-04T00:00:00"/>
    <x v="385"/>
    <n v="61"/>
    <x v="2"/>
    <x v="6"/>
    <x v="2"/>
    <x v="2"/>
    <n v="1329.66"/>
    <x v="1"/>
    <n v="2440.2966694490838"/>
    <n v="1462.62"/>
    <n v="1462.6299999999999"/>
    <n v="1462.63"/>
    <s v="March 2022"/>
  </r>
  <r>
    <d v="2022-03-04T00:00:00"/>
    <x v="386"/>
    <n v="82"/>
    <x v="2"/>
    <x v="7"/>
    <x v="2"/>
    <x v="2"/>
    <n v="832.62"/>
    <x v="0"/>
    <n v="2440.2966694490838"/>
    <n v="915.88"/>
    <n v="915.89"/>
    <n v="915.88"/>
    <s v="March 2022"/>
  </r>
  <r>
    <d v="2022-03-04T00:00:00"/>
    <x v="387"/>
    <n v="63"/>
    <x v="1"/>
    <x v="2"/>
    <x v="3"/>
    <x v="2"/>
    <n v="2503.4"/>
    <x v="1"/>
    <n v="2496.7676064256989"/>
    <n v="2753.74"/>
    <n v="2753.74"/>
    <n v="2753.74"/>
    <s v="March 2022"/>
  </r>
  <r>
    <d v="2022-03-04T00:00:00"/>
    <x v="388"/>
    <n v="61"/>
    <x v="1"/>
    <x v="4"/>
    <x v="1"/>
    <x v="3"/>
    <n v="554.52"/>
    <x v="1"/>
    <n v="2509.1716796874912"/>
    <n v="609.97"/>
    <n v="609.98"/>
    <n v="609.97"/>
    <s v="March 2022"/>
  </r>
  <r>
    <d v="2022-03-04T00:00:00"/>
    <x v="389"/>
    <n v="80"/>
    <x v="2"/>
    <x v="2"/>
    <x v="3"/>
    <x v="1"/>
    <n v="4279.93"/>
    <x v="0"/>
    <n v="2496.7676064256989"/>
    <n v="4707.92"/>
    <n v="4707.93"/>
    <n v="4707.92"/>
    <s v="March 2022"/>
  </r>
  <r>
    <d v="2022-03-05T00:00:00"/>
    <x v="390"/>
    <n v="90"/>
    <x v="1"/>
    <x v="4"/>
    <x v="2"/>
    <x v="2"/>
    <n v="1645.61"/>
    <x v="0"/>
    <n v="2440.2966694490838"/>
    <n v="1810.17"/>
    <n v="1810.18"/>
    <n v="1810.17"/>
    <s v="March 2022"/>
  </r>
  <r>
    <d v="2022-03-05T00:00:00"/>
    <x v="391"/>
    <n v="70"/>
    <x v="0"/>
    <x v="1"/>
    <x v="0"/>
    <x v="2"/>
    <n v="4113.71"/>
    <x v="0"/>
    <n v="2503.6022787783854"/>
    <n v="4525.08"/>
    <n v="4525.09"/>
    <n v="4525.08"/>
    <s v="March 2022"/>
  </r>
  <r>
    <d v="2022-03-05T00:00:00"/>
    <x v="392"/>
    <n v="8"/>
    <x v="0"/>
    <x v="7"/>
    <x v="3"/>
    <x v="4"/>
    <n v="3799.58"/>
    <x v="2"/>
    <n v="2496.7676064256989"/>
    <n v="4179.53"/>
    <n v="4179.54"/>
    <n v="4179.54"/>
    <s v="March 2022"/>
  </r>
  <r>
    <d v="2022-03-05T00:00:00"/>
    <x v="393"/>
    <n v="75"/>
    <x v="0"/>
    <x v="5"/>
    <x v="0"/>
    <x v="1"/>
    <n v="1616.89"/>
    <x v="0"/>
    <n v="2503.6022787783854"/>
    <n v="1778.57"/>
    <n v="1778.58"/>
    <n v="1778.58"/>
    <s v="March 2022"/>
  </r>
  <r>
    <d v="2022-03-05T00:00:00"/>
    <x v="394"/>
    <n v="57"/>
    <x v="2"/>
    <x v="3"/>
    <x v="0"/>
    <x v="3"/>
    <n v="4072.89"/>
    <x v="1"/>
    <n v="2503.6022787783854"/>
    <n v="4480.17"/>
    <n v="4480.18"/>
    <n v="4480.18"/>
    <s v="March 2022"/>
  </r>
  <r>
    <d v="2022-03-05T00:00:00"/>
    <x v="395"/>
    <n v="13"/>
    <x v="0"/>
    <x v="6"/>
    <x v="0"/>
    <x v="1"/>
    <n v="3074.33"/>
    <x v="2"/>
    <n v="2503.6022787783854"/>
    <n v="3381.76"/>
    <n v="3381.7700000000004"/>
    <n v="3381.76"/>
    <s v="March 2022"/>
  </r>
  <r>
    <d v="2022-03-06T00:00:00"/>
    <x v="396"/>
    <n v="41"/>
    <x v="2"/>
    <x v="2"/>
    <x v="3"/>
    <x v="0"/>
    <n v="3410.87"/>
    <x v="1"/>
    <n v="2496.7676064256989"/>
    <n v="3751.95"/>
    <n v="3751.96"/>
    <n v="3751.96"/>
    <s v="March 2022"/>
  </r>
  <r>
    <d v="2022-03-06T00:00:00"/>
    <x v="397"/>
    <n v="40"/>
    <x v="1"/>
    <x v="0"/>
    <x v="1"/>
    <x v="3"/>
    <n v="3661.59"/>
    <x v="1"/>
    <n v="2509.1716796874912"/>
    <n v="4027.74"/>
    <n v="4027.75"/>
    <n v="4027.75"/>
    <s v="March 2022"/>
  </r>
  <r>
    <d v="2022-03-06T00:00:00"/>
    <x v="398"/>
    <n v="73"/>
    <x v="1"/>
    <x v="3"/>
    <x v="1"/>
    <x v="4"/>
    <n v="1905.88"/>
    <x v="0"/>
    <n v="2509.1716796874912"/>
    <n v="2096.46"/>
    <n v="2096.4700000000003"/>
    <n v="2096.4699999999998"/>
    <s v="March 2022"/>
  </r>
  <r>
    <d v="2022-03-06T00:00:00"/>
    <x v="399"/>
    <n v="89"/>
    <x v="2"/>
    <x v="0"/>
    <x v="2"/>
    <x v="1"/>
    <n v="1561.5"/>
    <x v="0"/>
    <n v="2440.2966694490838"/>
    <n v="1717.65"/>
    <n v="1717.65"/>
    <n v="1717.65"/>
    <s v="March 2022"/>
  </r>
  <r>
    <d v="2022-03-06T00:00:00"/>
    <x v="400"/>
    <n v="75"/>
    <x v="1"/>
    <x v="5"/>
    <x v="2"/>
    <x v="1"/>
    <n v="1922.07"/>
    <x v="0"/>
    <n v="2440.2966694490838"/>
    <n v="2114.27"/>
    <n v="2114.2800000000002"/>
    <n v="2114.2800000000002"/>
    <s v="March 2022"/>
  </r>
  <r>
    <d v="2022-03-06T00:00:00"/>
    <x v="401"/>
    <n v="64"/>
    <x v="1"/>
    <x v="3"/>
    <x v="0"/>
    <x v="2"/>
    <n v="4490.3900000000003"/>
    <x v="1"/>
    <n v="2503.6022787783854"/>
    <n v="4939.42"/>
    <n v="4939.43"/>
    <n v="4939.43"/>
    <s v="March 2022"/>
  </r>
  <r>
    <d v="2022-03-06T00:00:00"/>
    <x v="402"/>
    <n v="75"/>
    <x v="0"/>
    <x v="3"/>
    <x v="2"/>
    <x v="2"/>
    <n v="1321.76"/>
    <x v="0"/>
    <n v="2440.2966694490838"/>
    <n v="1453.93"/>
    <n v="1453.94"/>
    <n v="1453.94"/>
    <s v="March 2022"/>
  </r>
  <r>
    <d v="2022-03-06T00:00:00"/>
    <x v="403"/>
    <n v="77"/>
    <x v="0"/>
    <x v="1"/>
    <x v="0"/>
    <x v="0"/>
    <n v="4673.33"/>
    <x v="0"/>
    <n v="2503.6022787783854"/>
    <n v="5140.66"/>
    <n v="5140.67"/>
    <n v="5140.66"/>
    <s v="March 2022"/>
  </r>
  <r>
    <d v="2022-03-06T00:00:00"/>
    <x v="404"/>
    <n v="17"/>
    <x v="1"/>
    <x v="2"/>
    <x v="1"/>
    <x v="1"/>
    <n v="4767.28"/>
    <x v="1"/>
    <n v="2509.1716796874912"/>
    <n v="5244"/>
    <n v="5244.01"/>
    <n v="5244.01"/>
    <s v="March 2022"/>
  </r>
  <r>
    <d v="2022-03-06T00:00:00"/>
    <x v="405"/>
    <n v="66"/>
    <x v="2"/>
    <x v="4"/>
    <x v="2"/>
    <x v="2"/>
    <n v="572.75"/>
    <x v="0"/>
    <n v="2440.2966694490838"/>
    <n v="630.02"/>
    <n v="630.03"/>
    <n v="630.03"/>
    <s v="March 2022"/>
  </r>
  <r>
    <d v="2022-03-06T00:00:00"/>
    <x v="406"/>
    <n v="72"/>
    <x v="2"/>
    <x v="7"/>
    <x v="2"/>
    <x v="2"/>
    <n v="1278.22"/>
    <x v="0"/>
    <n v="2440.2966694490838"/>
    <n v="1406.04"/>
    <n v="1406.05"/>
    <n v="1406.04"/>
    <s v="March 2022"/>
  </r>
  <r>
    <d v="2022-03-06T00:00:00"/>
    <x v="407"/>
    <n v="7"/>
    <x v="1"/>
    <x v="1"/>
    <x v="2"/>
    <x v="4"/>
    <n v="3889.16"/>
    <x v="2"/>
    <n v="2440.2966694490838"/>
    <n v="4278.07"/>
    <n v="4278.08"/>
    <n v="4278.08"/>
    <s v="March 2022"/>
  </r>
  <r>
    <d v="2022-03-07T00:00:00"/>
    <x v="408"/>
    <n v="14"/>
    <x v="2"/>
    <x v="0"/>
    <x v="3"/>
    <x v="4"/>
    <n v="606.1"/>
    <x v="2"/>
    <n v="2496.7676064256989"/>
    <n v="666.71"/>
    <n v="666.71"/>
    <n v="666.71"/>
    <s v="March 2022"/>
  </r>
  <r>
    <d v="2022-03-07T00:00:00"/>
    <x v="409"/>
    <n v="53"/>
    <x v="1"/>
    <x v="4"/>
    <x v="1"/>
    <x v="4"/>
    <n v="126.72"/>
    <x v="1"/>
    <n v="2509.1716796874912"/>
    <n v="139.38999999999999"/>
    <n v="139.39999999999998"/>
    <n v="139.38999999999999"/>
    <s v="March 2022"/>
  </r>
  <r>
    <d v="2022-03-07T00:00:00"/>
    <x v="410"/>
    <n v="96"/>
    <x v="1"/>
    <x v="2"/>
    <x v="3"/>
    <x v="1"/>
    <n v="3094.54"/>
    <x v="0"/>
    <n v="2496.7676064256989"/>
    <n v="3403.99"/>
    <n v="3404"/>
    <n v="3403.99"/>
    <s v="March 2022"/>
  </r>
  <r>
    <d v="2022-03-07T00:00:00"/>
    <x v="411"/>
    <n v="43"/>
    <x v="1"/>
    <x v="5"/>
    <x v="1"/>
    <x v="1"/>
    <n v="768.73"/>
    <x v="1"/>
    <n v="2509.1716796874912"/>
    <n v="845.6"/>
    <n v="845.61"/>
    <n v="845.6"/>
    <s v="March 2022"/>
  </r>
  <r>
    <d v="2022-03-07T00:00:00"/>
    <x v="412"/>
    <n v="19"/>
    <x v="0"/>
    <x v="1"/>
    <x v="2"/>
    <x v="2"/>
    <n v="4594.43"/>
    <x v="1"/>
    <n v="2440.2966694490838"/>
    <n v="5053.87"/>
    <n v="5053.88"/>
    <n v="5053.87"/>
    <s v="March 2022"/>
  </r>
  <r>
    <d v="2022-03-07T00:00:00"/>
    <x v="413"/>
    <n v="87"/>
    <x v="1"/>
    <x v="4"/>
    <x v="2"/>
    <x v="3"/>
    <n v="4819.6899999999996"/>
    <x v="0"/>
    <n v="2440.2966694490838"/>
    <n v="5301.65"/>
    <n v="5301.66"/>
    <n v="5301.66"/>
    <s v="March 2022"/>
  </r>
  <r>
    <d v="2022-03-07T00:00:00"/>
    <x v="414"/>
    <n v="29"/>
    <x v="0"/>
    <x v="5"/>
    <x v="3"/>
    <x v="4"/>
    <n v="648.45000000000005"/>
    <x v="1"/>
    <n v="2496.7676064256989"/>
    <n v="713.29"/>
    <n v="713.3"/>
    <n v="713.3"/>
    <s v="March 2022"/>
  </r>
  <r>
    <d v="2022-03-07T00:00:00"/>
    <x v="415"/>
    <n v="0"/>
    <x v="1"/>
    <x v="7"/>
    <x v="2"/>
    <x v="3"/>
    <n v="2250.6"/>
    <x v="2"/>
    <n v="2440.2966694490838"/>
    <n v="2475.66"/>
    <n v="2475.66"/>
    <n v="2475.66"/>
    <s v="March 2022"/>
  </r>
  <r>
    <d v="2022-03-07T00:00:00"/>
    <x v="416"/>
    <n v="6"/>
    <x v="2"/>
    <x v="3"/>
    <x v="0"/>
    <x v="3"/>
    <n v="1518.75"/>
    <x v="2"/>
    <n v="2503.6022787783854"/>
    <n v="1670.62"/>
    <n v="1670.6299999999999"/>
    <n v="1670.63"/>
    <s v="March 2022"/>
  </r>
  <r>
    <d v="2022-03-08T00:00:00"/>
    <x v="417"/>
    <n v="78"/>
    <x v="1"/>
    <x v="5"/>
    <x v="0"/>
    <x v="4"/>
    <n v="3843.16"/>
    <x v="0"/>
    <n v="2503.6022787783854"/>
    <n v="4227.47"/>
    <n v="4227.4800000000005"/>
    <n v="4227.4799999999996"/>
    <s v="March 2022"/>
  </r>
  <r>
    <d v="2022-03-08T00:00:00"/>
    <x v="418"/>
    <n v="53"/>
    <x v="0"/>
    <x v="0"/>
    <x v="1"/>
    <x v="4"/>
    <n v="561.6"/>
    <x v="1"/>
    <n v="2509.1716796874912"/>
    <n v="617.76"/>
    <n v="617.76"/>
    <n v="617.76"/>
    <s v="March 2022"/>
  </r>
  <r>
    <d v="2022-03-08T00:00:00"/>
    <x v="419"/>
    <n v="16"/>
    <x v="1"/>
    <x v="4"/>
    <x v="1"/>
    <x v="0"/>
    <n v="1784.11"/>
    <x v="1"/>
    <n v="2509.1716796874912"/>
    <n v="1962.52"/>
    <n v="1962.53"/>
    <n v="1962.52"/>
    <s v="March 2022"/>
  </r>
  <r>
    <d v="2022-03-08T00:00:00"/>
    <x v="420"/>
    <n v="42"/>
    <x v="0"/>
    <x v="7"/>
    <x v="0"/>
    <x v="1"/>
    <n v="4885.25"/>
    <x v="1"/>
    <n v="2503.6022787783854"/>
    <n v="5373.77"/>
    <n v="5373.7800000000007"/>
    <n v="5373.78"/>
    <s v="March 2022"/>
  </r>
  <r>
    <d v="2022-03-08T00:00:00"/>
    <x v="421"/>
    <n v="12"/>
    <x v="1"/>
    <x v="0"/>
    <x v="1"/>
    <x v="3"/>
    <n v="206.39"/>
    <x v="2"/>
    <n v="2509.1716796874912"/>
    <n v="227.02"/>
    <n v="227.03"/>
    <n v="227.03"/>
    <s v="March 2022"/>
  </r>
  <r>
    <d v="2022-03-08T00:00:00"/>
    <x v="422"/>
    <n v="11"/>
    <x v="0"/>
    <x v="2"/>
    <x v="2"/>
    <x v="3"/>
    <n v="3166.68"/>
    <x v="2"/>
    <n v="2440.2966694490838"/>
    <n v="3483.34"/>
    <n v="3483.3500000000004"/>
    <n v="3483.35"/>
    <s v="March 2022"/>
  </r>
  <r>
    <d v="2022-03-08T00:00:00"/>
    <x v="423"/>
    <n v="26"/>
    <x v="2"/>
    <x v="0"/>
    <x v="3"/>
    <x v="4"/>
    <n v="3729.92"/>
    <x v="1"/>
    <n v="2496.7676064256989"/>
    <n v="4102.91"/>
    <n v="4102.92"/>
    <n v="4102.91"/>
    <s v="March 2022"/>
  </r>
  <r>
    <d v="2022-03-08T00:00:00"/>
    <x v="424"/>
    <n v="25"/>
    <x v="2"/>
    <x v="6"/>
    <x v="2"/>
    <x v="2"/>
    <n v="2106.2399999999998"/>
    <x v="1"/>
    <n v="2440.2966694490838"/>
    <n v="2316.86"/>
    <n v="2316.8700000000003"/>
    <n v="2316.86"/>
    <s v="March 2022"/>
  </r>
  <r>
    <d v="2022-03-09T00:00:00"/>
    <x v="425"/>
    <n v="96"/>
    <x v="1"/>
    <x v="3"/>
    <x v="0"/>
    <x v="4"/>
    <n v="835.47"/>
    <x v="0"/>
    <n v="2503.6022787783854"/>
    <n v="919.01"/>
    <n v="919.02"/>
    <n v="919.02"/>
    <s v="March 2022"/>
  </r>
  <r>
    <d v="2022-03-09T00:00:00"/>
    <x v="426"/>
    <n v="82"/>
    <x v="2"/>
    <x v="3"/>
    <x v="3"/>
    <x v="1"/>
    <n v="4677.55"/>
    <x v="0"/>
    <n v="2496.7676064256989"/>
    <n v="5145.3"/>
    <n v="5145.3100000000004"/>
    <n v="5145.3100000000004"/>
    <s v="March 2022"/>
  </r>
  <r>
    <d v="2022-03-09T00:00:00"/>
    <x v="427"/>
    <n v="88"/>
    <x v="0"/>
    <x v="4"/>
    <x v="3"/>
    <x v="3"/>
    <n v="1856.35"/>
    <x v="0"/>
    <n v="2496.7676064256989"/>
    <n v="2041.98"/>
    <n v="2041.99"/>
    <n v="2041.99"/>
    <s v="March 2022"/>
  </r>
  <r>
    <d v="2022-03-09T00:00:00"/>
    <x v="428"/>
    <n v="50"/>
    <x v="0"/>
    <x v="1"/>
    <x v="2"/>
    <x v="0"/>
    <n v="1986.75"/>
    <x v="1"/>
    <n v="2440.2966694490838"/>
    <n v="2185.42"/>
    <n v="2185.4300000000003"/>
    <n v="2185.4299999999998"/>
    <s v="March 2022"/>
  </r>
  <r>
    <d v="2022-03-09T00:00:00"/>
    <x v="429"/>
    <n v="2"/>
    <x v="2"/>
    <x v="3"/>
    <x v="1"/>
    <x v="1"/>
    <n v="1552.21"/>
    <x v="2"/>
    <n v="2509.1716796874912"/>
    <n v="1707.43"/>
    <n v="1707.44"/>
    <n v="1707.43"/>
    <s v="March 2022"/>
  </r>
  <r>
    <d v="2022-03-09T00:00:00"/>
    <x v="430"/>
    <n v="52"/>
    <x v="2"/>
    <x v="5"/>
    <x v="0"/>
    <x v="1"/>
    <n v="4939.47"/>
    <x v="1"/>
    <n v="2503.6022787783854"/>
    <n v="5433.41"/>
    <n v="5433.42"/>
    <n v="5433.42"/>
    <s v="March 2022"/>
  </r>
  <r>
    <d v="2022-03-09T00:00:00"/>
    <x v="431"/>
    <n v="72"/>
    <x v="1"/>
    <x v="4"/>
    <x v="3"/>
    <x v="2"/>
    <n v="2608.0100000000002"/>
    <x v="0"/>
    <n v="2496.7676064256989"/>
    <n v="2868.81"/>
    <n v="2868.82"/>
    <n v="2868.81"/>
    <s v="March 2022"/>
  </r>
  <r>
    <d v="2022-03-10T00:00:00"/>
    <x v="432"/>
    <n v="82"/>
    <x v="2"/>
    <x v="1"/>
    <x v="3"/>
    <x v="0"/>
    <n v="4572.24"/>
    <x v="0"/>
    <n v="2496.7676064256989"/>
    <n v="5029.46"/>
    <n v="5029.47"/>
    <n v="5029.46"/>
    <s v="March 2022"/>
  </r>
  <r>
    <d v="2022-03-10T00:00:00"/>
    <x v="433"/>
    <n v="15"/>
    <x v="2"/>
    <x v="1"/>
    <x v="0"/>
    <x v="0"/>
    <n v="2251.09"/>
    <x v="2"/>
    <n v="2503.6022787783854"/>
    <n v="2476.19"/>
    <n v="2476.2000000000003"/>
    <n v="2476.1999999999998"/>
    <s v="March 2022"/>
  </r>
  <r>
    <d v="2022-03-10T00:00:00"/>
    <x v="434"/>
    <n v="94"/>
    <x v="1"/>
    <x v="4"/>
    <x v="0"/>
    <x v="0"/>
    <n v="3636.44"/>
    <x v="0"/>
    <n v="2503.6022787783854"/>
    <n v="4000.08"/>
    <n v="4000.09"/>
    <n v="4000.08"/>
    <s v="March 2022"/>
  </r>
  <r>
    <d v="2022-03-10T00:00:00"/>
    <x v="435"/>
    <n v="80"/>
    <x v="1"/>
    <x v="2"/>
    <x v="2"/>
    <x v="0"/>
    <n v="2438.3200000000002"/>
    <x v="0"/>
    <n v="2440.2966694490838"/>
    <n v="2682.15"/>
    <n v="2682.1600000000003"/>
    <n v="2682.15"/>
    <s v="March 2022"/>
  </r>
  <r>
    <d v="2022-03-10T00:00:00"/>
    <x v="436"/>
    <n v="41"/>
    <x v="2"/>
    <x v="6"/>
    <x v="2"/>
    <x v="0"/>
    <n v="1320.78"/>
    <x v="1"/>
    <n v="2440.2966694490838"/>
    <n v="1452.85"/>
    <n v="1452.86"/>
    <n v="1452.86"/>
    <s v="March 2022"/>
  </r>
  <r>
    <d v="2022-03-10T00:00:00"/>
    <x v="437"/>
    <n v="61"/>
    <x v="2"/>
    <x v="1"/>
    <x v="1"/>
    <x v="4"/>
    <n v="3232.17"/>
    <x v="1"/>
    <n v="2509.1716796874912"/>
    <n v="3555.38"/>
    <n v="3555.3900000000003"/>
    <n v="3555.39"/>
    <s v="March 2022"/>
  </r>
  <r>
    <d v="2022-03-10T00:00:00"/>
    <x v="438"/>
    <n v="65"/>
    <x v="0"/>
    <x v="5"/>
    <x v="0"/>
    <x v="2"/>
    <n v="1936.39"/>
    <x v="0"/>
    <n v="2503.6022787783854"/>
    <n v="2130.02"/>
    <n v="2130.0300000000002"/>
    <n v="2130.0300000000002"/>
    <s v="March 2022"/>
  </r>
  <r>
    <d v="2022-03-10T00:00:00"/>
    <x v="439"/>
    <n v="38"/>
    <x v="2"/>
    <x v="0"/>
    <x v="0"/>
    <x v="3"/>
    <n v="2611.84"/>
    <x v="1"/>
    <n v="2503.6022787783854"/>
    <n v="2873.02"/>
    <n v="2873.03"/>
    <n v="2873.02"/>
    <s v="March 2022"/>
  </r>
  <r>
    <d v="2022-03-11T00:00:00"/>
    <x v="440"/>
    <n v="2"/>
    <x v="0"/>
    <x v="0"/>
    <x v="2"/>
    <x v="4"/>
    <n v="4762.53"/>
    <x v="2"/>
    <n v="2440.2966694490838"/>
    <n v="5238.78"/>
    <n v="5238.79"/>
    <n v="5238.78"/>
    <s v="March 2022"/>
  </r>
  <r>
    <d v="2022-03-11T00:00:00"/>
    <x v="441"/>
    <n v="3"/>
    <x v="0"/>
    <x v="7"/>
    <x v="3"/>
    <x v="3"/>
    <n v="2918.5"/>
    <x v="2"/>
    <n v="2496.7676064256989"/>
    <n v="3210.35"/>
    <n v="3210.35"/>
    <n v="3210.35"/>
    <s v="March 2022"/>
  </r>
  <r>
    <d v="2022-03-11T00:00:00"/>
    <x v="442"/>
    <n v="34"/>
    <x v="2"/>
    <x v="7"/>
    <x v="2"/>
    <x v="1"/>
    <n v="3264.5"/>
    <x v="1"/>
    <n v="2440.2966694490838"/>
    <n v="3590.95"/>
    <n v="3590.95"/>
    <n v="3590.95"/>
    <s v="March 2022"/>
  </r>
  <r>
    <d v="2022-03-11T00:00:00"/>
    <x v="443"/>
    <n v="71"/>
    <x v="2"/>
    <x v="5"/>
    <x v="3"/>
    <x v="0"/>
    <n v="2539.61"/>
    <x v="0"/>
    <n v="2496.7676064256989"/>
    <n v="2793.57"/>
    <n v="2793.5800000000004"/>
    <n v="2793.57"/>
    <s v="March 2022"/>
  </r>
  <r>
    <d v="2022-03-11T00:00:00"/>
    <x v="444"/>
    <n v="51"/>
    <x v="0"/>
    <x v="4"/>
    <x v="1"/>
    <x v="0"/>
    <n v="343.76"/>
    <x v="1"/>
    <n v="2509.1716796874912"/>
    <n v="378.13"/>
    <n v="378.14"/>
    <n v="378.14"/>
    <s v="March 2022"/>
  </r>
  <r>
    <d v="2022-03-12T00:00:00"/>
    <x v="445"/>
    <n v="35"/>
    <x v="2"/>
    <x v="2"/>
    <x v="0"/>
    <x v="4"/>
    <n v="4762.8"/>
    <x v="1"/>
    <n v="2503.6022787783854"/>
    <n v="5239.08"/>
    <n v="5239.08"/>
    <n v="5239.08"/>
    <s v="March 2022"/>
  </r>
  <r>
    <d v="2022-03-12T00:00:00"/>
    <x v="446"/>
    <n v="36"/>
    <x v="2"/>
    <x v="7"/>
    <x v="3"/>
    <x v="5"/>
    <n v="2164.91"/>
    <x v="1"/>
    <n v="2496.7676064256989"/>
    <n v="2381.4"/>
    <n v="2381.4100000000003"/>
    <n v="2381.4"/>
    <s v="March 2022"/>
  </r>
  <r>
    <d v="2022-03-12T00:00:00"/>
    <x v="447"/>
    <n v="26"/>
    <x v="0"/>
    <x v="7"/>
    <x v="1"/>
    <x v="1"/>
    <n v="4188.43"/>
    <x v="1"/>
    <n v="2509.1716796874912"/>
    <n v="4607.2700000000004"/>
    <n v="4607.2800000000007"/>
    <n v="4607.2700000000004"/>
    <s v="March 2022"/>
  </r>
  <r>
    <d v="2022-03-12T00:00:00"/>
    <x v="448"/>
    <n v="77"/>
    <x v="0"/>
    <x v="0"/>
    <x v="0"/>
    <x v="1"/>
    <n v="4947.6400000000003"/>
    <x v="0"/>
    <n v="2503.6022787783854"/>
    <n v="5442.4"/>
    <n v="5442.41"/>
    <n v="5442.4"/>
    <s v="March 2022"/>
  </r>
  <r>
    <d v="2022-03-12T00:00:00"/>
    <x v="449"/>
    <n v="35"/>
    <x v="2"/>
    <x v="6"/>
    <x v="3"/>
    <x v="2"/>
    <n v="1819.47"/>
    <x v="1"/>
    <n v="2496.7676064256989"/>
    <n v="2001.41"/>
    <n v="2001.42"/>
    <n v="2001.42"/>
    <s v="March 2022"/>
  </r>
  <r>
    <d v="2022-03-12T00:00:00"/>
    <x v="450"/>
    <n v="26"/>
    <x v="2"/>
    <x v="3"/>
    <x v="3"/>
    <x v="1"/>
    <n v="1807.56"/>
    <x v="1"/>
    <n v="2496.7676064256989"/>
    <n v="1988.31"/>
    <n v="1988.32"/>
    <n v="1988.32"/>
    <s v="March 2022"/>
  </r>
  <r>
    <d v="2022-03-12T00:00:00"/>
    <x v="451"/>
    <n v="26"/>
    <x v="1"/>
    <x v="7"/>
    <x v="2"/>
    <x v="3"/>
    <n v="2427.61"/>
    <x v="1"/>
    <n v="2440.2966694490838"/>
    <n v="2670.37"/>
    <n v="2670.38"/>
    <n v="2670.37"/>
    <s v="March 2022"/>
  </r>
  <r>
    <d v="2022-03-13T00:00:00"/>
    <x v="452"/>
    <n v="92"/>
    <x v="1"/>
    <x v="2"/>
    <x v="2"/>
    <x v="1"/>
    <n v="1286.1400000000001"/>
    <x v="0"/>
    <n v="2440.2966694490838"/>
    <n v="1414.75"/>
    <n v="1414.76"/>
    <n v="1414.75"/>
    <s v="March 2022"/>
  </r>
  <r>
    <d v="2022-03-13T00:00:00"/>
    <x v="453"/>
    <n v="90"/>
    <x v="1"/>
    <x v="4"/>
    <x v="0"/>
    <x v="2"/>
    <n v="2149.85"/>
    <x v="0"/>
    <n v="2503.6022787783854"/>
    <n v="2364.83"/>
    <n v="2364.84"/>
    <n v="2364.84"/>
    <s v="March 2022"/>
  </r>
  <r>
    <d v="2022-03-13T00:00:00"/>
    <x v="454"/>
    <n v="22"/>
    <x v="2"/>
    <x v="2"/>
    <x v="0"/>
    <x v="1"/>
    <n v="3625.28"/>
    <x v="1"/>
    <n v="2503.6022787783854"/>
    <n v="3987.8"/>
    <n v="3987.8100000000004"/>
    <n v="3987.81"/>
    <s v="March 2022"/>
  </r>
  <r>
    <d v="2022-03-13T00:00:00"/>
    <x v="455"/>
    <n v="77"/>
    <x v="2"/>
    <x v="2"/>
    <x v="0"/>
    <x v="2"/>
    <n v="2195.02"/>
    <x v="0"/>
    <n v="2503.6022787783854"/>
    <n v="2414.52"/>
    <n v="2414.5300000000002"/>
    <n v="2414.52"/>
    <s v="March 2022"/>
  </r>
  <r>
    <d v="2022-03-13T00:00:00"/>
    <x v="456"/>
    <n v="84"/>
    <x v="0"/>
    <x v="6"/>
    <x v="1"/>
    <x v="0"/>
    <n v="3214.32"/>
    <x v="0"/>
    <n v="2509.1716796874912"/>
    <n v="3535.75"/>
    <n v="3535.76"/>
    <n v="3535.75"/>
    <s v="March 2022"/>
  </r>
  <r>
    <d v="2022-03-13T00:00:00"/>
    <x v="457"/>
    <n v="54"/>
    <x v="2"/>
    <x v="7"/>
    <x v="1"/>
    <x v="4"/>
    <n v="1329.15"/>
    <x v="1"/>
    <n v="2509.1716796874912"/>
    <n v="1462.06"/>
    <n v="1462.07"/>
    <n v="1462.07"/>
    <s v="March 2022"/>
  </r>
  <r>
    <d v="2022-03-13T00:00:00"/>
    <x v="458"/>
    <n v="4"/>
    <x v="1"/>
    <x v="7"/>
    <x v="2"/>
    <x v="2"/>
    <n v="642.32000000000005"/>
    <x v="2"/>
    <n v="2440.2966694490838"/>
    <n v="706.55"/>
    <n v="706.56"/>
    <n v="706.55"/>
    <s v="March 2022"/>
  </r>
  <r>
    <d v="2022-03-13T00:00:00"/>
    <x v="459"/>
    <n v="51"/>
    <x v="2"/>
    <x v="2"/>
    <x v="1"/>
    <x v="4"/>
    <n v="38.04"/>
    <x v="1"/>
    <n v="2509.1716796874912"/>
    <n v="41.84"/>
    <n v="41.85"/>
    <n v="41.84"/>
    <s v="March 2022"/>
  </r>
  <r>
    <d v="2022-03-13T00:00:00"/>
    <x v="460"/>
    <n v="92"/>
    <x v="1"/>
    <x v="7"/>
    <x v="0"/>
    <x v="4"/>
    <n v="2085.39"/>
    <x v="0"/>
    <n v="2503.6022787783854"/>
    <n v="2293.92"/>
    <n v="2293.9300000000003"/>
    <n v="2293.9299999999998"/>
    <s v="March 2022"/>
  </r>
  <r>
    <d v="2022-03-13T00:00:00"/>
    <x v="461"/>
    <n v="51"/>
    <x v="1"/>
    <x v="0"/>
    <x v="3"/>
    <x v="2"/>
    <n v="1189.1300000000001"/>
    <x v="1"/>
    <n v="2496.7676064256989"/>
    <n v="1308.04"/>
    <n v="1308.05"/>
    <n v="1308.04"/>
    <s v="March 2022"/>
  </r>
  <r>
    <d v="2022-03-14T00:00:00"/>
    <x v="462"/>
    <n v="0"/>
    <x v="1"/>
    <x v="5"/>
    <x v="1"/>
    <x v="2"/>
    <n v="2983.36"/>
    <x v="2"/>
    <n v="2509.1716796874912"/>
    <n v="3281.69"/>
    <n v="3281.7000000000003"/>
    <n v="3281.7"/>
    <s v="March 2022"/>
  </r>
  <r>
    <d v="2022-03-14T00:00:00"/>
    <x v="463"/>
    <n v="67"/>
    <x v="2"/>
    <x v="0"/>
    <x v="3"/>
    <x v="1"/>
    <n v="3843.72"/>
    <x v="0"/>
    <n v="2496.7676064256989"/>
    <n v="4228.09"/>
    <n v="4228.1000000000004"/>
    <n v="4228.09"/>
    <s v="March 2022"/>
  </r>
  <r>
    <d v="2022-03-14T00:00:00"/>
    <x v="464"/>
    <n v="83"/>
    <x v="0"/>
    <x v="7"/>
    <x v="0"/>
    <x v="3"/>
    <n v="909.52"/>
    <x v="0"/>
    <n v="2503.6022787783854"/>
    <n v="1000.47"/>
    <n v="1000.48"/>
    <n v="1000.47"/>
    <s v="March 2022"/>
  </r>
  <r>
    <d v="2022-03-14T00:00:00"/>
    <x v="465"/>
    <n v="50"/>
    <x v="0"/>
    <x v="1"/>
    <x v="1"/>
    <x v="3"/>
    <n v="3262.71"/>
    <x v="1"/>
    <n v="2509.1716796874912"/>
    <n v="3588.98"/>
    <n v="3588.9900000000002"/>
    <n v="3588.98"/>
    <s v="March 2022"/>
  </r>
  <r>
    <d v="2022-03-14T00:00:00"/>
    <x v="466"/>
    <n v="62"/>
    <x v="1"/>
    <x v="2"/>
    <x v="3"/>
    <x v="4"/>
    <n v="1347.79"/>
    <x v="1"/>
    <n v="2496.7676064256989"/>
    <n v="1482.56"/>
    <n v="1482.57"/>
    <n v="1482.57"/>
    <s v="March 2022"/>
  </r>
  <r>
    <d v="2022-03-14T00:00:00"/>
    <x v="467"/>
    <n v="92"/>
    <x v="0"/>
    <x v="2"/>
    <x v="0"/>
    <x v="5"/>
    <n v="1499.29"/>
    <x v="0"/>
    <n v="2503.6022787783854"/>
    <n v="1649.21"/>
    <n v="1649.22"/>
    <n v="1649.22"/>
    <s v="March 2022"/>
  </r>
  <r>
    <d v="2022-03-14T00:00:00"/>
    <x v="468"/>
    <n v="20"/>
    <x v="0"/>
    <x v="4"/>
    <x v="0"/>
    <x v="2"/>
    <n v="3194.3"/>
    <x v="1"/>
    <n v="2503.6022787783854"/>
    <n v="3513.73"/>
    <n v="3513.73"/>
    <n v="3513.73"/>
    <s v="March 2022"/>
  </r>
  <r>
    <d v="2022-03-14T00:00:00"/>
    <x v="469"/>
    <n v="8"/>
    <x v="0"/>
    <x v="4"/>
    <x v="3"/>
    <x v="2"/>
    <n v="3712.32"/>
    <x v="2"/>
    <n v="2496.7676064256989"/>
    <n v="4083.55"/>
    <n v="4083.5600000000004"/>
    <n v="4083.55"/>
    <s v="March 2022"/>
  </r>
  <r>
    <d v="2022-03-14T00:00:00"/>
    <x v="470"/>
    <n v="78"/>
    <x v="1"/>
    <x v="3"/>
    <x v="0"/>
    <x v="3"/>
    <n v="383.15"/>
    <x v="0"/>
    <n v="2503.6022787783854"/>
    <n v="421.46"/>
    <n v="421.46999999999997"/>
    <n v="421.47"/>
    <s v="March 2022"/>
  </r>
  <r>
    <d v="2022-03-15T00:00:00"/>
    <x v="471"/>
    <n v="86"/>
    <x v="2"/>
    <x v="1"/>
    <x v="0"/>
    <x v="3"/>
    <n v="4951.5200000000004"/>
    <x v="0"/>
    <n v="2503.6022787783854"/>
    <n v="5446.67"/>
    <n v="5446.68"/>
    <n v="5446.67"/>
    <s v="March 2022"/>
  </r>
  <r>
    <d v="2022-03-15T00:00:00"/>
    <x v="472"/>
    <n v="36"/>
    <x v="1"/>
    <x v="5"/>
    <x v="0"/>
    <x v="2"/>
    <n v="607.47"/>
    <x v="1"/>
    <n v="2503.6022787783854"/>
    <n v="668.21"/>
    <n v="668.22"/>
    <n v="668.22"/>
    <s v="March 2022"/>
  </r>
  <r>
    <d v="2022-03-15T00:00:00"/>
    <x v="473"/>
    <n v="43"/>
    <x v="0"/>
    <x v="3"/>
    <x v="1"/>
    <x v="0"/>
    <n v="1292.93"/>
    <x v="1"/>
    <n v="2509.1716796874912"/>
    <n v="1422.22"/>
    <n v="1422.23"/>
    <n v="1422.22"/>
    <s v="March 2022"/>
  </r>
  <r>
    <d v="2022-03-15T00:00:00"/>
    <x v="474"/>
    <n v="19"/>
    <x v="0"/>
    <x v="2"/>
    <x v="0"/>
    <x v="3"/>
    <n v="3148"/>
    <x v="1"/>
    <n v="2503.6022787783854"/>
    <n v="3462.8"/>
    <n v="3462.8"/>
    <n v="3462.8"/>
    <s v="March 2022"/>
  </r>
  <r>
    <d v="2022-03-15T00:00:00"/>
    <x v="475"/>
    <n v="64"/>
    <x v="2"/>
    <x v="3"/>
    <x v="0"/>
    <x v="3"/>
    <n v="4362.62"/>
    <x v="1"/>
    <n v="2503.6022787783854"/>
    <n v="4798.88"/>
    <n v="4798.8900000000003"/>
    <n v="4798.88"/>
    <s v="March 2022"/>
  </r>
  <r>
    <d v="2022-03-15T00:00:00"/>
    <x v="476"/>
    <n v="86"/>
    <x v="1"/>
    <x v="3"/>
    <x v="3"/>
    <x v="0"/>
    <n v="2409.96"/>
    <x v="0"/>
    <n v="2496.7676064256989"/>
    <n v="2650.95"/>
    <n v="2650.96"/>
    <n v="2650.96"/>
    <s v="March 2022"/>
  </r>
  <r>
    <d v="2022-03-16T00:00:00"/>
    <x v="477"/>
    <n v="5"/>
    <x v="1"/>
    <x v="0"/>
    <x v="1"/>
    <x v="4"/>
    <n v="3196.24"/>
    <x v="2"/>
    <n v="2509.1716796874912"/>
    <n v="3515.86"/>
    <n v="3515.8700000000003"/>
    <n v="3515.86"/>
    <s v="March 2022"/>
  </r>
  <r>
    <d v="2022-03-16T00:00:00"/>
    <x v="478"/>
    <n v="14"/>
    <x v="0"/>
    <x v="1"/>
    <x v="3"/>
    <x v="1"/>
    <n v="154.71"/>
    <x v="2"/>
    <n v="2496.7676064256989"/>
    <n v="170.18"/>
    <n v="170.19"/>
    <n v="170.18"/>
    <s v="March 2022"/>
  </r>
  <r>
    <d v="2022-03-16T00:00:00"/>
    <x v="479"/>
    <n v="35"/>
    <x v="0"/>
    <x v="4"/>
    <x v="2"/>
    <x v="1"/>
    <n v="3073.89"/>
    <x v="1"/>
    <n v="2440.2966694490838"/>
    <n v="3381.27"/>
    <n v="3381.28"/>
    <n v="3381.28"/>
    <s v="March 2022"/>
  </r>
  <r>
    <d v="2022-03-16T00:00:00"/>
    <x v="480"/>
    <n v="34"/>
    <x v="1"/>
    <x v="4"/>
    <x v="1"/>
    <x v="1"/>
    <n v="896.62"/>
    <x v="1"/>
    <n v="2509.1716796874912"/>
    <n v="986.28"/>
    <n v="986.29"/>
    <n v="986.28"/>
    <s v="March 2022"/>
  </r>
  <r>
    <d v="2022-03-16T00:00:00"/>
    <x v="481"/>
    <n v="73"/>
    <x v="1"/>
    <x v="2"/>
    <x v="2"/>
    <x v="4"/>
    <n v="1503.28"/>
    <x v="0"/>
    <n v="2440.2966694490838"/>
    <n v="1653.6"/>
    <n v="1653.61"/>
    <n v="1653.61"/>
    <s v="March 2022"/>
  </r>
  <r>
    <d v="2022-03-16T00:00:00"/>
    <x v="482"/>
    <n v="90"/>
    <x v="0"/>
    <x v="4"/>
    <x v="2"/>
    <x v="4"/>
    <n v="84.89"/>
    <x v="0"/>
    <n v="2440.2966694490838"/>
    <n v="93.37"/>
    <n v="93.38000000000001"/>
    <n v="93.38"/>
    <s v="March 2022"/>
  </r>
  <r>
    <d v="2022-03-17T00:00:00"/>
    <x v="483"/>
    <n v="48"/>
    <x v="1"/>
    <x v="2"/>
    <x v="2"/>
    <x v="0"/>
    <n v="2802.62"/>
    <x v="1"/>
    <n v="2440.2966694490838"/>
    <n v="3082.88"/>
    <n v="3082.8900000000003"/>
    <n v="3082.88"/>
    <s v="March 2022"/>
  </r>
  <r>
    <d v="2022-03-17T00:00:00"/>
    <x v="484"/>
    <n v="44"/>
    <x v="2"/>
    <x v="7"/>
    <x v="1"/>
    <x v="2"/>
    <n v="2641.68"/>
    <x v="1"/>
    <n v="2509.1716796874912"/>
    <n v="2905.84"/>
    <n v="2905.8500000000004"/>
    <n v="2905.85"/>
    <s v="March 2022"/>
  </r>
  <r>
    <d v="2022-03-17T00:00:00"/>
    <x v="485"/>
    <n v="1"/>
    <x v="2"/>
    <x v="2"/>
    <x v="1"/>
    <x v="3"/>
    <n v="4960.49"/>
    <x v="2"/>
    <n v="2509.1716796874912"/>
    <n v="5456.53"/>
    <n v="5456.54"/>
    <n v="5456.54"/>
    <s v="March 2022"/>
  </r>
  <r>
    <d v="2022-03-17T00:00:00"/>
    <x v="486"/>
    <n v="19"/>
    <x v="0"/>
    <x v="7"/>
    <x v="3"/>
    <x v="3"/>
    <n v="2342.44"/>
    <x v="1"/>
    <n v="2496.7676064256989"/>
    <n v="2576.6799999999998"/>
    <n v="2576.69"/>
    <n v="2576.6799999999998"/>
    <s v="March 2022"/>
  </r>
  <r>
    <d v="2022-03-17T00:00:00"/>
    <x v="487"/>
    <n v="89"/>
    <x v="1"/>
    <x v="5"/>
    <x v="3"/>
    <x v="1"/>
    <n v="2482.36"/>
    <x v="0"/>
    <n v="2496.7676064256989"/>
    <n v="2730.59"/>
    <n v="2730.6000000000004"/>
    <n v="2730.6"/>
    <s v="March 2022"/>
  </r>
  <r>
    <d v="2022-03-17T00:00:00"/>
    <x v="488"/>
    <n v="75"/>
    <x v="2"/>
    <x v="0"/>
    <x v="0"/>
    <x v="3"/>
    <n v="3730.73"/>
    <x v="0"/>
    <n v="2503.6022787783854"/>
    <n v="4103.8"/>
    <n v="4103.8100000000004"/>
    <n v="4103.8"/>
    <s v="March 2022"/>
  </r>
  <r>
    <d v="2022-03-17T00:00:00"/>
    <x v="489"/>
    <n v="15"/>
    <x v="2"/>
    <x v="0"/>
    <x v="1"/>
    <x v="3"/>
    <n v="2308.2199999999998"/>
    <x v="2"/>
    <n v="2509.1716796874912"/>
    <n v="2539.04"/>
    <n v="2539.0500000000002"/>
    <n v="2539.04"/>
    <s v="March 2022"/>
  </r>
  <r>
    <d v="2022-03-17T00:00:00"/>
    <x v="490"/>
    <n v="64"/>
    <x v="1"/>
    <x v="4"/>
    <x v="0"/>
    <x v="2"/>
    <n v="308.94"/>
    <x v="1"/>
    <n v="2503.6022787783854"/>
    <n v="339.83"/>
    <n v="339.84"/>
    <n v="339.83"/>
    <s v="March 2022"/>
  </r>
  <r>
    <d v="2022-03-18T00:00:00"/>
    <x v="491"/>
    <n v="38"/>
    <x v="2"/>
    <x v="6"/>
    <x v="0"/>
    <x v="3"/>
    <n v="4909.67"/>
    <x v="1"/>
    <n v="2503.6022787783854"/>
    <n v="5400.63"/>
    <n v="5400.64"/>
    <n v="5400.64"/>
    <s v="March 2022"/>
  </r>
  <r>
    <d v="2022-03-18T00:00:00"/>
    <x v="492"/>
    <n v="92"/>
    <x v="0"/>
    <x v="7"/>
    <x v="3"/>
    <x v="3"/>
    <n v="2638.17"/>
    <x v="0"/>
    <n v="2496.7676064256989"/>
    <n v="2901.98"/>
    <n v="2901.9900000000002"/>
    <n v="2901.99"/>
    <s v="March 2022"/>
  </r>
  <r>
    <d v="2022-03-18T00:00:00"/>
    <x v="493"/>
    <n v="15"/>
    <x v="2"/>
    <x v="1"/>
    <x v="0"/>
    <x v="4"/>
    <n v="3921.06"/>
    <x v="2"/>
    <n v="2503.6022787783854"/>
    <n v="4313.16"/>
    <n v="4313.17"/>
    <n v="4313.17"/>
    <s v="March 2022"/>
  </r>
  <r>
    <d v="2022-03-18T00:00:00"/>
    <x v="494"/>
    <n v="61"/>
    <x v="1"/>
    <x v="1"/>
    <x v="3"/>
    <x v="0"/>
    <n v="516.75"/>
    <x v="1"/>
    <n v="2496.7676064256989"/>
    <n v="568.41999999999996"/>
    <n v="568.42999999999995"/>
    <n v="568.42999999999995"/>
    <s v="March 2022"/>
  </r>
  <r>
    <d v="2022-03-18T00:00:00"/>
    <x v="495"/>
    <n v="81"/>
    <x v="1"/>
    <x v="5"/>
    <x v="2"/>
    <x v="1"/>
    <n v="1620.18"/>
    <x v="0"/>
    <n v="2440.2966694490838"/>
    <n v="1782.19"/>
    <n v="1782.2"/>
    <n v="1782.2"/>
    <s v="March 2022"/>
  </r>
  <r>
    <d v="2022-03-18T00:00:00"/>
    <x v="496"/>
    <n v="4"/>
    <x v="1"/>
    <x v="1"/>
    <x v="0"/>
    <x v="4"/>
    <n v="1609.89"/>
    <x v="2"/>
    <n v="2503.6022787783854"/>
    <n v="1770.87"/>
    <n v="1770.8799999999999"/>
    <n v="1770.88"/>
    <s v="March 2022"/>
  </r>
  <r>
    <d v="2022-03-18T00:00:00"/>
    <x v="497"/>
    <n v="19"/>
    <x v="2"/>
    <x v="1"/>
    <x v="0"/>
    <x v="0"/>
    <n v="2168.2199999999998"/>
    <x v="1"/>
    <n v="2503.6022787783854"/>
    <n v="2385.04"/>
    <n v="2385.0500000000002"/>
    <n v="2385.04"/>
    <s v="March 2022"/>
  </r>
  <r>
    <d v="2022-03-18T00:00:00"/>
    <x v="498"/>
    <n v="27"/>
    <x v="0"/>
    <x v="5"/>
    <x v="0"/>
    <x v="0"/>
    <n v="3782.98"/>
    <x v="1"/>
    <n v="2503.6022787783854"/>
    <n v="4161.2700000000004"/>
    <n v="4161.2800000000007"/>
    <n v="4161.28"/>
    <s v="March 2022"/>
  </r>
  <r>
    <d v="2022-03-18T00:00:00"/>
    <x v="499"/>
    <n v="29"/>
    <x v="0"/>
    <x v="1"/>
    <x v="3"/>
    <x v="2"/>
    <n v="2760.81"/>
    <x v="1"/>
    <n v="2496.7676064256989"/>
    <n v="3036.89"/>
    <n v="3036.9"/>
    <n v="3036.89"/>
    <s v="March 2022"/>
  </r>
  <r>
    <d v="2022-03-18T00:00:00"/>
    <x v="500"/>
    <n v="77"/>
    <x v="0"/>
    <x v="2"/>
    <x v="0"/>
    <x v="2"/>
    <n v="2873.39"/>
    <x v="0"/>
    <n v="2503.6022787783854"/>
    <n v="3160.72"/>
    <n v="3160.73"/>
    <n v="3160.73"/>
    <s v="March 2022"/>
  </r>
  <r>
    <d v="2022-03-18T00:00:00"/>
    <x v="501"/>
    <n v="77"/>
    <x v="2"/>
    <x v="3"/>
    <x v="2"/>
    <x v="4"/>
    <n v="282.79000000000002"/>
    <x v="0"/>
    <n v="2440.2966694490838"/>
    <n v="311.06"/>
    <n v="311.07"/>
    <n v="311.07"/>
    <s v="March 2022"/>
  </r>
  <r>
    <d v="2022-03-18T00:00:00"/>
    <x v="502"/>
    <n v="35"/>
    <x v="1"/>
    <x v="5"/>
    <x v="0"/>
    <x v="1"/>
    <n v="2526.91"/>
    <x v="1"/>
    <n v="2503.6022787783854"/>
    <n v="2779.6"/>
    <n v="2779.61"/>
    <n v="2779.6"/>
    <s v="March 2022"/>
  </r>
  <r>
    <d v="2022-03-18T00:00:00"/>
    <x v="503"/>
    <n v="0"/>
    <x v="0"/>
    <x v="5"/>
    <x v="0"/>
    <x v="3"/>
    <n v="1070.0999999999999"/>
    <x v="2"/>
    <n v="2503.6022787783854"/>
    <n v="1177.1099999999999"/>
    <n v="1177.1099999999999"/>
    <n v="1177.1099999999999"/>
    <s v="March 2022"/>
  </r>
  <r>
    <d v="2022-03-19T00:00:00"/>
    <x v="504"/>
    <n v="21"/>
    <x v="2"/>
    <x v="4"/>
    <x v="0"/>
    <x v="3"/>
    <n v="4125.17"/>
    <x v="1"/>
    <n v="2503.6022787783854"/>
    <n v="4537.68"/>
    <n v="4537.6900000000005"/>
    <n v="4537.6899999999996"/>
    <s v="March 2022"/>
  </r>
  <r>
    <d v="2022-03-19T00:00:00"/>
    <x v="505"/>
    <n v="18"/>
    <x v="1"/>
    <x v="5"/>
    <x v="1"/>
    <x v="2"/>
    <n v="3142.49"/>
    <x v="1"/>
    <n v="2509.1716796874912"/>
    <n v="3456.73"/>
    <n v="3456.7400000000002"/>
    <n v="3456.74"/>
    <s v="March 2022"/>
  </r>
  <r>
    <d v="2022-03-19T00:00:00"/>
    <x v="506"/>
    <n v="51"/>
    <x v="2"/>
    <x v="2"/>
    <x v="1"/>
    <x v="2"/>
    <n v="1630.69"/>
    <x v="1"/>
    <n v="2509.1716796874912"/>
    <n v="1793.75"/>
    <n v="1793.76"/>
    <n v="1793.76"/>
    <s v="March 2022"/>
  </r>
  <r>
    <d v="2022-03-19T00:00:00"/>
    <x v="507"/>
    <n v="85"/>
    <x v="0"/>
    <x v="7"/>
    <x v="2"/>
    <x v="2"/>
    <n v="3902.99"/>
    <x v="0"/>
    <n v="2440.2966694490838"/>
    <n v="4293.28"/>
    <n v="4293.29"/>
    <n v="4293.29"/>
    <s v="March 2022"/>
  </r>
  <r>
    <d v="2022-03-19T00:00:00"/>
    <x v="508"/>
    <n v="95"/>
    <x v="1"/>
    <x v="6"/>
    <x v="3"/>
    <x v="4"/>
    <n v="2873.85"/>
    <x v="0"/>
    <n v="2496.7676064256989"/>
    <n v="3161.23"/>
    <n v="3161.2400000000002"/>
    <n v="3161.24"/>
    <s v="March 2022"/>
  </r>
  <r>
    <d v="2022-03-19T00:00:00"/>
    <x v="509"/>
    <n v="55"/>
    <x v="0"/>
    <x v="2"/>
    <x v="2"/>
    <x v="4"/>
    <n v="1506.29"/>
    <x v="1"/>
    <n v="2440.2966694490838"/>
    <n v="1656.91"/>
    <n v="1656.92"/>
    <n v="1656.92"/>
    <s v="March 2022"/>
  </r>
  <r>
    <d v="2022-03-19T00:00:00"/>
    <x v="510"/>
    <n v="19"/>
    <x v="0"/>
    <x v="1"/>
    <x v="2"/>
    <x v="0"/>
    <n v="1230.6300000000001"/>
    <x v="1"/>
    <n v="2440.2966694490838"/>
    <n v="1353.69"/>
    <n v="1353.7"/>
    <n v="1353.69"/>
    <s v="March 2022"/>
  </r>
  <r>
    <d v="2022-03-19T00:00:00"/>
    <x v="511"/>
    <n v="78"/>
    <x v="2"/>
    <x v="6"/>
    <x v="3"/>
    <x v="2"/>
    <n v="2702.51"/>
    <x v="0"/>
    <n v="2496.7676064256989"/>
    <n v="2972.76"/>
    <n v="2972.7700000000004"/>
    <n v="2972.76"/>
    <s v="March 2022"/>
  </r>
  <r>
    <d v="2022-03-20T00:00:00"/>
    <x v="512"/>
    <n v="28"/>
    <x v="1"/>
    <x v="0"/>
    <x v="2"/>
    <x v="3"/>
    <n v="1034.56"/>
    <x v="1"/>
    <n v="2440.2966694490838"/>
    <n v="1138.01"/>
    <n v="1138.02"/>
    <n v="1138.02"/>
    <s v="March 2022"/>
  </r>
  <r>
    <d v="2022-03-20T00:00:00"/>
    <x v="513"/>
    <n v="13"/>
    <x v="1"/>
    <x v="4"/>
    <x v="3"/>
    <x v="1"/>
    <n v="70.23"/>
    <x v="2"/>
    <n v="2496.7676064256989"/>
    <n v="77.25"/>
    <n v="77.260000000000005"/>
    <n v="77.25"/>
    <s v="March 2022"/>
  </r>
  <r>
    <d v="2022-03-20T00:00:00"/>
    <x v="514"/>
    <n v="11"/>
    <x v="1"/>
    <x v="2"/>
    <x v="2"/>
    <x v="2"/>
    <n v="1469.06"/>
    <x v="2"/>
    <n v="2440.2966694490838"/>
    <n v="1615.96"/>
    <n v="1615.97"/>
    <n v="1615.97"/>
    <s v="March 2022"/>
  </r>
  <r>
    <d v="2022-03-20T00:00:00"/>
    <x v="515"/>
    <n v="93"/>
    <x v="0"/>
    <x v="6"/>
    <x v="1"/>
    <x v="2"/>
    <n v="4506.07"/>
    <x v="0"/>
    <n v="2509.1716796874912"/>
    <n v="4956.67"/>
    <n v="4956.68"/>
    <n v="4956.68"/>
    <s v="March 2022"/>
  </r>
  <r>
    <d v="2022-03-20T00:00:00"/>
    <x v="516"/>
    <n v="35"/>
    <x v="1"/>
    <x v="7"/>
    <x v="0"/>
    <x v="1"/>
    <n v="4150.12"/>
    <x v="1"/>
    <n v="2503.6022787783854"/>
    <n v="4565.13"/>
    <n v="4565.1400000000003"/>
    <n v="4565.13"/>
    <s v="March 2022"/>
  </r>
  <r>
    <d v="2022-03-20T00:00:00"/>
    <x v="517"/>
    <n v="49"/>
    <x v="2"/>
    <x v="1"/>
    <x v="2"/>
    <x v="3"/>
    <n v="502.87"/>
    <x v="1"/>
    <n v="2440.2966694490838"/>
    <n v="553.15"/>
    <n v="553.16"/>
    <n v="553.16"/>
    <s v="March 2022"/>
  </r>
  <r>
    <d v="2022-03-20T00:00:00"/>
    <x v="518"/>
    <n v="64"/>
    <x v="2"/>
    <x v="7"/>
    <x v="0"/>
    <x v="1"/>
    <n v="1991.88"/>
    <x v="1"/>
    <n v="2503.6022787783854"/>
    <n v="2191.06"/>
    <n v="2191.0700000000002"/>
    <n v="2191.0700000000002"/>
    <s v="March 2022"/>
  </r>
  <r>
    <d v="2022-03-20T00:00:00"/>
    <x v="519"/>
    <n v="44"/>
    <x v="1"/>
    <x v="4"/>
    <x v="0"/>
    <x v="3"/>
    <n v="4722.3900000000003"/>
    <x v="1"/>
    <n v="2503.6022787783854"/>
    <n v="5194.62"/>
    <n v="5194.63"/>
    <n v="5194.63"/>
    <s v="March 2022"/>
  </r>
  <r>
    <d v="2022-03-20T00:00:00"/>
    <x v="520"/>
    <n v="74"/>
    <x v="2"/>
    <x v="1"/>
    <x v="0"/>
    <x v="4"/>
    <n v="4413.6099999999997"/>
    <x v="0"/>
    <n v="2503.6022787783854"/>
    <n v="4854.97"/>
    <n v="4854.9800000000005"/>
    <n v="4854.97"/>
    <s v="March 2022"/>
  </r>
  <r>
    <d v="2022-03-21T00:00:00"/>
    <x v="521"/>
    <n v="30"/>
    <x v="1"/>
    <x v="4"/>
    <x v="1"/>
    <x v="3"/>
    <n v="3945.41"/>
    <x v="1"/>
    <n v="2509.1716796874912"/>
    <n v="4339.95"/>
    <n v="4339.96"/>
    <n v="4339.95"/>
    <s v="March 2022"/>
  </r>
  <r>
    <d v="2022-03-21T00:00:00"/>
    <x v="522"/>
    <n v="45"/>
    <x v="2"/>
    <x v="7"/>
    <x v="0"/>
    <x v="1"/>
    <n v="4989.6499999999996"/>
    <x v="1"/>
    <n v="2503.6022787783854"/>
    <n v="5488.61"/>
    <n v="5488.62"/>
    <n v="5488.62"/>
    <s v="March 2022"/>
  </r>
  <r>
    <d v="2022-03-21T00:00:00"/>
    <x v="523"/>
    <n v="85"/>
    <x v="1"/>
    <x v="0"/>
    <x v="3"/>
    <x v="2"/>
    <n v="2693.46"/>
    <x v="0"/>
    <n v="2496.7676064256989"/>
    <n v="2962.8"/>
    <n v="2962.8100000000004"/>
    <n v="2962.81"/>
    <s v="March 2022"/>
  </r>
  <r>
    <d v="2022-03-21T00:00:00"/>
    <x v="524"/>
    <n v="2"/>
    <x v="0"/>
    <x v="5"/>
    <x v="0"/>
    <x v="0"/>
    <n v="1178.68"/>
    <x v="2"/>
    <n v="2503.6022787783854"/>
    <n v="1296.54"/>
    <n v="1296.55"/>
    <n v="1296.55"/>
    <s v="March 2022"/>
  </r>
  <r>
    <d v="2022-03-21T00:00:00"/>
    <x v="525"/>
    <n v="46"/>
    <x v="1"/>
    <x v="1"/>
    <x v="0"/>
    <x v="4"/>
    <n v="3100.25"/>
    <x v="1"/>
    <n v="2503.6022787783854"/>
    <n v="3410.27"/>
    <n v="3410.28"/>
    <n v="3410.28"/>
    <s v="March 2022"/>
  </r>
  <r>
    <d v="2022-03-21T00:00:00"/>
    <x v="526"/>
    <n v="39"/>
    <x v="1"/>
    <x v="1"/>
    <x v="2"/>
    <x v="2"/>
    <n v="1451.74"/>
    <x v="1"/>
    <n v="2440.2966694490838"/>
    <n v="1596.91"/>
    <n v="1596.92"/>
    <n v="1596.91"/>
    <s v="March 2022"/>
  </r>
  <r>
    <d v="2022-03-21T00:00:00"/>
    <x v="527"/>
    <n v="34"/>
    <x v="0"/>
    <x v="7"/>
    <x v="3"/>
    <x v="2"/>
    <n v="2784.02"/>
    <x v="1"/>
    <n v="2496.7676064256989"/>
    <n v="3062.42"/>
    <n v="3062.4300000000003"/>
    <n v="3062.42"/>
    <s v="March 2022"/>
  </r>
  <r>
    <d v="2022-03-21T00:00:00"/>
    <x v="528"/>
    <n v="0"/>
    <x v="1"/>
    <x v="4"/>
    <x v="1"/>
    <x v="2"/>
    <n v="3136.39"/>
    <x v="2"/>
    <n v="2509.1716796874912"/>
    <n v="3450.02"/>
    <n v="3450.03"/>
    <n v="3450.03"/>
    <s v="March 2022"/>
  </r>
  <r>
    <d v="2022-03-21T00:00:00"/>
    <x v="529"/>
    <n v="1"/>
    <x v="0"/>
    <x v="4"/>
    <x v="0"/>
    <x v="2"/>
    <n v="1519.46"/>
    <x v="2"/>
    <n v="2503.6022787783854"/>
    <n v="1671.4"/>
    <n v="1671.41"/>
    <n v="1671.41"/>
    <s v="March 2022"/>
  </r>
  <r>
    <d v="2022-03-21T00:00:00"/>
    <x v="530"/>
    <n v="58"/>
    <x v="0"/>
    <x v="1"/>
    <x v="0"/>
    <x v="1"/>
    <n v="890.37"/>
    <x v="1"/>
    <n v="2503.6022787783854"/>
    <n v="979.4"/>
    <n v="979.41"/>
    <n v="979.41"/>
    <s v="March 2022"/>
  </r>
  <r>
    <d v="2022-03-21T00:00:00"/>
    <x v="531"/>
    <n v="72"/>
    <x v="2"/>
    <x v="2"/>
    <x v="1"/>
    <x v="3"/>
    <n v="312.37"/>
    <x v="0"/>
    <n v="2509.1716796874912"/>
    <n v="343.6"/>
    <n v="343.61"/>
    <n v="343.61"/>
    <s v="March 2022"/>
  </r>
  <r>
    <d v="2022-03-21T00:00:00"/>
    <x v="532"/>
    <n v="88"/>
    <x v="1"/>
    <x v="7"/>
    <x v="3"/>
    <x v="1"/>
    <n v="1110.3499999999999"/>
    <x v="0"/>
    <n v="2496.7676064256989"/>
    <n v="1221.3800000000001"/>
    <n v="1221.3900000000001"/>
    <n v="1221.3900000000001"/>
    <s v="March 2022"/>
  </r>
  <r>
    <d v="2022-03-22T00:00:00"/>
    <x v="533"/>
    <n v="83"/>
    <x v="0"/>
    <x v="5"/>
    <x v="3"/>
    <x v="3"/>
    <n v="3329.75"/>
    <x v="0"/>
    <n v="2496.7676064256989"/>
    <n v="3662.72"/>
    <n v="3662.73"/>
    <n v="3662.73"/>
    <s v="March 2022"/>
  </r>
  <r>
    <d v="2022-03-22T00:00:00"/>
    <x v="534"/>
    <n v="5"/>
    <x v="1"/>
    <x v="3"/>
    <x v="0"/>
    <x v="4"/>
    <n v="698.93"/>
    <x v="2"/>
    <n v="2503.6022787783854"/>
    <n v="768.82"/>
    <n v="768.83"/>
    <n v="768.82"/>
    <s v="March 2022"/>
  </r>
  <r>
    <d v="2022-03-22T00:00:00"/>
    <x v="535"/>
    <n v="98"/>
    <x v="2"/>
    <x v="5"/>
    <x v="2"/>
    <x v="4"/>
    <n v="4460.2"/>
    <x v="0"/>
    <n v="2440.2966694490838"/>
    <n v="4906.22"/>
    <n v="4906.22"/>
    <n v="4906.22"/>
    <s v="March 2022"/>
  </r>
  <r>
    <d v="2022-03-22T00:00:00"/>
    <x v="536"/>
    <n v="21"/>
    <x v="1"/>
    <x v="6"/>
    <x v="1"/>
    <x v="1"/>
    <n v="3714.63"/>
    <x v="1"/>
    <n v="2509.1716796874912"/>
    <n v="4086.09"/>
    <n v="4086.1000000000004"/>
    <n v="4086.09"/>
    <s v="March 2022"/>
  </r>
  <r>
    <d v="2022-03-22T00:00:00"/>
    <x v="537"/>
    <n v="36"/>
    <x v="0"/>
    <x v="7"/>
    <x v="3"/>
    <x v="4"/>
    <n v="1546.53"/>
    <x v="1"/>
    <n v="2496.7676064256989"/>
    <n v="1701.18"/>
    <n v="1701.19"/>
    <n v="1701.18"/>
    <s v="March 2022"/>
  </r>
  <r>
    <d v="2022-03-22T00:00:00"/>
    <x v="538"/>
    <n v="74"/>
    <x v="2"/>
    <x v="4"/>
    <x v="2"/>
    <x v="2"/>
    <n v="3905.67"/>
    <x v="0"/>
    <n v="2440.2966694490838"/>
    <n v="4296.2299999999996"/>
    <n v="4296.24"/>
    <n v="4296.24"/>
    <s v="March 2022"/>
  </r>
  <r>
    <d v="2022-03-22T00:00:00"/>
    <x v="539"/>
    <n v="80"/>
    <x v="1"/>
    <x v="2"/>
    <x v="1"/>
    <x v="3"/>
    <n v="582.70000000000005"/>
    <x v="0"/>
    <n v="2509.1716796874912"/>
    <n v="640.97"/>
    <n v="640.97"/>
    <n v="640.97"/>
    <s v="March 2022"/>
  </r>
  <r>
    <d v="2022-03-22T00:00:00"/>
    <x v="540"/>
    <n v="96"/>
    <x v="2"/>
    <x v="0"/>
    <x v="0"/>
    <x v="3"/>
    <n v="1601.65"/>
    <x v="0"/>
    <n v="2503.6022787783854"/>
    <n v="1761.81"/>
    <n v="1761.82"/>
    <n v="1761.82"/>
    <s v="March 2022"/>
  </r>
  <r>
    <d v="2022-03-22T00:00:00"/>
    <x v="541"/>
    <n v="13"/>
    <x v="1"/>
    <x v="7"/>
    <x v="2"/>
    <x v="4"/>
    <n v="292.38"/>
    <x v="2"/>
    <n v="2440.2966694490838"/>
    <n v="321.61"/>
    <n v="321.62"/>
    <n v="321.62"/>
    <s v="March 2022"/>
  </r>
  <r>
    <d v="2022-03-23T00:00:00"/>
    <x v="542"/>
    <n v="71"/>
    <x v="0"/>
    <x v="3"/>
    <x v="3"/>
    <x v="1"/>
    <n v="1205.02"/>
    <x v="0"/>
    <n v="2496.7676064256989"/>
    <n v="1325.52"/>
    <n v="1325.53"/>
    <n v="1325.52"/>
    <s v="March 2022"/>
  </r>
  <r>
    <d v="2022-03-23T00:00:00"/>
    <x v="543"/>
    <n v="8"/>
    <x v="1"/>
    <x v="5"/>
    <x v="2"/>
    <x v="4"/>
    <n v="4268.42"/>
    <x v="2"/>
    <n v="2440.2966694490838"/>
    <n v="4695.26"/>
    <n v="4695.2700000000004"/>
    <n v="4695.26"/>
    <s v="March 2022"/>
  </r>
  <r>
    <d v="2022-03-23T00:00:00"/>
    <x v="544"/>
    <n v="29"/>
    <x v="2"/>
    <x v="6"/>
    <x v="3"/>
    <x v="3"/>
    <n v="3570.36"/>
    <x v="1"/>
    <n v="2496.7676064256989"/>
    <n v="3927.39"/>
    <n v="3927.4"/>
    <n v="3927.4"/>
    <s v="March 2022"/>
  </r>
  <r>
    <d v="2022-03-23T00:00:00"/>
    <x v="545"/>
    <n v="52"/>
    <x v="2"/>
    <x v="1"/>
    <x v="3"/>
    <x v="2"/>
    <n v="732.85"/>
    <x v="1"/>
    <n v="2496.7676064256989"/>
    <n v="806.13"/>
    <n v="806.14"/>
    <n v="806.14"/>
    <s v="March 2022"/>
  </r>
  <r>
    <d v="2022-03-23T00:00:00"/>
    <x v="546"/>
    <n v="4"/>
    <x v="0"/>
    <x v="2"/>
    <x v="2"/>
    <x v="4"/>
    <n v="1520.8"/>
    <x v="2"/>
    <n v="2440.2966694490838"/>
    <n v="1672.88"/>
    <n v="1672.88"/>
    <n v="1672.88"/>
    <s v="March 2022"/>
  </r>
  <r>
    <d v="2022-03-23T00:00:00"/>
    <x v="547"/>
    <n v="11"/>
    <x v="2"/>
    <x v="1"/>
    <x v="0"/>
    <x v="1"/>
    <n v="1015.47"/>
    <x v="2"/>
    <n v="2503.6022787783854"/>
    <n v="1117.01"/>
    <n v="1117.02"/>
    <n v="1117.02"/>
    <s v="March 2022"/>
  </r>
  <r>
    <d v="2022-03-24T00:00:00"/>
    <x v="548"/>
    <n v="29"/>
    <x v="0"/>
    <x v="3"/>
    <x v="1"/>
    <x v="2"/>
    <n v="2160.39"/>
    <x v="1"/>
    <n v="2509.1716796874912"/>
    <n v="2376.42"/>
    <n v="2376.4300000000003"/>
    <n v="2376.4299999999998"/>
    <s v="March 2022"/>
  </r>
  <r>
    <d v="2022-03-24T00:00:00"/>
    <x v="549"/>
    <n v="5"/>
    <x v="1"/>
    <x v="0"/>
    <x v="3"/>
    <x v="3"/>
    <n v="2262.5700000000002"/>
    <x v="2"/>
    <n v="2496.7676064256989"/>
    <n v="2488.8200000000002"/>
    <n v="2488.8300000000004"/>
    <n v="2488.83"/>
    <s v="March 2022"/>
  </r>
  <r>
    <d v="2022-03-24T00:00:00"/>
    <x v="550"/>
    <n v="35"/>
    <x v="1"/>
    <x v="7"/>
    <x v="2"/>
    <x v="1"/>
    <n v="4977.8999999999996"/>
    <x v="1"/>
    <n v="2440.2966694490838"/>
    <n v="5475.69"/>
    <n v="5475.69"/>
    <n v="5475.69"/>
    <s v="March 2022"/>
  </r>
  <r>
    <d v="2022-03-24T00:00:00"/>
    <x v="551"/>
    <n v="57"/>
    <x v="0"/>
    <x v="7"/>
    <x v="1"/>
    <x v="2"/>
    <n v="2519.0100000000002"/>
    <x v="1"/>
    <n v="2509.1716796874912"/>
    <n v="2770.91"/>
    <n v="2770.92"/>
    <n v="2770.91"/>
    <s v="March 2022"/>
  </r>
  <r>
    <d v="2022-03-25T00:00:00"/>
    <x v="552"/>
    <n v="20"/>
    <x v="1"/>
    <x v="0"/>
    <x v="0"/>
    <x v="3"/>
    <n v="289.44"/>
    <x v="1"/>
    <n v="2503.6022787783854"/>
    <n v="318.38"/>
    <n v="318.39"/>
    <n v="318.38"/>
    <s v="March 2022"/>
  </r>
  <r>
    <d v="2022-03-25T00:00:00"/>
    <x v="553"/>
    <n v="83"/>
    <x v="0"/>
    <x v="3"/>
    <x v="1"/>
    <x v="3"/>
    <n v="4956.9799999999996"/>
    <x v="0"/>
    <n v="2509.1716796874912"/>
    <n v="5452.67"/>
    <n v="5452.68"/>
    <n v="5452.68"/>
    <s v="March 2022"/>
  </r>
  <r>
    <d v="2022-03-25T00:00:00"/>
    <x v="554"/>
    <n v="93"/>
    <x v="1"/>
    <x v="3"/>
    <x v="3"/>
    <x v="1"/>
    <n v="4175.42"/>
    <x v="0"/>
    <n v="2496.7676064256989"/>
    <n v="4592.96"/>
    <n v="4592.97"/>
    <n v="4592.96"/>
    <s v="March 2022"/>
  </r>
  <r>
    <d v="2022-03-25T00:00:00"/>
    <x v="555"/>
    <n v="59"/>
    <x v="2"/>
    <x v="5"/>
    <x v="3"/>
    <x v="3"/>
    <n v="779.36"/>
    <x v="1"/>
    <n v="2496.7676064256989"/>
    <n v="857.29"/>
    <n v="857.3"/>
    <n v="857.3"/>
    <s v="March 2022"/>
  </r>
  <r>
    <d v="2022-03-25T00:00:00"/>
    <x v="556"/>
    <n v="15"/>
    <x v="0"/>
    <x v="7"/>
    <x v="2"/>
    <x v="1"/>
    <n v="1995"/>
    <x v="2"/>
    <n v="2440.2966694490838"/>
    <n v="2194.5"/>
    <n v="2194.5"/>
    <n v="2194.5"/>
    <s v="March 2022"/>
  </r>
  <r>
    <d v="2022-03-25T00:00:00"/>
    <x v="557"/>
    <n v="96"/>
    <x v="0"/>
    <x v="3"/>
    <x v="1"/>
    <x v="4"/>
    <n v="3190.62"/>
    <x v="0"/>
    <n v="2509.1716796874912"/>
    <n v="3509.68"/>
    <n v="3509.69"/>
    <n v="3509.68"/>
    <s v="March 2022"/>
  </r>
  <r>
    <d v="2022-03-25T00:00:00"/>
    <x v="558"/>
    <n v="29"/>
    <x v="2"/>
    <x v="0"/>
    <x v="1"/>
    <x v="4"/>
    <n v="2112.5"/>
    <x v="1"/>
    <n v="2509.1716796874912"/>
    <n v="2323.75"/>
    <n v="2323.75"/>
    <n v="2323.75"/>
    <s v="March 2022"/>
  </r>
  <r>
    <d v="2022-03-26T00:00:00"/>
    <x v="559"/>
    <n v="40"/>
    <x v="2"/>
    <x v="2"/>
    <x v="2"/>
    <x v="0"/>
    <n v="4556.17"/>
    <x v="1"/>
    <n v="2440.2966694490838"/>
    <n v="5011.78"/>
    <n v="5011.79"/>
    <n v="5011.79"/>
    <s v="March 2022"/>
  </r>
  <r>
    <d v="2022-03-26T00:00:00"/>
    <x v="560"/>
    <n v="12"/>
    <x v="0"/>
    <x v="1"/>
    <x v="0"/>
    <x v="0"/>
    <n v="4025.06"/>
    <x v="2"/>
    <n v="2503.6022787783854"/>
    <n v="4427.5600000000004"/>
    <n v="4427.5700000000006"/>
    <n v="4427.57"/>
    <s v="March 2022"/>
  </r>
  <r>
    <d v="2022-03-26T00:00:00"/>
    <x v="561"/>
    <n v="23"/>
    <x v="0"/>
    <x v="7"/>
    <x v="0"/>
    <x v="3"/>
    <n v="2193.92"/>
    <x v="1"/>
    <n v="2503.6022787783854"/>
    <n v="2413.31"/>
    <n v="2413.3200000000002"/>
    <n v="2413.31"/>
    <s v="March 2022"/>
  </r>
  <r>
    <d v="2022-03-26T00:00:00"/>
    <x v="562"/>
    <n v="93"/>
    <x v="2"/>
    <x v="6"/>
    <x v="1"/>
    <x v="4"/>
    <n v="589.6"/>
    <x v="0"/>
    <n v="2509.1716796874912"/>
    <n v="648.55999999999995"/>
    <n v="648.55999999999995"/>
    <n v="648.55999999999995"/>
    <s v="March 2022"/>
  </r>
  <r>
    <d v="2022-03-26T00:00:00"/>
    <x v="563"/>
    <n v="67"/>
    <x v="1"/>
    <x v="3"/>
    <x v="0"/>
    <x v="3"/>
    <n v="2256.77"/>
    <x v="0"/>
    <n v="2503.6022787783854"/>
    <n v="2482.44"/>
    <n v="2482.4500000000003"/>
    <n v="2482.4499999999998"/>
    <s v="March 2022"/>
  </r>
  <r>
    <d v="2022-03-26T00:00:00"/>
    <x v="564"/>
    <n v="30"/>
    <x v="2"/>
    <x v="1"/>
    <x v="0"/>
    <x v="2"/>
    <n v="4237.68"/>
    <x v="1"/>
    <n v="2503.6022787783854"/>
    <n v="4661.4399999999996"/>
    <n v="4661.45"/>
    <n v="4661.45"/>
    <s v="March 2022"/>
  </r>
  <r>
    <d v="2022-03-26T00:00:00"/>
    <x v="565"/>
    <n v="22"/>
    <x v="0"/>
    <x v="0"/>
    <x v="3"/>
    <x v="2"/>
    <n v="2046.45"/>
    <x v="1"/>
    <n v="2496.7676064256989"/>
    <n v="2251.09"/>
    <n v="2251.1000000000004"/>
    <n v="2251.1"/>
    <s v="March 2022"/>
  </r>
  <r>
    <d v="2022-03-26T00:00:00"/>
    <x v="566"/>
    <n v="29"/>
    <x v="1"/>
    <x v="0"/>
    <x v="1"/>
    <x v="3"/>
    <n v="1030.0899999999999"/>
    <x v="1"/>
    <n v="2509.1716796874912"/>
    <n v="1133.0899999999999"/>
    <n v="1133.0999999999999"/>
    <n v="1133.0999999999999"/>
    <s v="March 2022"/>
  </r>
  <r>
    <d v="2022-03-26T00:00:00"/>
    <x v="567"/>
    <n v="44"/>
    <x v="1"/>
    <x v="4"/>
    <x v="1"/>
    <x v="3"/>
    <n v="2844.06"/>
    <x v="1"/>
    <n v="2509.1716796874912"/>
    <n v="3128.46"/>
    <n v="3128.4700000000003"/>
    <n v="3128.47"/>
    <s v="March 2022"/>
  </r>
  <r>
    <d v="2022-03-26T00:00:00"/>
    <x v="568"/>
    <n v="25"/>
    <x v="1"/>
    <x v="5"/>
    <x v="3"/>
    <x v="1"/>
    <n v="3218.47"/>
    <x v="1"/>
    <n v="2496.7676064256989"/>
    <n v="3540.31"/>
    <n v="3540.32"/>
    <n v="3540.32"/>
    <s v="March 2022"/>
  </r>
  <r>
    <d v="2022-03-27T00:00:00"/>
    <x v="569"/>
    <n v="21"/>
    <x v="2"/>
    <x v="1"/>
    <x v="1"/>
    <x v="2"/>
    <n v="2879.91"/>
    <x v="1"/>
    <n v="2509.1716796874912"/>
    <n v="3167.9"/>
    <n v="3167.9100000000003"/>
    <n v="3167.9"/>
    <s v="March 2022"/>
  </r>
  <r>
    <d v="2022-03-28T00:00:00"/>
    <x v="570"/>
    <n v="13"/>
    <x v="1"/>
    <x v="2"/>
    <x v="3"/>
    <x v="1"/>
    <n v="2752"/>
    <x v="2"/>
    <n v="2496.7676064256989"/>
    <n v="3027.2"/>
    <n v="3027.2"/>
    <n v="3027.2"/>
    <s v="March 2022"/>
  </r>
  <r>
    <d v="2022-03-28T00:00:00"/>
    <x v="571"/>
    <n v="7"/>
    <x v="1"/>
    <x v="6"/>
    <x v="0"/>
    <x v="2"/>
    <n v="1448.87"/>
    <x v="2"/>
    <n v="2503.6022787783854"/>
    <n v="1593.75"/>
    <n v="1593.76"/>
    <n v="1593.76"/>
    <s v="March 2022"/>
  </r>
  <r>
    <d v="2022-03-28T00:00:00"/>
    <x v="572"/>
    <n v="50"/>
    <x v="0"/>
    <x v="0"/>
    <x v="2"/>
    <x v="1"/>
    <n v="545.44000000000005"/>
    <x v="1"/>
    <n v="2440.2966694490838"/>
    <n v="599.98"/>
    <n v="599.99"/>
    <n v="599.98"/>
    <s v="March 2022"/>
  </r>
  <r>
    <d v="2022-03-28T00:00:00"/>
    <x v="573"/>
    <n v="30"/>
    <x v="0"/>
    <x v="3"/>
    <x v="0"/>
    <x v="0"/>
    <n v="3103.98"/>
    <x v="1"/>
    <n v="2503.6022787783854"/>
    <n v="3414.37"/>
    <n v="3414.38"/>
    <n v="3414.38"/>
    <s v="March 2022"/>
  </r>
  <r>
    <d v="2022-03-28T00:00:00"/>
    <x v="574"/>
    <n v="73"/>
    <x v="2"/>
    <x v="2"/>
    <x v="0"/>
    <x v="0"/>
    <n v="717.87"/>
    <x v="0"/>
    <n v="2503.6022787783854"/>
    <n v="789.65"/>
    <n v="789.66"/>
    <n v="789.66"/>
    <s v="March 2022"/>
  </r>
  <r>
    <d v="2022-03-28T00:00:00"/>
    <x v="575"/>
    <n v="14"/>
    <x v="2"/>
    <x v="3"/>
    <x v="3"/>
    <x v="2"/>
    <n v="1961.4"/>
    <x v="2"/>
    <n v="2496.7676064256989"/>
    <n v="2157.54"/>
    <n v="2157.54"/>
    <n v="2157.54"/>
    <s v="March 2022"/>
  </r>
  <r>
    <d v="2022-03-28T00:00:00"/>
    <x v="576"/>
    <n v="23"/>
    <x v="1"/>
    <x v="1"/>
    <x v="1"/>
    <x v="2"/>
    <n v="584.54999999999995"/>
    <x v="1"/>
    <n v="2509.1716796874912"/>
    <n v="643"/>
    <n v="643.01"/>
    <n v="643.01"/>
    <s v="March 2022"/>
  </r>
  <r>
    <d v="2022-03-29T00:00:00"/>
    <x v="577"/>
    <n v="1"/>
    <x v="1"/>
    <x v="1"/>
    <x v="0"/>
    <x v="4"/>
    <n v="894.2"/>
    <x v="2"/>
    <n v="2503.6022787783854"/>
    <n v="983.62"/>
    <n v="983.62"/>
    <n v="983.62"/>
    <s v="March 2022"/>
  </r>
  <r>
    <d v="2022-03-29T00:00:00"/>
    <x v="578"/>
    <n v="46"/>
    <x v="0"/>
    <x v="5"/>
    <x v="0"/>
    <x v="0"/>
    <n v="2685.14"/>
    <x v="1"/>
    <n v="2503.6022787783854"/>
    <n v="2953.65"/>
    <n v="2953.6600000000003"/>
    <n v="2953.65"/>
    <s v="March 2022"/>
  </r>
  <r>
    <d v="2022-03-29T00:00:00"/>
    <x v="579"/>
    <n v="52"/>
    <x v="1"/>
    <x v="7"/>
    <x v="0"/>
    <x v="3"/>
    <n v="2876.91"/>
    <x v="1"/>
    <n v="2503.6022787783854"/>
    <n v="3164.6"/>
    <n v="3164.61"/>
    <n v="3164.6"/>
    <s v="March 2022"/>
  </r>
  <r>
    <d v="2022-03-29T00:00:00"/>
    <x v="580"/>
    <n v="48"/>
    <x v="2"/>
    <x v="1"/>
    <x v="0"/>
    <x v="3"/>
    <n v="2233.91"/>
    <x v="1"/>
    <n v="2503.6022787783854"/>
    <n v="2457.3000000000002"/>
    <n v="2457.3100000000004"/>
    <n v="2457.3000000000002"/>
    <s v="March 2022"/>
  </r>
  <r>
    <d v="2022-03-29T00:00:00"/>
    <x v="581"/>
    <n v="76"/>
    <x v="2"/>
    <x v="2"/>
    <x v="2"/>
    <x v="4"/>
    <n v="1180.72"/>
    <x v="0"/>
    <n v="2440.2966694490838"/>
    <n v="1298.79"/>
    <n v="1298.8"/>
    <n v="1298.79"/>
    <s v="March 2022"/>
  </r>
  <r>
    <d v="2022-03-29T00:00:00"/>
    <x v="582"/>
    <n v="48"/>
    <x v="0"/>
    <x v="4"/>
    <x v="3"/>
    <x v="1"/>
    <n v="4822.29"/>
    <x v="1"/>
    <n v="2496.7676064256989"/>
    <n v="5304.51"/>
    <n v="5304.52"/>
    <n v="5304.52"/>
    <s v="March 2022"/>
  </r>
  <r>
    <d v="2022-03-29T00:00:00"/>
    <x v="583"/>
    <n v="71"/>
    <x v="0"/>
    <x v="4"/>
    <x v="3"/>
    <x v="4"/>
    <n v="2909.05"/>
    <x v="0"/>
    <n v="2496.7676064256989"/>
    <n v="3199.95"/>
    <n v="3199.96"/>
    <n v="3199.96"/>
    <s v="March 2022"/>
  </r>
  <r>
    <d v="2022-03-29T00:00:00"/>
    <x v="584"/>
    <n v="85"/>
    <x v="1"/>
    <x v="2"/>
    <x v="2"/>
    <x v="1"/>
    <n v="1671.45"/>
    <x v="0"/>
    <n v="2440.2966694490838"/>
    <n v="1838.59"/>
    <n v="1838.6"/>
    <n v="1838.6"/>
    <s v="March 2022"/>
  </r>
  <r>
    <d v="2022-03-30T00:00:00"/>
    <x v="585"/>
    <n v="49"/>
    <x v="0"/>
    <x v="2"/>
    <x v="0"/>
    <x v="1"/>
    <n v="2470.6799999999998"/>
    <x v="1"/>
    <n v="2503.6022787783854"/>
    <n v="2717.74"/>
    <n v="2717.75"/>
    <n v="2717.75"/>
    <s v="March 2022"/>
  </r>
  <r>
    <d v="2022-03-30T00:00:00"/>
    <x v="586"/>
    <n v="60"/>
    <x v="0"/>
    <x v="2"/>
    <x v="0"/>
    <x v="0"/>
    <n v="1181.22"/>
    <x v="1"/>
    <n v="2503.6022787783854"/>
    <n v="1299.3399999999999"/>
    <n v="1299.3499999999999"/>
    <n v="1299.3399999999999"/>
    <s v="March 2022"/>
  </r>
  <r>
    <d v="2022-03-30T00:00:00"/>
    <x v="587"/>
    <n v="85"/>
    <x v="0"/>
    <x v="4"/>
    <x v="2"/>
    <x v="2"/>
    <n v="1347.94"/>
    <x v="0"/>
    <n v="2440.2966694490838"/>
    <n v="1482.73"/>
    <n v="1482.74"/>
    <n v="1482.73"/>
    <s v="March 2022"/>
  </r>
  <r>
    <d v="2022-03-30T00:00:00"/>
    <x v="588"/>
    <n v="84"/>
    <x v="0"/>
    <x v="0"/>
    <x v="1"/>
    <x v="3"/>
    <n v="4460.76"/>
    <x v="0"/>
    <n v="2509.1716796874912"/>
    <n v="4906.83"/>
    <n v="4906.84"/>
    <n v="4906.84"/>
    <s v="March 2022"/>
  </r>
  <r>
    <d v="2022-03-30T00:00:00"/>
    <x v="589"/>
    <n v="18"/>
    <x v="1"/>
    <x v="7"/>
    <x v="1"/>
    <x v="4"/>
    <n v="4822.53"/>
    <x v="1"/>
    <n v="2509.1716796874912"/>
    <n v="5304.78"/>
    <n v="5304.79"/>
    <n v="5304.78"/>
    <s v="March 2022"/>
  </r>
  <r>
    <d v="2022-03-30T00:00:00"/>
    <x v="590"/>
    <n v="2"/>
    <x v="1"/>
    <x v="5"/>
    <x v="3"/>
    <x v="3"/>
    <n v="2906.4"/>
    <x v="2"/>
    <n v="2496.7676064256989"/>
    <n v="3197.04"/>
    <n v="3197.04"/>
    <n v="3197.04"/>
    <s v="March 2022"/>
  </r>
  <r>
    <d v="2022-03-30T00:00:00"/>
    <x v="591"/>
    <n v="55"/>
    <x v="2"/>
    <x v="5"/>
    <x v="2"/>
    <x v="3"/>
    <n v="1009.6"/>
    <x v="1"/>
    <n v="2440.2966694490838"/>
    <n v="1110.56"/>
    <n v="1110.56"/>
    <n v="1110.56"/>
    <s v="March 2022"/>
  </r>
  <r>
    <d v="2022-03-30T00:00:00"/>
    <x v="592"/>
    <n v="22"/>
    <x v="2"/>
    <x v="7"/>
    <x v="3"/>
    <x v="0"/>
    <n v="998.9"/>
    <x v="1"/>
    <n v="2496.7676064256989"/>
    <n v="1098.79"/>
    <n v="1098.79"/>
    <n v="1098.79"/>
    <s v="March 2022"/>
  </r>
  <r>
    <d v="2022-03-30T00:00:00"/>
    <x v="593"/>
    <n v="67"/>
    <x v="1"/>
    <x v="2"/>
    <x v="0"/>
    <x v="4"/>
    <n v="2320.06"/>
    <x v="0"/>
    <n v="2503.6022787783854"/>
    <n v="2552.06"/>
    <n v="2552.0700000000002"/>
    <n v="2552.0700000000002"/>
    <s v="March 2022"/>
  </r>
  <r>
    <d v="2022-03-30T00:00:00"/>
    <x v="594"/>
    <n v="11"/>
    <x v="0"/>
    <x v="3"/>
    <x v="1"/>
    <x v="1"/>
    <n v="3275.8"/>
    <x v="2"/>
    <n v="2509.1716796874912"/>
    <n v="3603.38"/>
    <n v="3603.38"/>
    <n v="3603.38"/>
    <s v="March 2022"/>
  </r>
  <r>
    <d v="2022-03-30T00:00:00"/>
    <x v="595"/>
    <n v="27"/>
    <x v="2"/>
    <x v="5"/>
    <x v="0"/>
    <x v="3"/>
    <n v="1109.0899999999999"/>
    <x v="1"/>
    <n v="2503.6022787783854"/>
    <n v="1219.99"/>
    <n v="1220"/>
    <n v="1220"/>
    <s v="March 2022"/>
  </r>
  <r>
    <d v="2022-03-30T00:00:00"/>
    <x v="596"/>
    <n v="91"/>
    <x v="2"/>
    <x v="5"/>
    <x v="1"/>
    <x v="0"/>
    <n v="2872.43"/>
    <x v="0"/>
    <n v="2509.1716796874912"/>
    <n v="3159.67"/>
    <n v="3159.6800000000003"/>
    <n v="3159.67"/>
    <s v="March 2022"/>
  </r>
  <r>
    <d v="2022-03-30T00:00:00"/>
    <x v="597"/>
    <n v="93"/>
    <x v="0"/>
    <x v="3"/>
    <x v="3"/>
    <x v="0"/>
    <n v="4192.04"/>
    <x v="0"/>
    <n v="2496.7676064256989"/>
    <n v="4611.24"/>
    <n v="4611.25"/>
    <n v="4611.24"/>
    <s v="March 2022"/>
  </r>
  <r>
    <d v="2022-03-30T00:00:00"/>
    <x v="598"/>
    <n v="44"/>
    <x v="2"/>
    <x v="6"/>
    <x v="2"/>
    <x v="3"/>
    <n v="2480.14"/>
    <x v="1"/>
    <n v="2440.2966694490838"/>
    <n v="2728.15"/>
    <n v="2728.1600000000003"/>
    <n v="2728.15"/>
    <s v="March 2022"/>
  </r>
  <r>
    <d v="2022-03-31T00:00:00"/>
    <x v="599"/>
    <n v="80"/>
    <x v="2"/>
    <x v="4"/>
    <x v="2"/>
    <x v="3"/>
    <n v="3181.77"/>
    <x v="0"/>
    <n v="2440.2966694490838"/>
    <n v="3499.94"/>
    <n v="3499.9500000000003"/>
    <n v="3499.95"/>
    <s v="March 2022"/>
  </r>
  <r>
    <d v="2022-03-31T00:00:00"/>
    <x v="600"/>
    <n v="12"/>
    <x v="1"/>
    <x v="1"/>
    <x v="2"/>
    <x v="1"/>
    <n v="1032.23"/>
    <x v="2"/>
    <n v="2440.2966694490838"/>
    <n v="1135.45"/>
    <n v="1135.46"/>
    <n v="1135.45"/>
    <s v="March 2022"/>
  </r>
  <r>
    <d v="2022-03-31T00:00:00"/>
    <x v="601"/>
    <n v="2"/>
    <x v="1"/>
    <x v="1"/>
    <x v="3"/>
    <x v="4"/>
    <n v="3963.8"/>
    <x v="2"/>
    <n v="2496.7676064256989"/>
    <n v="4360.18"/>
    <n v="4360.18"/>
    <n v="4360.18"/>
    <s v="March 2022"/>
  </r>
  <r>
    <d v="2022-03-31T00:00:00"/>
    <x v="602"/>
    <n v="40"/>
    <x v="1"/>
    <x v="4"/>
    <x v="3"/>
    <x v="4"/>
    <n v="3420.27"/>
    <x v="1"/>
    <n v="2496.7676064256989"/>
    <n v="3762.29"/>
    <n v="3762.3"/>
    <n v="3762.3"/>
    <s v="March 2022"/>
  </r>
  <r>
    <d v="2022-03-31T00:00:00"/>
    <x v="603"/>
    <n v="42"/>
    <x v="2"/>
    <x v="3"/>
    <x v="1"/>
    <x v="1"/>
    <n v="3075.44"/>
    <x v="1"/>
    <n v="2509.1716796874912"/>
    <n v="3382.98"/>
    <n v="3382.9900000000002"/>
    <n v="3382.98"/>
    <s v="March 2022"/>
  </r>
  <r>
    <d v="2022-04-01T00:00:00"/>
    <x v="604"/>
    <n v="75"/>
    <x v="0"/>
    <x v="6"/>
    <x v="1"/>
    <x v="1"/>
    <n v="1574.28"/>
    <x v="0"/>
    <n v="2509.1716796874912"/>
    <n v="1731.7"/>
    <n v="1731.71"/>
    <n v="1731.71"/>
    <s v="April 2022"/>
  </r>
  <r>
    <d v="2022-04-01T00:00:00"/>
    <x v="605"/>
    <n v="26"/>
    <x v="0"/>
    <x v="1"/>
    <x v="1"/>
    <x v="0"/>
    <n v="1778.91"/>
    <x v="1"/>
    <n v="2509.1716796874912"/>
    <n v="1956.8"/>
    <n v="1956.81"/>
    <n v="1956.8"/>
    <s v="April 2022"/>
  </r>
  <r>
    <d v="2022-04-01T00:00:00"/>
    <x v="606"/>
    <n v="66"/>
    <x v="2"/>
    <x v="5"/>
    <x v="3"/>
    <x v="3"/>
    <n v="4242.8"/>
    <x v="0"/>
    <n v="2496.7676064256989"/>
    <n v="4667.08"/>
    <n v="4667.08"/>
    <n v="4667.08"/>
    <s v="April 2022"/>
  </r>
  <r>
    <d v="2022-04-01T00:00:00"/>
    <x v="607"/>
    <n v="51"/>
    <x v="0"/>
    <x v="4"/>
    <x v="3"/>
    <x v="0"/>
    <n v="3073.22"/>
    <x v="1"/>
    <n v="2496.7676064256989"/>
    <n v="3380.54"/>
    <n v="3380.55"/>
    <n v="3380.54"/>
    <s v="April 2022"/>
  </r>
  <r>
    <d v="2022-04-01T00:00:00"/>
    <x v="608"/>
    <n v="80"/>
    <x v="2"/>
    <x v="2"/>
    <x v="3"/>
    <x v="4"/>
    <n v="2850.12"/>
    <x v="0"/>
    <n v="2496.7676064256989"/>
    <n v="3135.13"/>
    <n v="3135.1400000000003"/>
    <n v="3135.13"/>
    <s v="April 2022"/>
  </r>
  <r>
    <d v="2022-04-01T00:00:00"/>
    <x v="609"/>
    <n v="82"/>
    <x v="0"/>
    <x v="6"/>
    <x v="1"/>
    <x v="1"/>
    <n v="3338.96"/>
    <x v="0"/>
    <n v="2509.1716796874912"/>
    <n v="3672.85"/>
    <n v="3672.86"/>
    <n v="3672.86"/>
    <s v="April 2022"/>
  </r>
  <r>
    <d v="2022-04-01T00:00:00"/>
    <x v="610"/>
    <n v="95"/>
    <x v="2"/>
    <x v="4"/>
    <x v="1"/>
    <x v="3"/>
    <n v="3769.91"/>
    <x v="0"/>
    <n v="2509.1716796874912"/>
    <n v="4146.8999999999996"/>
    <n v="4146.91"/>
    <n v="4146.8999999999996"/>
    <s v="April 2022"/>
  </r>
  <r>
    <d v="2022-04-01T00:00:00"/>
    <x v="611"/>
    <n v="35"/>
    <x v="0"/>
    <x v="4"/>
    <x v="1"/>
    <x v="2"/>
    <n v="3710.47"/>
    <x v="1"/>
    <n v="2509.1716796874912"/>
    <n v="4081.51"/>
    <n v="4081.5200000000004"/>
    <n v="4081.52"/>
    <s v="April 2022"/>
  </r>
  <r>
    <d v="2022-04-01T00:00:00"/>
    <x v="612"/>
    <n v="35"/>
    <x v="0"/>
    <x v="3"/>
    <x v="3"/>
    <x v="0"/>
    <n v="3808.2"/>
    <x v="1"/>
    <n v="2496.7676064256989"/>
    <n v="4189.0200000000004"/>
    <n v="4189.0200000000004"/>
    <n v="4189.0200000000004"/>
    <s v="April 2022"/>
  </r>
  <r>
    <d v="2022-04-01T00:00:00"/>
    <x v="613"/>
    <n v="26"/>
    <x v="0"/>
    <x v="7"/>
    <x v="0"/>
    <x v="4"/>
    <n v="4358.2299999999996"/>
    <x v="1"/>
    <n v="2503.6022787783854"/>
    <n v="4794.05"/>
    <n v="4794.0600000000004"/>
    <n v="4794.05"/>
    <s v="April 2022"/>
  </r>
  <r>
    <d v="2022-04-02T00:00:00"/>
    <x v="614"/>
    <n v="88"/>
    <x v="0"/>
    <x v="4"/>
    <x v="1"/>
    <x v="5"/>
    <n v="4687.7700000000004"/>
    <x v="0"/>
    <n v="2509.1716796874912"/>
    <n v="5156.54"/>
    <n v="5156.55"/>
    <n v="5156.55"/>
    <s v="April 2022"/>
  </r>
  <r>
    <d v="2022-04-02T00:00:00"/>
    <x v="615"/>
    <n v="17"/>
    <x v="2"/>
    <x v="5"/>
    <x v="1"/>
    <x v="1"/>
    <n v="4853.9799999999996"/>
    <x v="1"/>
    <n v="2509.1716796874912"/>
    <n v="5339.37"/>
    <n v="5339.38"/>
    <n v="5339.38"/>
    <s v="April 2022"/>
  </r>
  <r>
    <d v="2022-04-02T00:00:00"/>
    <x v="616"/>
    <n v="67"/>
    <x v="0"/>
    <x v="0"/>
    <x v="2"/>
    <x v="1"/>
    <n v="2069.06"/>
    <x v="0"/>
    <n v="2440.2966694490838"/>
    <n v="2275.96"/>
    <n v="2275.9700000000003"/>
    <n v="2275.9699999999998"/>
    <s v="April 2022"/>
  </r>
  <r>
    <d v="2022-04-03T00:00:00"/>
    <x v="617"/>
    <n v="26"/>
    <x v="0"/>
    <x v="1"/>
    <x v="1"/>
    <x v="2"/>
    <n v="3925.51"/>
    <x v="1"/>
    <n v="2509.1716796874912"/>
    <n v="4318.0600000000004"/>
    <n v="4318.0700000000006"/>
    <n v="4318.0600000000004"/>
    <s v="April 2022"/>
  </r>
  <r>
    <d v="2022-04-03T00:00:00"/>
    <x v="618"/>
    <n v="84"/>
    <x v="1"/>
    <x v="7"/>
    <x v="2"/>
    <x v="1"/>
    <n v="46.63"/>
    <x v="0"/>
    <n v="2440.2966694490838"/>
    <n v="51.29"/>
    <n v="51.3"/>
    <n v="51.29"/>
    <s v="April 2022"/>
  </r>
  <r>
    <d v="2022-04-03T00:00:00"/>
    <x v="619"/>
    <n v="72"/>
    <x v="0"/>
    <x v="3"/>
    <x v="1"/>
    <x v="0"/>
    <n v="4236.1499999999996"/>
    <x v="0"/>
    <n v="2509.1716796874912"/>
    <n v="4659.76"/>
    <n v="4659.7700000000004"/>
    <n v="4659.7700000000004"/>
    <s v="April 2022"/>
  </r>
  <r>
    <d v="2022-04-03T00:00:00"/>
    <x v="620"/>
    <n v="16"/>
    <x v="0"/>
    <x v="5"/>
    <x v="2"/>
    <x v="1"/>
    <n v="4197.54"/>
    <x v="1"/>
    <n v="2440.2966694490838"/>
    <n v="4617.29"/>
    <n v="4617.3"/>
    <n v="4617.29"/>
    <s v="April 2022"/>
  </r>
  <r>
    <d v="2022-04-04T00:00:00"/>
    <x v="621"/>
    <n v="32"/>
    <x v="2"/>
    <x v="2"/>
    <x v="0"/>
    <x v="2"/>
    <n v="2481.65"/>
    <x v="1"/>
    <n v="2503.6022787783854"/>
    <n v="2729.81"/>
    <n v="2729.82"/>
    <n v="2729.82"/>
    <s v="April 2022"/>
  </r>
  <r>
    <d v="2022-04-04T00:00:00"/>
    <x v="622"/>
    <n v="79"/>
    <x v="2"/>
    <x v="4"/>
    <x v="2"/>
    <x v="4"/>
    <n v="1616.52"/>
    <x v="0"/>
    <n v="2440.2966694490838"/>
    <n v="1778.17"/>
    <n v="1778.18"/>
    <n v="1778.17"/>
    <s v="April 2022"/>
  </r>
  <r>
    <d v="2022-04-04T00:00:00"/>
    <x v="623"/>
    <n v="94"/>
    <x v="0"/>
    <x v="1"/>
    <x v="2"/>
    <x v="3"/>
    <n v="2623.33"/>
    <x v="0"/>
    <n v="2440.2966694490838"/>
    <n v="2885.66"/>
    <n v="2885.67"/>
    <n v="2885.66"/>
    <s v="April 2022"/>
  </r>
  <r>
    <d v="2022-04-04T00:00:00"/>
    <x v="624"/>
    <n v="30"/>
    <x v="1"/>
    <x v="6"/>
    <x v="3"/>
    <x v="3"/>
    <n v="2459.5500000000002"/>
    <x v="1"/>
    <n v="2496.7676064256989"/>
    <n v="2705.5"/>
    <n v="2705.51"/>
    <n v="2705.51"/>
    <s v="April 2022"/>
  </r>
  <r>
    <d v="2022-04-04T00:00:00"/>
    <x v="625"/>
    <n v="35"/>
    <x v="0"/>
    <x v="3"/>
    <x v="2"/>
    <x v="4"/>
    <n v="1988.31"/>
    <x v="1"/>
    <n v="2440.2966694490838"/>
    <n v="2187.14"/>
    <n v="2187.15"/>
    <n v="2187.14"/>
    <s v="April 2022"/>
  </r>
  <r>
    <d v="2022-04-04T00:00:00"/>
    <x v="626"/>
    <n v="85"/>
    <x v="0"/>
    <x v="0"/>
    <x v="2"/>
    <x v="1"/>
    <n v="3126.41"/>
    <x v="0"/>
    <n v="2440.2966694490838"/>
    <n v="3439.05"/>
    <n v="3439.0600000000004"/>
    <n v="3439.05"/>
    <s v="April 2022"/>
  </r>
  <r>
    <d v="2022-04-04T00:00:00"/>
    <x v="627"/>
    <n v="19"/>
    <x v="2"/>
    <x v="2"/>
    <x v="2"/>
    <x v="4"/>
    <n v="2237.98"/>
    <x v="1"/>
    <n v="2440.2966694490838"/>
    <n v="2461.77"/>
    <n v="2461.7800000000002"/>
    <n v="2461.7800000000002"/>
    <s v="April 2022"/>
  </r>
  <r>
    <d v="2022-04-05T00:00:00"/>
    <x v="628"/>
    <n v="46"/>
    <x v="2"/>
    <x v="6"/>
    <x v="1"/>
    <x v="2"/>
    <n v="3202.11"/>
    <x v="1"/>
    <n v="2509.1716796874912"/>
    <n v="3522.32"/>
    <n v="3522.3300000000004"/>
    <n v="3522.32"/>
    <s v="April 2022"/>
  </r>
  <r>
    <d v="2022-04-05T00:00:00"/>
    <x v="629"/>
    <n v="87"/>
    <x v="2"/>
    <x v="3"/>
    <x v="3"/>
    <x v="0"/>
    <n v="4257.1499999999996"/>
    <x v="0"/>
    <n v="2496.7676064256989"/>
    <n v="4682.8599999999997"/>
    <n v="4682.87"/>
    <n v="4682.87"/>
    <s v="April 2022"/>
  </r>
  <r>
    <d v="2022-04-05T00:00:00"/>
    <x v="630"/>
    <n v="63"/>
    <x v="0"/>
    <x v="6"/>
    <x v="1"/>
    <x v="2"/>
    <n v="4041.58"/>
    <x v="1"/>
    <n v="2509.1716796874912"/>
    <n v="4445.7299999999996"/>
    <n v="4445.74"/>
    <n v="4445.74"/>
    <s v="April 2022"/>
  </r>
  <r>
    <d v="2022-04-05T00:00:00"/>
    <x v="631"/>
    <n v="77"/>
    <x v="1"/>
    <x v="1"/>
    <x v="1"/>
    <x v="0"/>
    <n v="918.96"/>
    <x v="0"/>
    <n v="2509.1716796874912"/>
    <n v="1010.85"/>
    <n v="1010.86"/>
    <n v="1010.86"/>
    <s v="April 2022"/>
  </r>
  <r>
    <d v="2022-04-05T00:00:00"/>
    <x v="632"/>
    <n v="27"/>
    <x v="0"/>
    <x v="2"/>
    <x v="0"/>
    <x v="3"/>
    <n v="4059.73"/>
    <x v="1"/>
    <n v="2503.6022787783854"/>
    <n v="4465.7"/>
    <n v="4465.71"/>
    <n v="4465.7"/>
    <s v="April 2022"/>
  </r>
  <r>
    <d v="2022-04-05T00:00:00"/>
    <x v="633"/>
    <n v="19"/>
    <x v="2"/>
    <x v="2"/>
    <x v="3"/>
    <x v="1"/>
    <n v="1095.21"/>
    <x v="1"/>
    <n v="2496.7676064256989"/>
    <n v="1204.73"/>
    <n v="1204.74"/>
    <n v="1204.73"/>
    <s v="April 2022"/>
  </r>
  <r>
    <d v="2022-04-05T00:00:00"/>
    <x v="634"/>
    <n v="24"/>
    <x v="0"/>
    <x v="6"/>
    <x v="2"/>
    <x v="1"/>
    <n v="616.53"/>
    <x v="1"/>
    <n v="2440.2966694490838"/>
    <n v="678.18"/>
    <n v="678.18999999999994"/>
    <n v="678.18"/>
    <s v="April 2022"/>
  </r>
  <r>
    <d v="2022-04-05T00:00:00"/>
    <x v="635"/>
    <n v="14"/>
    <x v="1"/>
    <x v="7"/>
    <x v="3"/>
    <x v="0"/>
    <n v="365.2"/>
    <x v="2"/>
    <n v="2496.7676064256989"/>
    <n v="401.72"/>
    <n v="401.72"/>
    <n v="401.72"/>
    <s v="April 2022"/>
  </r>
  <r>
    <d v="2022-04-05T00:00:00"/>
    <x v="636"/>
    <n v="68"/>
    <x v="2"/>
    <x v="2"/>
    <x v="3"/>
    <x v="4"/>
    <n v="791.68"/>
    <x v="0"/>
    <n v="2496.7676064256989"/>
    <n v="870.84"/>
    <n v="870.85"/>
    <n v="870.85"/>
    <s v="April 2022"/>
  </r>
  <r>
    <d v="2022-04-05T00:00:00"/>
    <x v="637"/>
    <n v="63"/>
    <x v="0"/>
    <x v="7"/>
    <x v="2"/>
    <x v="4"/>
    <n v="952.51"/>
    <x v="1"/>
    <n v="2440.2966694490838"/>
    <n v="1047.76"/>
    <n v="1047.77"/>
    <n v="1047.76"/>
    <s v="April 2022"/>
  </r>
  <r>
    <d v="2022-04-06T00:00:00"/>
    <x v="638"/>
    <n v="19"/>
    <x v="2"/>
    <x v="2"/>
    <x v="3"/>
    <x v="1"/>
    <n v="180.83"/>
    <x v="1"/>
    <n v="2496.7676064256989"/>
    <n v="198.91"/>
    <n v="198.92"/>
    <n v="198.91"/>
    <s v="April 2022"/>
  </r>
  <r>
    <d v="2022-04-06T00:00:00"/>
    <x v="639"/>
    <n v="94"/>
    <x v="1"/>
    <x v="6"/>
    <x v="2"/>
    <x v="1"/>
    <n v="343.1"/>
    <x v="0"/>
    <n v="2440.2966694490838"/>
    <n v="377.41"/>
    <n v="377.41"/>
    <n v="377.41"/>
    <s v="April 2022"/>
  </r>
  <r>
    <d v="2022-04-06T00:00:00"/>
    <x v="640"/>
    <n v="32"/>
    <x v="0"/>
    <x v="4"/>
    <x v="1"/>
    <x v="1"/>
    <n v="4358.8500000000004"/>
    <x v="1"/>
    <n v="2509.1716796874912"/>
    <n v="4794.7299999999996"/>
    <n v="4794.74"/>
    <n v="4794.74"/>
    <s v="April 2022"/>
  </r>
  <r>
    <d v="2022-04-06T00:00:00"/>
    <x v="641"/>
    <n v="99"/>
    <x v="0"/>
    <x v="2"/>
    <x v="0"/>
    <x v="1"/>
    <n v="112.07"/>
    <x v="0"/>
    <n v="2503.6022787783854"/>
    <n v="123.27"/>
    <n v="123.28"/>
    <n v="123.28"/>
    <s v="April 2022"/>
  </r>
  <r>
    <d v="2022-04-06T00:00:00"/>
    <x v="642"/>
    <n v="26"/>
    <x v="2"/>
    <x v="5"/>
    <x v="2"/>
    <x v="1"/>
    <n v="2213.52"/>
    <x v="1"/>
    <n v="2440.2966694490838"/>
    <n v="2434.87"/>
    <n v="2434.88"/>
    <n v="2434.87"/>
    <s v="April 2022"/>
  </r>
  <r>
    <d v="2022-04-06T00:00:00"/>
    <x v="643"/>
    <n v="45"/>
    <x v="0"/>
    <x v="1"/>
    <x v="2"/>
    <x v="4"/>
    <n v="473.03"/>
    <x v="1"/>
    <n v="2440.2966694490838"/>
    <n v="520.33000000000004"/>
    <n v="520.34"/>
    <n v="520.33000000000004"/>
    <s v="April 2022"/>
  </r>
  <r>
    <d v="2022-04-06T00:00:00"/>
    <x v="644"/>
    <n v="52"/>
    <x v="2"/>
    <x v="4"/>
    <x v="1"/>
    <x v="4"/>
    <n v="4860.42"/>
    <x v="1"/>
    <n v="2509.1716796874912"/>
    <n v="5346.46"/>
    <n v="5346.47"/>
    <n v="5346.46"/>
    <s v="April 2022"/>
  </r>
  <r>
    <d v="2022-04-06T00:00:00"/>
    <x v="645"/>
    <n v="55"/>
    <x v="2"/>
    <x v="5"/>
    <x v="0"/>
    <x v="4"/>
    <n v="985.06"/>
    <x v="1"/>
    <n v="2503.6022787783854"/>
    <n v="1083.56"/>
    <n v="1083.57"/>
    <n v="1083.57"/>
    <s v="April 2022"/>
  </r>
  <r>
    <d v="2022-04-07T00:00:00"/>
    <x v="646"/>
    <n v="15"/>
    <x v="2"/>
    <x v="6"/>
    <x v="0"/>
    <x v="4"/>
    <n v="4040.72"/>
    <x v="2"/>
    <n v="2503.6022787783854"/>
    <n v="4444.79"/>
    <n v="4444.8"/>
    <n v="4444.79"/>
    <s v="April 2022"/>
  </r>
  <r>
    <d v="2022-04-07T00:00:00"/>
    <x v="647"/>
    <n v="93"/>
    <x v="1"/>
    <x v="1"/>
    <x v="0"/>
    <x v="1"/>
    <n v="1914.01"/>
    <x v="0"/>
    <n v="2503.6022787783854"/>
    <n v="2105.41"/>
    <n v="2105.42"/>
    <n v="2105.41"/>
    <s v="April 2022"/>
  </r>
  <r>
    <d v="2022-04-07T00:00:00"/>
    <x v="648"/>
    <n v="15"/>
    <x v="1"/>
    <x v="3"/>
    <x v="0"/>
    <x v="0"/>
    <n v="3920.21"/>
    <x v="2"/>
    <n v="2503.6022787783854"/>
    <n v="4312.2299999999996"/>
    <n v="4312.24"/>
    <n v="4312.2299999999996"/>
    <s v="April 2022"/>
  </r>
  <r>
    <d v="2022-04-07T00:00:00"/>
    <x v="649"/>
    <n v="75"/>
    <x v="1"/>
    <x v="0"/>
    <x v="3"/>
    <x v="3"/>
    <n v="3583.55"/>
    <x v="0"/>
    <n v="2496.7676064256989"/>
    <n v="3941.9"/>
    <n v="3941.9100000000003"/>
    <n v="3941.91"/>
    <s v="April 2022"/>
  </r>
  <r>
    <d v="2022-04-07T00:00:00"/>
    <x v="650"/>
    <n v="14"/>
    <x v="0"/>
    <x v="1"/>
    <x v="1"/>
    <x v="2"/>
    <n v="2748.47"/>
    <x v="2"/>
    <n v="2509.1716796874912"/>
    <n v="3023.31"/>
    <n v="3023.32"/>
    <n v="3023.32"/>
    <s v="April 2022"/>
  </r>
  <r>
    <d v="2022-04-07T00:00:00"/>
    <x v="651"/>
    <n v="79"/>
    <x v="2"/>
    <x v="0"/>
    <x v="2"/>
    <x v="3"/>
    <n v="2496.19"/>
    <x v="0"/>
    <n v="2440.2966694490838"/>
    <n v="2745.8"/>
    <n v="2745.8100000000004"/>
    <n v="2745.81"/>
    <s v="April 2022"/>
  </r>
  <r>
    <d v="2022-04-07T00:00:00"/>
    <x v="652"/>
    <n v="28"/>
    <x v="2"/>
    <x v="1"/>
    <x v="1"/>
    <x v="2"/>
    <n v="415.93"/>
    <x v="1"/>
    <n v="2509.1716796874912"/>
    <n v="457.52"/>
    <n v="457.53"/>
    <n v="457.52"/>
    <s v="April 2022"/>
  </r>
  <r>
    <d v="2022-04-08T00:00:00"/>
    <x v="653"/>
    <n v="84"/>
    <x v="2"/>
    <x v="5"/>
    <x v="0"/>
    <x v="2"/>
    <n v="4721.6899999999996"/>
    <x v="0"/>
    <n v="2503.6022787783854"/>
    <n v="5193.8500000000004"/>
    <n v="5193.8600000000006"/>
    <n v="5193.8599999999997"/>
    <s v="April 2022"/>
  </r>
  <r>
    <d v="2022-04-08T00:00:00"/>
    <x v="654"/>
    <n v="77"/>
    <x v="0"/>
    <x v="5"/>
    <x v="2"/>
    <x v="2"/>
    <n v="4970.47"/>
    <x v="0"/>
    <n v="2440.2966694490838"/>
    <n v="5467.51"/>
    <n v="5467.52"/>
    <n v="5467.52"/>
    <s v="April 2022"/>
  </r>
  <r>
    <d v="2022-04-08T00:00:00"/>
    <x v="655"/>
    <n v="68"/>
    <x v="1"/>
    <x v="2"/>
    <x v="0"/>
    <x v="3"/>
    <n v="3340.3"/>
    <x v="0"/>
    <n v="2503.6022787783854"/>
    <n v="3674.33"/>
    <n v="3674.33"/>
    <n v="3674.33"/>
    <s v="April 2022"/>
  </r>
  <r>
    <d v="2022-04-08T00:00:00"/>
    <x v="656"/>
    <n v="36"/>
    <x v="1"/>
    <x v="1"/>
    <x v="0"/>
    <x v="0"/>
    <n v="3364.86"/>
    <x v="1"/>
    <n v="2503.6022787783854"/>
    <n v="3701.34"/>
    <n v="3701.3500000000004"/>
    <n v="3701.35"/>
    <s v="April 2022"/>
  </r>
  <r>
    <d v="2022-04-08T00:00:00"/>
    <x v="657"/>
    <n v="19"/>
    <x v="1"/>
    <x v="7"/>
    <x v="0"/>
    <x v="3"/>
    <n v="755.7"/>
    <x v="1"/>
    <n v="2503.6022787783854"/>
    <n v="831.27"/>
    <n v="831.27"/>
    <n v="831.27"/>
    <s v="April 2022"/>
  </r>
  <r>
    <d v="2022-04-09T00:00:00"/>
    <x v="658"/>
    <n v="54"/>
    <x v="0"/>
    <x v="3"/>
    <x v="2"/>
    <x v="1"/>
    <n v="636.83000000000004"/>
    <x v="1"/>
    <n v="2440.2966694490838"/>
    <n v="700.51"/>
    <n v="700.52"/>
    <n v="700.51"/>
    <s v="April 2022"/>
  </r>
  <r>
    <d v="2022-04-09T00:00:00"/>
    <x v="659"/>
    <n v="53"/>
    <x v="2"/>
    <x v="1"/>
    <x v="0"/>
    <x v="2"/>
    <n v="170.68"/>
    <x v="1"/>
    <n v="2503.6022787783854"/>
    <n v="187.74"/>
    <n v="187.75"/>
    <n v="187.75"/>
    <s v="April 2022"/>
  </r>
  <r>
    <d v="2022-04-09T00:00:00"/>
    <x v="660"/>
    <n v="32"/>
    <x v="1"/>
    <x v="7"/>
    <x v="2"/>
    <x v="4"/>
    <n v="3162.54"/>
    <x v="1"/>
    <n v="2440.2966694490838"/>
    <n v="3478.79"/>
    <n v="3478.8"/>
    <n v="3478.79"/>
    <s v="April 2022"/>
  </r>
  <r>
    <d v="2022-04-09T00:00:00"/>
    <x v="661"/>
    <n v="17"/>
    <x v="0"/>
    <x v="1"/>
    <x v="3"/>
    <x v="2"/>
    <n v="1104.06"/>
    <x v="1"/>
    <n v="2496.7676064256989"/>
    <n v="1214.46"/>
    <n v="1214.47"/>
    <n v="1214.47"/>
    <s v="April 2022"/>
  </r>
  <r>
    <d v="2022-04-09T00:00:00"/>
    <x v="662"/>
    <n v="5"/>
    <x v="2"/>
    <x v="4"/>
    <x v="2"/>
    <x v="0"/>
    <n v="2520.12"/>
    <x v="2"/>
    <n v="2440.2966694490838"/>
    <n v="2772.13"/>
    <n v="2772.1400000000003"/>
    <n v="2772.13"/>
    <s v="April 2022"/>
  </r>
  <r>
    <d v="2022-04-09T00:00:00"/>
    <x v="663"/>
    <n v="87"/>
    <x v="0"/>
    <x v="0"/>
    <x v="0"/>
    <x v="3"/>
    <n v="3209.54"/>
    <x v="0"/>
    <n v="2503.6022787783854"/>
    <n v="3530.49"/>
    <n v="3530.5"/>
    <n v="3530.49"/>
    <s v="April 2022"/>
  </r>
  <r>
    <d v="2022-04-09T00:00:00"/>
    <x v="664"/>
    <n v="68"/>
    <x v="0"/>
    <x v="7"/>
    <x v="0"/>
    <x v="1"/>
    <n v="3694.49"/>
    <x v="0"/>
    <n v="2503.6022787783854"/>
    <n v="4063.93"/>
    <n v="4063.94"/>
    <n v="4063.94"/>
    <s v="April 2022"/>
  </r>
  <r>
    <d v="2022-04-09T00:00:00"/>
    <x v="665"/>
    <n v="69"/>
    <x v="0"/>
    <x v="7"/>
    <x v="1"/>
    <x v="2"/>
    <n v="3388.38"/>
    <x v="0"/>
    <n v="2509.1716796874912"/>
    <n v="3727.21"/>
    <n v="3727.2200000000003"/>
    <n v="3727.22"/>
    <s v="April 2022"/>
  </r>
  <r>
    <d v="2022-04-09T00:00:00"/>
    <x v="666"/>
    <n v="50"/>
    <x v="1"/>
    <x v="4"/>
    <x v="0"/>
    <x v="1"/>
    <n v="3250.43"/>
    <x v="1"/>
    <n v="2503.6022787783854"/>
    <n v="3575.47"/>
    <n v="3575.48"/>
    <n v="3575.47"/>
    <s v="April 2022"/>
  </r>
  <r>
    <d v="2022-04-10T00:00:00"/>
    <x v="667"/>
    <n v="78"/>
    <x v="2"/>
    <x v="6"/>
    <x v="1"/>
    <x v="5"/>
    <n v="3089.92"/>
    <x v="0"/>
    <n v="2509.1716796874912"/>
    <n v="3398.91"/>
    <n v="3398.92"/>
    <n v="3398.91"/>
    <s v="April 2022"/>
  </r>
  <r>
    <d v="2022-04-10T00:00:00"/>
    <x v="668"/>
    <n v="2"/>
    <x v="2"/>
    <x v="4"/>
    <x v="0"/>
    <x v="1"/>
    <n v="927.24"/>
    <x v="2"/>
    <n v="2503.6022787783854"/>
    <n v="1019.96"/>
    <n v="1019.97"/>
    <n v="1019.96"/>
    <s v="April 2022"/>
  </r>
  <r>
    <d v="2022-04-10T00:00:00"/>
    <x v="669"/>
    <n v="63"/>
    <x v="0"/>
    <x v="5"/>
    <x v="1"/>
    <x v="1"/>
    <n v="4702.41"/>
    <x v="1"/>
    <n v="2509.1716796874912"/>
    <n v="5172.6499999999996"/>
    <n v="5172.66"/>
    <n v="5172.6499999999996"/>
    <s v="April 2022"/>
  </r>
  <r>
    <d v="2022-04-10T00:00:00"/>
    <x v="670"/>
    <n v="84"/>
    <x v="0"/>
    <x v="5"/>
    <x v="2"/>
    <x v="4"/>
    <n v="3678.3"/>
    <x v="0"/>
    <n v="2440.2966694490838"/>
    <n v="4046.13"/>
    <n v="4046.13"/>
    <n v="4046.13"/>
    <s v="April 2022"/>
  </r>
  <r>
    <d v="2022-04-10T00:00:00"/>
    <x v="671"/>
    <n v="68"/>
    <x v="1"/>
    <x v="3"/>
    <x v="1"/>
    <x v="1"/>
    <n v="2916.47"/>
    <x v="0"/>
    <n v="2509.1716796874912"/>
    <n v="3208.11"/>
    <n v="3208.1200000000003"/>
    <n v="3208.12"/>
    <s v="April 2022"/>
  </r>
  <r>
    <d v="2022-04-10T00:00:00"/>
    <x v="672"/>
    <n v="35"/>
    <x v="2"/>
    <x v="7"/>
    <x v="2"/>
    <x v="1"/>
    <n v="3450.45"/>
    <x v="1"/>
    <n v="2440.2966694490838"/>
    <n v="3795.49"/>
    <n v="3795.5"/>
    <n v="3795.5"/>
    <s v="April 2022"/>
  </r>
  <r>
    <d v="2022-04-10T00:00:00"/>
    <x v="673"/>
    <n v="62"/>
    <x v="2"/>
    <x v="4"/>
    <x v="0"/>
    <x v="0"/>
    <n v="1747.45"/>
    <x v="1"/>
    <n v="2503.6022787783854"/>
    <n v="1922.19"/>
    <n v="1922.2"/>
    <n v="1922.2"/>
    <s v="April 2022"/>
  </r>
  <r>
    <d v="2022-04-10T00:00:00"/>
    <x v="674"/>
    <n v="29"/>
    <x v="1"/>
    <x v="1"/>
    <x v="3"/>
    <x v="0"/>
    <n v="4331.84"/>
    <x v="1"/>
    <n v="2496.7676064256989"/>
    <n v="4765.0200000000004"/>
    <n v="4765.0300000000007"/>
    <n v="4765.0200000000004"/>
    <s v="April 2022"/>
  </r>
  <r>
    <d v="2022-04-10T00:00:00"/>
    <x v="675"/>
    <n v="34"/>
    <x v="1"/>
    <x v="3"/>
    <x v="3"/>
    <x v="4"/>
    <n v="767"/>
    <x v="1"/>
    <n v="2496.7676064256989"/>
    <n v="843.7"/>
    <n v="843.7"/>
    <n v="843.7"/>
    <s v="April 2022"/>
  </r>
  <r>
    <d v="2022-04-10T00:00:00"/>
    <x v="676"/>
    <n v="70"/>
    <x v="1"/>
    <x v="1"/>
    <x v="2"/>
    <x v="1"/>
    <n v="1724.18"/>
    <x v="0"/>
    <n v="2440.2966694490838"/>
    <n v="1896.59"/>
    <n v="1896.6"/>
    <n v="1896.6"/>
    <s v="April 2022"/>
  </r>
  <r>
    <d v="2022-04-11T00:00:00"/>
    <x v="677"/>
    <n v="57"/>
    <x v="1"/>
    <x v="6"/>
    <x v="2"/>
    <x v="1"/>
    <n v="2182.5700000000002"/>
    <x v="1"/>
    <n v="2440.2966694490838"/>
    <n v="2400.8200000000002"/>
    <n v="2400.8300000000004"/>
    <n v="2400.83"/>
    <s v="April 2022"/>
  </r>
  <r>
    <d v="2022-04-11T00:00:00"/>
    <x v="678"/>
    <n v="60"/>
    <x v="0"/>
    <x v="0"/>
    <x v="2"/>
    <x v="0"/>
    <n v="2149.4899999999998"/>
    <x v="1"/>
    <n v="2440.2966694490838"/>
    <n v="2364.4299999999998"/>
    <n v="2364.44"/>
    <n v="2364.44"/>
    <s v="April 2022"/>
  </r>
  <r>
    <d v="2022-04-11T00:00:00"/>
    <x v="679"/>
    <n v="92"/>
    <x v="2"/>
    <x v="7"/>
    <x v="3"/>
    <x v="4"/>
    <n v="592.69000000000005"/>
    <x v="0"/>
    <n v="2496.7676064256989"/>
    <n v="651.95000000000005"/>
    <n v="651.96"/>
    <n v="651.96"/>
    <s v="April 2022"/>
  </r>
  <r>
    <d v="2022-04-11T00:00:00"/>
    <x v="680"/>
    <n v="77"/>
    <x v="1"/>
    <x v="4"/>
    <x v="3"/>
    <x v="4"/>
    <n v="386.48"/>
    <x v="0"/>
    <n v="2496.7676064256989"/>
    <n v="425.12"/>
    <n v="425.13"/>
    <n v="425.13"/>
    <s v="April 2022"/>
  </r>
  <r>
    <d v="2022-04-11T00:00:00"/>
    <x v="681"/>
    <n v="80"/>
    <x v="1"/>
    <x v="5"/>
    <x v="3"/>
    <x v="2"/>
    <n v="4648.28"/>
    <x v="0"/>
    <n v="2496.7676064256989"/>
    <n v="5113.1000000000004"/>
    <n v="5113.1100000000006"/>
    <n v="5113.1099999999997"/>
    <s v="April 2022"/>
  </r>
  <r>
    <d v="2022-04-11T00:00:00"/>
    <x v="682"/>
    <n v="25"/>
    <x v="2"/>
    <x v="2"/>
    <x v="0"/>
    <x v="4"/>
    <n v="4682.22"/>
    <x v="1"/>
    <n v="2503.6022787783854"/>
    <n v="5150.4399999999996"/>
    <n v="5150.45"/>
    <n v="5150.4399999999996"/>
    <s v="April 2022"/>
  </r>
  <r>
    <d v="2022-04-11T00:00:00"/>
    <x v="683"/>
    <n v="0"/>
    <x v="0"/>
    <x v="0"/>
    <x v="0"/>
    <x v="0"/>
    <n v="3954.79"/>
    <x v="2"/>
    <n v="2503.6022787783854"/>
    <n v="4350.26"/>
    <n v="4350.2700000000004"/>
    <n v="4350.2700000000004"/>
    <s v="April 2022"/>
  </r>
  <r>
    <d v="2022-04-11T00:00:00"/>
    <x v="684"/>
    <n v="9"/>
    <x v="1"/>
    <x v="0"/>
    <x v="2"/>
    <x v="1"/>
    <n v="4673.8900000000003"/>
    <x v="2"/>
    <n v="2440.2966694490838"/>
    <n v="5141.2700000000004"/>
    <n v="5141.2800000000007"/>
    <n v="5141.28"/>
    <s v="April 2022"/>
  </r>
  <r>
    <d v="2022-04-12T00:00:00"/>
    <x v="685"/>
    <n v="92"/>
    <x v="0"/>
    <x v="4"/>
    <x v="1"/>
    <x v="0"/>
    <n v="2505.4499999999998"/>
    <x v="0"/>
    <n v="2509.1716796874912"/>
    <n v="2755.99"/>
    <n v="2756"/>
    <n v="2756"/>
    <s v="April 2022"/>
  </r>
  <r>
    <d v="2022-04-12T00:00:00"/>
    <x v="686"/>
    <n v="31"/>
    <x v="2"/>
    <x v="0"/>
    <x v="0"/>
    <x v="3"/>
    <n v="3482.94"/>
    <x v="1"/>
    <n v="2503.6022787783854"/>
    <n v="3831.23"/>
    <n v="3831.2400000000002"/>
    <n v="3831.23"/>
    <s v="April 2022"/>
  </r>
  <r>
    <d v="2022-04-12T00:00:00"/>
    <x v="687"/>
    <n v="76"/>
    <x v="0"/>
    <x v="3"/>
    <x v="2"/>
    <x v="2"/>
    <n v="2092.38"/>
    <x v="0"/>
    <n v="2440.2966694490838"/>
    <n v="2301.61"/>
    <n v="2301.6200000000003"/>
    <n v="2301.62"/>
    <s v="April 2022"/>
  </r>
  <r>
    <d v="2022-04-12T00:00:00"/>
    <x v="688"/>
    <n v="12"/>
    <x v="1"/>
    <x v="3"/>
    <x v="2"/>
    <x v="2"/>
    <n v="4832.6499999999996"/>
    <x v="2"/>
    <n v="2440.2966694490838"/>
    <n v="5315.91"/>
    <n v="5315.92"/>
    <n v="5315.92"/>
    <s v="April 2022"/>
  </r>
  <r>
    <d v="2022-04-12T00:00:00"/>
    <x v="689"/>
    <n v="36"/>
    <x v="1"/>
    <x v="4"/>
    <x v="2"/>
    <x v="2"/>
    <n v="2332.9"/>
    <x v="1"/>
    <n v="2440.2966694490838"/>
    <n v="2566.19"/>
    <n v="2566.19"/>
    <n v="2566.19"/>
    <s v="April 2022"/>
  </r>
  <r>
    <d v="2022-04-12T00:00:00"/>
    <x v="690"/>
    <n v="31"/>
    <x v="1"/>
    <x v="1"/>
    <x v="1"/>
    <x v="2"/>
    <n v="1342.8"/>
    <x v="1"/>
    <n v="2509.1716796874912"/>
    <n v="1477.08"/>
    <n v="1477.08"/>
    <n v="1477.08"/>
    <s v="April 2022"/>
  </r>
  <r>
    <d v="2022-04-12T00:00:00"/>
    <x v="691"/>
    <n v="97"/>
    <x v="1"/>
    <x v="1"/>
    <x v="0"/>
    <x v="3"/>
    <n v="3141.36"/>
    <x v="0"/>
    <n v="2503.6022787783854"/>
    <n v="3455.49"/>
    <n v="3455.5"/>
    <n v="3455.5"/>
    <s v="April 2022"/>
  </r>
  <r>
    <d v="2022-04-13T00:00:00"/>
    <x v="692"/>
    <n v="92"/>
    <x v="2"/>
    <x v="7"/>
    <x v="2"/>
    <x v="4"/>
    <n v="3174.65"/>
    <x v="0"/>
    <n v="2440.2966694490838"/>
    <n v="3492.11"/>
    <n v="3492.1200000000003"/>
    <n v="3492.12"/>
    <s v="April 2022"/>
  </r>
  <r>
    <d v="2022-04-13T00:00:00"/>
    <x v="693"/>
    <n v="95"/>
    <x v="1"/>
    <x v="1"/>
    <x v="1"/>
    <x v="3"/>
    <n v="591.87"/>
    <x v="0"/>
    <n v="2509.1716796874912"/>
    <n v="651.04999999999995"/>
    <n v="651.05999999999995"/>
    <n v="651.05999999999995"/>
    <s v="April 2022"/>
  </r>
  <r>
    <d v="2022-04-13T00:00:00"/>
    <x v="694"/>
    <n v="24"/>
    <x v="1"/>
    <x v="0"/>
    <x v="3"/>
    <x v="2"/>
    <n v="4576.46"/>
    <x v="1"/>
    <n v="2496.7676064256989"/>
    <n v="5034.1000000000004"/>
    <n v="5034.1100000000006"/>
    <n v="5034.1099999999997"/>
    <s v="April 2022"/>
  </r>
  <r>
    <d v="2022-04-13T00:00:00"/>
    <x v="695"/>
    <n v="51"/>
    <x v="1"/>
    <x v="1"/>
    <x v="0"/>
    <x v="0"/>
    <n v="486.94"/>
    <x v="1"/>
    <n v="2503.6022787783854"/>
    <n v="535.63"/>
    <n v="535.64"/>
    <n v="535.63"/>
    <s v="April 2022"/>
  </r>
  <r>
    <d v="2022-04-13T00:00:00"/>
    <x v="696"/>
    <n v="91"/>
    <x v="2"/>
    <x v="7"/>
    <x v="3"/>
    <x v="1"/>
    <n v="3414.04"/>
    <x v="0"/>
    <n v="2496.7676064256989"/>
    <n v="3755.44"/>
    <n v="3755.4500000000003"/>
    <n v="3755.44"/>
    <s v="April 2022"/>
  </r>
  <r>
    <d v="2022-04-13T00:00:00"/>
    <x v="697"/>
    <n v="51"/>
    <x v="1"/>
    <x v="5"/>
    <x v="1"/>
    <x v="1"/>
    <n v="2663.14"/>
    <x v="1"/>
    <n v="2509.1716796874912"/>
    <n v="2929.45"/>
    <n v="2929.46"/>
    <n v="2929.45"/>
    <s v="April 2022"/>
  </r>
  <r>
    <d v="2022-04-13T00:00:00"/>
    <x v="698"/>
    <n v="88"/>
    <x v="2"/>
    <x v="6"/>
    <x v="3"/>
    <x v="0"/>
    <n v="2799.12"/>
    <x v="0"/>
    <n v="2496.7676064256989"/>
    <n v="3079.03"/>
    <n v="3079.0400000000004"/>
    <n v="3079.03"/>
    <s v="April 2022"/>
  </r>
  <r>
    <d v="2022-04-13T00:00:00"/>
    <x v="699"/>
    <n v="88"/>
    <x v="1"/>
    <x v="2"/>
    <x v="2"/>
    <x v="1"/>
    <n v="4580.28"/>
    <x v="0"/>
    <n v="2440.2966694490838"/>
    <n v="5038.3"/>
    <n v="5038.3100000000004"/>
    <n v="5038.3100000000004"/>
    <s v="April 2022"/>
  </r>
  <r>
    <d v="2022-04-13T00:00:00"/>
    <x v="700"/>
    <n v="15"/>
    <x v="2"/>
    <x v="5"/>
    <x v="3"/>
    <x v="4"/>
    <n v="4713.68"/>
    <x v="2"/>
    <n v="2496.7676064256989"/>
    <n v="5185.04"/>
    <n v="5185.05"/>
    <n v="5185.05"/>
    <s v="April 2022"/>
  </r>
  <r>
    <d v="2022-04-13T00:00:00"/>
    <x v="701"/>
    <n v="80"/>
    <x v="1"/>
    <x v="1"/>
    <x v="0"/>
    <x v="1"/>
    <n v="2231.41"/>
    <x v="0"/>
    <n v="2503.6022787783854"/>
    <n v="2454.5500000000002"/>
    <n v="2454.5600000000004"/>
    <n v="2454.5500000000002"/>
    <s v="April 2022"/>
  </r>
  <r>
    <d v="2022-04-14T00:00:00"/>
    <x v="702"/>
    <n v="20"/>
    <x v="0"/>
    <x v="7"/>
    <x v="3"/>
    <x v="0"/>
    <n v="4860.7700000000004"/>
    <x v="1"/>
    <n v="2496.7676064256989"/>
    <n v="5346.84"/>
    <n v="5346.85"/>
    <n v="5346.85"/>
    <s v="April 2022"/>
  </r>
  <r>
    <d v="2022-04-14T00:00:00"/>
    <x v="703"/>
    <n v="97"/>
    <x v="2"/>
    <x v="7"/>
    <x v="3"/>
    <x v="4"/>
    <n v="2158.88"/>
    <x v="0"/>
    <n v="2496.7676064256989"/>
    <n v="2374.7600000000002"/>
    <n v="2374.7700000000004"/>
    <n v="2374.77"/>
    <s v="April 2022"/>
  </r>
  <r>
    <d v="2022-04-14T00:00:00"/>
    <x v="704"/>
    <n v="35"/>
    <x v="2"/>
    <x v="3"/>
    <x v="2"/>
    <x v="2"/>
    <n v="4236.83"/>
    <x v="1"/>
    <n v="2440.2966694490838"/>
    <n v="4660.51"/>
    <n v="4660.5200000000004"/>
    <n v="4660.51"/>
    <s v="April 2022"/>
  </r>
  <r>
    <d v="2022-04-14T00:00:00"/>
    <x v="705"/>
    <n v="35"/>
    <x v="0"/>
    <x v="3"/>
    <x v="2"/>
    <x v="0"/>
    <n v="1087.78"/>
    <x v="1"/>
    <n v="2440.2966694490838"/>
    <n v="1196.55"/>
    <n v="1196.56"/>
    <n v="1196.56"/>
    <s v="April 2022"/>
  </r>
  <r>
    <d v="2022-04-14T00:00:00"/>
    <x v="706"/>
    <n v="35"/>
    <x v="2"/>
    <x v="4"/>
    <x v="2"/>
    <x v="2"/>
    <n v="756.5"/>
    <x v="1"/>
    <n v="2440.2966694490838"/>
    <n v="832.15"/>
    <n v="832.15"/>
    <n v="832.15"/>
    <s v="April 2022"/>
  </r>
  <r>
    <d v="2022-04-14T00:00:00"/>
    <x v="707"/>
    <n v="62"/>
    <x v="2"/>
    <x v="2"/>
    <x v="1"/>
    <x v="5"/>
    <n v="4533.55"/>
    <x v="1"/>
    <n v="2509.1716796874912"/>
    <n v="4986.8999999999996"/>
    <n v="4986.91"/>
    <n v="4986.91"/>
    <s v="April 2022"/>
  </r>
  <r>
    <d v="2022-04-14T00:00:00"/>
    <x v="708"/>
    <n v="51"/>
    <x v="1"/>
    <x v="0"/>
    <x v="0"/>
    <x v="4"/>
    <n v="2265.2199999999998"/>
    <x v="1"/>
    <n v="2503.6022787783854"/>
    <n v="2491.7399999999998"/>
    <n v="2491.75"/>
    <n v="2491.7399999999998"/>
    <s v="April 2022"/>
  </r>
  <r>
    <d v="2022-04-14T00:00:00"/>
    <x v="709"/>
    <n v="17"/>
    <x v="0"/>
    <x v="7"/>
    <x v="0"/>
    <x v="3"/>
    <n v="4785.46"/>
    <x v="1"/>
    <n v="2503.6022787783854"/>
    <n v="5264"/>
    <n v="5264.01"/>
    <n v="5264.01"/>
    <s v="April 2022"/>
  </r>
  <r>
    <d v="2022-04-14T00:00:00"/>
    <x v="710"/>
    <n v="32"/>
    <x v="1"/>
    <x v="3"/>
    <x v="1"/>
    <x v="4"/>
    <n v="2892.33"/>
    <x v="1"/>
    <n v="2509.1716796874912"/>
    <n v="3181.56"/>
    <n v="3181.57"/>
    <n v="3181.56"/>
    <s v="April 2022"/>
  </r>
  <r>
    <d v="2022-04-15T00:00:00"/>
    <x v="711"/>
    <n v="53"/>
    <x v="1"/>
    <x v="5"/>
    <x v="0"/>
    <x v="4"/>
    <n v="498.84"/>
    <x v="1"/>
    <n v="2503.6022787783854"/>
    <n v="548.72"/>
    <n v="548.73"/>
    <n v="548.72"/>
    <s v="April 2022"/>
  </r>
  <r>
    <d v="2022-04-15T00:00:00"/>
    <x v="712"/>
    <n v="99"/>
    <x v="2"/>
    <x v="1"/>
    <x v="1"/>
    <x v="1"/>
    <n v="1875.07"/>
    <x v="0"/>
    <n v="2509.1716796874912"/>
    <n v="2062.5700000000002"/>
    <n v="2062.5800000000004"/>
    <n v="2062.58"/>
    <s v="April 2022"/>
  </r>
  <r>
    <d v="2022-04-15T00:00:00"/>
    <x v="713"/>
    <n v="67"/>
    <x v="1"/>
    <x v="3"/>
    <x v="1"/>
    <x v="3"/>
    <n v="2457.91"/>
    <x v="0"/>
    <n v="2509.1716796874912"/>
    <n v="2703.7"/>
    <n v="2703.71"/>
    <n v="2703.7"/>
    <s v="April 2022"/>
  </r>
  <r>
    <d v="2022-04-15T00:00:00"/>
    <x v="714"/>
    <n v="72"/>
    <x v="0"/>
    <x v="0"/>
    <x v="1"/>
    <x v="4"/>
    <n v="129.05000000000001"/>
    <x v="0"/>
    <n v="2509.1716796874912"/>
    <n v="141.94999999999999"/>
    <n v="141.95999999999998"/>
    <n v="141.96"/>
    <s v="April 2022"/>
  </r>
  <r>
    <d v="2022-04-16T00:00:00"/>
    <x v="715"/>
    <n v="84"/>
    <x v="0"/>
    <x v="0"/>
    <x v="3"/>
    <x v="3"/>
    <n v="4836.74"/>
    <x v="0"/>
    <n v="2496.7676064256989"/>
    <n v="5320.41"/>
    <n v="5320.42"/>
    <n v="5320.41"/>
    <s v="April 2022"/>
  </r>
  <r>
    <d v="2022-04-16T00:00:00"/>
    <x v="716"/>
    <n v="59"/>
    <x v="2"/>
    <x v="6"/>
    <x v="2"/>
    <x v="2"/>
    <n v="4809.3999999999996"/>
    <x v="1"/>
    <n v="2440.2966694490838"/>
    <n v="5290.34"/>
    <n v="5290.34"/>
    <n v="5290.34"/>
    <s v="April 2022"/>
  </r>
  <r>
    <d v="2022-04-16T00:00:00"/>
    <x v="717"/>
    <n v="44"/>
    <x v="1"/>
    <x v="3"/>
    <x v="1"/>
    <x v="3"/>
    <n v="4736.43"/>
    <x v="1"/>
    <n v="2509.1716796874912"/>
    <n v="5210.07"/>
    <n v="5210.08"/>
    <n v="5210.07"/>
    <s v="April 2022"/>
  </r>
  <r>
    <d v="2022-04-16T00:00:00"/>
    <x v="718"/>
    <n v="18"/>
    <x v="1"/>
    <x v="3"/>
    <x v="0"/>
    <x v="3"/>
    <n v="1282.83"/>
    <x v="1"/>
    <n v="2503.6022787783854"/>
    <n v="1411.11"/>
    <n v="1411.12"/>
    <n v="1411.11"/>
    <s v="April 2022"/>
  </r>
  <r>
    <d v="2022-04-16T00:00:00"/>
    <x v="719"/>
    <n v="57"/>
    <x v="2"/>
    <x v="0"/>
    <x v="0"/>
    <x v="1"/>
    <n v="1784.71"/>
    <x v="1"/>
    <n v="2503.6022787783854"/>
    <n v="1963.18"/>
    <n v="1963.19"/>
    <n v="1963.18"/>
    <s v="April 2022"/>
  </r>
  <r>
    <d v="2022-04-16T00:00:00"/>
    <x v="720"/>
    <n v="73"/>
    <x v="1"/>
    <x v="6"/>
    <x v="0"/>
    <x v="5"/>
    <n v="1695.57"/>
    <x v="0"/>
    <n v="2503.6022787783854"/>
    <n v="1865.12"/>
    <n v="1865.1299999999999"/>
    <n v="1865.13"/>
    <s v="April 2022"/>
  </r>
  <r>
    <d v="2022-04-16T00:00:00"/>
    <x v="721"/>
    <n v="29"/>
    <x v="2"/>
    <x v="0"/>
    <x v="1"/>
    <x v="1"/>
    <n v="1405.01"/>
    <x v="1"/>
    <n v="2509.1716796874912"/>
    <n v="1545.51"/>
    <n v="1545.52"/>
    <n v="1545.51"/>
    <s v="April 2022"/>
  </r>
  <r>
    <d v="2022-04-16T00:00:00"/>
    <x v="722"/>
    <n v="38"/>
    <x v="1"/>
    <x v="4"/>
    <x v="1"/>
    <x v="4"/>
    <n v="3989.91"/>
    <x v="1"/>
    <n v="2509.1716796874912"/>
    <n v="4388.8999999999996"/>
    <n v="4388.91"/>
    <n v="4388.8999999999996"/>
    <s v="April 2022"/>
  </r>
  <r>
    <d v="2022-04-16T00:00:00"/>
    <x v="723"/>
    <n v="80"/>
    <x v="2"/>
    <x v="1"/>
    <x v="3"/>
    <x v="1"/>
    <n v="4560.8900000000003"/>
    <x v="0"/>
    <n v="2496.7676064256989"/>
    <n v="5016.97"/>
    <n v="5016.9800000000005"/>
    <n v="5016.9799999999996"/>
    <s v="April 2022"/>
  </r>
  <r>
    <d v="2022-04-16T00:00:00"/>
    <x v="724"/>
    <n v="99"/>
    <x v="0"/>
    <x v="2"/>
    <x v="1"/>
    <x v="3"/>
    <n v="2300.5500000000002"/>
    <x v="0"/>
    <n v="2509.1716796874912"/>
    <n v="2530.6"/>
    <n v="2530.61"/>
    <n v="2530.61"/>
    <s v="April 2022"/>
  </r>
  <r>
    <d v="2022-04-17T00:00:00"/>
    <x v="725"/>
    <n v="1"/>
    <x v="1"/>
    <x v="3"/>
    <x v="3"/>
    <x v="2"/>
    <n v="1447.89"/>
    <x v="2"/>
    <n v="2496.7676064256989"/>
    <n v="1592.67"/>
    <n v="1592.68"/>
    <n v="1592.68"/>
    <s v="April 2022"/>
  </r>
  <r>
    <d v="2022-04-17T00:00:00"/>
    <x v="726"/>
    <n v="42"/>
    <x v="0"/>
    <x v="6"/>
    <x v="0"/>
    <x v="2"/>
    <n v="4011.91"/>
    <x v="1"/>
    <n v="2503.6022787783854"/>
    <n v="4413.1000000000004"/>
    <n v="4413.1100000000006"/>
    <n v="4413.1000000000004"/>
    <s v="April 2022"/>
  </r>
  <r>
    <d v="2022-04-17T00:00:00"/>
    <x v="727"/>
    <n v="8"/>
    <x v="0"/>
    <x v="0"/>
    <x v="1"/>
    <x v="0"/>
    <n v="663.37"/>
    <x v="2"/>
    <n v="2509.1716796874912"/>
    <n v="729.7"/>
    <n v="729.71"/>
    <n v="729.71"/>
    <s v="April 2022"/>
  </r>
  <r>
    <d v="2022-04-17T00:00:00"/>
    <x v="728"/>
    <n v="56"/>
    <x v="0"/>
    <x v="4"/>
    <x v="1"/>
    <x v="1"/>
    <n v="3461.27"/>
    <x v="1"/>
    <n v="2509.1716796874912"/>
    <n v="3807.39"/>
    <n v="3807.4"/>
    <n v="3807.4"/>
    <s v="April 2022"/>
  </r>
  <r>
    <d v="2022-04-17T00:00:00"/>
    <x v="729"/>
    <n v="48"/>
    <x v="1"/>
    <x v="7"/>
    <x v="3"/>
    <x v="3"/>
    <n v="331.56"/>
    <x v="1"/>
    <n v="2496.7676064256989"/>
    <n v="364.71"/>
    <n v="364.71999999999997"/>
    <n v="364.72"/>
    <s v="April 2022"/>
  </r>
  <r>
    <d v="2022-04-17T00:00:00"/>
    <x v="730"/>
    <n v="99"/>
    <x v="1"/>
    <x v="0"/>
    <x v="1"/>
    <x v="3"/>
    <n v="1245.45"/>
    <x v="0"/>
    <n v="2509.1716796874912"/>
    <n v="1369.99"/>
    <n v="1370"/>
    <n v="1370"/>
    <s v="April 2022"/>
  </r>
  <r>
    <d v="2022-04-17T00:00:00"/>
    <x v="731"/>
    <n v="67"/>
    <x v="0"/>
    <x v="4"/>
    <x v="2"/>
    <x v="1"/>
    <n v="3660.69"/>
    <x v="0"/>
    <n v="2440.2966694490838"/>
    <n v="4026.75"/>
    <n v="4026.76"/>
    <n v="4026.76"/>
    <s v="April 2022"/>
  </r>
  <r>
    <d v="2022-04-18T00:00:00"/>
    <x v="732"/>
    <n v="13"/>
    <x v="0"/>
    <x v="1"/>
    <x v="0"/>
    <x v="4"/>
    <n v="2016.5"/>
    <x v="2"/>
    <n v="2503.6022787783854"/>
    <n v="2218.15"/>
    <n v="2218.15"/>
    <n v="2218.15"/>
    <s v="April 2022"/>
  </r>
  <r>
    <d v="2022-04-18T00:00:00"/>
    <x v="733"/>
    <n v="86"/>
    <x v="2"/>
    <x v="1"/>
    <x v="2"/>
    <x v="4"/>
    <n v="1735.25"/>
    <x v="0"/>
    <n v="2440.2966694490838"/>
    <n v="1908.77"/>
    <n v="1908.78"/>
    <n v="1908.78"/>
    <s v="April 2022"/>
  </r>
  <r>
    <d v="2022-04-18T00:00:00"/>
    <x v="734"/>
    <n v="72"/>
    <x v="2"/>
    <x v="2"/>
    <x v="1"/>
    <x v="0"/>
    <n v="2799.39"/>
    <x v="0"/>
    <n v="2509.1716796874912"/>
    <n v="3079.32"/>
    <n v="3079.3300000000004"/>
    <n v="3079.33"/>
    <s v="April 2022"/>
  </r>
  <r>
    <d v="2022-04-18T00:00:00"/>
    <x v="735"/>
    <n v="4"/>
    <x v="0"/>
    <x v="7"/>
    <x v="3"/>
    <x v="1"/>
    <n v="4224.92"/>
    <x v="2"/>
    <n v="2496.7676064256989"/>
    <n v="4647.41"/>
    <n v="4647.42"/>
    <n v="4647.41"/>
    <s v="April 2022"/>
  </r>
  <r>
    <d v="2022-04-18T00:00:00"/>
    <x v="736"/>
    <n v="90"/>
    <x v="1"/>
    <x v="0"/>
    <x v="3"/>
    <x v="3"/>
    <n v="3037.49"/>
    <x v="0"/>
    <n v="2496.7676064256989"/>
    <n v="3341.23"/>
    <n v="3341.2400000000002"/>
    <n v="3341.24"/>
    <s v="April 2022"/>
  </r>
  <r>
    <d v="2022-04-18T00:00:00"/>
    <x v="737"/>
    <n v="68"/>
    <x v="0"/>
    <x v="3"/>
    <x v="0"/>
    <x v="1"/>
    <n v="1484.27"/>
    <x v="0"/>
    <n v="2503.6022787783854"/>
    <n v="1632.69"/>
    <n v="1632.7"/>
    <n v="1632.7"/>
    <s v="April 2022"/>
  </r>
  <r>
    <d v="2022-04-18T00:00:00"/>
    <x v="738"/>
    <n v="51"/>
    <x v="1"/>
    <x v="5"/>
    <x v="1"/>
    <x v="2"/>
    <n v="3013.89"/>
    <x v="1"/>
    <n v="2509.1716796874912"/>
    <n v="3315.27"/>
    <n v="3315.28"/>
    <n v="3315.28"/>
    <s v="April 2022"/>
  </r>
  <r>
    <d v="2022-04-19T00:00:00"/>
    <x v="739"/>
    <n v="33"/>
    <x v="2"/>
    <x v="3"/>
    <x v="1"/>
    <x v="4"/>
    <n v="1815.12"/>
    <x v="1"/>
    <n v="2509.1716796874912"/>
    <n v="1996.63"/>
    <n v="1996.64"/>
    <n v="1996.63"/>
    <s v="April 2022"/>
  </r>
  <r>
    <d v="2022-04-19T00:00:00"/>
    <x v="740"/>
    <n v="95"/>
    <x v="0"/>
    <x v="2"/>
    <x v="3"/>
    <x v="3"/>
    <n v="3707.54"/>
    <x v="0"/>
    <n v="2496.7676064256989"/>
    <n v="4078.29"/>
    <n v="4078.3"/>
    <n v="4078.29"/>
    <s v="April 2022"/>
  </r>
  <r>
    <d v="2022-04-19T00:00:00"/>
    <x v="741"/>
    <n v="34"/>
    <x v="1"/>
    <x v="3"/>
    <x v="2"/>
    <x v="4"/>
    <n v="4669.51"/>
    <x v="1"/>
    <n v="2440.2966694490838"/>
    <n v="5136.46"/>
    <n v="5136.47"/>
    <n v="5136.46"/>
    <s v="April 2022"/>
  </r>
  <r>
    <d v="2022-04-19T00:00:00"/>
    <x v="742"/>
    <n v="59"/>
    <x v="0"/>
    <x v="0"/>
    <x v="1"/>
    <x v="2"/>
    <n v="1656.35"/>
    <x v="1"/>
    <n v="2509.1716796874912"/>
    <n v="1821.98"/>
    <n v="1821.99"/>
    <n v="1821.99"/>
    <s v="April 2022"/>
  </r>
  <r>
    <d v="2022-04-19T00:00:00"/>
    <x v="743"/>
    <n v="93"/>
    <x v="1"/>
    <x v="4"/>
    <x v="3"/>
    <x v="3"/>
    <n v="2223.11"/>
    <x v="0"/>
    <n v="2496.7676064256989"/>
    <n v="2445.42"/>
    <n v="2445.4300000000003"/>
    <n v="2445.42"/>
    <s v="April 2022"/>
  </r>
  <r>
    <d v="2022-04-20T00:00:00"/>
    <x v="744"/>
    <n v="70"/>
    <x v="0"/>
    <x v="1"/>
    <x v="3"/>
    <x v="1"/>
    <n v="626.75"/>
    <x v="0"/>
    <n v="2496.7676064256989"/>
    <n v="689.42"/>
    <n v="689.43"/>
    <n v="689.43"/>
    <s v="April 2022"/>
  </r>
  <r>
    <d v="2022-04-20T00:00:00"/>
    <x v="745"/>
    <n v="26"/>
    <x v="1"/>
    <x v="3"/>
    <x v="1"/>
    <x v="0"/>
    <n v="2424.44"/>
    <x v="1"/>
    <n v="2509.1716796874912"/>
    <n v="2666.88"/>
    <n v="2666.8900000000003"/>
    <n v="2666.88"/>
    <s v="April 2022"/>
  </r>
  <r>
    <d v="2022-04-20T00:00:00"/>
    <x v="746"/>
    <n v="25"/>
    <x v="1"/>
    <x v="4"/>
    <x v="0"/>
    <x v="4"/>
    <n v="3556.23"/>
    <x v="1"/>
    <n v="2503.6022787783854"/>
    <n v="3911.85"/>
    <n v="3911.86"/>
    <n v="3911.85"/>
    <s v="April 2022"/>
  </r>
  <r>
    <d v="2022-04-20T00:00:00"/>
    <x v="747"/>
    <n v="26"/>
    <x v="2"/>
    <x v="0"/>
    <x v="1"/>
    <x v="0"/>
    <n v="4148.12"/>
    <x v="1"/>
    <n v="2509.1716796874912"/>
    <n v="4562.93"/>
    <n v="4562.9400000000005"/>
    <n v="4562.93"/>
    <s v="April 2022"/>
  </r>
  <r>
    <d v="2022-04-20T00:00:00"/>
    <x v="748"/>
    <n v="53"/>
    <x v="2"/>
    <x v="2"/>
    <x v="0"/>
    <x v="1"/>
    <n v="168.42"/>
    <x v="1"/>
    <n v="2503.6022787783854"/>
    <n v="185.26"/>
    <n v="185.26999999999998"/>
    <n v="185.26"/>
    <s v="April 2022"/>
  </r>
  <r>
    <d v="2022-04-20T00:00:00"/>
    <x v="749"/>
    <n v="69"/>
    <x v="1"/>
    <x v="1"/>
    <x v="3"/>
    <x v="1"/>
    <n v="2004.95"/>
    <x v="0"/>
    <n v="2496.7676064256989"/>
    <n v="2205.44"/>
    <n v="2205.4500000000003"/>
    <n v="2205.4499999999998"/>
    <s v="April 2022"/>
  </r>
  <r>
    <d v="2022-04-20T00:00:00"/>
    <x v="750"/>
    <n v="41"/>
    <x v="0"/>
    <x v="4"/>
    <x v="2"/>
    <x v="4"/>
    <n v="1907.18"/>
    <x v="1"/>
    <n v="2440.2966694490838"/>
    <n v="2097.89"/>
    <n v="2097.9"/>
    <n v="2097.9"/>
    <s v="April 2022"/>
  </r>
  <r>
    <d v="2022-04-21T00:00:00"/>
    <x v="751"/>
    <n v="47"/>
    <x v="1"/>
    <x v="1"/>
    <x v="2"/>
    <x v="4"/>
    <n v="1459.39"/>
    <x v="1"/>
    <n v="2440.2966694490838"/>
    <n v="1605.32"/>
    <n v="1605.33"/>
    <n v="1605.33"/>
    <s v="April 2022"/>
  </r>
  <r>
    <d v="2022-04-21T00:00:00"/>
    <x v="752"/>
    <n v="16"/>
    <x v="1"/>
    <x v="4"/>
    <x v="2"/>
    <x v="3"/>
    <n v="4116.59"/>
    <x v="1"/>
    <n v="2440.2966694490838"/>
    <n v="4528.24"/>
    <n v="4528.25"/>
    <n v="4528.25"/>
    <s v="April 2022"/>
  </r>
  <r>
    <d v="2022-04-21T00:00:00"/>
    <x v="753"/>
    <n v="82"/>
    <x v="2"/>
    <x v="0"/>
    <x v="1"/>
    <x v="4"/>
    <n v="388.6"/>
    <x v="0"/>
    <n v="2509.1716796874912"/>
    <n v="427.46"/>
    <n v="427.46"/>
    <n v="427.46"/>
    <s v="April 2022"/>
  </r>
  <r>
    <d v="2022-04-21T00:00:00"/>
    <x v="754"/>
    <n v="57"/>
    <x v="0"/>
    <x v="3"/>
    <x v="3"/>
    <x v="3"/>
    <n v="2712.49"/>
    <x v="1"/>
    <n v="2496.7676064256989"/>
    <n v="2983.73"/>
    <n v="2983.7400000000002"/>
    <n v="2983.74"/>
    <s v="April 2022"/>
  </r>
  <r>
    <d v="2022-04-21T00:00:00"/>
    <x v="755"/>
    <n v="9"/>
    <x v="2"/>
    <x v="5"/>
    <x v="1"/>
    <x v="4"/>
    <n v="1708.35"/>
    <x v="2"/>
    <n v="2509.1716796874912"/>
    <n v="1879.18"/>
    <n v="1879.19"/>
    <n v="1879.19"/>
    <s v="April 2022"/>
  </r>
  <r>
    <d v="2022-04-22T00:00:00"/>
    <x v="756"/>
    <n v="34"/>
    <x v="0"/>
    <x v="3"/>
    <x v="0"/>
    <x v="2"/>
    <n v="1628.76"/>
    <x v="1"/>
    <n v="2503.6022787783854"/>
    <n v="1791.63"/>
    <n v="1791.64"/>
    <n v="1791.64"/>
    <s v="April 2022"/>
  </r>
  <r>
    <d v="2022-04-22T00:00:00"/>
    <x v="757"/>
    <n v="82"/>
    <x v="0"/>
    <x v="0"/>
    <x v="2"/>
    <x v="3"/>
    <n v="610.33000000000004"/>
    <x v="0"/>
    <n v="2440.2966694490838"/>
    <n v="671.36"/>
    <n v="671.37"/>
    <n v="671.36"/>
    <s v="April 2022"/>
  </r>
  <r>
    <d v="2022-04-22T00:00:00"/>
    <x v="758"/>
    <n v="64"/>
    <x v="2"/>
    <x v="4"/>
    <x v="3"/>
    <x v="2"/>
    <n v="200.22"/>
    <x v="1"/>
    <n v="2496.7676064256989"/>
    <n v="220.24"/>
    <n v="220.25"/>
    <n v="220.24"/>
    <s v="April 2022"/>
  </r>
  <r>
    <d v="2022-04-22T00:00:00"/>
    <x v="759"/>
    <n v="78"/>
    <x v="0"/>
    <x v="5"/>
    <x v="1"/>
    <x v="2"/>
    <n v="1805.47"/>
    <x v="0"/>
    <n v="2509.1716796874912"/>
    <n v="1986.01"/>
    <n v="1986.02"/>
    <n v="1986.02"/>
    <s v="April 2022"/>
  </r>
  <r>
    <d v="2022-04-23T00:00:00"/>
    <x v="760"/>
    <n v="35"/>
    <x v="0"/>
    <x v="3"/>
    <x v="3"/>
    <x v="2"/>
    <n v="3669.02"/>
    <x v="1"/>
    <n v="2496.7676064256989"/>
    <n v="4035.92"/>
    <n v="4035.9300000000003"/>
    <n v="4035.92"/>
    <s v="April 2022"/>
  </r>
  <r>
    <d v="2022-04-23T00:00:00"/>
    <x v="761"/>
    <n v="10"/>
    <x v="0"/>
    <x v="0"/>
    <x v="1"/>
    <x v="2"/>
    <n v="4943.4399999999996"/>
    <x v="2"/>
    <n v="2509.1716796874912"/>
    <n v="5437.78"/>
    <n v="5437.79"/>
    <n v="5437.78"/>
    <s v="April 2022"/>
  </r>
  <r>
    <d v="2022-04-23T00:00:00"/>
    <x v="762"/>
    <n v="72"/>
    <x v="0"/>
    <x v="0"/>
    <x v="1"/>
    <x v="3"/>
    <n v="1672.92"/>
    <x v="0"/>
    <n v="2509.1716796874912"/>
    <n v="1840.21"/>
    <n v="1840.22"/>
    <n v="1840.21"/>
    <s v="April 2022"/>
  </r>
  <r>
    <d v="2022-04-23T00:00:00"/>
    <x v="763"/>
    <n v="70"/>
    <x v="0"/>
    <x v="2"/>
    <x v="1"/>
    <x v="1"/>
    <n v="3101.76"/>
    <x v="0"/>
    <n v="2509.1716796874912"/>
    <n v="3411.93"/>
    <n v="3411.94"/>
    <n v="3411.94"/>
    <s v="April 2022"/>
  </r>
  <r>
    <d v="2022-04-24T00:00:00"/>
    <x v="764"/>
    <n v="91"/>
    <x v="0"/>
    <x v="2"/>
    <x v="0"/>
    <x v="2"/>
    <n v="1782.57"/>
    <x v="0"/>
    <n v="2503.6022787783854"/>
    <n v="1960.82"/>
    <n v="1960.83"/>
    <n v="1960.83"/>
    <s v="April 2022"/>
  </r>
  <r>
    <d v="2022-04-24T00:00:00"/>
    <x v="765"/>
    <n v="45"/>
    <x v="2"/>
    <x v="3"/>
    <x v="0"/>
    <x v="4"/>
    <n v="3391.38"/>
    <x v="1"/>
    <n v="2503.6022787783854"/>
    <n v="3730.51"/>
    <n v="3730.5200000000004"/>
    <n v="3730.52"/>
    <s v="April 2022"/>
  </r>
  <r>
    <d v="2022-04-24T00:00:00"/>
    <x v="766"/>
    <n v="99"/>
    <x v="1"/>
    <x v="5"/>
    <x v="0"/>
    <x v="4"/>
    <n v="3068.27"/>
    <x v="0"/>
    <n v="2503.6022787783854"/>
    <n v="3375.09"/>
    <n v="3375.1000000000004"/>
    <n v="3375.1"/>
    <s v="April 2022"/>
  </r>
  <r>
    <d v="2022-04-24T00:00:00"/>
    <x v="767"/>
    <n v="57"/>
    <x v="2"/>
    <x v="6"/>
    <x v="3"/>
    <x v="1"/>
    <n v="1911.8"/>
    <x v="1"/>
    <n v="2496.7676064256989"/>
    <n v="2102.98"/>
    <n v="2102.98"/>
    <n v="2102.98"/>
    <s v="April 2022"/>
  </r>
  <r>
    <d v="2022-04-24T00:00:00"/>
    <x v="768"/>
    <n v="21"/>
    <x v="2"/>
    <x v="5"/>
    <x v="3"/>
    <x v="3"/>
    <n v="1444.44"/>
    <x v="1"/>
    <n v="2496.7676064256989"/>
    <n v="1588.88"/>
    <n v="1588.89"/>
    <n v="1588.88"/>
    <s v="April 2022"/>
  </r>
  <r>
    <d v="2022-04-24T00:00:00"/>
    <x v="769"/>
    <n v="13"/>
    <x v="2"/>
    <x v="5"/>
    <x v="0"/>
    <x v="4"/>
    <n v="1954.35"/>
    <x v="2"/>
    <n v="2503.6022787783854"/>
    <n v="2149.7800000000002"/>
    <n v="2149.7900000000004"/>
    <n v="2149.79"/>
    <s v="April 2022"/>
  </r>
  <r>
    <d v="2022-04-24T00:00:00"/>
    <x v="770"/>
    <n v="18"/>
    <x v="0"/>
    <x v="5"/>
    <x v="3"/>
    <x v="1"/>
    <n v="1939.8"/>
    <x v="1"/>
    <n v="2496.7676064256989"/>
    <n v="2133.7800000000002"/>
    <n v="2133.7800000000002"/>
    <n v="2133.7800000000002"/>
    <s v="April 2022"/>
  </r>
  <r>
    <d v="2022-04-24T00:00:00"/>
    <x v="771"/>
    <n v="18"/>
    <x v="0"/>
    <x v="4"/>
    <x v="1"/>
    <x v="1"/>
    <n v="1036.5"/>
    <x v="1"/>
    <n v="2509.1716796874912"/>
    <n v="1140.1500000000001"/>
    <n v="1140.1500000000001"/>
    <n v="1140.1500000000001"/>
    <s v="April 2022"/>
  </r>
  <r>
    <d v="2022-04-24T00:00:00"/>
    <x v="772"/>
    <n v="98"/>
    <x v="2"/>
    <x v="0"/>
    <x v="3"/>
    <x v="0"/>
    <n v="3369.79"/>
    <x v="0"/>
    <n v="2496.7676064256989"/>
    <n v="3706.76"/>
    <n v="3706.7700000000004"/>
    <n v="3706.77"/>
    <s v="April 2022"/>
  </r>
  <r>
    <d v="2022-04-24T00:00:00"/>
    <x v="773"/>
    <n v="13"/>
    <x v="2"/>
    <x v="1"/>
    <x v="0"/>
    <x v="1"/>
    <n v="2534.1799999999998"/>
    <x v="2"/>
    <n v="2503.6022787783854"/>
    <n v="2787.59"/>
    <n v="2787.6000000000004"/>
    <n v="2787.6"/>
    <s v="April 2022"/>
  </r>
  <r>
    <d v="2022-04-24T00:00:00"/>
    <x v="774"/>
    <n v="16"/>
    <x v="0"/>
    <x v="3"/>
    <x v="0"/>
    <x v="2"/>
    <n v="1106.43"/>
    <x v="1"/>
    <n v="2503.6022787783854"/>
    <n v="1217.07"/>
    <n v="1217.08"/>
    <n v="1217.07"/>
    <s v="April 2022"/>
  </r>
  <r>
    <d v="2022-04-24T00:00:00"/>
    <x v="775"/>
    <n v="11"/>
    <x v="0"/>
    <x v="4"/>
    <x v="2"/>
    <x v="1"/>
    <n v="561.25"/>
    <x v="2"/>
    <n v="2440.2966694490838"/>
    <n v="617.37"/>
    <n v="617.38"/>
    <n v="617.38"/>
    <s v="April 2022"/>
  </r>
  <r>
    <d v="2022-04-24T00:00:00"/>
    <x v="776"/>
    <n v="86"/>
    <x v="1"/>
    <x v="0"/>
    <x v="2"/>
    <x v="0"/>
    <n v="691.32"/>
    <x v="0"/>
    <n v="2440.2966694490838"/>
    <n v="760.45"/>
    <n v="760.46"/>
    <n v="760.45"/>
    <s v="April 2022"/>
  </r>
  <r>
    <d v="2022-04-25T00:00:00"/>
    <x v="777"/>
    <n v="11"/>
    <x v="2"/>
    <x v="6"/>
    <x v="0"/>
    <x v="1"/>
    <n v="4685.3999999999996"/>
    <x v="2"/>
    <n v="2503.6022787783854"/>
    <n v="5153.9399999999996"/>
    <n v="5153.9399999999996"/>
    <n v="5153.9399999999996"/>
    <s v="April 2022"/>
  </r>
  <r>
    <d v="2022-04-25T00:00:00"/>
    <x v="778"/>
    <n v="98"/>
    <x v="0"/>
    <x v="0"/>
    <x v="3"/>
    <x v="0"/>
    <n v="4716.3999999999996"/>
    <x v="0"/>
    <n v="2496.7676064256989"/>
    <n v="5188.04"/>
    <n v="5188.04"/>
    <n v="5188.04"/>
    <s v="April 2022"/>
  </r>
  <r>
    <d v="2022-04-25T00:00:00"/>
    <x v="779"/>
    <n v="35"/>
    <x v="2"/>
    <x v="0"/>
    <x v="2"/>
    <x v="4"/>
    <n v="1988.28"/>
    <x v="1"/>
    <n v="2440.2966694490838"/>
    <n v="2187.1"/>
    <n v="2187.11"/>
    <n v="2187.11"/>
    <s v="April 2022"/>
  </r>
  <r>
    <d v="2022-04-25T00:00:00"/>
    <x v="780"/>
    <n v="65"/>
    <x v="2"/>
    <x v="3"/>
    <x v="3"/>
    <x v="2"/>
    <n v="1116.0999999999999"/>
    <x v="0"/>
    <n v="2496.7676064256989"/>
    <n v="1227.71"/>
    <n v="1227.71"/>
    <n v="1227.71"/>
    <s v="April 2022"/>
  </r>
  <r>
    <d v="2022-04-25T00:00:00"/>
    <x v="781"/>
    <n v="75"/>
    <x v="0"/>
    <x v="3"/>
    <x v="0"/>
    <x v="0"/>
    <n v="2614.7399999999998"/>
    <x v="0"/>
    <n v="2503.6022787783854"/>
    <n v="2876.21"/>
    <n v="2876.2200000000003"/>
    <n v="2876.21"/>
    <s v="April 2022"/>
  </r>
  <r>
    <d v="2022-04-25T00:00:00"/>
    <x v="782"/>
    <n v="60"/>
    <x v="2"/>
    <x v="7"/>
    <x v="0"/>
    <x v="3"/>
    <n v="3091.33"/>
    <x v="1"/>
    <n v="2503.6022787783854"/>
    <n v="3400.46"/>
    <n v="3400.4700000000003"/>
    <n v="3400.46"/>
    <s v="April 2022"/>
  </r>
  <r>
    <d v="2022-04-25T00:00:00"/>
    <x v="783"/>
    <n v="5"/>
    <x v="2"/>
    <x v="5"/>
    <x v="0"/>
    <x v="4"/>
    <n v="4738.5200000000004"/>
    <x v="2"/>
    <n v="2503.6022787783854"/>
    <n v="5212.37"/>
    <n v="5212.38"/>
    <n v="5212.37"/>
    <s v="April 2022"/>
  </r>
  <r>
    <d v="2022-04-25T00:00:00"/>
    <x v="784"/>
    <n v="76"/>
    <x v="2"/>
    <x v="2"/>
    <x v="2"/>
    <x v="0"/>
    <n v="2543.4899999999998"/>
    <x v="0"/>
    <n v="2440.2966694490838"/>
    <n v="2797.83"/>
    <n v="2797.84"/>
    <n v="2797.84"/>
    <s v="April 2022"/>
  </r>
  <r>
    <d v="2022-04-25T00:00:00"/>
    <x v="785"/>
    <n v="52"/>
    <x v="2"/>
    <x v="0"/>
    <x v="2"/>
    <x v="0"/>
    <n v="1462.55"/>
    <x v="1"/>
    <n v="2440.2966694490838"/>
    <n v="1608.8"/>
    <n v="1608.81"/>
    <n v="1608.81"/>
    <s v="April 2022"/>
  </r>
  <r>
    <d v="2022-04-26T00:00:00"/>
    <x v="786"/>
    <n v="27"/>
    <x v="0"/>
    <x v="4"/>
    <x v="3"/>
    <x v="3"/>
    <n v="2137.04"/>
    <x v="1"/>
    <n v="2496.7676064256989"/>
    <n v="2350.7399999999998"/>
    <n v="2350.75"/>
    <n v="2350.7399999999998"/>
    <s v="April 2022"/>
  </r>
  <r>
    <d v="2022-04-26T00:00:00"/>
    <x v="787"/>
    <n v="62"/>
    <x v="1"/>
    <x v="1"/>
    <x v="0"/>
    <x v="0"/>
    <n v="1839.94"/>
    <x v="1"/>
    <n v="2503.6022787783854"/>
    <n v="2023.93"/>
    <n v="2023.94"/>
    <n v="2023.93"/>
    <s v="April 2022"/>
  </r>
  <r>
    <d v="2022-04-26T00:00:00"/>
    <x v="788"/>
    <n v="64"/>
    <x v="0"/>
    <x v="1"/>
    <x v="1"/>
    <x v="2"/>
    <n v="1487.3"/>
    <x v="1"/>
    <n v="2509.1716796874912"/>
    <n v="1636.03"/>
    <n v="1636.03"/>
    <n v="1636.03"/>
    <s v="April 2022"/>
  </r>
  <r>
    <d v="2022-04-26T00:00:00"/>
    <x v="789"/>
    <n v="93"/>
    <x v="1"/>
    <x v="5"/>
    <x v="1"/>
    <x v="3"/>
    <n v="1349.59"/>
    <x v="0"/>
    <n v="2509.1716796874912"/>
    <n v="1484.54"/>
    <n v="1484.55"/>
    <n v="1484.55"/>
    <s v="April 2022"/>
  </r>
  <r>
    <d v="2022-04-26T00:00:00"/>
    <x v="790"/>
    <n v="94"/>
    <x v="2"/>
    <x v="1"/>
    <x v="1"/>
    <x v="4"/>
    <n v="3567.5"/>
    <x v="0"/>
    <n v="2509.1716796874912"/>
    <n v="3924.25"/>
    <n v="3924.25"/>
    <n v="3924.25"/>
    <s v="April 2022"/>
  </r>
  <r>
    <d v="2022-04-26T00:00:00"/>
    <x v="791"/>
    <n v="47"/>
    <x v="2"/>
    <x v="0"/>
    <x v="1"/>
    <x v="3"/>
    <n v="2433"/>
    <x v="1"/>
    <n v="2509.1716796874912"/>
    <n v="2676.3"/>
    <n v="2676.3"/>
    <n v="2676.3"/>
    <s v="April 2022"/>
  </r>
  <r>
    <d v="2022-04-27T00:00:00"/>
    <x v="792"/>
    <n v="39"/>
    <x v="1"/>
    <x v="3"/>
    <x v="2"/>
    <x v="2"/>
    <n v="2737.71"/>
    <x v="1"/>
    <n v="2440.2966694490838"/>
    <n v="3011.48"/>
    <n v="3011.4900000000002"/>
    <n v="3011.48"/>
    <s v="April 2022"/>
  </r>
  <r>
    <d v="2022-04-27T00:00:00"/>
    <x v="793"/>
    <n v="95"/>
    <x v="1"/>
    <x v="5"/>
    <x v="2"/>
    <x v="4"/>
    <n v="1769.57"/>
    <x v="0"/>
    <n v="2440.2966694490838"/>
    <n v="1946.52"/>
    <n v="1946.53"/>
    <n v="1946.53"/>
    <s v="April 2022"/>
  </r>
  <r>
    <d v="2022-04-27T00:00:00"/>
    <x v="794"/>
    <n v="81"/>
    <x v="2"/>
    <x v="7"/>
    <x v="1"/>
    <x v="1"/>
    <n v="1530.3"/>
    <x v="0"/>
    <n v="2509.1716796874912"/>
    <n v="1683.33"/>
    <n v="1683.33"/>
    <n v="1683.33"/>
    <s v="April 2022"/>
  </r>
  <r>
    <d v="2022-04-27T00:00:00"/>
    <x v="795"/>
    <n v="68"/>
    <x v="2"/>
    <x v="2"/>
    <x v="1"/>
    <x v="2"/>
    <n v="2002.1"/>
    <x v="0"/>
    <n v="2509.1716796874912"/>
    <n v="2202.31"/>
    <n v="2202.31"/>
    <n v="2202.31"/>
    <s v="April 2022"/>
  </r>
  <r>
    <d v="2022-04-27T00:00:00"/>
    <x v="796"/>
    <n v="99"/>
    <x v="2"/>
    <x v="1"/>
    <x v="2"/>
    <x v="1"/>
    <n v="2668.57"/>
    <x v="0"/>
    <n v="2440.2966694490838"/>
    <n v="2935.42"/>
    <n v="2935.4300000000003"/>
    <n v="2935.43"/>
    <s v="April 2022"/>
  </r>
  <r>
    <d v="2022-04-27T00:00:00"/>
    <x v="797"/>
    <n v="19"/>
    <x v="2"/>
    <x v="3"/>
    <x v="0"/>
    <x v="3"/>
    <n v="2640.64"/>
    <x v="1"/>
    <n v="2503.6022787783854"/>
    <n v="2904.7"/>
    <n v="2904.71"/>
    <n v="2904.7"/>
    <s v="April 2022"/>
  </r>
  <r>
    <d v="2022-04-27T00:00:00"/>
    <x v="798"/>
    <n v="90"/>
    <x v="0"/>
    <x v="2"/>
    <x v="1"/>
    <x v="1"/>
    <n v="4578.37"/>
    <x v="0"/>
    <n v="2509.1716796874912"/>
    <n v="5036.2"/>
    <n v="5036.21"/>
    <n v="5036.21"/>
    <s v="April 2022"/>
  </r>
  <r>
    <d v="2022-04-27T00:00:00"/>
    <x v="799"/>
    <n v="64"/>
    <x v="1"/>
    <x v="4"/>
    <x v="1"/>
    <x v="4"/>
    <n v="4306.12"/>
    <x v="1"/>
    <n v="2509.1716796874912"/>
    <n v="4736.7299999999996"/>
    <n v="4736.74"/>
    <n v="4736.7299999999996"/>
    <s v="April 2022"/>
  </r>
  <r>
    <d v="2022-04-28T00:00:00"/>
    <x v="800"/>
    <n v="73"/>
    <x v="1"/>
    <x v="4"/>
    <x v="0"/>
    <x v="3"/>
    <n v="427.69"/>
    <x v="0"/>
    <n v="2503.6022787783854"/>
    <n v="470.45"/>
    <n v="470.46"/>
    <n v="470.46"/>
    <s v="April 2022"/>
  </r>
  <r>
    <d v="2022-04-28T00:00:00"/>
    <x v="801"/>
    <n v="97"/>
    <x v="2"/>
    <x v="0"/>
    <x v="3"/>
    <x v="1"/>
    <n v="2273.96"/>
    <x v="0"/>
    <n v="2496.7676064256989"/>
    <n v="2501.35"/>
    <n v="2501.36"/>
    <n v="2501.36"/>
    <s v="April 2022"/>
  </r>
  <r>
    <d v="2022-04-28T00:00:00"/>
    <x v="802"/>
    <n v="81"/>
    <x v="1"/>
    <x v="4"/>
    <x v="3"/>
    <x v="0"/>
    <n v="3139.33"/>
    <x v="0"/>
    <n v="2496.7676064256989"/>
    <n v="3453.26"/>
    <n v="3453.2700000000004"/>
    <n v="3453.26"/>
    <s v="April 2022"/>
  </r>
  <r>
    <d v="2022-04-28T00:00:00"/>
    <x v="803"/>
    <n v="44"/>
    <x v="2"/>
    <x v="0"/>
    <x v="0"/>
    <x v="4"/>
    <n v="232.28"/>
    <x v="1"/>
    <n v="2503.6022787783854"/>
    <n v="255.5"/>
    <n v="255.51"/>
    <n v="255.51"/>
    <s v="April 2022"/>
  </r>
  <r>
    <d v="2022-04-28T00:00:00"/>
    <x v="804"/>
    <n v="54"/>
    <x v="2"/>
    <x v="3"/>
    <x v="1"/>
    <x v="3"/>
    <n v="3437"/>
    <x v="1"/>
    <n v="2509.1716796874912"/>
    <n v="3780.7"/>
    <n v="3780.7"/>
    <n v="3780.7"/>
    <s v="April 2022"/>
  </r>
  <r>
    <d v="2022-04-28T00:00:00"/>
    <x v="805"/>
    <n v="86"/>
    <x v="1"/>
    <x v="1"/>
    <x v="0"/>
    <x v="3"/>
    <n v="2797.71"/>
    <x v="0"/>
    <n v="2503.6022787783854"/>
    <n v="3077.48"/>
    <n v="3077.4900000000002"/>
    <n v="3077.48"/>
    <s v="April 2022"/>
  </r>
  <r>
    <d v="2022-04-29T00:00:00"/>
    <x v="806"/>
    <n v="46"/>
    <x v="2"/>
    <x v="3"/>
    <x v="3"/>
    <x v="0"/>
    <n v="2175.02"/>
    <x v="1"/>
    <n v="2496.7676064256989"/>
    <n v="2392.52"/>
    <n v="2392.5300000000002"/>
    <n v="2392.52"/>
    <s v="April 2022"/>
  </r>
  <r>
    <d v="2022-04-29T00:00:00"/>
    <x v="807"/>
    <n v="95"/>
    <x v="1"/>
    <x v="0"/>
    <x v="1"/>
    <x v="2"/>
    <n v="1780.88"/>
    <x v="0"/>
    <n v="2509.1716796874912"/>
    <n v="1958.96"/>
    <n v="1958.97"/>
    <n v="1958.97"/>
    <s v="April 2022"/>
  </r>
  <r>
    <d v="2022-04-29T00:00:00"/>
    <x v="808"/>
    <n v="41"/>
    <x v="2"/>
    <x v="4"/>
    <x v="2"/>
    <x v="2"/>
    <n v="4832.2700000000004"/>
    <x v="1"/>
    <n v="2440.2966694490838"/>
    <n v="5315.49"/>
    <n v="5315.5"/>
    <n v="5315.5"/>
    <s v="April 2022"/>
  </r>
  <r>
    <d v="2022-04-29T00:00:00"/>
    <x v="809"/>
    <n v="31"/>
    <x v="1"/>
    <x v="5"/>
    <x v="1"/>
    <x v="1"/>
    <n v="4008.38"/>
    <x v="1"/>
    <n v="2509.1716796874912"/>
    <n v="4409.21"/>
    <n v="4409.22"/>
    <n v="4409.22"/>
    <s v="April 2022"/>
  </r>
  <r>
    <d v="2022-04-29T00:00:00"/>
    <x v="810"/>
    <n v="67"/>
    <x v="0"/>
    <x v="4"/>
    <x v="1"/>
    <x v="2"/>
    <n v="3387.18"/>
    <x v="0"/>
    <n v="2509.1716796874912"/>
    <n v="3725.89"/>
    <n v="3725.9"/>
    <n v="3725.9"/>
    <s v="April 2022"/>
  </r>
  <r>
    <d v="2022-04-29T00:00:00"/>
    <x v="811"/>
    <n v="47"/>
    <x v="1"/>
    <x v="0"/>
    <x v="0"/>
    <x v="0"/>
    <n v="3397.81"/>
    <x v="1"/>
    <n v="2503.6022787783854"/>
    <n v="3737.59"/>
    <n v="3737.6000000000004"/>
    <n v="3737.59"/>
    <s v="April 2022"/>
  </r>
  <r>
    <d v="2022-04-29T00:00:00"/>
    <x v="812"/>
    <n v="38"/>
    <x v="0"/>
    <x v="1"/>
    <x v="1"/>
    <x v="2"/>
    <n v="2143.04"/>
    <x v="1"/>
    <n v="2509.1716796874912"/>
    <n v="2357.34"/>
    <n v="2357.3500000000004"/>
    <n v="2357.34"/>
    <s v="April 2022"/>
  </r>
  <r>
    <d v="2022-04-30T00:00:00"/>
    <x v="813"/>
    <n v="93"/>
    <x v="0"/>
    <x v="2"/>
    <x v="1"/>
    <x v="0"/>
    <n v="147.78"/>
    <x v="0"/>
    <n v="2509.1716796874912"/>
    <n v="162.55000000000001"/>
    <n v="162.56"/>
    <n v="162.56"/>
    <s v="April 2022"/>
  </r>
  <r>
    <d v="2022-04-30T00:00:00"/>
    <x v="814"/>
    <n v="4"/>
    <x v="0"/>
    <x v="3"/>
    <x v="1"/>
    <x v="0"/>
    <n v="2245.0100000000002"/>
    <x v="2"/>
    <n v="2509.1716796874912"/>
    <n v="2469.5100000000002"/>
    <n v="2469.5200000000004"/>
    <n v="2469.5100000000002"/>
    <s v="April 2022"/>
  </r>
  <r>
    <d v="2022-04-30T00:00:00"/>
    <x v="815"/>
    <n v="67"/>
    <x v="2"/>
    <x v="3"/>
    <x v="2"/>
    <x v="1"/>
    <n v="2892.04"/>
    <x v="0"/>
    <n v="2440.2966694490838"/>
    <n v="3181.24"/>
    <n v="3181.25"/>
    <n v="3181.24"/>
    <s v="April 2022"/>
  </r>
  <r>
    <d v="2022-04-30T00:00:00"/>
    <x v="816"/>
    <n v="49"/>
    <x v="2"/>
    <x v="3"/>
    <x v="2"/>
    <x v="4"/>
    <n v="1700.29"/>
    <x v="1"/>
    <n v="2440.2966694490838"/>
    <n v="1870.31"/>
    <n v="1870.32"/>
    <n v="1870.32"/>
    <s v="April 2022"/>
  </r>
  <r>
    <d v="2022-04-30T00:00:00"/>
    <x v="817"/>
    <n v="66"/>
    <x v="0"/>
    <x v="4"/>
    <x v="0"/>
    <x v="0"/>
    <n v="376.96"/>
    <x v="0"/>
    <n v="2503.6022787783854"/>
    <n v="414.65"/>
    <n v="414.65999999999997"/>
    <n v="414.66"/>
    <s v="April 2022"/>
  </r>
  <r>
    <d v="2022-05-01T00:00:00"/>
    <x v="818"/>
    <n v="64"/>
    <x v="2"/>
    <x v="0"/>
    <x v="0"/>
    <x v="1"/>
    <n v="1347.97"/>
    <x v="1"/>
    <n v="2503.6022787783854"/>
    <n v="1482.76"/>
    <n v="1482.77"/>
    <n v="1482.77"/>
    <s v="May 2022"/>
  </r>
  <r>
    <d v="2022-05-01T00:00:00"/>
    <x v="819"/>
    <n v="38"/>
    <x v="2"/>
    <x v="4"/>
    <x v="3"/>
    <x v="3"/>
    <n v="1367.8"/>
    <x v="1"/>
    <n v="2496.7676064256989"/>
    <n v="1504.58"/>
    <n v="1504.58"/>
    <n v="1504.58"/>
    <s v="May 2022"/>
  </r>
  <r>
    <d v="2022-05-01T00:00:00"/>
    <x v="820"/>
    <n v="66"/>
    <x v="2"/>
    <x v="2"/>
    <x v="1"/>
    <x v="5"/>
    <n v="249.92"/>
    <x v="0"/>
    <n v="2509.1716796874912"/>
    <n v="274.91000000000003"/>
    <n v="274.92"/>
    <n v="274.91000000000003"/>
    <s v="May 2022"/>
  </r>
  <r>
    <d v="2022-05-01T00:00:00"/>
    <x v="821"/>
    <n v="24"/>
    <x v="0"/>
    <x v="5"/>
    <x v="2"/>
    <x v="2"/>
    <n v="4415.12"/>
    <x v="1"/>
    <n v="2440.2966694490838"/>
    <n v="4856.63"/>
    <n v="4856.6400000000003"/>
    <n v="4856.63"/>
    <s v="May 2022"/>
  </r>
  <r>
    <d v="2022-05-01T00:00:00"/>
    <x v="822"/>
    <n v="46"/>
    <x v="0"/>
    <x v="7"/>
    <x v="3"/>
    <x v="3"/>
    <n v="1040.72"/>
    <x v="1"/>
    <n v="2496.7676064256989"/>
    <n v="1144.79"/>
    <n v="1144.8"/>
    <n v="1144.79"/>
    <s v="May 2022"/>
  </r>
  <r>
    <d v="2022-05-01T00:00:00"/>
    <x v="823"/>
    <n v="7"/>
    <x v="1"/>
    <x v="1"/>
    <x v="0"/>
    <x v="1"/>
    <n v="232.19"/>
    <x v="2"/>
    <n v="2503.6022787783854"/>
    <n v="255.4"/>
    <n v="255.41"/>
    <n v="255.41"/>
    <s v="May 2022"/>
  </r>
  <r>
    <d v="2022-05-01T00:00:00"/>
    <x v="824"/>
    <n v="81"/>
    <x v="1"/>
    <x v="2"/>
    <x v="3"/>
    <x v="2"/>
    <n v="3652.97"/>
    <x v="0"/>
    <n v="2496.7676064256989"/>
    <n v="4018.26"/>
    <n v="4018.2700000000004"/>
    <n v="4018.27"/>
    <s v="May 2022"/>
  </r>
  <r>
    <d v="2022-05-01T00:00:00"/>
    <x v="825"/>
    <n v="97"/>
    <x v="0"/>
    <x v="1"/>
    <x v="1"/>
    <x v="2"/>
    <n v="2624.03"/>
    <x v="0"/>
    <n v="2509.1716796874912"/>
    <n v="2886.43"/>
    <n v="2886.44"/>
    <n v="2886.43"/>
    <s v="May 2022"/>
  </r>
  <r>
    <d v="2022-05-02T00:00:00"/>
    <x v="826"/>
    <n v="39"/>
    <x v="0"/>
    <x v="6"/>
    <x v="2"/>
    <x v="1"/>
    <n v="4890"/>
    <x v="1"/>
    <n v="2440.2966694490838"/>
    <n v="5379"/>
    <n v="5379"/>
    <n v="5379"/>
    <s v="May 2022"/>
  </r>
  <r>
    <d v="2022-05-02T00:00:00"/>
    <x v="827"/>
    <n v="88"/>
    <x v="2"/>
    <x v="6"/>
    <x v="1"/>
    <x v="4"/>
    <n v="4053.72"/>
    <x v="0"/>
    <n v="2509.1716796874912"/>
    <n v="4459.09"/>
    <n v="4459.1000000000004"/>
    <n v="4459.09"/>
    <s v="May 2022"/>
  </r>
  <r>
    <d v="2022-05-02T00:00:00"/>
    <x v="828"/>
    <n v="17"/>
    <x v="1"/>
    <x v="6"/>
    <x v="0"/>
    <x v="2"/>
    <n v="1224.3800000000001"/>
    <x v="1"/>
    <n v="2503.6022787783854"/>
    <n v="1346.81"/>
    <n v="1346.82"/>
    <n v="1346.82"/>
    <s v="May 2022"/>
  </r>
  <r>
    <d v="2022-05-02T00:00:00"/>
    <x v="829"/>
    <n v="71"/>
    <x v="2"/>
    <x v="1"/>
    <x v="2"/>
    <x v="4"/>
    <n v="3000.92"/>
    <x v="0"/>
    <n v="2440.2966694490838"/>
    <n v="3301.01"/>
    <n v="3301.0200000000004"/>
    <n v="3301.01"/>
    <s v="May 2022"/>
  </r>
  <r>
    <d v="2022-05-02T00:00:00"/>
    <x v="830"/>
    <n v="38"/>
    <x v="1"/>
    <x v="7"/>
    <x v="1"/>
    <x v="4"/>
    <n v="653.99"/>
    <x v="1"/>
    <n v="2509.1716796874912"/>
    <n v="719.38"/>
    <n v="719.39"/>
    <n v="719.39"/>
    <s v="May 2022"/>
  </r>
  <r>
    <d v="2022-05-02T00:00:00"/>
    <x v="831"/>
    <n v="96"/>
    <x v="0"/>
    <x v="3"/>
    <x v="1"/>
    <x v="0"/>
    <n v="4300.07"/>
    <x v="0"/>
    <n v="2509.1716796874912"/>
    <n v="4730.07"/>
    <n v="4730.08"/>
    <n v="4730.08"/>
    <s v="May 2022"/>
  </r>
  <r>
    <d v="2022-05-02T00:00:00"/>
    <x v="832"/>
    <n v="89"/>
    <x v="2"/>
    <x v="2"/>
    <x v="2"/>
    <x v="1"/>
    <n v="4175.2"/>
    <x v="0"/>
    <n v="2440.2966694490838"/>
    <n v="4592.72"/>
    <n v="4592.72"/>
    <n v="4592.72"/>
    <s v="May 2022"/>
  </r>
  <r>
    <d v="2022-05-02T00:00:00"/>
    <x v="833"/>
    <n v="55"/>
    <x v="2"/>
    <x v="1"/>
    <x v="3"/>
    <x v="1"/>
    <n v="2906.41"/>
    <x v="1"/>
    <n v="2496.7676064256989"/>
    <n v="3197.05"/>
    <n v="3197.0600000000004"/>
    <n v="3197.05"/>
    <s v="May 2022"/>
  </r>
  <r>
    <d v="2022-05-02T00:00:00"/>
    <x v="834"/>
    <n v="3"/>
    <x v="0"/>
    <x v="0"/>
    <x v="2"/>
    <x v="3"/>
    <n v="4625.05"/>
    <x v="2"/>
    <n v="2440.2966694490838"/>
    <n v="5087.55"/>
    <n v="5087.5600000000004"/>
    <n v="5087.5600000000004"/>
    <s v="May 2022"/>
  </r>
  <r>
    <d v="2022-05-03T00:00:00"/>
    <x v="835"/>
    <n v="86"/>
    <x v="0"/>
    <x v="2"/>
    <x v="1"/>
    <x v="0"/>
    <n v="3445.87"/>
    <x v="0"/>
    <n v="2509.1716796874912"/>
    <n v="3790.45"/>
    <n v="3790.46"/>
    <n v="3790.46"/>
    <s v="May 2022"/>
  </r>
  <r>
    <d v="2022-05-03T00:00:00"/>
    <x v="836"/>
    <n v="20"/>
    <x v="0"/>
    <x v="3"/>
    <x v="0"/>
    <x v="1"/>
    <n v="1562.75"/>
    <x v="1"/>
    <n v="2503.6022787783854"/>
    <n v="1719.02"/>
    <n v="1719.03"/>
    <n v="1719.03"/>
    <s v="May 2022"/>
  </r>
  <r>
    <d v="2022-05-03T00:00:00"/>
    <x v="837"/>
    <n v="13"/>
    <x v="0"/>
    <x v="6"/>
    <x v="1"/>
    <x v="3"/>
    <n v="3142.61"/>
    <x v="2"/>
    <n v="2509.1716796874912"/>
    <n v="3456.87"/>
    <n v="3456.88"/>
    <n v="3456.87"/>
    <s v="May 2022"/>
  </r>
  <r>
    <d v="2022-05-03T00:00:00"/>
    <x v="838"/>
    <n v="19"/>
    <x v="0"/>
    <x v="2"/>
    <x v="1"/>
    <x v="4"/>
    <n v="1123.72"/>
    <x v="1"/>
    <n v="2509.1716796874912"/>
    <n v="1236.0899999999999"/>
    <n v="1236.0999999999999"/>
    <n v="1236.0899999999999"/>
    <s v="May 2022"/>
  </r>
  <r>
    <d v="2022-05-03T00:00:00"/>
    <x v="839"/>
    <n v="8"/>
    <x v="0"/>
    <x v="3"/>
    <x v="2"/>
    <x v="3"/>
    <n v="2454.66"/>
    <x v="2"/>
    <n v="2440.2966694490838"/>
    <n v="2700.12"/>
    <n v="2700.13"/>
    <n v="2700.13"/>
    <s v="May 2022"/>
  </r>
  <r>
    <d v="2022-05-03T00:00:00"/>
    <x v="840"/>
    <n v="86"/>
    <x v="2"/>
    <x v="2"/>
    <x v="1"/>
    <x v="2"/>
    <n v="4116.82"/>
    <x v="0"/>
    <n v="2509.1716796874912"/>
    <n v="4528.5"/>
    <n v="4528.51"/>
    <n v="4528.5"/>
    <s v="May 2022"/>
  </r>
  <r>
    <d v="2022-05-03T00:00:00"/>
    <x v="841"/>
    <n v="49"/>
    <x v="1"/>
    <x v="1"/>
    <x v="3"/>
    <x v="0"/>
    <n v="1552.53"/>
    <x v="1"/>
    <n v="2496.7676064256989"/>
    <n v="1707.78"/>
    <n v="1707.79"/>
    <n v="1707.78"/>
    <s v="May 2022"/>
  </r>
  <r>
    <d v="2022-05-03T00:00:00"/>
    <x v="842"/>
    <n v="25"/>
    <x v="1"/>
    <x v="2"/>
    <x v="3"/>
    <x v="3"/>
    <n v="2814.52"/>
    <x v="1"/>
    <n v="2496.7676064256989"/>
    <n v="3095.97"/>
    <n v="3095.98"/>
    <n v="3095.97"/>
    <s v="May 2022"/>
  </r>
  <r>
    <d v="2022-05-04T00:00:00"/>
    <x v="843"/>
    <n v="95"/>
    <x v="2"/>
    <x v="6"/>
    <x v="1"/>
    <x v="5"/>
    <n v="3826.97"/>
    <x v="0"/>
    <n v="2509.1716796874912"/>
    <n v="4209.66"/>
    <n v="4209.67"/>
    <n v="4209.67"/>
    <s v="May 2022"/>
  </r>
  <r>
    <d v="2022-05-04T00:00:00"/>
    <x v="844"/>
    <n v="4"/>
    <x v="0"/>
    <x v="3"/>
    <x v="0"/>
    <x v="4"/>
    <n v="853.72"/>
    <x v="2"/>
    <n v="2503.6022787783854"/>
    <n v="939.09"/>
    <n v="939.1"/>
    <n v="939.09"/>
    <s v="May 2022"/>
  </r>
  <r>
    <d v="2022-05-04T00:00:00"/>
    <x v="845"/>
    <n v="0"/>
    <x v="0"/>
    <x v="3"/>
    <x v="2"/>
    <x v="3"/>
    <n v="3160.5"/>
    <x v="2"/>
    <n v="2440.2966694490838"/>
    <n v="3476.55"/>
    <n v="3476.55"/>
    <n v="3476.55"/>
    <s v="May 2022"/>
  </r>
  <r>
    <d v="2022-05-04T00:00:00"/>
    <x v="846"/>
    <n v="1"/>
    <x v="2"/>
    <x v="2"/>
    <x v="0"/>
    <x v="3"/>
    <n v="474.02"/>
    <x v="2"/>
    <n v="2503.6022787783854"/>
    <n v="521.41999999999996"/>
    <n v="521.42999999999995"/>
    <n v="521.41999999999996"/>
    <s v="May 2022"/>
  </r>
  <r>
    <d v="2022-05-05T00:00:00"/>
    <x v="847"/>
    <n v="82"/>
    <x v="0"/>
    <x v="4"/>
    <x v="3"/>
    <x v="1"/>
    <n v="1836.29"/>
    <x v="0"/>
    <n v="2496.7676064256989"/>
    <n v="2019.91"/>
    <n v="2019.92"/>
    <n v="2019.92"/>
    <s v="May 2022"/>
  </r>
  <r>
    <d v="2022-05-05T00:00:00"/>
    <x v="848"/>
    <n v="80"/>
    <x v="2"/>
    <x v="7"/>
    <x v="1"/>
    <x v="4"/>
    <n v="1694.52"/>
    <x v="0"/>
    <n v="2509.1716796874912"/>
    <n v="1863.97"/>
    <n v="1863.98"/>
    <n v="1863.97"/>
    <s v="May 2022"/>
  </r>
  <r>
    <d v="2022-05-05T00:00:00"/>
    <x v="849"/>
    <n v="31"/>
    <x v="2"/>
    <x v="4"/>
    <x v="1"/>
    <x v="3"/>
    <n v="94.29"/>
    <x v="1"/>
    <n v="2509.1716796874912"/>
    <n v="103.71"/>
    <n v="103.72"/>
    <n v="103.72"/>
    <s v="May 2022"/>
  </r>
  <r>
    <d v="2022-05-05T00:00:00"/>
    <x v="850"/>
    <n v="27"/>
    <x v="0"/>
    <x v="1"/>
    <x v="0"/>
    <x v="2"/>
    <n v="3733.37"/>
    <x v="1"/>
    <n v="2503.6022787783854"/>
    <n v="4106.7"/>
    <n v="4106.71"/>
    <n v="4106.71"/>
    <s v="May 2022"/>
  </r>
  <r>
    <d v="2022-05-05T00:00:00"/>
    <x v="851"/>
    <n v="97"/>
    <x v="1"/>
    <x v="3"/>
    <x v="3"/>
    <x v="2"/>
    <n v="3596.21"/>
    <x v="0"/>
    <n v="2496.7676064256989"/>
    <n v="3955.83"/>
    <n v="3955.84"/>
    <n v="3955.83"/>
    <s v="May 2022"/>
  </r>
  <r>
    <d v="2022-05-05T00:00:00"/>
    <x v="852"/>
    <n v="85"/>
    <x v="2"/>
    <x v="7"/>
    <x v="2"/>
    <x v="0"/>
    <n v="4982.3"/>
    <x v="0"/>
    <n v="2440.2966694490838"/>
    <n v="5480.53"/>
    <n v="5480.53"/>
    <n v="5480.53"/>
    <s v="May 2022"/>
  </r>
  <r>
    <d v="2022-05-05T00:00:00"/>
    <x v="853"/>
    <n v="76"/>
    <x v="1"/>
    <x v="5"/>
    <x v="3"/>
    <x v="4"/>
    <n v="1098.92"/>
    <x v="0"/>
    <n v="2496.7676064256989"/>
    <n v="1208.81"/>
    <n v="1208.82"/>
    <n v="1208.81"/>
    <s v="May 2022"/>
  </r>
  <r>
    <d v="2022-05-05T00:00:00"/>
    <x v="854"/>
    <n v="52"/>
    <x v="1"/>
    <x v="5"/>
    <x v="1"/>
    <x v="1"/>
    <n v="1035.1500000000001"/>
    <x v="1"/>
    <n v="2509.1716796874912"/>
    <n v="1138.6600000000001"/>
    <n v="1138.67"/>
    <n v="1138.67"/>
    <s v="May 2022"/>
  </r>
  <r>
    <d v="2022-05-06T00:00:00"/>
    <x v="855"/>
    <n v="89"/>
    <x v="0"/>
    <x v="7"/>
    <x v="1"/>
    <x v="3"/>
    <n v="1013.31"/>
    <x v="0"/>
    <n v="2509.1716796874912"/>
    <n v="1114.6400000000001"/>
    <n v="1114.6500000000001"/>
    <n v="1114.6400000000001"/>
    <s v="May 2022"/>
  </r>
  <r>
    <d v="2022-05-06T00:00:00"/>
    <x v="856"/>
    <n v="26"/>
    <x v="2"/>
    <x v="3"/>
    <x v="2"/>
    <x v="1"/>
    <n v="1204.8800000000001"/>
    <x v="1"/>
    <n v="2440.2966694490838"/>
    <n v="1325.36"/>
    <n v="1325.37"/>
    <n v="1325.37"/>
    <s v="May 2022"/>
  </r>
  <r>
    <d v="2022-05-06T00:00:00"/>
    <x v="857"/>
    <n v="14"/>
    <x v="2"/>
    <x v="6"/>
    <x v="0"/>
    <x v="2"/>
    <n v="4631.6000000000004"/>
    <x v="2"/>
    <n v="2503.6022787783854"/>
    <n v="5094.76"/>
    <n v="5094.76"/>
    <n v="5094.76"/>
    <s v="May 2022"/>
  </r>
  <r>
    <d v="2022-05-06T00:00:00"/>
    <x v="858"/>
    <n v="94"/>
    <x v="0"/>
    <x v="7"/>
    <x v="2"/>
    <x v="2"/>
    <n v="4719.4799999999996"/>
    <x v="0"/>
    <n v="2440.2966694490838"/>
    <n v="5191.42"/>
    <n v="5191.43"/>
    <n v="5191.43"/>
    <s v="May 2022"/>
  </r>
  <r>
    <d v="2022-05-06T00:00:00"/>
    <x v="859"/>
    <n v="60"/>
    <x v="1"/>
    <x v="5"/>
    <x v="2"/>
    <x v="1"/>
    <n v="3977.52"/>
    <x v="1"/>
    <n v="2440.2966694490838"/>
    <n v="4375.2700000000004"/>
    <n v="4375.2800000000007"/>
    <n v="4375.2700000000004"/>
    <s v="May 2022"/>
  </r>
  <r>
    <d v="2022-05-07T00:00:00"/>
    <x v="860"/>
    <n v="32"/>
    <x v="1"/>
    <x v="3"/>
    <x v="0"/>
    <x v="4"/>
    <n v="1516.43"/>
    <x v="1"/>
    <n v="2503.6022787783854"/>
    <n v="1668.07"/>
    <n v="1668.08"/>
    <n v="1668.07"/>
    <s v="May 2022"/>
  </r>
  <r>
    <d v="2022-05-07T00:00:00"/>
    <x v="861"/>
    <n v="51"/>
    <x v="1"/>
    <x v="1"/>
    <x v="2"/>
    <x v="4"/>
    <n v="963.14"/>
    <x v="1"/>
    <n v="2440.2966694490838"/>
    <n v="1059.45"/>
    <n v="1059.46"/>
    <n v="1059.45"/>
    <s v="May 2022"/>
  </r>
  <r>
    <d v="2022-05-07T00:00:00"/>
    <x v="862"/>
    <n v="57"/>
    <x v="0"/>
    <x v="3"/>
    <x v="0"/>
    <x v="4"/>
    <n v="1877.4"/>
    <x v="1"/>
    <n v="2503.6022787783854"/>
    <n v="2065.14"/>
    <n v="2065.14"/>
    <n v="2065.14"/>
    <s v="May 2022"/>
  </r>
  <r>
    <d v="2022-05-07T00:00:00"/>
    <x v="863"/>
    <n v="87"/>
    <x v="2"/>
    <x v="3"/>
    <x v="0"/>
    <x v="2"/>
    <n v="3845.01"/>
    <x v="0"/>
    <n v="2503.6022787783854"/>
    <n v="4229.51"/>
    <n v="4229.5200000000004"/>
    <n v="4229.51"/>
    <s v="May 2022"/>
  </r>
  <r>
    <d v="2022-05-07T00:00:00"/>
    <x v="864"/>
    <n v="94"/>
    <x v="0"/>
    <x v="5"/>
    <x v="1"/>
    <x v="4"/>
    <n v="397.3"/>
    <x v="0"/>
    <n v="2509.1716796874912"/>
    <n v="437.03"/>
    <n v="437.03"/>
    <n v="437.03"/>
    <s v="May 2022"/>
  </r>
  <r>
    <d v="2022-05-07T00:00:00"/>
    <x v="865"/>
    <n v="89"/>
    <x v="2"/>
    <x v="0"/>
    <x v="2"/>
    <x v="2"/>
    <n v="2672.79"/>
    <x v="0"/>
    <n v="2440.2966694490838"/>
    <n v="2940.06"/>
    <n v="2940.07"/>
    <n v="2940.07"/>
    <s v="May 2022"/>
  </r>
  <r>
    <d v="2022-05-07T00:00:00"/>
    <x v="866"/>
    <n v="79"/>
    <x v="2"/>
    <x v="3"/>
    <x v="1"/>
    <x v="4"/>
    <n v="3164.99"/>
    <x v="0"/>
    <n v="2509.1716796874912"/>
    <n v="3481.48"/>
    <n v="3481.4900000000002"/>
    <n v="3481.49"/>
    <s v="May 2022"/>
  </r>
  <r>
    <d v="2022-05-07T00:00:00"/>
    <x v="867"/>
    <n v="11"/>
    <x v="1"/>
    <x v="5"/>
    <x v="0"/>
    <x v="3"/>
    <n v="853.06"/>
    <x v="2"/>
    <n v="2503.6022787783854"/>
    <n v="938.36"/>
    <n v="938.37"/>
    <n v="938.37"/>
    <s v="May 2022"/>
  </r>
  <r>
    <d v="2022-05-07T00:00:00"/>
    <x v="868"/>
    <n v="25"/>
    <x v="1"/>
    <x v="0"/>
    <x v="1"/>
    <x v="3"/>
    <n v="4976"/>
    <x v="1"/>
    <n v="2509.1716796874912"/>
    <n v="5473.6"/>
    <n v="5473.6"/>
    <n v="5473.6"/>
    <s v="May 2022"/>
  </r>
  <r>
    <d v="2022-05-08T00:00:00"/>
    <x v="869"/>
    <n v="27"/>
    <x v="0"/>
    <x v="3"/>
    <x v="2"/>
    <x v="0"/>
    <n v="4783.53"/>
    <x v="1"/>
    <n v="2440.2966694490838"/>
    <n v="5261.88"/>
    <n v="5261.89"/>
    <n v="5261.88"/>
    <s v="May 2022"/>
  </r>
  <r>
    <d v="2022-05-08T00:00:00"/>
    <x v="870"/>
    <n v="93"/>
    <x v="2"/>
    <x v="6"/>
    <x v="2"/>
    <x v="4"/>
    <n v="2273.84"/>
    <x v="0"/>
    <n v="2440.2966694490838"/>
    <n v="2501.2199999999998"/>
    <n v="2501.23"/>
    <n v="2501.2199999999998"/>
    <s v="May 2022"/>
  </r>
  <r>
    <d v="2022-05-08T00:00:00"/>
    <x v="871"/>
    <n v="92"/>
    <x v="0"/>
    <x v="3"/>
    <x v="2"/>
    <x v="0"/>
    <n v="1674.57"/>
    <x v="0"/>
    <n v="2440.2966694490838"/>
    <n v="1842.02"/>
    <n v="1842.03"/>
    <n v="1842.03"/>
    <s v="May 2022"/>
  </r>
  <r>
    <d v="2022-05-08T00:00:00"/>
    <x v="872"/>
    <n v="60"/>
    <x v="1"/>
    <x v="7"/>
    <x v="3"/>
    <x v="1"/>
    <n v="2004.29"/>
    <x v="1"/>
    <n v="2496.7676064256989"/>
    <n v="2204.71"/>
    <n v="2204.7200000000003"/>
    <n v="2204.7199999999998"/>
    <s v="May 2022"/>
  </r>
  <r>
    <d v="2022-05-08T00:00:00"/>
    <x v="873"/>
    <n v="92"/>
    <x v="0"/>
    <x v="0"/>
    <x v="0"/>
    <x v="0"/>
    <n v="2561.2800000000002"/>
    <x v="0"/>
    <n v="2503.6022787783854"/>
    <n v="2817.4"/>
    <n v="2817.4100000000003"/>
    <n v="2817.41"/>
    <s v="May 2022"/>
  </r>
  <r>
    <d v="2022-05-09T00:00:00"/>
    <x v="874"/>
    <n v="94"/>
    <x v="2"/>
    <x v="1"/>
    <x v="3"/>
    <x v="1"/>
    <n v="2078.9299999999998"/>
    <x v="0"/>
    <n v="2496.7676064256989"/>
    <n v="2286.8200000000002"/>
    <n v="2286.8300000000004"/>
    <n v="2286.8200000000002"/>
    <s v="May 2022"/>
  </r>
  <r>
    <d v="2022-05-09T00:00:00"/>
    <x v="875"/>
    <n v="87"/>
    <x v="2"/>
    <x v="5"/>
    <x v="2"/>
    <x v="0"/>
    <n v="932.11"/>
    <x v="0"/>
    <n v="2440.2966694490838"/>
    <n v="1025.32"/>
    <n v="1025.33"/>
    <n v="1025.32"/>
    <s v="May 2022"/>
  </r>
  <r>
    <d v="2022-05-09T00:00:00"/>
    <x v="876"/>
    <n v="42"/>
    <x v="0"/>
    <x v="1"/>
    <x v="1"/>
    <x v="5"/>
    <n v="4822.05"/>
    <x v="1"/>
    <n v="2509.1716796874912"/>
    <n v="5304.25"/>
    <n v="5304.26"/>
    <n v="5304.26"/>
    <s v="May 2022"/>
  </r>
  <r>
    <d v="2022-05-10T00:00:00"/>
    <x v="877"/>
    <n v="55"/>
    <x v="1"/>
    <x v="3"/>
    <x v="2"/>
    <x v="2"/>
    <n v="4363.8999999999996"/>
    <x v="1"/>
    <n v="2440.2966694490838"/>
    <n v="4800.29"/>
    <n v="4800.29"/>
    <n v="4800.29"/>
    <s v="May 2022"/>
  </r>
  <r>
    <d v="2022-05-10T00:00:00"/>
    <x v="878"/>
    <n v="48"/>
    <x v="0"/>
    <x v="4"/>
    <x v="2"/>
    <x v="1"/>
    <n v="1386.42"/>
    <x v="1"/>
    <n v="2440.2966694490838"/>
    <n v="1525.06"/>
    <n v="1525.07"/>
    <n v="1525.06"/>
    <s v="May 2022"/>
  </r>
  <r>
    <d v="2022-05-10T00:00:00"/>
    <x v="879"/>
    <n v="97"/>
    <x v="2"/>
    <x v="4"/>
    <x v="1"/>
    <x v="4"/>
    <n v="943.81"/>
    <x v="0"/>
    <n v="2509.1716796874912"/>
    <n v="1038.19"/>
    <n v="1038.2"/>
    <n v="1038.19"/>
    <s v="May 2022"/>
  </r>
  <r>
    <d v="2022-05-10T00:00:00"/>
    <x v="880"/>
    <n v="8"/>
    <x v="1"/>
    <x v="2"/>
    <x v="3"/>
    <x v="1"/>
    <n v="2833.08"/>
    <x v="2"/>
    <n v="2496.7676064256989"/>
    <n v="3116.38"/>
    <n v="3116.3900000000003"/>
    <n v="3116.39"/>
    <s v="May 2022"/>
  </r>
  <r>
    <d v="2022-05-11T00:00:00"/>
    <x v="881"/>
    <n v="71"/>
    <x v="0"/>
    <x v="4"/>
    <x v="2"/>
    <x v="1"/>
    <n v="3163.04"/>
    <x v="0"/>
    <n v="2440.2966694490838"/>
    <n v="3479.34"/>
    <n v="3479.3500000000004"/>
    <n v="3479.34"/>
    <s v="May 2022"/>
  </r>
  <r>
    <d v="2022-05-11T00:00:00"/>
    <x v="882"/>
    <n v="83"/>
    <x v="2"/>
    <x v="1"/>
    <x v="3"/>
    <x v="4"/>
    <n v="3467.69"/>
    <x v="0"/>
    <n v="2496.7676064256989"/>
    <n v="3814.45"/>
    <n v="3814.46"/>
    <n v="3814.46"/>
    <s v="May 2022"/>
  </r>
  <r>
    <d v="2022-05-11T00:00:00"/>
    <x v="883"/>
    <n v="46"/>
    <x v="1"/>
    <x v="5"/>
    <x v="1"/>
    <x v="2"/>
    <n v="3926.11"/>
    <x v="1"/>
    <n v="2509.1716796874912"/>
    <n v="4318.72"/>
    <n v="4318.7300000000005"/>
    <n v="4318.72"/>
    <s v="May 2022"/>
  </r>
  <r>
    <d v="2022-05-11T00:00:00"/>
    <x v="884"/>
    <n v="86"/>
    <x v="2"/>
    <x v="7"/>
    <x v="2"/>
    <x v="3"/>
    <n v="4469.4799999999996"/>
    <x v="0"/>
    <n v="2440.2966694490838"/>
    <n v="4916.42"/>
    <n v="4916.43"/>
    <n v="4916.43"/>
    <s v="May 2022"/>
  </r>
  <r>
    <d v="2022-05-11T00:00:00"/>
    <x v="885"/>
    <n v="20"/>
    <x v="2"/>
    <x v="0"/>
    <x v="3"/>
    <x v="2"/>
    <n v="4207.5200000000004"/>
    <x v="1"/>
    <n v="2496.7676064256989"/>
    <n v="4628.2700000000004"/>
    <n v="4628.2800000000007"/>
    <n v="4628.2700000000004"/>
    <s v="May 2022"/>
  </r>
  <r>
    <d v="2022-05-11T00:00:00"/>
    <x v="886"/>
    <n v="40"/>
    <x v="0"/>
    <x v="0"/>
    <x v="3"/>
    <x v="0"/>
    <n v="2889.37"/>
    <x v="1"/>
    <n v="2496.7676064256989"/>
    <n v="3178.3"/>
    <n v="3178.3100000000004"/>
    <n v="3178.31"/>
    <s v="May 2022"/>
  </r>
  <r>
    <d v="2022-05-11T00:00:00"/>
    <x v="887"/>
    <n v="80"/>
    <x v="1"/>
    <x v="6"/>
    <x v="0"/>
    <x v="2"/>
    <n v="520.78"/>
    <x v="0"/>
    <n v="2503.6022787783854"/>
    <n v="572.85"/>
    <n v="572.86"/>
    <n v="572.86"/>
    <s v="May 2022"/>
  </r>
  <r>
    <d v="2022-05-11T00:00:00"/>
    <x v="888"/>
    <n v="61"/>
    <x v="2"/>
    <x v="0"/>
    <x v="2"/>
    <x v="2"/>
    <n v="1301.46"/>
    <x v="1"/>
    <n v="2440.2966694490838"/>
    <n v="1431.6"/>
    <n v="1431.61"/>
    <n v="1431.61"/>
    <s v="May 2022"/>
  </r>
  <r>
    <d v="2022-05-12T00:00:00"/>
    <x v="889"/>
    <n v="81"/>
    <x v="1"/>
    <x v="2"/>
    <x v="0"/>
    <x v="4"/>
    <n v="4668.92"/>
    <x v="0"/>
    <n v="2503.6022787783854"/>
    <n v="5135.8100000000004"/>
    <n v="5135.8200000000006"/>
    <n v="5135.8100000000004"/>
    <s v="May 2022"/>
  </r>
  <r>
    <d v="2022-05-12T00:00:00"/>
    <x v="890"/>
    <n v="95"/>
    <x v="0"/>
    <x v="2"/>
    <x v="2"/>
    <x v="1"/>
    <n v="1406.42"/>
    <x v="0"/>
    <n v="2440.2966694490838"/>
    <n v="1547.06"/>
    <n v="1547.07"/>
    <n v="1547.06"/>
    <s v="May 2022"/>
  </r>
  <r>
    <d v="2022-05-12T00:00:00"/>
    <x v="891"/>
    <n v="62"/>
    <x v="1"/>
    <x v="4"/>
    <x v="1"/>
    <x v="1"/>
    <n v="1658.61"/>
    <x v="1"/>
    <n v="2509.1716796874912"/>
    <n v="1824.47"/>
    <n v="1824.48"/>
    <n v="1824.47"/>
    <s v="May 2022"/>
  </r>
  <r>
    <d v="2022-05-12T00:00:00"/>
    <x v="892"/>
    <n v="71"/>
    <x v="1"/>
    <x v="0"/>
    <x v="0"/>
    <x v="3"/>
    <n v="4358.91"/>
    <x v="0"/>
    <n v="2503.6022787783854"/>
    <n v="4794.8"/>
    <n v="4794.8100000000004"/>
    <n v="4794.8"/>
    <s v="May 2022"/>
  </r>
  <r>
    <d v="2022-05-12T00:00:00"/>
    <x v="893"/>
    <n v="41"/>
    <x v="2"/>
    <x v="2"/>
    <x v="2"/>
    <x v="0"/>
    <n v="727.93"/>
    <x v="1"/>
    <n v="2440.2966694490838"/>
    <n v="800.72"/>
    <n v="800.73"/>
    <n v="800.72"/>
    <s v="May 2022"/>
  </r>
  <r>
    <d v="2022-05-12T00:00:00"/>
    <x v="894"/>
    <n v="43"/>
    <x v="2"/>
    <x v="7"/>
    <x v="1"/>
    <x v="1"/>
    <n v="2173.21"/>
    <x v="1"/>
    <n v="2509.1716796874912"/>
    <n v="2390.5300000000002"/>
    <n v="2390.5400000000004"/>
    <n v="2390.5300000000002"/>
    <s v="May 2022"/>
  </r>
  <r>
    <d v="2022-05-12T00:00:00"/>
    <x v="895"/>
    <n v="79"/>
    <x v="0"/>
    <x v="2"/>
    <x v="3"/>
    <x v="0"/>
    <n v="3742.67"/>
    <x v="0"/>
    <n v="2496.7676064256989"/>
    <n v="4116.93"/>
    <n v="4116.9400000000005"/>
    <n v="4116.9399999999996"/>
    <s v="May 2022"/>
  </r>
  <r>
    <d v="2022-05-13T00:00:00"/>
    <x v="896"/>
    <n v="97"/>
    <x v="1"/>
    <x v="5"/>
    <x v="0"/>
    <x v="5"/>
    <n v="3574.58"/>
    <x v="0"/>
    <n v="2503.6022787783854"/>
    <n v="3932.03"/>
    <n v="3932.0400000000004"/>
    <n v="3932.04"/>
    <s v="May 2022"/>
  </r>
  <r>
    <d v="2022-05-13T00:00:00"/>
    <x v="897"/>
    <n v="68"/>
    <x v="1"/>
    <x v="6"/>
    <x v="2"/>
    <x v="2"/>
    <n v="1371.45"/>
    <x v="0"/>
    <n v="2440.2966694490838"/>
    <n v="1508.59"/>
    <n v="1508.6"/>
    <n v="1508.6"/>
    <s v="May 2022"/>
  </r>
  <r>
    <d v="2022-05-13T00:00:00"/>
    <x v="898"/>
    <n v="94"/>
    <x v="1"/>
    <x v="7"/>
    <x v="1"/>
    <x v="5"/>
    <n v="4366.07"/>
    <x v="0"/>
    <n v="2509.1716796874912"/>
    <n v="4802.67"/>
    <n v="4802.68"/>
    <n v="4802.68"/>
    <s v="May 2022"/>
  </r>
  <r>
    <d v="2022-05-14T00:00:00"/>
    <x v="899"/>
    <n v="76"/>
    <x v="2"/>
    <x v="6"/>
    <x v="2"/>
    <x v="2"/>
    <n v="2248.81"/>
    <x v="0"/>
    <n v="2440.2966694490838"/>
    <n v="2473.69"/>
    <n v="2473.7000000000003"/>
    <n v="2473.69"/>
    <s v="May 2022"/>
  </r>
  <r>
    <d v="2022-05-14T00:00:00"/>
    <x v="900"/>
    <n v="77"/>
    <x v="1"/>
    <x v="7"/>
    <x v="1"/>
    <x v="3"/>
    <n v="3556.63"/>
    <x v="0"/>
    <n v="2509.1716796874912"/>
    <n v="3912.29"/>
    <n v="3912.3"/>
    <n v="3912.29"/>
    <s v="May 2022"/>
  </r>
  <r>
    <d v="2022-05-14T00:00:00"/>
    <x v="901"/>
    <n v="31"/>
    <x v="2"/>
    <x v="2"/>
    <x v="2"/>
    <x v="3"/>
    <n v="4076.08"/>
    <x v="1"/>
    <n v="2440.2966694490838"/>
    <n v="4483.68"/>
    <n v="4483.6900000000005"/>
    <n v="4483.6899999999996"/>
    <s v="May 2022"/>
  </r>
  <r>
    <d v="2022-05-14T00:00:00"/>
    <x v="902"/>
    <n v="30"/>
    <x v="0"/>
    <x v="2"/>
    <x v="1"/>
    <x v="5"/>
    <n v="1909.1"/>
    <x v="1"/>
    <n v="2509.1716796874912"/>
    <n v="2100.0100000000002"/>
    <n v="2100.0100000000002"/>
    <n v="2100.0100000000002"/>
    <s v="May 2022"/>
  </r>
  <r>
    <d v="2022-05-14T00:00:00"/>
    <x v="903"/>
    <n v="14"/>
    <x v="0"/>
    <x v="2"/>
    <x v="2"/>
    <x v="0"/>
    <n v="2930"/>
    <x v="2"/>
    <n v="2440.2966694490838"/>
    <n v="3223"/>
    <n v="3223"/>
    <n v="3223"/>
    <s v="May 2022"/>
  </r>
  <r>
    <d v="2022-05-14T00:00:00"/>
    <x v="904"/>
    <n v="82"/>
    <x v="1"/>
    <x v="4"/>
    <x v="3"/>
    <x v="0"/>
    <n v="4734.6000000000004"/>
    <x v="0"/>
    <n v="2496.7676064256989"/>
    <n v="5208.0600000000004"/>
    <n v="5208.0600000000004"/>
    <n v="5208.0600000000004"/>
    <s v="May 2022"/>
  </r>
  <r>
    <d v="2022-05-14T00:00:00"/>
    <x v="905"/>
    <n v="97"/>
    <x v="0"/>
    <x v="1"/>
    <x v="0"/>
    <x v="3"/>
    <n v="4360.01"/>
    <x v="0"/>
    <n v="2503.6022787783854"/>
    <n v="4796.01"/>
    <n v="4796.0200000000004"/>
    <n v="4796.01"/>
    <s v="May 2022"/>
  </r>
  <r>
    <d v="2022-05-14T00:00:00"/>
    <x v="906"/>
    <n v="90"/>
    <x v="2"/>
    <x v="2"/>
    <x v="3"/>
    <x v="1"/>
    <n v="1605.67"/>
    <x v="0"/>
    <n v="2496.7676064256989"/>
    <n v="1766.23"/>
    <n v="1766.24"/>
    <n v="1766.24"/>
    <s v="May 2022"/>
  </r>
  <r>
    <d v="2022-05-14T00:00:00"/>
    <x v="907"/>
    <n v="12"/>
    <x v="0"/>
    <x v="6"/>
    <x v="1"/>
    <x v="2"/>
    <n v="2629.12"/>
    <x v="2"/>
    <n v="2509.1716796874912"/>
    <n v="2892.03"/>
    <n v="2892.0400000000004"/>
    <n v="2892.03"/>
    <s v="May 2022"/>
  </r>
  <r>
    <d v="2022-05-15T00:00:00"/>
    <x v="908"/>
    <n v="8"/>
    <x v="0"/>
    <x v="3"/>
    <x v="2"/>
    <x v="4"/>
    <n v="1732.63"/>
    <x v="2"/>
    <n v="2440.2966694490838"/>
    <n v="1905.89"/>
    <n v="1905.9"/>
    <n v="1905.89"/>
    <s v="May 2022"/>
  </r>
  <r>
    <d v="2022-05-15T00:00:00"/>
    <x v="909"/>
    <n v="86"/>
    <x v="0"/>
    <x v="3"/>
    <x v="1"/>
    <x v="1"/>
    <n v="3839.01"/>
    <x v="0"/>
    <n v="2509.1716796874912"/>
    <n v="4222.91"/>
    <n v="4222.92"/>
    <n v="4222.91"/>
    <s v="May 2022"/>
  </r>
  <r>
    <d v="2022-05-15T00:00:00"/>
    <x v="910"/>
    <n v="93"/>
    <x v="1"/>
    <x v="0"/>
    <x v="2"/>
    <x v="3"/>
    <n v="4567.53"/>
    <x v="0"/>
    <n v="2440.2966694490838"/>
    <n v="5024.28"/>
    <n v="5024.29"/>
    <n v="5024.28"/>
    <s v="May 2022"/>
  </r>
  <r>
    <d v="2022-05-15T00:00:00"/>
    <x v="911"/>
    <n v="76"/>
    <x v="2"/>
    <x v="3"/>
    <x v="0"/>
    <x v="1"/>
    <n v="4707.54"/>
    <x v="0"/>
    <n v="2503.6022787783854"/>
    <n v="5178.29"/>
    <n v="5178.3"/>
    <n v="5178.29"/>
    <s v="May 2022"/>
  </r>
  <r>
    <d v="2022-05-15T00:00:00"/>
    <x v="912"/>
    <n v="20"/>
    <x v="1"/>
    <x v="5"/>
    <x v="1"/>
    <x v="1"/>
    <n v="2554.62"/>
    <x v="1"/>
    <n v="2509.1716796874912"/>
    <n v="2810.08"/>
    <n v="2810.09"/>
    <n v="2810.08"/>
    <s v="May 2022"/>
  </r>
  <r>
    <d v="2022-05-15T00:00:00"/>
    <x v="913"/>
    <n v="53"/>
    <x v="0"/>
    <x v="3"/>
    <x v="3"/>
    <x v="1"/>
    <n v="3276.01"/>
    <x v="1"/>
    <n v="2496.7676064256989"/>
    <n v="3603.61"/>
    <n v="3603.6200000000003"/>
    <n v="3603.61"/>
    <s v="May 2022"/>
  </r>
  <r>
    <d v="2022-05-16T00:00:00"/>
    <x v="914"/>
    <n v="28"/>
    <x v="2"/>
    <x v="3"/>
    <x v="2"/>
    <x v="4"/>
    <n v="3410.42"/>
    <x v="1"/>
    <n v="2440.2966694490838"/>
    <n v="3751.46"/>
    <n v="3751.4700000000003"/>
    <n v="3751.46"/>
    <s v="May 2022"/>
  </r>
  <r>
    <d v="2022-05-16T00:00:00"/>
    <x v="915"/>
    <n v="15"/>
    <x v="1"/>
    <x v="0"/>
    <x v="2"/>
    <x v="0"/>
    <n v="3667.86"/>
    <x v="2"/>
    <n v="2440.2966694490838"/>
    <n v="4034.64"/>
    <n v="4034.65"/>
    <n v="4034.65"/>
    <s v="May 2022"/>
  </r>
  <r>
    <d v="2022-05-16T00:00:00"/>
    <x v="916"/>
    <n v="93"/>
    <x v="2"/>
    <x v="1"/>
    <x v="0"/>
    <x v="0"/>
    <n v="1989.49"/>
    <x v="0"/>
    <n v="2503.6022787783854"/>
    <n v="2188.4299999999998"/>
    <n v="2188.44"/>
    <n v="2188.44"/>
    <s v="May 2022"/>
  </r>
  <r>
    <d v="2022-05-16T00:00:00"/>
    <x v="917"/>
    <n v="60"/>
    <x v="0"/>
    <x v="0"/>
    <x v="0"/>
    <x v="3"/>
    <n v="3200.01"/>
    <x v="1"/>
    <n v="2503.6022787783854"/>
    <n v="3520.01"/>
    <n v="3520.0200000000004"/>
    <n v="3520.01"/>
    <s v="May 2022"/>
  </r>
  <r>
    <d v="2022-05-17T00:00:00"/>
    <x v="918"/>
    <n v="85"/>
    <x v="2"/>
    <x v="5"/>
    <x v="1"/>
    <x v="4"/>
    <n v="2663.53"/>
    <x v="0"/>
    <n v="2509.1716796874912"/>
    <n v="2929.88"/>
    <n v="2929.8900000000003"/>
    <n v="2929.88"/>
    <s v="May 2022"/>
  </r>
  <r>
    <d v="2022-05-17T00:00:00"/>
    <x v="919"/>
    <n v="37"/>
    <x v="0"/>
    <x v="3"/>
    <x v="2"/>
    <x v="1"/>
    <n v="235.73"/>
    <x v="1"/>
    <n v="2440.2966694490838"/>
    <n v="259.3"/>
    <n v="259.31"/>
    <n v="259.3"/>
    <s v="May 2022"/>
  </r>
  <r>
    <d v="2022-05-17T00:00:00"/>
    <x v="920"/>
    <n v="49"/>
    <x v="0"/>
    <x v="7"/>
    <x v="2"/>
    <x v="4"/>
    <n v="3213.23"/>
    <x v="1"/>
    <n v="2440.2966694490838"/>
    <n v="3534.55"/>
    <n v="3534.5600000000004"/>
    <n v="3534.55"/>
    <s v="May 2022"/>
  </r>
  <r>
    <d v="2022-05-17T00:00:00"/>
    <x v="921"/>
    <n v="65"/>
    <x v="1"/>
    <x v="0"/>
    <x v="2"/>
    <x v="1"/>
    <n v="827.69"/>
    <x v="0"/>
    <n v="2440.2966694490838"/>
    <n v="910.45"/>
    <n v="910.46"/>
    <n v="910.46"/>
    <s v="May 2022"/>
  </r>
  <r>
    <d v="2022-05-17T00:00:00"/>
    <x v="922"/>
    <n v="49"/>
    <x v="1"/>
    <x v="3"/>
    <x v="2"/>
    <x v="5"/>
    <n v="375.46"/>
    <x v="1"/>
    <n v="2440.2966694490838"/>
    <n v="413"/>
    <n v="413.01"/>
    <n v="413.01"/>
    <s v="May 2022"/>
  </r>
  <r>
    <d v="2022-05-18T00:00:00"/>
    <x v="923"/>
    <n v="69"/>
    <x v="0"/>
    <x v="4"/>
    <x v="3"/>
    <x v="4"/>
    <n v="3239.71"/>
    <x v="0"/>
    <n v="2496.7676064256989"/>
    <n v="3563.68"/>
    <n v="3563.69"/>
    <n v="3563.68"/>
    <s v="May 2022"/>
  </r>
  <r>
    <d v="2022-05-18T00:00:00"/>
    <x v="924"/>
    <n v="91"/>
    <x v="0"/>
    <x v="5"/>
    <x v="0"/>
    <x v="1"/>
    <n v="259.05"/>
    <x v="0"/>
    <n v="2503.6022787783854"/>
    <n v="284.95"/>
    <n v="284.95999999999998"/>
    <n v="284.95999999999998"/>
    <s v="May 2022"/>
  </r>
  <r>
    <d v="2022-05-19T00:00:00"/>
    <x v="925"/>
    <n v="34"/>
    <x v="0"/>
    <x v="6"/>
    <x v="2"/>
    <x v="2"/>
    <n v="118.89"/>
    <x v="1"/>
    <n v="2440.2966694490838"/>
    <n v="130.77000000000001"/>
    <n v="130.78"/>
    <n v="130.78"/>
    <s v="May 2022"/>
  </r>
  <r>
    <d v="2022-05-19T00:00:00"/>
    <x v="926"/>
    <n v="61"/>
    <x v="2"/>
    <x v="7"/>
    <x v="1"/>
    <x v="4"/>
    <n v="2788.27"/>
    <x v="1"/>
    <n v="2509.1716796874912"/>
    <n v="3067.09"/>
    <n v="3067.1000000000004"/>
    <n v="3067.1"/>
    <s v="May 2022"/>
  </r>
  <r>
    <d v="2022-05-19T00:00:00"/>
    <x v="927"/>
    <n v="63"/>
    <x v="0"/>
    <x v="7"/>
    <x v="2"/>
    <x v="2"/>
    <n v="1176.5"/>
    <x v="1"/>
    <n v="2440.2966694490838"/>
    <n v="1294.1500000000001"/>
    <n v="1294.1500000000001"/>
    <n v="1294.1500000000001"/>
    <s v="May 2022"/>
  </r>
  <r>
    <d v="2022-05-19T00:00:00"/>
    <x v="928"/>
    <n v="52"/>
    <x v="2"/>
    <x v="2"/>
    <x v="3"/>
    <x v="0"/>
    <n v="1231.93"/>
    <x v="1"/>
    <n v="2496.7676064256989"/>
    <n v="1355.12"/>
    <n v="1355.1299999999999"/>
    <n v="1355.12"/>
    <s v="May 2022"/>
  </r>
  <r>
    <d v="2022-05-19T00:00:00"/>
    <x v="929"/>
    <n v="81"/>
    <x v="1"/>
    <x v="5"/>
    <x v="3"/>
    <x v="3"/>
    <n v="2381.8000000000002"/>
    <x v="0"/>
    <n v="2496.7676064256989"/>
    <n v="2619.98"/>
    <n v="2619.98"/>
    <n v="2619.98"/>
    <s v="May 2022"/>
  </r>
  <r>
    <d v="2022-05-19T00:00:00"/>
    <x v="930"/>
    <n v="32"/>
    <x v="1"/>
    <x v="7"/>
    <x v="3"/>
    <x v="3"/>
    <n v="1848.72"/>
    <x v="1"/>
    <n v="2496.7676064256989"/>
    <n v="2033.59"/>
    <n v="2033.6"/>
    <n v="2033.59"/>
    <s v="May 2022"/>
  </r>
  <r>
    <d v="2022-05-19T00:00:00"/>
    <x v="931"/>
    <n v="55"/>
    <x v="2"/>
    <x v="4"/>
    <x v="1"/>
    <x v="0"/>
    <n v="4053.97"/>
    <x v="1"/>
    <n v="2509.1716796874912"/>
    <n v="4459.3599999999997"/>
    <n v="4459.37"/>
    <n v="4459.37"/>
    <s v="May 2022"/>
  </r>
  <r>
    <d v="2022-05-19T00:00:00"/>
    <x v="932"/>
    <n v="27"/>
    <x v="2"/>
    <x v="5"/>
    <x v="3"/>
    <x v="2"/>
    <n v="1623.18"/>
    <x v="1"/>
    <n v="2496.7676064256989"/>
    <n v="1785.49"/>
    <n v="1785.5"/>
    <n v="1785.5"/>
    <s v="May 2022"/>
  </r>
  <r>
    <d v="2022-05-19T00:00:00"/>
    <x v="933"/>
    <n v="33"/>
    <x v="0"/>
    <x v="3"/>
    <x v="1"/>
    <x v="1"/>
    <n v="2423.77"/>
    <x v="1"/>
    <n v="2509.1716796874912"/>
    <n v="2666.14"/>
    <n v="2666.15"/>
    <n v="2666.15"/>
    <s v="May 2022"/>
  </r>
  <r>
    <d v="2022-05-19T00:00:00"/>
    <x v="934"/>
    <n v="80"/>
    <x v="2"/>
    <x v="6"/>
    <x v="3"/>
    <x v="3"/>
    <n v="4304.2299999999996"/>
    <x v="0"/>
    <n v="2496.7676064256989"/>
    <n v="4734.6499999999996"/>
    <n v="4734.66"/>
    <n v="4734.6499999999996"/>
    <s v="May 2022"/>
  </r>
  <r>
    <d v="2022-05-20T00:00:00"/>
    <x v="935"/>
    <n v="33"/>
    <x v="2"/>
    <x v="5"/>
    <x v="3"/>
    <x v="4"/>
    <n v="4345.37"/>
    <x v="1"/>
    <n v="2496.7676064256989"/>
    <n v="4779.8999999999996"/>
    <n v="4779.91"/>
    <n v="4779.91"/>
    <s v="May 2022"/>
  </r>
  <r>
    <d v="2022-05-20T00:00:00"/>
    <x v="936"/>
    <n v="46"/>
    <x v="1"/>
    <x v="1"/>
    <x v="0"/>
    <x v="2"/>
    <n v="4149.8999999999996"/>
    <x v="1"/>
    <n v="2503.6022787783854"/>
    <n v="4564.8900000000003"/>
    <n v="4564.8900000000003"/>
    <n v="4564.8900000000003"/>
    <s v="May 2022"/>
  </r>
  <r>
    <d v="2022-05-20T00:00:00"/>
    <x v="937"/>
    <n v="19"/>
    <x v="2"/>
    <x v="1"/>
    <x v="1"/>
    <x v="2"/>
    <n v="2485.8200000000002"/>
    <x v="1"/>
    <n v="2509.1716796874912"/>
    <n v="2734.4"/>
    <n v="2734.4100000000003"/>
    <n v="2734.4"/>
    <s v="May 2022"/>
  </r>
  <r>
    <d v="2022-05-20T00:00:00"/>
    <x v="938"/>
    <n v="95"/>
    <x v="1"/>
    <x v="5"/>
    <x v="3"/>
    <x v="2"/>
    <n v="2018.88"/>
    <x v="0"/>
    <n v="2496.7676064256989"/>
    <n v="2220.7600000000002"/>
    <n v="2220.7700000000004"/>
    <n v="2220.77"/>
    <s v="May 2022"/>
  </r>
  <r>
    <d v="2022-05-20T00:00:00"/>
    <x v="939"/>
    <n v="51"/>
    <x v="0"/>
    <x v="6"/>
    <x v="0"/>
    <x v="2"/>
    <n v="1935.36"/>
    <x v="1"/>
    <n v="2503.6022787783854"/>
    <n v="2128.89"/>
    <n v="2128.9"/>
    <n v="2128.9"/>
    <s v="May 2022"/>
  </r>
  <r>
    <d v="2022-05-20T00:00:00"/>
    <x v="940"/>
    <n v="1"/>
    <x v="0"/>
    <x v="6"/>
    <x v="1"/>
    <x v="3"/>
    <n v="836.97"/>
    <x v="2"/>
    <n v="2509.1716796874912"/>
    <n v="920.66"/>
    <n v="920.67"/>
    <n v="920.67"/>
    <s v="May 2022"/>
  </r>
  <r>
    <d v="2022-05-21T00:00:00"/>
    <x v="941"/>
    <n v="4"/>
    <x v="1"/>
    <x v="7"/>
    <x v="3"/>
    <x v="3"/>
    <n v="1315.06"/>
    <x v="2"/>
    <n v="2496.7676064256989"/>
    <n v="1446.56"/>
    <n v="1446.57"/>
    <n v="1446.57"/>
    <s v="May 2022"/>
  </r>
  <r>
    <d v="2022-05-21T00:00:00"/>
    <x v="942"/>
    <n v="20"/>
    <x v="0"/>
    <x v="1"/>
    <x v="1"/>
    <x v="0"/>
    <n v="2408.85"/>
    <x v="1"/>
    <n v="2509.1716796874912"/>
    <n v="2649.73"/>
    <n v="2649.7400000000002"/>
    <n v="2649.74"/>
    <s v="May 2022"/>
  </r>
  <r>
    <d v="2022-05-21T00:00:00"/>
    <x v="943"/>
    <n v="85"/>
    <x v="1"/>
    <x v="0"/>
    <x v="3"/>
    <x v="2"/>
    <n v="177.86"/>
    <x v="0"/>
    <n v="2496.7676064256989"/>
    <n v="195.64"/>
    <n v="195.64999999999998"/>
    <n v="195.65"/>
    <s v="May 2022"/>
  </r>
  <r>
    <d v="2022-05-21T00:00:00"/>
    <x v="944"/>
    <n v="24"/>
    <x v="0"/>
    <x v="4"/>
    <x v="3"/>
    <x v="4"/>
    <n v="2270.73"/>
    <x v="1"/>
    <n v="2496.7676064256989"/>
    <n v="2497.8000000000002"/>
    <n v="2497.8100000000004"/>
    <n v="2497.8000000000002"/>
    <s v="May 2022"/>
  </r>
  <r>
    <d v="2022-05-21T00:00:00"/>
    <x v="945"/>
    <n v="41"/>
    <x v="1"/>
    <x v="5"/>
    <x v="0"/>
    <x v="4"/>
    <n v="1977.05"/>
    <x v="1"/>
    <n v="2503.6022787783854"/>
    <n v="2174.75"/>
    <n v="2174.7600000000002"/>
    <n v="2174.7600000000002"/>
    <s v="May 2022"/>
  </r>
  <r>
    <d v="2022-05-21T00:00:00"/>
    <x v="946"/>
    <n v="38"/>
    <x v="2"/>
    <x v="2"/>
    <x v="1"/>
    <x v="0"/>
    <n v="2606.9299999999998"/>
    <x v="1"/>
    <n v="2509.1716796874912"/>
    <n v="2867.62"/>
    <n v="2867.63"/>
    <n v="2867.62"/>
    <s v="May 2022"/>
  </r>
  <r>
    <d v="2022-05-21T00:00:00"/>
    <x v="947"/>
    <n v="88"/>
    <x v="2"/>
    <x v="3"/>
    <x v="0"/>
    <x v="2"/>
    <n v="3176.8"/>
    <x v="0"/>
    <n v="2503.6022787783854"/>
    <n v="3494.48"/>
    <n v="3494.48"/>
    <n v="3494.48"/>
    <s v="May 2022"/>
  </r>
  <r>
    <d v="2022-05-22T00:00:00"/>
    <x v="948"/>
    <n v="60"/>
    <x v="1"/>
    <x v="7"/>
    <x v="0"/>
    <x v="1"/>
    <n v="3047.88"/>
    <x v="1"/>
    <n v="2503.6022787783854"/>
    <n v="3352.66"/>
    <n v="3352.67"/>
    <n v="3352.67"/>
    <s v="May 2022"/>
  </r>
  <r>
    <d v="2022-05-22T00:00:00"/>
    <x v="949"/>
    <n v="72"/>
    <x v="0"/>
    <x v="0"/>
    <x v="0"/>
    <x v="1"/>
    <n v="683.01"/>
    <x v="0"/>
    <n v="2503.6022787783854"/>
    <n v="751.31"/>
    <n v="751.31999999999994"/>
    <n v="751.31"/>
    <s v="May 2022"/>
  </r>
  <r>
    <d v="2022-05-22T00:00:00"/>
    <x v="950"/>
    <n v="77"/>
    <x v="0"/>
    <x v="1"/>
    <x v="2"/>
    <x v="1"/>
    <n v="810.91"/>
    <x v="0"/>
    <n v="2440.2966694490838"/>
    <n v="892"/>
    <n v="892.01"/>
    <n v="892"/>
    <s v="May 2022"/>
  </r>
  <r>
    <d v="2022-05-22T00:00:00"/>
    <x v="951"/>
    <n v="67"/>
    <x v="2"/>
    <x v="1"/>
    <x v="1"/>
    <x v="4"/>
    <n v="80.22"/>
    <x v="0"/>
    <n v="2509.1716796874912"/>
    <n v="88.24"/>
    <n v="88.25"/>
    <n v="88.24"/>
    <s v="May 2022"/>
  </r>
  <r>
    <d v="2022-05-22T00:00:00"/>
    <x v="952"/>
    <n v="58"/>
    <x v="2"/>
    <x v="5"/>
    <x v="0"/>
    <x v="5"/>
    <n v="2919.69"/>
    <x v="1"/>
    <n v="2503.6022787783854"/>
    <n v="3211.65"/>
    <n v="3211.6600000000003"/>
    <n v="3211.66"/>
    <s v="May 2022"/>
  </r>
  <r>
    <d v="2022-05-22T00:00:00"/>
    <x v="953"/>
    <n v="35"/>
    <x v="1"/>
    <x v="4"/>
    <x v="3"/>
    <x v="1"/>
    <n v="1856.91"/>
    <x v="1"/>
    <n v="2496.7676064256989"/>
    <n v="2042.6"/>
    <n v="2042.61"/>
    <n v="2042.6"/>
    <s v="May 2022"/>
  </r>
  <r>
    <d v="2022-05-22T00:00:00"/>
    <x v="954"/>
    <n v="81"/>
    <x v="0"/>
    <x v="0"/>
    <x v="1"/>
    <x v="1"/>
    <n v="4304.5600000000004"/>
    <x v="0"/>
    <n v="2509.1716796874912"/>
    <n v="4735.01"/>
    <n v="4735.0200000000004"/>
    <n v="4735.0200000000004"/>
    <s v="May 2022"/>
  </r>
  <r>
    <d v="2022-05-22T00:00:00"/>
    <x v="955"/>
    <n v="47"/>
    <x v="0"/>
    <x v="3"/>
    <x v="3"/>
    <x v="3"/>
    <n v="470.55"/>
    <x v="1"/>
    <n v="2496.7676064256989"/>
    <n v="517.6"/>
    <n v="517.61"/>
    <n v="517.61"/>
    <s v="May 2022"/>
  </r>
  <r>
    <d v="2022-05-23T00:00:00"/>
    <x v="956"/>
    <n v="76"/>
    <x v="2"/>
    <x v="0"/>
    <x v="1"/>
    <x v="4"/>
    <n v="4739.46"/>
    <x v="0"/>
    <n v="2509.1716796874912"/>
    <n v="5213.3999999999996"/>
    <n v="5213.41"/>
    <n v="5213.41"/>
    <s v="May 2022"/>
  </r>
  <r>
    <d v="2022-05-23T00:00:00"/>
    <x v="957"/>
    <n v="13"/>
    <x v="1"/>
    <x v="7"/>
    <x v="2"/>
    <x v="4"/>
    <n v="3141.99"/>
    <x v="2"/>
    <n v="2440.2966694490838"/>
    <n v="3456.18"/>
    <n v="3456.19"/>
    <n v="3456.19"/>
    <s v="May 2022"/>
  </r>
  <r>
    <d v="2022-05-23T00:00:00"/>
    <x v="958"/>
    <n v="24"/>
    <x v="0"/>
    <x v="4"/>
    <x v="3"/>
    <x v="5"/>
    <n v="1061.25"/>
    <x v="1"/>
    <n v="2496.7676064256989"/>
    <n v="1167.3699999999999"/>
    <n v="1167.3799999999999"/>
    <n v="1167.3800000000001"/>
    <s v="May 2022"/>
  </r>
  <r>
    <d v="2022-05-23T00:00:00"/>
    <x v="959"/>
    <n v="43"/>
    <x v="1"/>
    <x v="5"/>
    <x v="1"/>
    <x v="2"/>
    <n v="51.99"/>
    <x v="1"/>
    <n v="2509.1716796874912"/>
    <n v="57.18"/>
    <n v="57.19"/>
    <n v="57.19"/>
    <s v="May 2022"/>
  </r>
  <r>
    <d v="2022-05-23T00:00:00"/>
    <x v="960"/>
    <n v="72"/>
    <x v="2"/>
    <x v="2"/>
    <x v="2"/>
    <x v="3"/>
    <n v="2643.52"/>
    <x v="0"/>
    <n v="2440.2966694490838"/>
    <n v="2907.87"/>
    <n v="2907.88"/>
    <n v="2907.87"/>
    <s v="May 2022"/>
  </r>
  <r>
    <d v="2022-05-24T00:00:00"/>
    <x v="961"/>
    <n v="96"/>
    <x v="2"/>
    <x v="3"/>
    <x v="2"/>
    <x v="3"/>
    <n v="1834.55"/>
    <x v="0"/>
    <n v="2440.2966694490838"/>
    <n v="2018"/>
    <n v="2018.01"/>
    <n v="2018.01"/>
    <s v="May 2022"/>
  </r>
  <r>
    <d v="2022-05-24T00:00:00"/>
    <x v="962"/>
    <n v="99"/>
    <x v="2"/>
    <x v="3"/>
    <x v="0"/>
    <x v="4"/>
    <n v="4391.26"/>
    <x v="0"/>
    <n v="2503.6022787783854"/>
    <n v="4830.38"/>
    <n v="4830.3900000000003"/>
    <n v="4830.3900000000003"/>
    <s v="May 2022"/>
  </r>
  <r>
    <d v="2022-05-24T00:00:00"/>
    <x v="963"/>
    <n v="33"/>
    <x v="2"/>
    <x v="7"/>
    <x v="0"/>
    <x v="2"/>
    <n v="592.05999999999995"/>
    <x v="1"/>
    <n v="2503.6022787783854"/>
    <n v="651.26"/>
    <n v="651.27"/>
    <n v="651.27"/>
    <s v="May 2022"/>
  </r>
  <r>
    <d v="2022-05-25T00:00:00"/>
    <x v="964"/>
    <n v="66"/>
    <x v="2"/>
    <x v="2"/>
    <x v="3"/>
    <x v="2"/>
    <n v="842.17"/>
    <x v="0"/>
    <n v="2496.7676064256989"/>
    <n v="926.38"/>
    <n v="926.39"/>
    <n v="926.39"/>
    <s v="May 2022"/>
  </r>
  <r>
    <d v="2022-05-25T00:00:00"/>
    <x v="965"/>
    <n v="70"/>
    <x v="2"/>
    <x v="7"/>
    <x v="2"/>
    <x v="0"/>
    <n v="2494.4299999999998"/>
    <x v="0"/>
    <n v="2440.2966694490838"/>
    <n v="2743.87"/>
    <n v="2743.88"/>
    <n v="2743.87"/>
    <s v="May 2022"/>
  </r>
  <r>
    <d v="2022-05-25T00:00:00"/>
    <x v="966"/>
    <n v="41"/>
    <x v="1"/>
    <x v="0"/>
    <x v="2"/>
    <x v="1"/>
    <n v="365.65"/>
    <x v="1"/>
    <n v="2440.2966694490838"/>
    <n v="402.21"/>
    <n v="402.21999999999997"/>
    <n v="402.22"/>
    <s v="May 2022"/>
  </r>
  <r>
    <d v="2022-05-25T00:00:00"/>
    <x v="967"/>
    <n v="98"/>
    <x v="0"/>
    <x v="4"/>
    <x v="3"/>
    <x v="2"/>
    <n v="685.6"/>
    <x v="0"/>
    <n v="2496.7676064256989"/>
    <n v="754.16"/>
    <n v="754.16"/>
    <n v="754.16"/>
    <s v="May 2022"/>
  </r>
  <r>
    <d v="2022-05-25T00:00:00"/>
    <x v="968"/>
    <n v="84"/>
    <x v="0"/>
    <x v="0"/>
    <x v="0"/>
    <x v="3"/>
    <n v="3420.87"/>
    <x v="0"/>
    <n v="2503.6022787783854"/>
    <n v="3762.95"/>
    <n v="3762.96"/>
    <n v="3762.96"/>
    <s v="May 2022"/>
  </r>
  <r>
    <d v="2022-05-25T00:00:00"/>
    <x v="969"/>
    <n v="11"/>
    <x v="0"/>
    <x v="3"/>
    <x v="1"/>
    <x v="0"/>
    <n v="3402.91"/>
    <x v="2"/>
    <n v="2509.1716796874912"/>
    <n v="3743.2"/>
    <n v="3743.21"/>
    <n v="3743.2"/>
    <s v="May 2022"/>
  </r>
  <r>
    <d v="2022-05-25T00:00:00"/>
    <x v="970"/>
    <n v="2"/>
    <x v="2"/>
    <x v="3"/>
    <x v="3"/>
    <x v="1"/>
    <n v="551.57000000000005"/>
    <x v="2"/>
    <n v="2496.7676064256989"/>
    <n v="606.72"/>
    <n v="606.73"/>
    <n v="606.73"/>
    <s v="May 2022"/>
  </r>
  <r>
    <d v="2022-05-26T00:00:00"/>
    <x v="971"/>
    <n v="13"/>
    <x v="2"/>
    <x v="2"/>
    <x v="0"/>
    <x v="0"/>
    <n v="3079.37"/>
    <x v="2"/>
    <n v="2503.6022787783854"/>
    <n v="3387.3"/>
    <n v="3387.3100000000004"/>
    <n v="3387.31"/>
    <s v="May 2022"/>
  </r>
  <r>
    <d v="2022-05-26T00:00:00"/>
    <x v="972"/>
    <n v="92"/>
    <x v="2"/>
    <x v="5"/>
    <x v="0"/>
    <x v="0"/>
    <n v="4283.2700000000004"/>
    <x v="0"/>
    <n v="2503.6022787783854"/>
    <n v="4711.59"/>
    <n v="4711.6000000000004"/>
    <n v="4711.6000000000004"/>
    <s v="May 2022"/>
  </r>
  <r>
    <d v="2022-05-26T00:00:00"/>
    <x v="973"/>
    <n v="49"/>
    <x v="0"/>
    <x v="5"/>
    <x v="1"/>
    <x v="3"/>
    <n v="4047.13"/>
    <x v="1"/>
    <n v="2509.1716796874912"/>
    <n v="4451.84"/>
    <n v="4451.8500000000004"/>
    <n v="4451.84"/>
    <s v="May 2022"/>
  </r>
  <r>
    <d v="2022-05-26T00:00:00"/>
    <x v="974"/>
    <n v="16"/>
    <x v="2"/>
    <x v="6"/>
    <x v="2"/>
    <x v="3"/>
    <n v="4354.05"/>
    <x v="1"/>
    <n v="2440.2966694490838"/>
    <n v="4789.45"/>
    <n v="4789.46"/>
    <n v="4789.46"/>
    <s v="May 2022"/>
  </r>
  <r>
    <d v="2022-05-27T00:00:00"/>
    <x v="975"/>
    <n v="60"/>
    <x v="1"/>
    <x v="1"/>
    <x v="2"/>
    <x v="1"/>
    <n v="4892.9399999999996"/>
    <x v="1"/>
    <n v="2440.2966694490838"/>
    <n v="5382.23"/>
    <n v="5382.24"/>
    <n v="5382.23"/>
    <s v="May 2022"/>
  </r>
  <r>
    <d v="2022-05-27T00:00:00"/>
    <x v="976"/>
    <n v="22"/>
    <x v="1"/>
    <x v="0"/>
    <x v="0"/>
    <x v="4"/>
    <n v="1725.83"/>
    <x v="1"/>
    <n v="2503.6022787783854"/>
    <n v="1898.41"/>
    <n v="1898.42"/>
    <n v="1898.41"/>
    <s v="May 2022"/>
  </r>
  <r>
    <d v="2022-05-27T00:00:00"/>
    <x v="977"/>
    <n v="1"/>
    <x v="2"/>
    <x v="5"/>
    <x v="0"/>
    <x v="4"/>
    <n v="3167.61"/>
    <x v="2"/>
    <n v="2503.6022787783854"/>
    <n v="3484.37"/>
    <n v="3484.38"/>
    <n v="3484.37"/>
    <s v="May 2022"/>
  </r>
  <r>
    <d v="2022-05-27T00:00:00"/>
    <x v="978"/>
    <n v="12"/>
    <x v="1"/>
    <x v="0"/>
    <x v="2"/>
    <x v="0"/>
    <n v="758.85"/>
    <x v="2"/>
    <n v="2440.2966694490838"/>
    <n v="834.73"/>
    <n v="834.74"/>
    <n v="834.74"/>
    <s v="May 2022"/>
  </r>
  <r>
    <d v="2022-05-27T00:00:00"/>
    <x v="979"/>
    <n v="56"/>
    <x v="2"/>
    <x v="5"/>
    <x v="3"/>
    <x v="4"/>
    <n v="1696.5"/>
    <x v="1"/>
    <n v="2496.7676064256989"/>
    <n v="1866.15"/>
    <n v="1866.15"/>
    <n v="1866.15"/>
    <s v="May 2022"/>
  </r>
  <r>
    <d v="2022-05-27T00:00:00"/>
    <x v="980"/>
    <n v="59"/>
    <x v="0"/>
    <x v="7"/>
    <x v="2"/>
    <x v="2"/>
    <n v="2973.92"/>
    <x v="1"/>
    <n v="2440.2966694490838"/>
    <n v="3271.31"/>
    <n v="3271.32"/>
    <n v="3271.31"/>
    <s v="May 2022"/>
  </r>
  <r>
    <d v="2022-05-27T00:00:00"/>
    <x v="981"/>
    <n v="0"/>
    <x v="0"/>
    <x v="0"/>
    <x v="2"/>
    <x v="4"/>
    <n v="3895.91"/>
    <x v="2"/>
    <n v="2440.2966694490838"/>
    <n v="4285.5"/>
    <n v="4285.51"/>
    <n v="4285.5"/>
    <s v="May 2022"/>
  </r>
  <r>
    <d v="2022-05-28T00:00:00"/>
    <x v="982"/>
    <n v="16"/>
    <x v="2"/>
    <x v="0"/>
    <x v="3"/>
    <x v="4"/>
    <n v="191.59"/>
    <x v="1"/>
    <n v="2496.7676064256989"/>
    <n v="210.74"/>
    <n v="210.75"/>
    <n v="210.75"/>
    <s v="May 2022"/>
  </r>
  <r>
    <d v="2022-05-28T00:00:00"/>
    <x v="983"/>
    <n v="98"/>
    <x v="1"/>
    <x v="4"/>
    <x v="2"/>
    <x v="4"/>
    <n v="389.94"/>
    <x v="0"/>
    <n v="2440.2966694490838"/>
    <n v="428.93"/>
    <n v="428.94"/>
    <n v="428.93"/>
    <s v="May 2022"/>
  </r>
  <r>
    <d v="2022-05-28T00:00:00"/>
    <x v="984"/>
    <n v="81"/>
    <x v="0"/>
    <x v="2"/>
    <x v="1"/>
    <x v="3"/>
    <n v="2443.8200000000002"/>
    <x v="0"/>
    <n v="2509.1716796874912"/>
    <n v="2688.2"/>
    <n v="2688.21"/>
    <n v="2688.2"/>
    <s v="May 2022"/>
  </r>
  <r>
    <d v="2022-05-28T00:00:00"/>
    <x v="985"/>
    <n v="32"/>
    <x v="2"/>
    <x v="2"/>
    <x v="3"/>
    <x v="3"/>
    <n v="2188"/>
    <x v="1"/>
    <n v="2496.7676064256989"/>
    <n v="2406.8000000000002"/>
    <n v="2406.8000000000002"/>
    <n v="2406.8000000000002"/>
    <s v="May 2022"/>
  </r>
  <r>
    <d v="2022-05-29T00:00:00"/>
    <x v="986"/>
    <n v="1"/>
    <x v="1"/>
    <x v="1"/>
    <x v="2"/>
    <x v="0"/>
    <n v="207.98"/>
    <x v="2"/>
    <n v="2440.2966694490838"/>
    <n v="228.77"/>
    <n v="228.78"/>
    <n v="228.78"/>
    <s v="May 2022"/>
  </r>
  <r>
    <d v="2022-05-29T00:00:00"/>
    <x v="987"/>
    <n v="45"/>
    <x v="0"/>
    <x v="1"/>
    <x v="3"/>
    <x v="5"/>
    <n v="717.85"/>
    <x v="1"/>
    <n v="2496.7676064256989"/>
    <n v="789.63"/>
    <n v="789.64"/>
    <n v="789.64"/>
    <s v="May 2022"/>
  </r>
  <r>
    <d v="2022-05-29T00:00:00"/>
    <x v="988"/>
    <n v="8"/>
    <x v="2"/>
    <x v="4"/>
    <x v="0"/>
    <x v="3"/>
    <n v="2136.16"/>
    <x v="2"/>
    <n v="2503.6022787783854"/>
    <n v="2349.77"/>
    <n v="2349.7800000000002"/>
    <n v="2349.7800000000002"/>
    <s v="May 2022"/>
  </r>
  <r>
    <d v="2022-05-29T00:00:00"/>
    <x v="989"/>
    <n v="87"/>
    <x v="0"/>
    <x v="7"/>
    <x v="1"/>
    <x v="3"/>
    <n v="3738.92"/>
    <x v="0"/>
    <n v="2509.1716796874912"/>
    <n v="4112.8100000000004"/>
    <n v="4112.8200000000006"/>
    <n v="4112.8100000000004"/>
    <s v="May 2022"/>
  </r>
  <r>
    <d v="2022-05-29T00:00:00"/>
    <x v="990"/>
    <n v="17"/>
    <x v="2"/>
    <x v="5"/>
    <x v="2"/>
    <x v="2"/>
    <n v="832.5"/>
    <x v="1"/>
    <n v="2440.2966694490838"/>
    <n v="915.75"/>
    <n v="915.75"/>
    <n v="915.75"/>
    <s v="May 2022"/>
  </r>
  <r>
    <d v="2022-05-30T00:00:00"/>
    <x v="991"/>
    <n v="17"/>
    <x v="0"/>
    <x v="5"/>
    <x v="0"/>
    <x v="4"/>
    <n v="2324"/>
    <x v="1"/>
    <n v="2503.6022787783854"/>
    <n v="2556.4"/>
    <n v="2556.4"/>
    <n v="2556.4"/>
    <s v="May 2022"/>
  </r>
  <r>
    <d v="2022-05-30T00:00:00"/>
    <x v="992"/>
    <n v="0"/>
    <x v="0"/>
    <x v="4"/>
    <x v="3"/>
    <x v="2"/>
    <n v="3497.72"/>
    <x v="2"/>
    <n v="2496.7676064256989"/>
    <n v="3847.49"/>
    <n v="3847.5"/>
    <n v="3847.49"/>
    <s v="May 2022"/>
  </r>
  <r>
    <d v="2022-05-30T00:00:00"/>
    <x v="993"/>
    <n v="4"/>
    <x v="1"/>
    <x v="5"/>
    <x v="1"/>
    <x v="0"/>
    <n v="2028.74"/>
    <x v="2"/>
    <n v="2509.1716796874912"/>
    <n v="2231.61"/>
    <n v="2231.6200000000003"/>
    <n v="2231.61"/>
    <s v="May 2022"/>
  </r>
  <r>
    <d v="2022-05-30T00:00:00"/>
    <x v="994"/>
    <n v="56"/>
    <x v="2"/>
    <x v="7"/>
    <x v="1"/>
    <x v="3"/>
    <n v="784.6"/>
    <x v="1"/>
    <n v="2509.1716796874912"/>
    <n v="863.06"/>
    <n v="863.06"/>
    <n v="863.06"/>
    <s v="May 2022"/>
  </r>
  <r>
    <d v="2022-05-30T00:00:00"/>
    <x v="995"/>
    <n v="9"/>
    <x v="1"/>
    <x v="0"/>
    <x v="2"/>
    <x v="3"/>
    <n v="1828.72"/>
    <x v="2"/>
    <n v="2440.2966694490838"/>
    <n v="2011.59"/>
    <n v="2011.6"/>
    <n v="2011.59"/>
    <s v="May 2022"/>
  </r>
  <r>
    <d v="2022-05-30T00:00:00"/>
    <x v="996"/>
    <n v="79"/>
    <x v="2"/>
    <x v="2"/>
    <x v="1"/>
    <x v="2"/>
    <n v="4257.03"/>
    <x v="0"/>
    <n v="2509.1716796874912"/>
    <n v="4682.7299999999996"/>
    <n v="4682.74"/>
    <n v="4682.7299999999996"/>
    <s v="May 2022"/>
  </r>
  <r>
    <d v="2022-05-30T00:00:00"/>
    <x v="997"/>
    <n v="56"/>
    <x v="0"/>
    <x v="0"/>
    <x v="1"/>
    <x v="2"/>
    <n v="4746.38"/>
    <x v="1"/>
    <n v="2509.1716796874912"/>
    <n v="5221.01"/>
    <n v="5221.0200000000004"/>
    <n v="5221.0200000000004"/>
    <s v="May 2022"/>
  </r>
  <r>
    <d v="2022-05-30T00:00:00"/>
    <x v="998"/>
    <n v="51"/>
    <x v="0"/>
    <x v="6"/>
    <x v="1"/>
    <x v="2"/>
    <n v="2647.18"/>
    <x v="1"/>
    <n v="2509.1716796874912"/>
    <n v="2911.89"/>
    <n v="2911.9"/>
    <n v="2911.9"/>
    <s v="May 2022"/>
  </r>
  <r>
    <d v="2022-05-30T00:00:00"/>
    <x v="999"/>
    <n v="94"/>
    <x v="1"/>
    <x v="2"/>
    <x v="2"/>
    <x v="0"/>
    <n v="784.39"/>
    <x v="0"/>
    <n v="2440.2966694490838"/>
    <n v="862.82"/>
    <n v="862.83"/>
    <n v="862.83"/>
    <s v="May 2022"/>
  </r>
  <r>
    <d v="2022-05-30T00:00:00"/>
    <x v="1000"/>
    <n v="91"/>
    <x v="0"/>
    <x v="0"/>
    <x v="0"/>
    <x v="2"/>
    <n v="731.08"/>
    <x v="0"/>
    <n v="2503.6022787783854"/>
    <n v="804.18"/>
    <n v="804.18999999999994"/>
    <n v="804.19"/>
    <s v="May 2022"/>
  </r>
  <r>
    <d v="2022-05-30T00:00:00"/>
    <x v="1001"/>
    <n v="53"/>
    <x v="1"/>
    <x v="2"/>
    <x v="1"/>
    <x v="1"/>
    <n v="2234.13"/>
    <x v="1"/>
    <n v="2509.1716796874912"/>
    <n v="2457.54"/>
    <n v="2457.5500000000002"/>
    <n v="2457.54"/>
    <s v="May 2022"/>
  </r>
  <r>
    <d v="2022-05-31T00:00:00"/>
    <x v="1002"/>
    <n v="78"/>
    <x v="1"/>
    <x v="7"/>
    <x v="0"/>
    <x v="2"/>
    <n v="3615.76"/>
    <x v="0"/>
    <n v="2503.6022787783854"/>
    <n v="3977.33"/>
    <n v="3977.34"/>
    <n v="3977.34"/>
    <s v="May 2022"/>
  </r>
  <r>
    <d v="2022-05-31T00:00:00"/>
    <x v="1003"/>
    <n v="47"/>
    <x v="0"/>
    <x v="5"/>
    <x v="1"/>
    <x v="2"/>
    <n v="599.87"/>
    <x v="1"/>
    <n v="2509.1716796874912"/>
    <n v="659.85"/>
    <n v="659.86"/>
    <n v="659.86"/>
    <s v="May 2022"/>
  </r>
  <r>
    <d v="2022-05-31T00:00:00"/>
    <x v="1004"/>
    <n v="39"/>
    <x v="2"/>
    <x v="6"/>
    <x v="3"/>
    <x v="0"/>
    <n v="4142.1000000000004"/>
    <x v="1"/>
    <n v="2496.7676064256989"/>
    <n v="4556.3100000000004"/>
    <n v="4556.3100000000004"/>
    <n v="4556.3100000000004"/>
    <s v="May 2022"/>
  </r>
  <r>
    <d v="2022-05-31T00:00:00"/>
    <x v="1005"/>
    <n v="82"/>
    <x v="0"/>
    <x v="2"/>
    <x v="3"/>
    <x v="0"/>
    <n v="412.54"/>
    <x v="0"/>
    <n v="2496.7676064256989"/>
    <n v="453.79"/>
    <n v="453.8"/>
    <n v="453.79"/>
    <s v="May 2022"/>
  </r>
  <r>
    <d v="2022-05-31T00:00:00"/>
    <x v="1006"/>
    <n v="66"/>
    <x v="2"/>
    <x v="3"/>
    <x v="3"/>
    <x v="2"/>
    <n v="1726.31"/>
    <x v="0"/>
    <n v="2496.7676064256989"/>
    <n v="1898.94"/>
    <n v="1898.95"/>
    <n v="1898.94"/>
    <s v="May 2022"/>
  </r>
  <r>
    <d v="2022-06-01T00:00:00"/>
    <x v="1007"/>
    <n v="83"/>
    <x v="1"/>
    <x v="3"/>
    <x v="1"/>
    <x v="2"/>
    <n v="4229.66"/>
    <x v="0"/>
    <n v="2509.1716796874912"/>
    <n v="4652.62"/>
    <n v="4652.63"/>
    <n v="4652.63"/>
    <s v="June 2022"/>
  </r>
  <r>
    <d v="2022-06-01T00:00:00"/>
    <x v="1008"/>
    <n v="75"/>
    <x v="0"/>
    <x v="2"/>
    <x v="1"/>
    <x v="1"/>
    <n v="2224.46"/>
    <x v="0"/>
    <n v="2509.1716796874912"/>
    <n v="2446.9"/>
    <n v="2446.9100000000003"/>
    <n v="2446.91"/>
    <s v="June 2022"/>
  </r>
  <r>
    <d v="2022-06-01T00:00:00"/>
    <x v="1009"/>
    <n v="66"/>
    <x v="0"/>
    <x v="1"/>
    <x v="0"/>
    <x v="0"/>
    <n v="3380.63"/>
    <x v="0"/>
    <n v="2503.6022787783854"/>
    <n v="3718.69"/>
    <n v="3718.7000000000003"/>
    <n v="3718.69"/>
    <s v="June 2022"/>
  </r>
  <r>
    <d v="2022-06-01T00:00:00"/>
    <x v="1010"/>
    <n v="34"/>
    <x v="0"/>
    <x v="2"/>
    <x v="3"/>
    <x v="3"/>
    <n v="1338.33"/>
    <x v="1"/>
    <n v="2496.7676064256989"/>
    <n v="1472.16"/>
    <n v="1472.17"/>
    <n v="1472.16"/>
    <s v="June 2022"/>
  </r>
  <r>
    <d v="2022-06-01T00:00:00"/>
    <x v="1011"/>
    <n v="49"/>
    <x v="0"/>
    <x v="0"/>
    <x v="2"/>
    <x v="2"/>
    <n v="4886.5600000000004"/>
    <x v="1"/>
    <n v="2440.2966694490838"/>
    <n v="5375.21"/>
    <n v="5375.22"/>
    <n v="5375.22"/>
    <s v="June 2022"/>
  </r>
  <r>
    <d v="2022-06-02T00:00:00"/>
    <x v="1012"/>
    <n v="64"/>
    <x v="1"/>
    <x v="2"/>
    <x v="1"/>
    <x v="3"/>
    <n v="4986.0600000000004"/>
    <x v="1"/>
    <n v="2509.1716796874912"/>
    <n v="5484.66"/>
    <n v="5484.67"/>
    <n v="5484.67"/>
    <s v="June 2022"/>
  </r>
  <r>
    <d v="2022-06-02T00:00:00"/>
    <x v="1013"/>
    <n v="49"/>
    <x v="1"/>
    <x v="2"/>
    <x v="3"/>
    <x v="2"/>
    <n v="2008.47"/>
    <x v="1"/>
    <n v="2496.7676064256989"/>
    <n v="2209.31"/>
    <n v="2209.3200000000002"/>
    <n v="2209.3200000000002"/>
    <s v="June 2022"/>
  </r>
  <r>
    <d v="2022-06-02T00:00:00"/>
    <x v="1014"/>
    <n v="42"/>
    <x v="2"/>
    <x v="0"/>
    <x v="2"/>
    <x v="1"/>
    <n v="1134.32"/>
    <x v="1"/>
    <n v="2440.2966694490838"/>
    <n v="1247.75"/>
    <n v="1247.76"/>
    <n v="1247.75"/>
    <s v="June 2022"/>
  </r>
  <r>
    <d v="2022-06-02T00:00:00"/>
    <x v="1015"/>
    <n v="94"/>
    <x v="0"/>
    <x v="6"/>
    <x v="0"/>
    <x v="4"/>
    <n v="1638.19"/>
    <x v="0"/>
    <n v="2503.6022787783854"/>
    <n v="1802"/>
    <n v="1802.01"/>
    <n v="1802.01"/>
    <s v="June 2022"/>
  </r>
  <r>
    <d v="2022-06-02T00:00:00"/>
    <x v="1016"/>
    <n v="62"/>
    <x v="1"/>
    <x v="4"/>
    <x v="0"/>
    <x v="3"/>
    <n v="2863.99"/>
    <x v="1"/>
    <n v="2503.6022787783854"/>
    <n v="3150.38"/>
    <n v="3150.3900000000003"/>
    <n v="3150.39"/>
    <s v="June 2022"/>
  </r>
  <r>
    <d v="2022-06-02T00:00:00"/>
    <x v="1017"/>
    <n v="39"/>
    <x v="0"/>
    <x v="3"/>
    <x v="0"/>
    <x v="4"/>
    <n v="3886.77"/>
    <x v="1"/>
    <n v="2503.6022787783854"/>
    <n v="4275.4399999999996"/>
    <n v="4275.45"/>
    <n v="4275.45"/>
    <s v="June 2022"/>
  </r>
  <r>
    <d v="2022-06-02T00:00:00"/>
    <x v="1018"/>
    <n v="2"/>
    <x v="1"/>
    <x v="4"/>
    <x v="3"/>
    <x v="1"/>
    <n v="418.04"/>
    <x v="2"/>
    <n v="2496.7676064256989"/>
    <n v="459.84"/>
    <n v="459.84999999999997"/>
    <n v="459.84"/>
    <s v="June 2022"/>
  </r>
  <r>
    <d v="2022-06-03T00:00:00"/>
    <x v="1019"/>
    <n v="0"/>
    <x v="1"/>
    <x v="4"/>
    <x v="3"/>
    <x v="2"/>
    <n v="820.57"/>
    <x v="2"/>
    <n v="2496.7676064256989"/>
    <n v="902.62"/>
    <n v="902.63"/>
    <n v="902.63"/>
    <s v="June 2022"/>
  </r>
  <r>
    <d v="2022-06-03T00:00:00"/>
    <x v="1020"/>
    <n v="89"/>
    <x v="1"/>
    <x v="3"/>
    <x v="0"/>
    <x v="1"/>
    <n v="523.24"/>
    <x v="0"/>
    <n v="2503.6022787783854"/>
    <n v="575.55999999999995"/>
    <n v="575.56999999999994"/>
    <n v="575.55999999999995"/>
    <s v="June 2022"/>
  </r>
  <r>
    <d v="2022-06-03T00:00:00"/>
    <x v="1021"/>
    <n v="80"/>
    <x v="0"/>
    <x v="1"/>
    <x v="0"/>
    <x v="2"/>
    <n v="530.14"/>
    <x v="0"/>
    <n v="2503.6022787783854"/>
    <n v="583.15"/>
    <n v="583.16"/>
    <n v="583.15"/>
    <s v="June 2022"/>
  </r>
  <r>
    <d v="2022-06-03T00:00:00"/>
    <x v="1022"/>
    <n v="74"/>
    <x v="2"/>
    <x v="4"/>
    <x v="2"/>
    <x v="3"/>
    <n v="3734.02"/>
    <x v="0"/>
    <n v="2440.2966694490838"/>
    <n v="4107.42"/>
    <n v="4107.43"/>
    <n v="4107.42"/>
    <s v="June 2022"/>
  </r>
  <r>
    <d v="2022-06-03T00:00:00"/>
    <x v="1023"/>
    <n v="82"/>
    <x v="1"/>
    <x v="0"/>
    <x v="0"/>
    <x v="4"/>
    <n v="4041.36"/>
    <x v="0"/>
    <n v="2503.6022787783854"/>
    <n v="4445.49"/>
    <n v="4445.5"/>
    <n v="4445.5"/>
    <s v="June 2022"/>
  </r>
  <r>
    <d v="2022-06-03T00:00:00"/>
    <x v="1024"/>
    <n v="99"/>
    <x v="0"/>
    <x v="4"/>
    <x v="3"/>
    <x v="3"/>
    <n v="4520.12"/>
    <x v="0"/>
    <n v="2496.7676064256989"/>
    <n v="4972.13"/>
    <n v="4972.1400000000003"/>
    <n v="4972.13"/>
    <s v="June 2022"/>
  </r>
  <r>
    <d v="2022-06-04T00:00:00"/>
    <x v="1025"/>
    <n v="65"/>
    <x v="2"/>
    <x v="4"/>
    <x v="2"/>
    <x v="4"/>
    <n v="3020.59"/>
    <x v="0"/>
    <n v="2440.2966694490838"/>
    <n v="3322.64"/>
    <n v="3322.65"/>
    <n v="3322.65"/>
    <s v="June 2022"/>
  </r>
  <r>
    <d v="2022-06-04T00:00:00"/>
    <x v="1026"/>
    <n v="68"/>
    <x v="0"/>
    <x v="4"/>
    <x v="3"/>
    <x v="2"/>
    <n v="3613.24"/>
    <x v="0"/>
    <n v="2496.7676064256989"/>
    <n v="3974.56"/>
    <n v="3974.57"/>
    <n v="3974.56"/>
    <s v="June 2022"/>
  </r>
  <r>
    <d v="2022-06-04T00:00:00"/>
    <x v="1027"/>
    <n v="35"/>
    <x v="2"/>
    <x v="4"/>
    <x v="0"/>
    <x v="2"/>
    <n v="1480.56"/>
    <x v="1"/>
    <n v="2503.6022787783854"/>
    <n v="1628.61"/>
    <n v="1628.62"/>
    <n v="1628.62"/>
    <s v="June 2022"/>
  </r>
  <r>
    <d v="2022-06-04T00:00:00"/>
    <x v="1028"/>
    <n v="0"/>
    <x v="1"/>
    <x v="3"/>
    <x v="1"/>
    <x v="2"/>
    <n v="2905.25"/>
    <x v="2"/>
    <n v="2509.1716796874912"/>
    <n v="3195.77"/>
    <n v="3195.78"/>
    <n v="3195.78"/>
    <s v="June 2022"/>
  </r>
  <r>
    <d v="2022-06-04T00:00:00"/>
    <x v="1029"/>
    <n v="60"/>
    <x v="2"/>
    <x v="1"/>
    <x v="0"/>
    <x v="2"/>
    <n v="2003.68"/>
    <x v="1"/>
    <n v="2503.6022787783854"/>
    <n v="2204.04"/>
    <n v="2204.0500000000002"/>
    <n v="2204.0500000000002"/>
    <s v="June 2022"/>
  </r>
  <r>
    <d v="2022-06-04T00:00:00"/>
    <x v="1030"/>
    <n v="15"/>
    <x v="2"/>
    <x v="7"/>
    <x v="2"/>
    <x v="0"/>
    <n v="254.98"/>
    <x v="2"/>
    <n v="2440.2966694490838"/>
    <n v="280.47000000000003"/>
    <n v="280.48"/>
    <n v="280.48"/>
    <s v="June 2022"/>
  </r>
  <r>
    <d v="2022-06-04T00:00:00"/>
    <x v="1031"/>
    <n v="17"/>
    <x v="0"/>
    <x v="6"/>
    <x v="2"/>
    <x v="4"/>
    <n v="4388.32"/>
    <x v="1"/>
    <n v="2440.2966694490838"/>
    <n v="4827.1499999999996"/>
    <n v="4827.16"/>
    <n v="4827.1499999999996"/>
    <s v="June 2022"/>
  </r>
  <r>
    <d v="2022-06-04T00:00:00"/>
    <x v="1032"/>
    <n v="5"/>
    <x v="2"/>
    <x v="2"/>
    <x v="0"/>
    <x v="1"/>
    <n v="2353.02"/>
    <x v="2"/>
    <n v="2503.6022787783854"/>
    <n v="2588.3200000000002"/>
    <n v="2588.3300000000004"/>
    <n v="2588.3200000000002"/>
    <s v="June 2022"/>
  </r>
  <r>
    <d v="2022-06-04T00:00:00"/>
    <x v="1033"/>
    <n v="83"/>
    <x v="1"/>
    <x v="0"/>
    <x v="1"/>
    <x v="4"/>
    <n v="4379.46"/>
    <x v="0"/>
    <n v="2509.1716796874912"/>
    <n v="4817.3999999999996"/>
    <n v="4817.41"/>
    <n v="4817.41"/>
    <s v="June 2022"/>
  </r>
  <r>
    <d v="2022-06-04T00:00:00"/>
    <x v="1034"/>
    <n v="7"/>
    <x v="0"/>
    <x v="0"/>
    <x v="0"/>
    <x v="1"/>
    <n v="4338.8500000000004"/>
    <x v="2"/>
    <n v="2503.6022787783854"/>
    <n v="4772.7299999999996"/>
    <n v="4772.74"/>
    <n v="4772.74"/>
    <s v="June 2022"/>
  </r>
  <r>
    <d v="2022-06-05T00:00:00"/>
    <x v="1035"/>
    <n v="91"/>
    <x v="1"/>
    <x v="2"/>
    <x v="2"/>
    <x v="4"/>
    <n v="4847.34"/>
    <x v="0"/>
    <n v="2440.2966694490838"/>
    <n v="5332.07"/>
    <n v="5332.08"/>
    <n v="5332.07"/>
    <s v="June 2022"/>
  </r>
  <r>
    <d v="2022-06-05T00:00:00"/>
    <x v="1036"/>
    <n v="63"/>
    <x v="0"/>
    <x v="6"/>
    <x v="2"/>
    <x v="1"/>
    <n v="926.05"/>
    <x v="1"/>
    <n v="2440.2966694490838"/>
    <n v="1018.65"/>
    <n v="1018.66"/>
    <n v="1018.66"/>
    <s v="June 2022"/>
  </r>
  <r>
    <d v="2022-06-05T00:00:00"/>
    <x v="1037"/>
    <n v="30"/>
    <x v="1"/>
    <x v="5"/>
    <x v="1"/>
    <x v="4"/>
    <n v="4386.9399999999996"/>
    <x v="1"/>
    <n v="2509.1716796874912"/>
    <n v="4825.63"/>
    <n v="4825.6400000000003"/>
    <n v="4825.63"/>
    <s v="June 2022"/>
  </r>
  <r>
    <d v="2022-06-05T00:00:00"/>
    <x v="1038"/>
    <n v="10"/>
    <x v="2"/>
    <x v="5"/>
    <x v="0"/>
    <x v="2"/>
    <n v="273.83999999999997"/>
    <x v="2"/>
    <n v="2503.6022787783854"/>
    <n v="301.22000000000003"/>
    <n v="301.23"/>
    <n v="301.22000000000003"/>
    <s v="June 2022"/>
  </r>
  <r>
    <d v="2022-06-05T00:00:00"/>
    <x v="1039"/>
    <n v="27"/>
    <x v="2"/>
    <x v="5"/>
    <x v="3"/>
    <x v="2"/>
    <n v="3927.68"/>
    <x v="1"/>
    <n v="2496.7676064256989"/>
    <n v="4320.4399999999996"/>
    <n v="4320.45"/>
    <n v="4320.45"/>
    <s v="June 2022"/>
  </r>
  <r>
    <d v="2022-06-06T00:00:00"/>
    <x v="1040"/>
    <n v="30"/>
    <x v="0"/>
    <x v="5"/>
    <x v="3"/>
    <x v="1"/>
    <n v="3489.93"/>
    <x v="1"/>
    <n v="2496.7676064256989"/>
    <n v="3838.92"/>
    <n v="3838.9300000000003"/>
    <n v="3838.92"/>
    <s v="June 2022"/>
  </r>
  <r>
    <d v="2022-06-06T00:00:00"/>
    <x v="1041"/>
    <n v="22"/>
    <x v="2"/>
    <x v="0"/>
    <x v="0"/>
    <x v="1"/>
    <n v="1103.98"/>
    <x v="1"/>
    <n v="2503.6022787783854"/>
    <n v="1214.3699999999999"/>
    <n v="1214.3799999999999"/>
    <n v="1214.3800000000001"/>
    <s v="June 2022"/>
  </r>
  <r>
    <d v="2022-06-06T00:00:00"/>
    <x v="1042"/>
    <n v="58"/>
    <x v="2"/>
    <x v="0"/>
    <x v="2"/>
    <x v="4"/>
    <n v="2854.4"/>
    <x v="1"/>
    <n v="2440.2966694490838"/>
    <n v="3139.84"/>
    <n v="3139.84"/>
    <n v="3139.84"/>
    <s v="June 2022"/>
  </r>
  <r>
    <d v="2022-06-06T00:00:00"/>
    <x v="1043"/>
    <n v="45"/>
    <x v="1"/>
    <x v="0"/>
    <x v="2"/>
    <x v="2"/>
    <n v="1543.54"/>
    <x v="1"/>
    <n v="2440.2966694490838"/>
    <n v="1697.89"/>
    <n v="1697.9"/>
    <n v="1697.89"/>
    <s v="June 2022"/>
  </r>
  <r>
    <d v="2022-06-07T00:00:00"/>
    <x v="1044"/>
    <n v="34"/>
    <x v="0"/>
    <x v="7"/>
    <x v="3"/>
    <x v="3"/>
    <n v="942.47"/>
    <x v="1"/>
    <n v="2496.7676064256989"/>
    <n v="1036.71"/>
    <n v="1036.72"/>
    <n v="1036.72"/>
    <s v="June 2022"/>
  </r>
  <r>
    <d v="2022-06-07T00:00:00"/>
    <x v="1045"/>
    <n v="2"/>
    <x v="2"/>
    <x v="4"/>
    <x v="1"/>
    <x v="1"/>
    <n v="4226.6099999999997"/>
    <x v="2"/>
    <n v="2509.1716796874912"/>
    <n v="4649.2700000000004"/>
    <n v="4649.2800000000007"/>
    <n v="4649.2700000000004"/>
    <s v="June 2022"/>
  </r>
  <r>
    <d v="2022-06-07T00:00:00"/>
    <x v="1046"/>
    <n v="35"/>
    <x v="2"/>
    <x v="4"/>
    <x v="1"/>
    <x v="4"/>
    <n v="2300.1799999999998"/>
    <x v="1"/>
    <n v="2509.1716796874912"/>
    <n v="2530.19"/>
    <n v="2530.2000000000003"/>
    <n v="2530.1999999999998"/>
    <s v="June 2022"/>
  </r>
  <r>
    <d v="2022-06-07T00:00:00"/>
    <x v="1047"/>
    <n v="85"/>
    <x v="2"/>
    <x v="3"/>
    <x v="0"/>
    <x v="3"/>
    <n v="991.9"/>
    <x v="0"/>
    <n v="2503.6022787783854"/>
    <n v="1091.0899999999999"/>
    <n v="1091.0899999999999"/>
    <n v="1091.0899999999999"/>
    <s v="June 2022"/>
  </r>
  <r>
    <d v="2022-06-07T00:00:00"/>
    <x v="1048"/>
    <n v="97"/>
    <x v="0"/>
    <x v="0"/>
    <x v="3"/>
    <x v="0"/>
    <n v="2756.25"/>
    <x v="0"/>
    <n v="2496.7676064256989"/>
    <n v="3031.87"/>
    <n v="3031.88"/>
    <n v="3031.88"/>
    <s v="June 2022"/>
  </r>
  <r>
    <d v="2022-06-07T00:00:00"/>
    <x v="1049"/>
    <n v="10"/>
    <x v="0"/>
    <x v="0"/>
    <x v="2"/>
    <x v="1"/>
    <n v="960.67"/>
    <x v="2"/>
    <n v="2440.2966694490838"/>
    <n v="1056.73"/>
    <n v="1056.74"/>
    <n v="1056.74"/>
    <s v="June 2022"/>
  </r>
  <r>
    <d v="2022-06-07T00:00:00"/>
    <x v="1050"/>
    <n v="14"/>
    <x v="0"/>
    <x v="7"/>
    <x v="2"/>
    <x v="1"/>
    <n v="2339.9699999999998"/>
    <x v="2"/>
    <n v="2440.2966694490838"/>
    <n v="2573.96"/>
    <n v="2573.9700000000003"/>
    <n v="2573.9699999999998"/>
    <s v="June 2022"/>
  </r>
  <r>
    <d v="2022-06-07T00:00:00"/>
    <x v="1051"/>
    <n v="89"/>
    <x v="2"/>
    <x v="5"/>
    <x v="0"/>
    <x v="3"/>
    <n v="4667.04"/>
    <x v="0"/>
    <n v="2503.6022787783854"/>
    <n v="5133.74"/>
    <n v="5133.75"/>
    <n v="5133.74"/>
    <s v="June 2022"/>
  </r>
  <r>
    <d v="2022-06-07T00:00:00"/>
    <x v="1052"/>
    <n v="2"/>
    <x v="2"/>
    <x v="0"/>
    <x v="2"/>
    <x v="2"/>
    <n v="334.43"/>
    <x v="2"/>
    <n v="2440.2966694490838"/>
    <n v="367.87"/>
    <n v="367.88"/>
    <n v="367.87"/>
    <s v="June 2022"/>
  </r>
  <r>
    <d v="2022-06-07T00:00:00"/>
    <x v="1053"/>
    <n v="56"/>
    <x v="0"/>
    <x v="6"/>
    <x v="2"/>
    <x v="0"/>
    <n v="1037.8399999999999"/>
    <x v="1"/>
    <n v="2440.2966694490838"/>
    <n v="1141.6199999999999"/>
    <n v="1141.6299999999999"/>
    <n v="1141.6199999999999"/>
    <s v="June 2022"/>
  </r>
  <r>
    <d v="2022-06-07T00:00:00"/>
    <x v="1054"/>
    <n v="81"/>
    <x v="0"/>
    <x v="2"/>
    <x v="0"/>
    <x v="5"/>
    <n v="1857.29"/>
    <x v="0"/>
    <n v="2503.6022787783854"/>
    <n v="2043.01"/>
    <n v="2043.02"/>
    <n v="2043.02"/>
    <s v="June 2022"/>
  </r>
  <r>
    <d v="2022-06-07T00:00:00"/>
    <x v="1055"/>
    <n v="54"/>
    <x v="2"/>
    <x v="6"/>
    <x v="3"/>
    <x v="3"/>
    <n v="4880.88"/>
    <x v="1"/>
    <n v="2496.7676064256989"/>
    <n v="5368.96"/>
    <n v="5368.97"/>
    <n v="5368.97"/>
    <s v="June 2022"/>
  </r>
  <r>
    <d v="2022-06-08T00:00:00"/>
    <x v="1056"/>
    <n v="50"/>
    <x v="1"/>
    <x v="2"/>
    <x v="1"/>
    <x v="2"/>
    <n v="2102.64"/>
    <x v="1"/>
    <n v="2509.1716796874912"/>
    <n v="2312.9"/>
    <n v="2312.9100000000003"/>
    <n v="2312.9"/>
    <s v="June 2022"/>
  </r>
  <r>
    <d v="2022-06-08T00:00:00"/>
    <x v="1057"/>
    <n v="48"/>
    <x v="1"/>
    <x v="7"/>
    <x v="0"/>
    <x v="3"/>
    <n v="3185.56"/>
    <x v="1"/>
    <n v="2503.6022787783854"/>
    <n v="3504.11"/>
    <n v="3504.1200000000003"/>
    <n v="3504.12"/>
    <s v="June 2022"/>
  </r>
  <r>
    <d v="2022-06-08T00:00:00"/>
    <x v="1058"/>
    <n v="69"/>
    <x v="1"/>
    <x v="2"/>
    <x v="2"/>
    <x v="2"/>
    <n v="4023.54"/>
    <x v="0"/>
    <n v="2440.2966694490838"/>
    <n v="4425.8900000000003"/>
    <n v="4425.9000000000005"/>
    <n v="4425.8900000000003"/>
    <s v="June 2022"/>
  </r>
  <r>
    <d v="2022-06-08T00:00:00"/>
    <x v="1059"/>
    <n v="78"/>
    <x v="1"/>
    <x v="5"/>
    <x v="2"/>
    <x v="4"/>
    <n v="27.21"/>
    <x v="0"/>
    <n v="2440.2966694490838"/>
    <n v="29.93"/>
    <n v="29.94"/>
    <n v="29.93"/>
    <s v="June 2022"/>
  </r>
  <r>
    <d v="2022-06-08T00:00:00"/>
    <x v="1060"/>
    <n v="79"/>
    <x v="0"/>
    <x v="6"/>
    <x v="2"/>
    <x v="2"/>
    <n v="387.09"/>
    <x v="0"/>
    <n v="2440.2966694490838"/>
    <n v="425.79"/>
    <n v="425.8"/>
    <n v="425.8"/>
    <s v="June 2022"/>
  </r>
  <r>
    <d v="2022-06-08T00:00:00"/>
    <x v="1061"/>
    <n v="92"/>
    <x v="1"/>
    <x v="1"/>
    <x v="0"/>
    <x v="3"/>
    <n v="4678.1899999999996"/>
    <x v="0"/>
    <n v="2503.6022787783854"/>
    <n v="5146"/>
    <n v="5146.01"/>
    <n v="5146.01"/>
    <s v="June 2022"/>
  </r>
  <r>
    <d v="2022-06-08T00:00:00"/>
    <x v="1062"/>
    <n v="71"/>
    <x v="0"/>
    <x v="4"/>
    <x v="3"/>
    <x v="0"/>
    <n v="3365.86"/>
    <x v="0"/>
    <n v="2496.7676064256989"/>
    <n v="3702.44"/>
    <n v="3702.4500000000003"/>
    <n v="3702.45"/>
    <s v="June 2022"/>
  </r>
  <r>
    <d v="2022-06-08T00:00:00"/>
    <x v="1063"/>
    <n v="28"/>
    <x v="1"/>
    <x v="1"/>
    <x v="1"/>
    <x v="0"/>
    <n v="224.91"/>
    <x v="1"/>
    <n v="2509.1716796874912"/>
    <n v="247.4"/>
    <n v="247.41"/>
    <n v="247.4"/>
    <s v="June 2022"/>
  </r>
  <r>
    <d v="2022-06-08T00:00:00"/>
    <x v="1064"/>
    <n v="79"/>
    <x v="0"/>
    <x v="1"/>
    <x v="0"/>
    <x v="4"/>
    <n v="215.97"/>
    <x v="0"/>
    <n v="2503.6022787783854"/>
    <n v="237.56"/>
    <n v="237.57"/>
    <n v="237.57"/>
    <s v="June 2022"/>
  </r>
  <r>
    <d v="2022-06-08T00:00:00"/>
    <x v="1065"/>
    <n v="39"/>
    <x v="0"/>
    <x v="6"/>
    <x v="2"/>
    <x v="3"/>
    <n v="1296.8"/>
    <x v="1"/>
    <n v="2440.2966694490838"/>
    <n v="1426.48"/>
    <n v="1426.48"/>
    <n v="1426.48"/>
    <s v="June 2022"/>
  </r>
  <r>
    <d v="2022-06-08T00:00:00"/>
    <x v="1066"/>
    <n v="73"/>
    <x v="0"/>
    <x v="3"/>
    <x v="0"/>
    <x v="3"/>
    <n v="366.19"/>
    <x v="0"/>
    <n v="2503.6022787783854"/>
    <n v="402.8"/>
    <n v="402.81"/>
    <n v="402.81"/>
    <s v="June 2022"/>
  </r>
  <r>
    <d v="2022-06-08T00:00:00"/>
    <x v="1067"/>
    <n v="37"/>
    <x v="0"/>
    <x v="4"/>
    <x v="3"/>
    <x v="4"/>
    <n v="3811.95"/>
    <x v="1"/>
    <n v="2496.7676064256989"/>
    <n v="4193.1400000000003"/>
    <n v="4193.1500000000005"/>
    <n v="4193.1499999999996"/>
    <s v="June 2022"/>
  </r>
  <r>
    <d v="2022-06-08T00:00:00"/>
    <x v="1068"/>
    <n v="93"/>
    <x v="1"/>
    <x v="4"/>
    <x v="1"/>
    <x v="3"/>
    <n v="3031.71"/>
    <x v="0"/>
    <n v="2509.1716796874912"/>
    <n v="3334.88"/>
    <n v="3334.8900000000003"/>
    <n v="3334.88"/>
    <s v="June 2022"/>
  </r>
  <r>
    <d v="2022-06-09T00:00:00"/>
    <x v="1069"/>
    <n v="90"/>
    <x v="2"/>
    <x v="1"/>
    <x v="0"/>
    <x v="3"/>
    <n v="1620.03"/>
    <x v="0"/>
    <n v="2503.6022787783854"/>
    <n v="1782.03"/>
    <n v="1782.04"/>
    <n v="1782.03"/>
    <s v="June 2022"/>
  </r>
  <r>
    <d v="2022-06-09T00:00:00"/>
    <x v="1070"/>
    <n v="58"/>
    <x v="1"/>
    <x v="6"/>
    <x v="3"/>
    <x v="4"/>
    <n v="384.27"/>
    <x v="1"/>
    <n v="2496.7676064256989"/>
    <n v="422.69"/>
    <n v="422.7"/>
    <n v="422.7"/>
    <s v="June 2022"/>
  </r>
  <r>
    <d v="2022-06-09T00:00:00"/>
    <x v="1071"/>
    <n v="44"/>
    <x v="1"/>
    <x v="5"/>
    <x v="3"/>
    <x v="1"/>
    <n v="1764.68"/>
    <x v="1"/>
    <n v="2496.7676064256989"/>
    <n v="1941.14"/>
    <n v="1941.15"/>
    <n v="1941.15"/>
    <s v="June 2022"/>
  </r>
  <r>
    <d v="2022-06-09T00:00:00"/>
    <x v="1072"/>
    <n v="52"/>
    <x v="1"/>
    <x v="5"/>
    <x v="2"/>
    <x v="3"/>
    <n v="4529.43"/>
    <x v="1"/>
    <n v="2440.2966694490838"/>
    <n v="4982.37"/>
    <n v="4982.38"/>
    <n v="4982.37"/>
    <s v="June 2022"/>
  </r>
  <r>
    <d v="2022-06-09T00:00:00"/>
    <x v="1073"/>
    <n v="73"/>
    <x v="2"/>
    <x v="4"/>
    <x v="0"/>
    <x v="0"/>
    <n v="1647.22"/>
    <x v="0"/>
    <n v="2503.6022787783854"/>
    <n v="1811.94"/>
    <n v="1811.95"/>
    <n v="1811.94"/>
    <s v="June 2022"/>
  </r>
  <r>
    <d v="2022-06-09T00:00:00"/>
    <x v="1074"/>
    <n v="94"/>
    <x v="1"/>
    <x v="4"/>
    <x v="2"/>
    <x v="1"/>
    <n v="1944.23"/>
    <x v="0"/>
    <n v="2440.2966694490838"/>
    <n v="2138.65"/>
    <n v="2138.6600000000003"/>
    <n v="2138.65"/>
    <s v="June 2022"/>
  </r>
  <r>
    <d v="2022-06-09T00:00:00"/>
    <x v="1075"/>
    <n v="84"/>
    <x v="1"/>
    <x v="1"/>
    <x v="3"/>
    <x v="2"/>
    <n v="2436.12"/>
    <x v="0"/>
    <n v="2496.7676064256989"/>
    <n v="2679.73"/>
    <n v="2679.7400000000002"/>
    <n v="2679.73"/>
    <s v="June 2022"/>
  </r>
  <r>
    <d v="2022-06-09T00:00:00"/>
    <x v="1076"/>
    <n v="63"/>
    <x v="2"/>
    <x v="6"/>
    <x v="3"/>
    <x v="2"/>
    <n v="2663.12"/>
    <x v="1"/>
    <n v="2496.7676064256989"/>
    <n v="2929.43"/>
    <n v="2929.44"/>
    <n v="2929.43"/>
    <s v="June 2022"/>
  </r>
  <r>
    <d v="2022-06-09T00:00:00"/>
    <x v="1077"/>
    <n v="76"/>
    <x v="2"/>
    <x v="1"/>
    <x v="3"/>
    <x v="1"/>
    <n v="3828.98"/>
    <x v="0"/>
    <n v="2496.7676064256989"/>
    <n v="4211.87"/>
    <n v="4211.88"/>
    <n v="4211.88"/>
    <s v="June 2022"/>
  </r>
  <r>
    <d v="2022-06-10T00:00:00"/>
    <x v="1078"/>
    <n v="80"/>
    <x v="0"/>
    <x v="1"/>
    <x v="0"/>
    <x v="1"/>
    <n v="4901.6499999999996"/>
    <x v="0"/>
    <n v="2503.6022787783854"/>
    <n v="5391.81"/>
    <n v="5391.8200000000006"/>
    <n v="5391.82"/>
    <s v="June 2022"/>
  </r>
  <r>
    <d v="2022-06-10T00:00:00"/>
    <x v="1079"/>
    <n v="13"/>
    <x v="2"/>
    <x v="7"/>
    <x v="1"/>
    <x v="0"/>
    <n v="2309.34"/>
    <x v="2"/>
    <n v="2509.1716796874912"/>
    <n v="2540.27"/>
    <n v="2540.2800000000002"/>
    <n v="2540.27"/>
    <s v="June 2022"/>
  </r>
  <r>
    <d v="2022-06-10T00:00:00"/>
    <x v="1080"/>
    <n v="25"/>
    <x v="2"/>
    <x v="0"/>
    <x v="1"/>
    <x v="3"/>
    <n v="791.01"/>
    <x v="1"/>
    <n v="2509.1716796874912"/>
    <n v="870.11"/>
    <n v="870.12"/>
    <n v="870.11"/>
    <s v="June 2022"/>
  </r>
  <r>
    <d v="2022-06-10T00:00:00"/>
    <x v="1081"/>
    <n v="73"/>
    <x v="2"/>
    <x v="4"/>
    <x v="2"/>
    <x v="0"/>
    <n v="2637.38"/>
    <x v="0"/>
    <n v="2440.2966694490838"/>
    <n v="2901.11"/>
    <n v="2901.1200000000003"/>
    <n v="2901.12"/>
    <s v="June 2022"/>
  </r>
  <r>
    <d v="2022-06-10T00:00:00"/>
    <x v="1082"/>
    <n v="69"/>
    <x v="0"/>
    <x v="3"/>
    <x v="3"/>
    <x v="0"/>
    <n v="1103.3599999999999"/>
    <x v="0"/>
    <n v="2496.7676064256989"/>
    <n v="1213.69"/>
    <n v="1213.7"/>
    <n v="1213.7"/>
    <s v="June 2022"/>
  </r>
  <r>
    <d v="2022-06-10T00:00:00"/>
    <x v="1083"/>
    <n v="46"/>
    <x v="2"/>
    <x v="1"/>
    <x v="1"/>
    <x v="0"/>
    <n v="524.65"/>
    <x v="1"/>
    <n v="2509.1716796874912"/>
    <n v="577.11"/>
    <n v="577.12"/>
    <n v="577.12"/>
    <s v="June 2022"/>
  </r>
  <r>
    <d v="2022-06-11T00:00:00"/>
    <x v="1084"/>
    <n v="23"/>
    <x v="2"/>
    <x v="0"/>
    <x v="0"/>
    <x v="3"/>
    <n v="461.69"/>
    <x v="1"/>
    <n v="2503.6022787783854"/>
    <n v="507.85"/>
    <n v="507.86"/>
    <n v="507.86"/>
    <s v="June 2022"/>
  </r>
  <r>
    <d v="2022-06-11T00:00:00"/>
    <x v="1085"/>
    <n v="2"/>
    <x v="1"/>
    <x v="5"/>
    <x v="0"/>
    <x v="1"/>
    <n v="3419.37"/>
    <x v="2"/>
    <n v="2503.6022787783854"/>
    <n v="3761.3"/>
    <n v="3761.3100000000004"/>
    <n v="3761.31"/>
    <s v="June 2022"/>
  </r>
  <r>
    <d v="2022-06-11T00:00:00"/>
    <x v="1086"/>
    <n v="80"/>
    <x v="0"/>
    <x v="5"/>
    <x v="0"/>
    <x v="4"/>
    <n v="1491.71"/>
    <x v="0"/>
    <n v="2503.6022787783854"/>
    <n v="1640.88"/>
    <n v="1640.89"/>
    <n v="1640.88"/>
    <s v="June 2022"/>
  </r>
  <r>
    <d v="2022-06-11T00:00:00"/>
    <x v="1087"/>
    <n v="2"/>
    <x v="0"/>
    <x v="5"/>
    <x v="1"/>
    <x v="1"/>
    <n v="113.3"/>
    <x v="2"/>
    <n v="2509.1716796874912"/>
    <n v="124.63"/>
    <n v="124.63"/>
    <n v="124.63"/>
    <s v="June 2022"/>
  </r>
  <r>
    <d v="2022-06-11T00:00:00"/>
    <x v="1088"/>
    <n v="74"/>
    <x v="2"/>
    <x v="4"/>
    <x v="1"/>
    <x v="0"/>
    <n v="1358.85"/>
    <x v="0"/>
    <n v="2509.1716796874912"/>
    <n v="1494.73"/>
    <n v="1494.74"/>
    <n v="1494.74"/>
    <s v="June 2022"/>
  </r>
  <r>
    <d v="2022-06-11T00:00:00"/>
    <x v="1089"/>
    <n v="70"/>
    <x v="2"/>
    <x v="4"/>
    <x v="1"/>
    <x v="2"/>
    <n v="1066.56"/>
    <x v="0"/>
    <n v="2509.1716796874912"/>
    <n v="1173.21"/>
    <n v="1173.22"/>
    <n v="1173.22"/>
    <s v="June 2022"/>
  </r>
  <r>
    <d v="2022-06-12T00:00:00"/>
    <x v="1090"/>
    <n v="13"/>
    <x v="1"/>
    <x v="2"/>
    <x v="0"/>
    <x v="2"/>
    <n v="2597.04"/>
    <x v="2"/>
    <n v="2503.6022787783854"/>
    <n v="2856.74"/>
    <n v="2856.75"/>
    <n v="2856.74"/>
    <s v="June 2022"/>
  </r>
  <r>
    <d v="2022-06-12T00:00:00"/>
    <x v="1091"/>
    <n v="55"/>
    <x v="0"/>
    <x v="5"/>
    <x v="1"/>
    <x v="4"/>
    <n v="4080.14"/>
    <x v="1"/>
    <n v="2509.1716796874912"/>
    <n v="4488.1499999999996"/>
    <n v="4488.16"/>
    <n v="4488.1499999999996"/>
    <s v="June 2022"/>
  </r>
  <r>
    <d v="2022-06-12T00:00:00"/>
    <x v="1092"/>
    <n v="58"/>
    <x v="0"/>
    <x v="1"/>
    <x v="1"/>
    <x v="5"/>
    <n v="3346.3"/>
    <x v="1"/>
    <n v="2509.1716796874912"/>
    <n v="3680.93"/>
    <n v="3680.93"/>
    <n v="3680.93"/>
    <s v="June 2022"/>
  </r>
  <r>
    <d v="2022-06-12T00:00:00"/>
    <x v="1093"/>
    <n v="58"/>
    <x v="2"/>
    <x v="4"/>
    <x v="3"/>
    <x v="2"/>
    <n v="138.13"/>
    <x v="1"/>
    <n v="2496.7676064256989"/>
    <n v="151.94"/>
    <n v="151.94999999999999"/>
    <n v="151.94"/>
    <s v="June 2022"/>
  </r>
  <r>
    <d v="2022-06-12T00:00:00"/>
    <x v="1094"/>
    <n v="96"/>
    <x v="1"/>
    <x v="7"/>
    <x v="2"/>
    <x v="4"/>
    <n v="2260.92"/>
    <x v="0"/>
    <n v="2440.2966694490838"/>
    <n v="2487.0100000000002"/>
    <n v="2487.0200000000004"/>
    <n v="2487.0100000000002"/>
    <s v="June 2022"/>
  </r>
  <r>
    <d v="2022-06-12T00:00:00"/>
    <x v="1095"/>
    <n v="28"/>
    <x v="2"/>
    <x v="5"/>
    <x v="1"/>
    <x v="0"/>
    <n v="4354.25"/>
    <x v="1"/>
    <n v="2509.1716796874912"/>
    <n v="4789.67"/>
    <n v="4789.68"/>
    <n v="4789.68"/>
    <s v="June 2022"/>
  </r>
  <r>
    <d v="2022-06-12T00:00:00"/>
    <x v="1096"/>
    <n v="64"/>
    <x v="1"/>
    <x v="3"/>
    <x v="2"/>
    <x v="4"/>
    <n v="2946.13"/>
    <x v="1"/>
    <n v="2440.2966694490838"/>
    <n v="3240.74"/>
    <n v="3240.75"/>
    <n v="3240.74"/>
    <s v="June 2022"/>
  </r>
  <r>
    <d v="2022-06-12T00:00:00"/>
    <x v="1097"/>
    <n v="88"/>
    <x v="0"/>
    <x v="0"/>
    <x v="3"/>
    <x v="2"/>
    <n v="2618.79"/>
    <x v="0"/>
    <n v="2496.7676064256989"/>
    <n v="2880.66"/>
    <n v="2880.67"/>
    <n v="2880.67"/>
    <s v="June 2022"/>
  </r>
  <r>
    <d v="2022-06-13T00:00:00"/>
    <x v="1098"/>
    <n v="6"/>
    <x v="1"/>
    <x v="2"/>
    <x v="3"/>
    <x v="4"/>
    <n v="2396.65"/>
    <x v="2"/>
    <n v="2496.7676064256989"/>
    <n v="2636.31"/>
    <n v="2636.32"/>
    <n v="2636.32"/>
    <s v="June 2022"/>
  </r>
  <r>
    <d v="2022-06-13T00:00:00"/>
    <x v="1099"/>
    <n v="91"/>
    <x v="2"/>
    <x v="6"/>
    <x v="1"/>
    <x v="0"/>
    <n v="4061.62"/>
    <x v="0"/>
    <n v="2509.1716796874912"/>
    <n v="4467.78"/>
    <n v="4467.79"/>
    <n v="4467.78"/>
    <s v="June 2022"/>
  </r>
  <r>
    <d v="2022-06-13T00:00:00"/>
    <x v="1100"/>
    <n v="60"/>
    <x v="1"/>
    <x v="5"/>
    <x v="3"/>
    <x v="1"/>
    <n v="253.94"/>
    <x v="1"/>
    <n v="2496.7676064256989"/>
    <n v="279.33"/>
    <n v="279.33999999999997"/>
    <n v="279.33"/>
    <s v="June 2022"/>
  </r>
  <r>
    <d v="2022-06-13T00:00:00"/>
    <x v="1101"/>
    <n v="56"/>
    <x v="0"/>
    <x v="3"/>
    <x v="0"/>
    <x v="0"/>
    <n v="4209.13"/>
    <x v="1"/>
    <n v="2503.6022787783854"/>
    <n v="4630.04"/>
    <n v="4630.05"/>
    <n v="4630.04"/>
    <s v="June 2022"/>
  </r>
  <r>
    <d v="2022-06-13T00:00:00"/>
    <x v="1102"/>
    <n v="41"/>
    <x v="2"/>
    <x v="4"/>
    <x v="2"/>
    <x v="4"/>
    <n v="558.45000000000005"/>
    <x v="1"/>
    <n v="2440.2966694490838"/>
    <n v="614.29"/>
    <n v="614.29999999999995"/>
    <n v="614.29999999999995"/>
    <s v="June 2022"/>
  </r>
  <r>
    <d v="2022-06-13T00:00:00"/>
    <x v="1103"/>
    <n v="52"/>
    <x v="0"/>
    <x v="3"/>
    <x v="1"/>
    <x v="3"/>
    <n v="630.16999999999996"/>
    <x v="1"/>
    <n v="2509.1716796874912"/>
    <n v="693.18"/>
    <n v="693.18999999999994"/>
    <n v="693.19"/>
    <s v="June 2022"/>
  </r>
  <r>
    <d v="2022-06-13T00:00:00"/>
    <x v="1104"/>
    <n v="64"/>
    <x v="1"/>
    <x v="2"/>
    <x v="2"/>
    <x v="4"/>
    <n v="63.77"/>
    <x v="1"/>
    <n v="2440.2966694490838"/>
    <n v="70.14"/>
    <n v="70.150000000000006"/>
    <n v="70.150000000000006"/>
    <s v="June 2022"/>
  </r>
  <r>
    <d v="2022-06-13T00:00:00"/>
    <x v="1105"/>
    <n v="18"/>
    <x v="2"/>
    <x v="2"/>
    <x v="1"/>
    <x v="2"/>
    <n v="2216.81"/>
    <x v="1"/>
    <n v="2509.1716796874912"/>
    <n v="2438.4899999999998"/>
    <n v="2438.5"/>
    <n v="2438.4899999999998"/>
    <s v="June 2022"/>
  </r>
  <r>
    <d v="2022-06-13T00:00:00"/>
    <x v="1106"/>
    <n v="11"/>
    <x v="0"/>
    <x v="5"/>
    <x v="2"/>
    <x v="1"/>
    <n v="3262.88"/>
    <x v="2"/>
    <n v="2440.2966694490838"/>
    <n v="3589.16"/>
    <n v="3589.17"/>
    <n v="3589.17"/>
    <s v="June 2022"/>
  </r>
  <r>
    <d v="2022-06-14T00:00:00"/>
    <x v="1107"/>
    <n v="41"/>
    <x v="0"/>
    <x v="4"/>
    <x v="3"/>
    <x v="3"/>
    <n v="2805.91"/>
    <x v="1"/>
    <n v="2496.7676064256989"/>
    <n v="3086.5"/>
    <n v="3086.51"/>
    <n v="3086.5"/>
    <s v="June 2022"/>
  </r>
  <r>
    <d v="2022-06-14T00:00:00"/>
    <x v="1108"/>
    <n v="99"/>
    <x v="0"/>
    <x v="1"/>
    <x v="2"/>
    <x v="1"/>
    <n v="1507.32"/>
    <x v="0"/>
    <n v="2440.2966694490838"/>
    <n v="1658.05"/>
    <n v="1658.06"/>
    <n v="1658.05"/>
    <s v="June 2022"/>
  </r>
  <r>
    <d v="2022-06-14T00:00:00"/>
    <x v="1109"/>
    <n v="93"/>
    <x v="0"/>
    <x v="2"/>
    <x v="0"/>
    <x v="2"/>
    <n v="4557.17"/>
    <x v="0"/>
    <n v="2503.6022787783854"/>
    <n v="5012.88"/>
    <n v="5012.8900000000003"/>
    <n v="5012.8900000000003"/>
    <s v="June 2022"/>
  </r>
  <r>
    <d v="2022-06-14T00:00:00"/>
    <x v="1110"/>
    <n v="39"/>
    <x v="2"/>
    <x v="3"/>
    <x v="1"/>
    <x v="4"/>
    <n v="3600.21"/>
    <x v="1"/>
    <n v="2509.1716796874912"/>
    <n v="3960.23"/>
    <n v="3960.2400000000002"/>
    <n v="3960.23"/>
    <s v="June 2022"/>
  </r>
  <r>
    <d v="2022-06-14T00:00:00"/>
    <x v="1111"/>
    <n v="26"/>
    <x v="2"/>
    <x v="1"/>
    <x v="3"/>
    <x v="5"/>
    <n v="501.35"/>
    <x v="1"/>
    <n v="2496.7676064256989"/>
    <n v="551.48"/>
    <n v="551.49"/>
    <n v="551.49"/>
    <s v="June 2022"/>
  </r>
  <r>
    <d v="2022-06-14T00:00:00"/>
    <x v="1112"/>
    <n v="56"/>
    <x v="1"/>
    <x v="4"/>
    <x v="3"/>
    <x v="3"/>
    <n v="2930.6"/>
    <x v="1"/>
    <n v="2496.7676064256989"/>
    <n v="3223.66"/>
    <n v="3223.66"/>
    <n v="3223.66"/>
    <s v="June 2022"/>
  </r>
  <r>
    <d v="2022-06-14T00:00:00"/>
    <x v="1113"/>
    <n v="23"/>
    <x v="1"/>
    <x v="3"/>
    <x v="0"/>
    <x v="2"/>
    <n v="3701.08"/>
    <x v="1"/>
    <n v="2503.6022787783854"/>
    <n v="4071.18"/>
    <n v="4071.19"/>
    <n v="4071.19"/>
    <s v="June 2022"/>
  </r>
  <r>
    <d v="2022-06-15T00:00:00"/>
    <x v="1114"/>
    <n v="29"/>
    <x v="1"/>
    <x v="2"/>
    <x v="1"/>
    <x v="2"/>
    <n v="3263.21"/>
    <x v="1"/>
    <n v="2509.1716796874912"/>
    <n v="3589.53"/>
    <n v="3589.5400000000004"/>
    <n v="3589.53"/>
    <s v="June 2022"/>
  </r>
  <r>
    <d v="2022-06-15T00:00:00"/>
    <x v="1115"/>
    <n v="15"/>
    <x v="0"/>
    <x v="0"/>
    <x v="1"/>
    <x v="1"/>
    <n v="1580.92"/>
    <x v="2"/>
    <n v="2509.1716796874912"/>
    <n v="1739.01"/>
    <n v="1739.02"/>
    <n v="1739.01"/>
    <s v="June 2022"/>
  </r>
  <r>
    <d v="2022-06-15T00:00:00"/>
    <x v="1116"/>
    <n v="20"/>
    <x v="0"/>
    <x v="6"/>
    <x v="0"/>
    <x v="1"/>
    <n v="786.12"/>
    <x v="1"/>
    <n v="2503.6022787783854"/>
    <n v="864.73"/>
    <n v="864.74"/>
    <n v="864.73"/>
    <s v="June 2022"/>
  </r>
  <r>
    <d v="2022-06-15T00:00:00"/>
    <x v="1117"/>
    <n v="27"/>
    <x v="1"/>
    <x v="7"/>
    <x v="1"/>
    <x v="2"/>
    <n v="3507.68"/>
    <x v="1"/>
    <n v="2509.1716796874912"/>
    <n v="3858.44"/>
    <n v="3858.4500000000003"/>
    <n v="3858.45"/>
    <s v="June 2022"/>
  </r>
  <r>
    <d v="2022-06-15T00:00:00"/>
    <x v="1118"/>
    <n v="58"/>
    <x v="2"/>
    <x v="2"/>
    <x v="0"/>
    <x v="4"/>
    <n v="2346.2399999999998"/>
    <x v="1"/>
    <n v="2503.6022787783854"/>
    <n v="2580.86"/>
    <n v="2580.8700000000003"/>
    <n v="2580.86"/>
    <s v="June 2022"/>
  </r>
  <r>
    <d v="2022-06-15T00:00:00"/>
    <x v="1119"/>
    <n v="43"/>
    <x v="2"/>
    <x v="2"/>
    <x v="2"/>
    <x v="2"/>
    <n v="21.51"/>
    <x v="1"/>
    <n v="2440.2966694490838"/>
    <n v="23.66"/>
    <n v="23.67"/>
    <n v="23.66"/>
    <s v="June 2022"/>
  </r>
  <r>
    <d v="2022-06-15T00:00:00"/>
    <x v="1120"/>
    <n v="84"/>
    <x v="2"/>
    <x v="1"/>
    <x v="1"/>
    <x v="4"/>
    <n v="4909.88"/>
    <x v="0"/>
    <n v="2509.1716796874912"/>
    <n v="5400.86"/>
    <n v="5400.87"/>
    <n v="5400.87"/>
    <s v="June 2022"/>
  </r>
  <r>
    <d v="2022-06-16T00:00:00"/>
    <x v="1121"/>
    <n v="53"/>
    <x v="0"/>
    <x v="5"/>
    <x v="2"/>
    <x v="4"/>
    <n v="4813.84"/>
    <x v="1"/>
    <n v="2440.2966694490838"/>
    <n v="5295.22"/>
    <n v="5295.2300000000005"/>
    <n v="5295.22"/>
    <s v="June 2022"/>
  </r>
  <r>
    <d v="2022-06-16T00:00:00"/>
    <x v="1122"/>
    <n v="71"/>
    <x v="2"/>
    <x v="7"/>
    <x v="2"/>
    <x v="4"/>
    <n v="2965.25"/>
    <x v="0"/>
    <n v="2440.2966694490838"/>
    <n v="3261.77"/>
    <n v="3261.78"/>
    <n v="3261.78"/>
    <s v="June 2022"/>
  </r>
  <r>
    <d v="2022-06-16T00:00:00"/>
    <x v="1123"/>
    <n v="12"/>
    <x v="2"/>
    <x v="7"/>
    <x v="2"/>
    <x v="4"/>
    <n v="2720.63"/>
    <x v="2"/>
    <n v="2440.2966694490838"/>
    <n v="2992.69"/>
    <n v="2992.7000000000003"/>
    <n v="2992.69"/>
    <s v="June 2022"/>
  </r>
  <r>
    <d v="2022-06-16T00:00:00"/>
    <x v="1124"/>
    <n v="50"/>
    <x v="1"/>
    <x v="6"/>
    <x v="0"/>
    <x v="3"/>
    <n v="2858.8"/>
    <x v="1"/>
    <n v="2503.6022787783854"/>
    <n v="3144.68"/>
    <n v="3144.68"/>
    <n v="3144.68"/>
    <s v="June 2022"/>
  </r>
  <r>
    <d v="2022-06-16T00:00:00"/>
    <x v="1125"/>
    <n v="90"/>
    <x v="1"/>
    <x v="1"/>
    <x v="1"/>
    <x v="4"/>
    <n v="3922.07"/>
    <x v="0"/>
    <n v="2509.1716796874912"/>
    <n v="4314.2700000000004"/>
    <n v="4314.2800000000007"/>
    <n v="4314.28"/>
    <s v="June 2022"/>
  </r>
  <r>
    <d v="2022-06-17T00:00:00"/>
    <x v="1126"/>
    <n v="56"/>
    <x v="0"/>
    <x v="6"/>
    <x v="2"/>
    <x v="0"/>
    <n v="2052.46"/>
    <x v="1"/>
    <n v="2440.2966694490838"/>
    <n v="2257.6999999999998"/>
    <n v="2257.71"/>
    <n v="2257.71"/>
    <s v="June 2022"/>
  </r>
  <r>
    <d v="2022-06-17T00:00:00"/>
    <x v="1127"/>
    <n v="3"/>
    <x v="1"/>
    <x v="1"/>
    <x v="1"/>
    <x v="3"/>
    <n v="2563.64"/>
    <x v="2"/>
    <n v="2509.1716796874912"/>
    <n v="2820"/>
    <n v="2820.01"/>
    <n v="2820"/>
    <s v="June 2022"/>
  </r>
  <r>
    <d v="2022-06-17T00:00:00"/>
    <x v="1128"/>
    <n v="7"/>
    <x v="1"/>
    <x v="2"/>
    <x v="2"/>
    <x v="2"/>
    <n v="3911.17"/>
    <x v="2"/>
    <n v="2440.2966694490838"/>
    <n v="4302.28"/>
    <n v="4302.29"/>
    <n v="4302.29"/>
    <s v="June 2022"/>
  </r>
  <r>
    <d v="2022-06-17T00:00:00"/>
    <x v="1129"/>
    <n v="72"/>
    <x v="1"/>
    <x v="4"/>
    <x v="3"/>
    <x v="4"/>
    <n v="3845.24"/>
    <x v="0"/>
    <n v="2496.7676064256989"/>
    <n v="4229.76"/>
    <n v="4229.7700000000004"/>
    <n v="4229.76"/>
    <s v="June 2022"/>
  </r>
  <r>
    <d v="2022-06-17T00:00:00"/>
    <x v="1130"/>
    <n v="87"/>
    <x v="2"/>
    <x v="0"/>
    <x v="0"/>
    <x v="0"/>
    <n v="3880.91"/>
    <x v="0"/>
    <n v="2503.6022787783854"/>
    <n v="4269"/>
    <n v="4269.01"/>
    <n v="4269"/>
    <s v="June 2022"/>
  </r>
  <r>
    <d v="2022-06-17T00:00:00"/>
    <x v="1131"/>
    <n v="20"/>
    <x v="0"/>
    <x v="3"/>
    <x v="3"/>
    <x v="0"/>
    <n v="1295.83"/>
    <x v="1"/>
    <n v="2496.7676064256989"/>
    <n v="1425.41"/>
    <n v="1425.42"/>
    <n v="1425.41"/>
    <s v="June 2022"/>
  </r>
  <r>
    <d v="2022-06-18T00:00:00"/>
    <x v="1132"/>
    <n v="79"/>
    <x v="1"/>
    <x v="1"/>
    <x v="2"/>
    <x v="4"/>
    <n v="4293.8999999999996"/>
    <x v="0"/>
    <n v="2440.2966694490838"/>
    <n v="4723.29"/>
    <n v="4723.29"/>
    <n v="4723.29"/>
    <s v="June 2022"/>
  </r>
  <r>
    <d v="2022-06-19T00:00:00"/>
    <x v="1133"/>
    <n v="71"/>
    <x v="1"/>
    <x v="1"/>
    <x v="2"/>
    <x v="2"/>
    <n v="3859.8"/>
    <x v="0"/>
    <n v="2440.2966694490838"/>
    <n v="4245.78"/>
    <n v="4245.78"/>
    <n v="4245.78"/>
    <s v="June 2022"/>
  </r>
  <r>
    <d v="2022-06-19T00:00:00"/>
    <x v="1134"/>
    <n v="38"/>
    <x v="1"/>
    <x v="7"/>
    <x v="1"/>
    <x v="3"/>
    <n v="2024.85"/>
    <x v="1"/>
    <n v="2509.1716796874912"/>
    <n v="2227.33"/>
    <n v="2227.34"/>
    <n v="2227.34"/>
    <s v="June 2022"/>
  </r>
  <r>
    <d v="2022-06-19T00:00:00"/>
    <x v="1135"/>
    <n v="60"/>
    <x v="1"/>
    <x v="2"/>
    <x v="2"/>
    <x v="1"/>
    <n v="4518.2299999999996"/>
    <x v="1"/>
    <n v="2440.2966694490838"/>
    <n v="4970.05"/>
    <n v="4970.0600000000004"/>
    <n v="4970.05"/>
    <s v="June 2022"/>
  </r>
  <r>
    <d v="2022-06-19T00:00:00"/>
    <x v="1136"/>
    <n v="55"/>
    <x v="2"/>
    <x v="3"/>
    <x v="0"/>
    <x v="0"/>
    <n v="2746.56"/>
    <x v="1"/>
    <n v="2503.6022787783854"/>
    <n v="3021.21"/>
    <n v="3021.2200000000003"/>
    <n v="3021.22"/>
    <s v="June 2022"/>
  </r>
  <r>
    <d v="2022-06-19T00:00:00"/>
    <x v="1137"/>
    <n v="88"/>
    <x v="0"/>
    <x v="1"/>
    <x v="1"/>
    <x v="3"/>
    <n v="947.01"/>
    <x v="0"/>
    <n v="2509.1716796874912"/>
    <n v="1041.71"/>
    <n v="1041.72"/>
    <n v="1041.71"/>
    <s v="June 2022"/>
  </r>
  <r>
    <d v="2022-06-19T00:00:00"/>
    <x v="1138"/>
    <n v="82"/>
    <x v="0"/>
    <x v="2"/>
    <x v="0"/>
    <x v="2"/>
    <n v="4022.95"/>
    <x v="0"/>
    <n v="2503.6022787783854"/>
    <n v="4425.24"/>
    <n v="4425.25"/>
    <n v="4425.25"/>
    <s v="June 2022"/>
  </r>
  <r>
    <d v="2022-06-20T00:00:00"/>
    <x v="1139"/>
    <n v="89"/>
    <x v="2"/>
    <x v="1"/>
    <x v="3"/>
    <x v="0"/>
    <n v="3019.88"/>
    <x v="0"/>
    <n v="2496.7676064256989"/>
    <n v="3321.86"/>
    <n v="3321.8700000000003"/>
    <n v="3321.87"/>
    <s v="June 2022"/>
  </r>
  <r>
    <d v="2022-06-20T00:00:00"/>
    <x v="1140"/>
    <n v="69"/>
    <x v="1"/>
    <x v="7"/>
    <x v="1"/>
    <x v="3"/>
    <n v="1375.76"/>
    <x v="0"/>
    <n v="2509.1716796874912"/>
    <n v="1513.33"/>
    <n v="1513.34"/>
    <n v="1513.34"/>
    <s v="June 2022"/>
  </r>
  <r>
    <d v="2022-06-20T00:00:00"/>
    <x v="1141"/>
    <n v="91"/>
    <x v="1"/>
    <x v="2"/>
    <x v="2"/>
    <x v="3"/>
    <n v="3565.72"/>
    <x v="0"/>
    <n v="2440.2966694490838"/>
    <n v="3922.29"/>
    <n v="3922.3"/>
    <n v="3922.29"/>
    <s v="June 2022"/>
  </r>
  <r>
    <d v="2022-06-20T00:00:00"/>
    <x v="1142"/>
    <n v="32"/>
    <x v="2"/>
    <x v="2"/>
    <x v="2"/>
    <x v="5"/>
    <n v="3421.45"/>
    <x v="1"/>
    <n v="2440.2966694490838"/>
    <n v="3763.59"/>
    <n v="3763.6000000000004"/>
    <n v="3763.6"/>
    <s v="June 2022"/>
  </r>
  <r>
    <d v="2022-06-21T00:00:00"/>
    <x v="1143"/>
    <n v="15"/>
    <x v="2"/>
    <x v="7"/>
    <x v="3"/>
    <x v="0"/>
    <n v="3757.34"/>
    <x v="2"/>
    <n v="2496.7676064256989"/>
    <n v="4133.07"/>
    <n v="4133.08"/>
    <n v="4133.07"/>
    <s v="June 2022"/>
  </r>
  <r>
    <d v="2022-06-21T00:00:00"/>
    <x v="1144"/>
    <n v="97"/>
    <x v="0"/>
    <x v="4"/>
    <x v="3"/>
    <x v="4"/>
    <n v="3067.86"/>
    <x v="0"/>
    <n v="2496.7676064256989"/>
    <n v="3374.64"/>
    <n v="3374.65"/>
    <n v="3374.65"/>
    <s v="June 2022"/>
  </r>
  <r>
    <d v="2022-06-21T00:00:00"/>
    <x v="1145"/>
    <n v="25"/>
    <x v="2"/>
    <x v="7"/>
    <x v="2"/>
    <x v="4"/>
    <n v="2324.75"/>
    <x v="1"/>
    <n v="2440.2966694490838"/>
    <n v="2557.2199999999998"/>
    <n v="2557.23"/>
    <n v="2557.23"/>
    <s v="June 2022"/>
  </r>
  <r>
    <d v="2022-06-21T00:00:00"/>
    <x v="1146"/>
    <n v="52"/>
    <x v="0"/>
    <x v="4"/>
    <x v="2"/>
    <x v="2"/>
    <n v="1243.52"/>
    <x v="1"/>
    <n v="2440.2966694490838"/>
    <n v="1367.87"/>
    <n v="1367.8799999999999"/>
    <n v="1367.87"/>
    <s v="June 2022"/>
  </r>
  <r>
    <d v="2022-06-21T00:00:00"/>
    <x v="1147"/>
    <n v="76"/>
    <x v="2"/>
    <x v="6"/>
    <x v="1"/>
    <x v="1"/>
    <n v="517.9"/>
    <x v="0"/>
    <n v="2509.1716796874912"/>
    <n v="569.69000000000005"/>
    <n v="569.69000000000005"/>
    <n v="569.69000000000005"/>
    <s v="June 2022"/>
  </r>
  <r>
    <d v="2022-06-22T00:00:00"/>
    <x v="1148"/>
    <n v="95"/>
    <x v="0"/>
    <x v="1"/>
    <x v="0"/>
    <x v="3"/>
    <n v="1868.89"/>
    <x v="0"/>
    <n v="2503.6022787783854"/>
    <n v="2055.77"/>
    <n v="2055.7800000000002"/>
    <n v="2055.7800000000002"/>
    <s v="June 2022"/>
  </r>
  <r>
    <d v="2022-06-22T00:00:00"/>
    <x v="1149"/>
    <n v="15"/>
    <x v="0"/>
    <x v="5"/>
    <x v="1"/>
    <x v="0"/>
    <n v="1015.8"/>
    <x v="2"/>
    <n v="2509.1716796874912"/>
    <n v="1117.3800000000001"/>
    <n v="1117.3800000000001"/>
    <n v="1117.3800000000001"/>
    <s v="June 2022"/>
  </r>
  <r>
    <d v="2022-06-22T00:00:00"/>
    <x v="1150"/>
    <n v="57"/>
    <x v="0"/>
    <x v="7"/>
    <x v="3"/>
    <x v="1"/>
    <n v="1802.45"/>
    <x v="1"/>
    <n v="2496.7676064256989"/>
    <n v="1982.69"/>
    <n v="1982.7"/>
    <n v="1982.7"/>
    <s v="June 2022"/>
  </r>
  <r>
    <d v="2022-06-22T00:00:00"/>
    <x v="1151"/>
    <n v="74"/>
    <x v="1"/>
    <x v="1"/>
    <x v="3"/>
    <x v="4"/>
    <n v="749.36"/>
    <x v="0"/>
    <n v="2496.7676064256989"/>
    <n v="824.29"/>
    <n v="824.3"/>
    <n v="824.3"/>
    <s v="June 2022"/>
  </r>
  <r>
    <d v="2022-06-22T00:00:00"/>
    <x v="1152"/>
    <n v="29"/>
    <x v="0"/>
    <x v="3"/>
    <x v="1"/>
    <x v="1"/>
    <n v="1523.62"/>
    <x v="1"/>
    <n v="2509.1716796874912"/>
    <n v="1675.98"/>
    <n v="1675.99"/>
    <n v="1675.98"/>
    <s v="June 2022"/>
  </r>
  <r>
    <d v="2022-06-23T00:00:00"/>
    <x v="1153"/>
    <n v="11"/>
    <x v="0"/>
    <x v="1"/>
    <x v="1"/>
    <x v="1"/>
    <n v="4582.9399999999996"/>
    <x v="2"/>
    <n v="2509.1716796874912"/>
    <n v="5041.2299999999996"/>
    <n v="5041.24"/>
    <n v="5041.2299999999996"/>
    <s v="June 2022"/>
  </r>
  <r>
    <d v="2022-06-23T00:00:00"/>
    <x v="1154"/>
    <n v="71"/>
    <x v="0"/>
    <x v="6"/>
    <x v="2"/>
    <x v="4"/>
    <n v="69.19"/>
    <x v="0"/>
    <n v="2440.2966694490838"/>
    <n v="76.099999999999994"/>
    <n v="76.11"/>
    <n v="76.11"/>
    <s v="June 2022"/>
  </r>
  <r>
    <d v="2022-06-23T00:00:00"/>
    <x v="1155"/>
    <n v="90"/>
    <x v="2"/>
    <x v="2"/>
    <x v="3"/>
    <x v="3"/>
    <n v="2107.88"/>
    <x v="0"/>
    <n v="2496.7676064256989"/>
    <n v="2318.66"/>
    <n v="2318.67"/>
    <n v="2318.67"/>
    <s v="June 2022"/>
  </r>
  <r>
    <d v="2022-06-23T00:00:00"/>
    <x v="1156"/>
    <n v="69"/>
    <x v="0"/>
    <x v="7"/>
    <x v="3"/>
    <x v="1"/>
    <n v="1864.07"/>
    <x v="0"/>
    <n v="2496.7676064256989"/>
    <n v="2050.4699999999998"/>
    <n v="2050.48"/>
    <n v="2050.48"/>
    <s v="June 2022"/>
  </r>
  <r>
    <d v="2022-06-23T00:00:00"/>
    <x v="1157"/>
    <n v="58"/>
    <x v="1"/>
    <x v="1"/>
    <x v="2"/>
    <x v="0"/>
    <n v="2971.09"/>
    <x v="1"/>
    <n v="2440.2966694490838"/>
    <n v="3268.19"/>
    <n v="3268.2000000000003"/>
    <n v="3268.2"/>
    <s v="June 2022"/>
  </r>
  <r>
    <d v="2022-06-23T00:00:00"/>
    <x v="1158"/>
    <n v="64"/>
    <x v="1"/>
    <x v="1"/>
    <x v="0"/>
    <x v="1"/>
    <n v="4316.6899999999996"/>
    <x v="1"/>
    <n v="2503.6022787783854"/>
    <n v="4748.3500000000004"/>
    <n v="4748.3600000000006"/>
    <n v="4748.3599999999997"/>
    <s v="June 2022"/>
  </r>
  <r>
    <d v="2022-06-23T00:00:00"/>
    <x v="1159"/>
    <n v="29"/>
    <x v="0"/>
    <x v="4"/>
    <x v="3"/>
    <x v="4"/>
    <n v="1754.43"/>
    <x v="1"/>
    <n v="2496.7676064256989"/>
    <n v="1929.87"/>
    <n v="1929.8799999999999"/>
    <n v="1929.87"/>
    <s v="June 2022"/>
  </r>
  <r>
    <d v="2022-06-23T00:00:00"/>
    <x v="1160"/>
    <n v="72"/>
    <x v="1"/>
    <x v="3"/>
    <x v="1"/>
    <x v="4"/>
    <n v="2146.0700000000002"/>
    <x v="0"/>
    <n v="2509.1716796874912"/>
    <n v="2360.67"/>
    <n v="2360.6800000000003"/>
    <n v="2360.6799999999998"/>
    <s v="June 2022"/>
  </r>
  <r>
    <d v="2022-06-23T00:00:00"/>
    <x v="1161"/>
    <n v="5"/>
    <x v="0"/>
    <x v="4"/>
    <x v="0"/>
    <x v="1"/>
    <n v="3445.86"/>
    <x v="2"/>
    <n v="2503.6022787783854"/>
    <n v="3790.44"/>
    <n v="3790.4500000000003"/>
    <n v="3790.45"/>
    <s v="June 2022"/>
  </r>
  <r>
    <d v="2022-06-23T00:00:00"/>
    <x v="1162"/>
    <n v="45"/>
    <x v="1"/>
    <x v="2"/>
    <x v="3"/>
    <x v="3"/>
    <n v="3699.9"/>
    <x v="1"/>
    <n v="2496.7676064256989"/>
    <n v="4069.89"/>
    <n v="4069.89"/>
    <n v="4069.89"/>
    <s v="June 2022"/>
  </r>
  <r>
    <d v="2022-06-24T00:00:00"/>
    <x v="1163"/>
    <n v="44"/>
    <x v="2"/>
    <x v="5"/>
    <x v="0"/>
    <x v="2"/>
    <n v="3238.98"/>
    <x v="1"/>
    <n v="2503.6022787783854"/>
    <n v="3562.87"/>
    <n v="3562.88"/>
    <n v="3562.88"/>
    <s v="June 2022"/>
  </r>
  <r>
    <d v="2022-06-24T00:00:00"/>
    <x v="1164"/>
    <n v="15"/>
    <x v="1"/>
    <x v="4"/>
    <x v="0"/>
    <x v="2"/>
    <n v="3546.17"/>
    <x v="2"/>
    <n v="2503.6022787783854"/>
    <n v="3900.78"/>
    <n v="3900.7900000000004"/>
    <n v="3900.79"/>
    <s v="June 2022"/>
  </r>
  <r>
    <d v="2022-06-24T00:00:00"/>
    <x v="1165"/>
    <n v="17"/>
    <x v="0"/>
    <x v="6"/>
    <x v="3"/>
    <x v="3"/>
    <n v="4844.51"/>
    <x v="1"/>
    <n v="2496.7676064256989"/>
    <n v="5328.96"/>
    <n v="5328.97"/>
    <n v="5328.96"/>
    <s v="June 2022"/>
  </r>
  <r>
    <d v="2022-06-24T00:00:00"/>
    <x v="1166"/>
    <n v="42"/>
    <x v="0"/>
    <x v="0"/>
    <x v="0"/>
    <x v="3"/>
    <n v="2762.37"/>
    <x v="1"/>
    <n v="2503.6022787783854"/>
    <n v="3038.6"/>
    <n v="3038.61"/>
    <n v="3038.61"/>
    <s v="June 2022"/>
  </r>
  <r>
    <d v="2022-06-24T00:00:00"/>
    <x v="1167"/>
    <n v="12"/>
    <x v="2"/>
    <x v="7"/>
    <x v="2"/>
    <x v="2"/>
    <n v="2272.86"/>
    <x v="2"/>
    <n v="2440.2966694490838"/>
    <n v="2500.14"/>
    <n v="2500.15"/>
    <n v="2500.15"/>
    <s v="June 2022"/>
  </r>
  <r>
    <d v="2022-06-24T00:00:00"/>
    <x v="1168"/>
    <n v="56"/>
    <x v="2"/>
    <x v="1"/>
    <x v="3"/>
    <x v="3"/>
    <n v="4852.8599999999997"/>
    <x v="1"/>
    <n v="2496.7676064256989"/>
    <n v="5338.14"/>
    <n v="5338.1500000000005"/>
    <n v="5338.15"/>
    <s v="June 2022"/>
  </r>
  <r>
    <d v="2022-06-24T00:00:00"/>
    <x v="1169"/>
    <n v="54"/>
    <x v="2"/>
    <x v="2"/>
    <x v="0"/>
    <x v="2"/>
    <n v="4053.06"/>
    <x v="1"/>
    <n v="2503.6022787783854"/>
    <n v="4458.3599999999997"/>
    <n v="4458.37"/>
    <n v="4458.37"/>
    <s v="June 2022"/>
  </r>
  <r>
    <d v="2022-06-24T00:00:00"/>
    <x v="1170"/>
    <n v="23"/>
    <x v="0"/>
    <x v="5"/>
    <x v="1"/>
    <x v="2"/>
    <n v="4829.54"/>
    <x v="1"/>
    <n v="2509.1716796874912"/>
    <n v="5312.49"/>
    <n v="5312.5"/>
    <n v="5312.49"/>
    <s v="June 2022"/>
  </r>
  <r>
    <d v="2022-06-24T00:00:00"/>
    <x v="1171"/>
    <n v="83"/>
    <x v="2"/>
    <x v="2"/>
    <x v="2"/>
    <x v="2"/>
    <n v="4868.1499999999996"/>
    <x v="0"/>
    <n v="2440.2966694490838"/>
    <n v="5354.96"/>
    <n v="5354.97"/>
    <n v="5354.97"/>
    <s v="June 2022"/>
  </r>
  <r>
    <d v="2022-06-25T00:00:00"/>
    <x v="1172"/>
    <n v="67"/>
    <x v="0"/>
    <x v="5"/>
    <x v="3"/>
    <x v="2"/>
    <n v="1140.0999999999999"/>
    <x v="0"/>
    <n v="2496.7676064256989"/>
    <n v="1254.1099999999999"/>
    <n v="1254.1099999999999"/>
    <n v="1254.1099999999999"/>
    <s v="June 2022"/>
  </r>
  <r>
    <d v="2022-06-25T00:00:00"/>
    <x v="1173"/>
    <n v="68"/>
    <x v="0"/>
    <x v="7"/>
    <x v="3"/>
    <x v="4"/>
    <n v="3019.99"/>
    <x v="0"/>
    <n v="2496.7676064256989"/>
    <n v="3321.98"/>
    <n v="3321.9900000000002"/>
    <n v="3321.99"/>
    <s v="June 2022"/>
  </r>
  <r>
    <d v="2022-06-25T00:00:00"/>
    <x v="1174"/>
    <n v="39"/>
    <x v="1"/>
    <x v="2"/>
    <x v="1"/>
    <x v="4"/>
    <n v="1036.75"/>
    <x v="1"/>
    <n v="2509.1716796874912"/>
    <n v="1140.42"/>
    <n v="1140.43"/>
    <n v="1140.43"/>
    <s v="June 2022"/>
  </r>
  <r>
    <d v="2022-06-25T00:00:00"/>
    <x v="1175"/>
    <n v="33"/>
    <x v="2"/>
    <x v="1"/>
    <x v="0"/>
    <x v="2"/>
    <n v="1906.85"/>
    <x v="1"/>
    <n v="2503.6022787783854"/>
    <n v="2097.5300000000002"/>
    <n v="2097.5400000000004"/>
    <n v="2097.54"/>
    <s v="June 2022"/>
  </r>
  <r>
    <d v="2022-06-25T00:00:00"/>
    <x v="1176"/>
    <n v="87"/>
    <x v="2"/>
    <x v="7"/>
    <x v="1"/>
    <x v="2"/>
    <n v="99.11"/>
    <x v="0"/>
    <n v="2509.1716796874912"/>
    <n v="109.02"/>
    <n v="109.03"/>
    <n v="109.02"/>
    <s v="June 2022"/>
  </r>
  <r>
    <d v="2022-06-25T00:00:00"/>
    <x v="1177"/>
    <n v="39"/>
    <x v="0"/>
    <x v="2"/>
    <x v="3"/>
    <x v="4"/>
    <n v="4455.6899999999996"/>
    <x v="1"/>
    <n v="2496.7676064256989"/>
    <n v="4901.25"/>
    <n v="4901.26"/>
    <n v="4901.26"/>
    <s v="June 2022"/>
  </r>
  <r>
    <d v="2022-06-25T00:00:00"/>
    <x v="1178"/>
    <n v="21"/>
    <x v="1"/>
    <x v="1"/>
    <x v="2"/>
    <x v="1"/>
    <n v="1176.92"/>
    <x v="1"/>
    <n v="2440.2966694490838"/>
    <n v="1294.6099999999999"/>
    <n v="1294.6199999999999"/>
    <n v="1294.6099999999999"/>
    <s v="June 2022"/>
  </r>
  <r>
    <d v="2022-06-26T00:00:00"/>
    <x v="1179"/>
    <n v="2"/>
    <x v="0"/>
    <x v="4"/>
    <x v="1"/>
    <x v="2"/>
    <n v="2020.01"/>
    <x v="2"/>
    <n v="2509.1716796874912"/>
    <n v="2222.0100000000002"/>
    <n v="2222.0200000000004"/>
    <n v="2222.0100000000002"/>
    <s v="June 2022"/>
  </r>
  <r>
    <d v="2022-06-26T00:00:00"/>
    <x v="1180"/>
    <n v="95"/>
    <x v="1"/>
    <x v="0"/>
    <x v="2"/>
    <x v="1"/>
    <n v="4619.3"/>
    <x v="0"/>
    <n v="2440.2966694490838"/>
    <n v="5081.2299999999996"/>
    <n v="5081.2299999999996"/>
    <n v="5081.2299999999996"/>
    <s v="June 2022"/>
  </r>
  <r>
    <d v="2022-06-26T00:00:00"/>
    <x v="1181"/>
    <n v="39"/>
    <x v="2"/>
    <x v="4"/>
    <x v="0"/>
    <x v="4"/>
    <n v="2461.39"/>
    <x v="1"/>
    <n v="2503.6022787783854"/>
    <n v="2707.52"/>
    <n v="2707.53"/>
    <n v="2707.53"/>
    <s v="June 2022"/>
  </r>
  <r>
    <d v="2022-06-26T00:00:00"/>
    <x v="1182"/>
    <n v="77"/>
    <x v="2"/>
    <x v="3"/>
    <x v="3"/>
    <x v="1"/>
    <n v="2343.33"/>
    <x v="0"/>
    <n v="2496.7676064256989"/>
    <n v="2577.66"/>
    <n v="2577.67"/>
    <n v="2577.66"/>
    <s v="June 2022"/>
  </r>
  <r>
    <d v="2022-06-26T00:00:00"/>
    <x v="1183"/>
    <n v="93"/>
    <x v="1"/>
    <x v="1"/>
    <x v="3"/>
    <x v="0"/>
    <n v="1902.39"/>
    <x v="0"/>
    <n v="2496.7676064256989"/>
    <n v="2092.62"/>
    <n v="2092.63"/>
    <n v="2092.63"/>
    <s v="June 2022"/>
  </r>
  <r>
    <d v="2022-06-26T00:00:00"/>
    <x v="1184"/>
    <n v="13"/>
    <x v="2"/>
    <x v="1"/>
    <x v="0"/>
    <x v="2"/>
    <n v="4141.7"/>
    <x v="2"/>
    <n v="2503.6022787783854"/>
    <n v="4555.87"/>
    <n v="4555.87"/>
    <n v="4555.87"/>
    <s v="June 2022"/>
  </r>
  <r>
    <d v="2022-06-26T00:00:00"/>
    <x v="1185"/>
    <n v="13"/>
    <x v="0"/>
    <x v="0"/>
    <x v="2"/>
    <x v="1"/>
    <n v="4643.84"/>
    <x v="2"/>
    <n v="2440.2966694490838"/>
    <n v="5108.22"/>
    <n v="5108.2300000000005"/>
    <n v="5108.22"/>
    <s v="June 2022"/>
  </r>
  <r>
    <d v="2022-06-26T00:00:00"/>
    <x v="1186"/>
    <n v="25"/>
    <x v="2"/>
    <x v="5"/>
    <x v="3"/>
    <x v="2"/>
    <n v="575.85"/>
    <x v="1"/>
    <n v="2496.7676064256989"/>
    <n v="633.42999999999995"/>
    <n v="633.43999999999994"/>
    <n v="633.44000000000005"/>
    <s v="June 2022"/>
  </r>
  <r>
    <d v="2022-06-26T00:00:00"/>
    <x v="1187"/>
    <n v="29"/>
    <x v="2"/>
    <x v="4"/>
    <x v="2"/>
    <x v="1"/>
    <n v="4261.84"/>
    <x v="1"/>
    <n v="2440.2966694490838"/>
    <n v="4688.0200000000004"/>
    <n v="4688.0300000000007"/>
    <n v="4688.0200000000004"/>
    <s v="June 2022"/>
  </r>
  <r>
    <d v="2022-06-26T00:00:00"/>
    <x v="1188"/>
    <n v="47"/>
    <x v="2"/>
    <x v="2"/>
    <x v="1"/>
    <x v="4"/>
    <n v="3287.12"/>
    <x v="1"/>
    <n v="2509.1716796874912"/>
    <n v="3615.83"/>
    <n v="3615.84"/>
    <n v="3615.83"/>
    <s v="June 2022"/>
  </r>
  <r>
    <d v="2022-06-26T00:00:00"/>
    <x v="1189"/>
    <n v="40"/>
    <x v="0"/>
    <x v="4"/>
    <x v="1"/>
    <x v="1"/>
    <n v="4167.5600000000004"/>
    <x v="1"/>
    <n v="2509.1716796874912"/>
    <n v="4584.3100000000004"/>
    <n v="4584.3200000000006"/>
    <n v="4584.32"/>
    <s v="June 2022"/>
  </r>
  <r>
    <d v="2022-06-26T00:00:00"/>
    <x v="1190"/>
    <n v="95"/>
    <x v="2"/>
    <x v="4"/>
    <x v="0"/>
    <x v="2"/>
    <n v="3981.35"/>
    <x v="0"/>
    <n v="2503.6022787783854"/>
    <n v="4379.4799999999996"/>
    <n v="4379.49"/>
    <n v="4379.49"/>
    <s v="June 2022"/>
  </r>
  <r>
    <d v="2022-06-27T00:00:00"/>
    <x v="1191"/>
    <n v="20"/>
    <x v="1"/>
    <x v="7"/>
    <x v="1"/>
    <x v="2"/>
    <n v="1027.73"/>
    <x v="1"/>
    <n v="2509.1716796874912"/>
    <n v="1130.5"/>
    <n v="1130.51"/>
    <n v="1130.5"/>
    <s v="June 2022"/>
  </r>
  <r>
    <d v="2022-06-27T00:00:00"/>
    <x v="1192"/>
    <n v="85"/>
    <x v="1"/>
    <x v="2"/>
    <x v="3"/>
    <x v="3"/>
    <n v="1853.95"/>
    <x v="0"/>
    <n v="2496.7676064256989"/>
    <n v="2039.34"/>
    <n v="2039.35"/>
    <n v="2039.35"/>
    <s v="June 2022"/>
  </r>
  <r>
    <d v="2022-06-27T00:00:00"/>
    <x v="1193"/>
    <n v="1"/>
    <x v="1"/>
    <x v="7"/>
    <x v="0"/>
    <x v="0"/>
    <n v="4382.62"/>
    <x v="2"/>
    <n v="2503.6022787783854"/>
    <n v="4820.88"/>
    <n v="4820.8900000000003"/>
    <n v="4820.88"/>
    <s v="June 2022"/>
  </r>
  <r>
    <d v="2022-06-27T00:00:00"/>
    <x v="1194"/>
    <n v="53"/>
    <x v="2"/>
    <x v="5"/>
    <x v="3"/>
    <x v="4"/>
    <n v="3921.88"/>
    <x v="1"/>
    <n v="2496.7676064256989"/>
    <n v="4314.0600000000004"/>
    <n v="4314.0700000000006"/>
    <n v="4314.07"/>
    <s v="June 2022"/>
  </r>
  <r>
    <d v="2022-06-27T00:00:00"/>
    <x v="1195"/>
    <n v="53"/>
    <x v="0"/>
    <x v="6"/>
    <x v="1"/>
    <x v="1"/>
    <n v="4862.45"/>
    <x v="1"/>
    <n v="2509.1716796874912"/>
    <n v="5348.69"/>
    <n v="5348.7"/>
    <n v="5348.7"/>
    <s v="June 2022"/>
  </r>
  <r>
    <d v="2022-06-27T00:00:00"/>
    <x v="1196"/>
    <n v="82"/>
    <x v="2"/>
    <x v="7"/>
    <x v="1"/>
    <x v="1"/>
    <n v="2310.16"/>
    <x v="0"/>
    <n v="2509.1716796874912"/>
    <n v="2541.17"/>
    <n v="2541.1800000000003"/>
    <n v="2541.1799999999998"/>
    <s v="June 2022"/>
  </r>
  <r>
    <d v="2022-06-27T00:00:00"/>
    <x v="1197"/>
    <n v="75"/>
    <x v="2"/>
    <x v="5"/>
    <x v="1"/>
    <x v="0"/>
    <n v="2794.58"/>
    <x v="0"/>
    <n v="2509.1716796874912"/>
    <n v="3074.03"/>
    <n v="3074.0400000000004"/>
    <n v="3074.04"/>
    <s v="June 2022"/>
  </r>
  <r>
    <d v="2022-06-27T00:00:00"/>
    <x v="1198"/>
    <n v="77"/>
    <x v="1"/>
    <x v="7"/>
    <x v="2"/>
    <x v="3"/>
    <n v="629.57000000000005"/>
    <x v="0"/>
    <n v="2440.2966694490838"/>
    <n v="692.52"/>
    <n v="692.53"/>
    <n v="692.53"/>
    <s v="June 2022"/>
  </r>
  <r>
    <d v="2022-06-27T00:00:00"/>
    <x v="1199"/>
    <n v="84"/>
    <x v="1"/>
    <x v="5"/>
    <x v="3"/>
    <x v="4"/>
    <n v="385.73"/>
    <x v="0"/>
    <n v="2496.7676064256989"/>
    <n v="424.3"/>
    <n v="424.31"/>
    <n v="424.3"/>
    <s v="June 2022"/>
  </r>
  <r>
    <d v="2022-06-27T00:00:00"/>
    <x v="1200"/>
    <n v="74"/>
    <x v="2"/>
    <x v="3"/>
    <x v="1"/>
    <x v="4"/>
    <n v="4372.1000000000004"/>
    <x v="0"/>
    <n v="2509.1716796874912"/>
    <n v="4809.3100000000004"/>
    <n v="4809.3100000000004"/>
    <n v="4809.3100000000004"/>
    <s v="June 2022"/>
  </r>
  <r>
    <d v="2022-06-27T00:00:00"/>
    <x v="1201"/>
    <n v="59"/>
    <x v="1"/>
    <x v="2"/>
    <x v="1"/>
    <x v="0"/>
    <n v="1523.5"/>
    <x v="1"/>
    <n v="2509.1716796874912"/>
    <n v="1675.85"/>
    <n v="1675.85"/>
    <n v="1675.85"/>
    <s v="June 2022"/>
  </r>
  <r>
    <d v="2022-06-27T00:00:00"/>
    <x v="1202"/>
    <n v="26"/>
    <x v="0"/>
    <x v="5"/>
    <x v="3"/>
    <x v="0"/>
    <n v="2258.9899999999998"/>
    <x v="1"/>
    <n v="2496.7676064256989"/>
    <n v="2484.88"/>
    <n v="2484.8900000000003"/>
    <n v="2484.89"/>
    <s v="June 2022"/>
  </r>
  <r>
    <d v="2022-06-27T00:00:00"/>
    <x v="1203"/>
    <n v="12"/>
    <x v="0"/>
    <x v="1"/>
    <x v="3"/>
    <x v="4"/>
    <n v="475.48"/>
    <x v="2"/>
    <n v="2496.7676064256989"/>
    <n v="523.02"/>
    <n v="523.03"/>
    <n v="523.03"/>
    <s v="June 2022"/>
  </r>
  <r>
    <d v="2022-06-28T00:00:00"/>
    <x v="1204"/>
    <n v="75"/>
    <x v="2"/>
    <x v="0"/>
    <x v="2"/>
    <x v="2"/>
    <n v="4917.0200000000004"/>
    <x v="0"/>
    <n v="2440.2966694490838"/>
    <n v="5408.72"/>
    <n v="5408.7300000000005"/>
    <n v="5408.72"/>
    <s v="June 2022"/>
  </r>
  <r>
    <d v="2022-06-28T00:00:00"/>
    <x v="1205"/>
    <n v="37"/>
    <x v="1"/>
    <x v="2"/>
    <x v="3"/>
    <x v="0"/>
    <n v="4358.5"/>
    <x v="1"/>
    <n v="2496.7676064256989"/>
    <n v="4794.3500000000004"/>
    <n v="4794.3500000000004"/>
    <n v="4794.3500000000004"/>
    <s v="June 2022"/>
  </r>
  <r>
    <d v="2022-06-28T00:00:00"/>
    <x v="1206"/>
    <n v="81"/>
    <x v="2"/>
    <x v="7"/>
    <x v="0"/>
    <x v="3"/>
    <n v="2450.1999999999998"/>
    <x v="0"/>
    <n v="2503.6022787783854"/>
    <n v="2695.22"/>
    <n v="2695.22"/>
    <n v="2695.22"/>
    <s v="June 2022"/>
  </r>
  <r>
    <d v="2022-06-28T00:00:00"/>
    <x v="1207"/>
    <n v="12"/>
    <x v="2"/>
    <x v="4"/>
    <x v="2"/>
    <x v="0"/>
    <n v="4053.45"/>
    <x v="2"/>
    <n v="2440.2966694490838"/>
    <n v="4458.79"/>
    <n v="4458.8"/>
    <n v="4458.8"/>
    <s v="June 2022"/>
  </r>
  <r>
    <d v="2022-06-28T00:00:00"/>
    <x v="1208"/>
    <n v="52"/>
    <x v="0"/>
    <x v="1"/>
    <x v="0"/>
    <x v="0"/>
    <n v="4791.01"/>
    <x v="1"/>
    <n v="2503.6022787783854"/>
    <n v="5270.11"/>
    <n v="5270.12"/>
    <n v="5270.11"/>
    <s v="June 2022"/>
  </r>
  <r>
    <d v="2022-06-28T00:00:00"/>
    <x v="1209"/>
    <n v="99"/>
    <x v="0"/>
    <x v="4"/>
    <x v="3"/>
    <x v="3"/>
    <n v="367.72"/>
    <x v="0"/>
    <n v="2496.7676064256989"/>
    <n v="404.49"/>
    <n v="404.5"/>
    <n v="404.49"/>
    <s v="June 2022"/>
  </r>
  <r>
    <d v="2022-06-28T00:00:00"/>
    <x v="1210"/>
    <n v="48"/>
    <x v="1"/>
    <x v="0"/>
    <x v="0"/>
    <x v="0"/>
    <n v="866.61"/>
    <x v="1"/>
    <n v="2503.6022787783854"/>
    <n v="953.27"/>
    <n v="953.28"/>
    <n v="953.27"/>
    <s v="June 2022"/>
  </r>
  <r>
    <d v="2022-06-28T00:00:00"/>
    <x v="1211"/>
    <n v="40"/>
    <x v="2"/>
    <x v="5"/>
    <x v="1"/>
    <x v="2"/>
    <n v="1763.43"/>
    <x v="1"/>
    <n v="2509.1716796874912"/>
    <n v="1939.77"/>
    <n v="1939.78"/>
    <n v="1939.77"/>
    <s v="June 2022"/>
  </r>
  <r>
    <d v="2022-06-29T00:00:00"/>
    <x v="1212"/>
    <n v="51"/>
    <x v="2"/>
    <x v="2"/>
    <x v="0"/>
    <x v="3"/>
    <n v="3523.6"/>
    <x v="1"/>
    <n v="2503.6022787783854"/>
    <n v="3875.96"/>
    <n v="3875.96"/>
    <n v="3875.96"/>
    <s v="June 2022"/>
  </r>
  <r>
    <d v="2022-06-29T00:00:00"/>
    <x v="1213"/>
    <n v="11"/>
    <x v="0"/>
    <x v="5"/>
    <x v="3"/>
    <x v="3"/>
    <n v="4544.93"/>
    <x v="2"/>
    <n v="2496.7676064256989"/>
    <n v="4999.42"/>
    <n v="4999.43"/>
    <n v="4999.42"/>
    <s v="June 2022"/>
  </r>
  <r>
    <d v="2022-06-29T00:00:00"/>
    <x v="1214"/>
    <n v="35"/>
    <x v="2"/>
    <x v="3"/>
    <x v="2"/>
    <x v="1"/>
    <n v="516.63"/>
    <x v="1"/>
    <n v="2440.2966694490838"/>
    <n v="568.29"/>
    <n v="568.29999999999995"/>
    <n v="568.29"/>
    <s v="June 2022"/>
  </r>
  <r>
    <d v="2022-06-29T00:00:00"/>
    <x v="1215"/>
    <n v="50"/>
    <x v="1"/>
    <x v="3"/>
    <x v="1"/>
    <x v="2"/>
    <n v="3111.46"/>
    <x v="1"/>
    <n v="2509.1716796874912"/>
    <n v="3422.6"/>
    <n v="3422.61"/>
    <n v="3422.61"/>
    <s v="June 2022"/>
  </r>
  <r>
    <d v="2022-06-29T00:00:00"/>
    <x v="1216"/>
    <n v="78"/>
    <x v="0"/>
    <x v="2"/>
    <x v="3"/>
    <x v="3"/>
    <n v="742.87"/>
    <x v="0"/>
    <n v="2496.7676064256989"/>
    <n v="817.15"/>
    <n v="817.16"/>
    <n v="817.16"/>
    <s v="June 2022"/>
  </r>
  <r>
    <d v="2022-06-29T00:00:00"/>
    <x v="1217"/>
    <n v="79"/>
    <x v="1"/>
    <x v="1"/>
    <x v="0"/>
    <x v="4"/>
    <n v="1808.37"/>
    <x v="0"/>
    <n v="2503.6022787783854"/>
    <n v="1989.2"/>
    <n v="1989.21"/>
    <n v="1989.21"/>
    <s v="June 2022"/>
  </r>
  <r>
    <d v="2022-06-29T00:00:00"/>
    <x v="1218"/>
    <n v="63"/>
    <x v="2"/>
    <x v="3"/>
    <x v="3"/>
    <x v="0"/>
    <n v="2147.34"/>
    <x v="1"/>
    <n v="2496.7676064256989"/>
    <n v="2362.0700000000002"/>
    <n v="2362.0800000000004"/>
    <n v="2362.0700000000002"/>
    <s v="June 2022"/>
  </r>
  <r>
    <d v="2022-06-30T00:00:00"/>
    <x v="1219"/>
    <n v="75"/>
    <x v="0"/>
    <x v="2"/>
    <x v="1"/>
    <x v="1"/>
    <n v="619.95000000000005"/>
    <x v="0"/>
    <n v="2509.1716796874912"/>
    <n v="681.94"/>
    <n v="681.95"/>
    <n v="681.95"/>
    <s v="June 2022"/>
  </r>
  <r>
    <d v="2022-06-30T00:00:00"/>
    <x v="1220"/>
    <n v="56"/>
    <x v="2"/>
    <x v="3"/>
    <x v="0"/>
    <x v="3"/>
    <n v="3975.73"/>
    <x v="1"/>
    <n v="2503.6022787783854"/>
    <n v="4373.3"/>
    <n v="4373.3100000000004"/>
    <n v="4373.3"/>
    <s v="June 2022"/>
  </r>
  <r>
    <d v="2022-06-30T00:00:00"/>
    <x v="1221"/>
    <n v="85"/>
    <x v="1"/>
    <x v="4"/>
    <x v="2"/>
    <x v="3"/>
    <n v="278.02"/>
    <x v="0"/>
    <n v="2440.2966694490838"/>
    <n v="305.82"/>
    <n v="305.83"/>
    <n v="305.82"/>
    <s v="June 2022"/>
  </r>
  <r>
    <d v="2022-07-01T00:00:00"/>
    <x v="1222"/>
    <n v="64"/>
    <x v="1"/>
    <x v="1"/>
    <x v="0"/>
    <x v="1"/>
    <n v="2930.56"/>
    <x v="1"/>
    <n v="2503.6022787783854"/>
    <n v="3223.61"/>
    <n v="3223.6200000000003"/>
    <n v="3223.62"/>
    <s v="July 2022"/>
  </r>
  <r>
    <d v="2022-07-01T00:00:00"/>
    <x v="1223"/>
    <n v="34"/>
    <x v="1"/>
    <x v="0"/>
    <x v="0"/>
    <x v="3"/>
    <n v="1748.34"/>
    <x v="1"/>
    <n v="2503.6022787783854"/>
    <n v="1923.17"/>
    <n v="1923.18"/>
    <n v="1923.17"/>
    <s v="July 2022"/>
  </r>
  <r>
    <d v="2022-07-01T00:00:00"/>
    <x v="1224"/>
    <n v="57"/>
    <x v="0"/>
    <x v="1"/>
    <x v="3"/>
    <x v="2"/>
    <n v="4505.67"/>
    <x v="1"/>
    <n v="2496.7676064256989"/>
    <n v="4956.2299999999996"/>
    <n v="4956.24"/>
    <n v="4956.24"/>
    <s v="July 2022"/>
  </r>
  <r>
    <d v="2022-07-01T00:00:00"/>
    <x v="1225"/>
    <n v="59"/>
    <x v="0"/>
    <x v="3"/>
    <x v="3"/>
    <x v="0"/>
    <n v="410.25"/>
    <x v="1"/>
    <n v="2496.7676064256989"/>
    <n v="451.27"/>
    <n v="451.28"/>
    <n v="451.28"/>
    <s v="July 2022"/>
  </r>
  <r>
    <d v="2022-07-01T00:00:00"/>
    <x v="1226"/>
    <n v="14"/>
    <x v="0"/>
    <x v="7"/>
    <x v="0"/>
    <x v="3"/>
    <n v="918.23"/>
    <x v="2"/>
    <n v="2503.6022787783854"/>
    <n v="1010.05"/>
    <n v="1010.06"/>
    <n v="1010.05"/>
    <s v="July 2022"/>
  </r>
  <r>
    <d v="2022-07-01T00:00:00"/>
    <x v="1227"/>
    <n v="4"/>
    <x v="1"/>
    <x v="0"/>
    <x v="3"/>
    <x v="3"/>
    <n v="1978.06"/>
    <x v="2"/>
    <n v="2496.7676064256989"/>
    <n v="2175.86"/>
    <n v="2175.8700000000003"/>
    <n v="2175.87"/>
    <s v="July 2022"/>
  </r>
  <r>
    <d v="2022-07-01T00:00:00"/>
    <x v="1228"/>
    <n v="99"/>
    <x v="1"/>
    <x v="3"/>
    <x v="1"/>
    <x v="2"/>
    <n v="766.58"/>
    <x v="0"/>
    <n v="2509.1716796874912"/>
    <n v="843.23"/>
    <n v="843.24"/>
    <n v="843.24"/>
    <s v="July 2022"/>
  </r>
  <r>
    <d v="2022-07-01T00:00:00"/>
    <x v="1229"/>
    <n v="21"/>
    <x v="2"/>
    <x v="4"/>
    <x v="3"/>
    <x v="3"/>
    <n v="1189.5899999999999"/>
    <x v="1"/>
    <n v="2496.7676064256989"/>
    <n v="1308.54"/>
    <n v="1308.55"/>
    <n v="1308.55"/>
    <s v="July 2022"/>
  </r>
  <r>
    <d v="2022-07-02T00:00:00"/>
    <x v="1230"/>
    <n v="87"/>
    <x v="2"/>
    <x v="0"/>
    <x v="1"/>
    <x v="4"/>
    <n v="4662.03"/>
    <x v="0"/>
    <n v="2509.1716796874912"/>
    <n v="5128.2299999999996"/>
    <n v="5128.24"/>
    <n v="5128.2299999999996"/>
    <s v="July 2022"/>
  </r>
  <r>
    <d v="2022-07-02T00:00:00"/>
    <x v="1231"/>
    <n v="7"/>
    <x v="2"/>
    <x v="4"/>
    <x v="1"/>
    <x v="0"/>
    <n v="2195.79"/>
    <x v="2"/>
    <n v="2509.1716796874912"/>
    <n v="2415.36"/>
    <n v="2415.3700000000003"/>
    <n v="2415.37"/>
    <s v="July 2022"/>
  </r>
  <r>
    <d v="2022-07-02T00:00:00"/>
    <x v="1232"/>
    <n v="94"/>
    <x v="2"/>
    <x v="7"/>
    <x v="1"/>
    <x v="4"/>
    <n v="1194.3900000000001"/>
    <x v="0"/>
    <n v="2509.1716796874912"/>
    <n v="1313.82"/>
    <n v="1313.83"/>
    <n v="1313.83"/>
    <s v="July 2022"/>
  </r>
  <r>
    <d v="2022-07-02T00:00:00"/>
    <x v="1233"/>
    <n v="75"/>
    <x v="0"/>
    <x v="5"/>
    <x v="0"/>
    <x v="4"/>
    <n v="4786.78"/>
    <x v="0"/>
    <n v="2503.6022787783854"/>
    <n v="5265.45"/>
    <n v="5265.46"/>
    <n v="5265.46"/>
    <s v="July 2022"/>
  </r>
  <r>
    <d v="2022-07-02T00:00:00"/>
    <x v="1234"/>
    <n v="31"/>
    <x v="0"/>
    <x v="5"/>
    <x v="1"/>
    <x v="0"/>
    <n v="1715.58"/>
    <x v="1"/>
    <n v="2509.1716796874912"/>
    <n v="1887.13"/>
    <n v="1887.14"/>
    <n v="1887.14"/>
    <s v="July 2022"/>
  </r>
  <r>
    <d v="2022-07-02T00:00:00"/>
    <x v="1235"/>
    <n v="80"/>
    <x v="2"/>
    <x v="0"/>
    <x v="3"/>
    <x v="3"/>
    <n v="2787"/>
    <x v="0"/>
    <n v="2496.7676064256989"/>
    <n v="3065.7"/>
    <n v="3065.7"/>
    <n v="3065.7"/>
    <s v="July 2022"/>
  </r>
  <r>
    <d v="2022-07-02T00:00:00"/>
    <x v="1236"/>
    <n v="15"/>
    <x v="0"/>
    <x v="3"/>
    <x v="0"/>
    <x v="4"/>
    <n v="1551.47"/>
    <x v="2"/>
    <n v="2503.6022787783854"/>
    <n v="1706.61"/>
    <n v="1706.62"/>
    <n v="1706.62"/>
    <s v="July 2022"/>
  </r>
  <r>
    <d v="2022-07-03T00:00:00"/>
    <x v="1237"/>
    <n v="14"/>
    <x v="2"/>
    <x v="7"/>
    <x v="2"/>
    <x v="4"/>
    <n v="1462.36"/>
    <x v="2"/>
    <n v="2440.2966694490838"/>
    <n v="1608.59"/>
    <n v="1608.6"/>
    <n v="1608.6"/>
    <s v="July 2022"/>
  </r>
  <r>
    <d v="2022-07-03T00:00:00"/>
    <x v="1238"/>
    <n v="70"/>
    <x v="1"/>
    <x v="4"/>
    <x v="3"/>
    <x v="1"/>
    <n v="4069.34"/>
    <x v="0"/>
    <n v="2496.7676064256989"/>
    <n v="4476.2700000000004"/>
    <n v="4476.2800000000007"/>
    <n v="4476.2700000000004"/>
    <s v="July 2022"/>
  </r>
  <r>
    <d v="2022-07-03T00:00:00"/>
    <x v="1239"/>
    <n v="27"/>
    <x v="2"/>
    <x v="5"/>
    <x v="2"/>
    <x v="3"/>
    <n v="1173.1500000000001"/>
    <x v="1"/>
    <n v="2440.2966694490838"/>
    <n v="1290.46"/>
    <n v="1290.47"/>
    <n v="1290.47"/>
    <s v="July 2022"/>
  </r>
  <r>
    <d v="2022-07-03T00:00:00"/>
    <x v="1240"/>
    <n v="68"/>
    <x v="2"/>
    <x v="5"/>
    <x v="1"/>
    <x v="0"/>
    <n v="2240.63"/>
    <x v="0"/>
    <n v="2509.1716796874912"/>
    <n v="2464.69"/>
    <n v="2464.7000000000003"/>
    <n v="2464.69"/>
    <s v="July 2022"/>
  </r>
  <r>
    <d v="2022-07-04T00:00:00"/>
    <x v="1241"/>
    <n v="30"/>
    <x v="1"/>
    <x v="1"/>
    <x v="2"/>
    <x v="4"/>
    <n v="753.81"/>
    <x v="1"/>
    <n v="2440.2966694490838"/>
    <n v="829.19"/>
    <n v="829.2"/>
    <n v="829.19"/>
    <s v="July 2022"/>
  </r>
  <r>
    <d v="2022-07-04T00:00:00"/>
    <x v="1242"/>
    <n v="28"/>
    <x v="2"/>
    <x v="4"/>
    <x v="3"/>
    <x v="0"/>
    <n v="2795.04"/>
    <x v="1"/>
    <n v="2496.7676064256989"/>
    <n v="3074.54"/>
    <n v="3074.55"/>
    <n v="3074.54"/>
    <s v="July 2022"/>
  </r>
  <r>
    <d v="2022-07-04T00:00:00"/>
    <x v="1243"/>
    <n v="99"/>
    <x v="0"/>
    <x v="2"/>
    <x v="0"/>
    <x v="4"/>
    <n v="3934.76"/>
    <x v="0"/>
    <n v="2503.6022787783854"/>
    <n v="4328.2299999999996"/>
    <n v="4328.24"/>
    <n v="4328.24"/>
    <s v="July 2022"/>
  </r>
  <r>
    <d v="2022-07-04T00:00:00"/>
    <x v="1244"/>
    <n v="0"/>
    <x v="1"/>
    <x v="5"/>
    <x v="2"/>
    <x v="2"/>
    <n v="3924.58"/>
    <x v="2"/>
    <n v="2440.2966694490838"/>
    <n v="4317.03"/>
    <n v="4317.04"/>
    <n v="4317.04"/>
    <s v="July 2022"/>
  </r>
  <r>
    <d v="2022-07-04T00:00:00"/>
    <x v="1245"/>
    <n v="44"/>
    <x v="1"/>
    <x v="6"/>
    <x v="2"/>
    <x v="1"/>
    <n v="3087.42"/>
    <x v="1"/>
    <n v="2440.2966694490838"/>
    <n v="3396.16"/>
    <n v="3396.17"/>
    <n v="3396.16"/>
    <s v="July 2022"/>
  </r>
  <r>
    <d v="2022-07-04T00:00:00"/>
    <x v="1246"/>
    <n v="19"/>
    <x v="1"/>
    <x v="2"/>
    <x v="2"/>
    <x v="2"/>
    <n v="2223.0100000000002"/>
    <x v="1"/>
    <n v="2440.2966694490838"/>
    <n v="2445.31"/>
    <n v="2445.3200000000002"/>
    <n v="2445.31"/>
    <s v="July 2022"/>
  </r>
  <r>
    <d v="2022-07-04T00:00:00"/>
    <x v="1247"/>
    <n v="50"/>
    <x v="1"/>
    <x v="0"/>
    <x v="3"/>
    <x v="2"/>
    <n v="408.19"/>
    <x v="1"/>
    <n v="2496.7676064256989"/>
    <n v="449"/>
    <n v="449.01"/>
    <n v="449.01"/>
    <s v="July 2022"/>
  </r>
  <r>
    <d v="2022-07-05T00:00:00"/>
    <x v="1248"/>
    <n v="42"/>
    <x v="0"/>
    <x v="0"/>
    <x v="1"/>
    <x v="0"/>
    <n v="3280.84"/>
    <x v="1"/>
    <n v="2509.1716796874912"/>
    <n v="3608.92"/>
    <n v="3608.9300000000003"/>
    <n v="3608.92"/>
    <s v="July 2022"/>
  </r>
  <r>
    <d v="2022-07-05T00:00:00"/>
    <x v="1249"/>
    <n v="37"/>
    <x v="0"/>
    <x v="4"/>
    <x v="0"/>
    <x v="4"/>
    <n v="3211.14"/>
    <x v="1"/>
    <n v="2503.6022787783854"/>
    <n v="3532.25"/>
    <n v="3532.26"/>
    <n v="3532.25"/>
    <s v="July 2022"/>
  </r>
  <r>
    <d v="2022-07-05T00:00:00"/>
    <x v="1250"/>
    <n v="24"/>
    <x v="0"/>
    <x v="2"/>
    <x v="1"/>
    <x v="1"/>
    <n v="2133.7600000000002"/>
    <x v="1"/>
    <n v="2509.1716796874912"/>
    <n v="2347.13"/>
    <n v="2347.1400000000003"/>
    <n v="2347.14"/>
    <s v="July 2022"/>
  </r>
  <r>
    <d v="2022-07-05T00:00:00"/>
    <x v="1251"/>
    <n v="9"/>
    <x v="2"/>
    <x v="3"/>
    <x v="2"/>
    <x v="4"/>
    <n v="1750.41"/>
    <x v="2"/>
    <n v="2440.2966694490838"/>
    <n v="1925.45"/>
    <n v="1925.46"/>
    <n v="1925.45"/>
    <s v="July 2022"/>
  </r>
  <r>
    <d v="2022-07-05T00:00:00"/>
    <x v="1252"/>
    <n v="35"/>
    <x v="1"/>
    <x v="4"/>
    <x v="1"/>
    <x v="0"/>
    <n v="223.84"/>
    <x v="1"/>
    <n v="2509.1716796874912"/>
    <n v="246.22"/>
    <n v="246.23"/>
    <n v="246.22"/>
    <s v="July 2022"/>
  </r>
  <r>
    <d v="2022-07-05T00:00:00"/>
    <x v="1253"/>
    <n v="80"/>
    <x v="2"/>
    <x v="4"/>
    <x v="2"/>
    <x v="0"/>
    <n v="1672.14"/>
    <x v="0"/>
    <n v="2440.2966694490838"/>
    <n v="1839.35"/>
    <n v="1839.36"/>
    <n v="1839.35"/>
    <s v="July 2022"/>
  </r>
  <r>
    <d v="2022-07-05T00:00:00"/>
    <x v="1254"/>
    <n v="23"/>
    <x v="1"/>
    <x v="5"/>
    <x v="2"/>
    <x v="1"/>
    <n v="4115.5200000000004"/>
    <x v="1"/>
    <n v="2440.2966694490838"/>
    <n v="4527.07"/>
    <n v="4527.08"/>
    <n v="4527.07"/>
    <s v="July 2022"/>
  </r>
  <r>
    <d v="2022-07-05T00:00:00"/>
    <x v="1255"/>
    <n v="42"/>
    <x v="0"/>
    <x v="3"/>
    <x v="3"/>
    <x v="0"/>
    <n v="4673.78"/>
    <x v="1"/>
    <n v="2496.7676064256989"/>
    <n v="5141.1499999999996"/>
    <n v="5141.16"/>
    <n v="5141.16"/>
    <s v="July 2022"/>
  </r>
  <r>
    <d v="2022-07-05T00:00:00"/>
    <x v="1256"/>
    <n v="79"/>
    <x v="1"/>
    <x v="2"/>
    <x v="1"/>
    <x v="0"/>
    <n v="258"/>
    <x v="0"/>
    <n v="2509.1716796874912"/>
    <n v="283.8"/>
    <n v="283.8"/>
    <n v="283.8"/>
    <s v="July 2022"/>
  </r>
  <r>
    <d v="2022-07-05T00:00:00"/>
    <x v="1257"/>
    <n v="43"/>
    <x v="1"/>
    <x v="2"/>
    <x v="2"/>
    <x v="0"/>
    <n v="1363.33"/>
    <x v="1"/>
    <n v="2440.2966694490838"/>
    <n v="1499.66"/>
    <n v="1499.67"/>
    <n v="1499.66"/>
    <s v="July 2022"/>
  </r>
  <r>
    <d v="2022-07-05T00:00:00"/>
    <x v="1258"/>
    <n v="24"/>
    <x v="1"/>
    <x v="3"/>
    <x v="1"/>
    <x v="2"/>
    <n v="3251.64"/>
    <x v="1"/>
    <n v="2509.1716796874912"/>
    <n v="3576.8"/>
    <n v="3576.8100000000004"/>
    <n v="3576.8"/>
    <s v="July 2022"/>
  </r>
  <r>
    <d v="2022-07-05T00:00:00"/>
    <x v="1259"/>
    <n v="11"/>
    <x v="1"/>
    <x v="1"/>
    <x v="3"/>
    <x v="2"/>
    <n v="2615.9499999999998"/>
    <x v="2"/>
    <n v="2496.7676064256989"/>
    <n v="2877.54"/>
    <n v="2877.55"/>
    <n v="2877.55"/>
    <s v="July 2022"/>
  </r>
  <r>
    <d v="2022-07-06T00:00:00"/>
    <x v="1260"/>
    <n v="39"/>
    <x v="1"/>
    <x v="7"/>
    <x v="0"/>
    <x v="4"/>
    <n v="1749.33"/>
    <x v="1"/>
    <n v="2503.6022787783854"/>
    <n v="1924.26"/>
    <n v="1924.27"/>
    <n v="1924.26"/>
    <s v="July 2022"/>
  </r>
  <r>
    <d v="2022-07-06T00:00:00"/>
    <x v="1261"/>
    <n v="36"/>
    <x v="0"/>
    <x v="0"/>
    <x v="3"/>
    <x v="4"/>
    <n v="362.22"/>
    <x v="1"/>
    <n v="2496.7676064256989"/>
    <n v="398.44"/>
    <n v="398.45"/>
    <n v="398.44"/>
    <s v="July 2022"/>
  </r>
  <r>
    <d v="2022-07-07T00:00:00"/>
    <x v="1262"/>
    <n v="4"/>
    <x v="2"/>
    <x v="1"/>
    <x v="0"/>
    <x v="0"/>
    <n v="2855.17"/>
    <x v="2"/>
    <n v="2503.6022787783854"/>
    <n v="3140.68"/>
    <n v="3140.69"/>
    <n v="3140.69"/>
    <s v="July 2022"/>
  </r>
  <r>
    <d v="2022-07-07T00:00:00"/>
    <x v="1263"/>
    <n v="71"/>
    <x v="1"/>
    <x v="4"/>
    <x v="1"/>
    <x v="0"/>
    <n v="3294.05"/>
    <x v="0"/>
    <n v="2509.1716796874912"/>
    <n v="3623.45"/>
    <n v="3623.46"/>
    <n v="3623.46"/>
    <s v="July 2022"/>
  </r>
  <r>
    <d v="2022-07-07T00:00:00"/>
    <x v="1264"/>
    <n v="8"/>
    <x v="0"/>
    <x v="7"/>
    <x v="3"/>
    <x v="0"/>
    <n v="3949.67"/>
    <x v="2"/>
    <n v="2496.7676064256989"/>
    <n v="4344.63"/>
    <n v="4344.6400000000003"/>
    <n v="4344.6400000000003"/>
    <s v="July 2022"/>
  </r>
  <r>
    <d v="2022-07-07T00:00:00"/>
    <x v="1265"/>
    <n v="62"/>
    <x v="1"/>
    <x v="1"/>
    <x v="3"/>
    <x v="3"/>
    <n v="4545.55"/>
    <x v="1"/>
    <n v="2496.7676064256989"/>
    <n v="5000.1000000000004"/>
    <n v="5000.1100000000006"/>
    <n v="5000.1099999999997"/>
    <s v="July 2022"/>
  </r>
  <r>
    <d v="2022-07-07T00:00:00"/>
    <x v="1266"/>
    <n v="93"/>
    <x v="1"/>
    <x v="0"/>
    <x v="3"/>
    <x v="0"/>
    <n v="633.45000000000005"/>
    <x v="0"/>
    <n v="2496.7676064256989"/>
    <n v="696.79"/>
    <n v="696.8"/>
    <n v="696.8"/>
    <s v="July 2022"/>
  </r>
  <r>
    <d v="2022-07-07T00:00:00"/>
    <x v="1267"/>
    <n v="80"/>
    <x v="0"/>
    <x v="6"/>
    <x v="3"/>
    <x v="0"/>
    <n v="2341.6"/>
    <x v="0"/>
    <n v="2496.7676064256989"/>
    <n v="2575.7600000000002"/>
    <n v="2575.7600000000002"/>
    <n v="2575.7600000000002"/>
    <s v="July 2022"/>
  </r>
  <r>
    <d v="2022-07-08T00:00:00"/>
    <x v="1268"/>
    <n v="46"/>
    <x v="2"/>
    <x v="1"/>
    <x v="1"/>
    <x v="2"/>
    <n v="4382.99"/>
    <x v="1"/>
    <n v="2509.1716796874912"/>
    <n v="4821.28"/>
    <n v="4821.29"/>
    <n v="4821.29"/>
    <s v="July 2022"/>
  </r>
  <r>
    <d v="2022-07-08T00:00:00"/>
    <x v="1269"/>
    <n v="27"/>
    <x v="2"/>
    <x v="0"/>
    <x v="0"/>
    <x v="3"/>
    <n v="1913.22"/>
    <x v="1"/>
    <n v="2503.6022787783854"/>
    <n v="2104.54"/>
    <n v="2104.5500000000002"/>
    <n v="2104.54"/>
    <s v="July 2022"/>
  </r>
  <r>
    <d v="2022-07-08T00:00:00"/>
    <x v="1270"/>
    <n v="82"/>
    <x v="0"/>
    <x v="6"/>
    <x v="3"/>
    <x v="4"/>
    <n v="2419.85"/>
    <x v="0"/>
    <n v="2496.7676064256989"/>
    <n v="2661.83"/>
    <n v="2661.84"/>
    <n v="2661.84"/>
    <s v="July 2022"/>
  </r>
  <r>
    <d v="2022-07-08T00:00:00"/>
    <x v="1271"/>
    <n v="68"/>
    <x v="2"/>
    <x v="4"/>
    <x v="0"/>
    <x v="1"/>
    <n v="4289.93"/>
    <x v="0"/>
    <n v="2503.6022787783854"/>
    <n v="4718.92"/>
    <n v="4718.93"/>
    <n v="4718.92"/>
    <s v="July 2022"/>
  </r>
  <r>
    <d v="2022-07-08T00:00:00"/>
    <x v="1272"/>
    <n v="36"/>
    <x v="2"/>
    <x v="4"/>
    <x v="3"/>
    <x v="1"/>
    <n v="1207.03"/>
    <x v="1"/>
    <n v="2496.7676064256989"/>
    <n v="1327.73"/>
    <n v="1327.74"/>
    <n v="1327.73"/>
    <s v="July 2022"/>
  </r>
  <r>
    <d v="2022-07-08T00:00:00"/>
    <x v="1273"/>
    <n v="13"/>
    <x v="2"/>
    <x v="2"/>
    <x v="0"/>
    <x v="2"/>
    <n v="3852.42"/>
    <x v="2"/>
    <n v="2503.6022787783854"/>
    <n v="4237.66"/>
    <n v="4237.67"/>
    <n v="4237.66"/>
    <s v="July 2022"/>
  </r>
  <r>
    <d v="2022-07-08T00:00:00"/>
    <x v="1274"/>
    <n v="65"/>
    <x v="2"/>
    <x v="1"/>
    <x v="1"/>
    <x v="4"/>
    <n v="4548.9799999999996"/>
    <x v="0"/>
    <n v="2509.1716796874912"/>
    <n v="5003.87"/>
    <n v="5003.88"/>
    <n v="5003.88"/>
    <s v="July 2022"/>
  </r>
  <r>
    <d v="2022-07-08T00:00:00"/>
    <x v="1275"/>
    <n v="79"/>
    <x v="1"/>
    <x v="2"/>
    <x v="3"/>
    <x v="2"/>
    <n v="3670.37"/>
    <x v="0"/>
    <n v="2496.7676064256989"/>
    <n v="4037.4"/>
    <n v="4037.4100000000003"/>
    <n v="4037.41"/>
    <s v="July 2022"/>
  </r>
  <r>
    <d v="2022-07-08T00:00:00"/>
    <x v="1276"/>
    <n v="84"/>
    <x v="2"/>
    <x v="4"/>
    <x v="1"/>
    <x v="3"/>
    <n v="4166.3599999999997"/>
    <x v="0"/>
    <n v="2509.1716796874912"/>
    <n v="4582.99"/>
    <n v="4583"/>
    <n v="4583"/>
    <s v="July 2022"/>
  </r>
  <r>
    <d v="2022-07-08T00:00:00"/>
    <x v="1277"/>
    <n v="3"/>
    <x v="0"/>
    <x v="3"/>
    <x v="2"/>
    <x v="0"/>
    <n v="3523.03"/>
    <x v="2"/>
    <n v="2440.2966694490838"/>
    <n v="3875.33"/>
    <n v="3875.34"/>
    <n v="3875.33"/>
    <s v="July 2022"/>
  </r>
  <r>
    <d v="2022-07-08T00:00:00"/>
    <x v="1278"/>
    <n v="48"/>
    <x v="0"/>
    <x v="4"/>
    <x v="0"/>
    <x v="1"/>
    <n v="439.54"/>
    <x v="1"/>
    <n v="2503.6022787783854"/>
    <n v="483.49"/>
    <n v="483.5"/>
    <n v="483.49"/>
    <s v="July 2022"/>
  </r>
  <r>
    <d v="2022-07-09T00:00:00"/>
    <x v="1279"/>
    <n v="27"/>
    <x v="2"/>
    <x v="0"/>
    <x v="0"/>
    <x v="5"/>
    <n v="2137.85"/>
    <x v="1"/>
    <n v="2503.6022787783854"/>
    <n v="2351.63"/>
    <n v="2351.6400000000003"/>
    <n v="2351.64"/>
    <s v="July 2022"/>
  </r>
  <r>
    <d v="2022-07-09T00:00:00"/>
    <x v="1280"/>
    <n v="77"/>
    <x v="2"/>
    <x v="4"/>
    <x v="3"/>
    <x v="4"/>
    <n v="2888.74"/>
    <x v="0"/>
    <n v="2496.7676064256989"/>
    <n v="3177.61"/>
    <n v="3177.6200000000003"/>
    <n v="3177.61"/>
    <s v="July 2022"/>
  </r>
  <r>
    <d v="2022-07-09T00:00:00"/>
    <x v="1281"/>
    <n v="17"/>
    <x v="0"/>
    <x v="7"/>
    <x v="2"/>
    <x v="3"/>
    <n v="3112.16"/>
    <x v="1"/>
    <n v="2440.2966694490838"/>
    <n v="3423.37"/>
    <n v="3423.38"/>
    <n v="3423.38"/>
    <s v="July 2022"/>
  </r>
  <r>
    <d v="2022-07-09T00:00:00"/>
    <x v="1282"/>
    <n v="23"/>
    <x v="1"/>
    <x v="0"/>
    <x v="1"/>
    <x v="4"/>
    <n v="4221.66"/>
    <x v="1"/>
    <n v="2509.1716796874912"/>
    <n v="4643.82"/>
    <n v="4643.83"/>
    <n v="4643.83"/>
    <s v="July 2022"/>
  </r>
  <r>
    <d v="2022-07-09T00:00:00"/>
    <x v="1283"/>
    <n v="46"/>
    <x v="1"/>
    <x v="7"/>
    <x v="1"/>
    <x v="1"/>
    <n v="4379.51"/>
    <x v="1"/>
    <n v="2509.1716796874912"/>
    <n v="4817.46"/>
    <n v="4817.47"/>
    <n v="4817.46"/>
    <s v="July 2022"/>
  </r>
  <r>
    <d v="2022-07-09T00:00:00"/>
    <x v="1284"/>
    <n v="42"/>
    <x v="2"/>
    <x v="7"/>
    <x v="2"/>
    <x v="1"/>
    <n v="3336.14"/>
    <x v="1"/>
    <n v="2440.2966694490838"/>
    <n v="3669.75"/>
    <n v="3669.76"/>
    <n v="3669.75"/>
    <s v="July 2022"/>
  </r>
  <r>
    <d v="2022-07-09T00:00:00"/>
    <x v="1285"/>
    <n v="88"/>
    <x v="1"/>
    <x v="1"/>
    <x v="3"/>
    <x v="3"/>
    <n v="2315.3000000000002"/>
    <x v="0"/>
    <n v="2496.7676064256989"/>
    <n v="2546.83"/>
    <n v="2546.83"/>
    <n v="2546.83"/>
    <s v="July 2022"/>
  </r>
  <r>
    <d v="2022-07-09T00:00:00"/>
    <x v="1286"/>
    <n v="79"/>
    <x v="1"/>
    <x v="1"/>
    <x v="1"/>
    <x v="3"/>
    <n v="3256.65"/>
    <x v="0"/>
    <n v="2509.1716796874912"/>
    <n v="3582.31"/>
    <n v="3582.32"/>
    <n v="3582.32"/>
    <s v="July 2022"/>
  </r>
  <r>
    <d v="2022-07-09T00:00:00"/>
    <x v="1287"/>
    <n v="3"/>
    <x v="0"/>
    <x v="5"/>
    <x v="1"/>
    <x v="0"/>
    <n v="289.27"/>
    <x v="2"/>
    <n v="2509.1716796874912"/>
    <n v="318.19"/>
    <n v="318.2"/>
    <n v="318.2"/>
    <s v="July 2022"/>
  </r>
  <r>
    <d v="2022-07-09T00:00:00"/>
    <x v="1288"/>
    <n v="22"/>
    <x v="1"/>
    <x v="0"/>
    <x v="0"/>
    <x v="4"/>
    <n v="3235.22"/>
    <x v="1"/>
    <n v="2503.6022787783854"/>
    <n v="3558.74"/>
    <n v="3558.75"/>
    <n v="3558.74"/>
    <s v="July 2022"/>
  </r>
  <r>
    <d v="2022-07-09T00:00:00"/>
    <x v="1289"/>
    <n v="36"/>
    <x v="1"/>
    <x v="4"/>
    <x v="0"/>
    <x v="4"/>
    <n v="4666.45"/>
    <x v="1"/>
    <n v="2503.6022787783854"/>
    <n v="5133.09"/>
    <n v="5133.1000000000004"/>
    <n v="5133.1000000000004"/>
    <s v="July 2022"/>
  </r>
  <r>
    <d v="2022-07-10T00:00:00"/>
    <x v="1290"/>
    <n v="83"/>
    <x v="0"/>
    <x v="1"/>
    <x v="3"/>
    <x v="4"/>
    <n v="2786.22"/>
    <x v="0"/>
    <n v="2496.7676064256989"/>
    <n v="3064.84"/>
    <n v="3064.8500000000004"/>
    <n v="3064.84"/>
    <s v="July 2022"/>
  </r>
  <r>
    <d v="2022-07-10T00:00:00"/>
    <x v="1291"/>
    <n v="31"/>
    <x v="1"/>
    <x v="3"/>
    <x v="1"/>
    <x v="1"/>
    <n v="203.91"/>
    <x v="1"/>
    <n v="2509.1716796874912"/>
    <n v="224.3"/>
    <n v="224.31"/>
    <n v="224.3"/>
    <s v="July 2022"/>
  </r>
  <r>
    <d v="2022-07-11T00:00:00"/>
    <x v="1292"/>
    <n v="7"/>
    <x v="2"/>
    <x v="6"/>
    <x v="1"/>
    <x v="1"/>
    <n v="1678.42"/>
    <x v="2"/>
    <n v="2509.1716796874912"/>
    <n v="1846.26"/>
    <n v="1846.27"/>
    <n v="1846.26"/>
    <s v="July 2022"/>
  </r>
  <r>
    <d v="2022-07-11T00:00:00"/>
    <x v="1293"/>
    <n v="0"/>
    <x v="1"/>
    <x v="2"/>
    <x v="2"/>
    <x v="0"/>
    <n v="4299.8599999999997"/>
    <x v="2"/>
    <n v="2440.2966694490838"/>
    <n v="4729.84"/>
    <n v="4729.8500000000004"/>
    <n v="4729.8500000000004"/>
    <s v="July 2022"/>
  </r>
  <r>
    <d v="2022-07-11T00:00:00"/>
    <x v="1294"/>
    <n v="74"/>
    <x v="2"/>
    <x v="4"/>
    <x v="1"/>
    <x v="2"/>
    <n v="1820.44"/>
    <x v="0"/>
    <n v="2509.1716796874912"/>
    <n v="2002.48"/>
    <n v="2002.49"/>
    <n v="2002.48"/>
    <s v="July 2022"/>
  </r>
  <r>
    <d v="2022-07-11T00:00:00"/>
    <x v="1295"/>
    <n v="62"/>
    <x v="1"/>
    <x v="2"/>
    <x v="2"/>
    <x v="4"/>
    <n v="3174.01"/>
    <x v="1"/>
    <n v="2440.2966694490838"/>
    <n v="3491.41"/>
    <n v="3491.42"/>
    <n v="3491.41"/>
    <s v="July 2022"/>
  </r>
  <r>
    <d v="2022-07-11T00:00:00"/>
    <x v="1296"/>
    <n v="57"/>
    <x v="2"/>
    <x v="1"/>
    <x v="2"/>
    <x v="1"/>
    <n v="4105.3"/>
    <x v="1"/>
    <n v="2440.2966694490838"/>
    <n v="4515.83"/>
    <n v="4515.83"/>
    <n v="4515.83"/>
    <s v="July 2022"/>
  </r>
  <r>
    <d v="2022-07-11T00:00:00"/>
    <x v="1297"/>
    <n v="58"/>
    <x v="0"/>
    <x v="7"/>
    <x v="1"/>
    <x v="3"/>
    <n v="4743.5200000000004"/>
    <x v="1"/>
    <n v="2509.1716796874912"/>
    <n v="5217.87"/>
    <n v="5217.88"/>
    <n v="5217.87"/>
    <s v="July 2022"/>
  </r>
  <r>
    <d v="2022-07-11T00:00:00"/>
    <x v="1298"/>
    <n v="14"/>
    <x v="2"/>
    <x v="4"/>
    <x v="0"/>
    <x v="0"/>
    <n v="2813.91"/>
    <x v="2"/>
    <n v="2503.6022787783854"/>
    <n v="3095.3"/>
    <n v="3095.3100000000004"/>
    <n v="3095.3"/>
    <s v="July 2022"/>
  </r>
  <r>
    <d v="2022-07-12T00:00:00"/>
    <x v="1299"/>
    <n v="43"/>
    <x v="0"/>
    <x v="4"/>
    <x v="3"/>
    <x v="2"/>
    <n v="1715.41"/>
    <x v="1"/>
    <n v="2496.7676064256989"/>
    <n v="1886.95"/>
    <n v="1886.96"/>
    <n v="1886.95"/>
    <s v="July 2022"/>
  </r>
  <r>
    <d v="2022-07-12T00:00:00"/>
    <x v="1300"/>
    <n v="60"/>
    <x v="2"/>
    <x v="5"/>
    <x v="1"/>
    <x v="3"/>
    <n v="925.97"/>
    <x v="1"/>
    <n v="2509.1716796874912"/>
    <n v="1018.56"/>
    <n v="1018.5699999999999"/>
    <n v="1018.57"/>
    <s v="July 2022"/>
  </r>
  <r>
    <d v="2022-07-12T00:00:00"/>
    <x v="1301"/>
    <n v="18"/>
    <x v="1"/>
    <x v="6"/>
    <x v="1"/>
    <x v="3"/>
    <n v="1904.71"/>
    <x v="1"/>
    <n v="2509.1716796874912"/>
    <n v="2095.1799999999998"/>
    <n v="2095.19"/>
    <n v="2095.1799999999998"/>
    <s v="July 2022"/>
  </r>
  <r>
    <d v="2022-07-13T00:00:00"/>
    <x v="1302"/>
    <n v="46"/>
    <x v="0"/>
    <x v="3"/>
    <x v="1"/>
    <x v="1"/>
    <n v="4521.57"/>
    <x v="1"/>
    <n v="2509.1716796874912"/>
    <n v="4973.72"/>
    <n v="4973.7300000000005"/>
    <n v="4973.7299999999996"/>
    <s v="July 2022"/>
  </r>
  <r>
    <d v="2022-07-13T00:00:00"/>
    <x v="1303"/>
    <n v="93"/>
    <x v="0"/>
    <x v="6"/>
    <x v="3"/>
    <x v="0"/>
    <n v="782.75"/>
    <x v="0"/>
    <n v="2496.7676064256989"/>
    <n v="861.02"/>
    <n v="861.03"/>
    <n v="861.03"/>
    <s v="July 2022"/>
  </r>
  <r>
    <d v="2022-07-13T00:00:00"/>
    <x v="1304"/>
    <n v="90"/>
    <x v="2"/>
    <x v="5"/>
    <x v="3"/>
    <x v="2"/>
    <n v="4431.24"/>
    <x v="0"/>
    <n v="2496.7676064256989"/>
    <n v="4874.3599999999997"/>
    <n v="4874.37"/>
    <n v="4874.3599999999997"/>
    <s v="July 2022"/>
  </r>
  <r>
    <d v="2022-07-13T00:00:00"/>
    <x v="1305"/>
    <n v="7"/>
    <x v="2"/>
    <x v="1"/>
    <x v="3"/>
    <x v="2"/>
    <n v="3389.27"/>
    <x v="2"/>
    <n v="2496.7676064256989"/>
    <n v="3728.19"/>
    <n v="3728.2000000000003"/>
    <n v="3728.2"/>
    <s v="July 2022"/>
  </r>
  <r>
    <d v="2022-07-14T00:00:00"/>
    <x v="1306"/>
    <n v="26"/>
    <x v="1"/>
    <x v="4"/>
    <x v="2"/>
    <x v="2"/>
    <n v="4935.3"/>
    <x v="1"/>
    <n v="2440.2966694490838"/>
    <n v="5428.83"/>
    <n v="5428.83"/>
    <n v="5428.83"/>
    <s v="July 2022"/>
  </r>
  <r>
    <d v="2022-07-14T00:00:00"/>
    <x v="1307"/>
    <n v="24"/>
    <x v="1"/>
    <x v="5"/>
    <x v="2"/>
    <x v="1"/>
    <n v="99.17"/>
    <x v="1"/>
    <n v="2440.2966694490838"/>
    <n v="109.08"/>
    <n v="109.09"/>
    <n v="109.09"/>
    <s v="July 2022"/>
  </r>
  <r>
    <d v="2022-07-14T00:00:00"/>
    <x v="1308"/>
    <n v="96"/>
    <x v="0"/>
    <x v="2"/>
    <x v="2"/>
    <x v="2"/>
    <n v="1018.45"/>
    <x v="0"/>
    <n v="2440.2966694490838"/>
    <n v="1120.29"/>
    <n v="1120.3"/>
    <n v="1120.3"/>
    <s v="July 2022"/>
  </r>
  <r>
    <d v="2022-07-14T00:00:00"/>
    <x v="1309"/>
    <n v="47"/>
    <x v="2"/>
    <x v="2"/>
    <x v="1"/>
    <x v="1"/>
    <n v="3037.14"/>
    <x v="1"/>
    <n v="2509.1716796874912"/>
    <n v="3340.85"/>
    <n v="3340.86"/>
    <n v="3340.85"/>
    <s v="July 2022"/>
  </r>
  <r>
    <d v="2022-07-14T00:00:00"/>
    <x v="1310"/>
    <n v="31"/>
    <x v="1"/>
    <x v="2"/>
    <x v="1"/>
    <x v="3"/>
    <n v="2282.61"/>
    <x v="1"/>
    <n v="2509.1716796874912"/>
    <n v="2510.87"/>
    <n v="2510.88"/>
    <n v="2510.87"/>
    <s v="July 2022"/>
  </r>
  <r>
    <d v="2022-07-14T00:00:00"/>
    <x v="1311"/>
    <n v="19"/>
    <x v="1"/>
    <x v="1"/>
    <x v="0"/>
    <x v="2"/>
    <n v="1658.07"/>
    <x v="1"/>
    <n v="2503.6022787783854"/>
    <n v="1823.87"/>
    <n v="1823.8799999999999"/>
    <n v="1823.88"/>
    <s v="July 2022"/>
  </r>
  <r>
    <d v="2022-07-15T00:00:00"/>
    <x v="1312"/>
    <n v="5"/>
    <x v="0"/>
    <x v="6"/>
    <x v="3"/>
    <x v="3"/>
    <n v="3118"/>
    <x v="2"/>
    <n v="2496.7676064256989"/>
    <n v="3429.8"/>
    <n v="3429.8"/>
    <n v="3429.8"/>
    <s v="July 2022"/>
  </r>
  <r>
    <d v="2022-07-15T00:00:00"/>
    <x v="1313"/>
    <n v="70"/>
    <x v="2"/>
    <x v="1"/>
    <x v="0"/>
    <x v="3"/>
    <n v="1773.62"/>
    <x v="0"/>
    <n v="2503.6022787783854"/>
    <n v="1950.98"/>
    <n v="1950.99"/>
    <n v="1950.98"/>
    <s v="July 2022"/>
  </r>
  <r>
    <d v="2022-07-15T00:00:00"/>
    <x v="1314"/>
    <n v="38"/>
    <x v="1"/>
    <x v="0"/>
    <x v="1"/>
    <x v="5"/>
    <n v="1728.58"/>
    <x v="1"/>
    <n v="2509.1716796874912"/>
    <n v="1901.43"/>
    <n v="1901.44"/>
    <n v="1901.44"/>
    <s v="July 2022"/>
  </r>
  <r>
    <d v="2022-07-16T00:00:00"/>
    <x v="1315"/>
    <n v="78"/>
    <x v="1"/>
    <x v="3"/>
    <x v="1"/>
    <x v="2"/>
    <n v="2631.23"/>
    <x v="0"/>
    <n v="2509.1716796874912"/>
    <n v="2894.35"/>
    <n v="2894.36"/>
    <n v="2894.35"/>
    <s v="July 2022"/>
  </r>
  <r>
    <d v="2022-07-16T00:00:00"/>
    <x v="1316"/>
    <n v="98"/>
    <x v="1"/>
    <x v="3"/>
    <x v="0"/>
    <x v="1"/>
    <n v="4425.3100000000004"/>
    <x v="0"/>
    <n v="2503.6022787783854"/>
    <n v="4867.84"/>
    <n v="4867.8500000000004"/>
    <n v="4867.84"/>
    <s v="July 2022"/>
  </r>
  <r>
    <d v="2022-07-16T00:00:00"/>
    <x v="1317"/>
    <n v="70"/>
    <x v="0"/>
    <x v="6"/>
    <x v="3"/>
    <x v="2"/>
    <n v="1542.22"/>
    <x v="0"/>
    <n v="2496.7676064256989"/>
    <n v="1696.44"/>
    <n v="1696.45"/>
    <n v="1696.44"/>
    <s v="July 2022"/>
  </r>
  <r>
    <d v="2022-07-16T00:00:00"/>
    <x v="1318"/>
    <n v="56"/>
    <x v="2"/>
    <x v="2"/>
    <x v="0"/>
    <x v="5"/>
    <n v="3608.36"/>
    <x v="1"/>
    <n v="2503.6022787783854"/>
    <n v="3969.19"/>
    <n v="3969.2000000000003"/>
    <n v="3969.2"/>
    <s v="July 2022"/>
  </r>
  <r>
    <d v="2022-07-16T00:00:00"/>
    <x v="1319"/>
    <n v="56"/>
    <x v="1"/>
    <x v="2"/>
    <x v="1"/>
    <x v="1"/>
    <n v="205.93"/>
    <x v="1"/>
    <n v="2509.1716796874912"/>
    <n v="226.52"/>
    <n v="226.53"/>
    <n v="226.52"/>
    <s v="July 2022"/>
  </r>
  <r>
    <d v="2022-07-16T00:00:00"/>
    <x v="1320"/>
    <n v="40"/>
    <x v="2"/>
    <x v="4"/>
    <x v="3"/>
    <x v="2"/>
    <n v="4306.47"/>
    <x v="1"/>
    <n v="2496.7676064256989"/>
    <n v="4737.1099999999997"/>
    <n v="4737.12"/>
    <n v="4737.12"/>
    <s v="July 2022"/>
  </r>
  <r>
    <d v="2022-07-17T00:00:00"/>
    <x v="1321"/>
    <n v="75"/>
    <x v="2"/>
    <x v="6"/>
    <x v="2"/>
    <x v="4"/>
    <n v="4475.66"/>
    <x v="0"/>
    <n v="2440.2966694490838"/>
    <n v="4923.22"/>
    <n v="4923.2300000000005"/>
    <n v="4923.2299999999996"/>
    <s v="July 2022"/>
  </r>
  <r>
    <d v="2022-07-17T00:00:00"/>
    <x v="1322"/>
    <n v="22"/>
    <x v="2"/>
    <x v="4"/>
    <x v="0"/>
    <x v="2"/>
    <n v="3896.59"/>
    <x v="1"/>
    <n v="2503.6022787783854"/>
    <n v="4286.24"/>
    <n v="4286.25"/>
    <n v="4286.25"/>
    <s v="July 2022"/>
  </r>
  <r>
    <d v="2022-07-17T00:00:00"/>
    <x v="1323"/>
    <n v="81"/>
    <x v="2"/>
    <x v="7"/>
    <x v="0"/>
    <x v="2"/>
    <n v="1211.29"/>
    <x v="0"/>
    <n v="2503.6022787783854"/>
    <n v="1332.41"/>
    <n v="1332.42"/>
    <n v="1332.42"/>
    <s v="July 2022"/>
  </r>
  <r>
    <d v="2022-07-18T00:00:00"/>
    <x v="1324"/>
    <n v="28"/>
    <x v="1"/>
    <x v="4"/>
    <x v="1"/>
    <x v="2"/>
    <n v="4404.37"/>
    <x v="1"/>
    <n v="2509.1716796874912"/>
    <n v="4844.8"/>
    <n v="4844.8100000000004"/>
    <n v="4844.8100000000004"/>
    <s v="July 2022"/>
  </r>
  <r>
    <d v="2022-07-18T00:00:00"/>
    <x v="1325"/>
    <n v="32"/>
    <x v="1"/>
    <x v="5"/>
    <x v="2"/>
    <x v="2"/>
    <n v="3614.13"/>
    <x v="1"/>
    <n v="2440.2966694490838"/>
    <n v="3975.54"/>
    <n v="3975.55"/>
    <n v="3975.54"/>
    <s v="July 2022"/>
  </r>
  <r>
    <d v="2022-07-18T00:00:00"/>
    <x v="1326"/>
    <n v="63"/>
    <x v="2"/>
    <x v="2"/>
    <x v="3"/>
    <x v="3"/>
    <n v="4016.39"/>
    <x v="1"/>
    <n v="2496.7676064256989"/>
    <n v="4418.0200000000004"/>
    <n v="4418.0300000000007"/>
    <n v="4418.03"/>
    <s v="July 2022"/>
  </r>
  <r>
    <d v="2022-07-18T00:00:00"/>
    <x v="1327"/>
    <n v="62"/>
    <x v="1"/>
    <x v="0"/>
    <x v="3"/>
    <x v="4"/>
    <n v="333.2"/>
    <x v="1"/>
    <n v="2496.7676064256989"/>
    <n v="366.52"/>
    <n v="366.52"/>
    <n v="366.52"/>
    <s v="July 2022"/>
  </r>
  <r>
    <d v="2022-07-18T00:00:00"/>
    <x v="1328"/>
    <n v="35"/>
    <x v="2"/>
    <x v="3"/>
    <x v="1"/>
    <x v="2"/>
    <n v="2125.8200000000002"/>
    <x v="1"/>
    <n v="2509.1716796874912"/>
    <n v="2338.4"/>
    <n v="2338.4100000000003"/>
    <n v="2338.4"/>
    <s v="July 2022"/>
  </r>
  <r>
    <d v="2022-07-18T00:00:00"/>
    <x v="1329"/>
    <n v="85"/>
    <x v="2"/>
    <x v="4"/>
    <x v="2"/>
    <x v="4"/>
    <n v="4940.21"/>
    <x v="0"/>
    <n v="2440.2966694490838"/>
    <n v="5434.23"/>
    <n v="5434.24"/>
    <n v="5434.23"/>
    <s v="July 2022"/>
  </r>
  <r>
    <d v="2022-07-18T00:00:00"/>
    <x v="1330"/>
    <n v="93"/>
    <x v="2"/>
    <x v="2"/>
    <x v="2"/>
    <x v="3"/>
    <n v="2540.16"/>
    <x v="0"/>
    <n v="2440.2966694490838"/>
    <n v="2794.17"/>
    <n v="2794.1800000000003"/>
    <n v="2794.18"/>
    <s v="July 2022"/>
  </r>
  <r>
    <d v="2022-07-18T00:00:00"/>
    <x v="1331"/>
    <n v="76"/>
    <x v="2"/>
    <x v="7"/>
    <x v="2"/>
    <x v="2"/>
    <n v="4004.48"/>
    <x v="0"/>
    <n v="2440.2966694490838"/>
    <n v="4404.92"/>
    <n v="4404.93"/>
    <n v="4404.93"/>
    <s v="July 2022"/>
  </r>
  <r>
    <d v="2022-07-18T00:00:00"/>
    <x v="1332"/>
    <n v="72"/>
    <x v="1"/>
    <x v="3"/>
    <x v="3"/>
    <x v="3"/>
    <n v="3177.39"/>
    <x v="0"/>
    <n v="2496.7676064256989"/>
    <n v="3495.12"/>
    <n v="3495.13"/>
    <n v="3495.13"/>
    <s v="July 2022"/>
  </r>
  <r>
    <d v="2022-07-19T00:00:00"/>
    <x v="1333"/>
    <n v="47"/>
    <x v="1"/>
    <x v="0"/>
    <x v="3"/>
    <x v="4"/>
    <n v="1650.13"/>
    <x v="1"/>
    <n v="2496.7676064256989"/>
    <n v="1815.14"/>
    <n v="1815.15"/>
    <n v="1815.14"/>
    <s v="July 2022"/>
  </r>
  <r>
    <d v="2022-07-19T00:00:00"/>
    <x v="1334"/>
    <n v="27"/>
    <x v="1"/>
    <x v="0"/>
    <x v="1"/>
    <x v="3"/>
    <n v="799.56"/>
    <x v="1"/>
    <n v="2509.1716796874912"/>
    <n v="879.51"/>
    <n v="879.52"/>
    <n v="879.52"/>
    <s v="July 2022"/>
  </r>
  <r>
    <d v="2022-07-19T00:00:00"/>
    <x v="1335"/>
    <n v="40"/>
    <x v="2"/>
    <x v="5"/>
    <x v="3"/>
    <x v="3"/>
    <n v="3102.58"/>
    <x v="1"/>
    <n v="2496.7676064256989"/>
    <n v="3412.83"/>
    <n v="3412.84"/>
    <n v="3412.84"/>
    <s v="July 2022"/>
  </r>
  <r>
    <d v="2022-07-19T00:00:00"/>
    <x v="1336"/>
    <n v="67"/>
    <x v="2"/>
    <x v="7"/>
    <x v="3"/>
    <x v="4"/>
    <n v="2163.5"/>
    <x v="0"/>
    <n v="2496.7676064256989"/>
    <n v="2379.85"/>
    <n v="2379.85"/>
    <n v="2379.85"/>
    <s v="July 2022"/>
  </r>
  <r>
    <d v="2022-07-19T00:00:00"/>
    <x v="1337"/>
    <n v="46"/>
    <x v="2"/>
    <x v="5"/>
    <x v="3"/>
    <x v="3"/>
    <n v="570.36"/>
    <x v="1"/>
    <n v="2496.7676064256989"/>
    <n v="627.39"/>
    <n v="627.4"/>
    <n v="627.4"/>
    <s v="July 2022"/>
  </r>
  <r>
    <d v="2022-07-19T00:00:00"/>
    <x v="1338"/>
    <n v="22"/>
    <x v="1"/>
    <x v="7"/>
    <x v="1"/>
    <x v="1"/>
    <n v="3049.18"/>
    <x v="1"/>
    <n v="2509.1716796874912"/>
    <n v="3354.09"/>
    <n v="3354.1000000000004"/>
    <n v="3354.1"/>
    <s v="July 2022"/>
  </r>
  <r>
    <d v="2022-07-19T00:00:00"/>
    <x v="1339"/>
    <n v="17"/>
    <x v="1"/>
    <x v="0"/>
    <x v="0"/>
    <x v="1"/>
    <n v="4801.2299999999996"/>
    <x v="1"/>
    <n v="2503.6022787783854"/>
    <n v="5281.35"/>
    <n v="5281.3600000000006"/>
    <n v="5281.35"/>
    <s v="July 2022"/>
  </r>
  <r>
    <d v="2022-07-19T00:00:00"/>
    <x v="1340"/>
    <n v="66"/>
    <x v="0"/>
    <x v="5"/>
    <x v="0"/>
    <x v="0"/>
    <n v="1305.78"/>
    <x v="0"/>
    <n v="2503.6022787783854"/>
    <n v="1436.35"/>
    <n v="1436.36"/>
    <n v="1436.36"/>
    <s v="July 2022"/>
  </r>
  <r>
    <d v="2022-07-20T00:00:00"/>
    <x v="1341"/>
    <n v="75"/>
    <x v="1"/>
    <x v="4"/>
    <x v="3"/>
    <x v="1"/>
    <n v="1399.47"/>
    <x v="0"/>
    <n v="2496.7676064256989"/>
    <n v="1539.41"/>
    <n v="1539.42"/>
    <n v="1539.42"/>
    <s v="July 2022"/>
  </r>
  <r>
    <d v="2022-07-20T00:00:00"/>
    <x v="1342"/>
    <n v="49"/>
    <x v="1"/>
    <x v="2"/>
    <x v="3"/>
    <x v="2"/>
    <n v="1595.7"/>
    <x v="1"/>
    <n v="2496.7676064256989"/>
    <n v="1755.27"/>
    <n v="1755.27"/>
    <n v="1755.27"/>
    <s v="July 2022"/>
  </r>
  <r>
    <d v="2022-07-20T00:00:00"/>
    <x v="1343"/>
    <n v="90"/>
    <x v="1"/>
    <x v="2"/>
    <x v="1"/>
    <x v="0"/>
    <n v="3489.98"/>
    <x v="0"/>
    <n v="2509.1716796874912"/>
    <n v="3838.97"/>
    <n v="3838.98"/>
    <n v="3838.98"/>
    <s v="July 2022"/>
  </r>
  <r>
    <d v="2022-07-20T00:00:00"/>
    <x v="1344"/>
    <n v="73"/>
    <x v="1"/>
    <x v="1"/>
    <x v="3"/>
    <x v="3"/>
    <n v="4220.88"/>
    <x v="0"/>
    <n v="2496.7676064256989"/>
    <n v="4642.96"/>
    <n v="4642.97"/>
    <n v="4642.97"/>
    <s v="July 2022"/>
  </r>
  <r>
    <d v="2022-07-20T00:00:00"/>
    <x v="1345"/>
    <n v="28"/>
    <x v="2"/>
    <x v="6"/>
    <x v="3"/>
    <x v="5"/>
    <n v="4141.2299999999996"/>
    <x v="1"/>
    <n v="2496.7676064256989"/>
    <n v="4555.3500000000004"/>
    <n v="4555.3600000000006"/>
    <n v="4555.3500000000004"/>
    <s v="July 2022"/>
  </r>
  <r>
    <d v="2022-07-20T00:00:00"/>
    <x v="1346"/>
    <n v="18"/>
    <x v="0"/>
    <x v="7"/>
    <x v="3"/>
    <x v="3"/>
    <n v="568.28"/>
    <x v="1"/>
    <n v="2496.7676064256989"/>
    <n v="625.1"/>
    <n v="625.11"/>
    <n v="625.11"/>
    <s v="July 2022"/>
  </r>
  <r>
    <d v="2022-07-21T00:00:00"/>
    <x v="1347"/>
    <n v="82"/>
    <x v="1"/>
    <x v="5"/>
    <x v="2"/>
    <x v="2"/>
    <n v="2462.0700000000002"/>
    <x v="0"/>
    <n v="2440.2966694490838"/>
    <n v="2708.27"/>
    <n v="2708.28"/>
    <n v="2708.28"/>
    <s v="July 2022"/>
  </r>
  <r>
    <d v="2022-07-21T00:00:00"/>
    <x v="1348"/>
    <n v="12"/>
    <x v="1"/>
    <x v="0"/>
    <x v="0"/>
    <x v="2"/>
    <n v="3281.67"/>
    <x v="2"/>
    <n v="2503.6022787783854"/>
    <n v="3609.83"/>
    <n v="3609.84"/>
    <n v="3609.84"/>
    <s v="July 2022"/>
  </r>
  <r>
    <d v="2022-07-21T00:00:00"/>
    <x v="1349"/>
    <n v="98"/>
    <x v="1"/>
    <x v="3"/>
    <x v="0"/>
    <x v="5"/>
    <n v="4433.8900000000003"/>
    <x v="0"/>
    <n v="2503.6022787783854"/>
    <n v="4877.2700000000004"/>
    <n v="4877.2800000000007"/>
    <n v="4877.28"/>
    <s v="July 2022"/>
  </r>
  <r>
    <d v="2022-07-21T00:00:00"/>
    <x v="1350"/>
    <n v="9"/>
    <x v="1"/>
    <x v="7"/>
    <x v="2"/>
    <x v="0"/>
    <n v="2036.59"/>
    <x v="2"/>
    <n v="2440.2966694490838"/>
    <n v="2240.2399999999998"/>
    <n v="2240.25"/>
    <n v="2240.25"/>
    <s v="July 2022"/>
  </r>
  <r>
    <d v="2022-07-22T00:00:00"/>
    <x v="1351"/>
    <n v="7"/>
    <x v="1"/>
    <x v="0"/>
    <x v="2"/>
    <x v="0"/>
    <n v="3936.23"/>
    <x v="2"/>
    <n v="2440.2966694490838"/>
    <n v="4329.8500000000004"/>
    <n v="4329.8600000000006"/>
    <n v="4329.8500000000004"/>
    <s v="July 2022"/>
  </r>
  <r>
    <d v="2022-07-22T00:00:00"/>
    <x v="1352"/>
    <n v="62"/>
    <x v="1"/>
    <x v="7"/>
    <x v="2"/>
    <x v="4"/>
    <n v="3755.5"/>
    <x v="1"/>
    <n v="2440.2966694490838"/>
    <n v="4131.05"/>
    <n v="4131.05"/>
    <n v="4131.05"/>
    <s v="July 2022"/>
  </r>
  <r>
    <d v="2022-07-22T00:00:00"/>
    <x v="1353"/>
    <n v="37"/>
    <x v="0"/>
    <x v="6"/>
    <x v="2"/>
    <x v="4"/>
    <n v="2820.53"/>
    <x v="1"/>
    <n v="2440.2966694490838"/>
    <n v="3102.58"/>
    <n v="3102.59"/>
    <n v="3102.58"/>
    <s v="July 2022"/>
  </r>
  <r>
    <d v="2022-07-22T00:00:00"/>
    <x v="1354"/>
    <n v="85"/>
    <x v="2"/>
    <x v="3"/>
    <x v="1"/>
    <x v="2"/>
    <n v="4379.07"/>
    <x v="0"/>
    <n v="2509.1716796874912"/>
    <n v="4816.97"/>
    <n v="4816.9800000000005"/>
    <n v="4816.9799999999996"/>
    <s v="July 2022"/>
  </r>
  <r>
    <d v="2022-07-22T00:00:00"/>
    <x v="1355"/>
    <n v="5"/>
    <x v="1"/>
    <x v="5"/>
    <x v="2"/>
    <x v="3"/>
    <n v="4070.95"/>
    <x v="2"/>
    <n v="2440.2966694490838"/>
    <n v="4478.04"/>
    <n v="4478.05"/>
    <n v="4478.05"/>
    <s v="July 2022"/>
  </r>
  <r>
    <d v="2022-07-22T00:00:00"/>
    <x v="1356"/>
    <n v="41"/>
    <x v="0"/>
    <x v="3"/>
    <x v="2"/>
    <x v="4"/>
    <n v="2081.0500000000002"/>
    <x v="1"/>
    <n v="2440.2966694490838"/>
    <n v="2289.15"/>
    <n v="2289.1600000000003"/>
    <n v="2289.16"/>
    <s v="July 2022"/>
  </r>
  <r>
    <d v="2022-07-22T00:00:00"/>
    <x v="1357"/>
    <n v="79"/>
    <x v="0"/>
    <x v="2"/>
    <x v="3"/>
    <x v="4"/>
    <n v="4129"/>
    <x v="0"/>
    <n v="2496.7676064256989"/>
    <n v="4541.8999999999996"/>
    <n v="4541.8999999999996"/>
    <n v="4541.8999999999996"/>
    <s v="July 2022"/>
  </r>
  <r>
    <d v="2022-07-22T00:00:00"/>
    <x v="1358"/>
    <n v="47"/>
    <x v="2"/>
    <x v="7"/>
    <x v="2"/>
    <x v="2"/>
    <n v="2270.5500000000002"/>
    <x v="1"/>
    <n v="2440.2966694490838"/>
    <n v="2497.6"/>
    <n v="2497.61"/>
    <n v="2497.61"/>
    <s v="July 2022"/>
  </r>
  <r>
    <d v="2022-07-23T00:00:00"/>
    <x v="1359"/>
    <n v="38"/>
    <x v="2"/>
    <x v="0"/>
    <x v="3"/>
    <x v="4"/>
    <n v="4289.0200000000004"/>
    <x v="1"/>
    <n v="2496.7676064256989"/>
    <n v="4717.92"/>
    <n v="4717.93"/>
    <n v="4717.92"/>
    <s v="July 2022"/>
  </r>
  <r>
    <d v="2022-07-23T00:00:00"/>
    <x v="1360"/>
    <n v="7"/>
    <x v="1"/>
    <x v="1"/>
    <x v="1"/>
    <x v="0"/>
    <n v="4080.74"/>
    <x v="2"/>
    <n v="2509.1716796874912"/>
    <n v="4488.8100000000004"/>
    <n v="4488.8200000000006"/>
    <n v="4488.8100000000004"/>
    <s v="July 2022"/>
  </r>
  <r>
    <d v="2022-07-23T00:00:00"/>
    <x v="1361"/>
    <n v="10"/>
    <x v="1"/>
    <x v="2"/>
    <x v="3"/>
    <x v="2"/>
    <n v="4638.34"/>
    <x v="2"/>
    <n v="2496.7676064256989"/>
    <n v="5102.17"/>
    <n v="5102.18"/>
    <n v="5102.17"/>
    <s v="July 2022"/>
  </r>
  <r>
    <d v="2022-07-23T00:00:00"/>
    <x v="1362"/>
    <n v="95"/>
    <x v="1"/>
    <x v="2"/>
    <x v="2"/>
    <x v="3"/>
    <n v="153.22999999999999"/>
    <x v="0"/>
    <n v="2440.2966694490838"/>
    <n v="168.55"/>
    <n v="168.56"/>
    <n v="168.55"/>
    <s v="July 2022"/>
  </r>
  <r>
    <d v="2022-07-23T00:00:00"/>
    <x v="1363"/>
    <n v="3"/>
    <x v="1"/>
    <x v="7"/>
    <x v="0"/>
    <x v="4"/>
    <n v="826.32"/>
    <x v="2"/>
    <n v="2503.6022787783854"/>
    <n v="908.95"/>
    <n v="908.96"/>
    <n v="908.95"/>
    <s v="July 2022"/>
  </r>
  <r>
    <d v="2022-07-24T00:00:00"/>
    <x v="1364"/>
    <n v="29"/>
    <x v="0"/>
    <x v="6"/>
    <x v="2"/>
    <x v="0"/>
    <n v="2950.36"/>
    <x v="1"/>
    <n v="2440.2966694490838"/>
    <n v="3245.39"/>
    <n v="3245.4"/>
    <n v="3245.4"/>
    <s v="July 2022"/>
  </r>
  <r>
    <d v="2022-07-24T00:00:00"/>
    <x v="1365"/>
    <n v="60"/>
    <x v="2"/>
    <x v="0"/>
    <x v="1"/>
    <x v="0"/>
    <n v="1046.72"/>
    <x v="1"/>
    <n v="2509.1716796874912"/>
    <n v="1151.3900000000001"/>
    <n v="1151.4000000000001"/>
    <n v="1151.3900000000001"/>
    <s v="July 2022"/>
  </r>
  <r>
    <d v="2022-07-24T00:00:00"/>
    <x v="1366"/>
    <n v="4"/>
    <x v="2"/>
    <x v="0"/>
    <x v="3"/>
    <x v="2"/>
    <n v="101.76"/>
    <x v="2"/>
    <n v="2496.7676064256989"/>
    <n v="111.93"/>
    <n v="111.94000000000001"/>
    <n v="111.94"/>
    <s v="July 2022"/>
  </r>
  <r>
    <d v="2022-07-24T00:00:00"/>
    <x v="1367"/>
    <n v="12"/>
    <x v="2"/>
    <x v="7"/>
    <x v="0"/>
    <x v="2"/>
    <n v="1923.84"/>
    <x v="2"/>
    <n v="2503.6022787783854"/>
    <n v="2116.2199999999998"/>
    <n v="2116.23"/>
    <n v="2116.2199999999998"/>
    <s v="July 2022"/>
  </r>
  <r>
    <d v="2022-07-24T00:00:00"/>
    <x v="1368"/>
    <n v="51"/>
    <x v="0"/>
    <x v="0"/>
    <x v="1"/>
    <x v="2"/>
    <n v="74.16"/>
    <x v="1"/>
    <n v="2509.1716796874912"/>
    <n v="81.569999999999993"/>
    <n v="81.58"/>
    <n v="81.58"/>
    <s v="July 2022"/>
  </r>
  <r>
    <d v="2022-07-24T00:00:00"/>
    <x v="1369"/>
    <n v="63"/>
    <x v="2"/>
    <x v="3"/>
    <x v="1"/>
    <x v="2"/>
    <n v="3247.52"/>
    <x v="1"/>
    <n v="2509.1716796874912"/>
    <n v="3572.27"/>
    <n v="3572.28"/>
    <n v="3572.27"/>
    <s v="July 2022"/>
  </r>
  <r>
    <d v="2022-07-25T00:00:00"/>
    <x v="1370"/>
    <n v="25"/>
    <x v="2"/>
    <x v="6"/>
    <x v="3"/>
    <x v="1"/>
    <n v="208.23"/>
    <x v="1"/>
    <n v="2496.7676064256989"/>
    <n v="229.05"/>
    <n v="229.06"/>
    <n v="229.05"/>
    <s v="July 2022"/>
  </r>
  <r>
    <d v="2022-07-25T00:00:00"/>
    <x v="1371"/>
    <n v="90"/>
    <x v="0"/>
    <x v="3"/>
    <x v="2"/>
    <x v="2"/>
    <n v="353.49"/>
    <x v="0"/>
    <n v="2440.2966694490838"/>
    <n v="388.83"/>
    <n v="388.84"/>
    <n v="388.84"/>
    <s v="July 2022"/>
  </r>
  <r>
    <d v="2022-07-25T00:00:00"/>
    <x v="1372"/>
    <n v="49"/>
    <x v="2"/>
    <x v="4"/>
    <x v="3"/>
    <x v="0"/>
    <n v="3047.06"/>
    <x v="1"/>
    <n v="2496.7676064256989"/>
    <n v="3351.76"/>
    <n v="3351.7700000000004"/>
    <n v="3351.77"/>
    <s v="July 2022"/>
  </r>
  <r>
    <d v="2022-07-25T00:00:00"/>
    <x v="1373"/>
    <n v="14"/>
    <x v="1"/>
    <x v="0"/>
    <x v="1"/>
    <x v="3"/>
    <n v="2031.74"/>
    <x v="2"/>
    <n v="2509.1716796874912"/>
    <n v="2234.91"/>
    <n v="2234.92"/>
    <n v="2234.91"/>
    <s v="July 2022"/>
  </r>
  <r>
    <d v="2022-07-25T00:00:00"/>
    <x v="1374"/>
    <n v="16"/>
    <x v="0"/>
    <x v="4"/>
    <x v="0"/>
    <x v="4"/>
    <n v="548.59"/>
    <x v="1"/>
    <n v="2503.6022787783854"/>
    <n v="603.44000000000005"/>
    <n v="603.45000000000005"/>
    <n v="603.45000000000005"/>
    <s v="July 2022"/>
  </r>
  <r>
    <d v="2022-07-25T00:00:00"/>
    <x v="1375"/>
    <n v="92"/>
    <x v="0"/>
    <x v="5"/>
    <x v="2"/>
    <x v="0"/>
    <n v="215.49"/>
    <x v="0"/>
    <n v="2440.2966694490838"/>
    <n v="237.03"/>
    <n v="237.04"/>
    <n v="237.04"/>
    <s v="July 2022"/>
  </r>
  <r>
    <d v="2022-07-25T00:00:00"/>
    <x v="1376"/>
    <n v="34"/>
    <x v="0"/>
    <x v="7"/>
    <x v="3"/>
    <x v="1"/>
    <n v="1255.42"/>
    <x v="1"/>
    <n v="2496.7676064256989"/>
    <n v="1380.96"/>
    <n v="1380.97"/>
    <n v="1380.96"/>
    <s v="July 2022"/>
  </r>
  <r>
    <d v="2022-07-25T00:00:00"/>
    <x v="1377"/>
    <n v="68"/>
    <x v="1"/>
    <x v="7"/>
    <x v="2"/>
    <x v="4"/>
    <n v="159.22999999999999"/>
    <x v="0"/>
    <n v="2440.2966694490838"/>
    <n v="175.15"/>
    <n v="175.16"/>
    <n v="175.15"/>
    <s v="July 2022"/>
  </r>
  <r>
    <d v="2022-07-25T00:00:00"/>
    <x v="1378"/>
    <n v="26"/>
    <x v="1"/>
    <x v="4"/>
    <x v="0"/>
    <x v="2"/>
    <n v="2429.52"/>
    <x v="1"/>
    <n v="2503.6022787783854"/>
    <n v="2672.47"/>
    <n v="2672.48"/>
    <n v="2672.47"/>
    <s v="July 2022"/>
  </r>
  <r>
    <d v="2022-07-26T00:00:00"/>
    <x v="1379"/>
    <n v="99"/>
    <x v="1"/>
    <x v="2"/>
    <x v="2"/>
    <x v="0"/>
    <n v="3817.76"/>
    <x v="0"/>
    <n v="2440.2966694490838"/>
    <n v="4199.53"/>
    <n v="4199.54"/>
    <n v="4199.54"/>
    <s v="July 2022"/>
  </r>
  <r>
    <d v="2022-07-26T00:00:00"/>
    <x v="1380"/>
    <n v="60"/>
    <x v="2"/>
    <x v="5"/>
    <x v="0"/>
    <x v="0"/>
    <n v="2707.15"/>
    <x v="1"/>
    <n v="2503.6022787783854"/>
    <n v="2977.86"/>
    <n v="2977.8700000000003"/>
    <n v="2977.87"/>
    <s v="July 2022"/>
  </r>
  <r>
    <d v="2022-07-26T00:00:00"/>
    <x v="1381"/>
    <n v="90"/>
    <x v="0"/>
    <x v="1"/>
    <x v="2"/>
    <x v="4"/>
    <n v="252.98"/>
    <x v="0"/>
    <n v="2440.2966694490838"/>
    <n v="278.27"/>
    <n v="278.27999999999997"/>
    <n v="278.27999999999997"/>
    <s v="July 2022"/>
  </r>
  <r>
    <d v="2022-07-26T00:00:00"/>
    <x v="1382"/>
    <n v="41"/>
    <x v="0"/>
    <x v="3"/>
    <x v="0"/>
    <x v="0"/>
    <n v="34.880000000000003"/>
    <x v="1"/>
    <n v="2503.6022787783854"/>
    <n v="38.36"/>
    <n v="38.369999999999997"/>
    <n v="38.369999999999997"/>
    <s v="July 2022"/>
  </r>
  <r>
    <d v="2022-07-26T00:00:00"/>
    <x v="1383"/>
    <n v="81"/>
    <x v="2"/>
    <x v="3"/>
    <x v="2"/>
    <x v="1"/>
    <n v="4014.97"/>
    <x v="0"/>
    <n v="2440.2966694490838"/>
    <n v="4416.46"/>
    <n v="4416.47"/>
    <n v="4416.47"/>
    <s v="July 2022"/>
  </r>
  <r>
    <d v="2022-07-27T00:00:00"/>
    <x v="1384"/>
    <n v="32"/>
    <x v="0"/>
    <x v="1"/>
    <x v="3"/>
    <x v="3"/>
    <n v="835.27"/>
    <x v="1"/>
    <n v="2496.7676064256989"/>
    <n v="918.79"/>
    <n v="918.8"/>
    <n v="918.8"/>
    <s v="July 2022"/>
  </r>
  <r>
    <d v="2022-07-27T00:00:00"/>
    <x v="1385"/>
    <n v="79"/>
    <x v="0"/>
    <x v="6"/>
    <x v="3"/>
    <x v="0"/>
    <n v="4705.7299999999996"/>
    <x v="0"/>
    <n v="2496.7676064256989"/>
    <n v="5176.3"/>
    <n v="5176.3100000000004"/>
    <n v="5176.3"/>
    <s v="July 2022"/>
  </r>
  <r>
    <d v="2022-07-27T00:00:00"/>
    <x v="1386"/>
    <n v="54"/>
    <x v="0"/>
    <x v="2"/>
    <x v="1"/>
    <x v="3"/>
    <n v="2424.66"/>
    <x v="1"/>
    <n v="2509.1716796874912"/>
    <n v="2667.12"/>
    <n v="2667.13"/>
    <n v="2667.13"/>
    <s v="July 2022"/>
  </r>
  <r>
    <d v="2022-07-27T00:00:00"/>
    <x v="1387"/>
    <n v="43"/>
    <x v="2"/>
    <x v="7"/>
    <x v="0"/>
    <x v="2"/>
    <n v="2877.52"/>
    <x v="1"/>
    <n v="2503.6022787783854"/>
    <n v="3165.27"/>
    <n v="3165.28"/>
    <n v="3165.27"/>
    <s v="July 2022"/>
  </r>
  <r>
    <d v="2022-07-27T00:00:00"/>
    <x v="1388"/>
    <n v="33"/>
    <x v="2"/>
    <x v="2"/>
    <x v="1"/>
    <x v="1"/>
    <n v="80.98"/>
    <x v="1"/>
    <n v="2509.1716796874912"/>
    <n v="89.07"/>
    <n v="89.08"/>
    <n v="89.08"/>
    <s v="July 2022"/>
  </r>
  <r>
    <d v="2022-07-28T00:00:00"/>
    <x v="1389"/>
    <n v="34"/>
    <x v="0"/>
    <x v="2"/>
    <x v="3"/>
    <x v="1"/>
    <n v="2194.11"/>
    <x v="1"/>
    <n v="2496.7676064256989"/>
    <n v="2413.52"/>
    <n v="2413.5300000000002"/>
    <n v="2413.52"/>
    <s v="July 2022"/>
  </r>
  <r>
    <d v="2022-07-28T00:00:00"/>
    <x v="1390"/>
    <n v="42"/>
    <x v="2"/>
    <x v="0"/>
    <x v="2"/>
    <x v="4"/>
    <n v="2692.66"/>
    <x v="1"/>
    <n v="2440.2966694490838"/>
    <n v="2961.92"/>
    <n v="2961.9300000000003"/>
    <n v="2961.93"/>
    <s v="July 2022"/>
  </r>
  <r>
    <d v="2022-07-28T00:00:00"/>
    <x v="1391"/>
    <n v="2"/>
    <x v="2"/>
    <x v="2"/>
    <x v="0"/>
    <x v="0"/>
    <n v="4804.88"/>
    <x v="2"/>
    <n v="2503.6022787783854"/>
    <n v="5285.36"/>
    <n v="5285.37"/>
    <n v="5285.37"/>
    <s v="July 2022"/>
  </r>
  <r>
    <d v="2022-07-28T00:00:00"/>
    <x v="1392"/>
    <n v="78"/>
    <x v="0"/>
    <x v="7"/>
    <x v="2"/>
    <x v="0"/>
    <n v="536.69000000000005"/>
    <x v="0"/>
    <n v="2440.2966694490838"/>
    <n v="590.35"/>
    <n v="590.36"/>
    <n v="590.36"/>
    <s v="July 2022"/>
  </r>
  <r>
    <d v="2022-07-29T00:00:00"/>
    <x v="1393"/>
    <n v="54"/>
    <x v="2"/>
    <x v="2"/>
    <x v="2"/>
    <x v="1"/>
    <n v="3123.31"/>
    <x v="1"/>
    <n v="2440.2966694490838"/>
    <n v="3435.64"/>
    <n v="3435.65"/>
    <n v="3435.64"/>
    <s v="July 2022"/>
  </r>
  <r>
    <d v="2022-07-29T00:00:00"/>
    <x v="1394"/>
    <n v="50"/>
    <x v="1"/>
    <x v="1"/>
    <x v="0"/>
    <x v="4"/>
    <n v="315.92"/>
    <x v="1"/>
    <n v="2503.6022787783854"/>
    <n v="347.51"/>
    <n v="347.52"/>
    <n v="347.51"/>
    <s v="July 2022"/>
  </r>
  <r>
    <d v="2022-07-29T00:00:00"/>
    <x v="1395"/>
    <n v="54"/>
    <x v="0"/>
    <x v="4"/>
    <x v="1"/>
    <x v="1"/>
    <n v="3465.79"/>
    <x v="1"/>
    <n v="2509.1716796874912"/>
    <n v="3812.36"/>
    <n v="3812.3700000000003"/>
    <n v="3812.37"/>
    <s v="July 2022"/>
  </r>
  <r>
    <d v="2022-07-29T00:00:00"/>
    <x v="1396"/>
    <n v="56"/>
    <x v="1"/>
    <x v="3"/>
    <x v="1"/>
    <x v="0"/>
    <n v="1692.5"/>
    <x v="1"/>
    <n v="2509.1716796874912"/>
    <n v="1861.75"/>
    <n v="1861.75"/>
    <n v="1861.75"/>
    <s v="July 2022"/>
  </r>
  <r>
    <d v="2022-07-29T00:00:00"/>
    <x v="1397"/>
    <n v="23"/>
    <x v="0"/>
    <x v="7"/>
    <x v="2"/>
    <x v="4"/>
    <n v="436.77"/>
    <x v="1"/>
    <n v="2440.2966694490838"/>
    <n v="480.44"/>
    <n v="480.45"/>
    <n v="480.45"/>
    <s v="July 2022"/>
  </r>
  <r>
    <d v="2022-07-30T00:00:00"/>
    <x v="1398"/>
    <n v="56"/>
    <x v="1"/>
    <x v="5"/>
    <x v="2"/>
    <x v="0"/>
    <n v="1407.71"/>
    <x v="1"/>
    <n v="2440.2966694490838"/>
    <n v="1548.48"/>
    <n v="1548.49"/>
    <n v="1548.48"/>
    <s v="July 2022"/>
  </r>
  <r>
    <d v="2022-07-30T00:00:00"/>
    <x v="1399"/>
    <n v="54"/>
    <x v="0"/>
    <x v="3"/>
    <x v="3"/>
    <x v="0"/>
    <n v="4783.5600000000004"/>
    <x v="1"/>
    <n v="2496.7676064256989"/>
    <n v="5261.91"/>
    <n v="5261.92"/>
    <n v="5261.92"/>
    <s v="July 2022"/>
  </r>
  <r>
    <d v="2022-07-30T00:00:00"/>
    <x v="1400"/>
    <n v="70"/>
    <x v="0"/>
    <x v="0"/>
    <x v="1"/>
    <x v="2"/>
    <n v="1072.58"/>
    <x v="0"/>
    <n v="2509.1716796874912"/>
    <n v="1179.83"/>
    <n v="1179.8399999999999"/>
    <n v="1179.8399999999999"/>
    <s v="July 2022"/>
  </r>
  <r>
    <d v="2022-07-30T00:00:00"/>
    <x v="1401"/>
    <n v="15"/>
    <x v="2"/>
    <x v="4"/>
    <x v="1"/>
    <x v="1"/>
    <n v="333.93"/>
    <x v="2"/>
    <n v="2509.1716796874912"/>
    <n v="367.32"/>
    <n v="367.33"/>
    <n v="367.32"/>
    <s v="July 2022"/>
  </r>
  <r>
    <d v="2022-07-30T00:00:00"/>
    <x v="1402"/>
    <n v="39"/>
    <x v="0"/>
    <x v="3"/>
    <x v="0"/>
    <x v="0"/>
    <n v="371.93"/>
    <x v="1"/>
    <n v="2503.6022787783854"/>
    <n v="409.12"/>
    <n v="409.13"/>
    <n v="409.12"/>
    <s v="July 2022"/>
  </r>
  <r>
    <d v="2022-07-30T00:00:00"/>
    <x v="1403"/>
    <n v="82"/>
    <x v="2"/>
    <x v="4"/>
    <x v="1"/>
    <x v="1"/>
    <n v="4064.66"/>
    <x v="0"/>
    <n v="2509.1716796874912"/>
    <n v="4471.12"/>
    <n v="4471.13"/>
    <n v="4471.13"/>
    <s v="July 2022"/>
  </r>
  <r>
    <d v="2022-07-31T00:00:00"/>
    <x v="1404"/>
    <n v="26"/>
    <x v="2"/>
    <x v="1"/>
    <x v="0"/>
    <x v="1"/>
    <n v="2144.42"/>
    <x v="1"/>
    <n v="2503.6022787783854"/>
    <n v="2358.86"/>
    <n v="2358.8700000000003"/>
    <n v="2358.86"/>
    <s v="July 2022"/>
  </r>
  <r>
    <d v="2022-07-31T00:00:00"/>
    <x v="1405"/>
    <n v="96"/>
    <x v="0"/>
    <x v="1"/>
    <x v="2"/>
    <x v="3"/>
    <n v="4657.3500000000004"/>
    <x v="0"/>
    <n v="2440.2966694490838"/>
    <n v="5123.08"/>
    <n v="5123.09"/>
    <n v="5123.09"/>
    <s v="July 2022"/>
  </r>
  <r>
    <d v="2022-07-31T00:00:00"/>
    <x v="1406"/>
    <n v="34"/>
    <x v="0"/>
    <x v="4"/>
    <x v="1"/>
    <x v="1"/>
    <n v="3024.26"/>
    <x v="1"/>
    <n v="2509.1716796874912"/>
    <n v="3326.68"/>
    <n v="3326.69"/>
    <n v="3326.69"/>
    <s v="July 2022"/>
  </r>
  <r>
    <d v="2022-08-01T00:00:00"/>
    <x v="1407"/>
    <n v="80"/>
    <x v="1"/>
    <x v="7"/>
    <x v="1"/>
    <x v="5"/>
    <n v="2996.76"/>
    <x v="0"/>
    <n v="2509.1716796874912"/>
    <n v="3296.43"/>
    <n v="3296.44"/>
    <n v="3296.44"/>
    <s v="August 2022"/>
  </r>
  <r>
    <d v="2022-08-01T00:00:00"/>
    <x v="1408"/>
    <n v="64"/>
    <x v="2"/>
    <x v="7"/>
    <x v="2"/>
    <x v="2"/>
    <n v="1104.54"/>
    <x v="1"/>
    <n v="2440.2966694490838"/>
    <n v="1214.99"/>
    <n v="1215"/>
    <n v="1214.99"/>
    <s v="August 2022"/>
  </r>
  <r>
    <d v="2022-08-01T00:00:00"/>
    <x v="1409"/>
    <n v="58"/>
    <x v="0"/>
    <x v="4"/>
    <x v="0"/>
    <x v="3"/>
    <n v="4328.59"/>
    <x v="1"/>
    <n v="2503.6022787783854"/>
    <n v="4761.4399999999996"/>
    <n v="4761.45"/>
    <n v="4761.45"/>
    <s v="August 2022"/>
  </r>
  <r>
    <d v="2022-08-01T00:00:00"/>
    <x v="1410"/>
    <n v="37"/>
    <x v="2"/>
    <x v="2"/>
    <x v="3"/>
    <x v="3"/>
    <n v="3655.22"/>
    <x v="1"/>
    <n v="2496.7676064256989"/>
    <n v="4020.74"/>
    <n v="4020.75"/>
    <n v="4020.74"/>
    <s v="August 2022"/>
  </r>
  <r>
    <d v="2022-08-01T00:00:00"/>
    <x v="1411"/>
    <n v="17"/>
    <x v="1"/>
    <x v="1"/>
    <x v="2"/>
    <x v="4"/>
    <n v="4499.13"/>
    <x v="1"/>
    <n v="2440.2966694490838"/>
    <n v="4949.04"/>
    <n v="4949.05"/>
    <n v="4949.04"/>
    <s v="August 2022"/>
  </r>
  <r>
    <d v="2022-08-01T00:00:00"/>
    <x v="1412"/>
    <n v="75"/>
    <x v="0"/>
    <x v="0"/>
    <x v="2"/>
    <x v="3"/>
    <n v="4537.12"/>
    <x v="0"/>
    <n v="2440.2966694490838"/>
    <n v="4990.83"/>
    <n v="4990.84"/>
    <n v="4990.83"/>
    <s v="August 2022"/>
  </r>
  <r>
    <d v="2022-08-01T00:00:00"/>
    <x v="1413"/>
    <n v="71"/>
    <x v="2"/>
    <x v="7"/>
    <x v="3"/>
    <x v="2"/>
    <n v="4066.74"/>
    <x v="0"/>
    <n v="2496.7676064256989"/>
    <n v="4473.41"/>
    <n v="4473.42"/>
    <n v="4473.41"/>
    <s v="August 2022"/>
  </r>
  <r>
    <d v="2022-08-01T00:00:00"/>
    <x v="1414"/>
    <n v="72"/>
    <x v="2"/>
    <x v="5"/>
    <x v="2"/>
    <x v="3"/>
    <n v="2011"/>
    <x v="0"/>
    <n v="2440.2966694490838"/>
    <n v="2212.1"/>
    <n v="2212.1"/>
    <n v="2212.1"/>
    <s v="August 2022"/>
  </r>
  <r>
    <d v="2022-08-02T00:00:00"/>
    <x v="1415"/>
    <n v="89"/>
    <x v="0"/>
    <x v="3"/>
    <x v="0"/>
    <x v="1"/>
    <n v="3305.81"/>
    <x v="0"/>
    <n v="2503.6022787783854"/>
    <n v="3636.39"/>
    <n v="3636.4"/>
    <n v="3636.39"/>
    <s v="August 2022"/>
  </r>
  <r>
    <d v="2022-08-02T00:00:00"/>
    <x v="1416"/>
    <n v="22"/>
    <x v="1"/>
    <x v="7"/>
    <x v="1"/>
    <x v="5"/>
    <n v="1896.28"/>
    <x v="1"/>
    <n v="2509.1716796874912"/>
    <n v="2085.9"/>
    <n v="2085.9100000000003"/>
    <n v="2085.91"/>
    <s v="August 2022"/>
  </r>
  <r>
    <d v="2022-08-02T00:00:00"/>
    <x v="1417"/>
    <n v="41"/>
    <x v="2"/>
    <x v="6"/>
    <x v="2"/>
    <x v="3"/>
    <n v="2139.06"/>
    <x v="1"/>
    <n v="2440.2966694490838"/>
    <n v="2352.96"/>
    <n v="2352.9700000000003"/>
    <n v="2352.9699999999998"/>
    <s v="August 2022"/>
  </r>
  <r>
    <d v="2022-08-02T00:00:00"/>
    <x v="1418"/>
    <n v="42"/>
    <x v="1"/>
    <x v="7"/>
    <x v="1"/>
    <x v="1"/>
    <n v="634.27"/>
    <x v="1"/>
    <n v="2509.1716796874912"/>
    <n v="697.69"/>
    <n v="697.7"/>
    <n v="697.7"/>
    <s v="August 2022"/>
  </r>
  <r>
    <d v="2022-08-02T00:00:00"/>
    <x v="1419"/>
    <n v="75"/>
    <x v="2"/>
    <x v="1"/>
    <x v="1"/>
    <x v="3"/>
    <n v="3907.71"/>
    <x v="0"/>
    <n v="2509.1716796874912"/>
    <n v="4298.4799999999996"/>
    <n v="4298.49"/>
    <n v="4298.4799999999996"/>
    <s v="August 2022"/>
  </r>
  <r>
    <d v="2022-08-02T00:00:00"/>
    <x v="1420"/>
    <n v="94"/>
    <x v="0"/>
    <x v="3"/>
    <x v="2"/>
    <x v="4"/>
    <n v="1979.22"/>
    <x v="0"/>
    <n v="2440.2966694490838"/>
    <n v="2177.14"/>
    <n v="2177.15"/>
    <n v="2177.14"/>
    <s v="August 2022"/>
  </r>
  <r>
    <d v="2022-08-03T00:00:00"/>
    <x v="1421"/>
    <n v="25"/>
    <x v="1"/>
    <x v="5"/>
    <x v="2"/>
    <x v="4"/>
    <n v="4529.8999999999996"/>
    <x v="1"/>
    <n v="2440.2966694490838"/>
    <n v="4982.8900000000003"/>
    <n v="4982.8900000000003"/>
    <n v="4982.8900000000003"/>
    <s v="August 2022"/>
  </r>
  <r>
    <d v="2022-08-03T00:00:00"/>
    <x v="1422"/>
    <n v="73"/>
    <x v="2"/>
    <x v="2"/>
    <x v="3"/>
    <x v="3"/>
    <n v="1875.54"/>
    <x v="0"/>
    <n v="2496.7676064256989"/>
    <n v="2063.09"/>
    <n v="2063.1000000000004"/>
    <n v="2063.09"/>
    <s v="August 2022"/>
  </r>
  <r>
    <d v="2022-08-03T00:00:00"/>
    <x v="1423"/>
    <n v="17"/>
    <x v="2"/>
    <x v="4"/>
    <x v="2"/>
    <x v="4"/>
    <n v="241.91"/>
    <x v="1"/>
    <n v="2440.2966694490838"/>
    <n v="266.10000000000002"/>
    <n v="266.11"/>
    <n v="266.10000000000002"/>
    <s v="August 2022"/>
  </r>
  <r>
    <d v="2022-08-03T00:00:00"/>
    <x v="1424"/>
    <n v="72"/>
    <x v="1"/>
    <x v="0"/>
    <x v="0"/>
    <x v="3"/>
    <n v="1090.5999999999999"/>
    <x v="0"/>
    <n v="2503.6022787783854"/>
    <n v="1199.6600000000001"/>
    <n v="1199.6600000000001"/>
    <n v="1199.6600000000001"/>
    <s v="August 2022"/>
  </r>
  <r>
    <d v="2022-08-03T00:00:00"/>
    <x v="1425"/>
    <n v="31"/>
    <x v="1"/>
    <x v="5"/>
    <x v="2"/>
    <x v="2"/>
    <n v="2608.9299999999998"/>
    <x v="1"/>
    <n v="2440.2966694490838"/>
    <n v="2869.82"/>
    <n v="2869.8300000000004"/>
    <n v="2869.82"/>
    <s v="August 2022"/>
  </r>
  <r>
    <d v="2022-08-03T00:00:00"/>
    <x v="1426"/>
    <n v="81"/>
    <x v="0"/>
    <x v="1"/>
    <x v="0"/>
    <x v="1"/>
    <n v="4754.93"/>
    <x v="0"/>
    <n v="2503.6022787783854"/>
    <n v="5230.42"/>
    <n v="5230.43"/>
    <n v="5230.42"/>
    <s v="August 2022"/>
  </r>
  <r>
    <d v="2022-08-03T00:00:00"/>
    <x v="1427"/>
    <n v="38"/>
    <x v="1"/>
    <x v="5"/>
    <x v="2"/>
    <x v="1"/>
    <n v="4974.0600000000004"/>
    <x v="1"/>
    <n v="2440.2966694490838"/>
    <n v="5471.46"/>
    <n v="5471.47"/>
    <n v="5471.47"/>
    <s v="August 2022"/>
  </r>
  <r>
    <d v="2022-08-03T00:00:00"/>
    <x v="1428"/>
    <n v="71"/>
    <x v="1"/>
    <x v="2"/>
    <x v="2"/>
    <x v="1"/>
    <n v="4924.46"/>
    <x v="0"/>
    <n v="2440.2966694490838"/>
    <n v="5416.9"/>
    <n v="5416.91"/>
    <n v="5416.91"/>
    <s v="August 2022"/>
  </r>
  <r>
    <d v="2022-08-03T00:00:00"/>
    <x v="1429"/>
    <n v="12"/>
    <x v="0"/>
    <x v="2"/>
    <x v="1"/>
    <x v="4"/>
    <n v="3486.6"/>
    <x v="2"/>
    <n v="2509.1716796874912"/>
    <n v="3835.26"/>
    <n v="3835.26"/>
    <n v="3835.26"/>
    <s v="August 2022"/>
  </r>
  <r>
    <d v="2022-08-04T00:00:00"/>
    <x v="1430"/>
    <n v="22"/>
    <x v="2"/>
    <x v="2"/>
    <x v="1"/>
    <x v="1"/>
    <n v="3445.89"/>
    <x v="1"/>
    <n v="2509.1716796874912"/>
    <n v="3790.47"/>
    <n v="3790.48"/>
    <n v="3790.48"/>
    <s v="August 2022"/>
  </r>
  <r>
    <d v="2022-08-04T00:00:00"/>
    <x v="1431"/>
    <n v="61"/>
    <x v="1"/>
    <x v="0"/>
    <x v="1"/>
    <x v="4"/>
    <n v="2760.14"/>
    <x v="1"/>
    <n v="2509.1716796874912"/>
    <n v="3036.15"/>
    <n v="3036.1600000000003"/>
    <n v="3036.15"/>
    <s v="August 2022"/>
  </r>
  <r>
    <d v="2022-08-04T00:00:00"/>
    <x v="1432"/>
    <n v="41"/>
    <x v="2"/>
    <x v="7"/>
    <x v="3"/>
    <x v="5"/>
    <n v="4671.12"/>
    <x v="1"/>
    <n v="2496.7676064256989"/>
    <n v="5138.2299999999996"/>
    <n v="5138.24"/>
    <n v="5138.2299999999996"/>
    <s v="August 2022"/>
  </r>
  <r>
    <d v="2022-08-04T00:00:00"/>
    <x v="1433"/>
    <n v="99"/>
    <x v="2"/>
    <x v="2"/>
    <x v="3"/>
    <x v="4"/>
    <n v="2003.77"/>
    <x v="0"/>
    <n v="2496.7676064256989"/>
    <n v="2204.14"/>
    <n v="2204.15"/>
    <n v="2204.15"/>
    <s v="August 2022"/>
  </r>
  <r>
    <d v="2022-08-05T00:00:00"/>
    <x v="1434"/>
    <n v="29"/>
    <x v="1"/>
    <x v="3"/>
    <x v="3"/>
    <x v="2"/>
    <n v="1030.93"/>
    <x v="1"/>
    <n v="2496.7676064256989"/>
    <n v="1134.02"/>
    <n v="1134.03"/>
    <n v="1134.02"/>
    <s v="August 2022"/>
  </r>
  <r>
    <d v="2022-08-05T00:00:00"/>
    <x v="1435"/>
    <n v="23"/>
    <x v="2"/>
    <x v="1"/>
    <x v="2"/>
    <x v="4"/>
    <n v="535.25"/>
    <x v="1"/>
    <n v="2440.2966694490838"/>
    <n v="588.77"/>
    <n v="588.78"/>
    <n v="588.78"/>
    <s v="August 2022"/>
  </r>
  <r>
    <d v="2022-08-05T00:00:00"/>
    <x v="1436"/>
    <n v="67"/>
    <x v="0"/>
    <x v="3"/>
    <x v="1"/>
    <x v="2"/>
    <n v="788.2"/>
    <x v="0"/>
    <n v="2509.1716796874912"/>
    <n v="867.02"/>
    <n v="867.02"/>
    <n v="867.02"/>
    <s v="August 2022"/>
  </r>
  <r>
    <d v="2022-08-05T00:00:00"/>
    <x v="1437"/>
    <n v="91"/>
    <x v="0"/>
    <x v="2"/>
    <x v="1"/>
    <x v="4"/>
    <n v="232.94"/>
    <x v="0"/>
    <n v="2509.1716796874912"/>
    <n v="256.23"/>
    <n v="256.24"/>
    <n v="256.23"/>
    <s v="August 2022"/>
  </r>
  <r>
    <d v="2022-08-05T00:00:00"/>
    <x v="1438"/>
    <n v="77"/>
    <x v="2"/>
    <x v="2"/>
    <x v="0"/>
    <x v="0"/>
    <n v="4898.32"/>
    <x v="0"/>
    <n v="2503.6022787783854"/>
    <n v="5388.15"/>
    <n v="5388.16"/>
    <n v="5388.15"/>
    <s v="August 2022"/>
  </r>
  <r>
    <d v="2022-08-05T00:00:00"/>
    <x v="1439"/>
    <n v="54"/>
    <x v="1"/>
    <x v="2"/>
    <x v="3"/>
    <x v="2"/>
    <n v="4835.3999999999996"/>
    <x v="1"/>
    <n v="2496.7676064256989"/>
    <n v="5318.94"/>
    <n v="5318.94"/>
    <n v="5318.94"/>
    <s v="August 2022"/>
  </r>
  <r>
    <d v="2022-08-05T00:00:00"/>
    <x v="1440"/>
    <n v="44"/>
    <x v="2"/>
    <x v="4"/>
    <x v="1"/>
    <x v="1"/>
    <n v="2333.4"/>
    <x v="1"/>
    <n v="2509.1716796874912"/>
    <n v="2566.7399999999998"/>
    <n v="2566.7399999999998"/>
    <n v="2566.7399999999998"/>
    <s v="August 2022"/>
  </r>
  <r>
    <d v="2022-08-05T00:00:00"/>
    <x v="1441"/>
    <n v="90"/>
    <x v="2"/>
    <x v="5"/>
    <x v="1"/>
    <x v="0"/>
    <n v="1222.8499999999999"/>
    <x v="0"/>
    <n v="2509.1716796874912"/>
    <n v="1345.13"/>
    <n v="1345.14"/>
    <n v="1345.14"/>
    <s v="August 2022"/>
  </r>
  <r>
    <d v="2022-08-05T00:00:00"/>
    <x v="1442"/>
    <n v="39"/>
    <x v="1"/>
    <x v="6"/>
    <x v="2"/>
    <x v="0"/>
    <n v="1868.6"/>
    <x v="1"/>
    <n v="2440.2966694490838"/>
    <n v="2055.46"/>
    <n v="2055.46"/>
    <n v="2055.46"/>
    <s v="August 2022"/>
  </r>
  <r>
    <d v="2022-08-05T00:00:00"/>
    <x v="1443"/>
    <n v="6"/>
    <x v="1"/>
    <x v="1"/>
    <x v="3"/>
    <x v="2"/>
    <n v="4703.3"/>
    <x v="2"/>
    <n v="2496.7676064256989"/>
    <n v="5173.63"/>
    <n v="5173.63"/>
    <n v="5173.63"/>
    <s v="August 2022"/>
  </r>
  <r>
    <d v="2022-08-06T00:00:00"/>
    <x v="1444"/>
    <n v="11"/>
    <x v="1"/>
    <x v="0"/>
    <x v="3"/>
    <x v="3"/>
    <n v="4839.71"/>
    <x v="2"/>
    <n v="2496.7676064256989"/>
    <n v="5323.68"/>
    <n v="5323.6900000000005"/>
    <n v="5323.68"/>
    <s v="August 2022"/>
  </r>
  <r>
    <d v="2022-08-06T00:00:00"/>
    <x v="1445"/>
    <n v="3"/>
    <x v="0"/>
    <x v="0"/>
    <x v="0"/>
    <x v="3"/>
    <n v="114.64"/>
    <x v="2"/>
    <n v="2503.6022787783854"/>
    <n v="126.1"/>
    <n v="126.11"/>
    <n v="126.1"/>
    <s v="August 2022"/>
  </r>
  <r>
    <d v="2022-08-06T00:00:00"/>
    <x v="1446"/>
    <n v="30"/>
    <x v="1"/>
    <x v="4"/>
    <x v="3"/>
    <x v="0"/>
    <n v="1834.07"/>
    <x v="1"/>
    <n v="2496.7676064256989"/>
    <n v="2017.47"/>
    <n v="2017.48"/>
    <n v="2017.48"/>
    <s v="August 2022"/>
  </r>
  <r>
    <d v="2022-08-06T00:00:00"/>
    <x v="1447"/>
    <n v="28"/>
    <x v="0"/>
    <x v="1"/>
    <x v="0"/>
    <x v="5"/>
    <n v="4839.17"/>
    <x v="1"/>
    <n v="2503.6022787783854"/>
    <n v="5323.08"/>
    <n v="5323.09"/>
    <n v="5323.09"/>
    <s v="August 2022"/>
  </r>
  <r>
    <d v="2022-08-06T00:00:00"/>
    <x v="1448"/>
    <n v="28"/>
    <x v="2"/>
    <x v="3"/>
    <x v="0"/>
    <x v="3"/>
    <n v="3016.47"/>
    <x v="1"/>
    <n v="2503.6022787783854"/>
    <n v="3318.11"/>
    <n v="3318.1200000000003"/>
    <n v="3318.12"/>
    <s v="August 2022"/>
  </r>
  <r>
    <d v="2022-08-06T00:00:00"/>
    <x v="1449"/>
    <n v="1"/>
    <x v="1"/>
    <x v="4"/>
    <x v="3"/>
    <x v="3"/>
    <n v="2618.4699999999998"/>
    <x v="2"/>
    <n v="2496.7676064256989"/>
    <n v="2880.31"/>
    <n v="2880.32"/>
    <n v="2880.32"/>
    <s v="August 2022"/>
  </r>
  <r>
    <d v="2022-08-06T00:00:00"/>
    <x v="1450"/>
    <n v="90"/>
    <x v="1"/>
    <x v="2"/>
    <x v="1"/>
    <x v="2"/>
    <n v="4397.2"/>
    <x v="0"/>
    <n v="2509.1716796874912"/>
    <n v="4836.92"/>
    <n v="4836.92"/>
    <n v="4836.92"/>
    <s v="August 2022"/>
  </r>
  <r>
    <d v="2022-08-07T00:00:00"/>
    <x v="1451"/>
    <n v="86"/>
    <x v="1"/>
    <x v="3"/>
    <x v="0"/>
    <x v="1"/>
    <n v="1125.83"/>
    <x v="0"/>
    <n v="2503.6022787783854"/>
    <n v="1238.4100000000001"/>
    <n v="1238.42"/>
    <n v="1238.4100000000001"/>
    <s v="August 2022"/>
  </r>
  <r>
    <d v="2022-08-07T00:00:00"/>
    <x v="1452"/>
    <n v="35"/>
    <x v="2"/>
    <x v="7"/>
    <x v="0"/>
    <x v="4"/>
    <n v="4802.63"/>
    <x v="1"/>
    <n v="2503.6022787783854"/>
    <n v="5282.89"/>
    <n v="5282.9000000000005"/>
    <n v="5282.89"/>
    <s v="August 2022"/>
  </r>
  <r>
    <d v="2022-08-07T00:00:00"/>
    <x v="1453"/>
    <n v="56"/>
    <x v="1"/>
    <x v="2"/>
    <x v="0"/>
    <x v="3"/>
    <n v="1008.69"/>
    <x v="1"/>
    <n v="2503.6022787783854"/>
    <n v="1109.55"/>
    <n v="1109.56"/>
    <n v="1109.56"/>
    <s v="August 2022"/>
  </r>
  <r>
    <d v="2022-08-07T00:00:00"/>
    <x v="1454"/>
    <n v="88"/>
    <x v="2"/>
    <x v="5"/>
    <x v="2"/>
    <x v="2"/>
    <n v="1898.43"/>
    <x v="0"/>
    <n v="2440.2966694490838"/>
    <n v="2088.27"/>
    <n v="2088.2800000000002"/>
    <n v="2088.27"/>
    <s v="August 2022"/>
  </r>
  <r>
    <d v="2022-08-07T00:00:00"/>
    <x v="1455"/>
    <n v="81"/>
    <x v="0"/>
    <x v="3"/>
    <x v="1"/>
    <x v="2"/>
    <n v="3493.89"/>
    <x v="0"/>
    <n v="2509.1716796874912"/>
    <n v="3843.27"/>
    <n v="3843.28"/>
    <n v="3843.28"/>
    <s v="August 2022"/>
  </r>
  <r>
    <d v="2022-08-07T00:00:00"/>
    <x v="1456"/>
    <n v="55"/>
    <x v="1"/>
    <x v="1"/>
    <x v="0"/>
    <x v="1"/>
    <n v="1895.42"/>
    <x v="1"/>
    <n v="2503.6022787783854"/>
    <n v="2084.96"/>
    <n v="2084.9700000000003"/>
    <n v="2084.96"/>
    <s v="August 2022"/>
  </r>
  <r>
    <d v="2022-08-07T00:00:00"/>
    <x v="1457"/>
    <n v="79"/>
    <x v="2"/>
    <x v="3"/>
    <x v="3"/>
    <x v="0"/>
    <n v="261.66000000000003"/>
    <x v="0"/>
    <n v="2496.7676064256989"/>
    <n v="287.82"/>
    <n v="287.83"/>
    <n v="287.83"/>
    <s v="August 2022"/>
  </r>
  <r>
    <d v="2022-08-07T00:00:00"/>
    <x v="1458"/>
    <n v="83"/>
    <x v="2"/>
    <x v="5"/>
    <x v="2"/>
    <x v="2"/>
    <n v="4810.84"/>
    <x v="0"/>
    <n v="2440.2966694490838"/>
    <n v="5291.92"/>
    <n v="5291.93"/>
    <n v="5291.92"/>
    <s v="August 2022"/>
  </r>
  <r>
    <d v="2022-08-07T00:00:00"/>
    <x v="1459"/>
    <n v="25"/>
    <x v="2"/>
    <x v="1"/>
    <x v="0"/>
    <x v="5"/>
    <n v="1777.45"/>
    <x v="1"/>
    <n v="2503.6022787783854"/>
    <n v="1955.19"/>
    <n v="1955.2"/>
    <n v="1955.2"/>
    <s v="August 2022"/>
  </r>
  <r>
    <d v="2022-08-08T00:00:00"/>
    <x v="1460"/>
    <n v="27"/>
    <x v="2"/>
    <x v="4"/>
    <x v="2"/>
    <x v="3"/>
    <n v="2732.12"/>
    <x v="1"/>
    <n v="2440.2966694490838"/>
    <n v="3005.33"/>
    <n v="3005.34"/>
    <n v="3005.33"/>
    <s v="August 2022"/>
  </r>
  <r>
    <d v="2022-08-08T00:00:00"/>
    <x v="1461"/>
    <n v="18"/>
    <x v="2"/>
    <x v="2"/>
    <x v="1"/>
    <x v="2"/>
    <n v="953.42"/>
    <x v="1"/>
    <n v="2509.1716796874912"/>
    <n v="1048.76"/>
    <n v="1048.77"/>
    <n v="1048.76"/>
    <s v="August 2022"/>
  </r>
  <r>
    <d v="2022-08-08T00:00:00"/>
    <x v="1462"/>
    <n v="0"/>
    <x v="2"/>
    <x v="2"/>
    <x v="2"/>
    <x v="0"/>
    <n v="2163.58"/>
    <x v="2"/>
    <n v="2440.2966694490838"/>
    <n v="2379.9299999999998"/>
    <n v="2379.94"/>
    <n v="2379.94"/>
    <s v="August 2022"/>
  </r>
  <r>
    <d v="2022-08-08T00:00:00"/>
    <x v="1463"/>
    <n v="22"/>
    <x v="2"/>
    <x v="2"/>
    <x v="1"/>
    <x v="0"/>
    <n v="1691.49"/>
    <x v="1"/>
    <n v="2509.1716796874912"/>
    <n v="1860.63"/>
    <n v="1860.64"/>
    <n v="1860.64"/>
    <s v="August 2022"/>
  </r>
  <r>
    <d v="2022-08-08T00:00:00"/>
    <x v="1464"/>
    <n v="67"/>
    <x v="1"/>
    <x v="3"/>
    <x v="3"/>
    <x v="5"/>
    <n v="4462.5600000000004"/>
    <x v="0"/>
    <n v="2496.7676064256989"/>
    <n v="4908.8100000000004"/>
    <n v="4908.8200000000006"/>
    <n v="4908.82"/>
    <s v="August 2022"/>
  </r>
  <r>
    <d v="2022-08-08T00:00:00"/>
    <x v="1465"/>
    <n v="84"/>
    <x v="1"/>
    <x v="1"/>
    <x v="0"/>
    <x v="3"/>
    <n v="1266.45"/>
    <x v="0"/>
    <n v="2503.6022787783854"/>
    <n v="1393.09"/>
    <n v="1393.1"/>
    <n v="1393.1"/>
    <s v="August 2022"/>
  </r>
  <r>
    <d v="2022-08-08T00:00:00"/>
    <x v="1466"/>
    <n v="9"/>
    <x v="2"/>
    <x v="0"/>
    <x v="1"/>
    <x v="3"/>
    <n v="3776.48"/>
    <x v="2"/>
    <n v="2509.1716796874912"/>
    <n v="4154.12"/>
    <n v="4154.13"/>
    <n v="4154.13"/>
    <s v="August 2022"/>
  </r>
  <r>
    <d v="2022-08-08T00:00:00"/>
    <x v="1467"/>
    <n v="74"/>
    <x v="1"/>
    <x v="3"/>
    <x v="0"/>
    <x v="2"/>
    <n v="4079.98"/>
    <x v="0"/>
    <n v="2503.6022787783854"/>
    <n v="4487.97"/>
    <n v="4487.9800000000005"/>
    <n v="4487.9799999999996"/>
    <s v="August 2022"/>
  </r>
  <r>
    <d v="2022-08-09T00:00:00"/>
    <x v="1468"/>
    <n v="0"/>
    <x v="0"/>
    <x v="5"/>
    <x v="1"/>
    <x v="4"/>
    <n v="4250.88"/>
    <x v="2"/>
    <n v="2509.1716796874912"/>
    <n v="4675.96"/>
    <n v="4675.97"/>
    <n v="4675.97"/>
    <s v="August 2022"/>
  </r>
  <r>
    <d v="2022-08-09T00:00:00"/>
    <x v="1469"/>
    <n v="12"/>
    <x v="0"/>
    <x v="3"/>
    <x v="1"/>
    <x v="0"/>
    <n v="385.69"/>
    <x v="2"/>
    <n v="2509.1716796874912"/>
    <n v="424.25"/>
    <n v="424.26"/>
    <n v="424.26"/>
    <s v="August 2022"/>
  </r>
  <r>
    <d v="2022-08-09T00:00:00"/>
    <x v="1470"/>
    <n v="49"/>
    <x v="1"/>
    <x v="0"/>
    <x v="1"/>
    <x v="0"/>
    <n v="2652.31"/>
    <x v="1"/>
    <n v="2509.1716796874912"/>
    <n v="2917.54"/>
    <n v="2917.55"/>
    <n v="2917.54"/>
    <s v="August 2022"/>
  </r>
  <r>
    <d v="2022-08-09T00:00:00"/>
    <x v="1471"/>
    <n v="24"/>
    <x v="2"/>
    <x v="2"/>
    <x v="3"/>
    <x v="0"/>
    <n v="4984.55"/>
    <x v="1"/>
    <n v="2496.7676064256989"/>
    <n v="5483"/>
    <n v="5483.01"/>
    <n v="5483.01"/>
    <s v="August 2022"/>
  </r>
  <r>
    <d v="2022-08-09T00:00:00"/>
    <x v="1472"/>
    <n v="53"/>
    <x v="2"/>
    <x v="4"/>
    <x v="3"/>
    <x v="0"/>
    <n v="669.04"/>
    <x v="1"/>
    <n v="2496.7676064256989"/>
    <n v="735.94"/>
    <n v="735.95"/>
    <n v="735.94"/>
    <s v="August 2022"/>
  </r>
  <r>
    <d v="2022-08-09T00:00:00"/>
    <x v="1473"/>
    <n v="50"/>
    <x v="0"/>
    <x v="1"/>
    <x v="2"/>
    <x v="2"/>
    <n v="3300.63"/>
    <x v="1"/>
    <n v="2440.2966694490838"/>
    <n v="3630.69"/>
    <n v="3630.7000000000003"/>
    <n v="3630.69"/>
    <s v="August 2022"/>
  </r>
  <r>
    <d v="2022-08-09T00:00:00"/>
    <x v="1474"/>
    <n v="63"/>
    <x v="2"/>
    <x v="0"/>
    <x v="1"/>
    <x v="1"/>
    <n v="1916.55"/>
    <x v="1"/>
    <n v="2509.1716796874912"/>
    <n v="2108.1999999999998"/>
    <n v="2108.21"/>
    <n v="2108.21"/>
    <s v="August 2022"/>
  </r>
  <r>
    <d v="2022-08-10T00:00:00"/>
    <x v="1475"/>
    <n v="68"/>
    <x v="1"/>
    <x v="2"/>
    <x v="1"/>
    <x v="4"/>
    <n v="3738.75"/>
    <x v="0"/>
    <n v="2509.1716796874912"/>
    <n v="4112.62"/>
    <n v="4112.63"/>
    <n v="4112.63"/>
    <s v="August 2022"/>
  </r>
  <r>
    <d v="2022-08-10T00:00:00"/>
    <x v="1476"/>
    <n v="47"/>
    <x v="0"/>
    <x v="7"/>
    <x v="3"/>
    <x v="1"/>
    <n v="2977.83"/>
    <x v="1"/>
    <n v="2496.7676064256989"/>
    <n v="3275.61"/>
    <n v="3275.6200000000003"/>
    <n v="3275.61"/>
    <s v="August 2022"/>
  </r>
  <r>
    <d v="2022-08-10T00:00:00"/>
    <x v="1477"/>
    <n v="19"/>
    <x v="2"/>
    <x v="0"/>
    <x v="3"/>
    <x v="0"/>
    <n v="3335.17"/>
    <x v="1"/>
    <n v="2496.7676064256989"/>
    <n v="3668.68"/>
    <n v="3668.69"/>
    <n v="3668.69"/>
    <s v="August 2022"/>
  </r>
  <r>
    <d v="2022-08-10T00:00:00"/>
    <x v="1478"/>
    <n v="80"/>
    <x v="2"/>
    <x v="6"/>
    <x v="0"/>
    <x v="4"/>
    <n v="4494.53"/>
    <x v="0"/>
    <n v="2503.6022787783854"/>
    <n v="4943.9799999999996"/>
    <n v="4943.99"/>
    <n v="4943.9799999999996"/>
    <s v="August 2022"/>
  </r>
  <r>
    <d v="2022-08-10T00:00:00"/>
    <x v="1479"/>
    <n v="76"/>
    <x v="1"/>
    <x v="1"/>
    <x v="3"/>
    <x v="0"/>
    <n v="1611.21"/>
    <x v="0"/>
    <n v="2496.7676064256989"/>
    <n v="1772.33"/>
    <n v="1772.34"/>
    <n v="1772.33"/>
    <s v="August 2022"/>
  </r>
  <r>
    <d v="2022-08-11T00:00:00"/>
    <x v="1480"/>
    <n v="78"/>
    <x v="0"/>
    <x v="0"/>
    <x v="1"/>
    <x v="3"/>
    <n v="1207.98"/>
    <x v="0"/>
    <n v="2509.1716796874912"/>
    <n v="1328.77"/>
    <n v="1328.78"/>
    <n v="1328.78"/>
    <s v="August 2022"/>
  </r>
  <r>
    <d v="2022-08-11T00:00:00"/>
    <x v="1481"/>
    <n v="9"/>
    <x v="2"/>
    <x v="7"/>
    <x v="3"/>
    <x v="5"/>
    <n v="223"/>
    <x v="2"/>
    <n v="2496.7676064256989"/>
    <n v="245.3"/>
    <n v="245.3"/>
    <n v="245.3"/>
    <s v="August 2022"/>
  </r>
  <r>
    <d v="2022-08-11T00:00:00"/>
    <x v="1482"/>
    <n v="13"/>
    <x v="0"/>
    <x v="3"/>
    <x v="1"/>
    <x v="1"/>
    <n v="2847.11"/>
    <x v="2"/>
    <n v="2509.1716796874912"/>
    <n v="3131.82"/>
    <n v="3131.8300000000004"/>
    <n v="3131.82"/>
    <s v="August 2022"/>
  </r>
  <r>
    <d v="2022-08-11T00:00:00"/>
    <x v="1483"/>
    <n v="44"/>
    <x v="1"/>
    <x v="5"/>
    <x v="3"/>
    <x v="0"/>
    <n v="563.27"/>
    <x v="1"/>
    <n v="2496.7676064256989"/>
    <n v="619.59"/>
    <n v="619.6"/>
    <n v="619.6"/>
    <s v="August 2022"/>
  </r>
  <r>
    <d v="2022-08-11T00:00:00"/>
    <x v="1484"/>
    <n v="62"/>
    <x v="1"/>
    <x v="6"/>
    <x v="2"/>
    <x v="1"/>
    <n v="1371.06"/>
    <x v="1"/>
    <n v="2440.2966694490838"/>
    <n v="1508.16"/>
    <n v="1508.17"/>
    <n v="1508.17"/>
    <s v="August 2022"/>
  </r>
  <r>
    <d v="2022-08-11T00:00:00"/>
    <x v="1485"/>
    <n v="1"/>
    <x v="1"/>
    <x v="7"/>
    <x v="0"/>
    <x v="2"/>
    <n v="2835.6"/>
    <x v="2"/>
    <n v="2503.6022787783854"/>
    <n v="3119.16"/>
    <n v="3119.16"/>
    <n v="3119.16"/>
    <s v="August 2022"/>
  </r>
  <r>
    <d v="2022-08-12T00:00:00"/>
    <x v="1486"/>
    <n v="15"/>
    <x v="1"/>
    <x v="5"/>
    <x v="0"/>
    <x v="3"/>
    <n v="3728.46"/>
    <x v="2"/>
    <n v="2503.6022787783854"/>
    <n v="4101.3"/>
    <n v="4101.3100000000004"/>
    <n v="4101.3100000000004"/>
    <s v="August 2022"/>
  </r>
  <r>
    <d v="2022-08-12T00:00:00"/>
    <x v="1487"/>
    <n v="10"/>
    <x v="0"/>
    <x v="3"/>
    <x v="2"/>
    <x v="4"/>
    <n v="4371.3900000000003"/>
    <x v="2"/>
    <n v="2440.2966694490838"/>
    <n v="4808.5200000000004"/>
    <n v="4808.5300000000007"/>
    <n v="4808.53"/>
    <s v="August 2022"/>
  </r>
  <r>
    <d v="2022-08-12T00:00:00"/>
    <x v="1488"/>
    <n v="11"/>
    <x v="2"/>
    <x v="5"/>
    <x v="0"/>
    <x v="3"/>
    <n v="4174.22"/>
    <x v="2"/>
    <n v="2503.6022787783854"/>
    <n v="4591.6400000000003"/>
    <n v="4591.6500000000005"/>
    <n v="4591.6400000000003"/>
    <s v="August 2022"/>
  </r>
  <r>
    <d v="2022-08-12T00:00:00"/>
    <x v="1489"/>
    <n v="42"/>
    <x v="0"/>
    <x v="3"/>
    <x v="1"/>
    <x v="2"/>
    <n v="4107.43"/>
    <x v="1"/>
    <n v="2509.1716796874912"/>
    <n v="4518.17"/>
    <n v="4518.18"/>
    <n v="4518.17"/>
    <s v="August 2022"/>
  </r>
  <r>
    <d v="2022-08-12T00:00:00"/>
    <x v="1490"/>
    <n v="90"/>
    <x v="1"/>
    <x v="5"/>
    <x v="2"/>
    <x v="1"/>
    <n v="2487.3000000000002"/>
    <x v="0"/>
    <n v="2440.2966694490838"/>
    <n v="2736.03"/>
    <n v="2736.03"/>
    <n v="2736.03"/>
    <s v="August 2022"/>
  </r>
  <r>
    <d v="2022-08-13T00:00:00"/>
    <x v="1491"/>
    <n v="94"/>
    <x v="0"/>
    <x v="1"/>
    <x v="0"/>
    <x v="2"/>
    <n v="2506.7800000000002"/>
    <x v="0"/>
    <n v="2503.6022787783854"/>
    <n v="2757.45"/>
    <n v="2757.46"/>
    <n v="2757.46"/>
    <s v="August 2022"/>
  </r>
  <r>
    <d v="2022-08-13T00:00:00"/>
    <x v="1492"/>
    <n v="14"/>
    <x v="1"/>
    <x v="7"/>
    <x v="2"/>
    <x v="3"/>
    <n v="2105.21"/>
    <x v="2"/>
    <n v="2440.2966694490838"/>
    <n v="2315.73"/>
    <n v="2315.7400000000002"/>
    <n v="2315.73"/>
    <s v="August 2022"/>
  </r>
  <r>
    <d v="2022-08-13T00:00:00"/>
    <x v="1493"/>
    <n v="63"/>
    <x v="1"/>
    <x v="0"/>
    <x v="0"/>
    <x v="1"/>
    <n v="4471.3900000000003"/>
    <x v="1"/>
    <n v="2503.6022787783854"/>
    <n v="4918.5200000000004"/>
    <n v="4918.5300000000007"/>
    <n v="4918.53"/>
    <s v="August 2022"/>
  </r>
  <r>
    <d v="2022-08-13T00:00:00"/>
    <x v="1494"/>
    <n v="1"/>
    <x v="1"/>
    <x v="7"/>
    <x v="2"/>
    <x v="4"/>
    <n v="689.56"/>
    <x v="2"/>
    <n v="2440.2966694490838"/>
    <n v="758.51"/>
    <n v="758.52"/>
    <n v="758.52"/>
    <s v="August 2022"/>
  </r>
  <r>
    <d v="2022-08-13T00:00:00"/>
    <x v="1495"/>
    <n v="49"/>
    <x v="2"/>
    <x v="4"/>
    <x v="0"/>
    <x v="2"/>
    <n v="1962.3"/>
    <x v="1"/>
    <n v="2503.6022787783854"/>
    <n v="2158.5300000000002"/>
    <n v="2158.5300000000002"/>
    <n v="2158.5300000000002"/>
    <s v="August 2022"/>
  </r>
  <r>
    <d v="2022-08-13T00:00:00"/>
    <x v="1496"/>
    <n v="68"/>
    <x v="2"/>
    <x v="3"/>
    <x v="1"/>
    <x v="3"/>
    <n v="615.32000000000005"/>
    <x v="0"/>
    <n v="2509.1716796874912"/>
    <n v="676.85"/>
    <n v="676.86"/>
    <n v="676.85"/>
    <s v="August 2022"/>
  </r>
  <r>
    <d v="2022-08-13T00:00:00"/>
    <x v="1497"/>
    <n v="84"/>
    <x v="2"/>
    <x v="5"/>
    <x v="2"/>
    <x v="0"/>
    <n v="340.76"/>
    <x v="0"/>
    <n v="2440.2966694490838"/>
    <n v="374.83"/>
    <n v="374.84"/>
    <n v="374.84"/>
    <s v="August 2022"/>
  </r>
  <r>
    <d v="2022-08-14T00:00:00"/>
    <x v="1498"/>
    <n v="97"/>
    <x v="2"/>
    <x v="7"/>
    <x v="0"/>
    <x v="1"/>
    <n v="952.52"/>
    <x v="0"/>
    <n v="2503.6022787783854"/>
    <n v="1047.77"/>
    <n v="1047.78"/>
    <n v="1047.77"/>
    <s v="August 2022"/>
  </r>
  <r>
    <d v="2022-08-14T00:00:00"/>
    <x v="1499"/>
    <n v="35"/>
    <x v="0"/>
    <x v="3"/>
    <x v="3"/>
    <x v="3"/>
    <n v="4639.3500000000004"/>
    <x v="1"/>
    <n v="2496.7676064256989"/>
    <n v="5103.28"/>
    <n v="5103.29"/>
    <n v="5103.29"/>
    <s v="August 2022"/>
  </r>
  <r>
    <d v="2022-08-14T00:00:00"/>
    <x v="1500"/>
    <n v="84"/>
    <x v="1"/>
    <x v="3"/>
    <x v="3"/>
    <x v="1"/>
    <n v="1937.43"/>
    <x v="0"/>
    <n v="2496.7676064256989"/>
    <n v="2131.17"/>
    <n v="2131.1800000000003"/>
    <n v="2131.17"/>
    <s v="August 2022"/>
  </r>
  <r>
    <d v="2022-08-14T00:00:00"/>
    <x v="1501"/>
    <n v="61"/>
    <x v="0"/>
    <x v="1"/>
    <x v="3"/>
    <x v="3"/>
    <n v="253.9"/>
    <x v="1"/>
    <n v="2496.7676064256989"/>
    <n v="279.29000000000002"/>
    <n v="279.29000000000002"/>
    <n v="279.29000000000002"/>
    <s v="August 2022"/>
  </r>
  <r>
    <d v="2022-08-14T00:00:00"/>
    <x v="1502"/>
    <n v="47"/>
    <x v="2"/>
    <x v="1"/>
    <x v="0"/>
    <x v="0"/>
    <n v="473.63"/>
    <x v="1"/>
    <n v="2503.6022787783854"/>
    <n v="520.99"/>
    <n v="521"/>
    <n v="520.99"/>
    <s v="August 2022"/>
  </r>
  <r>
    <d v="2022-08-14T00:00:00"/>
    <x v="1503"/>
    <n v="60"/>
    <x v="0"/>
    <x v="4"/>
    <x v="1"/>
    <x v="1"/>
    <n v="1318.12"/>
    <x v="1"/>
    <n v="2509.1716796874912"/>
    <n v="1449.93"/>
    <n v="1449.94"/>
    <n v="1449.93"/>
    <s v="August 2022"/>
  </r>
  <r>
    <d v="2022-08-15T00:00:00"/>
    <x v="1504"/>
    <n v="62"/>
    <x v="1"/>
    <x v="1"/>
    <x v="2"/>
    <x v="4"/>
    <n v="2717.23"/>
    <x v="1"/>
    <n v="2440.2966694490838"/>
    <n v="2988.95"/>
    <n v="2988.96"/>
    <n v="2988.95"/>
    <s v="August 2022"/>
  </r>
  <r>
    <d v="2022-08-15T00:00:00"/>
    <x v="1505"/>
    <n v="70"/>
    <x v="0"/>
    <x v="3"/>
    <x v="3"/>
    <x v="4"/>
    <n v="973.27"/>
    <x v="0"/>
    <n v="2496.7676064256989"/>
    <n v="1070.5899999999999"/>
    <n v="1070.5999999999999"/>
    <n v="1070.5999999999999"/>
    <s v="August 2022"/>
  </r>
  <r>
    <d v="2022-08-15T00:00:00"/>
    <x v="1506"/>
    <n v="18"/>
    <x v="1"/>
    <x v="2"/>
    <x v="1"/>
    <x v="1"/>
    <n v="1840.38"/>
    <x v="1"/>
    <n v="2509.1716796874912"/>
    <n v="2024.41"/>
    <n v="2024.42"/>
    <n v="2024.42"/>
    <s v="August 2022"/>
  </r>
  <r>
    <d v="2022-08-15T00:00:00"/>
    <x v="1507"/>
    <n v="44"/>
    <x v="0"/>
    <x v="3"/>
    <x v="0"/>
    <x v="0"/>
    <n v="639.41999999999996"/>
    <x v="1"/>
    <n v="2503.6022787783854"/>
    <n v="703.36"/>
    <n v="703.37"/>
    <n v="703.36"/>
    <s v="August 2022"/>
  </r>
  <r>
    <d v="2022-08-15T00:00:00"/>
    <x v="1508"/>
    <n v="41"/>
    <x v="2"/>
    <x v="1"/>
    <x v="0"/>
    <x v="3"/>
    <n v="2878.32"/>
    <x v="1"/>
    <n v="2503.6022787783854"/>
    <n v="3166.15"/>
    <n v="3166.1600000000003"/>
    <n v="3166.15"/>
    <s v="August 2022"/>
  </r>
  <r>
    <d v="2022-08-15T00:00:00"/>
    <x v="1509"/>
    <n v="86"/>
    <x v="2"/>
    <x v="1"/>
    <x v="1"/>
    <x v="2"/>
    <n v="608.28"/>
    <x v="0"/>
    <n v="2509.1716796874912"/>
    <n v="669.1"/>
    <n v="669.11"/>
    <n v="669.11"/>
    <s v="August 2022"/>
  </r>
  <r>
    <d v="2022-08-15T00:00:00"/>
    <x v="1510"/>
    <n v="55"/>
    <x v="2"/>
    <x v="0"/>
    <x v="1"/>
    <x v="0"/>
    <n v="1456.41"/>
    <x v="1"/>
    <n v="2509.1716796874912"/>
    <n v="1602.05"/>
    <n v="1602.06"/>
    <n v="1602.05"/>
    <s v="August 2022"/>
  </r>
  <r>
    <d v="2022-08-16T00:00:00"/>
    <x v="1511"/>
    <n v="55"/>
    <x v="0"/>
    <x v="0"/>
    <x v="1"/>
    <x v="4"/>
    <n v="3850.69"/>
    <x v="1"/>
    <n v="2509.1716796874912"/>
    <n v="4235.75"/>
    <n v="4235.76"/>
    <n v="4235.76"/>
    <s v="August 2022"/>
  </r>
  <r>
    <d v="2022-08-16T00:00:00"/>
    <x v="1512"/>
    <n v="74"/>
    <x v="1"/>
    <x v="5"/>
    <x v="1"/>
    <x v="3"/>
    <n v="4499.3900000000003"/>
    <x v="0"/>
    <n v="2509.1716796874912"/>
    <n v="4949.32"/>
    <n v="4949.33"/>
    <n v="4949.33"/>
    <s v="August 2022"/>
  </r>
  <r>
    <d v="2022-08-16T00:00:00"/>
    <x v="1513"/>
    <n v="36"/>
    <x v="1"/>
    <x v="5"/>
    <x v="1"/>
    <x v="2"/>
    <n v="3830.65"/>
    <x v="1"/>
    <n v="2509.1716796874912"/>
    <n v="4213.71"/>
    <n v="4213.72"/>
    <n v="4213.72"/>
    <s v="August 2022"/>
  </r>
  <r>
    <d v="2022-08-16T00:00:00"/>
    <x v="1514"/>
    <n v="50"/>
    <x v="2"/>
    <x v="5"/>
    <x v="3"/>
    <x v="4"/>
    <n v="875.91"/>
    <x v="1"/>
    <n v="2496.7676064256989"/>
    <n v="963.5"/>
    <n v="963.51"/>
    <n v="963.5"/>
    <s v="August 2022"/>
  </r>
  <r>
    <d v="2022-08-16T00:00:00"/>
    <x v="1515"/>
    <n v="69"/>
    <x v="1"/>
    <x v="1"/>
    <x v="2"/>
    <x v="1"/>
    <n v="4777.99"/>
    <x v="0"/>
    <n v="2440.2966694490838"/>
    <n v="5255.78"/>
    <n v="5255.79"/>
    <n v="5255.79"/>
    <s v="August 2022"/>
  </r>
  <r>
    <d v="2022-08-16T00:00:00"/>
    <x v="1516"/>
    <n v="17"/>
    <x v="1"/>
    <x v="5"/>
    <x v="1"/>
    <x v="4"/>
    <n v="4092.79"/>
    <x v="1"/>
    <n v="2509.1716796874912"/>
    <n v="4502.0600000000004"/>
    <n v="4502.0700000000006"/>
    <n v="4502.07"/>
    <s v="August 2022"/>
  </r>
  <r>
    <d v="2022-08-16T00:00:00"/>
    <x v="1517"/>
    <n v="16"/>
    <x v="1"/>
    <x v="3"/>
    <x v="2"/>
    <x v="2"/>
    <n v="71.040000000000006"/>
    <x v="1"/>
    <n v="2440.2966694490838"/>
    <n v="78.14"/>
    <n v="78.150000000000006"/>
    <n v="78.14"/>
    <s v="August 2022"/>
  </r>
  <r>
    <d v="2022-08-16T00:00:00"/>
    <x v="1518"/>
    <n v="74"/>
    <x v="1"/>
    <x v="2"/>
    <x v="0"/>
    <x v="3"/>
    <n v="2832.25"/>
    <x v="0"/>
    <n v="2503.6022787783854"/>
    <n v="3115.47"/>
    <n v="3115.48"/>
    <n v="3115.48"/>
    <s v="August 2022"/>
  </r>
  <r>
    <d v="2022-08-16T00:00:00"/>
    <x v="1519"/>
    <n v="79"/>
    <x v="2"/>
    <x v="1"/>
    <x v="3"/>
    <x v="4"/>
    <n v="4771.09"/>
    <x v="0"/>
    <n v="2496.7676064256989"/>
    <n v="5248.19"/>
    <n v="5248.2"/>
    <n v="5248.2"/>
    <s v="August 2022"/>
  </r>
  <r>
    <d v="2022-08-16T00:00:00"/>
    <x v="1520"/>
    <n v="30"/>
    <x v="2"/>
    <x v="2"/>
    <x v="0"/>
    <x v="5"/>
    <n v="4462.37"/>
    <x v="1"/>
    <n v="2503.6022787783854"/>
    <n v="4908.6000000000004"/>
    <n v="4908.6100000000006"/>
    <n v="4908.6099999999997"/>
    <s v="August 2022"/>
  </r>
  <r>
    <d v="2022-08-17T00:00:00"/>
    <x v="1521"/>
    <n v="77"/>
    <x v="2"/>
    <x v="7"/>
    <x v="3"/>
    <x v="4"/>
    <n v="1262.42"/>
    <x v="0"/>
    <n v="2496.7676064256989"/>
    <n v="1388.66"/>
    <n v="1388.67"/>
    <n v="1388.66"/>
    <s v="August 2022"/>
  </r>
  <r>
    <d v="2022-08-17T00:00:00"/>
    <x v="1522"/>
    <n v="58"/>
    <x v="2"/>
    <x v="1"/>
    <x v="1"/>
    <x v="2"/>
    <n v="2463.5100000000002"/>
    <x v="1"/>
    <n v="2509.1716796874912"/>
    <n v="2709.86"/>
    <n v="2709.8700000000003"/>
    <n v="2709.86"/>
    <s v="August 2022"/>
  </r>
  <r>
    <d v="2022-08-17T00:00:00"/>
    <x v="1523"/>
    <n v="34"/>
    <x v="2"/>
    <x v="6"/>
    <x v="1"/>
    <x v="1"/>
    <n v="2252.37"/>
    <x v="1"/>
    <n v="2509.1716796874912"/>
    <n v="2477.6"/>
    <n v="2477.61"/>
    <n v="2477.61"/>
    <s v="August 2022"/>
  </r>
  <r>
    <d v="2022-08-17T00:00:00"/>
    <x v="1524"/>
    <n v="61"/>
    <x v="1"/>
    <x v="0"/>
    <x v="0"/>
    <x v="4"/>
    <n v="4968.22"/>
    <x v="1"/>
    <n v="2503.6022787783854"/>
    <n v="5465.04"/>
    <n v="5465.05"/>
    <n v="5465.04"/>
    <s v="August 2022"/>
  </r>
  <r>
    <d v="2022-08-17T00:00:00"/>
    <x v="1525"/>
    <n v="98"/>
    <x v="0"/>
    <x v="5"/>
    <x v="0"/>
    <x v="0"/>
    <n v="4829.5200000000004"/>
    <x v="0"/>
    <n v="2503.6022787783854"/>
    <n v="5312.47"/>
    <n v="5312.4800000000005"/>
    <n v="5312.47"/>
    <s v="August 2022"/>
  </r>
  <r>
    <d v="2022-08-17T00:00:00"/>
    <x v="1526"/>
    <n v="89"/>
    <x v="2"/>
    <x v="0"/>
    <x v="0"/>
    <x v="3"/>
    <n v="4275.93"/>
    <x v="0"/>
    <n v="2503.6022787783854"/>
    <n v="4703.5200000000004"/>
    <n v="4703.5300000000007"/>
    <n v="4703.5200000000004"/>
    <s v="August 2022"/>
  </r>
  <r>
    <d v="2022-08-17T00:00:00"/>
    <x v="1527"/>
    <n v="80"/>
    <x v="1"/>
    <x v="7"/>
    <x v="2"/>
    <x v="2"/>
    <n v="3695.54"/>
    <x v="0"/>
    <n v="2440.2966694490838"/>
    <n v="4065.09"/>
    <n v="4065.1000000000004"/>
    <n v="4065.09"/>
    <s v="August 2022"/>
  </r>
  <r>
    <d v="2022-08-18T00:00:00"/>
    <x v="1528"/>
    <n v="57"/>
    <x v="1"/>
    <x v="7"/>
    <x v="3"/>
    <x v="4"/>
    <n v="1157.71"/>
    <x v="1"/>
    <n v="2496.7676064256989"/>
    <n v="1273.48"/>
    <n v="1273.49"/>
    <n v="1273.48"/>
    <s v="August 2022"/>
  </r>
  <r>
    <d v="2022-08-18T00:00:00"/>
    <x v="1529"/>
    <n v="25"/>
    <x v="2"/>
    <x v="1"/>
    <x v="2"/>
    <x v="0"/>
    <n v="4779.8"/>
    <x v="1"/>
    <n v="2440.2966694490838"/>
    <n v="5257.78"/>
    <n v="5257.78"/>
    <n v="5257.78"/>
    <s v="August 2022"/>
  </r>
  <r>
    <d v="2022-08-18T00:00:00"/>
    <x v="1530"/>
    <n v="27"/>
    <x v="0"/>
    <x v="4"/>
    <x v="0"/>
    <x v="3"/>
    <n v="2928.21"/>
    <x v="1"/>
    <n v="2503.6022787783854"/>
    <n v="3221.03"/>
    <n v="3221.0400000000004"/>
    <n v="3221.03"/>
    <s v="August 2022"/>
  </r>
  <r>
    <d v="2022-08-18T00:00:00"/>
    <x v="1531"/>
    <n v="20"/>
    <x v="0"/>
    <x v="0"/>
    <x v="2"/>
    <x v="3"/>
    <n v="4736.42"/>
    <x v="1"/>
    <n v="2440.2966694490838"/>
    <n v="5210.0600000000004"/>
    <n v="5210.0700000000006"/>
    <n v="5210.0600000000004"/>
    <s v="August 2022"/>
  </r>
  <r>
    <d v="2022-08-18T00:00:00"/>
    <x v="1532"/>
    <n v="18"/>
    <x v="0"/>
    <x v="7"/>
    <x v="1"/>
    <x v="1"/>
    <n v="3171.26"/>
    <x v="1"/>
    <n v="2509.1716796874912"/>
    <n v="3488.38"/>
    <n v="3488.3900000000003"/>
    <n v="3488.39"/>
    <s v="August 2022"/>
  </r>
  <r>
    <d v="2022-08-18T00:00:00"/>
    <x v="1533"/>
    <n v="49"/>
    <x v="2"/>
    <x v="0"/>
    <x v="3"/>
    <x v="1"/>
    <n v="3186.11"/>
    <x v="1"/>
    <n v="2496.7676064256989"/>
    <n v="3504.72"/>
    <n v="3504.73"/>
    <n v="3504.72"/>
    <s v="August 2022"/>
  </r>
  <r>
    <d v="2022-08-18T00:00:00"/>
    <x v="1534"/>
    <n v="10"/>
    <x v="0"/>
    <x v="0"/>
    <x v="1"/>
    <x v="3"/>
    <n v="4531.1899999999996"/>
    <x v="2"/>
    <n v="2509.1716796874912"/>
    <n v="4984.3"/>
    <n v="4984.3100000000004"/>
    <n v="4984.3100000000004"/>
    <s v="August 2022"/>
  </r>
  <r>
    <d v="2022-08-19T00:00:00"/>
    <x v="1535"/>
    <n v="24"/>
    <x v="1"/>
    <x v="0"/>
    <x v="2"/>
    <x v="4"/>
    <n v="186.97"/>
    <x v="1"/>
    <n v="2440.2966694490838"/>
    <n v="205.66"/>
    <n v="205.67"/>
    <n v="205.67"/>
    <s v="August 2022"/>
  </r>
  <r>
    <d v="2022-08-19T00:00:00"/>
    <x v="1536"/>
    <n v="12"/>
    <x v="1"/>
    <x v="2"/>
    <x v="1"/>
    <x v="2"/>
    <n v="928"/>
    <x v="2"/>
    <n v="2509.1716796874912"/>
    <n v="1020.8"/>
    <n v="1020.8"/>
    <n v="1020.8"/>
    <s v="August 2022"/>
  </r>
  <r>
    <d v="2022-08-19T00:00:00"/>
    <x v="1537"/>
    <n v="93"/>
    <x v="2"/>
    <x v="2"/>
    <x v="0"/>
    <x v="0"/>
    <n v="4178.67"/>
    <x v="0"/>
    <n v="2503.6022787783854"/>
    <n v="4596.53"/>
    <n v="4596.54"/>
    <n v="4596.54"/>
    <s v="August 2022"/>
  </r>
  <r>
    <d v="2022-08-19T00:00:00"/>
    <x v="1538"/>
    <n v="43"/>
    <x v="2"/>
    <x v="6"/>
    <x v="3"/>
    <x v="0"/>
    <n v="4168.9799999999996"/>
    <x v="1"/>
    <n v="2496.7676064256989"/>
    <n v="4585.87"/>
    <n v="4585.88"/>
    <n v="4585.88"/>
    <s v="August 2022"/>
  </r>
  <r>
    <d v="2022-08-19T00:00:00"/>
    <x v="1539"/>
    <n v="19"/>
    <x v="1"/>
    <x v="0"/>
    <x v="3"/>
    <x v="1"/>
    <n v="4482.5"/>
    <x v="1"/>
    <n v="2496.7676064256989"/>
    <n v="4930.75"/>
    <n v="4930.75"/>
    <n v="4930.75"/>
    <s v="August 2022"/>
  </r>
  <r>
    <d v="2022-08-19T00:00:00"/>
    <x v="1540"/>
    <n v="48"/>
    <x v="0"/>
    <x v="3"/>
    <x v="0"/>
    <x v="3"/>
    <n v="3157.75"/>
    <x v="1"/>
    <n v="2503.6022787783854"/>
    <n v="3473.52"/>
    <n v="3473.53"/>
    <n v="3473.53"/>
    <s v="August 2022"/>
  </r>
  <r>
    <d v="2022-08-20T00:00:00"/>
    <x v="1541"/>
    <n v="81"/>
    <x v="0"/>
    <x v="0"/>
    <x v="1"/>
    <x v="3"/>
    <n v="4990.2299999999996"/>
    <x v="0"/>
    <n v="2509.1716796874912"/>
    <n v="5489.25"/>
    <n v="5489.26"/>
    <n v="5489.25"/>
    <s v="August 2022"/>
  </r>
  <r>
    <d v="2022-08-20T00:00:00"/>
    <x v="1542"/>
    <n v="5"/>
    <x v="0"/>
    <x v="0"/>
    <x v="1"/>
    <x v="0"/>
    <n v="3875"/>
    <x v="2"/>
    <n v="2509.1716796874912"/>
    <n v="4262.5"/>
    <n v="4262.5"/>
    <n v="4262.5"/>
    <s v="August 2022"/>
  </r>
  <r>
    <d v="2022-08-20T00:00:00"/>
    <x v="1543"/>
    <n v="18"/>
    <x v="2"/>
    <x v="5"/>
    <x v="1"/>
    <x v="3"/>
    <n v="280.08999999999997"/>
    <x v="1"/>
    <n v="2509.1716796874912"/>
    <n v="308.08999999999997"/>
    <n v="308.09999999999997"/>
    <n v="308.10000000000002"/>
    <s v="August 2022"/>
  </r>
  <r>
    <d v="2022-08-20T00:00:00"/>
    <x v="1544"/>
    <n v="87"/>
    <x v="2"/>
    <x v="2"/>
    <x v="1"/>
    <x v="1"/>
    <n v="190.54"/>
    <x v="0"/>
    <n v="2509.1716796874912"/>
    <n v="209.59"/>
    <n v="209.6"/>
    <n v="209.59"/>
    <s v="August 2022"/>
  </r>
  <r>
    <d v="2022-08-20T00:00:00"/>
    <x v="1545"/>
    <n v="10"/>
    <x v="2"/>
    <x v="4"/>
    <x v="3"/>
    <x v="3"/>
    <n v="88.93"/>
    <x v="2"/>
    <n v="2496.7676064256989"/>
    <n v="97.82"/>
    <n v="97.83"/>
    <n v="97.82"/>
    <s v="August 2022"/>
  </r>
  <r>
    <d v="2022-08-20T00:00:00"/>
    <x v="1546"/>
    <n v="88"/>
    <x v="2"/>
    <x v="1"/>
    <x v="1"/>
    <x v="1"/>
    <n v="884.12"/>
    <x v="0"/>
    <n v="2509.1716796874912"/>
    <n v="972.53"/>
    <n v="972.54"/>
    <n v="972.53"/>
    <s v="August 2022"/>
  </r>
  <r>
    <d v="2022-08-20T00:00:00"/>
    <x v="1547"/>
    <n v="34"/>
    <x v="1"/>
    <x v="3"/>
    <x v="3"/>
    <x v="4"/>
    <n v="602.4"/>
    <x v="1"/>
    <n v="2496.7676064256989"/>
    <n v="662.64"/>
    <n v="662.64"/>
    <n v="662.64"/>
    <s v="August 2022"/>
  </r>
  <r>
    <d v="2022-08-21T00:00:00"/>
    <x v="1548"/>
    <n v="34"/>
    <x v="2"/>
    <x v="3"/>
    <x v="1"/>
    <x v="1"/>
    <n v="4425.46"/>
    <x v="1"/>
    <n v="2509.1716796874912"/>
    <n v="4868"/>
    <n v="4868.01"/>
    <n v="4868.01"/>
    <s v="August 2022"/>
  </r>
  <r>
    <d v="2022-08-21T00:00:00"/>
    <x v="1549"/>
    <n v="87"/>
    <x v="0"/>
    <x v="2"/>
    <x v="0"/>
    <x v="0"/>
    <n v="2653.47"/>
    <x v="0"/>
    <n v="2503.6022787783854"/>
    <n v="2918.81"/>
    <n v="2918.82"/>
    <n v="2918.82"/>
    <s v="August 2022"/>
  </r>
  <r>
    <d v="2022-08-21T00:00:00"/>
    <x v="1550"/>
    <n v="0"/>
    <x v="1"/>
    <x v="1"/>
    <x v="0"/>
    <x v="4"/>
    <n v="3722.16"/>
    <x v="2"/>
    <n v="2503.6022787783854"/>
    <n v="4094.37"/>
    <n v="4094.38"/>
    <n v="4094.38"/>
    <s v="August 2022"/>
  </r>
  <r>
    <d v="2022-08-21T00:00:00"/>
    <x v="1551"/>
    <n v="63"/>
    <x v="0"/>
    <x v="4"/>
    <x v="0"/>
    <x v="1"/>
    <n v="3198.58"/>
    <x v="1"/>
    <n v="2503.6022787783854"/>
    <n v="3518.43"/>
    <n v="3518.44"/>
    <n v="3518.44"/>
    <s v="August 2022"/>
  </r>
  <r>
    <d v="2022-08-21T00:00:00"/>
    <x v="1552"/>
    <n v="53"/>
    <x v="2"/>
    <x v="2"/>
    <x v="0"/>
    <x v="3"/>
    <n v="3870.24"/>
    <x v="1"/>
    <n v="2503.6022787783854"/>
    <n v="4257.26"/>
    <n v="4257.2700000000004"/>
    <n v="4257.26"/>
    <s v="August 2022"/>
  </r>
  <r>
    <d v="2022-08-21T00:00:00"/>
    <x v="1553"/>
    <n v="48"/>
    <x v="0"/>
    <x v="1"/>
    <x v="1"/>
    <x v="1"/>
    <n v="840.43"/>
    <x v="1"/>
    <n v="2509.1716796874912"/>
    <n v="924.47"/>
    <n v="924.48"/>
    <n v="924.47"/>
    <s v="August 2022"/>
  </r>
  <r>
    <d v="2022-08-21T00:00:00"/>
    <x v="1554"/>
    <n v="52"/>
    <x v="0"/>
    <x v="2"/>
    <x v="0"/>
    <x v="4"/>
    <n v="550.22"/>
    <x v="1"/>
    <n v="2503.6022787783854"/>
    <n v="605.24"/>
    <n v="605.25"/>
    <n v="605.24"/>
    <s v="August 2022"/>
  </r>
  <r>
    <d v="2022-08-22T00:00:00"/>
    <x v="1555"/>
    <n v="9"/>
    <x v="1"/>
    <x v="2"/>
    <x v="0"/>
    <x v="5"/>
    <n v="1308.73"/>
    <x v="2"/>
    <n v="2503.6022787783854"/>
    <n v="1439.6"/>
    <n v="1439.61"/>
    <n v="1439.6"/>
    <s v="August 2022"/>
  </r>
  <r>
    <d v="2022-08-22T00:00:00"/>
    <x v="1556"/>
    <n v="83"/>
    <x v="1"/>
    <x v="6"/>
    <x v="3"/>
    <x v="0"/>
    <n v="914.48"/>
    <x v="0"/>
    <n v="2496.7676064256989"/>
    <n v="1005.92"/>
    <n v="1005.93"/>
    <n v="1005.93"/>
    <s v="August 2022"/>
  </r>
  <r>
    <d v="2022-08-22T00:00:00"/>
    <x v="1557"/>
    <n v="25"/>
    <x v="0"/>
    <x v="3"/>
    <x v="1"/>
    <x v="0"/>
    <n v="1904.3"/>
    <x v="1"/>
    <n v="2509.1716796874912"/>
    <n v="2094.73"/>
    <n v="2094.73"/>
    <n v="2094.73"/>
    <s v="August 2022"/>
  </r>
  <r>
    <d v="2022-08-22T00:00:00"/>
    <x v="1558"/>
    <n v="26"/>
    <x v="0"/>
    <x v="7"/>
    <x v="2"/>
    <x v="3"/>
    <n v="979.5"/>
    <x v="1"/>
    <n v="2440.2966694490838"/>
    <n v="1077.45"/>
    <n v="1077.45"/>
    <n v="1077.45"/>
    <s v="August 2022"/>
  </r>
  <r>
    <d v="2022-08-22T00:00:00"/>
    <x v="1559"/>
    <n v="30"/>
    <x v="0"/>
    <x v="5"/>
    <x v="2"/>
    <x v="4"/>
    <n v="3755.39"/>
    <x v="1"/>
    <n v="2440.2966694490838"/>
    <n v="4130.92"/>
    <n v="4130.93"/>
    <n v="4130.93"/>
    <s v="August 2022"/>
  </r>
  <r>
    <d v="2022-08-23T00:00:00"/>
    <x v="1560"/>
    <n v="95"/>
    <x v="0"/>
    <x v="7"/>
    <x v="1"/>
    <x v="1"/>
    <n v="3121.16"/>
    <x v="0"/>
    <n v="2509.1716796874912"/>
    <n v="3433.27"/>
    <n v="3433.28"/>
    <n v="3433.28"/>
    <s v="August 2022"/>
  </r>
  <r>
    <d v="2022-08-23T00:00:00"/>
    <x v="1561"/>
    <n v="98"/>
    <x v="1"/>
    <x v="4"/>
    <x v="1"/>
    <x v="4"/>
    <n v="790.4"/>
    <x v="0"/>
    <n v="2509.1716796874912"/>
    <n v="869.44"/>
    <n v="869.44"/>
    <n v="869.44"/>
    <s v="August 2022"/>
  </r>
  <r>
    <d v="2022-08-23T00:00:00"/>
    <x v="1562"/>
    <n v="24"/>
    <x v="2"/>
    <x v="6"/>
    <x v="3"/>
    <x v="4"/>
    <n v="2610.5"/>
    <x v="1"/>
    <n v="2496.7676064256989"/>
    <n v="2871.55"/>
    <n v="2871.55"/>
    <n v="2871.55"/>
    <s v="August 2022"/>
  </r>
  <r>
    <d v="2022-08-23T00:00:00"/>
    <x v="1563"/>
    <n v="88"/>
    <x v="1"/>
    <x v="7"/>
    <x v="2"/>
    <x v="3"/>
    <n v="2909.55"/>
    <x v="0"/>
    <n v="2440.2966694490838"/>
    <n v="3200.5"/>
    <n v="3200.51"/>
    <n v="3200.51"/>
    <s v="August 2022"/>
  </r>
  <r>
    <d v="2022-08-23T00:00:00"/>
    <x v="1564"/>
    <n v="63"/>
    <x v="2"/>
    <x v="3"/>
    <x v="2"/>
    <x v="2"/>
    <n v="2758.75"/>
    <x v="1"/>
    <n v="2440.2966694490838"/>
    <n v="3034.62"/>
    <n v="3034.63"/>
    <n v="3034.63"/>
    <s v="August 2022"/>
  </r>
  <r>
    <d v="2022-08-24T00:00:00"/>
    <x v="1565"/>
    <n v="86"/>
    <x v="2"/>
    <x v="5"/>
    <x v="1"/>
    <x v="2"/>
    <n v="2393.21"/>
    <x v="0"/>
    <n v="2509.1716796874912"/>
    <n v="2632.53"/>
    <n v="2632.5400000000004"/>
    <n v="2632.53"/>
    <s v="August 2022"/>
  </r>
  <r>
    <d v="2022-08-24T00:00:00"/>
    <x v="1566"/>
    <n v="64"/>
    <x v="0"/>
    <x v="1"/>
    <x v="1"/>
    <x v="2"/>
    <n v="3565.05"/>
    <x v="1"/>
    <n v="2509.1716796874912"/>
    <n v="3921.55"/>
    <n v="3921.5600000000004"/>
    <n v="3921.56"/>
    <s v="August 2022"/>
  </r>
  <r>
    <d v="2022-08-24T00:00:00"/>
    <x v="1567"/>
    <n v="96"/>
    <x v="2"/>
    <x v="3"/>
    <x v="2"/>
    <x v="0"/>
    <n v="1213.92"/>
    <x v="0"/>
    <n v="2440.2966694490838"/>
    <n v="1335.31"/>
    <n v="1335.32"/>
    <n v="1335.31"/>
    <s v="August 2022"/>
  </r>
  <r>
    <d v="2022-08-24T00:00:00"/>
    <x v="1568"/>
    <n v="47"/>
    <x v="0"/>
    <x v="5"/>
    <x v="2"/>
    <x v="4"/>
    <n v="934.75"/>
    <x v="1"/>
    <n v="2440.2966694490838"/>
    <n v="1028.22"/>
    <n v="1028.23"/>
    <n v="1028.23"/>
    <s v="August 2022"/>
  </r>
  <r>
    <d v="2022-08-24T00:00:00"/>
    <x v="1569"/>
    <n v="98"/>
    <x v="1"/>
    <x v="0"/>
    <x v="3"/>
    <x v="3"/>
    <n v="3620.57"/>
    <x v="0"/>
    <n v="2496.7676064256989"/>
    <n v="3982.62"/>
    <n v="3982.63"/>
    <n v="3982.63"/>
    <s v="August 2022"/>
  </r>
  <r>
    <d v="2022-08-24T00:00:00"/>
    <x v="1570"/>
    <n v="40"/>
    <x v="2"/>
    <x v="3"/>
    <x v="2"/>
    <x v="5"/>
    <n v="2623.96"/>
    <x v="1"/>
    <n v="2440.2966694490838"/>
    <n v="2886.35"/>
    <n v="2886.36"/>
    <n v="2886.36"/>
    <s v="August 2022"/>
  </r>
  <r>
    <d v="2022-08-24T00:00:00"/>
    <x v="1571"/>
    <n v="51"/>
    <x v="1"/>
    <x v="4"/>
    <x v="2"/>
    <x v="0"/>
    <n v="884.19"/>
    <x v="1"/>
    <n v="2440.2966694490838"/>
    <n v="972.6"/>
    <n v="972.61"/>
    <n v="972.61"/>
    <s v="August 2022"/>
  </r>
  <r>
    <d v="2022-08-24T00:00:00"/>
    <x v="1572"/>
    <n v="80"/>
    <x v="1"/>
    <x v="3"/>
    <x v="0"/>
    <x v="0"/>
    <n v="754.55"/>
    <x v="0"/>
    <n v="2503.6022787783854"/>
    <n v="830"/>
    <n v="830.01"/>
    <n v="830.01"/>
    <s v="August 2022"/>
  </r>
  <r>
    <d v="2022-08-24T00:00:00"/>
    <x v="1573"/>
    <n v="16"/>
    <x v="0"/>
    <x v="0"/>
    <x v="3"/>
    <x v="0"/>
    <n v="4269.78"/>
    <x v="1"/>
    <n v="2496.7676064256989"/>
    <n v="4696.75"/>
    <n v="4696.76"/>
    <n v="4696.76"/>
    <s v="August 2022"/>
  </r>
  <r>
    <d v="2022-08-24T00:00:00"/>
    <x v="1574"/>
    <n v="30"/>
    <x v="1"/>
    <x v="0"/>
    <x v="0"/>
    <x v="3"/>
    <n v="4422.63"/>
    <x v="1"/>
    <n v="2503.6022787783854"/>
    <n v="4864.8900000000003"/>
    <n v="4864.9000000000005"/>
    <n v="4864.8900000000003"/>
    <s v="August 2022"/>
  </r>
  <r>
    <d v="2022-08-25T00:00:00"/>
    <x v="1575"/>
    <n v="1"/>
    <x v="1"/>
    <x v="1"/>
    <x v="0"/>
    <x v="3"/>
    <n v="3650.64"/>
    <x v="2"/>
    <n v="2503.6022787783854"/>
    <n v="4015.7"/>
    <n v="4015.71"/>
    <n v="4015.7"/>
    <s v="August 2022"/>
  </r>
  <r>
    <d v="2022-08-25T00:00:00"/>
    <x v="1576"/>
    <n v="11"/>
    <x v="2"/>
    <x v="3"/>
    <x v="2"/>
    <x v="0"/>
    <n v="3864.3"/>
    <x v="2"/>
    <n v="2440.2966694490838"/>
    <n v="4250.7299999999996"/>
    <n v="4250.7299999999996"/>
    <n v="4250.7299999999996"/>
    <s v="August 2022"/>
  </r>
  <r>
    <d v="2022-08-25T00:00:00"/>
    <x v="1577"/>
    <n v="24"/>
    <x v="1"/>
    <x v="2"/>
    <x v="0"/>
    <x v="1"/>
    <n v="39.47"/>
    <x v="1"/>
    <n v="2503.6022787783854"/>
    <n v="43.41"/>
    <n v="43.419999999999995"/>
    <n v="43.42"/>
    <s v="August 2022"/>
  </r>
  <r>
    <d v="2022-08-25T00:00:00"/>
    <x v="1578"/>
    <n v="65"/>
    <x v="0"/>
    <x v="2"/>
    <x v="3"/>
    <x v="2"/>
    <n v="1379.54"/>
    <x v="0"/>
    <n v="2496.7676064256989"/>
    <n v="1517.49"/>
    <n v="1517.5"/>
    <n v="1517.49"/>
    <s v="August 2022"/>
  </r>
  <r>
    <d v="2022-08-26T00:00:00"/>
    <x v="1579"/>
    <n v="86"/>
    <x v="0"/>
    <x v="6"/>
    <x v="0"/>
    <x v="2"/>
    <n v="1541.42"/>
    <x v="0"/>
    <n v="2503.6022787783854"/>
    <n v="1695.56"/>
    <n v="1695.57"/>
    <n v="1695.56"/>
    <s v="August 2022"/>
  </r>
  <r>
    <d v="2022-08-26T00:00:00"/>
    <x v="1580"/>
    <n v="62"/>
    <x v="1"/>
    <x v="0"/>
    <x v="0"/>
    <x v="1"/>
    <n v="2841.48"/>
    <x v="1"/>
    <n v="2503.6022787783854"/>
    <n v="3125.62"/>
    <n v="3125.63"/>
    <n v="3125.63"/>
    <s v="August 2022"/>
  </r>
  <r>
    <d v="2022-08-26T00:00:00"/>
    <x v="1581"/>
    <n v="18"/>
    <x v="1"/>
    <x v="2"/>
    <x v="0"/>
    <x v="4"/>
    <n v="654.04999999999995"/>
    <x v="1"/>
    <n v="2503.6022787783854"/>
    <n v="719.45"/>
    <n v="719.46"/>
    <n v="719.46"/>
    <s v="August 2022"/>
  </r>
  <r>
    <d v="2022-08-26T00:00:00"/>
    <x v="1582"/>
    <n v="69"/>
    <x v="0"/>
    <x v="0"/>
    <x v="0"/>
    <x v="4"/>
    <n v="2171.27"/>
    <x v="0"/>
    <n v="2503.6022787783854"/>
    <n v="2388.39"/>
    <n v="2388.4"/>
    <n v="2388.4"/>
    <s v="August 2022"/>
  </r>
  <r>
    <d v="2022-08-26T00:00:00"/>
    <x v="1583"/>
    <n v="48"/>
    <x v="1"/>
    <x v="7"/>
    <x v="1"/>
    <x v="0"/>
    <n v="2614.2199999999998"/>
    <x v="1"/>
    <n v="2509.1716796874912"/>
    <n v="2875.64"/>
    <n v="2875.65"/>
    <n v="2875.64"/>
    <s v="August 2022"/>
  </r>
  <r>
    <d v="2022-08-26T00:00:00"/>
    <x v="1584"/>
    <n v="84"/>
    <x v="0"/>
    <x v="2"/>
    <x v="1"/>
    <x v="4"/>
    <n v="3319.08"/>
    <x v="0"/>
    <n v="2509.1716796874912"/>
    <n v="3650.98"/>
    <n v="3650.9900000000002"/>
    <n v="3650.99"/>
    <s v="August 2022"/>
  </r>
  <r>
    <d v="2022-08-26T00:00:00"/>
    <x v="1585"/>
    <n v="94"/>
    <x v="0"/>
    <x v="6"/>
    <x v="3"/>
    <x v="1"/>
    <n v="2792.18"/>
    <x v="0"/>
    <n v="2496.7676064256989"/>
    <n v="3071.39"/>
    <n v="3071.4"/>
    <n v="3071.4"/>
    <s v="August 2022"/>
  </r>
  <r>
    <d v="2022-08-26T00:00:00"/>
    <x v="1586"/>
    <n v="72"/>
    <x v="0"/>
    <x v="2"/>
    <x v="2"/>
    <x v="2"/>
    <n v="4831.2299999999996"/>
    <x v="0"/>
    <n v="2440.2966694490838"/>
    <n v="5314.35"/>
    <n v="5314.3600000000006"/>
    <n v="5314.35"/>
    <s v="August 2022"/>
  </r>
  <r>
    <d v="2022-08-26T00:00:00"/>
    <x v="1587"/>
    <n v="48"/>
    <x v="1"/>
    <x v="7"/>
    <x v="2"/>
    <x v="2"/>
    <n v="2432.89"/>
    <x v="1"/>
    <n v="2440.2966694490838"/>
    <n v="2676.17"/>
    <n v="2676.1800000000003"/>
    <n v="2676.18"/>
    <s v="August 2022"/>
  </r>
  <r>
    <d v="2022-08-26T00:00:00"/>
    <x v="1588"/>
    <n v="88"/>
    <x v="1"/>
    <x v="4"/>
    <x v="3"/>
    <x v="4"/>
    <n v="1045.32"/>
    <x v="0"/>
    <n v="2496.7676064256989"/>
    <n v="1149.8499999999999"/>
    <n v="1149.8599999999999"/>
    <n v="1149.8499999999999"/>
    <s v="August 2022"/>
  </r>
  <r>
    <d v="2022-08-26T00:00:00"/>
    <x v="1589"/>
    <n v="99"/>
    <x v="0"/>
    <x v="3"/>
    <x v="0"/>
    <x v="5"/>
    <n v="4007.9"/>
    <x v="0"/>
    <n v="2503.6022787783854"/>
    <n v="4408.6899999999996"/>
    <n v="4408.6899999999996"/>
    <n v="4408.6899999999996"/>
    <s v="August 2022"/>
  </r>
  <r>
    <d v="2022-08-26T00:00:00"/>
    <x v="1590"/>
    <n v="17"/>
    <x v="2"/>
    <x v="2"/>
    <x v="3"/>
    <x v="2"/>
    <n v="3981.34"/>
    <x v="1"/>
    <n v="2496.7676064256989"/>
    <n v="4379.47"/>
    <n v="4379.4800000000005"/>
    <n v="4379.47"/>
    <s v="August 2022"/>
  </r>
  <r>
    <d v="2022-08-27T00:00:00"/>
    <x v="1591"/>
    <n v="30"/>
    <x v="0"/>
    <x v="4"/>
    <x v="2"/>
    <x v="1"/>
    <n v="3850.65"/>
    <x v="1"/>
    <n v="2440.2966694490838"/>
    <n v="4235.71"/>
    <n v="4235.72"/>
    <n v="4235.72"/>
    <s v="August 2022"/>
  </r>
  <r>
    <d v="2022-08-27T00:00:00"/>
    <x v="1592"/>
    <n v="36"/>
    <x v="0"/>
    <x v="3"/>
    <x v="2"/>
    <x v="0"/>
    <n v="3604.47"/>
    <x v="1"/>
    <n v="2440.2966694490838"/>
    <n v="3964.91"/>
    <n v="3964.92"/>
    <n v="3964.92"/>
    <s v="August 2022"/>
  </r>
  <r>
    <d v="2022-08-27T00:00:00"/>
    <x v="1593"/>
    <n v="43"/>
    <x v="2"/>
    <x v="1"/>
    <x v="0"/>
    <x v="3"/>
    <n v="2922.41"/>
    <x v="1"/>
    <n v="2503.6022787783854"/>
    <n v="3214.65"/>
    <n v="3214.6600000000003"/>
    <n v="3214.65"/>
    <s v="August 2022"/>
  </r>
  <r>
    <d v="2022-08-27T00:00:00"/>
    <x v="1594"/>
    <n v="15"/>
    <x v="1"/>
    <x v="3"/>
    <x v="1"/>
    <x v="2"/>
    <n v="1537.94"/>
    <x v="2"/>
    <n v="2509.1716796874912"/>
    <n v="1691.73"/>
    <n v="1691.74"/>
    <n v="1691.73"/>
    <s v="August 2022"/>
  </r>
  <r>
    <d v="2022-08-27T00:00:00"/>
    <x v="1595"/>
    <n v="26"/>
    <x v="1"/>
    <x v="2"/>
    <x v="1"/>
    <x v="2"/>
    <n v="3439.75"/>
    <x v="1"/>
    <n v="2509.1716796874912"/>
    <n v="3783.72"/>
    <n v="3783.73"/>
    <n v="3783.73"/>
    <s v="August 2022"/>
  </r>
  <r>
    <d v="2022-08-28T00:00:00"/>
    <x v="1596"/>
    <n v="28"/>
    <x v="2"/>
    <x v="0"/>
    <x v="0"/>
    <x v="1"/>
    <n v="676.64"/>
    <x v="1"/>
    <n v="2503.6022787783854"/>
    <n v="744.3"/>
    <n v="744.31"/>
    <n v="744.3"/>
    <s v="August 2022"/>
  </r>
  <r>
    <d v="2022-08-28T00:00:00"/>
    <x v="1597"/>
    <n v="71"/>
    <x v="2"/>
    <x v="4"/>
    <x v="3"/>
    <x v="0"/>
    <n v="556.54"/>
    <x v="0"/>
    <n v="2496.7676064256989"/>
    <n v="612.19000000000005"/>
    <n v="612.20000000000005"/>
    <n v="612.19000000000005"/>
    <s v="August 2022"/>
  </r>
  <r>
    <d v="2022-08-28T00:00:00"/>
    <x v="1598"/>
    <n v="39"/>
    <x v="1"/>
    <x v="2"/>
    <x v="0"/>
    <x v="0"/>
    <n v="1728.52"/>
    <x v="1"/>
    <n v="2503.6022787783854"/>
    <n v="1901.37"/>
    <n v="1901.3799999999999"/>
    <n v="1901.37"/>
    <s v="August 2022"/>
  </r>
  <r>
    <d v="2022-08-28T00:00:00"/>
    <x v="1599"/>
    <n v="93"/>
    <x v="1"/>
    <x v="7"/>
    <x v="2"/>
    <x v="3"/>
    <n v="1286.78"/>
    <x v="0"/>
    <n v="2440.2966694490838"/>
    <n v="1415.45"/>
    <n v="1415.46"/>
    <n v="1415.46"/>
    <s v="August 2022"/>
  </r>
  <r>
    <d v="2022-08-28T00:00:00"/>
    <x v="1600"/>
    <n v="40"/>
    <x v="1"/>
    <x v="7"/>
    <x v="1"/>
    <x v="3"/>
    <n v="2880.78"/>
    <x v="1"/>
    <n v="2509.1716796874912"/>
    <n v="3168.85"/>
    <n v="3168.86"/>
    <n v="3168.86"/>
    <s v="August 2022"/>
  </r>
  <r>
    <d v="2022-08-28T00:00:00"/>
    <x v="1601"/>
    <n v="21"/>
    <x v="2"/>
    <x v="0"/>
    <x v="1"/>
    <x v="5"/>
    <n v="2788.07"/>
    <x v="1"/>
    <n v="2509.1716796874912"/>
    <n v="3066.87"/>
    <n v="3066.88"/>
    <n v="3066.88"/>
    <s v="August 2022"/>
  </r>
  <r>
    <d v="2022-08-28T00:00:00"/>
    <x v="1602"/>
    <n v="45"/>
    <x v="1"/>
    <x v="4"/>
    <x v="3"/>
    <x v="2"/>
    <n v="4909.04"/>
    <x v="1"/>
    <n v="2496.7676064256989"/>
    <n v="5399.94"/>
    <n v="5399.95"/>
    <n v="5399.94"/>
    <s v="August 2022"/>
  </r>
  <r>
    <d v="2022-08-28T00:00:00"/>
    <x v="1603"/>
    <n v="99"/>
    <x v="0"/>
    <x v="3"/>
    <x v="3"/>
    <x v="0"/>
    <n v="3154.07"/>
    <x v="0"/>
    <n v="2496.7676064256989"/>
    <n v="3469.47"/>
    <n v="3469.48"/>
    <n v="3469.48"/>
    <s v="August 2022"/>
  </r>
  <r>
    <d v="2022-08-28T00:00:00"/>
    <x v="1604"/>
    <n v="97"/>
    <x v="0"/>
    <x v="2"/>
    <x v="1"/>
    <x v="2"/>
    <n v="252.83"/>
    <x v="0"/>
    <n v="2509.1716796874912"/>
    <n v="278.11"/>
    <n v="278.12"/>
    <n v="278.11"/>
    <s v="August 2022"/>
  </r>
  <r>
    <d v="2022-08-29T00:00:00"/>
    <x v="1605"/>
    <n v="72"/>
    <x v="2"/>
    <x v="0"/>
    <x v="1"/>
    <x v="4"/>
    <n v="4294.16"/>
    <x v="0"/>
    <n v="2509.1716796874912"/>
    <n v="4723.57"/>
    <n v="4723.58"/>
    <n v="4723.58"/>
    <s v="August 2022"/>
  </r>
  <r>
    <d v="2022-08-29T00:00:00"/>
    <x v="1606"/>
    <n v="44"/>
    <x v="0"/>
    <x v="4"/>
    <x v="3"/>
    <x v="0"/>
    <n v="4915.8999999999996"/>
    <x v="1"/>
    <n v="2496.7676064256989"/>
    <n v="5407.49"/>
    <n v="5407.49"/>
    <n v="5407.49"/>
    <s v="August 2022"/>
  </r>
  <r>
    <d v="2022-08-29T00:00:00"/>
    <x v="1607"/>
    <n v="15"/>
    <x v="1"/>
    <x v="7"/>
    <x v="3"/>
    <x v="2"/>
    <n v="1405.89"/>
    <x v="2"/>
    <n v="2496.7676064256989"/>
    <n v="1546.47"/>
    <n v="1546.48"/>
    <n v="1546.48"/>
    <s v="August 2022"/>
  </r>
  <r>
    <d v="2022-08-29T00:00:00"/>
    <x v="1608"/>
    <n v="27"/>
    <x v="1"/>
    <x v="7"/>
    <x v="1"/>
    <x v="2"/>
    <n v="1209.74"/>
    <x v="1"/>
    <n v="2509.1716796874912"/>
    <n v="1330.71"/>
    <n v="1330.72"/>
    <n v="1330.71"/>
    <s v="August 2022"/>
  </r>
  <r>
    <d v="2022-08-29T00:00:00"/>
    <x v="1609"/>
    <n v="72"/>
    <x v="2"/>
    <x v="7"/>
    <x v="3"/>
    <x v="1"/>
    <n v="4289.57"/>
    <x v="0"/>
    <n v="2496.7676064256989"/>
    <n v="4718.5200000000004"/>
    <n v="4718.5300000000007"/>
    <n v="4718.53"/>
    <s v="August 2022"/>
  </r>
  <r>
    <d v="2022-08-29T00:00:00"/>
    <x v="1610"/>
    <n v="63"/>
    <x v="0"/>
    <x v="7"/>
    <x v="2"/>
    <x v="3"/>
    <n v="4432.47"/>
    <x v="1"/>
    <n v="2440.2966694490838"/>
    <n v="4875.71"/>
    <n v="4875.72"/>
    <n v="4875.72"/>
    <s v="August 2022"/>
  </r>
  <r>
    <d v="2022-08-29T00:00:00"/>
    <x v="1611"/>
    <n v="79"/>
    <x v="2"/>
    <x v="2"/>
    <x v="1"/>
    <x v="1"/>
    <n v="2132.46"/>
    <x v="0"/>
    <n v="2509.1716796874912"/>
    <n v="2345.6999999999998"/>
    <n v="2345.71"/>
    <n v="2345.71"/>
    <s v="August 2022"/>
  </r>
  <r>
    <d v="2022-08-29T00:00:00"/>
    <x v="1612"/>
    <n v="14"/>
    <x v="1"/>
    <x v="0"/>
    <x v="0"/>
    <x v="3"/>
    <n v="3069.35"/>
    <x v="2"/>
    <n v="2503.6022787783854"/>
    <n v="3376.28"/>
    <n v="3376.2900000000004"/>
    <n v="3376.29"/>
    <s v="August 2022"/>
  </r>
  <r>
    <d v="2022-08-29T00:00:00"/>
    <x v="1613"/>
    <n v="35"/>
    <x v="2"/>
    <x v="1"/>
    <x v="0"/>
    <x v="2"/>
    <n v="369.89"/>
    <x v="1"/>
    <n v="2503.6022787783854"/>
    <n v="406.87"/>
    <n v="406.88"/>
    <n v="406.88"/>
    <s v="August 2022"/>
  </r>
  <r>
    <d v="2022-08-29T00:00:00"/>
    <x v="1614"/>
    <n v="83"/>
    <x v="0"/>
    <x v="5"/>
    <x v="1"/>
    <x v="4"/>
    <n v="3162.36"/>
    <x v="0"/>
    <n v="2509.1716796874912"/>
    <n v="3478.59"/>
    <n v="3478.6000000000004"/>
    <n v="3478.6"/>
    <s v="August 2022"/>
  </r>
  <r>
    <d v="2022-08-30T00:00:00"/>
    <x v="1615"/>
    <n v="64"/>
    <x v="2"/>
    <x v="2"/>
    <x v="2"/>
    <x v="3"/>
    <n v="3604.51"/>
    <x v="1"/>
    <n v="2440.2966694490838"/>
    <n v="3964.96"/>
    <n v="3964.9700000000003"/>
    <n v="3964.96"/>
    <s v="August 2022"/>
  </r>
  <r>
    <d v="2022-08-30T00:00:00"/>
    <x v="1616"/>
    <n v="37"/>
    <x v="0"/>
    <x v="3"/>
    <x v="0"/>
    <x v="3"/>
    <n v="3701.63"/>
    <x v="1"/>
    <n v="2503.6022787783854"/>
    <n v="4071.79"/>
    <n v="4071.8"/>
    <n v="4071.79"/>
    <s v="August 2022"/>
  </r>
  <r>
    <d v="2022-08-30T00:00:00"/>
    <x v="1617"/>
    <n v="42"/>
    <x v="0"/>
    <x v="3"/>
    <x v="0"/>
    <x v="0"/>
    <n v="2190.85"/>
    <x v="1"/>
    <n v="2503.6022787783854"/>
    <n v="2409.9299999999998"/>
    <n v="2409.94"/>
    <n v="2409.94"/>
    <s v="August 2022"/>
  </r>
  <r>
    <d v="2022-08-30T00:00:00"/>
    <x v="1618"/>
    <n v="99"/>
    <x v="1"/>
    <x v="3"/>
    <x v="3"/>
    <x v="0"/>
    <n v="3300.27"/>
    <x v="0"/>
    <n v="2496.7676064256989"/>
    <n v="3630.29"/>
    <n v="3630.3"/>
    <n v="3630.3"/>
    <s v="August 2022"/>
  </r>
  <r>
    <d v="2022-08-30T00:00:00"/>
    <x v="1619"/>
    <n v="54"/>
    <x v="2"/>
    <x v="0"/>
    <x v="0"/>
    <x v="5"/>
    <n v="1651.86"/>
    <x v="1"/>
    <n v="2503.6022787783854"/>
    <n v="1817.04"/>
    <n v="1817.05"/>
    <n v="1817.05"/>
    <s v="August 2022"/>
  </r>
  <r>
    <d v="2022-08-30T00:00:00"/>
    <x v="1620"/>
    <n v="7"/>
    <x v="2"/>
    <x v="6"/>
    <x v="0"/>
    <x v="4"/>
    <n v="3476.22"/>
    <x v="2"/>
    <n v="2503.6022787783854"/>
    <n v="3823.84"/>
    <n v="3823.8500000000004"/>
    <n v="3823.84"/>
    <s v="August 2022"/>
  </r>
  <r>
    <d v="2022-08-30T00:00:00"/>
    <x v="1621"/>
    <n v="40"/>
    <x v="1"/>
    <x v="2"/>
    <x v="1"/>
    <x v="1"/>
    <n v="2274.61"/>
    <x v="1"/>
    <n v="2509.1716796874912"/>
    <n v="2502.0700000000002"/>
    <n v="2502.0800000000004"/>
    <n v="2502.0700000000002"/>
    <s v="August 2022"/>
  </r>
  <r>
    <d v="2022-08-31T00:00:00"/>
    <x v="1622"/>
    <n v="28"/>
    <x v="0"/>
    <x v="5"/>
    <x v="1"/>
    <x v="3"/>
    <n v="501.46"/>
    <x v="1"/>
    <n v="2509.1716796874912"/>
    <n v="551.6"/>
    <n v="551.61"/>
    <n v="551.61"/>
    <s v="August 2022"/>
  </r>
  <r>
    <d v="2022-08-31T00:00:00"/>
    <x v="1623"/>
    <n v="63"/>
    <x v="1"/>
    <x v="7"/>
    <x v="3"/>
    <x v="5"/>
    <n v="1304.97"/>
    <x v="1"/>
    <n v="2496.7676064256989"/>
    <n v="1435.46"/>
    <n v="1435.47"/>
    <n v="1435.47"/>
    <s v="August 2022"/>
  </r>
  <r>
    <d v="2022-08-31T00:00:00"/>
    <x v="1624"/>
    <n v="38"/>
    <x v="2"/>
    <x v="3"/>
    <x v="0"/>
    <x v="2"/>
    <n v="2327.88"/>
    <x v="1"/>
    <n v="2503.6022787783854"/>
    <n v="2560.66"/>
    <n v="2560.67"/>
    <n v="2560.67"/>
    <s v="August 2022"/>
  </r>
  <r>
    <d v="2022-08-31T00:00:00"/>
    <x v="1625"/>
    <n v="47"/>
    <x v="0"/>
    <x v="4"/>
    <x v="1"/>
    <x v="3"/>
    <n v="2237.65"/>
    <x v="1"/>
    <n v="2509.1716796874912"/>
    <n v="2461.41"/>
    <n v="2461.42"/>
    <n v="2461.42"/>
    <s v="August 2022"/>
  </r>
  <r>
    <d v="2022-08-31T00:00:00"/>
    <x v="1626"/>
    <n v="22"/>
    <x v="1"/>
    <x v="3"/>
    <x v="1"/>
    <x v="2"/>
    <n v="4972.6099999999997"/>
    <x v="1"/>
    <n v="2509.1716796874912"/>
    <n v="5469.87"/>
    <n v="5469.88"/>
    <n v="5469.87"/>
    <s v="August 2022"/>
  </r>
  <r>
    <d v="2022-08-31T00:00:00"/>
    <x v="1627"/>
    <n v="36"/>
    <x v="0"/>
    <x v="5"/>
    <x v="1"/>
    <x v="3"/>
    <n v="4291.13"/>
    <x v="1"/>
    <n v="2509.1716796874912"/>
    <n v="4720.24"/>
    <n v="4720.25"/>
    <n v="4720.24"/>
    <s v="August 2022"/>
  </r>
  <r>
    <d v="2022-08-31T00:00:00"/>
    <x v="1628"/>
    <n v="41"/>
    <x v="1"/>
    <x v="7"/>
    <x v="2"/>
    <x v="1"/>
    <n v="1777.79"/>
    <x v="1"/>
    <n v="2440.2966694490838"/>
    <n v="1955.56"/>
    <n v="1955.57"/>
    <n v="1955.57"/>
    <s v="August 2022"/>
  </r>
  <r>
    <d v="2022-08-31T00:00:00"/>
    <x v="1629"/>
    <n v="25"/>
    <x v="1"/>
    <x v="7"/>
    <x v="1"/>
    <x v="1"/>
    <n v="420.46"/>
    <x v="1"/>
    <n v="2509.1716796874912"/>
    <n v="462.5"/>
    <n v="462.51"/>
    <n v="462.51"/>
    <s v="August 2022"/>
  </r>
  <r>
    <d v="2022-08-31T00:00:00"/>
    <x v="1630"/>
    <n v="41"/>
    <x v="2"/>
    <x v="1"/>
    <x v="3"/>
    <x v="3"/>
    <n v="1983.76"/>
    <x v="1"/>
    <n v="2496.7676064256989"/>
    <n v="2182.13"/>
    <n v="2182.1400000000003"/>
    <n v="2182.14"/>
    <s v="August 2022"/>
  </r>
  <r>
    <d v="2022-08-31T00:00:00"/>
    <x v="1631"/>
    <n v="20"/>
    <x v="0"/>
    <x v="0"/>
    <x v="1"/>
    <x v="0"/>
    <n v="1094.9000000000001"/>
    <x v="1"/>
    <n v="2509.1716796874912"/>
    <n v="1204.3900000000001"/>
    <n v="1204.3900000000001"/>
    <n v="1204.3900000000001"/>
    <s v="August 2022"/>
  </r>
  <r>
    <d v="2022-08-31T00:00:00"/>
    <x v="1632"/>
    <n v="62"/>
    <x v="2"/>
    <x v="1"/>
    <x v="3"/>
    <x v="1"/>
    <n v="4448.42"/>
    <x v="1"/>
    <n v="2496.7676064256989"/>
    <n v="4893.26"/>
    <n v="4893.2700000000004"/>
    <n v="4893.26"/>
    <s v="August 2022"/>
  </r>
  <r>
    <d v="2022-08-31T00:00:00"/>
    <x v="1633"/>
    <n v="67"/>
    <x v="0"/>
    <x v="7"/>
    <x v="1"/>
    <x v="4"/>
    <n v="4679.24"/>
    <x v="0"/>
    <n v="2509.1716796874912"/>
    <n v="5147.16"/>
    <n v="5147.17"/>
    <n v="5147.16"/>
    <s v="August 2022"/>
  </r>
  <r>
    <d v="2022-09-01T00:00:00"/>
    <x v="1634"/>
    <n v="20"/>
    <x v="1"/>
    <x v="2"/>
    <x v="0"/>
    <x v="0"/>
    <n v="2541.77"/>
    <x v="1"/>
    <n v="2503.6022787783854"/>
    <n v="2795.94"/>
    <n v="2795.9500000000003"/>
    <n v="2795.95"/>
    <s v="September 2022"/>
  </r>
  <r>
    <d v="2022-09-01T00:00:00"/>
    <x v="1635"/>
    <n v="38"/>
    <x v="0"/>
    <x v="7"/>
    <x v="0"/>
    <x v="4"/>
    <n v="105.83"/>
    <x v="1"/>
    <n v="2503.6022787783854"/>
    <n v="116.41"/>
    <n v="116.42"/>
    <n v="116.41"/>
    <s v="September 2022"/>
  </r>
  <r>
    <d v="2022-09-01T00:00:00"/>
    <x v="1636"/>
    <n v="54"/>
    <x v="2"/>
    <x v="7"/>
    <x v="2"/>
    <x v="3"/>
    <n v="4276.6499999999996"/>
    <x v="1"/>
    <n v="2440.2966694490838"/>
    <n v="4704.3100000000004"/>
    <n v="4704.3200000000006"/>
    <n v="4704.32"/>
    <s v="September 2022"/>
  </r>
  <r>
    <d v="2022-09-01T00:00:00"/>
    <x v="1637"/>
    <n v="4"/>
    <x v="0"/>
    <x v="7"/>
    <x v="0"/>
    <x v="2"/>
    <n v="4330.8100000000004"/>
    <x v="2"/>
    <n v="2503.6022787783854"/>
    <n v="4763.8900000000003"/>
    <n v="4763.9000000000005"/>
    <n v="4763.8900000000003"/>
    <s v="September 2022"/>
  </r>
  <r>
    <d v="2022-09-01T00:00:00"/>
    <x v="1638"/>
    <n v="69"/>
    <x v="0"/>
    <x v="4"/>
    <x v="3"/>
    <x v="5"/>
    <n v="3469.15"/>
    <x v="0"/>
    <n v="2496.7676064256989"/>
    <n v="3816.06"/>
    <n v="3816.07"/>
    <n v="3816.07"/>
    <s v="September 2022"/>
  </r>
  <r>
    <d v="2022-09-02T00:00:00"/>
    <x v="1639"/>
    <n v="38"/>
    <x v="0"/>
    <x v="3"/>
    <x v="2"/>
    <x v="4"/>
    <n v="3134.14"/>
    <x v="1"/>
    <n v="2440.2966694490838"/>
    <n v="3447.55"/>
    <n v="3447.5600000000004"/>
    <n v="3447.55"/>
    <s v="September 2022"/>
  </r>
  <r>
    <d v="2022-09-02T00:00:00"/>
    <x v="1640"/>
    <n v="39"/>
    <x v="2"/>
    <x v="7"/>
    <x v="3"/>
    <x v="0"/>
    <n v="1776.58"/>
    <x v="1"/>
    <n v="2496.7676064256989"/>
    <n v="1954.23"/>
    <n v="1954.24"/>
    <n v="1954.24"/>
    <s v="September 2022"/>
  </r>
  <r>
    <d v="2022-09-02T00:00:00"/>
    <x v="1641"/>
    <n v="75"/>
    <x v="2"/>
    <x v="7"/>
    <x v="1"/>
    <x v="2"/>
    <n v="4419.71"/>
    <x v="0"/>
    <n v="2509.1716796874912"/>
    <n v="4861.68"/>
    <n v="4861.6900000000005"/>
    <n v="4861.68"/>
    <s v="September 2022"/>
  </r>
  <r>
    <d v="2022-09-02T00:00:00"/>
    <x v="1642"/>
    <n v="24"/>
    <x v="1"/>
    <x v="3"/>
    <x v="2"/>
    <x v="4"/>
    <n v="254.72"/>
    <x v="1"/>
    <n v="2440.2966694490838"/>
    <n v="280.19"/>
    <n v="280.2"/>
    <n v="280.19"/>
    <s v="September 2022"/>
  </r>
  <r>
    <d v="2022-09-02T00:00:00"/>
    <x v="1643"/>
    <n v="83"/>
    <x v="2"/>
    <x v="5"/>
    <x v="1"/>
    <x v="1"/>
    <n v="323.19"/>
    <x v="0"/>
    <n v="2509.1716796874912"/>
    <n v="355.5"/>
    <n v="355.51"/>
    <n v="355.51"/>
    <s v="September 2022"/>
  </r>
  <r>
    <d v="2022-09-02T00:00:00"/>
    <x v="1644"/>
    <n v="23"/>
    <x v="1"/>
    <x v="3"/>
    <x v="1"/>
    <x v="3"/>
    <n v="3160.03"/>
    <x v="1"/>
    <n v="2509.1716796874912"/>
    <n v="3476.03"/>
    <n v="3476.0400000000004"/>
    <n v="3476.03"/>
    <s v="September 2022"/>
  </r>
  <r>
    <d v="2022-09-02T00:00:00"/>
    <x v="1645"/>
    <n v="54"/>
    <x v="0"/>
    <x v="1"/>
    <x v="1"/>
    <x v="3"/>
    <n v="4046.2"/>
    <x v="1"/>
    <n v="2509.1716796874912"/>
    <n v="4450.82"/>
    <n v="4450.82"/>
    <n v="4450.82"/>
    <s v="September 2022"/>
  </r>
  <r>
    <d v="2022-09-03T00:00:00"/>
    <x v="1646"/>
    <n v="11"/>
    <x v="1"/>
    <x v="0"/>
    <x v="3"/>
    <x v="0"/>
    <n v="3985.62"/>
    <x v="2"/>
    <n v="2496.7676064256989"/>
    <n v="4384.18"/>
    <n v="4384.1900000000005"/>
    <n v="4384.18"/>
    <s v="September 2022"/>
  </r>
  <r>
    <d v="2022-09-03T00:00:00"/>
    <x v="1647"/>
    <n v="71"/>
    <x v="1"/>
    <x v="4"/>
    <x v="0"/>
    <x v="4"/>
    <n v="1300.52"/>
    <x v="0"/>
    <n v="2503.6022787783854"/>
    <n v="1430.57"/>
    <n v="1430.58"/>
    <n v="1430.57"/>
    <s v="September 2022"/>
  </r>
  <r>
    <d v="2022-09-03T00:00:00"/>
    <x v="1648"/>
    <n v="49"/>
    <x v="0"/>
    <x v="3"/>
    <x v="0"/>
    <x v="3"/>
    <n v="1120.06"/>
    <x v="1"/>
    <n v="2503.6022787783854"/>
    <n v="1232.06"/>
    <n v="1232.07"/>
    <n v="1232.07"/>
    <s v="September 2022"/>
  </r>
  <r>
    <d v="2022-09-03T00:00:00"/>
    <x v="1649"/>
    <n v="52"/>
    <x v="2"/>
    <x v="4"/>
    <x v="1"/>
    <x v="4"/>
    <n v="2258.8000000000002"/>
    <x v="1"/>
    <n v="2509.1716796874912"/>
    <n v="2484.6799999999998"/>
    <n v="2484.6799999999998"/>
    <n v="2484.6799999999998"/>
    <s v="September 2022"/>
  </r>
  <r>
    <d v="2022-09-03T00:00:00"/>
    <x v="1650"/>
    <n v="63"/>
    <x v="2"/>
    <x v="3"/>
    <x v="2"/>
    <x v="4"/>
    <n v="434.95"/>
    <x v="1"/>
    <n v="2440.2966694490838"/>
    <n v="478.44"/>
    <n v="478.45"/>
    <n v="478.45"/>
    <s v="September 2022"/>
  </r>
  <r>
    <d v="2022-09-04T00:00:00"/>
    <x v="1651"/>
    <n v="67"/>
    <x v="2"/>
    <x v="0"/>
    <x v="1"/>
    <x v="4"/>
    <n v="4319.0200000000004"/>
    <x v="0"/>
    <n v="2509.1716796874912"/>
    <n v="4750.92"/>
    <n v="4750.93"/>
    <n v="4750.92"/>
    <s v="September 2022"/>
  </r>
  <r>
    <d v="2022-09-04T00:00:00"/>
    <x v="1652"/>
    <n v="28"/>
    <x v="0"/>
    <x v="0"/>
    <x v="2"/>
    <x v="3"/>
    <n v="109.88"/>
    <x v="1"/>
    <n v="2440.2966694490838"/>
    <n v="120.86"/>
    <n v="120.87"/>
    <n v="120.87"/>
    <s v="September 2022"/>
  </r>
  <r>
    <d v="2022-09-04T00:00:00"/>
    <x v="1653"/>
    <n v="73"/>
    <x v="2"/>
    <x v="7"/>
    <x v="3"/>
    <x v="4"/>
    <n v="3241.72"/>
    <x v="0"/>
    <n v="2496.7676064256989"/>
    <n v="3565.89"/>
    <n v="3565.9"/>
    <n v="3565.89"/>
    <s v="September 2022"/>
  </r>
  <r>
    <d v="2022-09-04T00:00:00"/>
    <x v="1654"/>
    <n v="59"/>
    <x v="2"/>
    <x v="1"/>
    <x v="1"/>
    <x v="3"/>
    <n v="256.95"/>
    <x v="1"/>
    <n v="2509.1716796874912"/>
    <n v="282.64"/>
    <n v="282.64999999999998"/>
    <n v="282.64999999999998"/>
    <s v="September 2022"/>
  </r>
  <r>
    <d v="2022-09-04T00:00:00"/>
    <x v="1655"/>
    <n v="12"/>
    <x v="1"/>
    <x v="3"/>
    <x v="3"/>
    <x v="3"/>
    <n v="4575.95"/>
    <x v="2"/>
    <n v="2496.7676064256989"/>
    <n v="5033.54"/>
    <n v="5033.55"/>
    <n v="5033.55"/>
    <s v="September 2022"/>
  </r>
  <r>
    <d v="2022-09-04T00:00:00"/>
    <x v="1656"/>
    <n v="73"/>
    <x v="2"/>
    <x v="0"/>
    <x v="3"/>
    <x v="0"/>
    <n v="1250.6600000000001"/>
    <x v="0"/>
    <n v="2496.7676064256989"/>
    <n v="1375.72"/>
    <n v="1375.73"/>
    <n v="1375.73"/>
    <s v="September 2022"/>
  </r>
  <r>
    <d v="2022-09-04T00:00:00"/>
    <x v="1657"/>
    <n v="69"/>
    <x v="1"/>
    <x v="3"/>
    <x v="3"/>
    <x v="0"/>
    <n v="956.22"/>
    <x v="0"/>
    <n v="2496.7676064256989"/>
    <n v="1051.8399999999999"/>
    <n v="1051.8499999999999"/>
    <n v="1051.8399999999999"/>
    <s v="September 2022"/>
  </r>
  <r>
    <d v="2022-09-04T00:00:00"/>
    <x v="1658"/>
    <n v="71"/>
    <x v="0"/>
    <x v="1"/>
    <x v="0"/>
    <x v="2"/>
    <n v="3675.64"/>
    <x v="0"/>
    <n v="2503.6022787783854"/>
    <n v="4043.2"/>
    <n v="4043.21"/>
    <n v="4043.2"/>
    <s v="September 2022"/>
  </r>
  <r>
    <d v="2022-09-05T00:00:00"/>
    <x v="1659"/>
    <n v="55"/>
    <x v="1"/>
    <x v="5"/>
    <x v="1"/>
    <x v="2"/>
    <n v="2041.73"/>
    <x v="1"/>
    <n v="2509.1716796874912"/>
    <n v="2245.9"/>
    <n v="2245.9100000000003"/>
    <n v="2245.9"/>
    <s v="September 2022"/>
  </r>
  <r>
    <d v="2022-09-05T00:00:00"/>
    <x v="1660"/>
    <n v="79"/>
    <x v="0"/>
    <x v="0"/>
    <x v="3"/>
    <x v="4"/>
    <n v="3188.62"/>
    <x v="0"/>
    <n v="2496.7676064256989"/>
    <n v="3507.48"/>
    <n v="3507.4900000000002"/>
    <n v="3507.48"/>
    <s v="September 2022"/>
  </r>
  <r>
    <d v="2022-09-05T00:00:00"/>
    <x v="1661"/>
    <n v="29"/>
    <x v="0"/>
    <x v="7"/>
    <x v="1"/>
    <x v="3"/>
    <n v="4485.54"/>
    <x v="1"/>
    <n v="2509.1716796874912"/>
    <n v="4934.09"/>
    <n v="4934.1000000000004"/>
    <n v="4934.09"/>
    <s v="September 2022"/>
  </r>
  <r>
    <d v="2022-09-05T00:00:00"/>
    <x v="1662"/>
    <n v="81"/>
    <x v="1"/>
    <x v="0"/>
    <x v="1"/>
    <x v="0"/>
    <n v="1491.26"/>
    <x v="0"/>
    <n v="2509.1716796874912"/>
    <n v="1640.38"/>
    <n v="1640.39"/>
    <n v="1640.39"/>
    <s v="September 2022"/>
  </r>
  <r>
    <d v="2022-09-05T00:00:00"/>
    <x v="1663"/>
    <n v="27"/>
    <x v="1"/>
    <x v="1"/>
    <x v="1"/>
    <x v="2"/>
    <n v="2495.2800000000002"/>
    <x v="1"/>
    <n v="2509.1716796874912"/>
    <n v="2744.8"/>
    <n v="2744.8100000000004"/>
    <n v="2744.81"/>
    <s v="September 2022"/>
  </r>
  <r>
    <d v="2022-09-06T00:00:00"/>
    <x v="1664"/>
    <n v="55"/>
    <x v="2"/>
    <x v="3"/>
    <x v="3"/>
    <x v="3"/>
    <n v="4198.51"/>
    <x v="1"/>
    <n v="2496.7676064256989"/>
    <n v="4618.3599999999997"/>
    <n v="4618.37"/>
    <n v="4618.3599999999997"/>
    <s v="September 2022"/>
  </r>
  <r>
    <d v="2022-09-06T00:00:00"/>
    <x v="1665"/>
    <n v="42"/>
    <x v="2"/>
    <x v="4"/>
    <x v="3"/>
    <x v="2"/>
    <n v="4062.4"/>
    <x v="1"/>
    <n v="2496.7676064256989"/>
    <n v="4468.6400000000003"/>
    <n v="4468.6400000000003"/>
    <n v="4468.6400000000003"/>
    <s v="September 2022"/>
  </r>
  <r>
    <d v="2022-09-06T00:00:00"/>
    <x v="1666"/>
    <n v="31"/>
    <x v="0"/>
    <x v="6"/>
    <x v="2"/>
    <x v="3"/>
    <n v="1107.3599999999999"/>
    <x v="1"/>
    <n v="2440.2966694490838"/>
    <n v="1218.0899999999999"/>
    <n v="1218.0999999999999"/>
    <n v="1218.0999999999999"/>
    <s v="September 2022"/>
  </r>
  <r>
    <d v="2022-09-06T00:00:00"/>
    <x v="1667"/>
    <n v="18"/>
    <x v="2"/>
    <x v="3"/>
    <x v="0"/>
    <x v="1"/>
    <n v="3745.38"/>
    <x v="1"/>
    <n v="2503.6022787783854"/>
    <n v="4119.91"/>
    <n v="4119.92"/>
    <n v="4119.92"/>
    <s v="September 2022"/>
  </r>
  <r>
    <d v="2022-09-06T00:00:00"/>
    <x v="1668"/>
    <n v="50"/>
    <x v="2"/>
    <x v="5"/>
    <x v="0"/>
    <x v="4"/>
    <n v="1057.27"/>
    <x v="1"/>
    <n v="2503.6022787783854"/>
    <n v="1162.99"/>
    <n v="1163"/>
    <n v="1163"/>
    <s v="September 2022"/>
  </r>
  <r>
    <d v="2022-09-06T00:00:00"/>
    <x v="1669"/>
    <n v="93"/>
    <x v="2"/>
    <x v="7"/>
    <x v="1"/>
    <x v="0"/>
    <n v="4272.0600000000004"/>
    <x v="0"/>
    <n v="2509.1716796874912"/>
    <n v="4699.26"/>
    <n v="4699.2700000000004"/>
    <n v="4699.2700000000004"/>
    <s v="September 2022"/>
  </r>
  <r>
    <d v="2022-09-07T00:00:00"/>
    <x v="1670"/>
    <n v="89"/>
    <x v="1"/>
    <x v="1"/>
    <x v="0"/>
    <x v="2"/>
    <n v="4282.8"/>
    <x v="0"/>
    <n v="2503.6022787783854"/>
    <n v="4711.08"/>
    <n v="4711.08"/>
    <n v="4711.08"/>
    <s v="September 2022"/>
  </r>
  <r>
    <d v="2022-09-07T00:00:00"/>
    <x v="1671"/>
    <n v="88"/>
    <x v="0"/>
    <x v="3"/>
    <x v="3"/>
    <x v="0"/>
    <n v="4911.8999999999996"/>
    <x v="0"/>
    <n v="2496.7676064256989"/>
    <n v="5403.09"/>
    <n v="5403.09"/>
    <n v="5403.09"/>
    <s v="September 2022"/>
  </r>
  <r>
    <d v="2022-09-07T00:00:00"/>
    <x v="1672"/>
    <n v="77"/>
    <x v="0"/>
    <x v="6"/>
    <x v="0"/>
    <x v="2"/>
    <n v="3688.59"/>
    <x v="0"/>
    <n v="2503.6022787783854"/>
    <n v="4057.44"/>
    <n v="4057.4500000000003"/>
    <n v="4057.45"/>
    <s v="September 2022"/>
  </r>
  <r>
    <d v="2022-09-07T00:00:00"/>
    <x v="1673"/>
    <n v="36"/>
    <x v="2"/>
    <x v="4"/>
    <x v="2"/>
    <x v="4"/>
    <n v="2131.4"/>
    <x v="1"/>
    <n v="2440.2966694490838"/>
    <n v="2344.54"/>
    <n v="2344.54"/>
    <n v="2344.54"/>
    <s v="September 2022"/>
  </r>
  <r>
    <d v="2022-09-07T00:00:00"/>
    <x v="1674"/>
    <n v="88"/>
    <x v="0"/>
    <x v="2"/>
    <x v="1"/>
    <x v="3"/>
    <n v="4911.1899999999996"/>
    <x v="0"/>
    <n v="2509.1716796874912"/>
    <n v="5402.3"/>
    <n v="5402.31"/>
    <n v="5402.31"/>
    <s v="September 2022"/>
  </r>
  <r>
    <d v="2022-09-07T00:00:00"/>
    <x v="1675"/>
    <n v="72"/>
    <x v="2"/>
    <x v="7"/>
    <x v="1"/>
    <x v="0"/>
    <n v="2245.2800000000002"/>
    <x v="0"/>
    <n v="2509.1716796874912"/>
    <n v="2469.8000000000002"/>
    <n v="2469.8100000000004"/>
    <n v="2469.81"/>
    <s v="September 2022"/>
  </r>
  <r>
    <d v="2022-09-07T00:00:00"/>
    <x v="1676"/>
    <n v="74"/>
    <x v="1"/>
    <x v="0"/>
    <x v="3"/>
    <x v="2"/>
    <n v="3903.39"/>
    <x v="0"/>
    <n v="2496.7676064256989"/>
    <n v="4293.72"/>
    <n v="4293.7300000000005"/>
    <n v="4293.7299999999996"/>
    <s v="September 2022"/>
  </r>
  <r>
    <d v="2022-09-07T00:00:00"/>
    <x v="1677"/>
    <n v="90"/>
    <x v="2"/>
    <x v="4"/>
    <x v="0"/>
    <x v="4"/>
    <n v="1809.01"/>
    <x v="0"/>
    <n v="2503.6022787783854"/>
    <n v="1989.91"/>
    <n v="1989.92"/>
    <n v="1989.91"/>
    <s v="September 2022"/>
  </r>
  <r>
    <d v="2022-09-07T00:00:00"/>
    <x v="1678"/>
    <n v="71"/>
    <x v="1"/>
    <x v="5"/>
    <x v="3"/>
    <x v="1"/>
    <n v="4611.95"/>
    <x v="0"/>
    <n v="2496.7676064256989"/>
    <n v="5073.1400000000003"/>
    <n v="5073.1500000000005"/>
    <n v="5073.1499999999996"/>
    <s v="September 2022"/>
  </r>
  <r>
    <d v="2022-09-07T00:00:00"/>
    <x v="1679"/>
    <n v="43"/>
    <x v="1"/>
    <x v="4"/>
    <x v="3"/>
    <x v="0"/>
    <n v="2349.0100000000002"/>
    <x v="1"/>
    <n v="2496.7676064256989"/>
    <n v="2583.91"/>
    <n v="2583.92"/>
    <n v="2583.91"/>
    <s v="September 2022"/>
  </r>
  <r>
    <d v="2022-09-08T00:00:00"/>
    <x v="1680"/>
    <n v="58"/>
    <x v="0"/>
    <x v="1"/>
    <x v="1"/>
    <x v="3"/>
    <n v="55.79"/>
    <x v="1"/>
    <n v="2509.1716796874912"/>
    <n v="61.36"/>
    <n v="61.37"/>
    <n v="61.37"/>
    <s v="September 2022"/>
  </r>
  <r>
    <d v="2022-09-08T00:00:00"/>
    <x v="1681"/>
    <n v="22"/>
    <x v="0"/>
    <x v="5"/>
    <x v="2"/>
    <x v="0"/>
    <n v="3510.88"/>
    <x v="1"/>
    <n v="2440.2966694490838"/>
    <n v="3861.96"/>
    <n v="3861.9700000000003"/>
    <n v="3861.97"/>
    <s v="September 2022"/>
  </r>
  <r>
    <d v="2022-09-08T00:00:00"/>
    <x v="1682"/>
    <n v="59"/>
    <x v="0"/>
    <x v="0"/>
    <x v="3"/>
    <x v="0"/>
    <n v="658.4"/>
    <x v="1"/>
    <n v="2496.7676064256989"/>
    <n v="724.24"/>
    <n v="724.24"/>
    <n v="724.24"/>
    <s v="September 2022"/>
  </r>
  <r>
    <d v="2022-09-08T00:00:00"/>
    <x v="1683"/>
    <n v="38"/>
    <x v="0"/>
    <x v="0"/>
    <x v="2"/>
    <x v="3"/>
    <n v="515.25"/>
    <x v="1"/>
    <n v="2440.2966694490838"/>
    <n v="566.77"/>
    <n v="566.78"/>
    <n v="566.78"/>
    <s v="September 2022"/>
  </r>
  <r>
    <d v="2022-09-08T00:00:00"/>
    <x v="1684"/>
    <n v="17"/>
    <x v="2"/>
    <x v="7"/>
    <x v="3"/>
    <x v="3"/>
    <n v="45.25"/>
    <x v="1"/>
    <n v="2496.7676064256989"/>
    <n v="49.77"/>
    <n v="49.78"/>
    <n v="49.78"/>
    <s v="September 2022"/>
  </r>
  <r>
    <d v="2022-09-08T00:00:00"/>
    <x v="1685"/>
    <n v="67"/>
    <x v="2"/>
    <x v="6"/>
    <x v="0"/>
    <x v="3"/>
    <n v="3082.74"/>
    <x v="0"/>
    <n v="2503.6022787783854"/>
    <n v="3391.01"/>
    <n v="3391.0200000000004"/>
    <n v="3391.01"/>
    <s v="September 2022"/>
  </r>
  <r>
    <d v="2022-09-08T00:00:00"/>
    <x v="1686"/>
    <n v="1"/>
    <x v="0"/>
    <x v="5"/>
    <x v="3"/>
    <x v="5"/>
    <n v="232.14"/>
    <x v="2"/>
    <n v="2496.7676064256989"/>
    <n v="255.35"/>
    <n v="255.35999999999999"/>
    <n v="255.35"/>
    <s v="September 2022"/>
  </r>
  <r>
    <d v="2022-09-09T00:00:00"/>
    <x v="1687"/>
    <n v="88"/>
    <x v="1"/>
    <x v="1"/>
    <x v="0"/>
    <x v="3"/>
    <n v="245.81"/>
    <x v="0"/>
    <n v="2503.6022787783854"/>
    <n v="270.39"/>
    <n v="270.39999999999998"/>
    <n v="270.39"/>
    <s v="September 2022"/>
  </r>
  <r>
    <d v="2022-09-09T00:00:00"/>
    <x v="1688"/>
    <n v="19"/>
    <x v="0"/>
    <x v="3"/>
    <x v="1"/>
    <x v="1"/>
    <n v="456.33"/>
    <x v="1"/>
    <n v="2509.1716796874912"/>
    <n v="501.96"/>
    <n v="501.96999999999997"/>
    <n v="501.96"/>
    <s v="September 2022"/>
  </r>
  <r>
    <d v="2022-09-09T00:00:00"/>
    <x v="1689"/>
    <n v="49"/>
    <x v="0"/>
    <x v="7"/>
    <x v="1"/>
    <x v="0"/>
    <n v="2005.36"/>
    <x v="1"/>
    <n v="2509.1716796874912"/>
    <n v="2205.89"/>
    <n v="2205.9"/>
    <n v="2205.9"/>
    <s v="September 2022"/>
  </r>
  <r>
    <d v="2022-09-09T00:00:00"/>
    <x v="1690"/>
    <n v="62"/>
    <x v="1"/>
    <x v="5"/>
    <x v="0"/>
    <x v="3"/>
    <n v="4764.66"/>
    <x v="1"/>
    <n v="2503.6022787783854"/>
    <n v="5241.12"/>
    <n v="5241.13"/>
    <n v="5241.13"/>
    <s v="September 2022"/>
  </r>
  <r>
    <d v="2022-09-09T00:00:00"/>
    <x v="1691"/>
    <n v="80"/>
    <x v="0"/>
    <x v="4"/>
    <x v="1"/>
    <x v="4"/>
    <n v="3746.93"/>
    <x v="0"/>
    <n v="2509.1716796874912"/>
    <n v="4121.62"/>
    <n v="4121.63"/>
    <n v="4121.62"/>
    <s v="September 2022"/>
  </r>
  <r>
    <d v="2022-09-09T00:00:00"/>
    <x v="1692"/>
    <n v="41"/>
    <x v="0"/>
    <x v="4"/>
    <x v="2"/>
    <x v="4"/>
    <n v="1733.08"/>
    <x v="1"/>
    <n v="2440.2966694490838"/>
    <n v="1906.38"/>
    <n v="1906.39"/>
    <n v="1906.39"/>
    <s v="September 2022"/>
  </r>
  <r>
    <d v="2022-09-09T00:00:00"/>
    <x v="1693"/>
    <n v="60"/>
    <x v="1"/>
    <x v="5"/>
    <x v="0"/>
    <x v="3"/>
    <n v="2740.93"/>
    <x v="1"/>
    <n v="2503.6022787783854"/>
    <n v="3015.02"/>
    <n v="3015.03"/>
    <n v="3015.02"/>
    <s v="September 2022"/>
  </r>
  <r>
    <d v="2022-09-09T00:00:00"/>
    <x v="1694"/>
    <n v="94"/>
    <x v="0"/>
    <x v="5"/>
    <x v="3"/>
    <x v="1"/>
    <n v="2858.85"/>
    <x v="0"/>
    <n v="2496.7676064256989"/>
    <n v="3144.73"/>
    <n v="3144.7400000000002"/>
    <n v="3144.74"/>
    <s v="September 2022"/>
  </r>
  <r>
    <d v="2022-09-09T00:00:00"/>
    <x v="1695"/>
    <n v="28"/>
    <x v="1"/>
    <x v="2"/>
    <x v="0"/>
    <x v="2"/>
    <n v="3104.37"/>
    <x v="1"/>
    <n v="2503.6022787783854"/>
    <n v="3414.8"/>
    <n v="3414.8100000000004"/>
    <n v="3414.81"/>
    <s v="September 2022"/>
  </r>
  <r>
    <d v="2022-09-10T00:00:00"/>
    <x v="1696"/>
    <n v="54"/>
    <x v="2"/>
    <x v="1"/>
    <x v="3"/>
    <x v="1"/>
    <n v="2490.8200000000002"/>
    <x v="1"/>
    <n v="2496.7676064256989"/>
    <n v="2739.9"/>
    <n v="2739.9100000000003"/>
    <n v="2739.9"/>
    <s v="September 2022"/>
  </r>
  <r>
    <d v="2022-09-10T00:00:00"/>
    <x v="1697"/>
    <n v="86"/>
    <x v="1"/>
    <x v="0"/>
    <x v="1"/>
    <x v="1"/>
    <n v="3629.46"/>
    <x v="0"/>
    <n v="2509.1716796874912"/>
    <n v="3992.4"/>
    <n v="3992.4100000000003"/>
    <n v="3992.41"/>
    <s v="September 2022"/>
  </r>
  <r>
    <d v="2022-09-10T00:00:00"/>
    <x v="1698"/>
    <n v="50"/>
    <x v="2"/>
    <x v="1"/>
    <x v="2"/>
    <x v="1"/>
    <n v="2126.1999999999998"/>
    <x v="1"/>
    <n v="2440.2966694490838"/>
    <n v="2338.8200000000002"/>
    <n v="2338.8200000000002"/>
    <n v="2338.8200000000002"/>
    <s v="September 2022"/>
  </r>
  <r>
    <d v="2022-09-10T00:00:00"/>
    <x v="1699"/>
    <n v="77"/>
    <x v="2"/>
    <x v="4"/>
    <x v="3"/>
    <x v="0"/>
    <n v="4541.84"/>
    <x v="0"/>
    <n v="2496.7676064256989"/>
    <n v="4996.0200000000004"/>
    <n v="4996.0300000000007"/>
    <n v="4996.0200000000004"/>
    <s v="September 2022"/>
  </r>
  <r>
    <d v="2022-09-11T00:00:00"/>
    <x v="1700"/>
    <n v="96"/>
    <x v="0"/>
    <x v="4"/>
    <x v="3"/>
    <x v="0"/>
    <n v="3667.41"/>
    <x v="0"/>
    <n v="2496.7676064256989"/>
    <n v="4034.15"/>
    <n v="4034.1600000000003"/>
    <n v="4034.15"/>
    <s v="September 2022"/>
  </r>
  <r>
    <d v="2022-09-11T00:00:00"/>
    <x v="1701"/>
    <n v="41"/>
    <x v="1"/>
    <x v="2"/>
    <x v="3"/>
    <x v="1"/>
    <n v="2332.39"/>
    <x v="1"/>
    <n v="2496.7676064256989"/>
    <n v="2565.62"/>
    <n v="2565.63"/>
    <n v="2565.63"/>
    <s v="September 2022"/>
  </r>
  <r>
    <d v="2022-09-11T00:00:00"/>
    <x v="1702"/>
    <n v="61"/>
    <x v="0"/>
    <x v="7"/>
    <x v="3"/>
    <x v="4"/>
    <n v="971.85"/>
    <x v="1"/>
    <n v="2496.7676064256989"/>
    <n v="1069.03"/>
    <n v="1069.04"/>
    <n v="1069.04"/>
    <s v="September 2022"/>
  </r>
  <r>
    <d v="2022-09-11T00:00:00"/>
    <x v="1703"/>
    <n v="72"/>
    <x v="0"/>
    <x v="3"/>
    <x v="0"/>
    <x v="0"/>
    <n v="2014.04"/>
    <x v="0"/>
    <n v="2503.6022787783854"/>
    <n v="2215.44"/>
    <n v="2215.4500000000003"/>
    <n v="2215.44"/>
    <s v="September 2022"/>
  </r>
  <r>
    <d v="2022-09-12T00:00:00"/>
    <x v="1704"/>
    <n v="58"/>
    <x v="1"/>
    <x v="6"/>
    <x v="0"/>
    <x v="1"/>
    <n v="1524.72"/>
    <x v="1"/>
    <n v="2503.6022787783854"/>
    <n v="1677.19"/>
    <n v="1677.2"/>
    <n v="1677.19"/>
    <s v="September 2022"/>
  </r>
  <r>
    <d v="2022-09-12T00:00:00"/>
    <x v="1705"/>
    <n v="44"/>
    <x v="2"/>
    <x v="7"/>
    <x v="1"/>
    <x v="1"/>
    <n v="681.51"/>
    <x v="1"/>
    <n v="2509.1716796874912"/>
    <n v="749.66"/>
    <n v="749.67"/>
    <n v="749.66"/>
    <s v="September 2022"/>
  </r>
  <r>
    <d v="2022-09-12T00:00:00"/>
    <x v="1706"/>
    <n v="36"/>
    <x v="0"/>
    <x v="4"/>
    <x v="1"/>
    <x v="0"/>
    <n v="4618.6000000000004"/>
    <x v="1"/>
    <n v="2509.1716796874912"/>
    <n v="5080.46"/>
    <n v="5080.46"/>
    <n v="5080.46"/>
    <s v="September 2022"/>
  </r>
  <r>
    <d v="2022-09-12T00:00:00"/>
    <x v="1707"/>
    <n v="48"/>
    <x v="1"/>
    <x v="5"/>
    <x v="0"/>
    <x v="0"/>
    <n v="373.47"/>
    <x v="1"/>
    <n v="2503.6022787783854"/>
    <n v="410.81"/>
    <n v="410.82"/>
    <n v="410.82"/>
    <s v="September 2022"/>
  </r>
  <r>
    <d v="2022-09-12T00:00:00"/>
    <x v="1708"/>
    <n v="12"/>
    <x v="0"/>
    <x v="7"/>
    <x v="1"/>
    <x v="2"/>
    <n v="4508.42"/>
    <x v="2"/>
    <n v="2509.1716796874912"/>
    <n v="4959.26"/>
    <n v="4959.2700000000004"/>
    <n v="4959.26"/>
    <s v="September 2022"/>
  </r>
  <r>
    <d v="2022-09-12T00:00:00"/>
    <x v="1709"/>
    <n v="91"/>
    <x v="1"/>
    <x v="7"/>
    <x v="1"/>
    <x v="1"/>
    <n v="3982.13"/>
    <x v="0"/>
    <n v="2509.1716796874912"/>
    <n v="4380.34"/>
    <n v="4380.3500000000004"/>
    <n v="4380.34"/>
    <s v="September 2022"/>
  </r>
  <r>
    <d v="2022-09-12T00:00:00"/>
    <x v="1710"/>
    <n v="80"/>
    <x v="0"/>
    <x v="1"/>
    <x v="0"/>
    <x v="0"/>
    <n v="826.46"/>
    <x v="0"/>
    <n v="2503.6022787783854"/>
    <n v="909.1"/>
    <n v="909.11"/>
    <n v="909.11"/>
    <s v="September 2022"/>
  </r>
  <r>
    <d v="2022-09-12T00:00:00"/>
    <x v="1711"/>
    <n v="73"/>
    <x v="0"/>
    <x v="6"/>
    <x v="3"/>
    <x v="3"/>
    <n v="2013.7"/>
    <x v="0"/>
    <n v="2496.7676064256989"/>
    <n v="2215.0700000000002"/>
    <n v="2215.0700000000002"/>
    <n v="2215.0700000000002"/>
    <s v="September 2022"/>
  </r>
  <r>
    <d v="2022-09-13T00:00:00"/>
    <x v="1712"/>
    <n v="57"/>
    <x v="2"/>
    <x v="0"/>
    <x v="1"/>
    <x v="3"/>
    <n v="2401.3000000000002"/>
    <x v="1"/>
    <n v="2509.1716796874912"/>
    <n v="2641.43"/>
    <n v="2641.43"/>
    <n v="2641.43"/>
    <s v="September 2022"/>
  </r>
  <r>
    <d v="2022-09-13T00:00:00"/>
    <x v="1713"/>
    <n v="25"/>
    <x v="2"/>
    <x v="1"/>
    <x v="3"/>
    <x v="4"/>
    <n v="2791.53"/>
    <x v="1"/>
    <n v="2496.7676064256989"/>
    <n v="3070.68"/>
    <n v="3070.69"/>
    <n v="3070.68"/>
    <s v="September 2022"/>
  </r>
  <r>
    <d v="2022-09-13T00:00:00"/>
    <x v="1714"/>
    <n v="93"/>
    <x v="2"/>
    <x v="2"/>
    <x v="3"/>
    <x v="0"/>
    <n v="394.94"/>
    <x v="0"/>
    <n v="2496.7676064256989"/>
    <n v="434.43"/>
    <n v="434.44"/>
    <n v="434.43"/>
    <s v="September 2022"/>
  </r>
  <r>
    <d v="2022-09-13T00:00:00"/>
    <x v="1715"/>
    <n v="66"/>
    <x v="0"/>
    <x v="6"/>
    <x v="0"/>
    <x v="0"/>
    <n v="96.28"/>
    <x v="0"/>
    <n v="2503.6022787783854"/>
    <n v="105.9"/>
    <n v="105.91000000000001"/>
    <n v="105.91"/>
    <s v="September 2022"/>
  </r>
  <r>
    <d v="2022-09-13T00:00:00"/>
    <x v="1716"/>
    <n v="3"/>
    <x v="1"/>
    <x v="4"/>
    <x v="2"/>
    <x v="4"/>
    <n v="1696.04"/>
    <x v="2"/>
    <n v="2440.2966694490838"/>
    <n v="1865.64"/>
    <n v="1865.65"/>
    <n v="1865.64"/>
    <s v="September 2022"/>
  </r>
  <r>
    <d v="2022-09-13T00:00:00"/>
    <x v="1717"/>
    <n v="24"/>
    <x v="0"/>
    <x v="5"/>
    <x v="0"/>
    <x v="1"/>
    <n v="93.05"/>
    <x v="1"/>
    <n v="2503.6022787783854"/>
    <n v="102.35"/>
    <n v="102.36"/>
    <n v="102.36"/>
    <s v="September 2022"/>
  </r>
  <r>
    <d v="2022-09-13T00:00:00"/>
    <x v="1718"/>
    <n v="13"/>
    <x v="1"/>
    <x v="3"/>
    <x v="0"/>
    <x v="2"/>
    <n v="4346.63"/>
    <x v="2"/>
    <n v="2503.6022787783854"/>
    <n v="4781.29"/>
    <n v="4781.3"/>
    <n v="4781.29"/>
    <s v="September 2022"/>
  </r>
  <r>
    <d v="2022-09-13T00:00:00"/>
    <x v="1719"/>
    <n v="69"/>
    <x v="0"/>
    <x v="3"/>
    <x v="1"/>
    <x v="4"/>
    <n v="1825.65"/>
    <x v="0"/>
    <n v="2509.1716796874912"/>
    <n v="2008.21"/>
    <n v="2008.22"/>
    <n v="2008.22"/>
    <s v="September 2022"/>
  </r>
  <r>
    <d v="2022-09-13T00:00:00"/>
    <x v="1720"/>
    <n v="63"/>
    <x v="0"/>
    <x v="3"/>
    <x v="2"/>
    <x v="1"/>
    <n v="152.4"/>
    <x v="1"/>
    <n v="2440.2966694490838"/>
    <n v="167.64"/>
    <n v="167.64"/>
    <n v="167.64"/>
    <s v="September 2022"/>
  </r>
  <r>
    <d v="2022-09-13T00:00:00"/>
    <x v="1721"/>
    <n v="60"/>
    <x v="1"/>
    <x v="0"/>
    <x v="1"/>
    <x v="3"/>
    <n v="2791.57"/>
    <x v="1"/>
    <n v="2509.1716796874912"/>
    <n v="3070.72"/>
    <n v="3070.73"/>
    <n v="3070.73"/>
    <s v="September 2022"/>
  </r>
  <r>
    <d v="2022-09-13T00:00:00"/>
    <x v="1722"/>
    <n v="43"/>
    <x v="2"/>
    <x v="6"/>
    <x v="3"/>
    <x v="4"/>
    <n v="1553.04"/>
    <x v="1"/>
    <n v="2496.7676064256989"/>
    <n v="1708.34"/>
    <n v="1708.35"/>
    <n v="1708.34"/>
    <s v="September 2022"/>
  </r>
  <r>
    <d v="2022-09-14T00:00:00"/>
    <x v="1723"/>
    <n v="32"/>
    <x v="2"/>
    <x v="5"/>
    <x v="1"/>
    <x v="2"/>
    <n v="4783.96"/>
    <x v="1"/>
    <n v="2509.1716796874912"/>
    <n v="5262.35"/>
    <n v="5262.3600000000006"/>
    <n v="5262.36"/>
    <s v="September 2022"/>
  </r>
  <r>
    <d v="2022-09-14T00:00:00"/>
    <x v="1724"/>
    <n v="20"/>
    <x v="1"/>
    <x v="3"/>
    <x v="3"/>
    <x v="4"/>
    <n v="1876.79"/>
    <x v="1"/>
    <n v="2496.7676064256989"/>
    <n v="2064.46"/>
    <n v="2064.4700000000003"/>
    <n v="2064.4699999999998"/>
    <s v="September 2022"/>
  </r>
  <r>
    <d v="2022-09-14T00:00:00"/>
    <x v="1725"/>
    <n v="31"/>
    <x v="2"/>
    <x v="2"/>
    <x v="1"/>
    <x v="3"/>
    <n v="2730.52"/>
    <x v="1"/>
    <n v="2509.1716796874912"/>
    <n v="3003.57"/>
    <n v="3003.5800000000004"/>
    <n v="3003.57"/>
    <s v="September 2022"/>
  </r>
  <r>
    <d v="2022-09-14T00:00:00"/>
    <x v="1726"/>
    <n v="46"/>
    <x v="0"/>
    <x v="5"/>
    <x v="2"/>
    <x v="3"/>
    <n v="4898.6000000000004"/>
    <x v="1"/>
    <n v="2440.2966694490838"/>
    <n v="5388.46"/>
    <n v="5388.46"/>
    <n v="5388.46"/>
    <s v="September 2022"/>
  </r>
  <r>
    <d v="2022-09-14T00:00:00"/>
    <x v="1727"/>
    <n v="67"/>
    <x v="0"/>
    <x v="6"/>
    <x v="2"/>
    <x v="3"/>
    <n v="2366.04"/>
    <x v="0"/>
    <n v="2440.2966694490838"/>
    <n v="2602.64"/>
    <n v="2602.65"/>
    <n v="2602.64"/>
    <s v="September 2022"/>
  </r>
  <r>
    <d v="2022-09-14T00:00:00"/>
    <x v="1728"/>
    <n v="97"/>
    <x v="0"/>
    <x v="2"/>
    <x v="1"/>
    <x v="3"/>
    <n v="2262.2199999999998"/>
    <x v="0"/>
    <n v="2509.1716796874912"/>
    <n v="2488.44"/>
    <n v="2488.4500000000003"/>
    <n v="2488.44"/>
    <s v="September 2022"/>
  </r>
  <r>
    <d v="2022-09-14T00:00:00"/>
    <x v="1729"/>
    <n v="87"/>
    <x v="1"/>
    <x v="2"/>
    <x v="3"/>
    <x v="2"/>
    <n v="470.47"/>
    <x v="0"/>
    <n v="2496.7676064256989"/>
    <n v="517.51"/>
    <n v="517.52"/>
    <n v="517.52"/>
    <s v="September 2022"/>
  </r>
  <r>
    <d v="2022-09-14T00:00:00"/>
    <x v="1730"/>
    <n v="98"/>
    <x v="1"/>
    <x v="3"/>
    <x v="1"/>
    <x v="0"/>
    <n v="1705.46"/>
    <x v="0"/>
    <n v="2509.1716796874912"/>
    <n v="1876"/>
    <n v="1876.01"/>
    <n v="1876.01"/>
    <s v="September 2022"/>
  </r>
  <r>
    <d v="2022-09-14T00:00:00"/>
    <x v="1731"/>
    <n v="87"/>
    <x v="2"/>
    <x v="2"/>
    <x v="2"/>
    <x v="3"/>
    <n v="3441.45"/>
    <x v="0"/>
    <n v="2440.2966694490838"/>
    <n v="3785.59"/>
    <n v="3785.6000000000004"/>
    <n v="3785.6"/>
    <s v="September 2022"/>
  </r>
  <r>
    <d v="2022-09-15T00:00:00"/>
    <x v="1732"/>
    <n v="39"/>
    <x v="1"/>
    <x v="2"/>
    <x v="1"/>
    <x v="0"/>
    <n v="4152.51"/>
    <x v="1"/>
    <n v="2509.1716796874912"/>
    <n v="4567.76"/>
    <n v="4567.7700000000004"/>
    <n v="4567.76"/>
    <s v="September 2022"/>
  </r>
  <r>
    <d v="2022-09-15T00:00:00"/>
    <x v="1733"/>
    <n v="2"/>
    <x v="1"/>
    <x v="7"/>
    <x v="1"/>
    <x v="4"/>
    <n v="3514.6"/>
    <x v="2"/>
    <n v="2509.1716796874912"/>
    <n v="3866.06"/>
    <n v="3866.06"/>
    <n v="3866.06"/>
    <s v="September 2022"/>
  </r>
  <r>
    <d v="2022-09-15T00:00:00"/>
    <x v="1734"/>
    <n v="43"/>
    <x v="0"/>
    <x v="2"/>
    <x v="3"/>
    <x v="3"/>
    <n v="1816.27"/>
    <x v="1"/>
    <n v="2496.7676064256989"/>
    <n v="1997.89"/>
    <n v="1997.9"/>
    <n v="1997.9"/>
    <s v="September 2022"/>
  </r>
  <r>
    <d v="2022-09-15T00:00:00"/>
    <x v="1735"/>
    <n v="96"/>
    <x v="2"/>
    <x v="7"/>
    <x v="0"/>
    <x v="3"/>
    <n v="4610.16"/>
    <x v="0"/>
    <n v="2503.6022787783854"/>
    <n v="5071.17"/>
    <n v="5071.18"/>
    <n v="5071.18"/>
    <s v="September 2022"/>
  </r>
  <r>
    <d v="2022-09-15T00:00:00"/>
    <x v="1736"/>
    <n v="66"/>
    <x v="0"/>
    <x v="3"/>
    <x v="0"/>
    <x v="3"/>
    <n v="2583.61"/>
    <x v="0"/>
    <n v="2503.6022787783854"/>
    <n v="2841.97"/>
    <n v="2841.98"/>
    <n v="2841.97"/>
    <s v="September 2022"/>
  </r>
  <r>
    <d v="2022-09-16T00:00:00"/>
    <x v="1737"/>
    <n v="7"/>
    <x v="0"/>
    <x v="4"/>
    <x v="0"/>
    <x v="1"/>
    <n v="3711.15"/>
    <x v="2"/>
    <n v="2503.6022787783854"/>
    <n v="4082.26"/>
    <n v="4082.2700000000004"/>
    <n v="4082.27"/>
    <s v="September 2022"/>
  </r>
  <r>
    <d v="2022-09-16T00:00:00"/>
    <x v="1738"/>
    <n v="93"/>
    <x v="0"/>
    <x v="2"/>
    <x v="1"/>
    <x v="2"/>
    <n v="3149.42"/>
    <x v="0"/>
    <n v="2509.1716796874912"/>
    <n v="3464.36"/>
    <n v="3464.3700000000003"/>
    <n v="3464.36"/>
    <s v="September 2022"/>
  </r>
  <r>
    <d v="2022-09-16T00:00:00"/>
    <x v="1739"/>
    <n v="4"/>
    <x v="1"/>
    <x v="4"/>
    <x v="2"/>
    <x v="4"/>
    <n v="2111.3200000000002"/>
    <x v="2"/>
    <n v="2440.2966694490838"/>
    <n v="2322.4499999999998"/>
    <n v="2322.46"/>
    <n v="2322.4499999999998"/>
    <s v="September 2022"/>
  </r>
  <r>
    <d v="2022-09-16T00:00:00"/>
    <x v="1740"/>
    <n v="26"/>
    <x v="2"/>
    <x v="4"/>
    <x v="3"/>
    <x v="0"/>
    <n v="918.04"/>
    <x v="1"/>
    <n v="2496.7676064256989"/>
    <n v="1009.84"/>
    <n v="1009.85"/>
    <n v="1009.84"/>
    <s v="September 2022"/>
  </r>
  <r>
    <d v="2022-09-16T00:00:00"/>
    <x v="1741"/>
    <n v="11"/>
    <x v="0"/>
    <x v="0"/>
    <x v="2"/>
    <x v="0"/>
    <n v="3526.41"/>
    <x v="2"/>
    <n v="2440.2966694490838"/>
    <n v="3879.05"/>
    <n v="3879.0600000000004"/>
    <n v="3879.05"/>
    <s v="September 2022"/>
  </r>
  <r>
    <d v="2022-09-16T00:00:00"/>
    <x v="1742"/>
    <n v="98"/>
    <x v="1"/>
    <x v="1"/>
    <x v="1"/>
    <x v="2"/>
    <n v="2570.5300000000002"/>
    <x v="0"/>
    <n v="2509.1716796874912"/>
    <n v="2827.58"/>
    <n v="2827.59"/>
    <n v="2827.58"/>
    <s v="September 2022"/>
  </r>
  <r>
    <d v="2022-09-16T00:00:00"/>
    <x v="1743"/>
    <n v="5"/>
    <x v="1"/>
    <x v="6"/>
    <x v="0"/>
    <x v="0"/>
    <n v="767.5"/>
    <x v="2"/>
    <n v="2503.6022787783854"/>
    <n v="844.25"/>
    <n v="844.25"/>
    <n v="844.25"/>
    <s v="September 2022"/>
  </r>
  <r>
    <d v="2022-09-16T00:00:00"/>
    <x v="1744"/>
    <n v="32"/>
    <x v="0"/>
    <x v="7"/>
    <x v="1"/>
    <x v="1"/>
    <n v="4799.0600000000004"/>
    <x v="1"/>
    <n v="2509.1716796874912"/>
    <n v="5278.96"/>
    <n v="5278.97"/>
    <n v="5278.97"/>
    <s v="September 2022"/>
  </r>
  <r>
    <d v="2022-09-16T00:00:00"/>
    <x v="1745"/>
    <n v="63"/>
    <x v="2"/>
    <x v="1"/>
    <x v="3"/>
    <x v="0"/>
    <n v="1423.37"/>
    <x v="1"/>
    <n v="2496.7676064256989"/>
    <n v="1565.7"/>
    <n v="1565.71"/>
    <n v="1565.71"/>
    <s v="September 2022"/>
  </r>
  <r>
    <d v="2022-09-16T00:00:00"/>
    <x v="1746"/>
    <n v="14"/>
    <x v="0"/>
    <x v="5"/>
    <x v="0"/>
    <x v="0"/>
    <n v="4442.88"/>
    <x v="2"/>
    <n v="2503.6022787783854"/>
    <n v="4887.16"/>
    <n v="4887.17"/>
    <n v="4887.17"/>
    <s v="September 2022"/>
  </r>
  <r>
    <d v="2022-09-17T00:00:00"/>
    <x v="1747"/>
    <n v="38"/>
    <x v="0"/>
    <x v="0"/>
    <x v="3"/>
    <x v="0"/>
    <n v="4655.07"/>
    <x v="1"/>
    <n v="2496.7676064256989"/>
    <n v="5120.57"/>
    <n v="5120.58"/>
    <n v="5120.58"/>
    <s v="September 2022"/>
  </r>
  <r>
    <d v="2022-09-17T00:00:00"/>
    <x v="1748"/>
    <n v="35"/>
    <x v="2"/>
    <x v="1"/>
    <x v="0"/>
    <x v="4"/>
    <n v="1251.46"/>
    <x v="1"/>
    <n v="2503.6022787783854"/>
    <n v="1376.6"/>
    <n v="1376.61"/>
    <n v="1376.61"/>
    <s v="September 2022"/>
  </r>
  <r>
    <d v="2022-09-17T00:00:00"/>
    <x v="1749"/>
    <n v="30"/>
    <x v="2"/>
    <x v="1"/>
    <x v="0"/>
    <x v="5"/>
    <n v="425.62"/>
    <x v="1"/>
    <n v="2503.6022787783854"/>
    <n v="468.18"/>
    <n v="468.19"/>
    <n v="468.18"/>
    <s v="September 2022"/>
  </r>
  <r>
    <d v="2022-09-17T00:00:00"/>
    <x v="1750"/>
    <n v="47"/>
    <x v="2"/>
    <x v="1"/>
    <x v="0"/>
    <x v="0"/>
    <n v="183.03"/>
    <x v="1"/>
    <n v="2503.6022787783854"/>
    <n v="201.33"/>
    <n v="201.34"/>
    <n v="201.33"/>
    <s v="September 2022"/>
  </r>
  <r>
    <d v="2022-09-17T00:00:00"/>
    <x v="1751"/>
    <n v="30"/>
    <x v="0"/>
    <x v="0"/>
    <x v="1"/>
    <x v="0"/>
    <n v="2861.15"/>
    <x v="1"/>
    <n v="2509.1716796874912"/>
    <n v="3147.26"/>
    <n v="3147.2700000000004"/>
    <n v="3147.27"/>
    <s v="September 2022"/>
  </r>
  <r>
    <d v="2022-09-18T00:00:00"/>
    <x v="1752"/>
    <n v="57"/>
    <x v="1"/>
    <x v="0"/>
    <x v="1"/>
    <x v="3"/>
    <n v="2316.61"/>
    <x v="1"/>
    <n v="2509.1716796874912"/>
    <n v="2548.27"/>
    <n v="2548.2800000000002"/>
    <n v="2548.27"/>
    <s v="September 2022"/>
  </r>
  <r>
    <d v="2022-09-18T00:00:00"/>
    <x v="1753"/>
    <n v="56"/>
    <x v="0"/>
    <x v="0"/>
    <x v="1"/>
    <x v="4"/>
    <n v="4874.1000000000004"/>
    <x v="1"/>
    <n v="2509.1716796874912"/>
    <n v="5361.51"/>
    <n v="5361.51"/>
    <n v="5361.51"/>
    <s v="September 2022"/>
  </r>
  <r>
    <d v="2022-09-18T00:00:00"/>
    <x v="1754"/>
    <n v="12"/>
    <x v="1"/>
    <x v="1"/>
    <x v="3"/>
    <x v="2"/>
    <n v="3933.33"/>
    <x v="2"/>
    <n v="2496.7676064256989"/>
    <n v="4326.66"/>
    <n v="4326.67"/>
    <n v="4326.66"/>
    <s v="September 2022"/>
  </r>
  <r>
    <d v="2022-09-18T00:00:00"/>
    <x v="1755"/>
    <n v="97"/>
    <x v="2"/>
    <x v="6"/>
    <x v="1"/>
    <x v="2"/>
    <n v="4145.25"/>
    <x v="0"/>
    <n v="2509.1716796874912"/>
    <n v="4559.7700000000004"/>
    <n v="4559.7800000000007"/>
    <n v="4559.78"/>
    <s v="September 2022"/>
  </r>
  <r>
    <d v="2022-09-18T00:00:00"/>
    <x v="1756"/>
    <n v="18"/>
    <x v="1"/>
    <x v="6"/>
    <x v="2"/>
    <x v="3"/>
    <n v="3813.25"/>
    <x v="1"/>
    <n v="2440.2966694490838"/>
    <n v="4194.57"/>
    <n v="4194.58"/>
    <n v="4194.58"/>
    <s v="September 2022"/>
  </r>
  <r>
    <d v="2022-09-18T00:00:00"/>
    <x v="1757"/>
    <n v="14"/>
    <x v="0"/>
    <x v="0"/>
    <x v="0"/>
    <x v="1"/>
    <n v="2038.9"/>
    <x v="2"/>
    <n v="2503.6022787783854"/>
    <n v="2242.79"/>
    <n v="2242.79"/>
    <n v="2242.79"/>
    <s v="September 2022"/>
  </r>
  <r>
    <d v="2022-09-18T00:00:00"/>
    <x v="1758"/>
    <n v="74"/>
    <x v="0"/>
    <x v="4"/>
    <x v="0"/>
    <x v="1"/>
    <n v="4379.3"/>
    <x v="0"/>
    <n v="2503.6022787783854"/>
    <n v="4817.2299999999996"/>
    <n v="4817.2299999999996"/>
    <n v="4817.2299999999996"/>
    <s v="September 2022"/>
  </r>
  <r>
    <d v="2022-09-19T00:00:00"/>
    <x v="1759"/>
    <n v="40"/>
    <x v="0"/>
    <x v="1"/>
    <x v="2"/>
    <x v="4"/>
    <n v="1876.17"/>
    <x v="1"/>
    <n v="2440.2966694490838"/>
    <n v="2063.7800000000002"/>
    <n v="2063.7900000000004"/>
    <n v="2063.79"/>
    <s v="September 2022"/>
  </r>
  <r>
    <d v="2022-09-19T00:00:00"/>
    <x v="1760"/>
    <n v="50"/>
    <x v="0"/>
    <x v="5"/>
    <x v="2"/>
    <x v="1"/>
    <n v="1090.81"/>
    <x v="1"/>
    <n v="2440.2966694490838"/>
    <n v="1199.8900000000001"/>
    <n v="1199.9000000000001"/>
    <n v="1199.8900000000001"/>
    <s v="September 2022"/>
  </r>
  <r>
    <d v="2022-09-19T00:00:00"/>
    <x v="1761"/>
    <n v="46"/>
    <x v="2"/>
    <x v="7"/>
    <x v="2"/>
    <x v="3"/>
    <n v="4428.6000000000004"/>
    <x v="1"/>
    <n v="2440.2966694490838"/>
    <n v="4871.46"/>
    <n v="4871.46"/>
    <n v="4871.46"/>
    <s v="September 2022"/>
  </r>
  <r>
    <d v="2022-09-19T00:00:00"/>
    <x v="1762"/>
    <n v="10"/>
    <x v="0"/>
    <x v="1"/>
    <x v="1"/>
    <x v="1"/>
    <n v="1201.92"/>
    <x v="2"/>
    <n v="2509.1716796874912"/>
    <n v="1322.11"/>
    <n v="1322.12"/>
    <n v="1322.11"/>
    <s v="September 2022"/>
  </r>
  <r>
    <d v="2022-09-19T00:00:00"/>
    <x v="1763"/>
    <n v="36"/>
    <x v="2"/>
    <x v="5"/>
    <x v="1"/>
    <x v="4"/>
    <n v="3375.08"/>
    <x v="1"/>
    <n v="2509.1716796874912"/>
    <n v="3712.58"/>
    <n v="3712.59"/>
    <n v="3712.59"/>
    <s v="September 2022"/>
  </r>
  <r>
    <d v="2022-09-19T00:00:00"/>
    <x v="1764"/>
    <n v="98"/>
    <x v="0"/>
    <x v="7"/>
    <x v="1"/>
    <x v="1"/>
    <n v="91.81"/>
    <x v="0"/>
    <n v="2509.1716796874912"/>
    <n v="100.99"/>
    <n v="101"/>
    <n v="100.99"/>
    <s v="September 2022"/>
  </r>
  <r>
    <d v="2022-09-19T00:00:00"/>
    <x v="1765"/>
    <n v="95"/>
    <x v="1"/>
    <x v="1"/>
    <x v="1"/>
    <x v="3"/>
    <n v="3015.03"/>
    <x v="0"/>
    <n v="2509.1716796874912"/>
    <n v="3316.53"/>
    <n v="3316.5400000000004"/>
    <n v="3316.53"/>
    <s v="September 2022"/>
  </r>
  <r>
    <d v="2022-09-19T00:00:00"/>
    <x v="1766"/>
    <n v="90"/>
    <x v="1"/>
    <x v="3"/>
    <x v="3"/>
    <x v="3"/>
    <n v="2156.1999999999998"/>
    <x v="0"/>
    <n v="2496.7676064256989"/>
    <n v="2371.8200000000002"/>
    <n v="2371.8200000000002"/>
    <n v="2371.8200000000002"/>
    <s v="September 2022"/>
  </r>
  <r>
    <d v="2022-09-19T00:00:00"/>
    <x v="1767"/>
    <n v="2"/>
    <x v="0"/>
    <x v="7"/>
    <x v="1"/>
    <x v="2"/>
    <n v="3554.41"/>
    <x v="2"/>
    <n v="2509.1716796874912"/>
    <n v="3909.85"/>
    <n v="3909.86"/>
    <n v="3909.85"/>
    <s v="September 2022"/>
  </r>
  <r>
    <d v="2022-09-19T00:00:00"/>
    <x v="1768"/>
    <n v="72"/>
    <x v="1"/>
    <x v="2"/>
    <x v="1"/>
    <x v="2"/>
    <n v="3765.2"/>
    <x v="0"/>
    <n v="2509.1716796874912"/>
    <n v="4141.72"/>
    <n v="4141.72"/>
    <n v="4141.72"/>
    <s v="September 2022"/>
  </r>
  <r>
    <d v="2022-09-19T00:00:00"/>
    <x v="1769"/>
    <n v="46"/>
    <x v="2"/>
    <x v="4"/>
    <x v="2"/>
    <x v="2"/>
    <n v="1559.67"/>
    <x v="1"/>
    <n v="2440.2966694490838"/>
    <n v="1715.63"/>
    <n v="1715.64"/>
    <n v="1715.64"/>
    <s v="September 2022"/>
  </r>
  <r>
    <d v="2022-09-20T00:00:00"/>
    <x v="1770"/>
    <n v="95"/>
    <x v="0"/>
    <x v="1"/>
    <x v="3"/>
    <x v="4"/>
    <n v="2406.75"/>
    <x v="0"/>
    <n v="2496.7676064256989"/>
    <n v="2647.42"/>
    <n v="2647.4300000000003"/>
    <n v="2647.43"/>
    <s v="September 2022"/>
  </r>
  <r>
    <d v="2022-09-20T00:00:00"/>
    <x v="1771"/>
    <n v="81"/>
    <x v="0"/>
    <x v="6"/>
    <x v="1"/>
    <x v="0"/>
    <n v="2134.44"/>
    <x v="0"/>
    <n v="2509.1716796874912"/>
    <n v="2347.88"/>
    <n v="2347.8900000000003"/>
    <n v="2347.88"/>
    <s v="September 2022"/>
  </r>
  <r>
    <d v="2022-09-20T00:00:00"/>
    <x v="1772"/>
    <n v="23"/>
    <x v="0"/>
    <x v="0"/>
    <x v="1"/>
    <x v="0"/>
    <n v="3612.48"/>
    <x v="1"/>
    <n v="2509.1716796874912"/>
    <n v="3973.72"/>
    <n v="3973.73"/>
    <n v="3973.73"/>
    <s v="September 2022"/>
  </r>
  <r>
    <d v="2022-09-20T00:00:00"/>
    <x v="1773"/>
    <n v="3"/>
    <x v="2"/>
    <x v="0"/>
    <x v="0"/>
    <x v="2"/>
    <n v="2679.42"/>
    <x v="2"/>
    <n v="2503.6022787783854"/>
    <n v="2947.36"/>
    <n v="2947.3700000000003"/>
    <n v="2947.36"/>
    <s v="September 2022"/>
  </r>
  <r>
    <d v="2022-09-20T00:00:00"/>
    <x v="1774"/>
    <n v="68"/>
    <x v="1"/>
    <x v="7"/>
    <x v="2"/>
    <x v="0"/>
    <n v="2462.11"/>
    <x v="0"/>
    <n v="2440.2966694490838"/>
    <n v="2708.32"/>
    <n v="2708.3300000000004"/>
    <n v="2708.32"/>
    <s v="September 2022"/>
  </r>
  <r>
    <d v="2022-09-20T00:00:00"/>
    <x v="1775"/>
    <n v="24"/>
    <x v="2"/>
    <x v="0"/>
    <x v="1"/>
    <x v="3"/>
    <n v="2880.55"/>
    <x v="1"/>
    <n v="2509.1716796874912"/>
    <n v="3168.6"/>
    <n v="3168.61"/>
    <n v="3168.61"/>
    <s v="September 2022"/>
  </r>
  <r>
    <d v="2022-09-21T00:00:00"/>
    <x v="1776"/>
    <n v="28"/>
    <x v="1"/>
    <x v="3"/>
    <x v="2"/>
    <x v="3"/>
    <n v="2693.31"/>
    <x v="1"/>
    <n v="2440.2966694490838"/>
    <n v="2962.64"/>
    <n v="2962.65"/>
    <n v="2962.64"/>
    <s v="September 2022"/>
  </r>
  <r>
    <d v="2022-09-21T00:00:00"/>
    <x v="1777"/>
    <n v="73"/>
    <x v="2"/>
    <x v="3"/>
    <x v="2"/>
    <x v="1"/>
    <n v="1896.52"/>
    <x v="0"/>
    <n v="2440.2966694490838"/>
    <n v="2086.17"/>
    <n v="2086.1800000000003"/>
    <n v="2086.17"/>
    <s v="September 2022"/>
  </r>
  <r>
    <d v="2022-09-21T00:00:00"/>
    <x v="1778"/>
    <n v="72"/>
    <x v="2"/>
    <x v="3"/>
    <x v="0"/>
    <x v="4"/>
    <n v="4921.91"/>
    <x v="0"/>
    <n v="2503.6022787783854"/>
    <n v="5414.1"/>
    <n v="5414.1100000000006"/>
    <n v="5414.1"/>
    <s v="September 2022"/>
  </r>
  <r>
    <d v="2022-09-21T00:00:00"/>
    <x v="1779"/>
    <n v="98"/>
    <x v="0"/>
    <x v="5"/>
    <x v="3"/>
    <x v="4"/>
    <n v="3599.51"/>
    <x v="0"/>
    <n v="2496.7676064256989"/>
    <n v="3959.46"/>
    <n v="3959.4700000000003"/>
    <n v="3959.46"/>
    <s v="September 2022"/>
  </r>
  <r>
    <d v="2022-09-21T00:00:00"/>
    <x v="1780"/>
    <n v="21"/>
    <x v="1"/>
    <x v="0"/>
    <x v="3"/>
    <x v="4"/>
    <n v="4683.1499999999996"/>
    <x v="1"/>
    <n v="2496.7676064256989"/>
    <n v="5151.46"/>
    <n v="5151.47"/>
    <n v="5151.47"/>
    <s v="September 2022"/>
  </r>
  <r>
    <d v="2022-09-21T00:00:00"/>
    <x v="1781"/>
    <n v="28"/>
    <x v="2"/>
    <x v="1"/>
    <x v="1"/>
    <x v="3"/>
    <n v="3701.08"/>
    <x v="1"/>
    <n v="2509.1716796874912"/>
    <n v="4071.18"/>
    <n v="4071.19"/>
    <n v="4071.19"/>
    <s v="September 2022"/>
  </r>
  <r>
    <d v="2022-09-21T00:00:00"/>
    <x v="1782"/>
    <n v="84"/>
    <x v="2"/>
    <x v="3"/>
    <x v="2"/>
    <x v="0"/>
    <n v="4219.2700000000004"/>
    <x v="0"/>
    <n v="2440.2966694490838"/>
    <n v="4641.1899999999996"/>
    <n v="4641.2"/>
    <n v="4641.2"/>
    <s v="September 2022"/>
  </r>
  <r>
    <d v="2022-09-21T00:00:00"/>
    <x v="1783"/>
    <n v="22"/>
    <x v="0"/>
    <x v="2"/>
    <x v="0"/>
    <x v="3"/>
    <n v="2569.65"/>
    <x v="1"/>
    <n v="2503.6022787783854"/>
    <n v="2826.61"/>
    <n v="2826.6200000000003"/>
    <n v="2826.62"/>
    <s v="September 2022"/>
  </r>
  <r>
    <d v="2022-09-21T00:00:00"/>
    <x v="1784"/>
    <n v="67"/>
    <x v="2"/>
    <x v="2"/>
    <x v="1"/>
    <x v="4"/>
    <n v="2507.8000000000002"/>
    <x v="0"/>
    <n v="2509.1716796874912"/>
    <n v="2758.58"/>
    <n v="2758.58"/>
    <n v="2758.58"/>
    <s v="September 2022"/>
  </r>
  <r>
    <d v="2022-09-21T00:00:00"/>
    <x v="1785"/>
    <n v="68"/>
    <x v="2"/>
    <x v="6"/>
    <x v="2"/>
    <x v="3"/>
    <n v="192.7"/>
    <x v="0"/>
    <n v="2440.2966694490838"/>
    <n v="211.97"/>
    <n v="211.97"/>
    <n v="211.97"/>
    <s v="September 2022"/>
  </r>
  <r>
    <d v="2022-09-22T00:00:00"/>
    <x v="1786"/>
    <n v="23"/>
    <x v="2"/>
    <x v="7"/>
    <x v="3"/>
    <x v="0"/>
    <n v="427.95"/>
    <x v="1"/>
    <n v="2496.7676064256989"/>
    <n v="470.74"/>
    <n v="470.75"/>
    <n v="470.75"/>
    <s v="September 2022"/>
  </r>
  <r>
    <d v="2022-09-22T00:00:00"/>
    <x v="1787"/>
    <n v="36"/>
    <x v="0"/>
    <x v="2"/>
    <x v="2"/>
    <x v="1"/>
    <n v="80.28"/>
    <x v="1"/>
    <n v="2440.2966694490838"/>
    <n v="88.3"/>
    <n v="88.31"/>
    <n v="88.31"/>
    <s v="September 2022"/>
  </r>
  <r>
    <d v="2022-09-22T00:00:00"/>
    <x v="1788"/>
    <n v="13"/>
    <x v="1"/>
    <x v="7"/>
    <x v="2"/>
    <x v="3"/>
    <n v="1655.48"/>
    <x v="2"/>
    <n v="2440.2966694490838"/>
    <n v="1821.02"/>
    <n v="1821.03"/>
    <n v="1821.03"/>
    <s v="September 2022"/>
  </r>
  <r>
    <d v="2022-09-22T00:00:00"/>
    <x v="1789"/>
    <n v="6"/>
    <x v="1"/>
    <x v="4"/>
    <x v="3"/>
    <x v="2"/>
    <n v="4322.8999999999996"/>
    <x v="2"/>
    <n v="2496.7676064256989"/>
    <n v="4755.1899999999996"/>
    <n v="4755.1899999999996"/>
    <n v="4755.1899999999996"/>
    <s v="September 2022"/>
  </r>
  <r>
    <d v="2022-09-22T00:00:00"/>
    <x v="1790"/>
    <n v="24"/>
    <x v="2"/>
    <x v="5"/>
    <x v="3"/>
    <x v="4"/>
    <n v="3010.84"/>
    <x v="1"/>
    <n v="2496.7676064256989"/>
    <n v="3311.92"/>
    <n v="3311.9300000000003"/>
    <n v="3311.92"/>
    <s v="September 2022"/>
  </r>
  <r>
    <d v="2022-09-22T00:00:00"/>
    <x v="1791"/>
    <n v="9"/>
    <x v="0"/>
    <x v="1"/>
    <x v="0"/>
    <x v="3"/>
    <n v="3632.65"/>
    <x v="2"/>
    <n v="2503.6022787783854"/>
    <n v="3995.91"/>
    <n v="3995.92"/>
    <n v="3995.92"/>
    <s v="September 2022"/>
  </r>
  <r>
    <d v="2022-09-22T00:00:00"/>
    <x v="1792"/>
    <n v="14"/>
    <x v="0"/>
    <x v="6"/>
    <x v="3"/>
    <x v="0"/>
    <n v="2822.96"/>
    <x v="2"/>
    <n v="2496.7676064256989"/>
    <n v="3105.25"/>
    <n v="3105.26"/>
    <n v="3105.26"/>
    <s v="September 2022"/>
  </r>
  <r>
    <d v="2022-09-22T00:00:00"/>
    <x v="1793"/>
    <n v="32"/>
    <x v="1"/>
    <x v="0"/>
    <x v="1"/>
    <x v="4"/>
    <n v="3661.72"/>
    <x v="1"/>
    <n v="2509.1716796874912"/>
    <n v="4027.89"/>
    <n v="4027.9"/>
    <n v="4027.89"/>
    <s v="September 2022"/>
  </r>
  <r>
    <d v="2022-09-22T00:00:00"/>
    <x v="1794"/>
    <n v="78"/>
    <x v="2"/>
    <x v="7"/>
    <x v="0"/>
    <x v="4"/>
    <n v="4901.8500000000004"/>
    <x v="0"/>
    <n v="2503.6022787783854"/>
    <n v="5392.03"/>
    <n v="5392.04"/>
    <n v="5392.04"/>
    <s v="September 2022"/>
  </r>
  <r>
    <d v="2022-09-23T00:00:00"/>
    <x v="1795"/>
    <n v="53"/>
    <x v="0"/>
    <x v="4"/>
    <x v="1"/>
    <x v="4"/>
    <n v="3450.03"/>
    <x v="1"/>
    <n v="2509.1716796874912"/>
    <n v="3795.03"/>
    <n v="3795.0400000000004"/>
    <n v="3795.03"/>
    <s v="September 2022"/>
  </r>
  <r>
    <d v="2022-09-23T00:00:00"/>
    <x v="1796"/>
    <n v="90"/>
    <x v="2"/>
    <x v="2"/>
    <x v="2"/>
    <x v="0"/>
    <n v="858.86"/>
    <x v="0"/>
    <n v="2440.2966694490838"/>
    <n v="944.74"/>
    <n v="944.75"/>
    <n v="944.75"/>
    <s v="September 2022"/>
  </r>
  <r>
    <d v="2022-09-23T00:00:00"/>
    <x v="1797"/>
    <n v="26"/>
    <x v="2"/>
    <x v="0"/>
    <x v="3"/>
    <x v="3"/>
    <n v="2025.75"/>
    <x v="1"/>
    <n v="2496.7676064256989"/>
    <n v="2228.3200000000002"/>
    <n v="2228.3300000000004"/>
    <n v="2228.33"/>
    <s v="September 2022"/>
  </r>
  <r>
    <d v="2022-09-23T00:00:00"/>
    <x v="1798"/>
    <n v="11"/>
    <x v="2"/>
    <x v="6"/>
    <x v="1"/>
    <x v="5"/>
    <n v="4209.43"/>
    <x v="2"/>
    <n v="2509.1716796874912"/>
    <n v="4630.37"/>
    <n v="4630.38"/>
    <n v="4630.37"/>
    <s v="September 2022"/>
  </r>
  <r>
    <d v="2022-09-23T00:00:00"/>
    <x v="1799"/>
    <n v="28"/>
    <x v="2"/>
    <x v="0"/>
    <x v="3"/>
    <x v="2"/>
    <n v="856.15"/>
    <x v="1"/>
    <n v="2496.7676064256989"/>
    <n v="941.76"/>
    <n v="941.77"/>
    <n v="941.77"/>
    <s v="September 2022"/>
  </r>
  <r>
    <d v="2022-09-23T00:00:00"/>
    <x v="1800"/>
    <n v="5"/>
    <x v="1"/>
    <x v="2"/>
    <x v="1"/>
    <x v="0"/>
    <n v="2536.69"/>
    <x v="2"/>
    <n v="2509.1716796874912"/>
    <n v="2790.35"/>
    <n v="2790.36"/>
    <n v="2790.36"/>
    <s v="September 2022"/>
  </r>
  <r>
    <d v="2022-09-23T00:00:00"/>
    <x v="1801"/>
    <n v="41"/>
    <x v="2"/>
    <x v="0"/>
    <x v="0"/>
    <x v="2"/>
    <n v="869.47"/>
    <x v="1"/>
    <n v="2503.6022787783854"/>
    <n v="956.41"/>
    <n v="956.42"/>
    <n v="956.42"/>
    <s v="September 2022"/>
  </r>
  <r>
    <d v="2022-09-23T00:00:00"/>
    <x v="1802"/>
    <n v="45"/>
    <x v="0"/>
    <x v="6"/>
    <x v="0"/>
    <x v="2"/>
    <n v="3346.23"/>
    <x v="1"/>
    <n v="2503.6022787783854"/>
    <n v="3680.85"/>
    <n v="3680.86"/>
    <n v="3680.85"/>
    <s v="September 2022"/>
  </r>
  <r>
    <d v="2022-09-24T00:00:00"/>
    <x v="1803"/>
    <n v="52"/>
    <x v="2"/>
    <x v="7"/>
    <x v="1"/>
    <x v="0"/>
    <n v="722.38"/>
    <x v="1"/>
    <n v="2509.1716796874912"/>
    <n v="794.61"/>
    <n v="794.62"/>
    <n v="794.62"/>
    <s v="September 2022"/>
  </r>
  <r>
    <d v="2022-09-24T00:00:00"/>
    <x v="1804"/>
    <n v="11"/>
    <x v="2"/>
    <x v="5"/>
    <x v="3"/>
    <x v="3"/>
    <n v="3779.69"/>
    <x v="2"/>
    <n v="2496.7676064256989"/>
    <n v="4157.6499999999996"/>
    <n v="4157.66"/>
    <n v="4157.66"/>
    <s v="September 2022"/>
  </r>
  <r>
    <d v="2022-09-24T00:00:00"/>
    <x v="1805"/>
    <n v="55"/>
    <x v="1"/>
    <x v="1"/>
    <x v="0"/>
    <x v="0"/>
    <n v="1166.44"/>
    <x v="1"/>
    <n v="2503.6022787783854"/>
    <n v="1283.08"/>
    <n v="1283.0899999999999"/>
    <n v="1283.08"/>
    <s v="September 2022"/>
  </r>
  <r>
    <d v="2022-09-24T00:00:00"/>
    <x v="1806"/>
    <n v="48"/>
    <x v="1"/>
    <x v="4"/>
    <x v="0"/>
    <x v="3"/>
    <n v="4581.37"/>
    <x v="1"/>
    <n v="2503.6022787783854"/>
    <n v="5039.5"/>
    <n v="5039.51"/>
    <n v="5039.51"/>
    <s v="September 2022"/>
  </r>
  <r>
    <d v="2022-09-24T00:00:00"/>
    <x v="1807"/>
    <n v="44"/>
    <x v="1"/>
    <x v="1"/>
    <x v="3"/>
    <x v="1"/>
    <n v="3809.31"/>
    <x v="1"/>
    <n v="2496.7676064256989"/>
    <n v="4190.24"/>
    <n v="4190.25"/>
    <n v="4190.24"/>
    <s v="September 2022"/>
  </r>
  <r>
    <d v="2022-09-24T00:00:00"/>
    <x v="1808"/>
    <n v="38"/>
    <x v="0"/>
    <x v="1"/>
    <x v="2"/>
    <x v="2"/>
    <n v="3576.56"/>
    <x v="1"/>
    <n v="2440.2966694490838"/>
    <n v="3934.21"/>
    <n v="3934.2200000000003"/>
    <n v="3934.22"/>
    <s v="September 2022"/>
  </r>
  <r>
    <d v="2022-09-24T00:00:00"/>
    <x v="1809"/>
    <n v="68"/>
    <x v="1"/>
    <x v="1"/>
    <x v="2"/>
    <x v="2"/>
    <n v="3015.33"/>
    <x v="0"/>
    <n v="2440.2966694490838"/>
    <n v="3316.86"/>
    <n v="3316.8700000000003"/>
    <n v="3316.86"/>
    <s v="September 2022"/>
  </r>
  <r>
    <d v="2022-09-25T00:00:00"/>
    <x v="1810"/>
    <n v="74"/>
    <x v="2"/>
    <x v="7"/>
    <x v="1"/>
    <x v="3"/>
    <n v="3513.97"/>
    <x v="0"/>
    <n v="2509.1716796874912"/>
    <n v="3865.36"/>
    <n v="3865.3700000000003"/>
    <n v="3865.37"/>
    <s v="September 2022"/>
  </r>
  <r>
    <d v="2022-09-25T00:00:00"/>
    <x v="1811"/>
    <n v="97"/>
    <x v="0"/>
    <x v="2"/>
    <x v="3"/>
    <x v="4"/>
    <n v="435.59"/>
    <x v="0"/>
    <n v="2496.7676064256989"/>
    <n v="479.14"/>
    <n v="479.15"/>
    <n v="479.15"/>
    <s v="September 2022"/>
  </r>
  <r>
    <d v="2022-09-25T00:00:00"/>
    <x v="1812"/>
    <n v="19"/>
    <x v="1"/>
    <x v="7"/>
    <x v="1"/>
    <x v="5"/>
    <n v="390.12"/>
    <x v="1"/>
    <n v="2509.1716796874912"/>
    <n v="429.13"/>
    <n v="429.14"/>
    <n v="429.13"/>
    <s v="September 2022"/>
  </r>
  <r>
    <d v="2022-09-25T00:00:00"/>
    <x v="1813"/>
    <n v="41"/>
    <x v="0"/>
    <x v="0"/>
    <x v="0"/>
    <x v="3"/>
    <n v="4789.88"/>
    <x v="1"/>
    <n v="2503.6022787783854"/>
    <n v="5268.86"/>
    <n v="5268.87"/>
    <n v="5268.87"/>
    <s v="September 2022"/>
  </r>
  <r>
    <d v="2022-09-25T00:00:00"/>
    <x v="1814"/>
    <n v="80"/>
    <x v="1"/>
    <x v="0"/>
    <x v="3"/>
    <x v="2"/>
    <n v="551.78"/>
    <x v="0"/>
    <n v="2496.7676064256989"/>
    <n v="606.95000000000005"/>
    <n v="606.96"/>
    <n v="606.96"/>
    <s v="September 2022"/>
  </r>
  <r>
    <d v="2022-09-25T00:00:00"/>
    <x v="1815"/>
    <n v="9"/>
    <x v="1"/>
    <x v="4"/>
    <x v="0"/>
    <x v="3"/>
    <n v="27.29"/>
    <x v="2"/>
    <n v="2503.6022787783854"/>
    <n v="30.01"/>
    <n v="30.020000000000003"/>
    <n v="30.02"/>
    <s v="September 2022"/>
  </r>
  <r>
    <d v="2022-09-25T00:00:00"/>
    <x v="1816"/>
    <n v="98"/>
    <x v="2"/>
    <x v="4"/>
    <x v="3"/>
    <x v="1"/>
    <n v="1167.83"/>
    <x v="0"/>
    <n v="2496.7676064256989"/>
    <n v="1284.6099999999999"/>
    <n v="1284.6199999999999"/>
    <n v="1284.6099999999999"/>
    <s v="September 2022"/>
  </r>
  <r>
    <d v="2022-09-25T00:00:00"/>
    <x v="1817"/>
    <n v="99"/>
    <x v="1"/>
    <x v="3"/>
    <x v="1"/>
    <x v="4"/>
    <n v="3932.7"/>
    <x v="0"/>
    <n v="2509.1716796874912"/>
    <n v="4325.97"/>
    <n v="4325.97"/>
    <n v="4325.97"/>
    <s v="September 2022"/>
  </r>
  <r>
    <d v="2022-09-26T00:00:00"/>
    <x v="1818"/>
    <n v="26"/>
    <x v="0"/>
    <x v="0"/>
    <x v="2"/>
    <x v="4"/>
    <n v="482.86"/>
    <x v="1"/>
    <n v="2440.2966694490838"/>
    <n v="531.14"/>
    <n v="531.15"/>
    <n v="531.15"/>
    <s v="September 2022"/>
  </r>
  <r>
    <d v="2022-09-26T00:00:00"/>
    <x v="1819"/>
    <n v="75"/>
    <x v="1"/>
    <x v="1"/>
    <x v="3"/>
    <x v="4"/>
    <n v="2275.6"/>
    <x v="0"/>
    <n v="2496.7676064256989"/>
    <n v="2503.16"/>
    <n v="2503.16"/>
    <n v="2503.16"/>
    <s v="September 2022"/>
  </r>
  <r>
    <d v="2022-09-26T00:00:00"/>
    <x v="1820"/>
    <n v="24"/>
    <x v="1"/>
    <x v="5"/>
    <x v="1"/>
    <x v="1"/>
    <n v="1238.79"/>
    <x v="1"/>
    <n v="2509.1716796874912"/>
    <n v="1362.66"/>
    <n v="1362.67"/>
    <n v="1362.67"/>
    <s v="September 2022"/>
  </r>
  <r>
    <d v="2022-09-26T00:00:00"/>
    <x v="1821"/>
    <n v="2"/>
    <x v="1"/>
    <x v="7"/>
    <x v="0"/>
    <x v="4"/>
    <n v="1703.35"/>
    <x v="2"/>
    <n v="2503.6022787783854"/>
    <n v="1873.68"/>
    <n v="1873.69"/>
    <n v="1873.69"/>
    <s v="September 2022"/>
  </r>
  <r>
    <d v="2022-09-26T00:00:00"/>
    <x v="1822"/>
    <n v="10"/>
    <x v="0"/>
    <x v="0"/>
    <x v="3"/>
    <x v="0"/>
    <n v="1245.19"/>
    <x v="2"/>
    <n v="2496.7676064256989"/>
    <n v="1369.7"/>
    <n v="1369.71"/>
    <n v="1369.71"/>
    <s v="September 2022"/>
  </r>
  <r>
    <d v="2022-09-26T00:00:00"/>
    <x v="1823"/>
    <n v="85"/>
    <x v="0"/>
    <x v="3"/>
    <x v="0"/>
    <x v="2"/>
    <n v="1929.04"/>
    <x v="0"/>
    <n v="2503.6022787783854"/>
    <n v="2121.94"/>
    <n v="2121.9500000000003"/>
    <n v="2121.94"/>
    <s v="September 2022"/>
  </r>
  <r>
    <d v="2022-09-26T00:00:00"/>
    <x v="1824"/>
    <n v="69"/>
    <x v="2"/>
    <x v="3"/>
    <x v="1"/>
    <x v="3"/>
    <n v="768.12"/>
    <x v="0"/>
    <n v="2509.1716796874912"/>
    <n v="844.93"/>
    <n v="844.93999999999994"/>
    <n v="844.93"/>
    <s v="September 2022"/>
  </r>
  <r>
    <d v="2022-09-26T00:00:00"/>
    <x v="1825"/>
    <n v="34"/>
    <x v="0"/>
    <x v="3"/>
    <x v="2"/>
    <x v="0"/>
    <n v="3223.33"/>
    <x v="1"/>
    <n v="2440.2966694490838"/>
    <n v="3545.66"/>
    <n v="3545.67"/>
    <n v="3545.66"/>
    <s v="September 2022"/>
  </r>
  <r>
    <d v="2022-09-26T00:00:00"/>
    <x v="1826"/>
    <n v="70"/>
    <x v="2"/>
    <x v="5"/>
    <x v="3"/>
    <x v="3"/>
    <n v="430.67"/>
    <x v="0"/>
    <n v="2496.7676064256989"/>
    <n v="473.73"/>
    <n v="473.74"/>
    <n v="473.74"/>
    <s v="September 2022"/>
  </r>
  <r>
    <d v="2022-09-27T00:00:00"/>
    <x v="1827"/>
    <n v="95"/>
    <x v="0"/>
    <x v="2"/>
    <x v="0"/>
    <x v="1"/>
    <n v="1430.81"/>
    <x v="0"/>
    <n v="2503.6022787783854"/>
    <n v="1573.89"/>
    <n v="1573.9"/>
    <n v="1573.89"/>
    <s v="September 2022"/>
  </r>
  <r>
    <d v="2022-09-27T00:00:00"/>
    <x v="1828"/>
    <n v="29"/>
    <x v="1"/>
    <x v="7"/>
    <x v="0"/>
    <x v="4"/>
    <n v="1663.69"/>
    <x v="1"/>
    <n v="2503.6022787783854"/>
    <n v="1830.05"/>
    <n v="1830.06"/>
    <n v="1830.06"/>
    <s v="September 2022"/>
  </r>
  <r>
    <d v="2022-09-27T00:00:00"/>
    <x v="1829"/>
    <n v="52"/>
    <x v="0"/>
    <x v="7"/>
    <x v="2"/>
    <x v="1"/>
    <n v="583.67999999999995"/>
    <x v="1"/>
    <n v="2440.2966694490838"/>
    <n v="642.04"/>
    <n v="642.04999999999995"/>
    <n v="642.04999999999995"/>
    <s v="September 2022"/>
  </r>
  <r>
    <d v="2022-09-27T00:00:00"/>
    <x v="1830"/>
    <n v="24"/>
    <x v="2"/>
    <x v="3"/>
    <x v="1"/>
    <x v="0"/>
    <n v="471.68"/>
    <x v="1"/>
    <n v="2509.1716796874912"/>
    <n v="518.84"/>
    <n v="518.85"/>
    <n v="518.85"/>
    <s v="September 2022"/>
  </r>
  <r>
    <d v="2022-09-27T00:00:00"/>
    <x v="1831"/>
    <n v="52"/>
    <x v="1"/>
    <x v="2"/>
    <x v="1"/>
    <x v="1"/>
    <n v="4015.57"/>
    <x v="1"/>
    <n v="2509.1716796874912"/>
    <n v="4417.12"/>
    <n v="4417.13"/>
    <n v="4417.13"/>
    <s v="September 2022"/>
  </r>
  <r>
    <d v="2022-09-27T00:00:00"/>
    <x v="1832"/>
    <n v="19"/>
    <x v="0"/>
    <x v="4"/>
    <x v="3"/>
    <x v="0"/>
    <n v="1483.47"/>
    <x v="1"/>
    <n v="2496.7676064256989"/>
    <n v="1631.81"/>
    <n v="1631.82"/>
    <n v="1631.82"/>
    <s v="September 2022"/>
  </r>
  <r>
    <d v="2022-09-27T00:00:00"/>
    <x v="1833"/>
    <n v="94"/>
    <x v="1"/>
    <x v="6"/>
    <x v="0"/>
    <x v="0"/>
    <n v="4239.66"/>
    <x v="0"/>
    <n v="2503.6022787783854"/>
    <n v="4663.62"/>
    <n v="4663.63"/>
    <n v="4663.63"/>
    <s v="September 2022"/>
  </r>
  <r>
    <d v="2022-09-27T00:00:00"/>
    <x v="1834"/>
    <n v="8"/>
    <x v="1"/>
    <x v="7"/>
    <x v="0"/>
    <x v="3"/>
    <n v="2063.06"/>
    <x v="2"/>
    <n v="2503.6022787783854"/>
    <n v="2269.36"/>
    <n v="2269.3700000000003"/>
    <n v="2269.37"/>
    <s v="September 2022"/>
  </r>
  <r>
    <d v="2022-09-28T00:00:00"/>
    <x v="1835"/>
    <n v="38"/>
    <x v="0"/>
    <x v="7"/>
    <x v="3"/>
    <x v="0"/>
    <n v="1031.17"/>
    <x v="1"/>
    <n v="2496.7676064256989"/>
    <n v="1134.28"/>
    <n v="1134.29"/>
    <n v="1134.29"/>
    <s v="September 2022"/>
  </r>
  <r>
    <d v="2022-09-28T00:00:00"/>
    <x v="1836"/>
    <n v="22"/>
    <x v="0"/>
    <x v="3"/>
    <x v="0"/>
    <x v="2"/>
    <n v="4379.32"/>
    <x v="1"/>
    <n v="2503.6022787783854"/>
    <n v="4817.25"/>
    <n v="4817.26"/>
    <n v="4817.25"/>
    <s v="September 2022"/>
  </r>
  <r>
    <d v="2022-09-28T00:00:00"/>
    <x v="1837"/>
    <n v="75"/>
    <x v="2"/>
    <x v="7"/>
    <x v="3"/>
    <x v="1"/>
    <n v="128.85"/>
    <x v="0"/>
    <n v="2496.7676064256989"/>
    <n v="141.72999999999999"/>
    <n v="141.73999999999998"/>
    <n v="141.74"/>
    <s v="September 2022"/>
  </r>
  <r>
    <d v="2022-09-28T00:00:00"/>
    <x v="1838"/>
    <n v="36"/>
    <x v="1"/>
    <x v="0"/>
    <x v="2"/>
    <x v="2"/>
    <n v="3843.77"/>
    <x v="1"/>
    <n v="2440.2966694490838"/>
    <n v="4228.1400000000003"/>
    <n v="4228.1500000000005"/>
    <n v="4228.1499999999996"/>
    <s v="September 2022"/>
  </r>
  <r>
    <d v="2022-09-28T00:00:00"/>
    <x v="1839"/>
    <n v="76"/>
    <x v="2"/>
    <x v="6"/>
    <x v="2"/>
    <x v="4"/>
    <n v="1770.34"/>
    <x v="0"/>
    <n v="2440.2966694490838"/>
    <n v="1947.37"/>
    <n v="1947.3799999999999"/>
    <n v="1947.37"/>
    <s v="September 2022"/>
  </r>
  <r>
    <d v="2022-09-28T00:00:00"/>
    <x v="1840"/>
    <n v="96"/>
    <x v="1"/>
    <x v="5"/>
    <x v="2"/>
    <x v="0"/>
    <n v="1174.0999999999999"/>
    <x v="0"/>
    <n v="2440.2966694490838"/>
    <n v="1291.51"/>
    <n v="1291.51"/>
    <n v="1291.51"/>
    <s v="September 2022"/>
  </r>
  <r>
    <d v="2022-09-28T00:00:00"/>
    <x v="1841"/>
    <n v="21"/>
    <x v="0"/>
    <x v="2"/>
    <x v="2"/>
    <x v="2"/>
    <n v="2742.38"/>
    <x v="1"/>
    <n v="2440.2966694490838"/>
    <n v="3016.61"/>
    <n v="3016.6200000000003"/>
    <n v="3016.62"/>
    <s v="September 2022"/>
  </r>
  <r>
    <d v="2022-09-29T00:00:00"/>
    <x v="1842"/>
    <n v="79"/>
    <x v="1"/>
    <x v="6"/>
    <x v="0"/>
    <x v="3"/>
    <n v="204.95"/>
    <x v="0"/>
    <n v="2503.6022787783854"/>
    <n v="225.44"/>
    <n v="225.45"/>
    <n v="225.45"/>
    <s v="September 2022"/>
  </r>
  <r>
    <d v="2022-09-29T00:00:00"/>
    <x v="1843"/>
    <n v="86"/>
    <x v="0"/>
    <x v="2"/>
    <x v="0"/>
    <x v="4"/>
    <n v="1391.88"/>
    <x v="0"/>
    <n v="2503.6022787783854"/>
    <n v="1531.06"/>
    <n v="1531.07"/>
    <n v="1531.07"/>
    <s v="September 2022"/>
  </r>
  <r>
    <d v="2022-09-29T00:00:00"/>
    <x v="1844"/>
    <n v="26"/>
    <x v="2"/>
    <x v="7"/>
    <x v="3"/>
    <x v="0"/>
    <n v="143.91"/>
    <x v="1"/>
    <n v="2496.7676064256989"/>
    <n v="158.30000000000001"/>
    <n v="158.31"/>
    <n v="158.30000000000001"/>
    <s v="September 2022"/>
  </r>
  <r>
    <d v="2022-09-29T00:00:00"/>
    <x v="1845"/>
    <n v="34"/>
    <x v="1"/>
    <x v="0"/>
    <x v="0"/>
    <x v="3"/>
    <n v="675.6"/>
    <x v="1"/>
    <n v="2503.6022787783854"/>
    <n v="743.16"/>
    <n v="743.16"/>
    <n v="743.16"/>
    <s v="September 2022"/>
  </r>
  <r>
    <d v="2022-09-29T00:00:00"/>
    <x v="1846"/>
    <n v="0"/>
    <x v="0"/>
    <x v="3"/>
    <x v="2"/>
    <x v="2"/>
    <n v="3572.16"/>
    <x v="2"/>
    <n v="2440.2966694490838"/>
    <n v="3929.37"/>
    <n v="3929.38"/>
    <n v="3929.38"/>
    <s v="September 2022"/>
  </r>
  <r>
    <d v="2022-09-29T00:00:00"/>
    <x v="1847"/>
    <n v="46"/>
    <x v="0"/>
    <x v="0"/>
    <x v="2"/>
    <x v="0"/>
    <n v="2802.95"/>
    <x v="1"/>
    <n v="2440.2966694490838"/>
    <n v="3083.24"/>
    <n v="3083.25"/>
    <n v="3083.25"/>
    <s v="September 2022"/>
  </r>
  <r>
    <d v="2022-09-29T00:00:00"/>
    <x v="1848"/>
    <n v="92"/>
    <x v="1"/>
    <x v="2"/>
    <x v="1"/>
    <x v="2"/>
    <n v="3774.84"/>
    <x v="0"/>
    <n v="2509.1716796874912"/>
    <n v="4152.32"/>
    <n v="4152.33"/>
    <n v="4152.32"/>
    <s v="September 2022"/>
  </r>
  <r>
    <d v="2022-09-29T00:00:00"/>
    <x v="1849"/>
    <n v="86"/>
    <x v="1"/>
    <x v="6"/>
    <x v="0"/>
    <x v="0"/>
    <n v="4802.72"/>
    <x v="0"/>
    <n v="2503.6022787783854"/>
    <n v="5282.99"/>
    <n v="5283"/>
    <n v="5282.99"/>
    <s v="September 2022"/>
  </r>
  <r>
    <d v="2022-09-30T00:00:00"/>
    <x v="1850"/>
    <n v="46"/>
    <x v="1"/>
    <x v="0"/>
    <x v="0"/>
    <x v="0"/>
    <n v="3996.27"/>
    <x v="1"/>
    <n v="2503.6022787783854"/>
    <n v="4395.8900000000003"/>
    <n v="4395.9000000000005"/>
    <n v="4395.8999999999996"/>
    <s v="September 2022"/>
  </r>
  <r>
    <d v="2022-09-30T00:00:00"/>
    <x v="1851"/>
    <n v="46"/>
    <x v="2"/>
    <x v="2"/>
    <x v="2"/>
    <x v="3"/>
    <n v="3790.04"/>
    <x v="1"/>
    <n v="2440.2966694490838"/>
    <n v="4169.04"/>
    <n v="4169.05"/>
    <n v="4169.04"/>
    <s v="September 2022"/>
  </r>
  <r>
    <d v="2022-09-30T00:00:00"/>
    <x v="1852"/>
    <n v="85"/>
    <x v="2"/>
    <x v="7"/>
    <x v="3"/>
    <x v="2"/>
    <n v="3517.33"/>
    <x v="0"/>
    <n v="2496.7676064256989"/>
    <n v="3869.06"/>
    <n v="3869.07"/>
    <n v="3869.06"/>
    <s v="September 2022"/>
  </r>
  <r>
    <d v="2022-09-30T00:00:00"/>
    <x v="1853"/>
    <n v="39"/>
    <x v="1"/>
    <x v="5"/>
    <x v="0"/>
    <x v="2"/>
    <n v="1681.74"/>
    <x v="1"/>
    <n v="2503.6022787783854"/>
    <n v="1849.91"/>
    <n v="1849.92"/>
    <n v="1849.91"/>
    <s v="September 2022"/>
  </r>
  <r>
    <d v="2022-10-01T00:00:00"/>
    <x v="1854"/>
    <n v="36"/>
    <x v="1"/>
    <x v="1"/>
    <x v="2"/>
    <x v="4"/>
    <n v="4564.59"/>
    <x v="1"/>
    <n v="2440.2966694490838"/>
    <n v="5021.04"/>
    <n v="5021.05"/>
    <n v="5021.05"/>
    <s v="October 2022"/>
  </r>
  <r>
    <d v="2022-10-01T00:00:00"/>
    <x v="1855"/>
    <n v="30"/>
    <x v="1"/>
    <x v="0"/>
    <x v="2"/>
    <x v="4"/>
    <n v="1865.32"/>
    <x v="1"/>
    <n v="2440.2966694490838"/>
    <n v="2051.85"/>
    <n v="2051.86"/>
    <n v="2051.85"/>
    <s v="October 2022"/>
  </r>
  <r>
    <d v="2022-10-01T00:00:00"/>
    <x v="1856"/>
    <n v="61"/>
    <x v="2"/>
    <x v="0"/>
    <x v="3"/>
    <x v="2"/>
    <n v="924.06"/>
    <x v="1"/>
    <n v="2496.7676064256989"/>
    <n v="1016.46"/>
    <n v="1016.47"/>
    <n v="1016.47"/>
    <s v="October 2022"/>
  </r>
  <r>
    <d v="2022-10-01T00:00:00"/>
    <x v="1857"/>
    <n v="35"/>
    <x v="1"/>
    <x v="2"/>
    <x v="0"/>
    <x v="3"/>
    <n v="1575.4"/>
    <x v="1"/>
    <n v="2503.6022787783854"/>
    <n v="1732.94"/>
    <n v="1732.94"/>
    <n v="1732.94"/>
    <s v="October 2022"/>
  </r>
  <r>
    <d v="2022-10-01T00:00:00"/>
    <x v="1858"/>
    <n v="8"/>
    <x v="0"/>
    <x v="0"/>
    <x v="1"/>
    <x v="3"/>
    <n v="3307.43"/>
    <x v="2"/>
    <n v="2509.1716796874912"/>
    <n v="3638.17"/>
    <n v="3638.1800000000003"/>
    <n v="3638.17"/>
    <s v="October 2022"/>
  </r>
  <r>
    <d v="2022-10-01T00:00:00"/>
    <x v="1859"/>
    <n v="38"/>
    <x v="2"/>
    <x v="6"/>
    <x v="2"/>
    <x v="0"/>
    <n v="1946.97"/>
    <x v="1"/>
    <n v="2440.2966694490838"/>
    <n v="2141.66"/>
    <n v="2141.67"/>
    <n v="2141.67"/>
    <s v="October 2022"/>
  </r>
  <r>
    <d v="2022-10-01T00:00:00"/>
    <x v="1860"/>
    <n v="86"/>
    <x v="0"/>
    <x v="7"/>
    <x v="3"/>
    <x v="2"/>
    <n v="3381.95"/>
    <x v="0"/>
    <n v="2496.7676064256989"/>
    <n v="3720.14"/>
    <n v="3720.15"/>
    <n v="3720.15"/>
    <s v="October 2022"/>
  </r>
  <r>
    <d v="2022-10-02T00:00:00"/>
    <x v="1861"/>
    <n v="16"/>
    <x v="0"/>
    <x v="3"/>
    <x v="1"/>
    <x v="5"/>
    <n v="1410.47"/>
    <x v="1"/>
    <n v="2509.1716796874912"/>
    <n v="1551.51"/>
    <n v="1551.52"/>
    <n v="1551.52"/>
    <s v="October 2022"/>
  </r>
  <r>
    <d v="2022-10-02T00:00:00"/>
    <x v="1862"/>
    <n v="74"/>
    <x v="0"/>
    <x v="4"/>
    <x v="2"/>
    <x v="0"/>
    <n v="3642.08"/>
    <x v="0"/>
    <n v="2440.2966694490838"/>
    <n v="4006.28"/>
    <n v="4006.2900000000004"/>
    <n v="4006.29"/>
    <s v="October 2022"/>
  </r>
  <r>
    <d v="2022-10-02T00:00:00"/>
    <x v="1863"/>
    <n v="72"/>
    <x v="2"/>
    <x v="5"/>
    <x v="3"/>
    <x v="0"/>
    <n v="3453.33"/>
    <x v="0"/>
    <n v="2496.7676064256989"/>
    <n v="3798.66"/>
    <n v="3798.67"/>
    <n v="3798.66"/>
    <s v="October 2022"/>
  </r>
  <r>
    <d v="2022-10-02T00:00:00"/>
    <x v="1864"/>
    <n v="18"/>
    <x v="2"/>
    <x v="3"/>
    <x v="2"/>
    <x v="0"/>
    <n v="1869.11"/>
    <x v="1"/>
    <n v="2440.2966694490838"/>
    <n v="2056.02"/>
    <n v="2056.0300000000002"/>
    <n v="2056.02"/>
    <s v="October 2022"/>
  </r>
  <r>
    <d v="2022-10-02T00:00:00"/>
    <x v="1865"/>
    <n v="91"/>
    <x v="2"/>
    <x v="3"/>
    <x v="0"/>
    <x v="2"/>
    <n v="779.71"/>
    <x v="0"/>
    <n v="2503.6022787783854"/>
    <n v="857.68"/>
    <n v="857.68999999999994"/>
    <n v="857.68"/>
    <s v="October 2022"/>
  </r>
  <r>
    <d v="2022-10-02T00:00:00"/>
    <x v="1866"/>
    <n v="84"/>
    <x v="1"/>
    <x v="1"/>
    <x v="1"/>
    <x v="5"/>
    <n v="1159.3699999999999"/>
    <x v="0"/>
    <n v="2509.1716796874912"/>
    <n v="1275.3"/>
    <n v="1275.31"/>
    <n v="1275.31"/>
    <s v="October 2022"/>
  </r>
  <r>
    <d v="2022-10-02T00:00:00"/>
    <x v="1867"/>
    <n v="42"/>
    <x v="0"/>
    <x v="5"/>
    <x v="2"/>
    <x v="2"/>
    <n v="4914.41"/>
    <x v="1"/>
    <n v="2440.2966694490838"/>
    <n v="5405.85"/>
    <n v="5405.8600000000006"/>
    <n v="5405.85"/>
    <s v="October 2022"/>
  </r>
  <r>
    <d v="2022-10-03T00:00:00"/>
    <x v="1868"/>
    <n v="0"/>
    <x v="2"/>
    <x v="6"/>
    <x v="1"/>
    <x v="1"/>
    <n v="2972.91"/>
    <x v="2"/>
    <n v="2509.1716796874912"/>
    <n v="3270.2"/>
    <n v="3270.21"/>
    <n v="3270.2"/>
    <s v="October 2022"/>
  </r>
  <r>
    <d v="2022-10-03T00:00:00"/>
    <x v="1869"/>
    <n v="50"/>
    <x v="0"/>
    <x v="1"/>
    <x v="0"/>
    <x v="0"/>
    <n v="4717.18"/>
    <x v="1"/>
    <n v="2503.6022787783854"/>
    <n v="5188.8900000000003"/>
    <n v="5188.9000000000005"/>
    <n v="5188.8999999999996"/>
    <s v="October 2022"/>
  </r>
  <r>
    <d v="2022-10-03T00:00:00"/>
    <x v="1870"/>
    <n v="7"/>
    <x v="0"/>
    <x v="7"/>
    <x v="2"/>
    <x v="0"/>
    <n v="717.35"/>
    <x v="2"/>
    <n v="2440.2966694490838"/>
    <n v="789.08"/>
    <n v="789.09"/>
    <n v="789.09"/>
    <s v="October 2022"/>
  </r>
  <r>
    <d v="2022-10-03T00:00:00"/>
    <x v="1871"/>
    <n v="44"/>
    <x v="1"/>
    <x v="2"/>
    <x v="2"/>
    <x v="5"/>
    <n v="3022.08"/>
    <x v="1"/>
    <n v="2440.2966694490838"/>
    <n v="3324.28"/>
    <n v="3324.2900000000004"/>
    <n v="3324.29"/>
    <s v="October 2022"/>
  </r>
  <r>
    <d v="2022-10-03T00:00:00"/>
    <x v="1872"/>
    <n v="41"/>
    <x v="1"/>
    <x v="2"/>
    <x v="0"/>
    <x v="1"/>
    <n v="3260.8"/>
    <x v="1"/>
    <n v="2503.6022787783854"/>
    <n v="3586.88"/>
    <n v="3586.88"/>
    <n v="3586.88"/>
    <s v="October 2022"/>
  </r>
  <r>
    <d v="2022-10-03T00:00:00"/>
    <x v="1873"/>
    <n v="86"/>
    <x v="1"/>
    <x v="4"/>
    <x v="0"/>
    <x v="2"/>
    <n v="54.9"/>
    <x v="0"/>
    <n v="2503.6022787783854"/>
    <n v="60.39"/>
    <n v="60.39"/>
    <n v="60.39"/>
    <s v="October 2022"/>
  </r>
  <r>
    <d v="2022-10-03T00:00:00"/>
    <x v="1874"/>
    <n v="64"/>
    <x v="2"/>
    <x v="5"/>
    <x v="0"/>
    <x v="2"/>
    <n v="2359.25"/>
    <x v="1"/>
    <n v="2503.6022787783854"/>
    <n v="2595.17"/>
    <n v="2595.1800000000003"/>
    <n v="2595.1799999999998"/>
    <s v="October 2022"/>
  </r>
  <r>
    <d v="2022-10-03T00:00:00"/>
    <x v="1875"/>
    <n v="40"/>
    <x v="2"/>
    <x v="1"/>
    <x v="0"/>
    <x v="0"/>
    <n v="376.24"/>
    <x v="1"/>
    <n v="2503.6022787783854"/>
    <n v="413.86"/>
    <n v="413.87"/>
    <n v="413.86"/>
    <s v="October 2022"/>
  </r>
  <r>
    <d v="2022-10-04T00:00:00"/>
    <x v="1876"/>
    <n v="78"/>
    <x v="1"/>
    <x v="5"/>
    <x v="3"/>
    <x v="5"/>
    <n v="1926.99"/>
    <x v="0"/>
    <n v="2496.7676064256989"/>
    <n v="2119.6799999999998"/>
    <n v="2119.69"/>
    <n v="2119.69"/>
    <s v="October 2022"/>
  </r>
  <r>
    <d v="2022-10-04T00:00:00"/>
    <x v="1877"/>
    <n v="22"/>
    <x v="1"/>
    <x v="7"/>
    <x v="1"/>
    <x v="1"/>
    <n v="3847.99"/>
    <x v="1"/>
    <n v="2509.1716796874912"/>
    <n v="4232.78"/>
    <n v="4232.79"/>
    <n v="4232.79"/>
    <s v="October 2022"/>
  </r>
  <r>
    <d v="2022-10-04T00:00:00"/>
    <x v="1878"/>
    <n v="34"/>
    <x v="2"/>
    <x v="7"/>
    <x v="2"/>
    <x v="0"/>
    <n v="623.52"/>
    <x v="1"/>
    <n v="2440.2966694490838"/>
    <n v="685.87"/>
    <n v="685.88"/>
    <n v="685.87"/>
    <s v="October 2022"/>
  </r>
  <r>
    <d v="2022-10-04T00:00:00"/>
    <x v="1879"/>
    <n v="14"/>
    <x v="2"/>
    <x v="2"/>
    <x v="0"/>
    <x v="0"/>
    <n v="1903.23"/>
    <x v="2"/>
    <n v="2503.6022787783854"/>
    <n v="2093.5500000000002"/>
    <n v="2093.5600000000004"/>
    <n v="2093.5500000000002"/>
    <s v="October 2022"/>
  </r>
  <r>
    <d v="2022-10-04T00:00:00"/>
    <x v="1880"/>
    <n v="68"/>
    <x v="2"/>
    <x v="6"/>
    <x v="3"/>
    <x v="3"/>
    <n v="2607"/>
    <x v="0"/>
    <n v="2496.7676064256989"/>
    <n v="2867.7"/>
    <n v="2867.7"/>
    <n v="2867.7"/>
    <s v="October 2022"/>
  </r>
  <r>
    <d v="2022-10-05T00:00:00"/>
    <x v="1881"/>
    <n v="85"/>
    <x v="1"/>
    <x v="6"/>
    <x v="0"/>
    <x v="3"/>
    <n v="4812.99"/>
    <x v="0"/>
    <n v="2503.6022787783854"/>
    <n v="5294.28"/>
    <n v="5294.29"/>
    <n v="5294.29"/>
    <s v="October 2022"/>
  </r>
  <r>
    <d v="2022-10-05T00:00:00"/>
    <x v="1882"/>
    <n v="79"/>
    <x v="2"/>
    <x v="7"/>
    <x v="3"/>
    <x v="3"/>
    <n v="1614.85"/>
    <x v="0"/>
    <n v="2496.7676064256989"/>
    <n v="1776.33"/>
    <n v="1776.34"/>
    <n v="1776.34"/>
    <s v="October 2022"/>
  </r>
  <r>
    <d v="2022-10-05T00:00:00"/>
    <x v="1883"/>
    <n v="67"/>
    <x v="0"/>
    <x v="2"/>
    <x v="3"/>
    <x v="0"/>
    <n v="2307.5100000000002"/>
    <x v="0"/>
    <n v="2496.7676064256989"/>
    <n v="2538.2600000000002"/>
    <n v="2538.2700000000004"/>
    <n v="2538.2600000000002"/>
    <s v="October 2022"/>
  </r>
  <r>
    <d v="2022-10-05T00:00:00"/>
    <x v="1884"/>
    <n v="20"/>
    <x v="1"/>
    <x v="2"/>
    <x v="2"/>
    <x v="0"/>
    <n v="3973.11"/>
    <x v="1"/>
    <n v="2440.2966694490838"/>
    <n v="4370.42"/>
    <n v="4370.43"/>
    <n v="4370.42"/>
    <s v="October 2022"/>
  </r>
  <r>
    <d v="2022-10-05T00:00:00"/>
    <x v="1885"/>
    <n v="71"/>
    <x v="2"/>
    <x v="3"/>
    <x v="1"/>
    <x v="1"/>
    <n v="2707.98"/>
    <x v="0"/>
    <n v="2509.1716796874912"/>
    <n v="2978.77"/>
    <n v="2978.78"/>
    <n v="2978.78"/>
    <s v="October 2022"/>
  </r>
  <r>
    <d v="2022-10-05T00:00:00"/>
    <x v="1886"/>
    <n v="74"/>
    <x v="1"/>
    <x v="3"/>
    <x v="2"/>
    <x v="0"/>
    <n v="4331.1000000000004"/>
    <x v="0"/>
    <n v="2440.2966694490838"/>
    <n v="4764.21"/>
    <n v="4764.21"/>
    <n v="4764.21"/>
    <s v="October 2022"/>
  </r>
  <r>
    <d v="2022-10-06T00:00:00"/>
    <x v="1887"/>
    <n v="20"/>
    <x v="1"/>
    <x v="3"/>
    <x v="2"/>
    <x v="3"/>
    <n v="3204.62"/>
    <x v="1"/>
    <n v="2440.2966694490838"/>
    <n v="3525.08"/>
    <n v="3525.09"/>
    <n v="3525.08"/>
    <s v="October 2022"/>
  </r>
  <r>
    <d v="2022-10-06T00:00:00"/>
    <x v="1888"/>
    <n v="79"/>
    <x v="1"/>
    <x v="4"/>
    <x v="2"/>
    <x v="1"/>
    <n v="2195.9299999999998"/>
    <x v="0"/>
    <n v="2440.2966694490838"/>
    <n v="2415.52"/>
    <n v="2415.5300000000002"/>
    <n v="2415.52"/>
    <s v="October 2022"/>
  </r>
  <r>
    <d v="2022-10-06T00:00:00"/>
    <x v="1889"/>
    <n v="12"/>
    <x v="1"/>
    <x v="0"/>
    <x v="1"/>
    <x v="1"/>
    <n v="4250.82"/>
    <x v="2"/>
    <n v="2509.1716796874912"/>
    <n v="4675.8999999999996"/>
    <n v="4675.91"/>
    <n v="4675.8999999999996"/>
    <s v="October 2022"/>
  </r>
  <r>
    <d v="2022-10-06T00:00:00"/>
    <x v="1890"/>
    <n v="33"/>
    <x v="0"/>
    <x v="3"/>
    <x v="1"/>
    <x v="0"/>
    <n v="1859.41"/>
    <x v="1"/>
    <n v="2509.1716796874912"/>
    <n v="2045.35"/>
    <n v="2045.36"/>
    <n v="2045.35"/>
    <s v="October 2022"/>
  </r>
  <r>
    <d v="2022-10-06T00:00:00"/>
    <x v="1891"/>
    <n v="17"/>
    <x v="1"/>
    <x v="3"/>
    <x v="0"/>
    <x v="4"/>
    <n v="1379.22"/>
    <x v="1"/>
    <n v="2503.6022787783854"/>
    <n v="1517.14"/>
    <n v="1517.15"/>
    <n v="1517.14"/>
    <s v="October 2022"/>
  </r>
  <r>
    <d v="2022-10-06T00:00:00"/>
    <x v="1892"/>
    <n v="25"/>
    <x v="1"/>
    <x v="1"/>
    <x v="2"/>
    <x v="1"/>
    <n v="4486.8900000000003"/>
    <x v="1"/>
    <n v="2440.2966694490838"/>
    <n v="4935.57"/>
    <n v="4935.58"/>
    <n v="4935.58"/>
    <s v="October 2022"/>
  </r>
  <r>
    <d v="2022-10-06T00:00:00"/>
    <x v="1893"/>
    <n v="95"/>
    <x v="2"/>
    <x v="3"/>
    <x v="3"/>
    <x v="3"/>
    <n v="2153.9699999999998"/>
    <x v="0"/>
    <n v="2496.7676064256989"/>
    <n v="2369.36"/>
    <n v="2369.3700000000003"/>
    <n v="2369.37"/>
    <s v="October 2022"/>
  </r>
  <r>
    <d v="2022-10-07T00:00:00"/>
    <x v="1894"/>
    <n v="36"/>
    <x v="0"/>
    <x v="4"/>
    <x v="0"/>
    <x v="0"/>
    <n v="4593.79"/>
    <x v="1"/>
    <n v="2503.6022787783854"/>
    <n v="5053.16"/>
    <n v="5053.17"/>
    <n v="5053.17"/>
    <s v="October 2022"/>
  </r>
  <r>
    <d v="2022-10-07T00:00:00"/>
    <x v="1895"/>
    <n v="52"/>
    <x v="0"/>
    <x v="5"/>
    <x v="1"/>
    <x v="3"/>
    <n v="4471.63"/>
    <x v="1"/>
    <n v="2509.1716796874912"/>
    <n v="4918.79"/>
    <n v="4918.8"/>
    <n v="4918.79"/>
    <s v="October 2022"/>
  </r>
  <r>
    <d v="2022-10-07T00:00:00"/>
    <x v="1896"/>
    <n v="56"/>
    <x v="2"/>
    <x v="1"/>
    <x v="3"/>
    <x v="1"/>
    <n v="2714.76"/>
    <x v="1"/>
    <n v="2496.7676064256989"/>
    <n v="2986.23"/>
    <n v="2986.2400000000002"/>
    <n v="2986.24"/>
    <s v="October 2022"/>
  </r>
  <r>
    <d v="2022-10-07T00:00:00"/>
    <x v="1897"/>
    <n v="80"/>
    <x v="1"/>
    <x v="2"/>
    <x v="3"/>
    <x v="1"/>
    <n v="4565.07"/>
    <x v="0"/>
    <n v="2496.7676064256989"/>
    <n v="5021.57"/>
    <n v="5021.58"/>
    <n v="5021.58"/>
    <s v="October 2022"/>
  </r>
  <r>
    <d v="2022-10-07T00:00:00"/>
    <x v="1898"/>
    <n v="13"/>
    <x v="2"/>
    <x v="5"/>
    <x v="1"/>
    <x v="2"/>
    <n v="1485.94"/>
    <x v="2"/>
    <n v="2509.1716796874912"/>
    <n v="1634.53"/>
    <n v="1634.54"/>
    <n v="1634.53"/>
    <s v="October 2022"/>
  </r>
  <r>
    <d v="2022-10-07T00:00:00"/>
    <x v="1899"/>
    <n v="21"/>
    <x v="2"/>
    <x v="0"/>
    <x v="0"/>
    <x v="3"/>
    <n v="4118.8500000000004"/>
    <x v="1"/>
    <n v="2503.6022787783854"/>
    <n v="4530.7299999999996"/>
    <n v="4530.74"/>
    <n v="4530.74"/>
    <s v="October 2022"/>
  </r>
  <r>
    <d v="2022-10-07T00:00:00"/>
    <x v="1900"/>
    <n v="98"/>
    <x v="2"/>
    <x v="3"/>
    <x v="3"/>
    <x v="4"/>
    <n v="1065.77"/>
    <x v="0"/>
    <n v="2496.7676064256989"/>
    <n v="1172.3399999999999"/>
    <n v="1172.3499999999999"/>
    <n v="1172.3499999999999"/>
    <s v="October 2022"/>
  </r>
  <r>
    <d v="2022-10-07T00:00:00"/>
    <x v="1901"/>
    <n v="2"/>
    <x v="1"/>
    <x v="1"/>
    <x v="3"/>
    <x v="0"/>
    <n v="1103.68"/>
    <x v="2"/>
    <n v="2496.7676064256989"/>
    <n v="1214.04"/>
    <n v="1214.05"/>
    <n v="1214.05"/>
    <s v="October 2022"/>
  </r>
  <r>
    <d v="2022-10-08T00:00:00"/>
    <x v="1902"/>
    <n v="31"/>
    <x v="2"/>
    <x v="7"/>
    <x v="2"/>
    <x v="3"/>
    <n v="1286.77"/>
    <x v="1"/>
    <n v="2440.2966694490838"/>
    <n v="1415.44"/>
    <n v="1415.45"/>
    <n v="1415.45"/>
    <s v="October 2022"/>
  </r>
  <r>
    <d v="2022-10-08T00:00:00"/>
    <x v="1903"/>
    <n v="45"/>
    <x v="2"/>
    <x v="7"/>
    <x v="1"/>
    <x v="1"/>
    <n v="4896.32"/>
    <x v="1"/>
    <n v="2509.1716796874912"/>
    <n v="5385.95"/>
    <n v="5385.96"/>
    <n v="5385.95"/>
    <s v="October 2022"/>
  </r>
  <r>
    <d v="2022-10-08T00:00:00"/>
    <x v="1904"/>
    <n v="9"/>
    <x v="1"/>
    <x v="3"/>
    <x v="3"/>
    <x v="0"/>
    <n v="2633.75"/>
    <x v="2"/>
    <n v="2496.7676064256989"/>
    <n v="2897.12"/>
    <n v="2897.13"/>
    <n v="2897.13"/>
    <s v="October 2022"/>
  </r>
  <r>
    <d v="2022-10-08T00:00:00"/>
    <x v="1905"/>
    <n v="53"/>
    <x v="0"/>
    <x v="1"/>
    <x v="1"/>
    <x v="3"/>
    <n v="681.55"/>
    <x v="1"/>
    <n v="2509.1716796874912"/>
    <n v="749.7"/>
    <n v="749.71"/>
    <n v="749.71"/>
    <s v="October 2022"/>
  </r>
  <r>
    <d v="2022-10-08T00:00:00"/>
    <x v="1906"/>
    <n v="94"/>
    <x v="2"/>
    <x v="0"/>
    <x v="1"/>
    <x v="1"/>
    <n v="4594.57"/>
    <x v="0"/>
    <n v="2509.1716796874912"/>
    <n v="5054.0200000000004"/>
    <n v="5054.0300000000007"/>
    <n v="5054.03"/>
    <s v="October 2022"/>
  </r>
  <r>
    <d v="2022-10-08T00:00:00"/>
    <x v="1907"/>
    <n v="54"/>
    <x v="0"/>
    <x v="3"/>
    <x v="2"/>
    <x v="0"/>
    <n v="2555.5300000000002"/>
    <x v="1"/>
    <n v="2440.2966694490838"/>
    <n v="2811.08"/>
    <n v="2811.09"/>
    <n v="2811.08"/>
    <s v="October 2022"/>
  </r>
  <r>
    <d v="2022-10-08T00:00:00"/>
    <x v="1908"/>
    <n v="78"/>
    <x v="1"/>
    <x v="1"/>
    <x v="0"/>
    <x v="3"/>
    <n v="4259.7"/>
    <x v="0"/>
    <n v="2503.6022787783854"/>
    <n v="4685.67"/>
    <n v="4685.67"/>
    <n v="4685.67"/>
    <s v="October 2022"/>
  </r>
  <r>
    <d v="2022-10-09T00:00:00"/>
    <x v="1909"/>
    <n v="40"/>
    <x v="0"/>
    <x v="5"/>
    <x v="0"/>
    <x v="1"/>
    <n v="4003.09"/>
    <x v="1"/>
    <n v="2503.6022787783854"/>
    <n v="4403.3900000000003"/>
    <n v="4403.4000000000005"/>
    <n v="4403.3999999999996"/>
    <s v="October 2022"/>
  </r>
  <r>
    <d v="2022-10-09T00:00:00"/>
    <x v="1910"/>
    <n v="17"/>
    <x v="0"/>
    <x v="1"/>
    <x v="2"/>
    <x v="1"/>
    <n v="3429.49"/>
    <x v="1"/>
    <n v="2440.2966694490838"/>
    <n v="3772.43"/>
    <n v="3772.44"/>
    <n v="3772.44"/>
    <s v="October 2022"/>
  </r>
  <r>
    <d v="2022-10-09T00:00:00"/>
    <x v="1911"/>
    <n v="39"/>
    <x v="1"/>
    <x v="5"/>
    <x v="2"/>
    <x v="2"/>
    <n v="1452.16"/>
    <x v="1"/>
    <n v="2440.2966694490838"/>
    <n v="1597.37"/>
    <n v="1597.3799999999999"/>
    <n v="1597.38"/>
    <s v="October 2022"/>
  </r>
  <r>
    <d v="2022-10-09T00:00:00"/>
    <x v="1912"/>
    <n v="38"/>
    <x v="2"/>
    <x v="0"/>
    <x v="3"/>
    <x v="3"/>
    <n v="3655.24"/>
    <x v="1"/>
    <n v="2496.7676064256989"/>
    <n v="4020.76"/>
    <n v="4020.7700000000004"/>
    <n v="4020.76"/>
    <s v="October 2022"/>
  </r>
  <r>
    <d v="2022-10-09T00:00:00"/>
    <x v="1913"/>
    <n v="12"/>
    <x v="1"/>
    <x v="4"/>
    <x v="0"/>
    <x v="3"/>
    <n v="2019.06"/>
    <x v="2"/>
    <n v="2503.6022787783854"/>
    <n v="2220.96"/>
    <n v="2220.9700000000003"/>
    <n v="2220.9699999999998"/>
    <s v="October 2022"/>
  </r>
  <r>
    <d v="2022-10-09T00:00:00"/>
    <x v="1914"/>
    <n v="15"/>
    <x v="0"/>
    <x v="7"/>
    <x v="2"/>
    <x v="4"/>
    <n v="223.15"/>
    <x v="2"/>
    <n v="2440.2966694490838"/>
    <n v="245.46"/>
    <n v="245.47"/>
    <n v="245.47"/>
    <s v="October 2022"/>
  </r>
  <r>
    <d v="2022-10-10T00:00:00"/>
    <x v="1915"/>
    <n v="19"/>
    <x v="0"/>
    <x v="6"/>
    <x v="2"/>
    <x v="2"/>
    <n v="983.22"/>
    <x v="1"/>
    <n v="2440.2966694490838"/>
    <n v="1081.54"/>
    <n v="1081.55"/>
    <n v="1081.54"/>
    <s v="October 2022"/>
  </r>
  <r>
    <d v="2022-10-10T00:00:00"/>
    <x v="1916"/>
    <n v="45"/>
    <x v="1"/>
    <x v="2"/>
    <x v="0"/>
    <x v="4"/>
    <n v="1079.8499999999999"/>
    <x v="1"/>
    <n v="2503.6022787783854"/>
    <n v="1187.83"/>
    <n v="1187.8399999999999"/>
    <n v="1187.8399999999999"/>
    <s v="October 2022"/>
  </r>
  <r>
    <d v="2022-10-10T00:00:00"/>
    <x v="1917"/>
    <n v="33"/>
    <x v="0"/>
    <x v="5"/>
    <x v="3"/>
    <x v="3"/>
    <n v="2661.05"/>
    <x v="1"/>
    <n v="2496.7676064256989"/>
    <n v="2927.15"/>
    <n v="2927.1600000000003"/>
    <n v="2927.16"/>
    <s v="October 2022"/>
  </r>
  <r>
    <d v="2022-10-10T00:00:00"/>
    <x v="1918"/>
    <n v="50"/>
    <x v="2"/>
    <x v="1"/>
    <x v="2"/>
    <x v="3"/>
    <n v="1466.53"/>
    <x v="1"/>
    <n v="2440.2966694490838"/>
    <n v="1613.18"/>
    <n v="1613.19"/>
    <n v="1613.18"/>
    <s v="October 2022"/>
  </r>
  <r>
    <d v="2022-10-10T00:00:00"/>
    <x v="1919"/>
    <n v="86"/>
    <x v="1"/>
    <x v="7"/>
    <x v="2"/>
    <x v="2"/>
    <n v="1025.25"/>
    <x v="0"/>
    <n v="2440.2966694490838"/>
    <n v="1127.77"/>
    <n v="1127.78"/>
    <n v="1127.78"/>
    <s v="October 2022"/>
  </r>
  <r>
    <d v="2022-10-11T00:00:00"/>
    <x v="1920"/>
    <n v="4"/>
    <x v="2"/>
    <x v="2"/>
    <x v="1"/>
    <x v="0"/>
    <n v="1988.76"/>
    <x v="2"/>
    <n v="2509.1716796874912"/>
    <n v="2187.63"/>
    <n v="2187.6400000000003"/>
    <n v="2187.64"/>
    <s v="October 2022"/>
  </r>
  <r>
    <d v="2022-10-11T00:00:00"/>
    <x v="1921"/>
    <n v="40"/>
    <x v="0"/>
    <x v="4"/>
    <x v="2"/>
    <x v="1"/>
    <n v="2526.36"/>
    <x v="1"/>
    <n v="2440.2966694490838"/>
    <n v="2778.99"/>
    <n v="2779"/>
    <n v="2779"/>
    <s v="October 2022"/>
  </r>
  <r>
    <d v="2022-10-11T00:00:00"/>
    <x v="1922"/>
    <n v="83"/>
    <x v="1"/>
    <x v="1"/>
    <x v="3"/>
    <x v="1"/>
    <n v="4207.4399999999996"/>
    <x v="0"/>
    <n v="2496.7676064256989"/>
    <n v="4628.18"/>
    <n v="4628.1900000000005"/>
    <n v="4628.18"/>
    <s v="October 2022"/>
  </r>
  <r>
    <d v="2022-10-11T00:00:00"/>
    <x v="1923"/>
    <n v="10"/>
    <x v="2"/>
    <x v="5"/>
    <x v="0"/>
    <x v="4"/>
    <n v="2215.92"/>
    <x v="2"/>
    <n v="2503.6022787783854"/>
    <n v="2437.5100000000002"/>
    <n v="2437.5200000000004"/>
    <n v="2437.5100000000002"/>
    <s v="October 2022"/>
  </r>
  <r>
    <d v="2022-10-11T00:00:00"/>
    <x v="1924"/>
    <n v="94"/>
    <x v="1"/>
    <x v="5"/>
    <x v="1"/>
    <x v="2"/>
    <n v="3352.42"/>
    <x v="0"/>
    <n v="2509.1716796874912"/>
    <n v="3687.66"/>
    <n v="3687.67"/>
    <n v="3687.66"/>
    <s v="October 2022"/>
  </r>
  <r>
    <d v="2022-10-11T00:00:00"/>
    <x v="1925"/>
    <n v="57"/>
    <x v="0"/>
    <x v="0"/>
    <x v="1"/>
    <x v="1"/>
    <n v="4139.32"/>
    <x v="1"/>
    <n v="2509.1716796874912"/>
    <n v="4553.25"/>
    <n v="4553.26"/>
    <n v="4553.25"/>
    <s v="October 2022"/>
  </r>
  <r>
    <d v="2022-10-11T00:00:00"/>
    <x v="1926"/>
    <n v="61"/>
    <x v="1"/>
    <x v="2"/>
    <x v="3"/>
    <x v="3"/>
    <n v="886.68"/>
    <x v="1"/>
    <n v="2496.7676064256989"/>
    <n v="975.34"/>
    <n v="975.35"/>
    <n v="975.35"/>
    <s v="October 2022"/>
  </r>
  <r>
    <d v="2022-10-11T00:00:00"/>
    <x v="1927"/>
    <n v="95"/>
    <x v="1"/>
    <x v="5"/>
    <x v="1"/>
    <x v="1"/>
    <n v="2972"/>
    <x v="0"/>
    <n v="2509.1716796874912"/>
    <n v="3269.2"/>
    <n v="3269.2"/>
    <n v="3269.2"/>
    <s v="October 2022"/>
  </r>
  <r>
    <d v="2022-10-11T00:00:00"/>
    <x v="1928"/>
    <n v="6"/>
    <x v="0"/>
    <x v="7"/>
    <x v="3"/>
    <x v="1"/>
    <n v="2916.12"/>
    <x v="2"/>
    <n v="2496.7676064256989"/>
    <n v="3207.73"/>
    <n v="3207.7400000000002"/>
    <n v="3207.73"/>
    <s v="October 2022"/>
  </r>
  <r>
    <d v="2022-10-12T00:00:00"/>
    <x v="1929"/>
    <n v="89"/>
    <x v="2"/>
    <x v="6"/>
    <x v="0"/>
    <x v="1"/>
    <n v="747.65"/>
    <x v="0"/>
    <n v="2503.6022787783854"/>
    <n v="822.41"/>
    <n v="822.42"/>
    <n v="822.42"/>
    <s v="October 2022"/>
  </r>
  <r>
    <d v="2022-10-12T00:00:00"/>
    <x v="1930"/>
    <n v="14"/>
    <x v="2"/>
    <x v="5"/>
    <x v="2"/>
    <x v="0"/>
    <n v="1336.17"/>
    <x v="2"/>
    <n v="2440.2966694490838"/>
    <n v="1469.78"/>
    <n v="1469.79"/>
    <n v="1469.79"/>
    <s v="October 2022"/>
  </r>
  <r>
    <d v="2022-10-12T00:00:00"/>
    <x v="1931"/>
    <n v="76"/>
    <x v="1"/>
    <x v="7"/>
    <x v="3"/>
    <x v="1"/>
    <n v="1285.71"/>
    <x v="0"/>
    <n v="2496.7676064256989"/>
    <n v="1414.28"/>
    <n v="1414.29"/>
    <n v="1414.28"/>
    <s v="October 2022"/>
  </r>
  <r>
    <d v="2022-10-12T00:00:00"/>
    <x v="1932"/>
    <n v="50"/>
    <x v="0"/>
    <x v="1"/>
    <x v="3"/>
    <x v="1"/>
    <n v="1375.85"/>
    <x v="1"/>
    <n v="2496.7676064256989"/>
    <n v="1513.43"/>
    <n v="1513.44"/>
    <n v="1513.44"/>
    <s v="October 2022"/>
  </r>
  <r>
    <d v="2022-10-12T00:00:00"/>
    <x v="1933"/>
    <n v="69"/>
    <x v="1"/>
    <x v="2"/>
    <x v="3"/>
    <x v="0"/>
    <n v="2655.29"/>
    <x v="0"/>
    <n v="2496.7676064256989"/>
    <n v="2920.81"/>
    <n v="2920.82"/>
    <n v="2920.82"/>
    <s v="October 2022"/>
  </r>
  <r>
    <d v="2022-10-12T00:00:00"/>
    <x v="1934"/>
    <n v="19"/>
    <x v="1"/>
    <x v="3"/>
    <x v="0"/>
    <x v="0"/>
    <n v="1585.44"/>
    <x v="1"/>
    <n v="2503.6022787783854"/>
    <n v="1743.98"/>
    <n v="1743.99"/>
    <n v="1743.98"/>
    <s v="October 2022"/>
  </r>
  <r>
    <d v="2022-10-12T00:00:00"/>
    <x v="1935"/>
    <n v="77"/>
    <x v="0"/>
    <x v="4"/>
    <x v="1"/>
    <x v="2"/>
    <n v="238.82"/>
    <x v="0"/>
    <n v="2509.1716796874912"/>
    <n v="262.7"/>
    <n v="262.70999999999998"/>
    <n v="262.7"/>
    <s v="October 2022"/>
  </r>
  <r>
    <d v="2022-10-13T00:00:00"/>
    <x v="1936"/>
    <n v="31"/>
    <x v="2"/>
    <x v="1"/>
    <x v="1"/>
    <x v="0"/>
    <n v="1668.43"/>
    <x v="1"/>
    <n v="2509.1716796874912"/>
    <n v="1835.27"/>
    <n v="1835.28"/>
    <n v="1835.27"/>
    <s v="October 2022"/>
  </r>
  <r>
    <d v="2022-10-13T00:00:00"/>
    <x v="1937"/>
    <n v="58"/>
    <x v="1"/>
    <x v="6"/>
    <x v="2"/>
    <x v="0"/>
    <n v="4815.78"/>
    <x v="1"/>
    <n v="2440.2966694490838"/>
    <n v="5297.35"/>
    <n v="5297.3600000000006"/>
    <n v="5297.36"/>
    <s v="October 2022"/>
  </r>
  <r>
    <d v="2022-10-13T00:00:00"/>
    <x v="1938"/>
    <n v="94"/>
    <x v="0"/>
    <x v="3"/>
    <x v="2"/>
    <x v="3"/>
    <n v="922.98"/>
    <x v="0"/>
    <n v="2440.2966694490838"/>
    <n v="1015.27"/>
    <n v="1015.28"/>
    <n v="1015.28"/>
    <s v="October 2022"/>
  </r>
  <r>
    <d v="2022-10-13T00:00:00"/>
    <x v="1939"/>
    <n v="24"/>
    <x v="0"/>
    <x v="5"/>
    <x v="2"/>
    <x v="0"/>
    <n v="826.95"/>
    <x v="1"/>
    <n v="2440.2966694490838"/>
    <n v="909.64"/>
    <n v="909.65"/>
    <n v="909.65"/>
    <s v="October 2022"/>
  </r>
  <r>
    <d v="2022-10-13T00:00:00"/>
    <x v="1940"/>
    <n v="6"/>
    <x v="1"/>
    <x v="6"/>
    <x v="1"/>
    <x v="4"/>
    <n v="1375.87"/>
    <x v="2"/>
    <n v="2509.1716796874912"/>
    <n v="1513.45"/>
    <n v="1513.46"/>
    <n v="1513.46"/>
    <s v="October 2022"/>
  </r>
  <r>
    <d v="2022-10-13T00:00:00"/>
    <x v="1941"/>
    <n v="6"/>
    <x v="0"/>
    <x v="7"/>
    <x v="3"/>
    <x v="1"/>
    <n v="4903.3599999999997"/>
    <x v="2"/>
    <n v="2496.7676064256989"/>
    <n v="5393.69"/>
    <n v="5393.7"/>
    <n v="5393.7"/>
    <s v="October 2022"/>
  </r>
  <r>
    <d v="2022-10-13T00:00:00"/>
    <x v="1942"/>
    <n v="73"/>
    <x v="0"/>
    <x v="1"/>
    <x v="2"/>
    <x v="4"/>
    <n v="4130.57"/>
    <x v="0"/>
    <n v="2440.2966694490838"/>
    <n v="4543.62"/>
    <n v="4543.63"/>
    <n v="4543.63"/>
    <s v="October 2022"/>
  </r>
  <r>
    <d v="2022-10-14T00:00:00"/>
    <x v="1943"/>
    <n v="88"/>
    <x v="1"/>
    <x v="0"/>
    <x v="0"/>
    <x v="1"/>
    <n v="2216.48"/>
    <x v="0"/>
    <n v="2503.6022787783854"/>
    <n v="2438.12"/>
    <n v="2438.13"/>
    <n v="2438.13"/>
    <s v="October 2022"/>
  </r>
  <r>
    <d v="2022-10-14T00:00:00"/>
    <x v="1944"/>
    <n v="92"/>
    <x v="1"/>
    <x v="7"/>
    <x v="2"/>
    <x v="2"/>
    <n v="2741.17"/>
    <x v="0"/>
    <n v="2440.2966694490838"/>
    <n v="3015.28"/>
    <n v="3015.2900000000004"/>
    <n v="3015.29"/>
    <s v="October 2022"/>
  </r>
  <r>
    <d v="2022-10-14T00:00:00"/>
    <x v="1945"/>
    <n v="95"/>
    <x v="0"/>
    <x v="2"/>
    <x v="1"/>
    <x v="4"/>
    <n v="4322.59"/>
    <x v="0"/>
    <n v="2509.1716796874912"/>
    <n v="4754.84"/>
    <n v="4754.8500000000004"/>
    <n v="4754.8500000000004"/>
    <s v="October 2022"/>
  </r>
  <r>
    <d v="2022-10-14T00:00:00"/>
    <x v="1946"/>
    <n v="91"/>
    <x v="0"/>
    <x v="0"/>
    <x v="1"/>
    <x v="1"/>
    <n v="2035.03"/>
    <x v="0"/>
    <n v="2509.1716796874912"/>
    <n v="2238.5300000000002"/>
    <n v="2238.5400000000004"/>
    <n v="2238.5300000000002"/>
    <s v="October 2022"/>
  </r>
  <r>
    <d v="2022-10-14T00:00:00"/>
    <x v="1947"/>
    <n v="18"/>
    <x v="0"/>
    <x v="4"/>
    <x v="3"/>
    <x v="3"/>
    <n v="1979.1"/>
    <x v="1"/>
    <n v="2496.7676064256989"/>
    <n v="2177.0100000000002"/>
    <n v="2177.0100000000002"/>
    <n v="2177.0100000000002"/>
    <s v="October 2022"/>
  </r>
  <r>
    <d v="2022-10-14T00:00:00"/>
    <x v="1948"/>
    <n v="98"/>
    <x v="0"/>
    <x v="1"/>
    <x v="2"/>
    <x v="2"/>
    <n v="3065.23"/>
    <x v="0"/>
    <n v="2440.2966694490838"/>
    <n v="3371.75"/>
    <n v="3371.76"/>
    <n v="3371.75"/>
    <s v="October 2022"/>
  </r>
  <r>
    <d v="2022-10-14T00:00:00"/>
    <x v="1949"/>
    <n v="73"/>
    <x v="0"/>
    <x v="6"/>
    <x v="1"/>
    <x v="1"/>
    <n v="3044.79"/>
    <x v="0"/>
    <n v="2509.1716796874912"/>
    <n v="3349.26"/>
    <n v="3349.2700000000004"/>
    <n v="3349.27"/>
    <s v="October 2022"/>
  </r>
  <r>
    <d v="2022-10-14T00:00:00"/>
    <x v="1950"/>
    <n v="15"/>
    <x v="1"/>
    <x v="6"/>
    <x v="3"/>
    <x v="2"/>
    <n v="2209.0300000000002"/>
    <x v="2"/>
    <n v="2496.7676064256989"/>
    <n v="2429.9299999999998"/>
    <n v="2429.94"/>
    <n v="2429.9299999999998"/>
    <s v="October 2022"/>
  </r>
  <r>
    <d v="2022-10-14T00:00:00"/>
    <x v="1951"/>
    <n v="97"/>
    <x v="2"/>
    <x v="4"/>
    <x v="0"/>
    <x v="1"/>
    <n v="2386.3200000000002"/>
    <x v="0"/>
    <n v="2503.6022787783854"/>
    <n v="2624.95"/>
    <n v="2624.96"/>
    <n v="2624.95"/>
    <s v="October 2022"/>
  </r>
  <r>
    <d v="2022-10-14T00:00:00"/>
    <x v="1952"/>
    <n v="23"/>
    <x v="1"/>
    <x v="0"/>
    <x v="0"/>
    <x v="4"/>
    <n v="3651.51"/>
    <x v="1"/>
    <n v="2503.6022787783854"/>
    <n v="4016.66"/>
    <n v="4016.67"/>
    <n v="4016.66"/>
    <s v="October 2022"/>
  </r>
  <r>
    <d v="2022-10-14T00:00:00"/>
    <x v="1953"/>
    <n v="90"/>
    <x v="1"/>
    <x v="7"/>
    <x v="0"/>
    <x v="2"/>
    <n v="1347.31"/>
    <x v="0"/>
    <n v="2503.6022787783854"/>
    <n v="1482.04"/>
    <n v="1482.05"/>
    <n v="1482.04"/>
    <s v="October 2022"/>
  </r>
  <r>
    <d v="2022-10-14T00:00:00"/>
    <x v="1954"/>
    <n v="14"/>
    <x v="2"/>
    <x v="6"/>
    <x v="1"/>
    <x v="1"/>
    <n v="3597.86"/>
    <x v="2"/>
    <n v="2509.1716796874912"/>
    <n v="3957.64"/>
    <n v="3957.65"/>
    <n v="3957.65"/>
    <s v="October 2022"/>
  </r>
  <r>
    <d v="2022-10-14T00:00:00"/>
    <x v="1955"/>
    <n v="63"/>
    <x v="2"/>
    <x v="1"/>
    <x v="0"/>
    <x v="0"/>
    <n v="1095.3499999999999"/>
    <x v="1"/>
    <n v="2503.6022787783854"/>
    <n v="1204.8800000000001"/>
    <n v="1204.8900000000001"/>
    <n v="1204.8900000000001"/>
    <s v="October 2022"/>
  </r>
  <r>
    <d v="2022-10-14T00:00:00"/>
    <x v="1956"/>
    <n v="4"/>
    <x v="2"/>
    <x v="2"/>
    <x v="3"/>
    <x v="0"/>
    <n v="2400.12"/>
    <x v="2"/>
    <n v="2496.7676064256989"/>
    <n v="2640.13"/>
    <n v="2640.1400000000003"/>
    <n v="2640.13"/>
    <s v="October 2022"/>
  </r>
  <r>
    <d v="2022-10-14T00:00:00"/>
    <x v="1957"/>
    <n v="53"/>
    <x v="1"/>
    <x v="1"/>
    <x v="1"/>
    <x v="4"/>
    <n v="4367.6899999999996"/>
    <x v="1"/>
    <n v="2509.1716796874912"/>
    <n v="4804.45"/>
    <n v="4804.46"/>
    <n v="4804.46"/>
    <s v="October 2022"/>
  </r>
  <r>
    <d v="2022-10-14T00:00:00"/>
    <x v="1958"/>
    <n v="49"/>
    <x v="0"/>
    <x v="0"/>
    <x v="2"/>
    <x v="3"/>
    <n v="1591.68"/>
    <x v="1"/>
    <n v="2440.2966694490838"/>
    <n v="1750.84"/>
    <n v="1750.85"/>
    <n v="1750.85"/>
    <s v="October 2022"/>
  </r>
  <r>
    <d v="2022-10-14T00:00:00"/>
    <x v="1959"/>
    <n v="6"/>
    <x v="2"/>
    <x v="1"/>
    <x v="1"/>
    <x v="2"/>
    <n v="1074.55"/>
    <x v="2"/>
    <n v="2509.1716796874912"/>
    <n v="1182"/>
    <n v="1182.01"/>
    <n v="1182.01"/>
    <s v="October 2022"/>
  </r>
  <r>
    <d v="2022-10-15T00:00:00"/>
    <x v="1960"/>
    <n v="87"/>
    <x v="0"/>
    <x v="2"/>
    <x v="1"/>
    <x v="0"/>
    <n v="1206.8800000000001"/>
    <x v="0"/>
    <n v="2509.1716796874912"/>
    <n v="1327.56"/>
    <n v="1327.57"/>
    <n v="1327.57"/>
    <s v="October 2022"/>
  </r>
  <r>
    <d v="2022-10-15T00:00:00"/>
    <x v="1961"/>
    <n v="74"/>
    <x v="2"/>
    <x v="7"/>
    <x v="1"/>
    <x v="2"/>
    <n v="2501.3200000000002"/>
    <x v="0"/>
    <n v="2509.1716796874912"/>
    <n v="2751.45"/>
    <n v="2751.46"/>
    <n v="2751.45"/>
    <s v="October 2022"/>
  </r>
  <r>
    <d v="2022-10-15T00:00:00"/>
    <x v="1962"/>
    <n v="52"/>
    <x v="2"/>
    <x v="3"/>
    <x v="3"/>
    <x v="3"/>
    <n v="4788.33"/>
    <x v="1"/>
    <n v="2496.7676064256989"/>
    <n v="5267.16"/>
    <n v="5267.17"/>
    <n v="5267.16"/>
    <s v="October 2022"/>
  </r>
  <r>
    <d v="2022-10-15T00:00:00"/>
    <x v="1963"/>
    <n v="31"/>
    <x v="0"/>
    <x v="7"/>
    <x v="3"/>
    <x v="1"/>
    <n v="2851.77"/>
    <x v="1"/>
    <n v="2496.7676064256989"/>
    <n v="3136.94"/>
    <n v="3136.9500000000003"/>
    <n v="3136.95"/>
    <s v="October 2022"/>
  </r>
  <r>
    <d v="2022-10-15T00:00:00"/>
    <x v="1964"/>
    <n v="93"/>
    <x v="1"/>
    <x v="7"/>
    <x v="2"/>
    <x v="4"/>
    <n v="4826.63"/>
    <x v="0"/>
    <n v="2440.2966694490838"/>
    <n v="5309.29"/>
    <n v="5309.3"/>
    <n v="5309.29"/>
    <s v="October 2022"/>
  </r>
  <r>
    <d v="2022-10-15T00:00:00"/>
    <x v="1965"/>
    <n v="69"/>
    <x v="0"/>
    <x v="3"/>
    <x v="2"/>
    <x v="2"/>
    <n v="3979.46"/>
    <x v="0"/>
    <n v="2440.2966694490838"/>
    <n v="4377.3999999999996"/>
    <n v="4377.41"/>
    <n v="4377.41"/>
    <s v="October 2022"/>
  </r>
  <r>
    <d v="2022-10-15T00:00:00"/>
    <x v="1966"/>
    <n v="97"/>
    <x v="2"/>
    <x v="4"/>
    <x v="3"/>
    <x v="0"/>
    <n v="3404.65"/>
    <x v="0"/>
    <n v="2496.7676064256989"/>
    <n v="3745.11"/>
    <n v="3745.1200000000003"/>
    <n v="3745.12"/>
    <s v="October 2022"/>
  </r>
  <r>
    <d v="2022-10-15T00:00:00"/>
    <x v="1967"/>
    <n v="39"/>
    <x v="1"/>
    <x v="2"/>
    <x v="1"/>
    <x v="3"/>
    <n v="1833.97"/>
    <x v="1"/>
    <n v="2509.1716796874912"/>
    <n v="2017.36"/>
    <n v="2017.37"/>
    <n v="2017.37"/>
    <s v="October 2022"/>
  </r>
  <r>
    <d v="2022-10-15T00:00:00"/>
    <x v="1968"/>
    <n v="14"/>
    <x v="0"/>
    <x v="3"/>
    <x v="2"/>
    <x v="1"/>
    <n v="1414.32"/>
    <x v="2"/>
    <n v="2440.2966694490838"/>
    <n v="1555.75"/>
    <n v="1555.76"/>
    <n v="1555.75"/>
    <s v="October 2022"/>
  </r>
  <r>
    <d v="2022-10-16T00:00:00"/>
    <x v="1969"/>
    <n v="36"/>
    <x v="2"/>
    <x v="4"/>
    <x v="3"/>
    <x v="3"/>
    <n v="4607.67"/>
    <x v="1"/>
    <n v="2496.7676064256989"/>
    <n v="5068.43"/>
    <n v="5068.4400000000005"/>
    <n v="5068.4399999999996"/>
    <s v="October 2022"/>
  </r>
  <r>
    <d v="2022-10-16T00:00:00"/>
    <x v="1970"/>
    <n v="89"/>
    <x v="2"/>
    <x v="2"/>
    <x v="1"/>
    <x v="4"/>
    <n v="4295.75"/>
    <x v="0"/>
    <n v="2509.1716796874912"/>
    <n v="4725.32"/>
    <n v="4725.33"/>
    <n v="4725.33"/>
    <s v="October 2022"/>
  </r>
  <r>
    <d v="2022-10-16T00:00:00"/>
    <x v="1971"/>
    <n v="57"/>
    <x v="2"/>
    <x v="5"/>
    <x v="2"/>
    <x v="3"/>
    <n v="3678.9"/>
    <x v="1"/>
    <n v="2440.2966694490838"/>
    <n v="4046.79"/>
    <n v="4046.79"/>
    <n v="4046.79"/>
    <s v="October 2022"/>
  </r>
  <r>
    <d v="2022-10-16T00:00:00"/>
    <x v="1972"/>
    <n v="12"/>
    <x v="2"/>
    <x v="7"/>
    <x v="2"/>
    <x v="3"/>
    <n v="4077.63"/>
    <x v="2"/>
    <n v="2440.2966694490838"/>
    <n v="4485.3900000000003"/>
    <n v="4485.4000000000005"/>
    <n v="4485.3900000000003"/>
    <s v="October 2022"/>
  </r>
  <r>
    <d v="2022-10-16T00:00:00"/>
    <x v="1973"/>
    <n v="52"/>
    <x v="2"/>
    <x v="1"/>
    <x v="1"/>
    <x v="0"/>
    <n v="4114.0600000000004"/>
    <x v="1"/>
    <n v="2509.1716796874912"/>
    <n v="4525.46"/>
    <n v="4525.47"/>
    <n v="4525.47"/>
    <s v="October 2022"/>
  </r>
  <r>
    <d v="2022-10-16T00:00:00"/>
    <x v="1974"/>
    <n v="99"/>
    <x v="0"/>
    <x v="7"/>
    <x v="0"/>
    <x v="5"/>
    <n v="1555.3"/>
    <x v="0"/>
    <n v="2503.6022787783854"/>
    <n v="1710.83"/>
    <n v="1710.83"/>
    <n v="1710.83"/>
    <s v="October 2022"/>
  </r>
  <r>
    <d v="2022-10-16T00:00:00"/>
    <x v="1975"/>
    <n v="3"/>
    <x v="1"/>
    <x v="1"/>
    <x v="2"/>
    <x v="4"/>
    <n v="4780.51"/>
    <x v="2"/>
    <n v="2440.2966694490838"/>
    <n v="5258.56"/>
    <n v="5258.5700000000006"/>
    <n v="5258.56"/>
    <s v="October 2022"/>
  </r>
  <r>
    <d v="2022-10-16T00:00:00"/>
    <x v="1976"/>
    <n v="60"/>
    <x v="0"/>
    <x v="1"/>
    <x v="0"/>
    <x v="0"/>
    <n v="4095.03"/>
    <x v="1"/>
    <n v="2503.6022787783854"/>
    <n v="4504.53"/>
    <n v="4504.54"/>
    <n v="4504.53"/>
    <s v="October 2022"/>
  </r>
  <r>
    <d v="2022-10-16T00:00:00"/>
    <x v="1977"/>
    <n v="71"/>
    <x v="1"/>
    <x v="7"/>
    <x v="1"/>
    <x v="3"/>
    <n v="21.3"/>
    <x v="0"/>
    <n v="2509.1716796874912"/>
    <n v="23.43"/>
    <n v="23.43"/>
    <n v="23.43"/>
    <s v="October 2022"/>
  </r>
  <r>
    <d v="2022-10-17T00:00:00"/>
    <x v="1978"/>
    <n v="44"/>
    <x v="0"/>
    <x v="2"/>
    <x v="0"/>
    <x v="3"/>
    <n v="1970.59"/>
    <x v="1"/>
    <n v="2503.6022787783854"/>
    <n v="2167.64"/>
    <n v="2167.65"/>
    <n v="2167.65"/>
    <s v="October 2022"/>
  </r>
  <r>
    <d v="2022-10-17T00:00:00"/>
    <x v="1979"/>
    <n v="0"/>
    <x v="1"/>
    <x v="5"/>
    <x v="1"/>
    <x v="1"/>
    <n v="3819.71"/>
    <x v="2"/>
    <n v="2509.1716796874912"/>
    <n v="4201.68"/>
    <n v="4201.6900000000005"/>
    <n v="4201.68"/>
    <s v="October 2022"/>
  </r>
  <r>
    <d v="2022-10-17T00:00:00"/>
    <x v="1980"/>
    <n v="17"/>
    <x v="0"/>
    <x v="4"/>
    <x v="3"/>
    <x v="0"/>
    <n v="1386.6"/>
    <x v="1"/>
    <n v="2496.7676064256989"/>
    <n v="1525.26"/>
    <n v="1525.26"/>
    <n v="1525.26"/>
    <s v="October 2022"/>
  </r>
  <r>
    <d v="2022-10-17T00:00:00"/>
    <x v="1981"/>
    <n v="45"/>
    <x v="2"/>
    <x v="5"/>
    <x v="2"/>
    <x v="4"/>
    <n v="3818.98"/>
    <x v="1"/>
    <n v="2440.2966694490838"/>
    <n v="4200.87"/>
    <n v="4200.88"/>
    <n v="4200.88"/>
    <s v="October 2022"/>
  </r>
  <r>
    <d v="2022-10-17T00:00:00"/>
    <x v="1982"/>
    <n v="12"/>
    <x v="0"/>
    <x v="2"/>
    <x v="2"/>
    <x v="2"/>
    <n v="2345.37"/>
    <x v="2"/>
    <n v="2440.2966694490838"/>
    <n v="2579.9"/>
    <n v="2579.9100000000003"/>
    <n v="2579.91"/>
    <s v="October 2022"/>
  </r>
  <r>
    <d v="2022-10-17T00:00:00"/>
    <x v="1983"/>
    <n v="7"/>
    <x v="0"/>
    <x v="2"/>
    <x v="1"/>
    <x v="5"/>
    <n v="4629.34"/>
    <x v="2"/>
    <n v="2509.1716796874912"/>
    <n v="5092.2700000000004"/>
    <n v="5092.2800000000007"/>
    <n v="5092.2700000000004"/>
    <s v="October 2022"/>
  </r>
  <r>
    <d v="2022-10-17T00:00:00"/>
    <x v="1984"/>
    <n v="24"/>
    <x v="1"/>
    <x v="4"/>
    <x v="2"/>
    <x v="4"/>
    <n v="4924.17"/>
    <x v="1"/>
    <n v="2440.2966694490838"/>
    <n v="5416.58"/>
    <n v="5416.59"/>
    <n v="5416.59"/>
    <s v="October 2022"/>
  </r>
  <r>
    <d v="2022-10-17T00:00:00"/>
    <x v="1985"/>
    <n v="9"/>
    <x v="2"/>
    <x v="3"/>
    <x v="3"/>
    <x v="0"/>
    <n v="4105.5200000000004"/>
    <x v="2"/>
    <n v="2496.7676064256989"/>
    <n v="4516.07"/>
    <n v="4516.08"/>
    <n v="4516.07"/>
    <s v="October 2022"/>
  </r>
  <r>
    <d v="2022-10-17T00:00:00"/>
    <x v="1986"/>
    <n v="80"/>
    <x v="1"/>
    <x v="7"/>
    <x v="0"/>
    <x v="3"/>
    <n v="3624.94"/>
    <x v="0"/>
    <n v="2503.6022787783854"/>
    <n v="3987.43"/>
    <n v="3987.44"/>
    <n v="3987.43"/>
    <s v="October 2022"/>
  </r>
  <r>
    <d v="2022-10-18T00:00:00"/>
    <x v="1987"/>
    <n v="59"/>
    <x v="1"/>
    <x v="1"/>
    <x v="1"/>
    <x v="0"/>
    <n v="4452.08"/>
    <x v="1"/>
    <n v="2509.1716796874912"/>
    <n v="4897.28"/>
    <n v="4897.29"/>
    <n v="4897.29"/>
    <s v="October 2022"/>
  </r>
  <r>
    <d v="2022-10-18T00:00:00"/>
    <x v="1988"/>
    <n v="58"/>
    <x v="1"/>
    <x v="2"/>
    <x v="1"/>
    <x v="2"/>
    <n v="838.09"/>
    <x v="1"/>
    <n v="2509.1716796874912"/>
    <n v="921.89"/>
    <n v="921.9"/>
    <n v="921.9"/>
    <s v="October 2022"/>
  </r>
  <r>
    <d v="2022-10-18T00:00:00"/>
    <x v="1989"/>
    <n v="45"/>
    <x v="2"/>
    <x v="1"/>
    <x v="0"/>
    <x v="2"/>
    <n v="2007.7"/>
    <x v="1"/>
    <n v="2503.6022787783854"/>
    <n v="2208.4699999999998"/>
    <n v="2208.4699999999998"/>
    <n v="2208.4699999999998"/>
    <s v="October 2022"/>
  </r>
  <r>
    <d v="2022-10-18T00:00:00"/>
    <x v="1990"/>
    <n v="12"/>
    <x v="0"/>
    <x v="7"/>
    <x v="3"/>
    <x v="1"/>
    <n v="526.20000000000005"/>
    <x v="2"/>
    <n v="2496.7676064256989"/>
    <n v="578.82000000000005"/>
    <n v="578.82000000000005"/>
    <n v="578.82000000000005"/>
    <s v="October 2022"/>
  </r>
  <r>
    <d v="2022-10-18T00:00:00"/>
    <x v="1991"/>
    <n v="44"/>
    <x v="0"/>
    <x v="0"/>
    <x v="3"/>
    <x v="3"/>
    <n v="3131.93"/>
    <x v="1"/>
    <n v="2496.7676064256989"/>
    <n v="3445.12"/>
    <n v="3445.13"/>
    <n v="3445.12"/>
    <s v="October 2022"/>
  </r>
  <r>
    <d v="2022-10-19T00:00:00"/>
    <x v="1992"/>
    <n v="21"/>
    <x v="2"/>
    <x v="1"/>
    <x v="0"/>
    <x v="2"/>
    <n v="3214.7"/>
    <x v="1"/>
    <n v="2503.6022787783854"/>
    <n v="3536.17"/>
    <n v="3536.17"/>
    <n v="3536.17"/>
    <s v="October 2022"/>
  </r>
  <r>
    <d v="2022-10-19T00:00:00"/>
    <x v="1993"/>
    <n v="59"/>
    <x v="1"/>
    <x v="5"/>
    <x v="1"/>
    <x v="3"/>
    <n v="4466.78"/>
    <x v="1"/>
    <n v="2509.1716796874912"/>
    <n v="4913.45"/>
    <n v="4913.46"/>
    <n v="4913.46"/>
    <s v="October 2022"/>
  </r>
  <r>
    <d v="2022-10-19T00:00:00"/>
    <x v="1994"/>
    <n v="51"/>
    <x v="2"/>
    <x v="2"/>
    <x v="3"/>
    <x v="1"/>
    <n v="1685.69"/>
    <x v="1"/>
    <n v="2496.7676064256989"/>
    <n v="1854.25"/>
    <n v="1854.26"/>
    <n v="1854.26"/>
    <s v="October 2022"/>
  </r>
  <r>
    <d v="2022-10-19T00:00:00"/>
    <x v="1995"/>
    <n v="6"/>
    <x v="2"/>
    <x v="0"/>
    <x v="0"/>
    <x v="0"/>
    <n v="156.96"/>
    <x v="2"/>
    <n v="2503.6022787783854"/>
    <n v="172.65"/>
    <n v="172.66"/>
    <n v="172.66"/>
    <s v="October 2022"/>
  </r>
  <r>
    <d v="2022-10-19T00:00:00"/>
    <x v="1996"/>
    <n v="57"/>
    <x v="1"/>
    <x v="4"/>
    <x v="0"/>
    <x v="3"/>
    <n v="2432.59"/>
    <x v="1"/>
    <n v="2503.6022787783854"/>
    <n v="2675.84"/>
    <n v="2675.8500000000004"/>
    <n v="2675.85"/>
    <s v="October 2022"/>
  </r>
  <r>
    <d v="2022-10-19T00:00:00"/>
    <x v="1997"/>
    <n v="39"/>
    <x v="0"/>
    <x v="0"/>
    <x v="3"/>
    <x v="3"/>
    <n v="2460.64"/>
    <x v="1"/>
    <n v="2496.7676064256989"/>
    <n v="2706.7"/>
    <n v="2706.71"/>
    <n v="2706.7"/>
    <s v="October 2022"/>
  </r>
  <r>
    <d v="2022-10-19T00:00:00"/>
    <x v="1998"/>
    <n v="22"/>
    <x v="1"/>
    <x v="1"/>
    <x v="1"/>
    <x v="0"/>
    <n v="3794.67"/>
    <x v="1"/>
    <n v="2509.1716796874912"/>
    <n v="4174.13"/>
    <n v="4174.1400000000003"/>
    <n v="4174.1400000000003"/>
    <s v="October 2022"/>
  </r>
  <r>
    <d v="2022-10-19T00:00:00"/>
    <x v="1999"/>
    <n v="58"/>
    <x v="2"/>
    <x v="4"/>
    <x v="0"/>
    <x v="1"/>
    <n v="1973.01"/>
    <x v="1"/>
    <n v="2503.6022787783854"/>
    <n v="2170.31"/>
    <n v="2170.3200000000002"/>
    <n v="2170.31"/>
    <s v="October 2022"/>
  </r>
  <r>
    <d v="2022-10-19T00:00:00"/>
    <x v="2000"/>
    <n v="51"/>
    <x v="1"/>
    <x v="0"/>
    <x v="0"/>
    <x v="3"/>
    <n v="711.7"/>
    <x v="1"/>
    <n v="2503.6022787783854"/>
    <n v="782.87"/>
    <n v="782.87"/>
    <n v="782.87"/>
    <s v="October 2022"/>
  </r>
  <r>
    <d v="2022-10-20T00:00:00"/>
    <x v="2001"/>
    <n v="73"/>
    <x v="0"/>
    <x v="2"/>
    <x v="2"/>
    <x v="2"/>
    <n v="1275.5899999999999"/>
    <x v="0"/>
    <n v="2440.2966694490838"/>
    <n v="1403.14"/>
    <n v="1403.15"/>
    <n v="1403.15"/>
    <s v="October 2022"/>
  </r>
  <r>
    <d v="2022-10-20T00:00:00"/>
    <x v="2002"/>
    <n v="50"/>
    <x v="2"/>
    <x v="3"/>
    <x v="3"/>
    <x v="4"/>
    <n v="4348.12"/>
    <x v="1"/>
    <n v="2496.7676064256989"/>
    <n v="4782.93"/>
    <n v="4782.9400000000005"/>
    <n v="4782.93"/>
    <s v="October 2022"/>
  </r>
  <r>
    <d v="2022-10-20T00:00:00"/>
    <x v="2003"/>
    <n v="76"/>
    <x v="1"/>
    <x v="5"/>
    <x v="2"/>
    <x v="0"/>
    <n v="3516.63"/>
    <x v="0"/>
    <n v="2440.2966694490838"/>
    <n v="3868.29"/>
    <n v="3868.3"/>
    <n v="3868.29"/>
    <s v="October 2022"/>
  </r>
  <r>
    <d v="2022-10-20T00:00:00"/>
    <x v="2004"/>
    <n v="34"/>
    <x v="2"/>
    <x v="7"/>
    <x v="0"/>
    <x v="3"/>
    <n v="2861.27"/>
    <x v="1"/>
    <n v="2503.6022787783854"/>
    <n v="3147.39"/>
    <n v="3147.4"/>
    <n v="3147.4"/>
    <s v="October 2022"/>
  </r>
  <r>
    <d v="2022-10-20T00:00:00"/>
    <x v="2005"/>
    <n v="33"/>
    <x v="0"/>
    <x v="1"/>
    <x v="0"/>
    <x v="1"/>
    <n v="3153.97"/>
    <x v="1"/>
    <n v="2503.6022787783854"/>
    <n v="3469.36"/>
    <n v="3469.3700000000003"/>
    <n v="3469.37"/>
    <s v="October 2022"/>
  </r>
  <r>
    <d v="2022-10-20T00:00:00"/>
    <x v="2006"/>
    <n v="91"/>
    <x v="0"/>
    <x v="2"/>
    <x v="1"/>
    <x v="2"/>
    <n v="2450.79"/>
    <x v="0"/>
    <n v="2509.1716796874912"/>
    <n v="2695.86"/>
    <n v="2695.8700000000003"/>
    <n v="2695.87"/>
    <s v="October 2022"/>
  </r>
  <r>
    <d v="2022-10-20T00:00:00"/>
    <x v="2007"/>
    <n v="37"/>
    <x v="2"/>
    <x v="3"/>
    <x v="2"/>
    <x v="3"/>
    <n v="2966.63"/>
    <x v="1"/>
    <n v="2440.2966694490838"/>
    <n v="3263.29"/>
    <n v="3263.3"/>
    <n v="3263.29"/>
    <s v="October 2022"/>
  </r>
  <r>
    <d v="2022-10-20T00:00:00"/>
    <x v="2008"/>
    <n v="78"/>
    <x v="0"/>
    <x v="5"/>
    <x v="0"/>
    <x v="2"/>
    <n v="1194.28"/>
    <x v="0"/>
    <n v="2503.6022787783854"/>
    <n v="1313.7"/>
    <n v="1313.71"/>
    <n v="1313.71"/>
    <s v="October 2022"/>
  </r>
  <r>
    <d v="2022-10-20T00:00:00"/>
    <x v="2009"/>
    <n v="31"/>
    <x v="1"/>
    <x v="0"/>
    <x v="2"/>
    <x v="5"/>
    <n v="1863.48"/>
    <x v="1"/>
    <n v="2440.2966694490838"/>
    <n v="2049.8200000000002"/>
    <n v="2049.8300000000004"/>
    <n v="2049.83"/>
    <s v="October 2022"/>
  </r>
  <r>
    <d v="2022-10-21T00:00:00"/>
    <x v="2010"/>
    <n v="17"/>
    <x v="1"/>
    <x v="0"/>
    <x v="2"/>
    <x v="0"/>
    <n v="1224.96"/>
    <x v="1"/>
    <n v="2440.2966694490838"/>
    <n v="1347.45"/>
    <n v="1347.46"/>
    <n v="1347.46"/>
    <s v="October 2022"/>
  </r>
  <r>
    <d v="2022-10-21T00:00:00"/>
    <x v="2011"/>
    <n v="41"/>
    <x v="2"/>
    <x v="4"/>
    <x v="1"/>
    <x v="4"/>
    <n v="1912.9"/>
    <x v="1"/>
    <n v="2509.1716796874912"/>
    <n v="2104.19"/>
    <n v="2104.19"/>
    <n v="2104.19"/>
    <s v="October 2022"/>
  </r>
  <r>
    <d v="2022-10-21T00:00:00"/>
    <x v="2012"/>
    <n v="78"/>
    <x v="1"/>
    <x v="6"/>
    <x v="1"/>
    <x v="2"/>
    <n v="1992.44"/>
    <x v="0"/>
    <n v="2509.1716796874912"/>
    <n v="2191.6799999999998"/>
    <n v="2191.69"/>
    <n v="2191.6799999999998"/>
    <s v="October 2022"/>
  </r>
  <r>
    <d v="2022-10-22T00:00:00"/>
    <x v="2013"/>
    <n v="70"/>
    <x v="0"/>
    <x v="5"/>
    <x v="0"/>
    <x v="2"/>
    <n v="3522.71"/>
    <x v="0"/>
    <n v="2503.6022787783854"/>
    <n v="3874.98"/>
    <n v="3874.9900000000002"/>
    <n v="3874.98"/>
    <s v="October 2022"/>
  </r>
  <r>
    <d v="2022-10-22T00:00:00"/>
    <x v="2014"/>
    <n v="98"/>
    <x v="2"/>
    <x v="7"/>
    <x v="2"/>
    <x v="0"/>
    <n v="1233.33"/>
    <x v="0"/>
    <n v="2440.2966694490838"/>
    <n v="1356.66"/>
    <n v="1356.67"/>
    <n v="1356.66"/>
    <s v="October 2022"/>
  </r>
  <r>
    <d v="2022-10-22T00:00:00"/>
    <x v="2015"/>
    <n v="92"/>
    <x v="0"/>
    <x v="4"/>
    <x v="2"/>
    <x v="2"/>
    <n v="4702.59"/>
    <x v="0"/>
    <n v="2440.2966694490838"/>
    <n v="5172.84"/>
    <n v="5172.8500000000004"/>
    <n v="5172.8500000000004"/>
    <s v="October 2022"/>
  </r>
  <r>
    <d v="2022-10-22T00:00:00"/>
    <x v="2016"/>
    <n v="39"/>
    <x v="2"/>
    <x v="1"/>
    <x v="1"/>
    <x v="0"/>
    <n v="336.18"/>
    <x v="1"/>
    <n v="2509.1716796874912"/>
    <n v="369.79"/>
    <n v="369.8"/>
    <n v="369.8"/>
    <s v="October 2022"/>
  </r>
  <r>
    <d v="2022-10-22T00:00:00"/>
    <x v="2017"/>
    <n v="24"/>
    <x v="2"/>
    <x v="4"/>
    <x v="0"/>
    <x v="3"/>
    <n v="3438.45"/>
    <x v="1"/>
    <n v="2503.6022787783854"/>
    <n v="3782.29"/>
    <n v="3782.3"/>
    <n v="3782.3"/>
    <s v="October 2022"/>
  </r>
  <r>
    <d v="2022-10-22T00:00:00"/>
    <x v="2018"/>
    <n v="15"/>
    <x v="2"/>
    <x v="0"/>
    <x v="0"/>
    <x v="2"/>
    <n v="3036.99"/>
    <x v="2"/>
    <n v="2503.6022787783854"/>
    <n v="3340.68"/>
    <n v="3340.69"/>
    <n v="3340.69"/>
    <s v="October 2022"/>
  </r>
  <r>
    <d v="2022-10-22T00:00:00"/>
    <x v="2019"/>
    <n v="3"/>
    <x v="1"/>
    <x v="5"/>
    <x v="0"/>
    <x v="4"/>
    <n v="3247.74"/>
    <x v="2"/>
    <n v="2503.6022787783854"/>
    <n v="3572.51"/>
    <n v="3572.5200000000004"/>
    <n v="3572.51"/>
    <s v="October 2022"/>
  </r>
  <r>
    <d v="2022-10-22T00:00:00"/>
    <x v="2020"/>
    <n v="40"/>
    <x v="0"/>
    <x v="6"/>
    <x v="1"/>
    <x v="0"/>
    <n v="416.29"/>
    <x v="1"/>
    <n v="2509.1716796874912"/>
    <n v="457.91"/>
    <n v="457.92"/>
    <n v="457.92"/>
    <s v="October 2022"/>
  </r>
  <r>
    <d v="2022-10-22T00:00:00"/>
    <x v="2021"/>
    <n v="25"/>
    <x v="1"/>
    <x v="0"/>
    <x v="2"/>
    <x v="4"/>
    <n v="44.52"/>
    <x v="1"/>
    <n v="2440.2966694490838"/>
    <n v="48.97"/>
    <n v="48.98"/>
    <n v="48.97"/>
    <s v="October 2022"/>
  </r>
  <r>
    <d v="2022-10-22T00:00:00"/>
    <x v="2022"/>
    <n v="0"/>
    <x v="0"/>
    <x v="2"/>
    <x v="3"/>
    <x v="4"/>
    <n v="2569.38"/>
    <x v="2"/>
    <n v="2496.7676064256989"/>
    <n v="2826.31"/>
    <n v="2826.32"/>
    <n v="2826.32"/>
    <s v="October 2022"/>
  </r>
  <r>
    <d v="2022-10-22T00:00:00"/>
    <x v="2023"/>
    <n v="77"/>
    <x v="2"/>
    <x v="2"/>
    <x v="3"/>
    <x v="2"/>
    <n v="161.93"/>
    <x v="0"/>
    <n v="2496.7676064256989"/>
    <n v="178.12"/>
    <n v="178.13"/>
    <n v="178.12"/>
    <s v="October 2022"/>
  </r>
  <r>
    <d v="2022-10-23T00:00:00"/>
    <x v="2024"/>
    <n v="10"/>
    <x v="1"/>
    <x v="5"/>
    <x v="2"/>
    <x v="2"/>
    <n v="215.45"/>
    <x v="2"/>
    <n v="2440.2966694490838"/>
    <n v="236.99"/>
    <n v="237"/>
    <n v="237"/>
    <s v="October 2022"/>
  </r>
  <r>
    <d v="2022-10-23T00:00:00"/>
    <x v="2025"/>
    <n v="85"/>
    <x v="2"/>
    <x v="5"/>
    <x v="0"/>
    <x v="4"/>
    <n v="2744.5"/>
    <x v="0"/>
    <n v="2503.6022787783854"/>
    <n v="3018.95"/>
    <n v="3018.95"/>
    <n v="3018.95"/>
    <s v="October 2022"/>
  </r>
  <r>
    <d v="2022-10-23T00:00:00"/>
    <x v="2026"/>
    <n v="35"/>
    <x v="1"/>
    <x v="2"/>
    <x v="1"/>
    <x v="0"/>
    <n v="4169.12"/>
    <x v="1"/>
    <n v="2509.1716796874912"/>
    <n v="4586.03"/>
    <n v="4586.04"/>
    <n v="4586.03"/>
    <s v="October 2022"/>
  </r>
  <r>
    <d v="2022-10-23T00:00:00"/>
    <x v="2027"/>
    <n v="7"/>
    <x v="1"/>
    <x v="2"/>
    <x v="1"/>
    <x v="3"/>
    <n v="2771.79"/>
    <x v="2"/>
    <n v="2509.1716796874912"/>
    <n v="3048.96"/>
    <n v="3048.9700000000003"/>
    <n v="3048.97"/>
    <s v="October 2022"/>
  </r>
  <r>
    <d v="2022-10-23T00:00:00"/>
    <x v="2028"/>
    <n v="10"/>
    <x v="0"/>
    <x v="5"/>
    <x v="0"/>
    <x v="3"/>
    <n v="2751.36"/>
    <x v="2"/>
    <n v="2503.6022787783854"/>
    <n v="3026.49"/>
    <n v="3026.5"/>
    <n v="3026.5"/>
    <s v="October 2022"/>
  </r>
  <r>
    <d v="2022-10-23T00:00:00"/>
    <x v="2029"/>
    <n v="91"/>
    <x v="1"/>
    <x v="4"/>
    <x v="1"/>
    <x v="4"/>
    <n v="4998.47"/>
    <x v="0"/>
    <n v="2509.1716796874912"/>
    <n v="5498.31"/>
    <n v="5498.3200000000006"/>
    <n v="5498.32"/>
    <s v="October 2022"/>
  </r>
  <r>
    <d v="2022-10-23T00:00:00"/>
    <x v="2030"/>
    <n v="1"/>
    <x v="0"/>
    <x v="5"/>
    <x v="3"/>
    <x v="1"/>
    <n v="1859.75"/>
    <x v="2"/>
    <n v="2496.7676064256989"/>
    <n v="2045.72"/>
    <n v="2045.73"/>
    <n v="2045.73"/>
    <s v="October 2022"/>
  </r>
  <r>
    <d v="2022-10-23T00:00:00"/>
    <x v="2031"/>
    <n v="88"/>
    <x v="2"/>
    <x v="7"/>
    <x v="3"/>
    <x v="1"/>
    <n v="2237.61"/>
    <x v="0"/>
    <n v="2496.7676064256989"/>
    <n v="2461.37"/>
    <n v="2461.38"/>
    <n v="2461.37"/>
    <s v="October 2022"/>
  </r>
  <r>
    <d v="2022-10-24T00:00:00"/>
    <x v="2032"/>
    <n v="66"/>
    <x v="0"/>
    <x v="0"/>
    <x v="0"/>
    <x v="4"/>
    <n v="442.64"/>
    <x v="0"/>
    <n v="2503.6022787783854"/>
    <n v="486.9"/>
    <n v="486.90999999999997"/>
    <n v="486.9"/>
    <s v="October 2022"/>
  </r>
  <r>
    <d v="2022-10-24T00:00:00"/>
    <x v="2033"/>
    <n v="66"/>
    <x v="1"/>
    <x v="1"/>
    <x v="1"/>
    <x v="2"/>
    <n v="3366.46"/>
    <x v="0"/>
    <n v="2509.1716796874912"/>
    <n v="3703.1"/>
    <n v="3703.11"/>
    <n v="3703.11"/>
    <s v="October 2022"/>
  </r>
  <r>
    <d v="2022-10-24T00:00:00"/>
    <x v="2034"/>
    <n v="52"/>
    <x v="1"/>
    <x v="3"/>
    <x v="2"/>
    <x v="0"/>
    <n v="332.53"/>
    <x v="1"/>
    <n v="2440.2966694490838"/>
    <n v="365.78"/>
    <n v="365.78999999999996"/>
    <n v="365.78"/>
    <s v="October 2022"/>
  </r>
  <r>
    <d v="2022-10-24T00:00:00"/>
    <x v="2035"/>
    <n v="18"/>
    <x v="2"/>
    <x v="4"/>
    <x v="3"/>
    <x v="1"/>
    <n v="3500.65"/>
    <x v="1"/>
    <n v="2496.7676064256989"/>
    <n v="3850.71"/>
    <n v="3850.7200000000003"/>
    <n v="3850.72"/>
    <s v="October 2022"/>
  </r>
  <r>
    <d v="2022-10-24T00:00:00"/>
    <x v="2036"/>
    <n v="10"/>
    <x v="2"/>
    <x v="0"/>
    <x v="2"/>
    <x v="2"/>
    <n v="4672.05"/>
    <x v="2"/>
    <n v="2440.2966694490838"/>
    <n v="5139.25"/>
    <n v="5139.26"/>
    <n v="5139.26"/>
    <s v="October 2022"/>
  </r>
  <r>
    <d v="2022-10-24T00:00:00"/>
    <x v="2037"/>
    <n v="41"/>
    <x v="0"/>
    <x v="0"/>
    <x v="1"/>
    <x v="1"/>
    <n v="1583.92"/>
    <x v="1"/>
    <n v="2509.1716796874912"/>
    <n v="1742.31"/>
    <n v="1742.32"/>
    <n v="1742.31"/>
    <s v="October 2022"/>
  </r>
  <r>
    <d v="2022-10-25T00:00:00"/>
    <x v="2038"/>
    <n v="6"/>
    <x v="2"/>
    <x v="4"/>
    <x v="3"/>
    <x v="0"/>
    <n v="294.7"/>
    <x v="2"/>
    <n v="2496.7676064256989"/>
    <n v="324.17"/>
    <n v="324.17"/>
    <n v="324.17"/>
    <s v="October 2022"/>
  </r>
  <r>
    <d v="2022-10-25T00:00:00"/>
    <x v="2039"/>
    <n v="64"/>
    <x v="0"/>
    <x v="6"/>
    <x v="1"/>
    <x v="1"/>
    <n v="4519.78"/>
    <x v="1"/>
    <n v="2509.1716796874912"/>
    <n v="4971.75"/>
    <n v="4971.76"/>
    <n v="4971.76"/>
    <s v="October 2022"/>
  </r>
  <r>
    <d v="2022-10-25T00:00:00"/>
    <x v="2040"/>
    <n v="41"/>
    <x v="2"/>
    <x v="3"/>
    <x v="2"/>
    <x v="2"/>
    <n v="4473.32"/>
    <x v="1"/>
    <n v="2440.2966694490838"/>
    <n v="4920.6499999999996"/>
    <n v="4920.66"/>
    <n v="4920.6499999999996"/>
    <s v="October 2022"/>
  </r>
  <r>
    <d v="2022-10-25T00:00:00"/>
    <x v="2041"/>
    <n v="88"/>
    <x v="2"/>
    <x v="4"/>
    <x v="3"/>
    <x v="5"/>
    <n v="4745.57"/>
    <x v="0"/>
    <n v="2496.7676064256989"/>
    <n v="5220.12"/>
    <n v="5220.13"/>
    <n v="5220.13"/>
    <s v="October 2022"/>
  </r>
  <r>
    <d v="2022-10-25T00:00:00"/>
    <x v="2042"/>
    <n v="33"/>
    <x v="2"/>
    <x v="4"/>
    <x v="1"/>
    <x v="2"/>
    <n v="3490.45"/>
    <x v="1"/>
    <n v="2509.1716796874912"/>
    <n v="3839.49"/>
    <n v="3839.5"/>
    <n v="3839.5"/>
    <s v="October 2022"/>
  </r>
  <r>
    <d v="2022-10-25T00:00:00"/>
    <x v="2043"/>
    <n v="4"/>
    <x v="0"/>
    <x v="1"/>
    <x v="0"/>
    <x v="1"/>
    <n v="735.43"/>
    <x v="2"/>
    <n v="2503.6022787783854"/>
    <n v="808.97"/>
    <n v="808.98"/>
    <n v="808.97"/>
    <s v="October 2022"/>
  </r>
  <r>
    <d v="2022-10-25T00:00:00"/>
    <x v="2044"/>
    <n v="39"/>
    <x v="2"/>
    <x v="0"/>
    <x v="1"/>
    <x v="2"/>
    <n v="617.46"/>
    <x v="1"/>
    <n v="2509.1716796874912"/>
    <n v="679.2"/>
    <n v="679.21"/>
    <n v="679.21"/>
    <s v="October 2022"/>
  </r>
  <r>
    <d v="2022-10-26T00:00:00"/>
    <x v="2045"/>
    <n v="44"/>
    <x v="0"/>
    <x v="4"/>
    <x v="1"/>
    <x v="1"/>
    <n v="3272.02"/>
    <x v="1"/>
    <n v="2509.1716796874912"/>
    <n v="3599.22"/>
    <n v="3599.23"/>
    <n v="3599.22"/>
    <s v="October 2022"/>
  </r>
  <r>
    <d v="2022-10-26T00:00:00"/>
    <x v="2046"/>
    <n v="27"/>
    <x v="2"/>
    <x v="7"/>
    <x v="2"/>
    <x v="4"/>
    <n v="4031.59"/>
    <x v="1"/>
    <n v="2440.2966694490838"/>
    <n v="4434.74"/>
    <n v="4434.75"/>
    <n v="4434.75"/>
    <s v="October 2022"/>
  </r>
  <r>
    <d v="2022-10-26T00:00:00"/>
    <x v="2047"/>
    <n v="8"/>
    <x v="1"/>
    <x v="3"/>
    <x v="2"/>
    <x v="0"/>
    <n v="4963.9399999999996"/>
    <x v="2"/>
    <n v="2440.2966694490838"/>
    <n v="5460.33"/>
    <n v="5460.34"/>
    <n v="5460.33"/>
    <s v="October 2022"/>
  </r>
  <r>
    <d v="2022-10-26T00:00:00"/>
    <x v="2048"/>
    <n v="90"/>
    <x v="2"/>
    <x v="2"/>
    <x v="3"/>
    <x v="3"/>
    <n v="1910.95"/>
    <x v="0"/>
    <n v="2496.7676064256989"/>
    <n v="2102.04"/>
    <n v="2102.0500000000002"/>
    <n v="2102.0500000000002"/>
    <s v="October 2022"/>
  </r>
  <r>
    <d v="2022-10-26T00:00:00"/>
    <x v="2049"/>
    <n v="28"/>
    <x v="1"/>
    <x v="4"/>
    <x v="1"/>
    <x v="1"/>
    <n v="1110.53"/>
    <x v="1"/>
    <n v="2509.1716796874912"/>
    <n v="1221.58"/>
    <n v="1221.5899999999999"/>
    <n v="1221.58"/>
    <s v="October 2022"/>
  </r>
  <r>
    <d v="2022-10-26T00:00:00"/>
    <x v="2050"/>
    <n v="83"/>
    <x v="0"/>
    <x v="5"/>
    <x v="1"/>
    <x v="2"/>
    <n v="923.2"/>
    <x v="0"/>
    <n v="2509.1716796874912"/>
    <n v="1015.52"/>
    <n v="1015.52"/>
    <n v="1015.52"/>
    <s v="October 2022"/>
  </r>
  <r>
    <d v="2022-10-26T00:00:00"/>
    <x v="2051"/>
    <n v="74"/>
    <x v="2"/>
    <x v="6"/>
    <x v="0"/>
    <x v="0"/>
    <n v="4365.58"/>
    <x v="0"/>
    <n v="2503.6022787783854"/>
    <n v="4802.13"/>
    <n v="4802.1400000000003"/>
    <n v="4802.1400000000003"/>
    <s v="October 2022"/>
  </r>
  <r>
    <d v="2022-10-26T00:00:00"/>
    <x v="2052"/>
    <n v="57"/>
    <x v="2"/>
    <x v="3"/>
    <x v="0"/>
    <x v="2"/>
    <n v="2478.0500000000002"/>
    <x v="1"/>
    <n v="2503.6022787783854"/>
    <n v="2725.85"/>
    <n v="2725.86"/>
    <n v="2725.86"/>
    <s v="October 2022"/>
  </r>
  <r>
    <d v="2022-10-26T00:00:00"/>
    <x v="2053"/>
    <n v="42"/>
    <x v="0"/>
    <x v="3"/>
    <x v="1"/>
    <x v="3"/>
    <n v="3057.58"/>
    <x v="1"/>
    <n v="2509.1716796874912"/>
    <n v="3363.33"/>
    <n v="3363.34"/>
    <n v="3363.34"/>
    <s v="October 2022"/>
  </r>
  <r>
    <d v="2022-10-26T00:00:00"/>
    <x v="2054"/>
    <n v="61"/>
    <x v="2"/>
    <x v="6"/>
    <x v="0"/>
    <x v="2"/>
    <n v="2048.48"/>
    <x v="1"/>
    <n v="2503.6022787783854"/>
    <n v="2253.3200000000002"/>
    <n v="2253.3300000000004"/>
    <n v="2253.33"/>
    <s v="October 2022"/>
  </r>
  <r>
    <d v="2022-10-27T00:00:00"/>
    <x v="2055"/>
    <n v="16"/>
    <x v="1"/>
    <x v="3"/>
    <x v="1"/>
    <x v="2"/>
    <n v="3826.88"/>
    <x v="1"/>
    <n v="2509.1716796874912"/>
    <n v="4209.5600000000004"/>
    <n v="4209.5700000000006"/>
    <n v="4209.57"/>
    <s v="October 2022"/>
  </r>
  <r>
    <d v="2022-10-27T00:00:00"/>
    <x v="2056"/>
    <n v="10"/>
    <x v="2"/>
    <x v="4"/>
    <x v="0"/>
    <x v="4"/>
    <n v="1696.32"/>
    <x v="2"/>
    <n v="2503.6022787783854"/>
    <n v="1865.95"/>
    <n v="1865.96"/>
    <n v="1865.95"/>
    <s v="October 2022"/>
  </r>
  <r>
    <d v="2022-10-27T00:00:00"/>
    <x v="2057"/>
    <n v="7"/>
    <x v="0"/>
    <x v="5"/>
    <x v="0"/>
    <x v="3"/>
    <n v="1001.78"/>
    <x v="2"/>
    <n v="2503.6022787783854"/>
    <n v="1101.95"/>
    <n v="1101.96"/>
    <n v="1101.96"/>
    <s v="October 2022"/>
  </r>
  <r>
    <d v="2022-10-27T00:00:00"/>
    <x v="2058"/>
    <n v="81"/>
    <x v="1"/>
    <x v="0"/>
    <x v="3"/>
    <x v="1"/>
    <n v="3927.47"/>
    <x v="0"/>
    <n v="2496.7676064256989"/>
    <n v="4320.21"/>
    <n v="4320.22"/>
    <n v="4320.22"/>
    <s v="October 2022"/>
  </r>
  <r>
    <d v="2022-10-27T00:00:00"/>
    <x v="2059"/>
    <n v="67"/>
    <x v="2"/>
    <x v="3"/>
    <x v="2"/>
    <x v="3"/>
    <n v="3602.37"/>
    <x v="0"/>
    <n v="2440.2966694490838"/>
    <n v="3962.6"/>
    <n v="3962.61"/>
    <n v="3962.61"/>
    <s v="October 2022"/>
  </r>
  <r>
    <d v="2022-10-27T00:00:00"/>
    <x v="2060"/>
    <n v="17"/>
    <x v="2"/>
    <x v="7"/>
    <x v="2"/>
    <x v="2"/>
    <n v="2354.34"/>
    <x v="1"/>
    <n v="2440.2966694490838"/>
    <n v="2589.77"/>
    <n v="2589.7800000000002"/>
    <n v="2589.77"/>
    <s v="October 2022"/>
  </r>
  <r>
    <d v="2022-10-27T00:00:00"/>
    <x v="2061"/>
    <n v="45"/>
    <x v="1"/>
    <x v="4"/>
    <x v="2"/>
    <x v="1"/>
    <n v="4947.99"/>
    <x v="1"/>
    <n v="2440.2966694490838"/>
    <n v="5442.78"/>
    <n v="5442.79"/>
    <n v="5442.79"/>
    <s v="October 2022"/>
  </r>
  <r>
    <d v="2022-10-27T00:00:00"/>
    <x v="2062"/>
    <n v="1"/>
    <x v="0"/>
    <x v="5"/>
    <x v="1"/>
    <x v="4"/>
    <n v="4938.59"/>
    <x v="2"/>
    <n v="2509.1716796874912"/>
    <n v="5432.44"/>
    <n v="5432.45"/>
    <n v="5432.45"/>
    <s v="October 2022"/>
  </r>
  <r>
    <d v="2022-10-27T00:00:00"/>
    <x v="2063"/>
    <n v="87"/>
    <x v="0"/>
    <x v="2"/>
    <x v="1"/>
    <x v="2"/>
    <n v="702.8"/>
    <x v="0"/>
    <n v="2509.1716796874912"/>
    <n v="773.08"/>
    <n v="773.08"/>
    <n v="773.08"/>
    <s v="October 2022"/>
  </r>
  <r>
    <d v="2022-10-28T00:00:00"/>
    <x v="2064"/>
    <n v="94"/>
    <x v="2"/>
    <x v="2"/>
    <x v="2"/>
    <x v="2"/>
    <n v="4492.95"/>
    <x v="0"/>
    <n v="2440.2966694490838"/>
    <n v="4942.24"/>
    <n v="4942.25"/>
    <n v="4942.25"/>
    <s v="October 2022"/>
  </r>
  <r>
    <d v="2022-10-28T00:00:00"/>
    <x v="2065"/>
    <n v="13"/>
    <x v="1"/>
    <x v="2"/>
    <x v="0"/>
    <x v="4"/>
    <n v="813.17"/>
    <x v="2"/>
    <n v="2503.6022787783854"/>
    <n v="894.48"/>
    <n v="894.49"/>
    <n v="894.49"/>
    <s v="October 2022"/>
  </r>
  <r>
    <d v="2022-10-28T00:00:00"/>
    <x v="2066"/>
    <n v="64"/>
    <x v="2"/>
    <x v="4"/>
    <x v="1"/>
    <x v="4"/>
    <n v="4286.9399999999996"/>
    <x v="1"/>
    <n v="2509.1716796874912"/>
    <n v="4715.63"/>
    <n v="4715.6400000000003"/>
    <n v="4715.63"/>
    <s v="October 2022"/>
  </r>
  <r>
    <d v="2022-10-28T00:00:00"/>
    <x v="2067"/>
    <n v="43"/>
    <x v="1"/>
    <x v="5"/>
    <x v="2"/>
    <x v="4"/>
    <n v="4755.6099999999997"/>
    <x v="1"/>
    <n v="2440.2966694490838"/>
    <n v="5231.17"/>
    <n v="5231.18"/>
    <n v="5231.17"/>
    <s v="October 2022"/>
  </r>
  <r>
    <d v="2022-10-28T00:00:00"/>
    <x v="2068"/>
    <n v="22"/>
    <x v="2"/>
    <x v="1"/>
    <x v="0"/>
    <x v="3"/>
    <n v="987.64"/>
    <x v="1"/>
    <n v="2503.6022787783854"/>
    <n v="1086.4000000000001"/>
    <n v="1086.4100000000001"/>
    <n v="1086.4000000000001"/>
    <s v="October 2022"/>
  </r>
  <r>
    <d v="2022-10-28T00:00:00"/>
    <x v="2069"/>
    <n v="76"/>
    <x v="1"/>
    <x v="5"/>
    <x v="0"/>
    <x v="0"/>
    <n v="2322.1999999999998"/>
    <x v="0"/>
    <n v="2503.6022787783854"/>
    <n v="2554.42"/>
    <n v="2554.42"/>
    <n v="2554.42"/>
    <s v="October 2022"/>
  </r>
  <r>
    <d v="2022-10-28T00:00:00"/>
    <x v="2070"/>
    <n v="95"/>
    <x v="1"/>
    <x v="5"/>
    <x v="1"/>
    <x v="4"/>
    <n v="3153.33"/>
    <x v="0"/>
    <n v="2509.1716796874912"/>
    <n v="3468.66"/>
    <n v="3468.67"/>
    <n v="3468.66"/>
    <s v="October 2022"/>
  </r>
  <r>
    <d v="2022-10-28T00:00:00"/>
    <x v="2071"/>
    <n v="98"/>
    <x v="1"/>
    <x v="1"/>
    <x v="0"/>
    <x v="3"/>
    <n v="2983.02"/>
    <x v="0"/>
    <n v="2503.6022787783854"/>
    <n v="3281.32"/>
    <n v="3281.3300000000004"/>
    <n v="3281.32"/>
    <s v="October 2022"/>
  </r>
  <r>
    <d v="2022-10-29T00:00:00"/>
    <x v="2072"/>
    <n v="84"/>
    <x v="2"/>
    <x v="3"/>
    <x v="3"/>
    <x v="0"/>
    <n v="1932.74"/>
    <x v="0"/>
    <n v="2496.7676064256989"/>
    <n v="2126.0100000000002"/>
    <n v="2126.0200000000004"/>
    <n v="2126.0100000000002"/>
    <s v="October 2022"/>
  </r>
  <r>
    <d v="2022-10-29T00:00:00"/>
    <x v="2073"/>
    <n v="96"/>
    <x v="1"/>
    <x v="6"/>
    <x v="0"/>
    <x v="1"/>
    <n v="42.02"/>
    <x v="0"/>
    <n v="2503.6022787783854"/>
    <n v="46.22"/>
    <n v="46.23"/>
    <n v="46.22"/>
    <s v="October 2022"/>
  </r>
  <r>
    <d v="2022-10-29T00:00:00"/>
    <x v="2074"/>
    <n v="3"/>
    <x v="1"/>
    <x v="6"/>
    <x v="0"/>
    <x v="0"/>
    <n v="4273.1899999999996"/>
    <x v="2"/>
    <n v="2503.6022787783854"/>
    <n v="4700.5"/>
    <n v="4700.51"/>
    <n v="4700.51"/>
    <s v="October 2022"/>
  </r>
  <r>
    <d v="2022-10-29T00:00:00"/>
    <x v="2075"/>
    <n v="75"/>
    <x v="2"/>
    <x v="1"/>
    <x v="2"/>
    <x v="4"/>
    <n v="1551.9"/>
    <x v="0"/>
    <n v="2440.2966694490838"/>
    <n v="1707.09"/>
    <n v="1707.09"/>
    <n v="1707.09"/>
    <s v="October 2022"/>
  </r>
  <r>
    <d v="2022-10-29T00:00:00"/>
    <x v="2076"/>
    <n v="11"/>
    <x v="2"/>
    <x v="3"/>
    <x v="1"/>
    <x v="1"/>
    <n v="156.03"/>
    <x v="2"/>
    <n v="2509.1716796874912"/>
    <n v="171.63"/>
    <n v="171.64"/>
    <n v="171.63"/>
    <s v="October 2022"/>
  </r>
  <r>
    <d v="2022-10-29T00:00:00"/>
    <x v="2077"/>
    <n v="80"/>
    <x v="0"/>
    <x v="6"/>
    <x v="3"/>
    <x v="2"/>
    <n v="1271.6500000000001"/>
    <x v="0"/>
    <n v="2496.7676064256989"/>
    <n v="1398.81"/>
    <n v="1398.82"/>
    <n v="1398.82"/>
    <s v="October 2022"/>
  </r>
  <r>
    <d v="2022-10-29T00:00:00"/>
    <x v="2078"/>
    <n v="46"/>
    <x v="0"/>
    <x v="7"/>
    <x v="2"/>
    <x v="3"/>
    <n v="106.73"/>
    <x v="1"/>
    <n v="2440.2966694490838"/>
    <n v="117.4"/>
    <n v="117.41000000000001"/>
    <n v="117.4"/>
    <s v="October 2022"/>
  </r>
  <r>
    <d v="2022-10-29T00:00:00"/>
    <x v="2079"/>
    <n v="20"/>
    <x v="2"/>
    <x v="6"/>
    <x v="2"/>
    <x v="2"/>
    <n v="977.56"/>
    <x v="1"/>
    <n v="2440.2966694490838"/>
    <n v="1075.31"/>
    <n v="1075.32"/>
    <n v="1075.32"/>
    <s v="October 2022"/>
  </r>
  <r>
    <d v="2022-10-29T00:00:00"/>
    <x v="2080"/>
    <n v="11"/>
    <x v="2"/>
    <x v="5"/>
    <x v="0"/>
    <x v="4"/>
    <n v="185.99"/>
    <x v="2"/>
    <n v="2503.6022787783854"/>
    <n v="204.58"/>
    <n v="204.59"/>
    <n v="204.59"/>
    <s v="October 2022"/>
  </r>
  <r>
    <d v="2022-10-29T00:00:00"/>
    <x v="2081"/>
    <n v="86"/>
    <x v="1"/>
    <x v="1"/>
    <x v="0"/>
    <x v="1"/>
    <n v="2890.45"/>
    <x v="0"/>
    <n v="2503.6022787783854"/>
    <n v="3179.49"/>
    <n v="3179.5"/>
    <n v="3179.5"/>
    <s v="October 2022"/>
  </r>
  <r>
    <d v="2022-10-29T00:00:00"/>
    <x v="2082"/>
    <n v="79"/>
    <x v="0"/>
    <x v="5"/>
    <x v="1"/>
    <x v="0"/>
    <n v="613.26"/>
    <x v="0"/>
    <n v="2509.1716796874912"/>
    <n v="674.58"/>
    <n v="674.59"/>
    <n v="674.59"/>
    <s v="October 2022"/>
  </r>
  <r>
    <d v="2022-10-29T00:00:00"/>
    <x v="2083"/>
    <n v="45"/>
    <x v="2"/>
    <x v="1"/>
    <x v="0"/>
    <x v="1"/>
    <n v="3403.35"/>
    <x v="1"/>
    <n v="2503.6022787783854"/>
    <n v="3743.68"/>
    <n v="3743.69"/>
    <n v="3743.69"/>
    <s v="October 2022"/>
  </r>
  <r>
    <d v="2022-10-30T00:00:00"/>
    <x v="2084"/>
    <n v="0"/>
    <x v="0"/>
    <x v="0"/>
    <x v="1"/>
    <x v="5"/>
    <n v="4558.4799999999996"/>
    <x v="2"/>
    <n v="2509.1716796874912"/>
    <n v="5014.32"/>
    <n v="5014.33"/>
    <n v="5014.33"/>
    <s v="October 2022"/>
  </r>
  <r>
    <d v="2022-10-30T00:00:00"/>
    <x v="2085"/>
    <n v="67"/>
    <x v="1"/>
    <x v="1"/>
    <x v="2"/>
    <x v="1"/>
    <n v="2902.81"/>
    <x v="0"/>
    <n v="2440.2966694490838"/>
    <n v="3193.09"/>
    <n v="3193.1000000000004"/>
    <n v="3193.09"/>
    <s v="October 2022"/>
  </r>
  <r>
    <d v="2022-10-30T00:00:00"/>
    <x v="2086"/>
    <n v="29"/>
    <x v="1"/>
    <x v="0"/>
    <x v="0"/>
    <x v="0"/>
    <n v="4848.1899999999996"/>
    <x v="1"/>
    <n v="2503.6022787783854"/>
    <n v="5333"/>
    <n v="5333.01"/>
    <n v="5333.01"/>
    <s v="October 2022"/>
  </r>
  <r>
    <d v="2022-10-30T00:00:00"/>
    <x v="2087"/>
    <n v="37"/>
    <x v="1"/>
    <x v="5"/>
    <x v="0"/>
    <x v="0"/>
    <n v="3433.32"/>
    <x v="1"/>
    <n v="2503.6022787783854"/>
    <n v="3776.65"/>
    <n v="3776.6600000000003"/>
    <n v="3776.65"/>
    <s v="October 2022"/>
  </r>
  <r>
    <d v="2022-10-30T00:00:00"/>
    <x v="2088"/>
    <n v="4"/>
    <x v="0"/>
    <x v="7"/>
    <x v="0"/>
    <x v="3"/>
    <n v="4745.26"/>
    <x v="2"/>
    <n v="2503.6022787783854"/>
    <n v="5219.78"/>
    <n v="5219.79"/>
    <n v="5219.79"/>
    <s v="October 2022"/>
  </r>
  <r>
    <d v="2022-10-30T00:00:00"/>
    <x v="2089"/>
    <n v="58"/>
    <x v="2"/>
    <x v="3"/>
    <x v="2"/>
    <x v="0"/>
    <n v="3809.1"/>
    <x v="1"/>
    <n v="2440.2966694490838"/>
    <n v="4190.01"/>
    <n v="4190.01"/>
    <n v="4190.01"/>
    <s v="October 2022"/>
  </r>
  <r>
    <d v="2022-10-30T00:00:00"/>
    <x v="2090"/>
    <n v="21"/>
    <x v="1"/>
    <x v="0"/>
    <x v="0"/>
    <x v="1"/>
    <n v="1760.35"/>
    <x v="1"/>
    <n v="2503.6022787783854"/>
    <n v="1936.38"/>
    <n v="1936.39"/>
    <n v="1936.39"/>
    <s v="October 2022"/>
  </r>
  <r>
    <d v="2022-10-31T00:00:00"/>
    <x v="2091"/>
    <n v="0"/>
    <x v="2"/>
    <x v="7"/>
    <x v="0"/>
    <x v="4"/>
    <n v="354.84"/>
    <x v="2"/>
    <n v="2503.6022787783854"/>
    <n v="390.32"/>
    <n v="390.33"/>
    <n v="390.32"/>
    <s v="October 2022"/>
  </r>
  <r>
    <d v="2022-10-31T00:00:00"/>
    <x v="2092"/>
    <n v="6"/>
    <x v="0"/>
    <x v="4"/>
    <x v="2"/>
    <x v="2"/>
    <n v="914.2"/>
    <x v="2"/>
    <n v="2440.2966694490838"/>
    <n v="1005.62"/>
    <n v="1005.62"/>
    <n v="1005.62"/>
    <s v="October 2022"/>
  </r>
  <r>
    <d v="2022-10-31T00:00:00"/>
    <x v="2093"/>
    <n v="60"/>
    <x v="2"/>
    <x v="0"/>
    <x v="3"/>
    <x v="4"/>
    <n v="976.67"/>
    <x v="1"/>
    <n v="2496.7676064256989"/>
    <n v="1074.33"/>
    <n v="1074.3399999999999"/>
    <n v="1074.3399999999999"/>
    <s v="October 2022"/>
  </r>
  <r>
    <d v="2022-10-31T00:00:00"/>
    <x v="2094"/>
    <n v="58"/>
    <x v="2"/>
    <x v="7"/>
    <x v="1"/>
    <x v="4"/>
    <n v="1322.02"/>
    <x v="1"/>
    <n v="2509.1716796874912"/>
    <n v="1454.22"/>
    <n v="1454.23"/>
    <n v="1454.22"/>
    <s v="October 2022"/>
  </r>
  <r>
    <d v="2022-10-31T00:00:00"/>
    <x v="2095"/>
    <n v="65"/>
    <x v="2"/>
    <x v="3"/>
    <x v="1"/>
    <x v="0"/>
    <n v="3980.31"/>
    <x v="0"/>
    <n v="2509.1716796874912"/>
    <n v="4378.34"/>
    <n v="4378.3500000000004"/>
    <n v="4378.34"/>
    <s v="October 2022"/>
  </r>
  <r>
    <d v="2022-11-01T00:00:00"/>
    <x v="2096"/>
    <n v="78"/>
    <x v="0"/>
    <x v="3"/>
    <x v="0"/>
    <x v="5"/>
    <n v="807.04"/>
    <x v="0"/>
    <n v="2503.6022787783854"/>
    <n v="887.74"/>
    <n v="887.75"/>
    <n v="887.74"/>
    <s v="November 2022"/>
  </r>
  <r>
    <d v="2022-11-01T00:00:00"/>
    <x v="2097"/>
    <n v="71"/>
    <x v="1"/>
    <x v="1"/>
    <x v="0"/>
    <x v="2"/>
    <n v="4697.41"/>
    <x v="0"/>
    <n v="2503.6022787783854"/>
    <n v="5167.1499999999996"/>
    <n v="5167.16"/>
    <n v="5167.1499999999996"/>
    <s v="November 2022"/>
  </r>
  <r>
    <d v="2022-11-01T00:00:00"/>
    <x v="2098"/>
    <n v="64"/>
    <x v="2"/>
    <x v="5"/>
    <x v="1"/>
    <x v="2"/>
    <n v="61.01"/>
    <x v="1"/>
    <n v="2509.1716796874912"/>
    <n v="67.11"/>
    <n v="67.12"/>
    <n v="67.11"/>
    <s v="November 2022"/>
  </r>
  <r>
    <d v="2022-11-02T00:00:00"/>
    <x v="2099"/>
    <n v="62"/>
    <x v="1"/>
    <x v="5"/>
    <x v="0"/>
    <x v="3"/>
    <n v="3035.59"/>
    <x v="1"/>
    <n v="2503.6022787783854"/>
    <n v="3339.14"/>
    <n v="3339.15"/>
    <n v="3339.15"/>
    <s v="November 2022"/>
  </r>
  <r>
    <d v="2022-11-02T00:00:00"/>
    <x v="2100"/>
    <n v="15"/>
    <x v="0"/>
    <x v="1"/>
    <x v="2"/>
    <x v="0"/>
    <n v="807.35"/>
    <x v="2"/>
    <n v="2440.2966694490838"/>
    <n v="888.08"/>
    <n v="888.09"/>
    <n v="888.09"/>
    <s v="November 2022"/>
  </r>
  <r>
    <d v="2022-11-02T00:00:00"/>
    <x v="2101"/>
    <n v="71"/>
    <x v="2"/>
    <x v="5"/>
    <x v="2"/>
    <x v="1"/>
    <n v="2271.34"/>
    <x v="0"/>
    <n v="2440.2966694490838"/>
    <n v="2498.4699999999998"/>
    <n v="2498.48"/>
    <n v="2498.4699999999998"/>
    <s v="November 2022"/>
  </r>
  <r>
    <d v="2022-11-02T00:00:00"/>
    <x v="2102"/>
    <n v="9"/>
    <x v="2"/>
    <x v="3"/>
    <x v="0"/>
    <x v="1"/>
    <n v="2070.83"/>
    <x v="2"/>
    <n v="2503.6022787783854"/>
    <n v="2277.91"/>
    <n v="2277.92"/>
    <n v="2277.91"/>
    <s v="November 2022"/>
  </r>
  <r>
    <d v="2022-11-02T00:00:00"/>
    <x v="2103"/>
    <n v="56"/>
    <x v="2"/>
    <x v="1"/>
    <x v="0"/>
    <x v="4"/>
    <n v="2811.48"/>
    <x v="1"/>
    <n v="2503.6022787783854"/>
    <n v="3092.62"/>
    <n v="3092.63"/>
    <n v="3092.63"/>
    <s v="November 2022"/>
  </r>
  <r>
    <d v="2022-11-02T00:00:00"/>
    <x v="2104"/>
    <n v="12"/>
    <x v="1"/>
    <x v="7"/>
    <x v="3"/>
    <x v="1"/>
    <n v="2496.2600000000002"/>
    <x v="2"/>
    <n v="2496.7676064256989"/>
    <n v="2745.88"/>
    <n v="2745.8900000000003"/>
    <n v="2745.89"/>
    <s v="November 2022"/>
  </r>
  <r>
    <d v="2022-11-02T00:00:00"/>
    <x v="2105"/>
    <n v="58"/>
    <x v="2"/>
    <x v="6"/>
    <x v="1"/>
    <x v="3"/>
    <n v="852.21"/>
    <x v="1"/>
    <n v="2509.1716796874912"/>
    <n v="937.43"/>
    <n v="937.43999999999994"/>
    <n v="937.43"/>
    <s v="November 2022"/>
  </r>
  <r>
    <d v="2022-11-03T00:00:00"/>
    <x v="2106"/>
    <n v="82"/>
    <x v="1"/>
    <x v="1"/>
    <x v="3"/>
    <x v="5"/>
    <n v="3919.24"/>
    <x v="0"/>
    <n v="2496.7676064256989"/>
    <n v="4311.16"/>
    <n v="4311.17"/>
    <n v="4311.16"/>
    <s v="November 2022"/>
  </r>
  <r>
    <d v="2022-11-03T00:00:00"/>
    <x v="2107"/>
    <n v="40"/>
    <x v="2"/>
    <x v="3"/>
    <x v="0"/>
    <x v="1"/>
    <n v="647.87"/>
    <x v="1"/>
    <n v="2503.6022787783854"/>
    <n v="712.65"/>
    <n v="712.66"/>
    <n v="712.66"/>
    <s v="November 2022"/>
  </r>
  <r>
    <d v="2022-11-03T00:00:00"/>
    <x v="2108"/>
    <n v="73"/>
    <x v="2"/>
    <x v="0"/>
    <x v="1"/>
    <x v="2"/>
    <n v="360.72"/>
    <x v="0"/>
    <n v="2509.1716796874912"/>
    <n v="396.79"/>
    <n v="396.8"/>
    <n v="396.79"/>
    <s v="November 2022"/>
  </r>
  <r>
    <d v="2022-11-03T00:00:00"/>
    <x v="2109"/>
    <n v="49"/>
    <x v="0"/>
    <x v="1"/>
    <x v="3"/>
    <x v="4"/>
    <n v="436.43"/>
    <x v="1"/>
    <n v="2496.7676064256989"/>
    <n v="480.07"/>
    <n v="480.08"/>
    <n v="480.07"/>
    <s v="November 2022"/>
  </r>
  <r>
    <d v="2022-11-03T00:00:00"/>
    <x v="2110"/>
    <n v="46"/>
    <x v="1"/>
    <x v="2"/>
    <x v="1"/>
    <x v="1"/>
    <n v="2734.91"/>
    <x v="1"/>
    <n v="2509.1716796874912"/>
    <n v="3008.4"/>
    <n v="3008.4100000000003"/>
    <n v="3008.4"/>
    <s v="November 2022"/>
  </r>
  <r>
    <d v="2022-11-03T00:00:00"/>
    <x v="2111"/>
    <n v="96"/>
    <x v="0"/>
    <x v="7"/>
    <x v="2"/>
    <x v="0"/>
    <n v="826.62"/>
    <x v="0"/>
    <n v="2440.2966694490838"/>
    <n v="909.28"/>
    <n v="909.29"/>
    <n v="909.28"/>
    <s v="November 2022"/>
  </r>
  <r>
    <d v="2022-11-03T00:00:00"/>
    <x v="2112"/>
    <n v="25"/>
    <x v="1"/>
    <x v="2"/>
    <x v="2"/>
    <x v="4"/>
    <n v="564.95000000000005"/>
    <x v="1"/>
    <n v="2440.2966694490838"/>
    <n v="621.44000000000005"/>
    <n v="621.45000000000005"/>
    <n v="621.45000000000005"/>
    <s v="November 2022"/>
  </r>
  <r>
    <d v="2022-11-03T00:00:00"/>
    <x v="2113"/>
    <n v="99"/>
    <x v="1"/>
    <x v="7"/>
    <x v="1"/>
    <x v="4"/>
    <n v="1476.73"/>
    <x v="0"/>
    <n v="2509.1716796874912"/>
    <n v="1624.4"/>
    <n v="1624.41"/>
    <n v="1624.4"/>
    <s v="November 2022"/>
  </r>
  <r>
    <d v="2022-11-04T00:00:00"/>
    <x v="2114"/>
    <n v="75"/>
    <x v="2"/>
    <x v="0"/>
    <x v="2"/>
    <x v="0"/>
    <n v="2795.22"/>
    <x v="0"/>
    <n v="2440.2966694490838"/>
    <n v="3074.74"/>
    <n v="3074.75"/>
    <n v="3074.74"/>
    <s v="November 2022"/>
  </r>
  <r>
    <d v="2022-11-04T00:00:00"/>
    <x v="2115"/>
    <n v="88"/>
    <x v="1"/>
    <x v="7"/>
    <x v="3"/>
    <x v="0"/>
    <n v="4945.8500000000004"/>
    <x v="0"/>
    <n v="2496.7676064256989"/>
    <n v="5440.43"/>
    <n v="5440.4400000000005"/>
    <n v="5440.44"/>
    <s v="November 2022"/>
  </r>
  <r>
    <d v="2022-11-04T00:00:00"/>
    <x v="2116"/>
    <n v="60"/>
    <x v="2"/>
    <x v="2"/>
    <x v="1"/>
    <x v="4"/>
    <n v="2077.87"/>
    <x v="1"/>
    <n v="2509.1716796874912"/>
    <n v="2285.65"/>
    <n v="2285.6600000000003"/>
    <n v="2285.66"/>
    <s v="November 2022"/>
  </r>
  <r>
    <d v="2022-11-05T00:00:00"/>
    <x v="2117"/>
    <n v="10"/>
    <x v="2"/>
    <x v="1"/>
    <x v="1"/>
    <x v="0"/>
    <n v="1871.9"/>
    <x v="2"/>
    <n v="2509.1716796874912"/>
    <n v="2059.09"/>
    <n v="2059.09"/>
    <n v="2059.09"/>
    <s v="November 2022"/>
  </r>
  <r>
    <d v="2022-11-05T00:00:00"/>
    <x v="2118"/>
    <n v="32"/>
    <x v="2"/>
    <x v="4"/>
    <x v="1"/>
    <x v="2"/>
    <n v="4378.8900000000003"/>
    <x v="1"/>
    <n v="2509.1716796874912"/>
    <n v="4816.7700000000004"/>
    <n v="4816.7800000000007"/>
    <n v="4816.78"/>
    <s v="November 2022"/>
  </r>
  <r>
    <d v="2022-11-05T00:00:00"/>
    <x v="2119"/>
    <n v="74"/>
    <x v="2"/>
    <x v="2"/>
    <x v="3"/>
    <x v="4"/>
    <n v="3228.8"/>
    <x v="0"/>
    <n v="2496.7676064256989"/>
    <n v="3551.68"/>
    <n v="3551.68"/>
    <n v="3551.68"/>
    <s v="November 2022"/>
  </r>
  <r>
    <d v="2022-11-05T00:00:00"/>
    <x v="2120"/>
    <n v="16"/>
    <x v="1"/>
    <x v="0"/>
    <x v="1"/>
    <x v="1"/>
    <n v="4801.3"/>
    <x v="1"/>
    <n v="2509.1716796874912"/>
    <n v="5281.43"/>
    <n v="5281.43"/>
    <n v="5281.43"/>
    <s v="November 2022"/>
  </r>
  <r>
    <d v="2022-11-06T00:00:00"/>
    <x v="2121"/>
    <n v="45"/>
    <x v="0"/>
    <x v="4"/>
    <x v="2"/>
    <x v="5"/>
    <n v="3538.41"/>
    <x v="1"/>
    <n v="2440.2966694490838"/>
    <n v="3892.25"/>
    <n v="3892.26"/>
    <n v="3892.25"/>
    <s v="November 2022"/>
  </r>
  <r>
    <d v="2022-11-06T00:00:00"/>
    <x v="2122"/>
    <n v="96"/>
    <x v="1"/>
    <x v="4"/>
    <x v="2"/>
    <x v="2"/>
    <n v="212.8"/>
    <x v="0"/>
    <n v="2440.2966694490838"/>
    <n v="234.08"/>
    <n v="234.08"/>
    <n v="234.08"/>
    <s v="November 2022"/>
  </r>
  <r>
    <d v="2022-11-06T00:00:00"/>
    <x v="2123"/>
    <n v="50"/>
    <x v="0"/>
    <x v="7"/>
    <x v="0"/>
    <x v="1"/>
    <n v="3403.82"/>
    <x v="1"/>
    <n v="2503.6022787783854"/>
    <n v="3744.2"/>
    <n v="3744.21"/>
    <n v="3744.2"/>
    <s v="November 2022"/>
  </r>
  <r>
    <d v="2022-11-06T00:00:00"/>
    <x v="2124"/>
    <n v="26"/>
    <x v="0"/>
    <x v="5"/>
    <x v="3"/>
    <x v="0"/>
    <n v="1469.37"/>
    <x v="1"/>
    <n v="2496.7676064256989"/>
    <n v="1616.3"/>
    <n v="1616.31"/>
    <n v="1616.31"/>
    <s v="November 2022"/>
  </r>
  <r>
    <d v="2022-11-06T00:00:00"/>
    <x v="2125"/>
    <n v="55"/>
    <x v="2"/>
    <x v="3"/>
    <x v="3"/>
    <x v="1"/>
    <n v="2748.07"/>
    <x v="1"/>
    <n v="2496.7676064256989"/>
    <n v="3022.87"/>
    <n v="3022.88"/>
    <n v="3022.88"/>
    <s v="November 2022"/>
  </r>
  <r>
    <d v="2022-11-06T00:00:00"/>
    <x v="2126"/>
    <n v="99"/>
    <x v="2"/>
    <x v="2"/>
    <x v="3"/>
    <x v="2"/>
    <n v="2098.64"/>
    <x v="0"/>
    <n v="2496.7676064256989"/>
    <n v="2308.5"/>
    <n v="2308.5100000000002"/>
    <n v="2308.5"/>
    <s v="November 2022"/>
  </r>
  <r>
    <d v="2022-11-06T00:00:00"/>
    <x v="2127"/>
    <n v="52"/>
    <x v="1"/>
    <x v="1"/>
    <x v="2"/>
    <x v="4"/>
    <n v="1849.87"/>
    <x v="1"/>
    <n v="2440.2966694490838"/>
    <n v="2034.85"/>
    <n v="2034.86"/>
    <n v="2034.86"/>
    <s v="November 2022"/>
  </r>
  <r>
    <d v="2022-11-06T00:00:00"/>
    <x v="2128"/>
    <n v="97"/>
    <x v="2"/>
    <x v="2"/>
    <x v="1"/>
    <x v="3"/>
    <n v="623.19000000000005"/>
    <x v="0"/>
    <n v="2509.1716796874912"/>
    <n v="685.5"/>
    <n v="685.51"/>
    <n v="685.51"/>
    <s v="November 2022"/>
  </r>
  <r>
    <d v="2022-11-06T00:00:00"/>
    <x v="2129"/>
    <n v="66"/>
    <x v="2"/>
    <x v="0"/>
    <x v="0"/>
    <x v="4"/>
    <n v="28.52"/>
    <x v="0"/>
    <n v="2503.6022787783854"/>
    <n v="31.37"/>
    <n v="31.380000000000003"/>
    <n v="31.37"/>
    <s v="November 2022"/>
  </r>
  <r>
    <d v="2022-11-07T00:00:00"/>
    <x v="2130"/>
    <n v="78"/>
    <x v="2"/>
    <x v="3"/>
    <x v="2"/>
    <x v="0"/>
    <n v="3261.67"/>
    <x v="0"/>
    <n v="2440.2966694490838"/>
    <n v="3587.83"/>
    <n v="3587.84"/>
    <n v="3587.84"/>
    <s v="November 2022"/>
  </r>
  <r>
    <d v="2022-11-07T00:00:00"/>
    <x v="2131"/>
    <n v="60"/>
    <x v="1"/>
    <x v="0"/>
    <x v="2"/>
    <x v="2"/>
    <n v="2286.2199999999998"/>
    <x v="1"/>
    <n v="2440.2966694490838"/>
    <n v="2514.84"/>
    <n v="2514.8500000000004"/>
    <n v="2514.84"/>
    <s v="November 2022"/>
  </r>
  <r>
    <d v="2022-11-07T00:00:00"/>
    <x v="2132"/>
    <n v="50"/>
    <x v="2"/>
    <x v="3"/>
    <x v="1"/>
    <x v="1"/>
    <n v="2671.34"/>
    <x v="1"/>
    <n v="2509.1716796874912"/>
    <n v="2938.47"/>
    <n v="2938.48"/>
    <n v="2938.47"/>
    <s v="November 2022"/>
  </r>
  <r>
    <d v="2022-11-07T00:00:00"/>
    <x v="2133"/>
    <n v="61"/>
    <x v="1"/>
    <x v="0"/>
    <x v="2"/>
    <x v="4"/>
    <n v="3754.02"/>
    <x v="1"/>
    <n v="2440.2966694490838"/>
    <n v="4129.42"/>
    <n v="4129.43"/>
    <n v="4129.42"/>
    <s v="November 2022"/>
  </r>
  <r>
    <d v="2022-11-07T00:00:00"/>
    <x v="2134"/>
    <n v="67"/>
    <x v="0"/>
    <x v="2"/>
    <x v="2"/>
    <x v="4"/>
    <n v="1653.39"/>
    <x v="0"/>
    <n v="2440.2966694490838"/>
    <n v="1818.72"/>
    <n v="1818.73"/>
    <n v="1818.73"/>
    <s v="November 2022"/>
  </r>
  <r>
    <d v="2022-11-07T00:00:00"/>
    <x v="2135"/>
    <n v="31"/>
    <x v="0"/>
    <x v="3"/>
    <x v="3"/>
    <x v="2"/>
    <n v="4426.66"/>
    <x v="1"/>
    <n v="2496.7676064256989"/>
    <n v="4869.32"/>
    <n v="4869.33"/>
    <n v="4869.33"/>
    <s v="November 2022"/>
  </r>
  <r>
    <d v="2022-11-07T00:00:00"/>
    <x v="2136"/>
    <n v="51"/>
    <x v="2"/>
    <x v="2"/>
    <x v="0"/>
    <x v="1"/>
    <n v="4234"/>
    <x v="1"/>
    <n v="2503.6022787783854"/>
    <n v="4657.3999999999996"/>
    <n v="4657.3999999999996"/>
    <n v="4657.3999999999996"/>
    <s v="November 2022"/>
  </r>
  <r>
    <d v="2022-11-07T00:00:00"/>
    <x v="2137"/>
    <n v="30"/>
    <x v="2"/>
    <x v="3"/>
    <x v="0"/>
    <x v="4"/>
    <n v="2985.61"/>
    <x v="1"/>
    <n v="2503.6022787783854"/>
    <n v="3284.17"/>
    <n v="3284.1800000000003"/>
    <n v="3284.17"/>
    <s v="November 2022"/>
  </r>
  <r>
    <d v="2022-11-07T00:00:00"/>
    <x v="2138"/>
    <n v="62"/>
    <x v="2"/>
    <x v="1"/>
    <x v="1"/>
    <x v="1"/>
    <n v="2207.38"/>
    <x v="1"/>
    <n v="2509.1716796874912"/>
    <n v="2428.11"/>
    <n v="2428.1200000000003"/>
    <n v="2428.12"/>
    <s v="November 2022"/>
  </r>
  <r>
    <d v="2022-11-07T00:00:00"/>
    <x v="2139"/>
    <n v="89"/>
    <x v="0"/>
    <x v="7"/>
    <x v="1"/>
    <x v="4"/>
    <n v="1359.53"/>
    <x v="0"/>
    <n v="2509.1716796874912"/>
    <n v="1495.48"/>
    <n v="1495.49"/>
    <n v="1495.48"/>
    <s v="November 2022"/>
  </r>
  <r>
    <d v="2022-11-08T00:00:00"/>
    <x v="2140"/>
    <n v="74"/>
    <x v="1"/>
    <x v="3"/>
    <x v="1"/>
    <x v="2"/>
    <n v="970.16"/>
    <x v="0"/>
    <n v="2509.1716796874912"/>
    <n v="1067.17"/>
    <n v="1067.18"/>
    <n v="1067.18"/>
    <s v="November 2022"/>
  </r>
  <r>
    <d v="2022-11-08T00:00:00"/>
    <x v="2141"/>
    <n v="35"/>
    <x v="2"/>
    <x v="4"/>
    <x v="3"/>
    <x v="1"/>
    <n v="592.92999999999995"/>
    <x v="1"/>
    <n v="2496.7676064256989"/>
    <n v="652.22"/>
    <n v="652.23"/>
    <n v="652.22"/>
    <s v="November 2022"/>
  </r>
  <r>
    <d v="2022-11-08T00:00:00"/>
    <x v="2142"/>
    <n v="84"/>
    <x v="0"/>
    <x v="7"/>
    <x v="3"/>
    <x v="1"/>
    <n v="3864.04"/>
    <x v="0"/>
    <n v="2496.7676064256989"/>
    <n v="4250.4399999999996"/>
    <n v="4250.45"/>
    <n v="4250.4399999999996"/>
    <s v="November 2022"/>
  </r>
  <r>
    <d v="2022-11-08T00:00:00"/>
    <x v="2143"/>
    <n v="33"/>
    <x v="2"/>
    <x v="4"/>
    <x v="2"/>
    <x v="1"/>
    <n v="2659.18"/>
    <x v="1"/>
    <n v="2440.2966694490838"/>
    <n v="2925.09"/>
    <n v="2925.1000000000004"/>
    <n v="2925.1"/>
    <s v="November 2022"/>
  </r>
  <r>
    <d v="2022-11-08T00:00:00"/>
    <x v="2144"/>
    <n v="6"/>
    <x v="0"/>
    <x v="1"/>
    <x v="3"/>
    <x v="1"/>
    <n v="860.42"/>
    <x v="2"/>
    <n v="2496.7676064256989"/>
    <n v="946.46"/>
    <n v="946.47"/>
    <n v="946.46"/>
    <s v="November 2022"/>
  </r>
  <r>
    <d v="2022-11-09T00:00:00"/>
    <x v="2145"/>
    <n v="16"/>
    <x v="0"/>
    <x v="3"/>
    <x v="2"/>
    <x v="4"/>
    <n v="2011.64"/>
    <x v="1"/>
    <n v="2440.2966694490838"/>
    <n v="2212.8000000000002"/>
    <n v="2212.8100000000004"/>
    <n v="2212.8000000000002"/>
    <s v="November 2022"/>
  </r>
  <r>
    <d v="2022-11-09T00:00:00"/>
    <x v="2146"/>
    <n v="62"/>
    <x v="2"/>
    <x v="6"/>
    <x v="3"/>
    <x v="2"/>
    <n v="4382.93"/>
    <x v="1"/>
    <n v="2496.7676064256989"/>
    <n v="4821.22"/>
    <n v="4821.2300000000005"/>
    <n v="4821.22"/>
    <s v="November 2022"/>
  </r>
  <r>
    <d v="2022-11-09T00:00:00"/>
    <x v="2147"/>
    <n v="36"/>
    <x v="2"/>
    <x v="3"/>
    <x v="2"/>
    <x v="1"/>
    <n v="1267.03"/>
    <x v="1"/>
    <n v="2440.2966694490838"/>
    <n v="1393.73"/>
    <n v="1393.74"/>
    <n v="1393.73"/>
    <s v="November 2022"/>
  </r>
  <r>
    <d v="2022-11-09T00:00:00"/>
    <x v="2148"/>
    <n v="5"/>
    <x v="0"/>
    <x v="1"/>
    <x v="1"/>
    <x v="4"/>
    <n v="4903.5600000000004"/>
    <x v="2"/>
    <n v="2509.1716796874912"/>
    <n v="5393.91"/>
    <n v="5393.92"/>
    <n v="5393.92"/>
    <s v="November 2022"/>
  </r>
  <r>
    <d v="2022-11-09T00:00:00"/>
    <x v="2149"/>
    <n v="37"/>
    <x v="2"/>
    <x v="3"/>
    <x v="1"/>
    <x v="3"/>
    <n v="4779.38"/>
    <x v="1"/>
    <n v="2509.1716796874912"/>
    <n v="5257.31"/>
    <n v="5257.3200000000006"/>
    <n v="5257.32"/>
    <s v="November 2022"/>
  </r>
  <r>
    <d v="2022-11-09T00:00:00"/>
    <x v="2150"/>
    <n v="16"/>
    <x v="2"/>
    <x v="6"/>
    <x v="3"/>
    <x v="1"/>
    <n v="4641.88"/>
    <x v="1"/>
    <n v="2496.7676064256989"/>
    <n v="5106.0600000000004"/>
    <n v="5106.0700000000006"/>
    <n v="5106.07"/>
    <s v="November 2022"/>
  </r>
  <r>
    <d v="2022-11-09T00:00:00"/>
    <x v="2151"/>
    <n v="98"/>
    <x v="1"/>
    <x v="5"/>
    <x v="0"/>
    <x v="1"/>
    <n v="4798.3599999999997"/>
    <x v="0"/>
    <n v="2503.6022787783854"/>
    <n v="5278.19"/>
    <n v="5278.2"/>
    <n v="5278.2"/>
    <s v="November 2022"/>
  </r>
  <r>
    <d v="2022-11-10T00:00:00"/>
    <x v="2152"/>
    <n v="62"/>
    <x v="1"/>
    <x v="7"/>
    <x v="1"/>
    <x v="3"/>
    <n v="2021.84"/>
    <x v="1"/>
    <n v="2509.1716796874912"/>
    <n v="2224.02"/>
    <n v="2224.0300000000002"/>
    <n v="2224.02"/>
    <s v="November 2022"/>
  </r>
  <r>
    <d v="2022-11-10T00:00:00"/>
    <x v="2153"/>
    <n v="82"/>
    <x v="2"/>
    <x v="4"/>
    <x v="0"/>
    <x v="0"/>
    <n v="4538.45"/>
    <x v="0"/>
    <n v="2503.6022787783854"/>
    <n v="4992.29"/>
    <n v="4992.3"/>
    <n v="4992.3"/>
    <s v="November 2022"/>
  </r>
  <r>
    <d v="2022-11-10T00:00:00"/>
    <x v="2154"/>
    <n v="47"/>
    <x v="0"/>
    <x v="6"/>
    <x v="2"/>
    <x v="2"/>
    <n v="669.48"/>
    <x v="1"/>
    <n v="2440.2966694490838"/>
    <n v="736.42"/>
    <n v="736.43"/>
    <n v="736.43"/>
    <s v="November 2022"/>
  </r>
  <r>
    <d v="2022-11-10T00:00:00"/>
    <x v="2155"/>
    <n v="98"/>
    <x v="1"/>
    <x v="1"/>
    <x v="1"/>
    <x v="2"/>
    <n v="907.64"/>
    <x v="0"/>
    <n v="2509.1716796874912"/>
    <n v="998.4"/>
    <n v="998.41"/>
    <n v="998.4"/>
    <s v="November 2022"/>
  </r>
  <r>
    <d v="2022-11-10T00:00:00"/>
    <x v="2156"/>
    <n v="98"/>
    <x v="2"/>
    <x v="7"/>
    <x v="2"/>
    <x v="4"/>
    <n v="479.35"/>
    <x v="0"/>
    <n v="2440.2966694490838"/>
    <n v="527.28"/>
    <n v="527.29"/>
    <n v="527.29"/>
    <s v="November 2022"/>
  </r>
  <r>
    <d v="2022-11-10T00:00:00"/>
    <x v="2157"/>
    <n v="23"/>
    <x v="0"/>
    <x v="0"/>
    <x v="1"/>
    <x v="3"/>
    <n v="1104.21"/>
    <x v="1"/>
    <n v="2509.1716796874912"/>
    <n v="1214.6300000000001"/>
    <n v="1214.6400000000001"/>
    <n v="1214.6300000000001"/>
    <s v="November 2022"/>
  </r>
  <r>
    <d v="2022-11-10T00:00:00"/>
    <x v="2158"/>
    <n v="37"/>
    <x v="0"/>
    <x v="4"/>
    <x v="3"/>
    <x v="0"/>
    <n v="3462.93"/>
    <x v="1"/>
    <n v="2496.7676064256989"/>
    <n v="3809.22"/>
    <n v="3809.23"/>
    <n v="3809.22"/>
    <s v="November 2022"/>
  </r>
  <r>
    <d v="2022-11-10T00:00:00"/>
    <x v="2159"/>
    <n v="96"/>
    <x v="1"/>
    <x v="5"/>
    <x v="1"/>
    <x v="3"/>
    <n v="3834.82"/>
    <x v="0"/>
    <n v="2509.1716796874912"/>
    <n v="4218.3"/>
    <n v="4218.3100000000004"/>
    <n v="4218.3"/>
    <s v="November 2022"/>
  </r>
  <r>
    <d v="2022-11-10T00:00:00"/>
    <x v="2160"/>
    <n v="6"/>
    <x v="2"/>
    <x v="2"/>
    <x v="3"/>
    <x v="2"/>
    <n v="324.22000000000003"/>
    <x v="2"/>
    <n v="2496.7676064256989"/>
    <n v="356.64"/>
    <n v="356.65"/>
    <n v="356.64"/>
    <s v="November 2022"/>
  </r>
  <r>
    <d v="2022-11-11T00:00:00"/>
    <x v="2161"/>
    <n v="81"/>
    <x v="0"/>
    <x v="7"/>
    <x v="1"/>
    <x v="4"/>
    <n v="2093.56"/>
    <x v="0"/>
    <n v="2509.1716796874912"/>
    <n v="2302.91"/>
    <n v="2302.92"/>
    <n v="2302.92"/>
    <s v="November 2022"/>
  </r>
  <r>
    <d v="2022-11-11T00:00:00"/>
    <x v="2162"/>
    <n v="95"/>
    <x v="1"/>
    <x v="6"/>
    <x v="2"/>
    <x v="2"/>
    <n v="3255.68"/>
    <x v="0"/>
    <n v="2440.2966694490838"/>
    <n v="3581.24"/>
    <n v="3581.25"/>
    <n v="3581.25"/>
    <s v="November 2022"/>
  </r>
  <r>
    <d v="2022-11-11T00:00:00"/>
    <x v="2163"/>
    <n v="57"/>
    <x v="2"/>
    <x v="0"/>
    <x v="1"/>
    <x v="2"/>
    <n v="2272.88"/>
    <x v="1"/>
    <n v="2509.1716796874912"/>
    <n v="2500.16"/>
    <n v="2500.17"/>
    <n v="2500.17"/>
    <s v="November 2022"/>
  </r>
  <r>
    <d v="2022-11-11T00:00:00"/>
    <x v="2164"/>
    <n v="67"/>
    <x v="1"/>
    <x v="4"/>
    <x v="0"/>
    <x v="0"/>
    <n v="4141.3599999999997"/>
    <x v="0"/>
    <n v="2503.6022787783854"/>
    <n v="4555.49"/>
    <n v="4555.5"/>
    <n v="4555.5"/>
    <s v="November 2022"/>
  </r>
  <r>
    <d v="2022-11-12T00:00:00"/>
    <x v="2165"/>
    <n v="32"/>
    <x v="0"/>
    <x v="4"/>
    <x v="0"/>
    <x v="0"/>
    <n v="3030.94"/>
    <x v="1"/>
    <n v="2503.6022787783854"/>
    <n v="3334.03"/>
    <n v="3334.0400000000004"/>
    <n v="3334.03"/>
    <s v="November 2022"/>
  </r>
  <r>
    <d v="2022-11-12T00:00:00"/>
    <x v="2166"/>
    <n v="44"/>
    <x v="0"/>
    <x v="1"/>
    <x v="2"/>
    <x v="3"/>
    <n v="2075.8000000000002"/>
    <x v="1"/>
    <n v="2440.2966694490838"/>
    <n v="2283.38"/>
    <n v="2283.38"/>
    <n v="2283.38"/>
    <s v="November 2022"/>
  </r>
  <r>
    <d v="2022-11-12T00:00:00"/>
    <x v="2167"/>
    <n v="43"/>
    <x v="0"/>
    <x v="1"/>
    <x v="0"/>
    <x v="1"/>
    <n v="3333.52"/>
    <x v="1"/>
    <n v="2503.6022787783854"/>
    <n v="3666.87"/>
    <n v="3666.88"/>
    <n v="3666.87"/>
    <s v="November 2022"/>
  </r>
  <r>
    <d v="2022-11-12T00:00:00"/>
    <x v="2168"/>
    <n v="3"/>
    <x v="0"/>
    <x v="0"/>
    <x v="0"/>
    <x v="3"/>
    <n v="890.68"/>
    <x v="2"/>
    <n v="2503.6022787783854"/>
    <n v="979.74"/>
    <n v="979.75"/>
    <n v="979.75"/>
    <s v="November 2022"/>
  </r>
  <r>
    <d v="2022-11-12T00:00:00"/>
    <x v="2169"/>
    <n v="88"/>
    <x v="2"/>
    <x v="6"/>
    <x v="0"/>
    <x v="1"/>
    <n v="4156.3"/>
    <x v="0"/>
    <n v="2503.6022787783854"/>
    <n v="4571.93"/>
    <n v="4571.93"/>
    <n v="4571.93"/>
    <s v="November 2022"/>
  </r>
  <r>
    <d v="2022-11-12T00:00:00"/>
    <x v="2170"/>
    <n v="91"/>
    <x v="0"/>
    <x v="4"/>
    <x v="0"/>
    <x v="4"/>
    <n v="4715.42"/>
    <x v="0"/>
    <n v="2503.6022787783854"/>
    <n v="5186.96"/>
    <n v="5186.97"/>
    <n v="5186.96"/>
    <s v="November 2022"/>
  </r>
  <r>
    <d v="2022-11-12T00:00:00"/>
    <x v="2171"/>
    <n v="33"/>
    <x v="0"/>
    <x v="0"/>
    <x v="2"/>
    <x v="1"/>
    <n v="1149.99"/>
    <x v="1"/>
    <n v="2440.2966694490838"/>
    <n v="1264.98"/>
    <n v="1264.99"/>
    <n v="1264.99"/>
    <s v="November 2022"/>
  </r>
  <r>
    <d v="2022-11-12T00:00:00"/>
    <x v="2172"/>
    <n v="95"/>
    <x v="2"/>
    <x v="5"/>
    <x v="0"/>
    <x v="4"/>
    <n v="1260"/>
    <x v="0"/>
    <n v="2503.6022787783854"/>
    <n v="1386"/>
    <n v="1386"/>
    <n v="1386"/>
    <s v="November 2022"/>
  </r>
  <r>
    <d v="2022-11-12T00:00:00"/>
    <x v="2173"/>
    <n v="84"/>
    <x v="2"/>
    <x v="6"/>
    <x v="2"/>
    <x v="2"/>
    <n v="1977.99"/>
    <x v="0"/>
    <n v="2440.2966694490838"/>
    <n v="2175.7800000000002"/>
    <n v="2175.7900000000004"/>
    <n v="2175.79"/>
    <s v="November 2022"/>
  </r>
  <r>
    <d v="2022-11-13T00:00:00"/>
    <x v="2174"/>
    <n v="60"/>
    <x v="2"/>
    <x v="7"/>
    <x v="0"/>
    <x v="0"/>
    <n v="3537.31"/>
    <x v="1"/>
    <n v="2503.6022787783854"/>
    <n v="3891.04"/>
    <n v="3891.05"/>
    <n v="3891.04"/>
    <s v="November 2022"/>
  </r>
  <r>
    <d v="2022-11-13T00:00:00"/>
    <x v="2175"/>
    <n v="94"/>
    <x v="1"/>
    <x v="0"/>
    <x v="0"/>
    <x v="3"/>
    <n v="1946.18"/>
    <x v="0"/>
    <n v="2503.6022787783854"/>
    <n v="2140.79"/>
    <n v="2140.8000000000002"/>
    <n v="2140.8000000000002"/>
    <s v="November 2022"/>
  </r>
  <r>
    <d v="2022-11-13T00:00:00"/>
    <x v="2176"/>
    <n v="37"/>
    <x v="0"/>
    <x v="4"/>
    <x v="0"/>
    <x v="3"/>
    <n v="3769.74"/>
    <x v="1"/>
    <n v="2503.6022787783854"/>
    <n v="4146.71"/>
    <n v="4146.72"/>
    <n v="4146.71"/>
    <s v="November 2022"/>
  </r>
  <r>
    <d v="2022-11-13T00:00:00"/>
    <x v="2177"/>
    <n v="40"/>
    <x v="2"/>
    <x v="7"/>
    <x v="0"/>
    <x v="2"/>
    <n v="4097.96"/>
    <x v="1"/>
    <n v="2503.6022787783854"/>
    <n v="4507.75"/>
    <n v="4507.76"/>
    <n v="4507.76"/>
    <s v="November 2022"/>
  </r>
  <r>
    <d v="2022-11-13T00:00:00"/>
    <x v="2178"/>
    <n v="92"/>
    <x v="2"/>
    <x v="4"/>
    <x v="0"/>
    <x v="0"/>
    <n v="163.51"/>
    <x v="0"/>
    <n v="2503.6022787783854"/>
    <n v="179.86"/>
    <n v="179.87"/>
    <n v="179.86"/>
    <s v="November 2022"/>
  </r>
  <r>
    <d v="2022-11-13T00:00:00"/>
    <x v="2179"/>
    <n v="79"/>
    <x v="0"/>
    <x v="4"/>
    <x v="2"/>
    <x v="2"/>
    <n v="392.78"/>
    <x v="0"/>
    <n v="2440.2966694490838"/>
    <n v="432.05"/>
    <n v="432.06"/>
    <n v="432.06"/>
    <s v="November 2022"/>
  </r>
  <r>
    <d v="2022-11-13T00:00:00"/>
    <x v="2180"/>
    <n v="13"/>
    <x v="0"/>
    <x v="1"/>
    <x v="2"/>
    <x v="1"/>
    <n v="4464.22"/>
    <x v="2"/>
    <n v="2440.2966694490838"/>
    <n v="4910.6400000000003"/>
    <n v="4910.6500000000005"/>
    <n v="4910.6400000000003"/>
    <s v="November 2022"/>
  </r>
  <r>
    <d v="2022-11-13T00:00:00"/>
    <x v="2181"/>
    <n v="0"/>
    <x v="2"/>
    <x v="4"/>
    <x v="2"/>
    <x v="2"/>
    <n v="429.56"/>
    <x v="2"/>
    <n v="2440.2966694490838"/>
    <n v="472.51"/>
    <n v="472.52"/>
    <n v="472.52"/>
    <s v="November 2022"/>
  </r>
  <r>
    <d v="2022-11-13T00:00:00"/>
    <x v="2182"/>
    <n v="14"/>
    <x v="2"/>
    <x v="2"/>
    <x v="0"/>
    <x v="2"/>
    <n v="2372.58"/>
    <x v="2"/>
    <n v="2503.6022787783854"/>
    <n v="2609.83"/>
    <n v="2609.84"/>
    <n v="2609.84"/>
    <s v="November 2022"/>
  </r>
  <r>
    <d v="2022-11-13T00:00:00"/>
    <x v="2183"/>
    <n v="90"/>
    <x v="0"/>
    <x v="3"/>
    <x v="3"/>
    <x v="2"/>
    <n v="166.67"/>
    <x v="0"/>
    <n v="2496.7676064256989"/>
    <n v="183.33"/>
    <n v="183.34"/>
    <n v="183.34"/>
    <s v="November 2022"/>
  </r>
  <r>
    <d v="2022-11-13T00:00:00"/>
    <x v="2184"/>
    <n v="86"/>
    <x v="1"/>
    <x v="1"/>
    <x v="3"/>
    <x v="3"/>
    <n v="3346.02"/>
    <x v="0"/>
    <n v="2496.7676064256989"/>
    <n v="3680.62"/>
    <n v="3680.63"/>
    <n v="3680.62"/>
    <s v="November 2022"/>
  </r>
  <r>
    <d v="2022-11-14T00:00:00"/>
    <x v="2185"/>
    <n v="64"/>
    <x v="1"/>
    <x v="4"/>
    <x v="2"/>
    <x v="2"/>
    <n v="3270.78"/>
    <x v="1"/>
    <n v="2440.2966694490838"/>
    <n v="3597.85"/>
    <n v="3597.86"/>
    <n v="3597.86"/>
    <s v="November 2022"/>
  </r>
  <r>
    <d v="2022-11-14T00:00:00"/>
    <x v="2186"/>
    <n v="32"/>
    <x v="1"/>
    <x v="7"/>
    <x v="2"/>
    <x v="2"/>
    <n v="4269.01"/>
    <x v="1"/>
    <n v="2440.2966694490838"/>
    <n v="4695.91"/>
    <n v="4695.92"/>
    <n v="4695.91"/>
    <s v="November 2022"/>
  </r>
  <r>
    <d v="2022-11-14T00:00:00"/>
    <x v="2187"/>
    <n v="93"/>
    <x v="1"/>
    <x v="1"/>
    <x v="2"/>
    <x v="4"/>
    <n v="4258.58"/>
    <x v="0"/>
    <n v="2440.2966694490838"/>
    <n v="4684.43"/>
    <n v="4684.4400000000005"/>
    <n v="4684.4399999999996"/>
    <s v="November 2022"/>
  </r>
  <r>
    <d v="2022-11-14T00:00:00"/>
    <x v="2188"/>
    <n v="30"/>
    <x v="2"/>
    <x v="4"/>
    <x v="3"/>
    <x v="1"/>
    <n v="387.58"/>
    <x v="1"/>
    <n v="2496.7676064256989"/>
    <n v="426.33"/>
    <n v="426.34"/>
    <n v="426.34"/>
    <s v="November 2022"/>
  </r>
  <r>
    <d v="2022-11-14T00:00:00"/>
    <x v="2189"/>
    <n v="22"/>
    <x v="2"/>
    <x v="2"/>
    <x v="3"/>
    <x v="2"/>
    <n v="26.7"/>
    <x v="1"/>
    <n v="2496.7676064256989"/>
    <n v="29.37"/>
    <n v="29.37"/>
    <n v="29.37"/>
    <s v="November 2022"/>
  </r>
  <r>
    <d v="2022-11-14T00:00:00"/>
    <x v="2190"/>
    <n v="24"/>
    <x v="1"/>
    <x v="6"/>
    <x v="2"/>
    <x v="2"/>
    <n v="4261.66"/>
    <x v="1"/>
    <n v="2440.2966694490838"/>
    <n v="4687.82"/>
    <n v="4687.83"/>
    <n v="4687.83"/>
    <s v="November 2022"/>
  </r>
  <r>
    <d v="2022-11-14T00:00:00"/>
    <x v="2191"/>
    <n v="67"/>
    <x v="1"/>
    <x v="7"/>
    <x v="1"/>
    <x v="1"/>
    <n v="4809.3999999999996"/>
    <x v="0"/>
    <n v="2509.1716796874912"/>
    <n v="5290.34"/>
    <n v="5290.34"/>
    <n v="5290.34"/>
    <s v="November 2022"/>
  </r>
  <r>
    <d v="2022-11-14T00:00:00"/>
    <x v="2192"/>
    <n v="9"/>
    <x v="1"/>
    <x v="2"/>
    <x v="3"/>
    <x v="4"/>
    <n v="3494.82"/>
    <x v="2"/>
    <n v="2496.7676064256989"/>
    <n v="3844.3"/>
    <n v="3844.3100000000004"/>
    <n v="3844.3"/>
    <s v="November 2022"/>
  </r>
  <r>
    <d v="2022-11-15T00:00:00"/>
    <x v="2193"/>
    <n v="70"/>
    <x v="0"/>
    <x v="7"/>
    <x v="3"/>
    <x v="3"/>
    <n v="1060.21"/>
    <x v="0"/>
    <n v="2496.7676064256989"/>
    <n v="1166.23"/>
    <n v="1166.24"/>
    <n v="1166.23"/>
    <s v="November 2022"/>
  </r>
  <r>
    <d v="2022-11-15T00:00:00"/>
    <x v="2194"/>
    <n v="94"/>
    <x v="1"/>
    <x v="0"/>
    <x v="2"/>
    <x v="2"/>
    <n v="2594.83"/>
    <x v="0"/>
    <n v="2440.2966694490838"/>
    <n v="2854.31"/>
    <n v="2854.32"/>
    <n v="2854.31"/>
    <s v="November 2022"/>
  </r>
  <r>
    <d v="2022-11-15T00:00:00"/>
    <x v="2195"/>
    <n v="23"/>
    <x v="0"/>
    <x v="2"/>
    <x v="3"/>
    <x v="0"/>
    <n v="4353.84"/>
    <x v="1"/>
    <n v="2496.7676064256989"/>
    <n v="4789.22"/>
    <n v="4789.2300000000005"/>
    <n v="4789.22"/>
    <s v="November 2022"/>
  </r>
  <r>
    <d v="2022-11-15T00:00:00"/>
    <x v="2196"/>
    <n v="59"/>
    <x v="2"/>
    <x v="2"/>
    <x v="3"/>
    <x v="4"/>
    <n v="4856.3500000000004"/>
    <x v="1"/>
    <n v="2496.7676064256989"/>
    <n v="5341.98"/>
    <n v="5341.99"/>
    <n v="5341.99"/>
    <s v="November 2022"/>
  </r>
  <r>
    <d v="2022-11-15T00:00:00"/>
    <x v="2197"/>
    <n v="10"/>
    <x v="2"/>
    <x v="2"/>
    <x v="0"/>
    <x v="0"/>
    <n v="2215.0700000000002"/>
    <x v="2"/>
    <n v="2503.6022787783854"/>
    <n v="2436.5700000000002"/>
    <n v="2436.5800000000004"/>
    <n v="2436.58"/>
    <s v="November 2022"/>
  </r>
  <r>
    <d v="2022-11-15T00:00:00"/>
    <x v="2198"/>
    <n v="11"/>
    <x v="2"/>
    <x v="0"/>
    <x v="1"/>
    <x v="0"/>
    <n v="3562.52"/>
    <x v="2"/>
    <n v="2509.1716796874912"/>
    <n v="3918.77"/>
    <n v="3918.78"/>
    <n v="3918.77"/>
    <s v="November 2022"/>
  </r>
  <r>
    <d v="2022-11-15T00:00:00"/>
    <x v="2199"/>
    <n v="63"/>
    <x v="1"/>
    <x v="5"/>
    <x v="0"/>
    <x v="2"/>
    <n v="4591.93"/>
    <x v="1"/>
    <n v="2503.6022787783854"/>
    <n v="5051.12"/>
    <n v="5051.13"/>
    <n v="5051.12"/>
    <s v="November 2022"/>
  </r>
  <r>
    <d v="2022-11-15T00:00:00"/>
    <x v="2200"/>
    <n v="66"/>
    <x v="0"/>
    <x v="3"/>
    <x v="1"/>
    <x v="2"/>
    <n v="598.86"/>
    <x v="0"/>
    <n v="2509.1716796874912"/>
    <n v="658.74"/>
    <n v="658.75"/>
    <n v="658.75"/>
    <s v="November 2022"/>
  </r>
  <r>
    <d v="2022-11-15T00:00:00"/>
    <x v="2201"/>
    <n v="63"/>
    <x v="2"/>
    <x v="3"/>
    <x v="0"/>
    <x v="4"/>
    <n v="2230.33"/>
    <x v="1"/>
    <n v="2503.6022787783854"/>
    <n v="2453.36"/>
    <n v="2453.3700000000003"/>
    <n v="2453.36"/>
    <s v="November 2022"/>
  </r>
  <r>
    <d v="2022-11-15T00:00:00"/>
    <x v="2202"/>
    <n v="19"/>
    <x v="1"/>
    <x v="1"/>
    <x v="1"/>
    <x v="4"/>
    <n v="3995.76"/>
    <x v="1"/>
    <n v="2509.1716796874912"/>
    <n v="4395.33"/>
    <n v="4395.34"/>
    <n v="4395.34"/>
    <s v="November 2022"/>
  </r>
  <r>
    <d v="2022-11-16T00:00:00"/>
    <x v="2203"/>
    <n v="50"/>
    <x v="1"/>
    <x v="2"/>
    <x v="0"/>
    <x v="4"/>
    <n v="2282.0300000000002"/>
    <x v="1"/>
    <n v="2503.6022787783854"/>
    <n v="2510.23"/>
    <n v="2510.2400000000002"/>
    <n v="2510.23"/>
    <s v="November 2022"/>
  </r>
  <r>
    <d v="2022-11-16T00:00:00"/>
    <x v="2204"/>
    <n v="86"/>
    <x v="2"/>
    <x v="0"/>
    <x v="2"/>
    <x v="3"/>
    <n v="2612.88"/>
    <x v="0"/>
    <n v="2440.2966694490838"/>
    <n v="2874.16"/>
    <n v="2874.17"/>
    <n v="2874.17"/>
    <s v="November 2022"/>
  </r>
  <r>
    <d v="2022-11-16T00:00:00"/>
    <x v="2205"/>
    <n v="94"/>
    <x v="1"/>
    <x v="5"/>
    <x v="1"/>
    <x v="4"/>
    <n v="1902.47"/>
    <x v="0"/>
    <n v="2509.1716796874912"/>
    <n v="2092.71"/>
    <n v="2092.7200000000003"/>
    <n v="2092.7199999999998"/>
    <s v="November 2022"/>
  </r>
  <r>
    <d v="2022-11-16T00:00:00"/>
    <x v="2206"/>
    <n v="20"/>
    <x v="0"/>
    <x v="7"/>
    <x v="0"/>
    <x v="2"/>
    <n v="4511.78"/>
    <x v="1"/>
    <n v="2503.6022787783854"/>
    <n v="4962.95"/>
    <n v="4962.96"/>
    <n v="4962.96"/>
    <s v="November 2022"/>
  </r>
  <r>
    <d v="2022-11-16T00:00:00"/>
    <x v="2207"/>
    <n v="83"/>
    <x v="2"/>
    <x v="0"/>
    <x v="3"/>
    <x v="0"/>
    <n v="2688.61"/>
    <x v="0"/>
    <n v="2496.7676064256989"/>
    <n v="2957.47"/>
    <n v="2957.48"/>
    <n v="2957.47"/>
    <s v="November 2022"/>
  </r>
  <r>
    <d v="2022-11-16T00:00:00"/>
    <x v="2208"/>
    <n v="56"/>
    <x v="2"/>
    <x v="1"/>
    <x v="3"/>
    <x v="1"/>
    <n v="1416.96"/>
    <x v="1"/>
    <n v="2496.7676064256989"/>
    <n v="1558.65"/>
    <n v="1558.66"/>
    <n v="1558.66"/>
    <s v="November 2022"/>
  </r>
  <r>
    <d v="2022-11-17T00:00:00"/>
    <x v="2209"/>
    <n v="8"/>
    <x v="0"/>
    <x v="2"/>
    <x v="1"/>
    <x v="4"/>
    <n v="4198.26"/>
    <x v="2"/>
    <n v="2509.1716796874912"/>
    <n v="4618.08"/>
    <n v="4618.09"/>
    <n v="4618.09"/>
    <s v="November 2022"/>
  </r>
  <r>
    <d v="2022-11-17T00:00:00"/>
    <x v="2210"/>
    <n v="6"/>
    <x v="0"/>
    <x v="6"/>
    <x v="1"/>
    <x v="2"/>
    <n v="361.74"/>
    <x v="2"/>
    <n v="2509.1716796874912"/>
    <n v="397.91"/>
    <n v="397.92"/>
    <n v="397.91"/>
    <s v="November 2022"/>
  </r>
  <r>
    <d v="2022-11-17T00:00:00"/>
    <x v="2211"/>
    <n v="90"/>
    <x v="2"/>
    <x v="1"/>
    <x v="3"/>
    <x v="0"/>
    <n v="669.63"/>
    <x v="0"/>
    <n v="2496.7676064256989"/>
    <n v="736.59"/>
    <n v="736.6"/>
    <n v="736.59"/>
    <s v="November 2022"/>
  </r>
  <r>
    <d v="2022-11-17T00:00:00"/>
    <x v="2212"/>
    <n v="72"/>
    <x v="2"/>
    <x v="6"/>
    <x v="1"/>
    <x v="1"/>
    <n v="457.67"/>
    <x v="0"/>
    <n v="2509.1716796874912"/>
    <n v="503.43"/>
    <n v="503.44"/>
    <n v="503.44"/>
    <s v="November 2022"/>
  </r>
  <r>
    <d v="2022-11-17T00:00:00"/>
    <x v="2213"/>
    <n v="74"/>
    <x v="2"/>
    <x v="2"/>
    <x v="1"/>
    <x v="1"/>
    <n v="1275.22"/>
    <x v="0"/>
    <n v="2509.1716796874912"/>
    <n v="1402.74"/>
    <n v="1402.75"/>
    <n v="1402.74"/>
    <s v="November 2022"/>
  </r>
  <r>
    <d v="2022-11-17T00:00:00"/>
    <x v="2214"/>
    <n v="53"/>
    <x v="0"/>
    <x v="7"/>
    <x v="1"/>
    <x v="1"/>
    <n v="3222.56"/>
    <x v="1"/>
    <n v="2509.1716796874912"/>
    <n v="3544.81"/>
    <n v="3544.82"/>
    <n v="3544.82"/>
    <s v="November 2022"/>
  </r>
  <r>
    <d v="2022-11-17T00:00:00"/>
    <x v="2215"/>
    <n v="48"/>
    <x v="2"/>
    <x v="7"/>
    <x v="3"/>
    <x v="0"/>
    <n v="3755.36"/>
    <x v="1"/>
    <n v="2496.7676064256989"/>
    <n v="4130.8900000000003"/>
    <n v="4130.9000000000005"/>
    <n v="4130.8999999999996"/>
    <s v="November 2022"/>
  </r>
  <r>
    <d v="2022-11-17T00:00:00"/>
    <x v="2216"/>
    <n v="44"/>
    <x v="2"/>
    <x v="1"/>
    <x v="1"/>
    <x v="2"/>
    <n v="328.6"/>
    <x v="1"/>
    <n v="2509.1716796874912"/>
    <n v="361.46"/>
    <n v="361.46"/>
    <n v="361.46"/>
    <s v="November 2022"/>
  </r>
  <r>
    <d v="2022-11-17T00:00:00"/>
    <x v="2217"/>
    <n v="70"/>
    <x v="2"/>
    <x v="0"/>
    <x v="3"/>
    <x v="1"/>
    <n v="637.78"/>
    <x v="0"/>
    <n v="2496.7676064256989"/>
    <n v="701.55"/>
    <n v="701.56"/>
    <n v="701.56"/>
    <s v="November 2022"/>
  </r>
  <r>
    <d v="2022-11-18T00:00:00"/>
    <x v="2218"/>
    <n v="65"/>
    <x v="1"/>
    <x v="4"/>
    <x v="3"/>
    <x v="4"/>
    <n v="3221.86"/>
    <x v="0"/>
    <n v="2496.7676064256989"/>
    <n v="3544.04"/>
    <n v="3544.05"/>
    <n v="3544.05"/>
    <s v="November 2022"/>
  </r>
  <r>
    <d v="2022-11-18T00:00:00"/>
    <x v="2219"/>
    <n v="47"/>
    <x v="2"/>
    <x v="0"/>
    <x v="0"/>
    <x v="4"/>
    <n v="3958.86"/>
    <x v="1"/>
    <n v="2503.6022787783854"/>
    <n v="4354.74"/>
    <n v="4354.75"/>
    <n v="4354.75"/>
    <s v="November 2022"/>
  </r>
  <r>
    <d v="2022-11-18T00:00:00"/>
    <x v="2220"/>
    <n v="62"/>
    <x v="1"/>
    <x v="3"/>
    <x v="0"/>
    <x v="0"/>
    <n v="1976.49"/>
    <x v="1"/>
    <n v="2503.6022787783854"/>
    <n v="2174.13"/>
    <n v="2174.1400000000003"/>
    <n v="2174.14"/>
    <s v="November 2022"/>
  </r>
  <r>
    <d v="2022-11-18T00:00:00"/>
    <x v="2221"/>
    <n v="84"/>
    <x v="0"/>
    <x v="1"/>
    <x v="2"/>
    <x v="4"/>
    <n v="2848.91"/>
    <x v="0"/>
    <n v="2440.2966694490838"/>
    <n v="3133.8"/>
    <n v="3133.8100000000004"/>
    <n v="3133.8"/>
    <s v="November 2022"/>
  </r>
  <r>
    <d v="2022-11-18T00:00:00"/>
    <x v="2222"/>
    <n v="95"/>
    <x v="2"/>
    <x v="0"/>
    <x v="1"/>
    <x v="3"/>
    <n v="1196.78"/>
    <x v="0"/>
    <n v="2509.1716796874912"/>
    <n v="1316.45"/>
    <n v="1316.46"/>
    <n v="1316.46"/>
    <s v="November 2022"/>
  </r>
  <r>
    <d v="2022-11-18T00:00:00"/>
    <x v="2223"/>
    <n v="36"/>
    <x v="2"/>
    <x v="5"/>
    <x v="0"/>
    <x v="5"/>
    <n v="1993.4"/>
    <x v="1"/>
    <n v="2503.6022787783854"/>
    <n v="2192.7399999999998"/>
    <n v="2192.7399999999998"/>
    <n v="2192.7399999999998"/>
    <s v="November 2022"/>
  </r>
  <r>
    <d v="2022-11-18T00:00:00"/>
    <x v="2224"/>
    <n v="51"/>
    <x v="1"/>
    <x v="5"/>
    <x v="2"/>
    <x v="0"/>
    <n v="1648.66"/>
    <x v="1"/>
    <n v="2440.2966694490838"/>
    <n v="1813.52"/>
    <n v="1813.53"/>
    <n v="1813.53"/>
    <s v="November 2022"/>
  </r>
  <r>
    <d v="2022-11-19T00:00:00"/>
    <x v="2225"/>
    <n v="10"/>
    <x v="1"/>
    <x v="2"/>
    <x v="2"/>
    <x v="5"/>
    <n v="2372.88"/>
    <x v="2"/>
    <n v="2440.2966694490838"/>
    <n v="2610.16"/>
    <n v="2610.17"/>
    <n v="2610.17"/>
    <s v="November 2022"/>
  </r>
  <r>
    <d v="2022-11-19T00:00:00"/>
    <x v="2226"/>
    <n v="75"/>
    <x v="1"/>
    <x v="3"/>
    <x v="3"/>
    <x v="3"/>
    <n v="837.79"/>
    <x v="0"/>
    <n v="2496.7676064256989"/>
    <n v="921.56"/>
    <n v="921.56999999999994"/>
    <n v="921.57"/>
    <s v="November 2022"/>
  </r>
  <r>
    <d v="2022-11-19T00:00:00"/>
    <x v="2227"/>
    <n v="59"/>
    <x v="0"/>
    <x v="3"/>
    <x v="0"/>
    <x v="1"/>
    <n v="186.31"/>
    <x v="1"/>
    <n v="2503.6022787783854"/>
    <n v="204.94"/>
    <n v="204.95"/>
    <n v="204.94"/>
    <s v="November 2022"/>
  </r>
  <r>
    <d v="2022-11-19T00:00:00"/>
    <x v="2228"/>
    <n v="92"/>
    <x v="0"/>
    <x v="7"/>
    <x v="3"/>
    <x v="2"/>
    <n v="1920.86"/>
    <x v="0"/>
    <n v="2496.7676064256989"/>
    <n v="2112.94"/>
    <n v="2112.9500000000003"/>
    <n v="2112.9499999999998"/>
    <s v="November 2022"/>
  </r>
  <r>
    <d v="2022-11-19T00:00:00"/>
    <x v="2229"/>
    <n v="99"/>
    <x v="2"/>
    <x v="6"/>
    <x v="2"/>
    <x v="0"/>
    <n v="1129.96"/>
    <x v="0"/>
    <n v="2440.2966694490838"/>
    <n v="1242.95"/>
    <n v="1242.96"/>
    <n v="1242.96"/>
    <s v="November 2022"/>
  </r>
  <r>
    <d v="2022-11-19T00:00:00"/>
    <x v="2230"/>
    <n v="8"/>
    <x v="1"/>
    <x v="6"/>
    <x v="3"/>
    <x v="1"/>
    <n v="3920.5"/>
    <x v="2"/>
    <n v="2496.7676064256989"/>
    <n v="4312.55"/>
    <n v="4312.55"/>
    <n v="4312.55"/>
    <s v="November 2022"/>
  </r>
  <r>
    <d v="2022-11-19T00:00:00"/>
    <x v="2231"/>
    <n v="2"/>
    <x v="2"/>
    <x v="4"/>
    <x v="1"/>
    <x v="2"/>
    <n v="4420.4799999999996"/>
    <x v="2"/>
    <n v="2509.1716796874912"/>
    <n v="4862.5200000000004"/>
    <n v="4862.5300000000007"/>
    <n v="4862.53"/>
    <s v="November 2022"/>
  </r>
  <r>
    <d v="2022-11-19T00:00:00"/>
    <x v="2232"/>
    <n v="53"/>
    <x v="1"/>
    <x v="7"/>
    <x v="1"/>
    <x v="3"/>
    <n v="4839.68"/>
    <x v="1"/>
    <n v="2509.1716796874912"/>
    <n v="5323.64"/>
    <n v="5323.6500000000005"/>
    <n v="5323.65"/>
    <s v="November 2022"/>
  </r>
  <r>
    <d v="2022-11-19T00:00:00"/>
    <x v="2233"/>
    <n v="68"/>
    <x v="0"/>
    <x v="5"/>
    <x v="2"/>
    <x v="2"/>
    <n v="2459.79"/>
    <x v="0"/>
    <n v="2440.2966694490838"/>
    <n v="2705.76"/>
    <n v="2705.7700000000004"/>
    <n v="2705.77"/>
    <s v="November 2022"/>
  </r>
  <r>
    <d v="2022-11-20T00:00:00"/>
    <x v="2234"/>
    <n v="86"/>
    <x v="1"/>
    <x v="0"/>
    <x v="1"/>
    <x v="1"/>
    <n v="4569.58"/>
    <x v="0"/>
    <n v="2509.1716796874912"/>
    <n v="5026.53"/>
    <n v="5026.54"/>
    <n v="5026.54"/>
    <s v="November 2022"/>
  </r>
  <r>
    <d v="2022-11-20T00:00:00"/>
    <x v="2235"/>
    <n v="17"/>
    <x v="2"/>
    <x v="7"/>
    <x v="2"/>
    <x v="4"/>
    <n v="4187.63"/>
    <x v="1"/>
    <n v="2440.2966694490838"/>
    <n v="4606.3900000000003"/>
    <n v="4606.4000000000005"/>
    <n v="4606.3900000000003"/>
    <s v="November 2022"/>
  </r>
  <r>
    <d v="2022-11-20T00:00:00"/>
    <x v="2236"/>
    <n v="75"/>
    <x v="2"/>
    <x v="1"/>
    <x v="1"/>
    <x v="4"/>
    <n v="4931.1899999999996"/>
    <x v="0"/>
    <n v="2509.1716796874912"/>
    <n v="5424.3"/>
    <n v="5424.31"/>
    <n v="5424.31"/>
    <s v="November 2022"/>
  </r>
  <r>
    <d v="2022-11-20T00:00:00"/>
    <x v="2237"/>
    <n v="23"/>
    <x v="2"/>
    <x v="7"/>
    <x v="1"/>
    <x v="4"/>
    <n v="2067.61"/>
    <x v="1"/>
    <n v="2509.1716796874912"/>
    <n v="2274.37"/>
    <n v="2274.38"/>
    <n v="2274.37"/>
    <s v="November 2022"/>
  </r>
  <r>
    <d v="2022-11-20T00:00:00"/>
    <x v="2238"/>
    <n v="3"/>
    <x v="1"/>
    <x v="5"/>
    <x v="3"/>
    <x v="2"/>
    <n v="2106.56"/>
    <x v="2"/>
    <n v="2496.7676064256989"/>
    <n v="2317.21"/>
    <n v="2317.2200000000003"/>
    <n v="2317.2199999999998"/>
    <s v="November 2022"/>
  </r>
  <r>
    <d v="2022-11-20T00:00:00"/>
    <x v="2239"/>
    <n v="63"/>
    <x v="1"/>
    <x v="0"/>
    <x v="1"/>
    <x v="2"/>
    <n v="538.54999999999995"/>
    <x v="1"/>
    <n v="2509.1716796874912"/>
    <n v="592.4"/>
    <n v="592.41"/>
    <n v="592.41"/>
    <s v="November 2022"/>
  </r>
  <r>
    <d v="2022-11-20T00:00:00"/>
    <x v="2240"/>
    <n v="76"/>
    <x v="2"/>
    <x v="1"/>
    <x v="3"/>
    <x v="2"/>
    <n v="645.14"/>
    <x v="0"/>
    <n v="2496.7676064256989"/>
    <n v="709.65"/>
    <n v="709.66"/>
    <n v="709.65"/>
    <s v="November 2022"/>
  </r>
  <r>
    <d v="2022-11-21T00:00:00"/>
    <x v="2241"/>
    <n v="34"/>
    <x v="0"/>
    <x v="5"/>
    <x v="2"/>
    <x v="3"/>
    <n v="3511.43"/>
    <x v="1"/>
    <n v="2440.2966694490838"/>
    <n v="3862.57"/>
    <n v="3862.5800000000004"/>
    <n v="3862.57"/>
    <s v="November 2022"/>
  </r>
  <r>
    <d v="2022-11-21T00:00:00"/>
    <x v="2242"/>
    <n v="42"/>
    <x v="0"/>
    <x v="4"/>
    <x v="1"/>
    <x v="3"/>
    <n v="1150.8599999999999"/>
    <x v="1"/>
    <n v="2509.1716796874912"/>
    <n v="1265.94"/>
    <n v="1265.95"/>
    <n v="1265.95"/>
    <s v="November 2022"/>
  </r>
  <r>
    <d v="2022-11-21T00:00:00"/>
    <x v="2243"/>
    <n v="24"/>
    <x v="2"/>
    <x v="7"/>
    <x v="0"/>
    <x v="4"/>
    <n v="2635.99"/>
    <x v="1"/>
    <n v="2503.6022787783854"/>
    <n v="2899.58"/>
    <n v="2899.59"/>
    <n v="2899.59"/>
    <s v="November 2022"/>
  </r>
  <r>
    <d v="2022-11-21T00:00:00"/>
    <x v="2244"/>
    <n v="44"/>
    <x v="1"/>
    <x v="2"/>
    <x v="0"/>
    <x v="3"/>
    <n v="3825.66"/>
    <x v="1"/>
    <n v="2503.6022787783854"/>
    <n v="4208.22"/>
    <n v="4208.2300000000005"/>
    <n v="4208.2299999999996"/>
    <s v="November 2022"/>
  </r>
  <r>
    <d v="2022-11-21T00:00:00"/>
    <x v="2245"/>
    <n v="75"/>
    <x v="0"/>
    <x v="1"/>
    <x v="2"/>
    <x v="0"/>
    <n v="1855.85"/>
    <x v="0"/>
    <n v="2440.2966694490838"/>
    <n v="2041.43"/>
    <n v="2041.44"/>
    <n v="2041.44"/>
    <s v="November 2022"/>
  </r>
  <r>
    <d v="2022-11-21T00:00:00"/>
    <x v="2246"/>
    <n v="19"/>
    <x v="2"/>
    <x v="1"/>
    <x v="3"/>
    <x v="4"/>
    <n v="54.19"/>
    <x v="1"/>
    <n v="2496.7676064256989"/>
    <n v="59.6"/>
    <n v="59.61"/>
    <n v="59.61"/>
    <s v="November 2022"/>
  </r>
  <r>
    <d v="2022-11-21T00:00:00"/>
    <x v="2247"/>
    <n v="86"/>
    <x v="1"/>
    <x v="1"/>
    <x v="0"/>
    <x v="3"/>
    <n v="2658.5"/>
    <x v="0"/>
    <n v="2503.6022787783854"/>
    <n v="2924.35"/>
    <n v="2924.35"/>
    <n v="2924.35"/>
    <s v="November 2022"/>
  </r>
  <r>
    <d v="2022-11-22T00:00:00"/>
    <x v="2248"/>
    <n v="42"/>
    <x v="2"/>
    <x v="4"/>
    <x v="3"/>
    <x v="3"/>
    <n v="44.59"/>
    <x v="1"/>
    <n v="2496.7676064256989"/>
    <n v="49.04"/>
    <n v="49.05"/>
    <n v="49.05"/>
    <s v="November 2022"/>
  </r>
  <r>
    <d v="2022-11-22T00:00:00"/>
    <x v="2249"/>
    <n v="73"/>
    <x v="0"/>
    <x v="1"/>
    <x v="3"/>
    <x v="3"/>
    <n v="326.99"/>
    <x v="0"/>
    <n v="2496.7676064256989"/>
    <n v="359.68"/>
    <n v="359.69"/>
    <n v="359.69"/>
    <s v="November 2022"/>
  </r>
  <r>
    <d v="2022-11-22T00:00:00"/>
    <x v="2250"/>
    <n v="6"/>
    <x v="1"/>
    <x v="4"/>
    <x v="2"/>
    <x v="2"/>
    <n v="2981.24"/>
    <x v="2"/>
    <n v="2440.2966694490838"/>
    <n v="3279.36"/>
    <n v="3279.3700000000003"/>
    <n v="3279.36"/>
    <s v="November 2022"/>
  </r>
  <r>
    <d v="2022-11-22T00:00:00"/>
    <x v="2251"/>
    <n v="75"/>
    <x v="1"/>
    <x v="4"/>
    <x v="3"/>
    <x v="0"/>
    <n v="251.63"/>
    <x v="0"/>
    <n v="2496.7676064256989"/>
    <n v="276.79000000000002"/>
    <n v="276.8"/>
    <n v="276.79000000000002"/>
    <s v="November 2022"/>
  </r>
  <r>
    <d v="2022-11-22T00:00:00"/>
    <x v="2252"/>
    <n v="13"/>
    <x v="0"/>
    <x v="4"/>
    <x v="0"/>
    <x v="2"/>
    <n v="3162.48"/>
    <x v="2"/>
    <n v="2503.6022787783854"/>
    <n v="3478.72"/>
    <n v="3478.73"/>
    <n v="3478.73"/>
    <s v="November 2022"/>
  </r>
  <r>
    <d v="2022-11-22T00:00:00"/>
    <x v="2253"/>
    <n v="5"/>
    <x v="2"/>
    <x v="3"/>
    <x v="0"/>
    <x v="1"/>
    <n v="1410.73"/>
    <x v="2"/>
    <n v="2503.6022787783854"/>
    <n v="1551.8"/>
    <n v="1551.81"/>
    <n v="1551.8"/>
    <s v="November 2022"/>
  </r>
  <r>
    <d v="2022-11-23T00:00:00"/>
    <x v="2254"/>
    <n v="12"/>
    <x v="0"/>
    <x v="1"/>
    <x v="1"/>
    <x v="4"/>
    <n v="4319.62"/>
    <x v="2"/>
    <n v="2509.1716796874912"/>
    <n v="4751.58"/>
    <n v="4751.59"/>
    <n v="4751.58"/>
    <s v="November 2022"/>
  </r>
  <r>
    <d v="2022-11-23T00:00:00"/>
    <x v="2255"/>
    <n v="38"/>
    <x v="1"/>
    <x v="7"/>
    <x v="0"/>
    <x v="2"/>
    <n v="2859.45"/>
    <x v="1"/>
    <n v="2503.6022787783854"/>
    <n v="3145.39"/>
    <n v="3145.4"/>
    <n v="3145.4"/>
    <s v="November 2022"/>
  </r>
  <r>
    <d v="2022-11-23T00:00:00"/>
    <x v="2256"/>
    <n v="25"/>
    <x v="0"/>
    <x v="2"/>
    <x v="2"/>
    <x v="3"/>
    <n v="451.37"/>
    <x v="1"/>
    <n v="2440.2966694490838"/>
    <n v="496.5"/>
    <n v="496.51"/>
    <n v="496.51"/>
    <s v="November 2022"/>
  </r>
  <r>
    <d v="2022-11-23T00:00:00"/>
    <x v="2257"/>
    <n v="50"/>
    <x v="1"/>
    <x v="3"/>
    <x v="1"/>
    <x v="4"/>
    <n v="1048.67"/>
    <x v="1"/>
    <n v="2509.1716796874912"/>
    <n v="1153.53"/>
    <n v="1153.54"/>
    <n v="1153.54"/>
    <s v="November 2022"/>
  </r>
  <r>
    <d v="2022-11-24T00:00:00"/>
    <x v="2258"/>
    <n v="71"/>
    <x v="0"/>
    <x v="7"/>
    <x v="1"/>
    <x v="2"/>
    <n v="4431.1099999999997"/>
    <x v="0"/>
    <n v="2509.1716796874912"/>
    <n v="4874.22"/>
    <n v="4874.2300000000005"/>
    <n v="4874.22"/>
    <s v="November 2022"/>
  </r>
  <r>
    <d v="2022-11-24T00:00:00"/>
    <x v="2259"/>
    <n v="47"/>
    <x v="2"/>
    <x v="0"/>
    <x v="2"/>
    <x v="2"/>
    <n v="3985.04"/>
    <x v="1"/>
    <n v="2440.2966694490838"/>
    <n v="4383.54"/>
    <n v="4383.55"/>
    <n v="4383.54"/>
    <s v="November 2022"/>
  </r>
  <r>
    <d v="2022-11-24T00:00:00"/>
    <x v="2260"/>
    <n v="84"/>
    <x v="2"/>
    <x v="5"/>
    <x v="2"/>
    <x v="5"/>
    <n v="2947.12"/>
    <x v="0"/>
    <n v="2440.2966694490838"/>
    <n v="3241.83"/>
    <n v="3241.84"/>
    <n v="3241.83"/>
    <s v="November 2022"/>
  </r>
  <r>
    <d v="2022-11-24T00:00:00"/>
    <x v="2261"/>
    <n v="0"/>
    <x v="0"/>
    <x v="3"/>
    <x v="3"/>
    <x v="0"/>
    <n v="2904.39"/>
    <x v="2"/>
    <n v="2496.7676064256989"/>
    <n v="3194.82"/>
    <n v="3194.8300000000004"/>
    <n v="3194.83"/>
    <s v="November 2022"/>
  </r>
  <r>
    <d v="2022-11-25T00:00:00"/>
    <x v="2262"/>
    <n v="26"/>
    <x v="0"/>
    <x v="2"/>
    <x v="3"/>
    <x v="2"/>
    <n v="2884.23"/>
    <x v="1"/>
    <n v="2496.7676064256989"/>
    <n v="3172.65"/>
    <n v="3172.6600000000003"/>
    <n v="3172.65"/>
    <s v="November 2022"/>
  </r>
  <r>
    <d v="2022-11-25T00:00:00"/>
    <x v="2263"/>
    <n v="55"/>
    <x v="1"/>
    <x v="6"/>
    <x v="1"/>
    <x v="0"/>
    <n v="1799.14"/>
    <x v="1"/>
    <n v="2509.1716796874912"/>
    <n v="1979.05"/>
    <n v="1979.06"/>
    <n v="1979.05"/>
    <s v="November 2022"/>
  </r>
  <r>
    <d v="2022-11-25T00:00:00"/>
    <x v="2264"/>
    <n v="20"/>
    <x v="0"/>
    <x v="7"/>
    <x v="2"/>
    <x v="2"/>
    <n v="2665.7"/>
    <x v="1"/>
    <n v="2440.2966694490838"/>
    <n v="2932.27"/>
    <n v="2932.27"/>
    <n v="2932.27"/>
    <s v="November 2022"/>
  </r>
  <r>
    <d v="2022-11-25T00:00:00"/>
    <x v="2265"/>
    <n v="33"/>
    <x v="2"/>
    <x v="3"/>
    <x v="2"/>
    <x v="1"/>
    <n v="4725.8500000000004"/>
    <x v="1"/>
    <n v="2440.2966694490838"/>
    <n v="5198.43"/>
    <n v="5198.4400000000005"/>
    <n v="5198.4399999999996"/>
    <s v="November 2022"/>
  </r>
  <r>
    <d v="2022-11-25T00:00:00"/>
    <x v="2266"/>
    <n v="97"/>
    <x v="1"/>
    <x v="0"/>
    <x v="3"/>
    <x v="2"/>
    <n v="3488.23"/>
    <x v="0"/>
    <n v="2496.7676064256989"/>
    <n v="3837.05"/>
    <n v="3837.0600000000004"/>
    <n v="3837.05"/>
    <s v="November 2022"/>
  </r>
  <r>
    <d v="2022-11-26T00:00:00"/>
    <x v="2267"/>
    <n v="98"/>
    <x v="2"/>
    <x v="0"/>
    <x v="3"/>
    <x v="3"/>
    <n v="1040.3699999999999"/>
    <x v="0"/>
    <n v="2496.7676064256989"/>
    <n v="1144.4000000000001"/>
    <n v="1144.4100000000001"/>
    <n v="1144.4100000000001"/>
    <s v="November 2022"/>
  </r>
  <r>
    <d v="2022-11-26T00:00:00"/>
    <x v="2268"/>
    <n v="50"/>
    <x v="0"/>
    <x v="4"/>
    <x v="0"/>
    <x v="2"/>
    <n v="4257.82"/>
    <x v="1"/>
    <n v="2503.6022787783854"/>
    <n v="4683.6000000000004"/>
    <n v="4683.6100000000006"/>
    <n v="4683.6000000000004"/>
    <s v="November 2022"/>
  </r>
  <r>
    <d v="2022-11-26T00:00:00"/>
    <x v="2269"/>
    <n v="72"/>
    <x v="1"/>
    <x v="4"/>
    <x v="2"/>
    <x v="4"/>
    <n v="3608.68"/>
    <x v="0"/>
    <n v="2440.2966694490838"/>
    <n v="3969.54"/>
    <n v="3969.55"/>
    <n v="3969.55"/>
    <s v="November 2022"/>
  </r>
  <r>
    <d v="2022-11-26T00:00:00"/>
    <x v="2270"/>
    <n v="13"/>
    <x v="0"/>
    <x v="6"/>
    <x v="2"/>
    <x v="3"/>
    <n v="2301.39"/>
    <x v="2"/>
    <n v="2440.2966694490838"/>
    <n v="2531.52"/>
    <n v="2531.5300000000002"/>
    <n v="2531.5300000000002"/>
    <s v="November 2022"/>
  </r>
  <r>
    <d v="2022-11-26T00:00:00"/>
    <x v="2271"/>
    <n v="36"/>
    <x v="0"/>
    <x v="5"/>
    <x v="3"/>
    <x v="4"/>
    <n v="303.67"/>
    <x v="1"/>
    <n v="2496.7676064256989"/>
    <n v="334.03"/>
    <n v="334.03999999999996"/>
    <n v="334.04"/>
    <s v="November 2022"/>
  </r>
  <r>
    <d v="2022-11-26T00:00:00"/>
    <x v="2272"/>
    <n v="65"/>
    <x v="0"/>
    <x v="4"/>
    <x v="3"/>
    <x v="0"/>
    <n v="4151.74"/>
    <x v="0"/>
    <n v="2496.7676064256989"/>
    <n v="4566.91"/>
    <n v="4566.92"/>
    <n v="4566.91"/>
    <s v="November 2022"/>
  </r>
  <r>
    <d v="2022-11-26T00:00:00"/>
    <x v="2273"/>
    <n v="91"/>
    <x v="1"/>
    <x v="1"/>
    <x v="1"/>
    <x v="0"/>
    <n v="4753.83"/>
    <x v="0"/>
    <n v="2509.1716796874912"/>
    <n v="5229.21"/>
    <n v="5229.22"/>
    <n v="5229.21"/>
    <s v="November 2022"/>
  </r>
  <r>
    <d v="2022-11-26T00:00:00"/>
    <x v="2274"/>
    <n v="13"/>
    <x v="2"/>
    <x v="7"/>
    <x v="1"/>
    <x v="4"/>
    <n v="2606.34"/>
    <x v="2"/>
    <n v="2509.1716796874912"/>
    <n v="2866.97"/>
    <n v="2866.98"/>
    <n v="2866.97"/>
    <s v="November 2022"/>
  </r>
  <r>
    <d v="2022-11-27T00:00:00"/>
    <x v="2275"/>
    <n v="41"/>
    <x v="0"/>
    <x v="4"/>
    <x v="0"/>
    <x v="2"/>
    <n v="4336.05"/>
    <x v="1"/>
    <n v="2503.6022787783854"/>
    <n v="4769.6499999999996"/>
    <n v="4769.66"/>
    <n v="4769.66"/>
    <s v="November 2022"/>
  </r>
  <r>
    <d v="2022-11-27T00:00:00"/>
    <x v="2276"/>
    <n v="60"/>
    <x v="1"/>
    <x v="1"/>
    <x v="1"/>
    <x v="3"/>
    <n v="4208.08"/>
    <x v="1"/>
    <n v="2509.1716796874912"/>
    <n v="4628.88"/>
    <n v="4628.8900000000003"/>
    <n v="4628.8900000000003"/>
    <s v="November 2022"/>
  </r>
  <r>
    <d v="2022-11-27T00:00:00"/>
    <x v="2277"/>
    <n v="13"/>
    <x v="0"/>
    <x v="7"/>
    <x v="0"/>
    <x v="0"/>
    <n v="3456.48"/>
    <x v="2"/>
    <n v="2503.6022787783854"/>
    <n v="3802.12"/>
    <n v="3802.13"/>
    <n v="3802.13"/>
    <s v="November 2022"/>
  </r>
  <r>
    <d v="2022-11-27T00:00:00"/>
    <x v="2278"/>
    <n v="87"/>
    <x v="1"/>
    <x v="6"/>
    <x v="1"/>
    <x v="2"/>
    <n v="2063.0700000000002"/>
    <x v="0"/>
    <n v="2509.1716796874912"/>
    <n v="2269.37"/>
    <n v="2269.38"/>
    <n v="2269.38"/>
    <s v="November 2022"/>
  </r>
  <r>
    <d v="2022-11-27T00:00:00"/>
    <x v="2279"/>
    <n v="83"/>
    <x v="0"/>
    <x v="2"/>
    <x v="1"/>
    <x v="4"/>
    <n v="133.58000000000001"/>
    <x v="0"/>
    <n v="2509.1716796874912"/>
    <n v="146.93"/>
    <n v="146.94"/>
    <n v="146.94"/>
    <s v="November 2022"/>
  </r>
  <r>
    <d v="2022-11-27T00:00:00"/>
    <x v="2280"/>
    <n v="81"/>
    <x v="1"/>
    <x v="4"/>
    <x v="2"/>
    <x v="2"/>
    <n v="1257"/>
    <x v="0"/>
    <n v="2440.2966694490838"/>
    <n v="1382.7"/>
    <n v="1382.7"/>
    <n v="1382.7"/>
    <s v="November 2022"/>
  </r>
  <r>
    <d v="2022-11-27T00:00:00"/>
    <x v="2281"/>
    <n v="81"/>
    <x v="1"/>
    <x v="6"/>
    <x v="1"/>
    <x v="4"/>
    <n v="1309.69"/>
    <x v="0"/>
    <n v="2509.1716796874912"/>
    <n v="1440.65"/>
    <n v="1440.66"/>
    <n v="1440.66"/>
    <s v="November 2022"/>
  </r>
  <r>
    <d v="2022-11-28T00:00:00"/>
    <x v="2282"/>
    <n v="33"/>
    <x v="0"/>
    <x v="5"/>
    <x v="2"/>
    <x v="2"/>
    <n v="399.49"/>
    <x v="1"/>
    <n v="2440.2966694490838"/>
    <n v="439.43"/>
    <n v="439.44"/>
    <n v="439.44"/>
    <s v="November 2022"/>
  </r>
  <r>
    <d v="2022-11-28T00:00:00"/>
    <x v="2283"/>
    <n v="27"/>
    <x v="2"/>
    <x v="0"/>
    <x v="1"/>
    <x v="0"/>
    <n v="1659.68"/>
    <x v="1"/>
    <n v="2509.1716796874912"/>
    <n v="1825.64"/>
    <n v="1825.65"/>
    <n v="1825.65"/>
    <s v="November 2022"/>
  </r>
  <r>
    <d v="2022-11-28T00:00:00"/>
    <x v="2284"/>
    <n v="23"/>
    <x v="1"/>
    <x v="5"/>
    <x v="2"/>
    <x v="2"/>
    <n v="4959.8"/>
    <x v="1"/>
    <n v="2440.2966694490838"/>
    <n v="5455.78"/>
    <n v="5455.78"/>
    <n v="5455.78"/>
    <s v="November 2022"/>
  </r>
  <r>
    <d v="2022-11-28T00:00:00"/>
    <x v="2285"/>
    <n v="34"/>
    <x v="1"/>
    <x v="2"/>
    <x v="1"/>
    <x v="0"/>
    <n v="1869.7"/>
    <x v="1"/>
    <n v="2509.1716796874912"/>
    <n v="2056.67"/>
    <n v="2056.67"/>
    <n v="2056.67"/>
    <s v="November 2022"/>
  </r>
  <r>
    <d v="2022-11-29T00:00:00"/>
    <x v="2286"/>
    <n v="7"/>
    <x v="2"/>
    <x v="6"/>
    <x v="2"/>
    <x v="0"/>
    <n v="4911.9399999999996"/>
    <x v="2"/>
    <n v="2440.2966694490838"/>
    <n v="5403.13"/>
    <n v="5403.14"/>
    <n v="5403.13"/>
    <s v="November 2022"/>
  </r>
  <r>
    <d v="2022-11-29T00:00:00"/>
    <x v="2287"/>
    <n v="32"/>
    <x v="0"/>
    <x v="7"/>
    <x v="2"/>
    <x v="2"/>
    <n v="669.12"/>
    <x v="1"/>
    <n v="2440.2966694490838"/>
    <n v="736.03"/>
    <n v="736.04"/>
    <n v="736.03"/>
    <s v="November 2022"/>
  </r>
  <r>
    <d v="2022-11-29T00:00:00"/>
    <x v="2288"/>
    <n v="96"/>
    <x v="0"/>
    <x v="5"/>
    <x v="2"/>
    <x v="1"/>
    <n v="429.83"/>
    <x v="0"/>
    <n v="2440.2966694490838"/>
    <n v="472.81"/>
    <n v="472.82"/>
    <n v="472.81"/>
    <s v="November 2022"/>
  </r>
  <r>
    <d v="2022-11-29T00:00:00"/>
    <x v="2289"/>
    <n v="63"/>
    <x v="2"/>
    <x v="4"/>
    <x v="3"/>
    <x v="4"/>
    <n v="773.68"/>
    <x v="1"/>
    <n v="2496.7676064256989"/>
    <n v="851.04"/>
    <n v="851.05"/>
    <n v="851.05"/>
    <s v="November 2022"/>
  </r>
  <r>
    <d v="2022-11-29T00:00:00"/>
    <x v="2290"/>
    <n v="98"/>
    <x v="2"/>
    <x v="6"/>
    <x v="1"/>
    <x v="4"/>
    <n v="4759.17"/>
    <x v="0"/>
    <n v="2509.1716796874912"/>
    <n v="5235.08"/>
    <n v="5235.09"/>
    <n v="5235.09"/>
    <s v="November 2022"/>
  </r>
  <r>
    <d v="2022-11-29T00:00:00"/>
    <x v="2291"/>
    <n v="85"/>
    <x v="2"/>
    <x v="1"/>
    <x v="1"/>
    <x v="4"/>
    <n v="3243.49"/>
    <x v="0"/>
    <n v="2509.1716796874912"/>
    <n v="3567.83"/>
    <n v="3567.84"/>
    <n v="3567.84"/>
    <s v="November 2022"/>
  </r>
  <r>
    <d v="2022-11-29T00:00:00"/>
    <x v="2292"/>
    <n v="14"/>
    <x v="1"/>
    <x v="5"/>
    <x v="2"/>
    <x v="2"/>
    <n v="3777.44"/>
    <x v="2"/>
    <n v="2440.2966694490838"/>
    <n v="4155.18"/>
    <n v="4155.1900000000005"/>
    <n v="4155.18"/>
    <s v="November 2022"/>
  </r>
  <r>
    <d v="2022-11-29T00:00:00"/>
    <x v="2293"/>
    <n v="69"/>
    <x v="2"/>
    <x v="2"/>
    <x v="2"/>
    <x v="2"/>
    <n v="2666.93"/>
    <x v="0"/>
    <n v="2440.2966694490838"/>
    <n v="2933.62"/>
    <n v="2933.63"/>
    <n v="2933.62"/>
    <s v="November 2022"/>
  </r>
  <r>
    <d v="2022-11-29T00:00:00"/>
    <x v="2294"/>
    <n v="15"/>
    <x v="1"/>
    <x v="7"/>
    <x v="3"/>
    <x v="4"/>
    <n v="1727.97"/>
    <x v="2"/>
    <n v="2496.7676064256989"/>
    <n v="1900.76"/>
    <n v="1900.77"/>
    <n v="1900.77"/>
    <s v="November 2022"/>
  </r>
  <r>
    <d v="2022-11-29T00:00:00"/>
    <x v="2295"/>
    <n v="53"/>
    <x v="1"/>
    <x v="6"/>
    <x v="1"/>
    <x v="0"/>
    <n v="4344.24"/>
    <x v="1"/>
    <n v="2509.1716796874912"/>
    <n v="4778.66"/>
    <n v="4778.67"/>
    <n v="4778.66"/>
    <s v="November 2022"/>
  </r>
  <r>
    <d v="2022-11-30T00:00:00"/>
    <x v="2296"/>
    <n v="37"/>
    <x v="1"/>
    <x v="0"/>
    <x v="1"/>
    <x v="4"/>
    <n v="563.04999999999995"/>
    <x v="1"/>
    <n v="2509.1716796874912"/>
    <n v="619.35"/>
    <n v="619.36"/>
    <n v="619.36"/>
    <s v="November 2022"/>
  </r>
  <r>
    <d v="2022-11-30T00:00:00"/>
    <x v="2297"/>
    <n v="65"/>
    <x v="2"/>
    <x v="7"/>
    <x v="0"/>
    <x v="0"/>
    <n v="55.18"/>
    <x v="0"/>
    <n v="2503.6022787783854"/>
    <n v="60.69"/>
    <n v="60.699999999999996"/>
    <n v="60.7"/>
    <s v="November 2022"/>
  </r>
  <r>
    <d v="2022-11-30T00:00:00"/>
    <x v="2298"/>
    <n v="92"/>
    <x v="2"/>
    <x v="0"/>
    <x v="1"/>
    <x v="3"/>
    <n v="1518.26"/>
    <x v="0"/>
    <n v="2509.1716796874912"/>
    <n v="1670.08"/>
    <n v="1670.09"/>
    <n v="1670.09"/>
    <s v="November 2022"/>
  </r>
  <r>
    <d v="2022-11-30T00:00:00"/>
    <x v="2299"/>
    <n v="7"/>
    <x v="0"/>
    <x v="5"/>
    <x v="1"/>
    <x v="1"/>
    <n v="1847"/>
    <x v="2"/>
    <n v="2509.1716796874912"/>
    <n v="2031.7"/>
    <n v="2031.7"/>
    <n v="2031.7"/>
    <s v="November 2022"/>
  </r>
  <r>
    <d v="2022-11-30T00:00:00"/>
    <x v="2300"/>
    <n v="4"/>
    <x v="1"/>
    <x v="5"/>
    <x v="0"/>
    <x v="2"/>
    <n v="1867"/>
    <x v="2"/>
    <n v="2503.6022787783854"/>
    <n v="2053.6999999999998"/>
    <n v="2053.6999999999998"/>
    <n v="2053.6999999999998"/>
    <s v="November 2022"/>
  </r>
  <r>
    <d v="2022-11-30T00:00:00"/>
    <x v="2301"/>
    <n v="48"/>
    <x v="0"/>
    <x v="0"/>
    <x v="1"/>
    <x v="2"/>
    <n v="3384.1"/>
    <x v="1"/>
    <n v="2509.1716796874912"/>
    <n v="3722.51"/>
    <n v="3722.51"/>
    <n v="3722.51"/>
    <s v="November 2022"/>
  </r>
  <r>
    <d v="2022-11-30T00:00:00"/>
    <x v="2302"/>
    <n v="93"/>
    <x v="2"/>
    <x v="7"/>
    <x v="3"/>
    <x v="4"/>
    <n v="2725.38"/>
    <x v="0"/>
    <n v="2496.7676064256989"/>
    <n v="2997.91"/>
    <n v="2997.92"/>
    <n v="2997.92"/>
    <s v="November 2022"/>
  </r>
  <r>
    <d v="2022-11-30T00:00:00"/>
    <x v="2303"/>
    <n v="69"/>
    <x v="2"/>
    <x v="1"/>
    <x v="1"/>
    <x v="0"/>
    <n v="638.23"/>
    <x v="0"/>
    <n v="2509.1716796874912"/>
    <n v="702.05"/>
    <n v="702.06"/>
    <n v="702.05"/>
    <s v="November 2022"/>
  </r>
  <r>
    <d v="2022-11-30T00:00:00"/>
    <x v="2304"/>
    <n v="83"/>
    <x v="0"/>
    <x v="6"/>
    <x v="0"/>
    <x v="1"/>
    <n v="3554.46"/>
    <x v="0"/>
    <n v="2503.6022787783854"/>
    <n v="3909.9"/>
    <n v="3909.9100000000003"/>
    <n v="3909.91"/>
    <s v="November 2022"/>
  </r>
  <r>
    <d v="2022-12-01T00:00:00"/>
    <x v="2305"/>
    <n v="26"/>
    <x v="1"/>
    <x v="1"/>
    <x v="0"/>
    <x v="4"/>
    <n v="4861.8999999999996"/>
    <x v="1"/>
    <n v="2503.6022787783854"/>
    <n v="5348.09"/>
    <n v="5348.09"/>
    <n v="5348.09"/>
    <s v="December 2022"/>
  </r>
  <r>
    <d v="2022-12-01T00:00:00"/>
    <x v="2306"/>
    <n v="96"/>
    <x v="2"/>
    <x v="0"/>
    <x v="1"/>
    <x v="3"/>
    <n v="296.76"/>
    <x v="0"/>
    <n v="2509.1716796874912"/>
    <n v="326.43"/>
    <n v="326.44"/>
    <n v="326.44"/>
    <s v="December 2022"/>
  </r>
  <r>
    <d v="2022-12-01T00:00:00"/>
    <x v="2307"/>
    <n v="84"/>
    <x v="2"/>
    <x v="3"/>
    <x v="2"/>
    <x v="3"/>
    <n v="1551.68"/>
    <x v="0"/>
    <n v="2440.2966694490838"/>
    <n v="1706.84"/>
    <n v="1706.85"/>
    <n v="1706.85"/>
    <s v="December 2022"/>
  </r>
  <r>
    <d v="2022-12-01T00:00:00"/>
    <x v="2308"/>
    <n v="32"/>
    <x v="2"/>
    <x v="1"/>
    <x v="3"/>
    <x v="4"/>
    <n v="3122.86"/>
    <x v="1"/>
    <n v="2496.7676064256989"/>
    <n v="3435.14"/>
    <n v="3435.15"/>
    <n v="3435.15"/>
    <s v="December 2022"/>
  </r>
  <r>
    <d v="2022-12-02T00:00:00"/>
    <x v="2309"/>
    <n v="70"/>
    <x v="1"/>
    <x v="1"/>
    <x v="1"/>
    <x v="0"/>
    <n v="1067.01"/>
    <x v="0"/>
    <n v="2509.1716796874912"/>
    <n v="1173.71"/>
    <n v="1173.72"/>
    <n v="1173.71"/>
    <s v="December 2022"/>
  </r>
  <r>
    <d v="2022-12-02T00:00:00"/>
    <x v="2310"/>
    <n v="89"/>
    <x v="2"/>
    <x v="1"/>
    <x v="3"/>
    <x v="4"/>
    <n v="2967.42"/>
    <x v="0"/>
    <n v="2496.7676064256989"/>
    <n v="3264.16"/>
    <n v="3264.17"/>
    <n v="3264.16"/>
    <s v="December 2022"/>
  </r>
  <r>
    <d v="2022-12-02T00:00:00"/>
    <x v="2311"/>
    <n v="37"/>
    <x v="2"/>
    <x v="1"/>
    <x v="0"/>
    <x v="2"/>
    <n v="4251.2700000000004"/>
    <x v="1"/>
    <n v="2503.6022787783854"/>
    <n v="4676.3900000000003"/>
    <n v="4676.4000000000005"/>
    <n v="4676.3999999999996"/>
    <s v="December 2022"/>
  </r>
  <r>
    <d v="2022-12-02T00:00:00"/>
    <x v="2312"/>
    <n v="41"/>
    <x v="1"/>
    <x v="4"/>
    <x v="2"/>
    <x v="2"/>
    <n v="743.75"/>
    <x v="1"/>
    <n v="2440.2966694490838"/>
    <n v="818.12"/>
    <n v="818.13"/>
    <n v="818.13"/>
    <s v="December 2022"/>
  </r>
  <r>
    <d v="2022-12-02T00:00:00"/>
    <x v="2313"/>
    <n v="56"/>
    <x v="1"/>
    <x v="6"/>
    <x v="2"/>
    <x v="4"/>
    <n v="3142.54"/>
    <x v="1"/>
    <n v="2440.2966694490838"/>
    <n v="3456.79"/>
    <n v="3456.8"/>
    <n v="3456.79"/>
    <s v="December 2022"/>
  </r>
  <r>
    <d v="2022-12-02T00:00:00"/>
    <x v="2314"/>
    <n v="8"/>
    <x v="2"/>
    <x v="2"/>
    <x v="1"/>
    <x v="1"/>
    <n v="1410.97"/>
    <x v="2"/>
    <n v="2509.1716796874912"/>
    <n v="1552.06"/>
    <n v="1552.07"/>
    <n v="1552.07"/>
    <s v="December 2022"/>
  </r>
  <r>
    <d v="2022-12-02T00:00:00"/>
    <x v="2315"/>
    <n v="41"/>
    <x v="1"/>
    <x v="0"/>
    <x v="3"/>
    <x v="4"/>
    <n v="3355.9"/>
    <x v="1"/>
    <n v="2496.7676064256989"/>
    <n v="3691.49"/>
    <n v="3691.49"/>
    <n v="3691.49"/>
    <s v="December 2022"/>
  </r>
  <r>
    <d v="2022-12-03T00:00:00"/>
    <x v="2316"/>
    <n v="43"/>
    <x v="2"/>
    <x v="0"/>
    <x v="2"/>
    <x v="5"/>
    <n v="4396.46"/>
    <x v="1"/>
    <n v="2440.2966694490838"/>
    <n v="4836.1000000000004"/>
    <n v="4836.1100000000006"/>
    <n v="4836.1099999999997"/>
    <s v="December 2022"/>
  </r>
  <r>
    <d v="2022-12-03T00:00:00"/>
    <x v="2317"/>
    <n v="34"/>
    <x v="2"/>
    <x v="3"/>
    <x v="0"/>
    <x v="0"/>
    <n v="1983.84"/>
    <x v="1"/>
    <n v="2503.6022787783854"/>
    <n v="2182.2199999999998"/>
    <n v="2182.23"/>
    <n v="2182.2199999999998"/>
    <s v="December 2022"/>
  </r>
  <r>
    <d v="2022-12-03T00:00:00"/>
    <x v="2318"/>
    <n v="8"/>
    <x v="2"/>
    <x v="5"/>
    <x v="1"/>
    <x v="0"/>
    <n v="2625.82"/>
    <x v="2"/>
    <n v="2509.1716796874912"/>
    <n v="2888.4"/>
    <n v="2888.4100000000003"/>
    <n v="2888.4"/>
    <s v="December 2022"/>
  </r>
  <r>
    <d v="2022-12-03T00:00:00"/>
    <x v="2319"/>
    <n v="55"/>
    <x v="1"/>
    <x v="1"/>
    <x v="0"/>
    <x v="3"/>
    <n v="4599.3500000000004"/>
    <x v="1"/>
    <n v="2503.6022787783854"/>
    <n v="5059.28"/>
    <n v="5059.29"/>
    <n v="5059.29"/>
    <s v="December 2022"/>
  </r>
  <r>
    <d v="2022-12-03T00:00:00"/>
    <x v="2320"/>
    <n v="35"/>
    <x v="1"/>
    <x v="5"/>
    <x v="1"/>
    <x v="1"/>
    <n v="411.91"/>
    <x v="1"/>
    <n v="2509.1716796874912"/>
    <n v="453.1"/>
    <n v="453.11"/>
    <n v="453.1"/>
    <s v="December 2022"/>
  </r>
  <r>
    <d v="2022-12-03T00:00:00"/>
    <x v="2321"/>
    <n v="4"/>
    <x v="2"/>
    <x v="7"/>
    <x v="0"/>
    <x v="4"/>
    <n v="1469.3"/>
    <x v="2"/>
    <n v="2503.6022787783854"/>
    <n v="1616.23"/>
    <n v="1616.23"/>
    <n v="1616.23"/>
    <s v="December 2022"/>
  </r>
  <r>
    <d v="2022-12-03T00:00:00"/>
    <x v="2322"/>
    <n v="93"/>
    <x v="2"/>
    <x v="1"/>
    <x v="0"/>
    <x v="2"/>
    <n v="2244.83"/>
    <x v="0"/>
    <n v="2503.6022787783854"/>
    <n v="2469.31"/>
    <n v="2469.3200000000002"/>
    <n v="2469.31"/>
    <s v="December 2022"/>
  </r>
  <r>
    <d v="2022-12-03T00:00:00"/>
    <x v="2323"/>
    <n v="99"/>
    <x v="1"/>
    <x v="6"/>
    <x v="1"/>
    <x v="3"/>
    <n v="4446.2299999999996"/>
    <x v="0"/>
    <n v="2509.1716796874912"/>
    <n v="4890.8500000000004"/>
    <n v="4890.8600000000006"/>
    <n v="4890.8500000000004"/>
    <s v="December 2022"/>
  </r>
  <r>
    <d v="2022-12-04T00:00:00"/>
    <x v="2324"/>
    <n v="95"/>
    <x v="0"/>
    <x v="1"/>
    <x v="1"/>
    <x v="2"/>
    <n v="542.25"/>
    <x v="0"/>
    <n v="2509.1716796874912"/>
    <n v="596.47"/>
    <n v="596.48"/>
    <n v="596.48"/>
    <s v="December 2022"/>
  </r>
  <r>
    <d v="2022-12-04T00:00:00"/>
    <x v="2325"/>
    <n v="86"/>
    <x v="2"/>
    <x v="3"/>
    <x v="1"/>
    <x v="2"/>
    <n v="223.96"/>
    <x v="0"/>
    <n v="2509.1716796874912"/>
    <n v="246.35"/>
    <n v="246.35999999999999"/>
    <n v="246.36"/>
    <s v="December 2022"/>
  </r>
  <r>
    <d v="2022-12-04T00:00:00"/>
    <x v="2326"/>
    <n v="44"/>
    <x v="2"/>
    <x v="3"/>
    <x v="1"/>
    <x v="0"/>
    <n v="2590.6"/>
    <x v="1"/>
    <n v="2509.1716796874912"/>
    <n v="2849.66"/>
    <n v="2849.66"/>
    <n v="2849.66"/>
    <s v="December 2022"/>
  </r>
  <r>
    <d v="2022-12-04T00:00:00"/>
    <x v="2327"/>
    <n v="55"/>
    <x v="1"/>
    <x v="3"/>
    <x v="2"/>
    <x v="1"/>
    <n v="1061.3800000000001"/>
    <x v="1"/>
    <n v="2440.2966694490838"/>
    <n v="1167.51"/>
    <n v="1167.52"/>
    <n v="1167.52"/>
    <s v="December 2022"/>
  </r>
  <r>
    <d v="2022-12-05T00:00:00"/>
    <x v="2328"/>
    <n v="44"/>
    <x v="2"/>
    <x v="2"/>
    <x v="0"/>
    <x v="2"/>
    <n v="4689.28"/>
    <x v="1"/>
    <n v="2503.6022787783854"/>
    <n v="5158.2"/>
    <n v="5158.21"/>
    <n v="5158.21"/>
    <s v="December 2022"/>
  </r>
  <r>
    <d v="2022-12-05T00:00:00"/>
    <x v="2329"/>
    <n v="68"/>
    <x v="1"/>
    <x v="5"/>
    <x v="3"/>
    <x v="0"/>
    <n v="2432.33"/>
    <x v="0"/>
    <n v="2496.7676064256989"/>
    <n v="2675.56"/>
    <n v="2675.57"/>
    <n v="2675.56"/>
    <s v="December 2022"/>
  </r>
  <r>
    <d v="2022-12-05T00:00:00"/>
    <x v="2330"/>
    <n v="14"/>
    <x v="1"/>
    <x v="4"/>
    <x v="3"/>
    <x v="4"/>
    <n v="2889.59"/>
    <x v="2"/>
    <n v="2496.7676064256989"/>
    <n v="3178.54"/>
    <n v="3178.55"/>
    <n v="3178.55"/>
    <s v="December 2022"/>
  </r>
  <r>
    <d v="2022-12-05T00:00:00"/>
    <x v="2331"/>
    <n v="83"/>
    <x v="0"/>
    <x v="0"/>
    <x v="0"/>
    <x v="2"/>
    <n v="3718.12"/>
    <x v="0"/>
    <n v="2503.6022787783854"/>
    <n v="4089.93"/>
    <n v="4089.94"/>
    <n v="4089.93"/>
    <s v="December 2022"/>
  </r>
  <r>
    <d v="2022-12-05T00:00:00"/>
    <x v="2332"/>
    <n v="38"/>
    <x v="0"/>
    <x v="1"/>
    <x v="1"/>
    <x v="3"/>
    <n v="4650.1899999999996"/>
    <x v="1"/>
    <n v="2509.1716796874912"/>
    <n v="5115.2"/>
    <n v="5115.21"/>
    <n v="5115.21"/>
    <s v="December 2022"/>
  </r>
  <r>
    <d v="2022-12-05T00:00:00"/>
    <x v="2333"/>
    <n v="89"/>
    <x v="2"/>
    <x v="7"/>
    <x v="0"/>
    <x v="1"/>
    <n v="3587.02"/>
    <x v="0"/>
    <n v="2503.6022787783854"/>
    <n v="3945.72"/>
    <n v="3945.73"/>
    <n v="3945.72"/>
    <s v="December 2022"/>
  </r>
  <r>
    <d v="2022-12-05T00:00:00"/>
    <x v="2334"/>
    <n v="30"/>
    <x v="0"/>
    <x v="0"/>
    <x v="1"/>
    <x v="2"/>
    <n v="4606.2"/>
    <x v="1"/>
    <n v="2509.1716796874912"/>
    <n v="5066.82"/>
    <n v="5066.82"/>
    <n v="5066.82"/>
    <s v="December 2022"/>
  </r>
  <r>
    <d v="2022-12-05T00:00:00"/>
    <x v="2335"/>
    <n v="72"/>
    <x v="0"/>
    <x v="1"/>
    <x v="0"/>
    <x v="1"/>
    <n v="3472.4"/>
    <x v="0"/>
    <n v="2503.6022787783854"/>
    <n v="3819.64"/>
    <n v="3819.64"/>
    <n v="3819.64"/>
    <s v="December 2022"/>
  </r>
  <r>
    <d v="2022-12-05T00:00:00"/>
    <x v="2336"/>
    <n v="50"/>
    <x v="2"/>
    <x v="3"/>
    <x v="1"/>
    <x v="3"/>
    <n v="4943.18"/>
    <x v="1"/>
    <n v="2509.1716796874912"/>
    <n v="5437.49"/>
    <n v="5437.5"/>
    <n v="5437.5"/>
    <s v="December 2022"/>
  </r>
  <r>
    <d v="2022-12-06T00:00:00"/>
    <x v="2337"/>
    <n v="97"/>
    <x v="1"/>
    <x v="1"/>
    <x v="3"/>
    <x v="3"/>
    <n v="201.84"/>
    <x v="0"/>
    <n v="2496.7676064256989"/>
    <n v="222.02"/>
    <n v="222.03"/>
    <n v="222.02"/>
    <s v="December 2022"/>
  </r>
  <r>
    <d v="2022-12-06T00:00:00"/>
    <x v="2338"/>
    <n v="71"/>
    <x v="1"/>
    <x v="2"/>
    <x v="0"/>
    <x v="2"/>
    <n v="3406.59"/>
    <x v="0"/>
    <n v="2503.6022787783854"/>
    <n v="3747.24"/>
    <n v="3747.25"/>
    <n v="3747.25"/>
    <s v="December 2022"/>
  </r>
  <r>
    <d v="2022-12-06T00:00:00"/>
    <x v="2339"/>
    <n v="38"/>
    <x v="1"/>
    <x v="4"/>
    <x v="1"/>
    <x v="1"/>
    <n v="2338.11"/>
    <x v="1"/>
    <n v="2509.1716796874912"/>
    <n v="2571.92"/>
    <n v="2571.9300000000003"/>
    <n v="2571.92"/>
    <s v="December 2022"/>
  </r>
  <r>
    <d v="2022-12-06T00:00:00"/>
    <x v="2340"/>
    <n v="89"/>
    <x v="2"/>
    <x v="1"/>
    <x v="0"/>
    <x v="4"/>
    <n v="3888.52"/>
    <x v="0"/>
    <n v="2503.6022787783854"/>
    <n v="4277.37"/>
    <n v="4277.38"/>
    <n v="4277.37"/>
    <s v="December 2022"/>
  </r>
  <r>
    <d v="2022-12-07T00:00:00"/>
    <x v="2341"/>
    <n v="92"/>
    <x v="2"/>
    <x v="5"/>
    <x v="1"/>
    <x v="1"/>
    <n v="996.7"/>
    <x v="0"/>
    <n v="2509.1716796874912"/>
    <n v="1096.3699999999999"/>
    <n v="1096.3699999999999"/>
    <n v="1096.3699999999999"/>
    <s v="December 2022"/>
  </r>
  <r>
    <d v="2022-12-07T00:00:00"/>
    <x v="2342"/>
    <n v="20"/>
    <x v="1"/>
    <x v="7"/>
    <x v="2"/>
    <x v="5"/>
    <n v="2724.03"/>
    <x v="1"/>
    <n v="2440.2966694490838"/>
    <n v="2996.43"/>
    <n v="2996.44"/>
    <n v="2996.43"/>
    <s v="December 2022"/>
  </r>
  <r>
    <d v="2022-12-07T00:00:00"/>
    <x v="2343"/>
    <n v="36"/>
    <x v="2"/>
    <x v="6"/>
    <x v="1"/>
    <x v="4"/>
    <n v="1520.02"/>
    <x v="1"/>
    <n v="2509.1716796874912"/>
    <n v="1672.02"/>
    <n v="1672.03"/>
    <n v="1672.02"/>
    <s v="December 2022"/>
  </r>
  <r>
    <d v="2022-12-07T00:00:00"/>
    <x v="2344"/>
    <n v="68"/>
    <x v="1"/>
    <x v="2"/>
    <x v="2"/>
    <x v="3"/>
    <n v="3505.81"/>
    <x v="0"/>
    <n v="2440.2966694490838"/>
    <n v="3856.39"/>
    <n v="3856.4"/>
    <n v="3856.39"/>
    <s v="December 2022"/>
  </r>
  <r>
    <d v="2022-12-07T00:00:00"/>
    <x v="2345"/>
    <n v="75"/>
    <x v="1"/>
    <x v="4"/>
    <x v="3"/>
    <x v="5"/>
    <n v="2845.58"/>
    <x v="0"/>
    <n v="2496.7676064256989"/>
    <n v="3130.13"/>
    <n v="3130.1400000000003"/>
    <n v="3130.14"/>
    <s v="December 2022"/>
  </r>
  <r>
    <d v="2022-12-07T00:00:00"/>
    <x v="2346"/>
    <n v="19"/>
    <x v="2"/>
    <x v="4"/>
    <x v="1"/>
    <x v="4"/>
    <n v="539.14"/>
    <x v="1"/>
    <n v="2509.1716796874912"/>
    <n v="593.04999999999995"/>
    <n v="593.05999999999995"/>
    <n v="593.04999999999995"/>
    <s v="December 2022"/>
  </r>
  <r>
    <d v="2022-12-07T00:00:00"/>
    <x v="2347"/>
    <n v="56"/>
    <x v="0"/>
    <x v="0"/>
    <x v="0"/>
    <x v="4"/>
    <n v="1353.94"/>
    <x v="1"/>
    <n v="2503.6022787783854"/>
    <n v="1489.33"/>
    <n v="1489.34"/>
    <n v="1489.33"/>
    <s v="December 2022"/>
  </r>
  <r>
    <d v="2022-12-08T00:00:00"/>
    <x v="2348"/>
    <n v="49"/>
    <x v="1"/>
    <x v="0"/>
    <x v="1"/>
    <x v="4"/>
    <n v="3682.27"/>
    <x v="1"/>
    <n v="2509.1716796874912"/>
    <n v="4050.49"/>
    <n v="4050.5"/>
    <n v="4050.5"/>
    <s v="December 2022"/>
  </r>
  <r>
    <d v="2022-12-08T00:00:00"/>
    <x v="2349"/>
    <n v="70"/>
    <x v="0"/>
    <x v="0"/>
    <x v="3"/>
    <x v="3"/>
    <n v="1772.98"/>
    <x v="0"/>
    <n v="2496.7676064256989"/>
    <n v="1950.27"/>
    <n v="1950.28"/>
    <n v="1950.28"/>
    <s v="December 2022"/>
  </r>
  <r>
    <d v="2022-12-08T00:00:00"/>
    <x v="2350"/>
    <n v="87"/>
    <x v="0"/>
    <x v="1"/>
    <x v="1"/>
    <x v="2"/>
    <n v="3549.13"/>
    <x v="0"/>
    <n v="2509.1716796874912"/>
    <n v="3904.04"/>
    <n v="3904.05"/>
    <n v="3904.04"/>
    <s v="December 2022"/>
  </r>
  <r>
    <d v="2022-12-08T00:00:00"/>
    <x v="2351"/>
    <n v="58"/>
    <x v="0"/>
    <x v="1"/>
    <x v="0"/>
    <x v="2"/>
    <n v="2804.9"/>
    <x v="1"/>
    <n v="2503.6022787783854"/>
    <n v="3085.39"/>
    <n v="3085.39"/>
    <n v="3085.39"/>
    <s v="December 2022"/>
  </r>
  <r>
    <d v="2022-12-08T00:00:00"/>
    <x v="2352"/>
    <n v="84"/>
    <x v="0"/>
    <x v="2"/>
    <x v="3"/>
    <x v="4"/>
    <n v="620.96"/>
    <x v="0"/>
    <n v="2496.7676064256989"/>
    <n v="683.05"/>
    <n v="683.06"/>
    <n v="683.06"/>
    <s v="December 2022"/>
  </r>
  <r>
    <d v="2022-12-09T00:00:00"/>
    <x v="2353"/>
    <n v="58"/>
    <x v="1"/>
    <x v="1"/>
    <x v="1"/>
    <x v="0"/>
    <n v="2698.25"/>
    <x v="1"/>
    <n v="2509.1716796874912"/>
    <n v="2968.07"/>
    <n v="2968.0800000000004"/>
    <n v="2968.08"/>
    <s v="December 2022"/>
  </r>
  <r>
    <d v="2022-12-09T00:00:00"/>
    <x v="2354"/>
    <n v="9"/>
    <x v="2"/>
    <x v="5"/>
    <x v="3"/>
    <x v="3"/>
    <n v="978.14"/>
    <x v="2"/>
    <n v="2496.7676064256989"/>
    <n v="1075.95"/>
    <n v="1075.96"/>
    <n v="1075.95"/>
    <s v="December 2022"/>
  </r>
  <r>
    <d v="2022-12-09T00:00:00"/>
    <x v="2355"/>
    <n v="13"/>
    <x v="2"/>
    <x v="4"/>
    <x v="0"/>
    <x v="1"/>
    <n v="2722.11"/>
    <x v="2"/>
    <n v="2503.6022787783854"/>
    <n v="2994.32"/>
    <n v="2994.3300000000004"/>
    <n v="2994.32"/>
    <s v="December 2022"/>
  </r>
  <r>
    <d v="2022-12-09T00:00:00"/>
    <x v="2356"/>
    <n v="79"/>
    <x v="1"/>
    <x v="6"/>
    <x v="0"/>
    <x v="2"/>
    <n v="2293.46"/>
    <x v="0"/>
    <n v="2503.6022787783854"/>
    <n v="2522.8000000000002"/>
    <n v="2522.8100000000004"/>
    <n v="2522.81"/>
    <s v="December 2022"/>
  </r>
  <r>
    <d v="2022-12-09T00:00:00"/>
    <x v="2357"/>
    <n v="25"/>
    <x v="2"/>
    <x v="1"/>
    <x v="0"/>
    <x v="3"/>
    <n v="3220.96"/>
    <x v="1"/>
    <n v="2503.6022787783854"/>
    <n v="3543.05"/>
    <n v="3543.0600000000004"/>
    <n v="3543.06"/>
    <s v="December 2022"/>
  </r>
  <r>
    <d v="2022-12-09T00:00:00"/>
    <x v="2358"/>
    <n v="9"/>
    <x v="2"/>
    <x v="1"/>
    <x v="2"/>
    <x v="0"/>
    <n v="4622.21"/>
    <x v="2"/>
    <n v="2440.2966694490838"/>
    <n v="5084.43"/>
    <n v="5084.4400000000005"/>
    <n v="5084.43"/>
    <s v="December 2022"/>
  </r>
  <r>
    <d v="2022-12-09T00:00:00"/>
    <x v="2359"/>
    <n v="9"/>
    <x v="2"/>
    <x v="1"/>
    <x v="3"/>
    <x v="0"/>
    <n v="4644.43"/>
    <x v="2"/>
    <n v="2496.7676064256989"/>
    <n v="5108.87"/>
    <n v="5108.88"/>
    <n v="5108.87"/>
    <s v="December 2022"/>
  </r>
  <r>
    <d v="2022-12-10T00:00:00"/>
    <x v="2360"/>
    <n v="26"/>
    <x v="1"/>
    <x v="5"/>
    <x v="3"/>
    <x v="1"/>
    <n v="3095.73"/>
    <x v="1"/>
    <n v="2496.7676064256989"/>
    <n v="3405.3"/>
    <n v="3405.3100000000004"/>
    <n v="3405.3"/>
    <s v="December 2022"/>
  </r>
  <r>
    <d v="2022-12-10T00:00:00"/>
    <x v="2361"/>
    <n v="89"/>
    <x v="1"/>
    <x v="4"/>
    <x v="3"/>
    <x v="3"/>
    <n v="2767.1"/>
    <x v="0"/>
    <n v="2496.7676064256989"/>
    <n v="3043.81"/>
    <n v="3043.81"/>
    <n v="3043.81"/>
    <s v="December 2022"/>
  </r>
  <r>
    <d v="2022-12-10T00:00:00"/>
    <x v="2362"/>
    <n v="16"/>
    <x v="0"/>
    <x v="1"/>
    <x v="0"/>
    <x v="4"/>
    <n v="4614.0600000000004"/>
    <x v="1"/>
    <n v="2503.6022787783854"/>
    <n v="5075.46"/>
    <n v="5075.47"/>
    <n v="5075.47"/>
    <s v="December 2022"/>
  </r>
  <r>
    <d v="2022-12-10T00:00:00"/>
    <x v="2363"/>
    <n v="1"/>
    <x v="1"/>
    <x v="4"/>
    <x v="2"/>
    <x v="1"/>
    <n v="1789.71"/>
    <x v="2"/>
    <n v="2440.2966694490838"/>
    <n v="1968.68"/>
    <n v="1968.69"/>
    <n v="1968.68"/>
    <s v="December 2022"/>
  </r>
  <r>
    <d v="2022-12-10T00:00:00"/>
    <x v="2364"/>
    <n v="46"/>
    <x v="2"/>
    <x v="0"/>
    <x v="1"/>
    <x v="1"/>
    <n v="839.14"/>
    <x v="1"/>
    <n v="2509.1716796874912"/>
    <n v="923.05"/>
    <n v="923.06"/>
    <n v="923.05"/>
    <s v="December 2022"/>
  </r>
  <r>
    <d v="2022-12-10T00:00:00"/>
    <x v="2365"/>
    <n v="20"/>
    <x v="0"/>
    <x v="7"/>
    <x v="2"/>
    <x v="4"/>
    <n v="3786.28"/>
    <x v="1"/>
    <n v="2440.2966694490838"/>
    <n v="4164.8999999999996"/>
    <n v="4164.91"/>
    <n v="4164.91"/>
    <s v="December 2022"/>
  </r>
  <r>
    <d v="2022-12-10T00:00:00"/>
    <x v="2366"/>
    <n v="88"/>
    <x v="0"/>
    <x v="0"/>
    <x v="2"/>
    <x v="2"/>
    <n v="918.93"/>
    <x v="0"/>
    <n v="2440.2966694490838"/>
    <n v="1010.82"/>
    <n v="1010.83"/>
    <n v="1010.82"/>
    <s v="December 2022"/>
  </r>
  <r>
    <d v="2022-12-11T00:00:00"/>
    <x v="2367"/>
    <n v="3"/>
    <x v="2"/>
    <x v="2"/>
    <x v="1"/>
    <x v="3"/>
    <n v="2988.69"/>
    <x v="2"/>
    <n v="2509.1716796874912"/>
    <n v="3287.55"/>
    <n v="3287.5600000000004"/>
    <n v="3287.56"/>
    <s v="December 2022"/>
  </r>
  <r>
    <d v="2022-12-11T00:00:00"/>
    <x v="2368"/>
    <n v="78"/>
    <x v="1"/>
    <x v="5"/>
    <x v="3"/>
    <x v="1"/>
    <n v="1588.42"/>
    <x v="0"/>
    <n v="2496.7676064256989"/>
    <n v="1747.26"/>
    <n v="1747.27"/>
    <n v="1747.26"/>
    <s v="December 2022"/>
  </r>
  <r>
    <d v="2022-12-11T00:00:00"/>
    <x v="2369"/>
    <n v="75"/>
    <x v="1"/>
    <x v="0"/>
    <x v="2"/>
    <x v="1"/>
    <n v="4487.63"/>
    <x v="0"/>
    <n v="2440.2966694490838"/>
    <n v="4936.3900000000003"/>
    <n v="4936.4000000000005"/>
    <n v="4936.3900000000003"/>
    <s v="December 2022"/>
  </r>
  <r>
    <d v="2022-12-11T00:00:00"/>
    <x v="2370"/>
    <n v="46"/>
    <x v="2"/>
    <x v="3"/>
    <x v="2"/>
    <x v="2"/>
    <n v="608.57000000000005"/>
    <x v="1"/>
    <n v="2440.2966694490838"/>
    <n v="669.42"/>
    <n v="669.43"/>
    <n v="669.43"/>
    <s v="December 2022"/>
  </r>
  <r>
    <d v="2022-12-12T00:00:00"/>
    <x v="2371"/>
    <n v="43"/>
    <x v="1"/>
    <x v="5"/>
    <x v="0"/>
    <x v="1"/>
    <n v="3378.26"/>
    <x v="1"/>
    <n v="2503.6022787783854"/>
    <n v="3716.08"/>
    <n v="3716.09"/>
    <n v="3716.09"/>
    <s v="December 2022"/>
  </r>
  <r>
    <d v="2022-12-12T00:00:00"/>
    <x v="2372"/>
    <n v="97"/>
    <x v="2"/>
    <x v="0"/>
    <x v="2"/>
    <x v="4"/>
    <n v="34.28"/>
    <x v="0"/>
    <n v="2440.2966694490838"/>
    <n v="37.700000000000003"/>
    <n v="37.71"/>
    <n v="37.71"/>
    <s v="December 2022"/>
  </r>
  <r>
    <d v="2022-12-12T00:00:00"/>
    <x v="2373"/>
    <n v="66"/>
    <x v="2"/>
    <x v="7"/>
    <x v="0"/>
    <x v="1"/>
    <n v="111.86"/>
    <x v="0"/>
    <n v="2503.6022787783854"/>
    <n v="123.04"/>
    <n v="123.05000000000001"/>
    <n v="123.05"/>
    <s v="December 2022"/>
  </r>
  <r>
    <d v="2022-12-12T00:00:00"/>
    <x v="2374"/>
    <n v="70"/>
    <x v="2"/>
    <x v="0"/>
    <x v="1"/>
    <x v="3"/>
    <n v="1843.04"/>
    <x v="0"/>
    <n v="2509.1716796874912"/>
    <n v="2027.34"/>
    <n v="2027.35"/>
    <n v="2027.34"/>
    <s v="December 2022"/>
  </r>
  <r>
    <d v="2022-12-13T00:00:00"/>
    <x v="2375"/>
    <n v="54"/>
    <x v="1"/>
    <x v="2"/>
    <x v="3"/>
    <x v="4"/>
    <n v="659.36"/>
    <x v="1"/>
    <n v="2496.7676064256989"/>
    <n v="725.29"/>
    <n v="725.3"/>
    <n v="725.3"/>
    <s v="December 2022"/>
  </r>
  <r>
    <d v="2022-12-13T00:00:00"/>
    <x v="2376"/>
    <n v="62"/>
    <x v="2"/>
    <x v="2"/>
    <x v="3"/>
    <x v="1"/>
    <n v="2253.64"/>
    <x v="1"/>
    <n v="2496.7676064256989"/>
    <n v="2479"/>
    <n v="2479.0100000000002"/>
    <n v="2479"/>
    <s v="December 2022"/>
  </r>
  <r>
    <d v="2022-12-13T00:00:00"/>
    <x v="2377"/>
    <n v="32"/>
    <x v="2"/>
    <x v="0"/>
    <x v="0"/>
    <x v="1"/>
    <n v="2723.84"/>
    <x v="1"/>
    <n v="2503.6022787783854"/>
    <n v="2996.22"/>
    <n v="2996.23"/>
    <n v="2996.22"/>
    <s v="December 2022"/>
  </r>
  <r>
    <d v="2022-12-13T00:00:00"/>
    <x v="2378"/>
    <n v="74"/>
    <x v="1"/>
    <x v="3"/>
    <x v="0"/>
    <x v="1"/>
    <n v="4869.62"/>
    <x v="0"/>
    <n v="2503.6022787783854"/>
    <n v="5356.58"/>
    <n v="5356.59"/>
    <n v="5356.58"/>
    <s v="December 2022"/>
  </r>
  <r>
    <d v="2022-12-13T00:00:00"/>
    <x v="2379"/>
    <n v="79"/>
    <x v="2"/>
    <x v="4"/>
    <x v="2"/>
    <x v="1"/>
    <n v="789.14"/>
    <x v="0"/>
    <n v="2440.2966694490838"/>
    <n v="868.05"/>
    <n v="868.06"/>
    <n v="868.05"/>
    <s v="December 2022"/>
  </r>
  <r>
    <d v="2022-12-13T00:00:00"/>
    <x v="2380"/>
    <n v="19"/>
    <x v="0"/>
    <x v="4"/>
    <x v="3"/>
    <x v="3"/>
    <n v="4354.51"/>
    <x v="1"/>
    <n v="2496.7676064256989"/>
    <n v="4789.96"/>
    <n v="4789.97"/>
    <n v="4789.96"/>
    <s v="December 2022"/>
  </r>
  <r>
    <d v="2022-12-13T00:00:00"/>
    <x v="2381"/>
    <n v="68"/>
    <x v="1"/>
    <x v="4"/>
    <x v="1"/>
    <x v="2"/>
    <n v="3261.93"/>
    <x v="0"/>
    <n v="2509.1716796874912"/>
    <n v="3588.12"/>
    <n v="3588.13"/>
    <n v="3588.12"/>
    <s v="December 2022"/>
  </r>
  <r>
    <d v="2022-12-13T00:00:00"/>
    <x v="2382"/>
    <n v="59"/>
    <x v="0"/>
    <x v="1"/>
    <x v="2"/>
    <x v="1"/>
    <n v="1732.78"/>
    <x v="1"/>
    <n v="2440.2966694490838"/>
    <n v="1906.05"/>
    <n v="1906.06"/>
    <n v="1906.06"/>
    <s v="December 2022"/>
  </r>
  <r>
    <d v="2022-12-13T00:00:00"/>
    <x v="2383"/>
    <n v="38"/>
    <x v="0"/>
    <x v="5"/>
    <x v="3"/>
    <x v="2"/>
    <n v="3581.83"/>
    <x v="1"/>
    <n v="2496.7676064256989"/>
    <n v="3940.01"/>
    <n v="3940.0200000000004"/>
    <n v="3940.01"/>
    <s v="December 2022"/>
  </r>
  <r>
    <d v="2022-12-13T00:00:00"/>
    <x v="2384"/>
    <n v="63"/>
    <x v="0"/>
    <x v="2"/>
    <x v="0"/>
    <x v="5"/>
    <n v="1755.68"/>
    <x v="1"/>
    <n v="2503.6022787783854"/>
    <n v="1931.24"/>
    <n v="1931.25"/>
    <n v="1931.25"/>
    <s v="December 2022"/>
  </r>
  <r>
    <d v="2022-12-14T00:00:00"/>
    <x v="2385"/>
    <n v="33"/>
    <x v="1"/>
    <x v="4"/>
    <x v="1"/>
    <x v="1"/>
    <n v="4253.46"/>
    <x v="1"/>
    <n v="2509.1716796874912"/>
    <n v="4678.8"/>
    <n v="4678.8100000000004"/>
    <n v="4678.8100000000004"/>
    <s v="December 2022"/>
  </r>
  <r>
    <d v="2022-12-14T00:00:00"/>
    <x v="2386"/>
    <n v="89"/>
    <x v="2"/>
    <x v="0"/>
    <x v="1"/>
    <x v="1"/>
    <n v="3479.79"/>
    <x v="0"/>
    <n v="2509.1716796874912"/>
    <n v="3827.76"/>
    <n v="3827.7700000000004"/>
    <n v="3827.77"/>
    <s v="December 2022"/>
  </r>
  <r>
    <d v="2022-12-14T00:00:00"/>
    <x v="2387"/>
    <n v="75"/>
    <x v="0"/>
    <x v="4"/>
    <x v="3"/>
    <x v="4"/>
    <n v="4379.07"/>
    <x v="0"/>
    <n v="2496.7676064256989"/>
    <n v="4816.97"/>
    <n v="4816.9800000000005"/>
    <n v="4816.9799999999996"/>
    <s v="December 2022"/>
  </r>
  <r>
    <d v="2022-12-14T00:00:00"/>
    <x v="2388"/>
    <n v="99"/>
    <x v="0"/>
    <x v="0"/>
    <x v="1"/>
    <x v="3"/>
    <n v="3416.38"/>
    <x v="0"/>
    <n v="2509.1716796874912"/>
    <n v="3758.01"/>
    <n v="3758.0200000000004"/>
    <n v="3758.02"/>
    <s v="December 2022"/>
  </r>
  <r>
    <d v="2022-12-14T00:00:00"/>
    <x v="2389"/>
    <n v="8"/>
    <x v="1"/>
    <x v="5"/>
    <x v="0"/>
    <x v="0"/>
    <n v="267.66000000000003"/>
    <x v="2"/>
    <n v="2503.6022787783854"/>
    <n v="294.42"/>
    <n v="294.43"/>
    <n v="294.43"/>
    <s v="December 2022"/>
  </r>
  <r>
    <d v="2022-12-14T00:00:00"/>
    <x v="2390"/>
    <n v="73"/>
    <x v="1"/>
    <x v="7"/>
    <x v="3"/>
    <x v="4"/>
    <n v="925.84"/>
    <x v="0"/>
    <n v="2496.7676064256989"/>
    <n v="1018.42"/>
    <n v="1018.43"/>
    <n v="1018.42"/>
    <s v="December 2022"/>
  </r>
  <r>
    <d v="2022-12-14T00:00:00"/>
    <x v="2391"/>
    <n v="26"/>
    <x v="2"/>
    <x v="1"/>
    <x v="3"/>
    <x v="1"/>
    <n v="4671.0600000000004"/>
    <x v="1"/>
    <n v="2496.7676064256989"/>
    <n v="5138.16"/>
    <n v="5138.17"/>
    <n v="5138.17"/>
    <s v="December 2022"/>
  </r>
  <r>
    <d v="2022-12-14T00:00:00"/>
    <x v="2392"/>
    <n v="1"/>
    <x v="2"/>
    <x v="5"/>
    <x v="2"/>
    <x v="4"/>
    <n v="4004.32"/>
    <x v="2"/>
    <n v="2440.2966694490838"/>
    <n v="4404.75"/>
    <n v="4404.76"/>
    <n v="4404.75"/>
    <s v="December 2022"/>
  </r>
  <r>
    <d v="2022-12-14T00:00:00"/>
    <x v="2393"/>
    <n v="3"/>
    <x v="0"/>
    <x v="2"/>
    <x v="3"/>
    <x v="4"/>
    <n v="1593.4"/>
    <x v="2"/>
    <n v="2496.7676064256989"/>
    <n v="1752.74"/>
    <n v="1752.74"/>
    <n v="1752.74"/>
    <s v="December 2022"/>
  </r>
  <r>
    <d v="2022-12-15T00:00:00"/>
    <x v="2394"/>
    <n v="35"/>
    <x v="2"/>
    <x v="1"/>
    <x v="2"/>
    <x v="1"/>
    <n v="4119.38"/>
    <x v="1"/>
    <n v="2440.2966694490838"/>
    <n v="4531.3100000000004"/>
    <n v="4531.3200000000006"/>
    <n v="4531.32"/>
    <s v="December 2022"/>
  </r>
  <r>
    <d v="2022-12-15T00:00:00"/>
    <x v="2395"/>
    <n v="94"/>
    <x v="2"/>
    <x v="2"/>
    <x v="3"/>
    <x v="2"/>
    <n v="1523.53"/>
    <x v="0"/>
    <n v="2496.7676064256989"/>
    <n v="1675.88"/>
    <n v="1675.89"/>
    <n v="1675.88"/>
    <s v="December 2022"/>
  </r>
  <r>
    <d v="2022-12-15T00:00:00"/>
    <x v="2396"/>
    <n v="90"/>
    <x v="0"/>
    <x v="2"/>
    <x v="3"/>
    <x v="4"/>
    <n v="3265.73"/>
    <x v="0"/>
    <n v="2496.7676064256989"/>
    <n v="3592.3"/>
    <n v="3592.3100000000004"/>
    <n v="3592.3"/>
    <s v="December 2022"/>
  </r>
  <r>
    <d v="2022-12-15T00:00:00"/>
    <x v="2397"/>
    <n v="16"/>
    <x v="2"/>
    <x v="2"/>
    <x v="2"/>
    <x v="1"/>
    <n v="568.9"/>
    <x v="1"/>
    <n v="2440.2966694490838"/>
    <n v="625.79"/>
    <n v="625.79"/>
    <n v="625.79"/>
    <s v="December 2022"/>
  </r>
  <r>
    <d v="2022-12-15T00:00:00"/>
    <x v="2398"/>
    <n v="30"/>
    <x v="0"/>
    <x v="2"/>
    <x v="0"/>
    <x v="5"/>
    <n v="2345.2199999999998"/>
    <x v="1"/>
    <n v="2503.6022787783854"/>
    <n v="2579.7399999999998"/>
    <n v="2579.75"/>
    <n v="2579.7399999999998"/>
    <s v="December 2022"/>
  </r>
  <r>
    <d v="2022-12-15T00:00:00"/>
    <x v="2399"/>
    <n v="60"/>
    <x v="1"/>
    <x v="0"/>
    <x v="0"/>
    <x v="1"/>
    <n v="1098.71"/>
    <x v="1"/>
    <n v="2503.6022787783854"/>
    <n v="1208.58"/>
    <n v="1208.5899999999999"/>
    <n v="1208.58"/>
    <s v="December 2022"/>
  </r>
  <r>
    <d v="2022-12-16T00:00:00"/>
    <x v="2400"/>
    <n v="57"/>
    <x v="1"/>
    <x v="1"/>
    <x v="3"/>
    <x v="3"/>
    <n v="185.99"/>
    <x v="1"/>
    <n v="2496.7676064256989"/>
    <n v="204.58"/>
    <n v="204.59"/>
    <n v="204.59"/>
    <s v="December 2022"/>
  </r>
  <r>
    <d v="2022-12-16T00:00:00"/>
    <x v="2401"/>
    <n v="88"/>
    <x v="2"/>
    <x v="4"/>
    <x v="3"/>
    <x v="1"/>
    <n v="3325.62"/>
    <x v="0"/>
    <n v="2496.7676064256989"/>
    <n v="3658.18"/>
    <n v="3658.19"/>
    <n v="3658.18"/>
    <s v="December 2022"/>
  </r>
  <r>
    <d v="2022-12-16T00:00:00"/>
    <x v="2402"/>
    <n v="31"/>
    <x v="1"/>
    <x v="1"/>
    <x v="1"/>
    <x v="3"/>
    <n v="3231"/>
    <x v="1"/>
    <n v="2509.1716796874912"/>
    <n v="3554.1"/>
    <n v="3554.1"/>
    <n v="3554.1"/>
    <s v="December 2022"/>
  </r>
  <r>
    <d v="2022-12-16T00:00:00"/>
    <x v="2403"/>
    <n v="89"/>
    <x v="1"/>
    <x v="6"/>
    <x v="3"/>
    <x v="1"/>
    <n v="1350.62"/>
    <x v="0"/>
    <n v="2496.7676064256989"/>
    <n v="1485.68"/>
    <n v="1485.69"/>
    <n v="1485.68"/>
    <s v="December 2022"/>
  </r>
  <r>
    <d v="2022-12-16T00:00:00"/>
    <x v="2404"/>
    <n v="25"/>
    <x v="0"/>
    <x v="4"/>
    <x v="1"/>
    <x v="5"/>
    <n v="1131.47"/>
    <x v="1"/>
    <n v="2509.1716796874912"/>
    <n v="1244.6099999999999"/>
    <n v="1244.6199999999999"/>
    <n v="1244.6199999999999"/>
    <s v="December 2022"/>
  </r>
  <r>
    <d v="2022-12-16T00:00:00"/>
    <x v="2405"/>
    <n v="16"/>
    <x v="1"/>
    <x v="5"/>
    <x v="1"/>
    <x v="3"/>
    <n v="3125.42"/>
    <x v="1"/>
    <n v="2509.1716796874912"/>
    <n v="3437.96"/>
    <n v="3437.9700000000003"/>
    <n v="3437.96"/>
    <s v="December 2022"/>
  </r>
  <r>
    <d v="2022-12-16T00:00:00"/>
    <x v="2406"/>
    <n v="55"/>
    <x v="0"/>
    <x v="6"/>
    <x v="2"/>
    <x v="4"/>
    <n v="671.27"/>
    <x v="1"/>
    <n v="2440.2966694490838"/>
    <n v="738.39"/>
    <n v="738.4"/>
    <n v="738.4"/>
    <s v="December 2022"/>
  </r>
  <r>
    <d v="2022-12-17T00:00:00"/>
    <x v="2407"/>
    <n v="42"/>
    <x v="1"/>
    <x v="1"/>
    <x v="3"/>
    <x v="1"/>
    <n v="4152.5200000000004"/>
    <x v="1"/>
    <n v="2496.7676064256989"/>
    <n v="4567.7700000000004"/>
    <n v="4567.7800000000007"/>
    <n v="4567.7700000000004"/>
    <s v="December 2022"/>
  </r>
  <r>
    <d v="2022-12-17T00:00:00"/>
    <x v="2408"/>
    <n v="96"/>
    <x v="2"/>
    <x v="6"/>
    <x v="3"/>
    <x v="1"/>
    <n v="344.19"/>
    <x v="0"/>
    <n v="2496.7676064256989"/>
    <n v="378.6"/>
    <n v="378.61"/>
    <n v="378.61"/>
    <s v="December 2022"/>
  </r>
  <r>
    <d v="2022-12-17T00:00:00"/>
    <x v="2409"/>
    <n v="44"/>
    <x v="2"/>
    <x v="7"/>
    <x v="1"/>
    <x v="3"/>
    <n v="1634.56"/>
    <x v="1"/>
    <n v="2509.1716796874912"/>
    <n v="1798.01"/>
    <n v="1798.02"/>
    <n v="1798.02"/>
    <s v="December 2022"/>
  </r>
  <r>
    <d v="2022-12-17T00:00:00"/>
    <x v="2410"/>
    <n v="41"/>
    <x v="0"/>
    <x v="1"/>
    <x v="3"/>
    <x v="4"/>
    <n v="3046.09"/>
    <x v="1"/>
    <n v="2496.7676064256989"/>
    <n v="3350.69"/>
    <n v="3350.7000000000003"/>
    <n v="3350.7"/>
    <s v="December 2022"/>
  </r>
  <r>
    <d v="2022-12-17T00:00:00"/>
    <x v="2411"/>
    <n v="58"/>
    <x v="0"/>
    <x v="1"/>
    <x v="1"/>
    <x v="1"/>
    <n v="3796.36"/>
    <x v="1"/>
    <n v="2509.1716796874912"/>
    <n v="4175.99"/>
    <n v="4176"/>
    <n v="4176"/>
    <s v="December 2022"/>
  </r>
  <r>
    <d v="2022-12-17T00:00:00"/>
    <x v="2412"/>
    <n v="59"/>
    <x v="1"/>
    <x v="4"/>
    <x v="2"/>
    <x v="4"/>
    <n v="563.59"/>
    <x v="1"/>
    <n v="2440.2966694490838"/>
    <n v="619.94000000000005"/>
    <n v="619.95000000000005"/>
    <n v="619.95000000000005"/>
    <s v="December 2022"/>
  </r>
  <r>
    <d v="2022-12-18T00:00:00"/>
    <x v="2413"/>
    <n v="15"/>
    <x v="0"/>
    <x v="1"/>
    <x v="3"/>
    <x v="1"/>
    <n v="974.15"/>
    <x v="2"/>
    <n v="2496.7676064256989"/>
    <n v="1071.56"/>
    <n v="1071.57"/>
    <n v="1071.57"/>
    <s v="December 2022"/>
  </r>
  <r>
    <d v="2022-12-18T00:00:00"/>
    <x v="2414"/>
    <n v="65"/>
    <x v="2"/>
    <x v="4"/>
    <x v="0"/>
    <x v="1"/>
    <n v="1051.27"/>
    <x v="0"/>
    <n v="2503.6022787783854"/>
    <n v="1156.3900000000001"/>
    <n v="1156.4000000000001"/>
    <n v="1156.4000000000001"/>
    <s v="December 2022"/>
  </r>
  <r>
    <d v="2022-12-18T00:00:00"/>
    <x v="2415"/>
    <n v="82"/>
    <x v="0"/>
    <x v="3"/>
    <x v="3"/>
    <x v="1"/>
    <n v="1256.52"/>
    <x v="0"/>
    <n v="2496.7676064256989"/>
    <n v="1382.17"/>
    <n v="1382.18"/>
    <n v="1382.17"/>
    <s v="December 2022"/>
  </r>
  <r>
    <d v="2022-12-18T00:00:00"/>
    <x v="2416"/>
    <n v="72"/>
    <x v="1"/>
    <x v="5"/>
    <x v="3"/>
    <x v="2"/>
    <n v="3105.9"/>
    <x v="0"/>
    <n v="2496.7676064256989"/>
    <n v="3416.49"/>
    <n v="3416.49"/>
    <n v="3416.49"/>
    <s v="December 2022"/>
  </r>
  <r>
    <d v="2022-12-19T00:00:00"/>
    <x v="2417"/>
    <n v="18"/>
    <x v="0"/>
    <x v="4"/>
    <x v="1"/>
    <x v="1"/>
    <n v="1505.27"/>
    <x v="1"/>
    <n v="2509.1716796874912"/>
    <n v="1655.79"/>
    <n v="1655.8"/>
    <n v="1655.8"/>
    <s v="December 2022"/>
  </r>
  <r>
    <d v="2022-12-19T00:00:00"/>
    <x v="2418"/>
    <n v="56"/>
    <x v="1"/>
    <x v="1"/>
    <x v="3"/>
    <x v="3"/>
    <n v="1714.18"/>
    <x v="1"/>
    <n v="2496.7676064256989"/>
    <n v="1885.59"/>
    <n v="1885.6"/>
    <n v="1885.6"/>
    <s v="December 2022"/>
  </r>
  <r>
    <d v="2022-12-19T00:00:00"/>
    <x v="2419"/>
    <n v="13"/>
    <x v="1"/>
    <x v="7"/>
    <x v="3"/>
    <x v="0"/>
    <n v="2527.23"/>
    <x v="2"/>
    <n v="2496.7676064256989"/>
    <n v="2779.95"/>
    <n v="2779.96"/>
    <n v="2779.95"/>
    <s v="December 2022"/>
  </r>
  <r>
    <d v="2022-12-19T00:00:00"/>
    <x v="2420"/>
    <n v="14"/>
    <x v="0"/>
    <x v="4"/>
    <x v="2"/>
    <x v="1"/>
    <n v="3775.06"/>
    <x v="2"/>
    <n v="2440.2966694490838"/>
    <n v="4152.5600000000004"/>
    <n v="4152.5700000000006"/>
    <n v="4152.57"/>
    <s v="December 2022"/>
  </r>
  <r>
    <d v="2022-12-19T00:00:00"/>
    <x v="2421"/>
    <n v="53"/>
    <x v="1"/>
    <x v="5"/>
    <x v="1"/>
    <x v="1"/>
    <n v="2620.98"/>
    <x v="1"/>
    <n v="2509.1716796874912"/>
    <n v="2883.07"/>
    <n v="2883.0800000000004"/>
    <n v="2883.08"/>
    <s v="December 2022"/>
  </r>
  <r>
    <d v="2022-12-19T00:00:00"/>
    <x v="2422"/>
    <n v="97"/>
    <x v="1"/>
    <x v="3"/>
    <x v="3"/>
    <x v="3"/>
    <n v="1211.92"/>
    <x v="0"/>
    <n v="2496.7676064256989"/>
    <n v="1333.11"/>
    <n v="1333.12"/>
    <n v="1333.11"/>
    <s v="December 2022"/>
  </r>
  <r>
    <d v="2022-12-19T00:00:00"/>
    <x v="2423"/>
    <n v="25"/>
    <x v="2"/>
    <x v="1"/>
    <x v="1"/>
    <x v="4"/>
    <n v="4700.71"/>
    <x v="1"/>
    <n v="2509.1716796874912"/>
    <n v="5170.78"/>
    <n v="5170.79"/>
    <n v="5170.78"/>
    <s v="December 2022"/>
  </r>
  <r>
    <d v="2022-12-20T00:00:00"/>
    <x v="2424"/>
    <n v="24"/>
    <x v="2"/>
    <x v="6"/>
    <x v="1"/>
    <x v="4"/>
    <n v="4901.5"/>
    <x v="1"/>
    <n v="2509.1716796874912"/>
    <n v="5391.65"/>
    <n v="5391.65"/>
    <n v="5391.65"/>
    <s v="December 2022"/>
  </r>
  <r>
    <d v="2022-12-20T00:00:00"/>
    <x v="2425"/>
    <n v="47"/>
    <x v="2"/>
    <x v="5"/>
    <x v="1"/>
    <x v="4"/>
    <n v="1697.88"/>
    <x v="1"/>
    <n v="2509.1716796874912"/>
    <n v="1867.66"/>
    <n v="1867.67"/>
    <n v="1867.67"/>
    <s v="December 2022"/>
  </r>
  <r>
    <d v="2022-12-20T00:00:00"/>
    <x v="2426"/>
    <n v="95"/>
    <x v="2"/>
    <x v="0"/>
    <x v="0"/>
    <x v="3"/>
    <n v="3474.98"/>
    <x v="0"/>
    <n v="2503.6022787783854"/>
    <n v="3822.47"/>
    <n v="3822.48"/>
    <n v="3822.48"/>
    <s v="December 2022"/>
  </r>
  <r>
    <d v="2022-12-20T00:00:00"/>
    <x v="2427"/>
    <n v="96"/>
    <x v="1"/>
    <x v="2"/>
    <x v="3"/>
    <x v="4"/>
    <n v="2228.48"/>
    <x v="0"/>
    <n v="2496.7676064256989"/>
    <n v="2451.3200000000002"/>
    <n v="2451.3300000000004"/>
    <n v="2451.33"/>
    <s v="December 2022"/>
  </r>
  <r>
    <d v="2022-12-20T00:00:00"/>
    <x v="2428"/>
    <n v="52"/>
    <x v="0"/>
    <x v="3"/>
    <x v="2"/>
    <x v="3"/>
    <n v="4504.43"/>
    <x v="1"/>
    <n v="2440.2966694490838"/>
    <n v="4954.87"/>
    <n v="4954.88"/>
    <n v="4954.87"/>
    <s v="December 2022"/>
  </r>
  <r>
    <d v="2022-12-21T00:00:00"/>
    <x v="2429"/>
    <n v="34"/>
    <x v="0"/>
    <x v="7"/>
    <x v="2"/>
    <x v="2"/>
    <n v="4191.6000000000004"/>
    <x v="1"/>
    <n v="2440.2966694490838"/>
    <n v="4610.76"/>
    <n v="4610.76"/>
    <n v="4610.76"/>
    <s v="December 2022"/>
  </r>
  <r>
    <d v="2022-12-21T00:00:00"/>
    <x v="2430"/>
    <n v="23"/>
    <x v="2"/>
    <x v="1"/>
    <x v="0"/>
    <x v="4"/>
    <n v="4472.63"/>
    <x v="1"/>
    <n v="2503.6022787783854"/>
    <n v="4919.8900000000003"/>
    <n v="4919.9000000000005"/>
    <n v="4919.8900000000003"/>
    <s v="December 2022"/>
  </r>
  <r>
    <d v="2022-12-21T00:00:00"/>
    <x v="2431"/>
    <n v="69"/>
    <x v="0"/>
    <x v="4"/>
    <x v="3"/>
    <x v="2"/>
    <n v="4893.17"/>
    <x v="0"/>
    <n v="2496.7676064256989"/>
    <n v="5382.48"/>
    <n v="5382.49"/>
    <n v="5382.49"/>
    <s v="December 2022"/>
  </r>
  <r>
    <d v="2022-12-21T00:00:00"/>
    <x v="2432"/>
    <n v="3"/>
    <x v="1"/>
    <x v="5"/>
    <x v="2"/>
    <x v="5"/>
    <n v="1875.38"/>
    <x v="2"/>
    <n v="2440.2966694490838"/>
    <n v="2062.91"/>
    <n v="2062.92"/>
    <n v="2062.92"/>
    <s v="December 2022"/>
  </r>
  <r>
    <d v="2022-12-21T00:00:00"/>
    <x v="2433"/>
    <n v="91"/>
    <x v="1"/>
    <x v="7"/>
    <x v="2"/>
    <x v="1"/>
    <n v="3580.06"/>
    <x v="0"/>
    <n v="2440.2966694490838"/>
    <n v="3938.06"/>
    <n v="3938.07"/>
    <n v="3938.07"/>
    <s v="December 2022"/>
  </r>
  <r>
    <d v="2022-12-21T00:00:00"/>
    <x v="2434"/>
    <n v="49"/>
    <x v="2"/>
    <x v="7"/>
    <x v="3"/>
    <x v="3"/>
    <n v="2116.96"/>
    <x v="1"/>
    <n v="2496.7676064256989"/>
    <n v="2328.65"/>
    <n v="2328.6600000000003"/>
    <n v="2328.66"/>
    <s v="December 2022"/>
  </r>
  <r>
    <d v="2022-12-22T00:00:00"/>
    <x v="2435"/>
    <n v="40"/>
    <x v="0"/>
    <x v="1"/>
    <x v="0"/>
    <x v="1"/>
    <n v="1654.74"/>
    <x v="1"/>
    <n v="2503.6022787783854"/>
    <n v="1820.21"/>
    <n v="1820.22"/>
    <n v="1820.21"/>
    <s v="December 2022"/>
  </r>
  <r>
    <d v="2022-12-22T00:00:00"/>
    <x v="2436"/>
    <n v="69"/>
    <x v="2"/>
    <x v="0"/>
    <x v="3"/>
    <x v="2"/>
    <n v="1745.71"/>
    <x v="0"/>
    <n v="2496.7676064256989"/>
    <n v="1920.28"/>
    <n v="1920.29"/>
    <n v="1920.28"/>
    <s v="December 2022"/>
  </r>
  <r>
    <d v="2022-12-22T00:00:00"/>
    <x v="2437"/>
    <n v="5"/>
    <x v="0"/>
    <x v="6"/>
    <x v="2"/>
    <x v="2"/>
    <n v="3986.02"/>
    <x v="2"/>
    <n v="2440.2966694490838"/>
    <n v="4384.62"/>
    <n v="4384.63"/>
    <n v="4384.62"/>
    <s v="December 2022"/>
  </r>
  <r>
    <d v="2022-12-22T00:00:00"/>
    <x v="2438"/>
    <n v="94"/>
    <x v="0"/>
    <x v="2"/>
    <x v="3"/>
    <x v="4"/>
    <n v="1885.83"/>
    <x v="0"/>
    <n v="2496.7676064256989"/>
    <n v="2074.41"/>
    <n v="2074.42"/>
    <n v="2074.41"/>
    <s v="December 2022"/>
  </r>
  <r>
    <d v="2022-12-22T00:00:00"/>
    <x v="2439"/>
    <n v="65"/>
    <x v="0"/>
    <x v="0"/>
    <x v="0"/>
    <x v="4"/>
    <n v="1106.2"/>
    <x v="0"/>
    <n v="2503.6022787783854"/>
    <n v="1216.82"/>
    <n v="1216.82"/>
    <n v="1216.82"/>
    <s v="December 2022"/>
  </r>
  <r>
    <d v="2022-12-22T00:00:00"/>
    <x v="2440"/>
    <n v="71"/>
    <x v="2"/>
    <x v="5"/>
    <x v="2"/>
    <x v="4"/>
    <n v="3841.96"/>
    <x v="0"/>
    <n v="2440.2966694490838"/>
    <n v="4226.1499999999996"/>
    <n v="4226.16"/>
    <n v="4226.16"/>
    <s v="December 2022"/>
  </r>
  <r>
    <d v="2022-12-22T00:00:00"/>
    <x v="2441"/>
    <n v="96"/>
    <x v="2"/>
    <x v="3"/>
    <x v="2"/>
    <x v="4"/>
    <n v="1025.98"/>
    <x v="0"/>
    <n v="2440.2966694490838"/>
    <n v="1128.57"/>
    <n v="1128.58"/>
    <n v="1128.58"/>
    <s v="December 2022"/>
  </r>
  <r>
    <d v="2022-12-22T00:00:00"/>
    <x v="2442"/>
    <n v="18"/>
    <x v="0"/>
    <x v="3"/>
    <x v="1"/>
    <x v="0"/>
    <n v="2149.77"/>
    <x v="1"/>
    <n v="2509.1716796874912"/>
    <n v="2364.7399999999998"/>
    <n v="2364.75"/>
    <n v="2364.75"/>
    <s v="December 2022"/>
  </r>
  <r>
    <d v="2022-12-23T00:00:00"/>
    <x v="2443"/>
    <n v="77"/>
    <x v="1"/>
    <x v="4"/>
    <x v="2"/>
    <x v="0"/>
    <n v="2865.62"/>
    <x v="0"/>
    <n v="2440.2966694490838"/>
    <n v="3152.18"/>
    <n v="3152.19"/>
    <n v="3152.18"/>
    <s v="December 2022"/>
  </r>
  <r>
    <d v="2022-12-23T00:00:00"/>
    <x v="2444"/>
    <n v="66"/>
    <x v="2"/>
    <x v="6"/>
    <x v="3"/>
    <x v="5"/>
    <n v="22.65"/>
    <x v="0"/>
    <n v="2496.7676064256989"/>
    <n v="24.91"/>
    <n v="24.92"/>
    <n v="24.92"/>
    <s v="December 2022"/>
  </r>
  <r>
    <d v="2022-12-23T00:00:00"/>
    <x v="2445"/>
    <n v="15"/>
    <x v="1"/>
    <x v="2"/>
    <x v="1"/>
    <x v="4"/>
    <n v="2581.42"/>
    <x v="2"/>
    <n v="2509.1716796874912"/>
    <n v="2839.56"/>
    <n v="2839.57"/>
    <n v="2839.56"/>
    <s v="December 2022"/>
  </r>
  <r>
    <d v="2022-12-23T00:00:00"/>
    <x v="2446"/>
    <n v="46"/>
    <x v="2"/>
    <x v="1"/>
    <x v="1"/>
    <x v="3"/>
    <n v="1894.37"/>
    <x v="1"/>
    <n v="2509.1716796874912"/>
    <n v="2083.8000000000002"/>
    <n v="2083.8100000000004"/>
    <n v="2083.81"/>
    <s v="December 2022"/>
  </r>
  <r>
    <d v="2022-12-23T00:00:00"/>
    <x v="2447"/>
    <n v="35"/>
    <x v="2"/>
    <x v="5"/>
    <x v="0"/>
    <x v="2"/>
    <n v="1104.75"/>
    <x v="1"/>
    <n v="2503.6022787783854"/>
    <n v="1215.22"/>
    <n v="1215.23"/>
    <n v="1215.23"/>
    <s v="December 2022"/>
  </r>
  <r>
    <d v="2022-12-23T00:00:00"/>
    <x v="2448"/>
    <n v="27"/>
    <x v="2"/>
    <x v="3"/>
    <x v="0"/>
    <x v="2"/>
    <n v="3346.19"/>
    <x v="1"/>
    <n v="2503.6022787783854"/>
    <n v="3680.8"/>
    <n v="3680.8100000000004"/>
    <n v="3680.81"/>
    <s v="December 2022"/>
  </r>
  <r>
    <d v="2022-12-24T00:00:00"/>
    <x v="2449"/>
    <n v="99"/>
    <x v="1"/>
    <x v="7"/>
    <x v="0"/>
    <x v="1"/>
    <n v="1268.2"/>
    <x v="0"/>
    <n v="2503.6022787783854"/>
    <n v="1395.02"/>
    <n v="1395.02"/>
    <n v="1395.02"/>
    <s v="December 2022"/>
  </r>
  <r>
    <d v="2022-12-24T00:00:00"/>
    <x v="2450"/>
    <n v="98"/>
    <x v="2"/>
    <x v="0"/>
    <x v="2"/>
    <x v="3"/>
    <n v="1877.23"/>
    <x v="0"/>
    <n v="2440.2966694490838"/>
    <n v="2064.9499999999998"/>
    <n v="2064.96"/>
    <n v="2064.9499999999998"/>
    <s v="December 2022"/>
  </r>
  <r>
    <d v="2022-12-24T00:00:00"/>
    <x v="2451"/>
    <n v="38"/>
    <x v="1"/>
    <x v="0"/>
    <x v="0"/>
    <x v="1"/>
    <n v="254.21"/>
    <x v="1"/>
    <n v="2503.6022787783854"/>
    <n v="279.63"/>
    <n v="279.64"/>
    <n v="279.63"/>
    <s v="December 2022"/>
  </r>
  <r>
    <d v="2022-12-24T00:00:00"/>
    <x v="2452"/>
    <n v="3"/>
    <x v="2"/>
    <x v="2"/>
    <x v="3"/>
    <x v="3"/>
    <n v="4154.1400000000003"/>
    <x v="2"/>
    <n v="2496.7676064256989"/>
    <n v="4569.55"/>
    <n v="4569.5600000000004"/>
    <n v="4569.55"/>
    <s v="December 2022"/>
  </r>
  <r>
    <d v="2022-12-25T00:00:00"/>
    <x v="2453"/>
    <n v="48"/>
    <x v="2"/>
    <x v="1"/>
    <x v="2"/>
    <x v="0"/>
    <n v="1687.86"/>
    <x v="1"/>
    <n v="2440.2966694490838"/>
    <n v="1856.64"/>
    <n v="1856.65"/>
    <n v="1856.65"/>
    <s v="December 2022"/>
  </r>
  <r>
    <d v="2022-12-25T00:00:00"/>
    <x v="2454"/>
    <n v="59"/>
    <x v="2"/>
    <x v="6"/>
    <x v="1"/>
    <x v="3"/>
    <n v="2020.34"/>
    <x v="1"/>
    <n v="2509.1716796874912"/>
    <n v="2222.37"/>
    <n v="2222.38"/>
    <n v="2222.37"/>
    <s v="December 2022"/>
  </r>
  <r>
    <d v="2022-12-25T00:00:00"/>
    <x v="2455"/>
    <n v="66"/>
    <x v="2"/>
    <x v="3"/>
    <x v="1"/>
    <x v="5"/>
    <n v="4223.45"/>
    <x v="0"/>
    <n v="2509.1716796874912"/>
    <n v="4645.79"/>
    <n v="4645.8"/>
    <n v="4645.8"/>
    <s v="December 2022"/>
  </r>
  <r>
    <d v="2022-12-26T00:00:00"/>
    <x v="2456"/>
    <n v="4"/>
    <x v="1"/>
    <x v="1"/>
    <x v="1"/>
    <x v="3"/>
    <n v="3500.16"/>
    <x v="2"/>
    <n v="2509.1716796874912"/>
    <n v="3850.17"/>
    <n v="3850.1800000000003"/>
    <n v="3850.18"/>
    <s v="December 2022"/>
  </r>
  <r>
    <d v="2022-12-26T00:00:00"/>
    <x v="2457"/>
    <n v="69"/>
    <x v="0"/>
    <x v="3"/>
    <x v="0"/>
    <x v="2"/>
    <n v="871.19"/>
    <x v="0"/>
    <n v="2503.6022787783854"/>
    <n v="958.3"/>
    <n v="958.31"/>
    <n v="958.31"/>
    <s v="December 2022"/>
  </r>
  <r>
    <d v="2022-12-26T00:00:00"/>
    <x v="2458"/>
    <n v="37"/>
    <x v="0"/>
    <x v="0"/>
    <x v="3"/>
    <x v="5"/>
    <n v="1937.55"/>
    <x v="1"/>
    <n v="2496.7676064256989"/>
    <n v="2131.3000000000002"/>
    <n v="2131.3100000000004"/>
    <n v="2131.31"/>
    <s v="December 2022"/>
  </r>
  <r>
    <d v="2022-12-26T00:00:00"/>
    <x v="2459"/>
    <n v="87"/>
    <x v="1"/>
    <x v="1"/>
    <x v="3"/>
    <x v="5"/>
    <n v="1295.5899999999999"/>
    <x v="0"/>
    <n v="2496.7676064256989"/>
    <n v="1425.14"/>
    <n v="1425.15"/>
    <n v="1425.15"/>
    <s v="December 2022"/>
  </r>
  <r>
    <d v="2022-12-26T00:00:00"/>
    <x v="2460"/>
    <n v="6"/>
    <x v="1"/>
    <x v="4"/>
    <x v="2"/>
    <x v="0"/>
    <n v="1380.24"/>
    <x v="2"/>
    <n v="2440.2966694490838"/>
    <n v="1518.26"/>
    <n v="1518.27"/>
    <n v="1518.26"/>
    <s v="December 2022"/>
  </r>
  <r>
    <d v="2022-12-27T00:00:00"/>
    <x v="2461"/>
    <n v="21"/>
    <x v="1"/>
    <x v="2"/>
    <x v="3"/>
    <x v="3"/>
    <n v="3031.56"/>
    <x v="1"/>
    <n v="2496.7676064256989"/>
    <n v="3334.71"/>
    <n v="3334.7200000000003"/>
    <n v="3334.72"/>
    <s v="December 2022"/>
  </r>
  <r>
    <d v="2022-12-27T00:00:00"/>
    <x v="2462"/>
    <n v="20"/>
    <x v="0"/>
    <x v="3"/>
    <x v="3"/>
    <x v="1"/>
    <n v="3058.5"/>
    <x v="1"/>
    <n v="2496.7676064256989"/>
    <n v="3364.35"/>
    <n v="3364.35"/>
    <n v="3364.35"/>
    <s v="December 2022"/>
  </r>
  <r>
    <d v="2022-12-27T00:00:00"/>
    <x v="2463"/>
    <n v="44"/>
    <x v="2"/>
    <x v="5"/>
    <x v="3"/>
    <x v="0"/>
    <n v="4277.79"/>
    <x v="1"/>
    <n v="2496.7676064256989"/>
    <n v="4705.5600000000004"/>
    <n v="4705.5700000000006"/>
    <n v="4705.57"/>
    <s v="December 2022"/>
  </r>
  <r>
    <d v="2022-12-27T00:00:00"/>
    <x v="2464"/>
    <n v="62"/>
    <x v="1"/>
    <x v="2"/>
    <x v="2"/>
    <x v="2"/>
    <n v="714.7"/>
    <x v="1"/>
    <n v="2440.2966694490838"/>
    <n v="786.17"/>
    <n v="786.17"/>
    <n v="786.17"/>
    <s v="December 2022"/>
  </r>
  <r>
    <d v="2022-12-27T00:00:00"/>
    <x v="2465"/>
    <n v="69"/>
    <x v="2"/>
    <x v="5"/>
    <x v="0"/>
    <x v="2"/>
    <n v="2921.46"/>
    <x v="0"/>
    <n v="2503.6022787783854"/>
    <n v="3213.6"/>
    <n v="3213.61"/>
    <n v="3213.61"/>
    <s v="December 2022"/>
  </r>
  <r>
    <d v="2022-12-28T00:00:00"/>
    <x v="2466"/>
    <n v="92"/>
    <x v="2"/>
    <x v="2"/>
    <x v="3"/>
    <x v="4"/>
    <n v="3491.43"/>
    <x v="0"/>
    <n v="2496.7676064256989"/>
    <n v="3840.57"/>
    <n v="3840.5800000000004"/>
    <n v="3840.57"/>
    <s v="December 2022"/>
  </r>
  <r>
    <d v="2022-12-28T00:00:00"/>
    <x v="2467"/>
    <n v="19"/>
    <x v="1"/>
    <x v="0"/>
    <x v="1"/>
    <x v="0"/>
    <n v="727.23"/>
    <x v="1"/>
    <n v="2509.1716796874912"/>
    <n v="799.95"/>
    <n v="799.96"/>
    <n v="799.95"/>
    <s v="December 2022"/>
  </r>
  <r>
    <d v="2022-12-28T00:00:00"/>
    <x v="2468"/>
    <n v="42"/>
    <x v="2"/>
    <x v="2"/>
    <x v="3"/>
    <x v="2"/>
    <n v="2096.5500000000002"/>
    <x v="1"/>
    <n v="2496.7676064256989"/>
    <n v="2306.1999999999998"/>
    <n v="2306.21"/>
    <n v="2306.21"/>
    <s v="December 2022"/>
  </r>
  <r>
    <d v="2022-12-28T00:00:00"/>
    <x v="2469"/>
    <n v="73"/>
    <x v="0"/>
    <x v="7"/>
    <x v="0"/>
    <x v="4"/>
    <n v="857.41"/>
    <x v="0"/>
    <n v="2503.6022787783854"/>
    <n v="943.15"/>
    <n v="943.16"/>
    <n v="943.15"/>
    <s v="December 2022"/>
  </r>
  <r>
    <d v="2022-12-29T00:00:00"/>
    <x v="2470"/>
    <n v="98"/>
    <x v="2"/>
    <x v="1"/>
    <x v="2"/>
    <x v="1"/>
    <n v="1623.23"/>
    <x v="0"/>
    <n v="2440.2966694490838"/>
    <n v="1785.55"/>
    <n v="1785.56"/>
    <n v="1785.55"/>
    <s v="December 2022"/>
  </r>
  <r>
    <d v="2022-12-29T00:00:00"/>
    <x v="2471"/>
    <n v="50"/>
    <x v="2"/>
    <x v="0"/>
    <x v="0"/>
    <x v="2"/>
    <n v="3832.71"/>
    <x v="1"/>
    <n v="2503.6022787783854"/>
    <n v="4215.9799999999996"/>
    <n v="4215.99"/>
    <n v="4215.9799999999996"/>
    <s v="December 2022"/>
  </r>
  <r>
    <d v="2022-12-29T00:00:00"/>
    <x v="2472"/>
    <n v="33"/>
    <x v="2"/>
    <x v="1"/>
    <x v="1"/>
    <x v="5"/>
    <n v="1878.08"/>
    <x v="1"/>
    <n v="2509.1716796874912"/>
    <n v="2065.88"/>
    <n v="2065.8900000000003"/>
    <n v="2065.89"/>
    <s v="December 2022"/>
  </r>
  <r>
    <d v="2022-12-29T00:00:00"/>
    <x v="2473"/>
    <n v="25"/>
    <x v="2"/>
    <x v="4"/>
    <x v="0"/>
    <x v="1"/>
    <n v="1143.02"/>
    <x v="1"/>
    <n v="2503.6022787783854"/>
    <n v="1257.32"/>
    <n v="1257.33"/>
    <n v="1257.32"/>
    <s v="December 2022"/>
  </r>
  <r>
    <d v="2022-12-29T00:00:00"/>
    <x v="2474"/>
    <n v="42"/>
    <x v="2"/>
    <x v="3"/>
    <x v="0"/>
    <x v="2"/>
    <n v="3345.16"/>
    <x v="1"/>
    <n v="2503.6022787783854"/>
    <n v="3679.67"/>
    <n v="3679.6800000000003"/>
    <n v="3679.68"/>
    <s v="December 2022"/>
  </r>
  <r>
    <d v="2022-12-29T00:00:00"/>
    <x v="2475"/>
    <n v="16"/>
    <x v="0"/>
    <x v="1"/>
    <x v="3"/>
    <x v="3"/>
    <n v="2252.15"/>
    <x v="1"/>
    <n v="2496.7676064256989"/>
    <n v="2477.36"/>
    <n v="2477.3700000000003"/>
    <n v="2477.37"/>
    <s v="December 2022"/>
  </r>
  <r>
    <d v="2022-12-29T00:00:00"/>
    <x v="2476"/>
    <n v="36"/>
    <x v="1"/>
    <x v="7"/>
    <x v="0"/>
    <x v="4"/>
    <n v="2238.2199999999998"/>
    <x v="1"/>
    <n v="2503.6022787783854"/>
    <n v="2462.04"/>
    <n v="2462.0500000000002"/>
    <n v="2462.04"/>
    <s v="December 2022"/>
  </r>
  <r>
    <d v="2022-12-29T00:00:00"/>
    <x v="2477"/>
    <n v="19"/>
    <x v="2"/>
    <x v="1"/>
    <x v="0"/>
    <x v="1"/>
    <n v="2160.2199999999998"/>
    <x v="1"/>
    <n v="2503.6022787783854"/>
    <n v="2376.2399999999998"/>
    <n v="2376.25"/>
    <n v="2376.2399999999998"/>
    <s v="December 2022"/>
  </r>
  <r>
    <d v="2022-12-29T00:00:00"/>
    <x v="2478"/>
    <n v="57"/>
    <x v="2"/>
    <x v="5"/>
    <x v="3"/>
    <x v="3"/>
    <n v="2140.2399999999998"/>
    <x v="1"/>
    <n v="2496.7676064256989"/>
    <n v="2354.2600000000002"/>
    <n v="2354.2700000000004"/>
    <n v="2354.2600000000002"/>
    <s v="December 2022"/>
  </r>
  <r>
    <d v="2022-12-29T00:00:00"/>
    <x v="2479"/>
    <n v="49"/>
    <x v="1"/>
    <x v="4"/>
    <x v="3"/>
    <x v="2"/>
    <n v="798.41"/>
    <x v="1"/>
    <n v="2496.7676064256989"/>
    <n v="878.25"/>
    <n v="878.26"/>
    <n v="878.25"/>
    <s v="December 2022"/>
  </r>
  <r>
    <d v="2022-12-30T00:00:00"/>
    <x v="2480"/>
    <n v="98"/>
    <x v="2"/>
    <x v="1"/>
    <x v="3"/>
    <x v="3"/>
    <n v="1703.4"/>
    <x v="0"/>
    <n v="2496.7676064256989"/>
    <n v="1873.74"/>
    <n v="1873.74"/>
    <n v="1873.74"/>
    <s v="December 2022"/>
  </r>
  <r>
    <d v="2022-12-30T00:00:00"/>
    <x v="2481"/>
    <n v="0"/>
    <x v="1"/>
    <x v="4"/>
    <x v="1"/>
    <x v="1"/>
    <n v="776.67"/>
    <x v="2"/>
    <n v="2509.1716796874912"/>
    <n v="854.33"/>
    <n v="854.34"/>
    <n v="854.34"/>
    <s v="December 2022"/>
  </r>
  <r>
    <d v="2022-12-30T00:00:00"/>
    <x v="2482"/>
    <n v="49"/>
    <x v="2"/>
    <x v="4"/>
    <x v="2"/>
    <x v="1"/>
    <n v="2693.63"/>
    <x v="1"/>
    <n v="2440.2966694490838"/>
    <n v="2962.99"/>
    <n v="2963"/>
    <n v="2962.99"/>
    <s v="December 2022"/>
  </r>
  <r>
    <d v="2022-12-30T00:00:00"/>
    <x v="2483"/>
    <n v="49"/>
    <x v="2"/>
    <x v="4"/>
    <x v="0"/>
    <x v="4"/>
    <n v="468.76"/>
    <x v="1"/>
    <n v="2503.6022787783854"/>
    <n v="515.63"/>
    <n v="515.64"/>
    <n v="515.64"/>
    <s v="December 2022"/>
  </r>
  <r>
    <d v="2022-12-30T00:00:00"/>
    <x v="2484"/>
    <n v="63"/>
    <x v="1"/>
    <x v="4"/>
    <x v="3"/>
    <x v="1"/>
    <n v="2969.76"/>
    <x v="1"/>
    <n v="2496.7676064256989"/>
    <n v="3266.73"/>
    <n v="3266.7400000000002"/>
    <n v="3266.74"/>
    <s v="December 2022"/>
  </r>
  <r>
    <d v="2022-12-30T00:00:00"/>
    <x v="2485"/>
    <n v="66"/>
    <x v="0"/>
    <x v="1"/>
    <x v="3"/>
    <x v="4"/>
    <n v="2110.61"/>
    <x v="0"/>
    <n v="2496.7676064256989"/>
    <n v="2321.67"/>
    <n v="2321.6800000000003"/>
    <n v="2321.67"/>
    <s v="December 2022"/>
  </r>
  <r>
    <d v="2022-12-30T00:00:00"/>
    <x v="2486"/>
    <n v="63"/>
    <x v="2"/>
    <x v="2"/>
    <x v="3"/>
    <x v="3"/>
    <n v="4022.97"/>
    <x v="1"/>
    <n v="2496.7676064256989"/>
    <n v="4425.26"/>
    <n v="4425.2700000000004"/>
    <n v="4425.2700000000004"/>
    <s v="December 2022"/>
  </r>
  <r>
    <d v="2022-12-30T00:00:00"/>
    <x v="2487"/>
    <n v="16"/>
    <x v="0"/>
    <x v="3"/>
    <x v="3"/>
    <x v="4"/>
    <n v="301.27"/>
    <x v="1"/>
    <n v="2496.7676064256989"/>
    <n v="331.39"/>
    <n v="331.4"/>
    <n v="331.4"/>
    <s v="December 2022"/>
  </r>
  <r>
    <d v="2022-12-30T00:00:00"/>
    <x v="2488"/>
    <n v="7"/>
    <x v="2"/>
    <x v="1"/>
    <x v="0"/>
    <x v="1"/>
    <n v="4635.8100000000004"/>
    <x v="2"/>
    <n v="2503.6022787783854"/>
    <n v="5099.3900000000003"/>
    <n v="5099.4000000000005"/>
    <n v="5099.3900000000003"/>
    <s v="December 2022"/>
  </r>
  <r>
    <d v="2022-12-30T00:00:00"/>
    <x v="2489"/>
    <n v="74"/>
    <x v="0"/>
    <x v="0"/>
    <x v="1"/>
    <x v="0"/>
    <n v="2833.13"/>
    <x v="0"/>
    <n v="2509.1716796874912"/>
    <n v="3116.44"/>
    <n v="3116.4500000000003"/>
    <n v="3116.44"/>
    <s v="December 2022"/>
  </r>
  <r>
    <d v="2022-12-30T00:00:00"/>
    <x v="2490"/>
    <n v="55"/>
    <x v="0"/>
    <x v="7"/>
    <x v="0"/>
    <x v="5"/>
    <n v="4830.18"/>
    <x v="1"/>
    <n v="2503.6022787783854"/>
    <n v="5313.19"/>
    <n v="5313.2"/>
    <n v="5313.2"/>
    <s v="December 2022"/>
  </r>
  <r>
    <d v="2022-12-30T00:00:00"/>
    <x v="2491"/>
    <n v="43"/>
    <x v="2"/>
    <x v="4"/>
    <x v="0"/>
    <x v="0"/>
    <n v="4161.01"/>
    <x v="1"/>
    <n v="2503.6022787783854"/>
    <n v="4577.1099999999997"/>
    <n v="4577.12"/>
    <n v="4577.1099999999997"/>
    <s v="December 2022"/>
  </r>
  <r>
    <d v="2022-12-31T00:00:00"/>
    <x v="2492"/>
    <n v="62"/>
    <x v="0"/>
    <x v="5"/>
    <x v="2"/>
    <x v="4"/>
    <n v="1351.07"/>
    <x v="1"/>
    <n v="2440.2966694490838"/>
    <n v="1486.17"/>
    <n v="1486.18"/>
    <n v="1486.18"/>
    <s v="December 2022"/>
  </r>
  <r>
    <d v="2022-12-31T00:00:00"/>
    <x v="2493"/>
    <n v="73"/>
    <x v="0"/>
    <x v="3"/>
    <x v="2"/>
    <x v="3"/>
    <n v="2551.75"/>
    <x v="0"/>
    <n v="2440.2966694490838"/>
    <n v="2806.92"/>
    <n v="2806.9300000000003"/>
    <n v="2806.93"/>
    <s v="December 2022"/>
  </r>
  <r>
    <d v="2022-12-31T00:00:00"/>
    <x v="2494"/>
    <n v="55"/>
    <x v="2"/>
    <x v="0"/>
    <x v="1"/>
    <x v="0"/>
    <n v="4074.49"/>
    <x v="1"/>
    <n v="2509.1716796874912"/>
    <n v="4481.93"/>
    <n v="4481.9400000000005"/>
    <n v="4481.9399999999996"/>
    <s v="December 2022"/>
  </r>
  <r>
    <d v="2022-12-31T00:00:00"/>
    <x v="2495"/>
    <n v="24"/>
    <x v="1"/>
    <x v="0"/>
    <x v="0"/>
    <x v="3"/>
    <n v="1497.98"/>
    <x v="1"/>
    <n v="2503.6022787783854"/>
    <n v="1647.77"/>
    <n v="1647.78"/>
    <n v="1647.78"/>
    <s v="December 2022"/>
  </r>
  <r>
    <d v="2023-01-01T00:00:00"/>
    <x v="2496"/>
    <n v="56"/>
    <x v="2"/>
    <x v="7"/>
    <x v="3"/>
    <x v="4"/>
    <n v="1331.55"/>
    <x v="1"/>
    <n v="2496.7676064256989"/>
    <n v="1464.7"/>
    <n v="1464.71"/>
    <n v="1464.71"/>
    <s v="January 2023"/>
  </r>
  <r>
    <d v="2023-01-01T00:00:00"/>
    <x v="2497"/>
    <n v="53"/>
    <x v="2"/>
    <x v="1"/>
    <x v="0"/>
    <x v="3"/>
    <n v="1176.79"/>
    <x v="1"/>
    <n v="2503.6022787783854"/>
    <n v="1294.46"/>
    <n v="1294.47"/>
    <n v="1294.47"/>
    <s v="January 2023"/>
  </r>
  <r>
    <d v="2023-01-01T00:00:00"/>
    <x v="2498"/>
    <n v="58"/>
    <x v="1"/>
    <x v="5"/>
    <x v="0"/>
    <x v="3"/>
    <n v="2296.4"/>
    <x v="1"/>
    <n v="2503.6022787783854"/>
    <n v="2526.04"/>
    <n v="2526.04"/>
    <n v="2526.04"/>
    <s v="January 2023"/>
  </r>
  <r>
    <d v="2023-01-01T00:00:00"/>
    <x v="2499"/>
    <n v="87"/>
    <x v="1"/>
    <x v="3"/>
    <x v="1"/>
    <x v="0"/>
    <n v="292.60000000000002"/>
    <x v="0"/>
    <n v="2509.1716796874912"/>
    <n v="321.86"/>
    <n v="321.86"/>
    <n v="321.86"/>
    <s v="January 2023"/>
  </r>
  <r>
    <d v="2023-01-01T00:00:00"/>
    <x v="2500"/>
    <n v="20"/>
    <x v="2"/>
    <x v="0"/>
    <x v="2"/>
    <x v="0"/>
    <n v="4660.43"/>
    <x v="1"/>
    <n v="2440.2966694490838"/>
    <n v="5126.47"/>
    <n v="5126.4800000000005"/>
    <n v="5126.47"/>
    <s v="January 2023"/>
  </r>
  <r>
    <d v="2023-01-01T00:00:00"/>
    <x v="2501"/>
    <n v="99"/>
    <x v="0"/>
    <x v="1"/>
    <x v="2"/>
    <x v="3"/>
    <n v="4039.5"/>
    <x v="0"/>
    <n v="2440.2966694490838"/>
    <n v="4443.45"/>
    <n v="4443.45"/>
    <n v="4443.45"/>
    <s v="January 2023"/>
  </r>
  <r>
    <d v="2023-01-01T00:00:00"/>
    <x v="2502"/>
    <n v="8"/>
    <x v="1"/>
    <x v="6"/>
    <x v="3"/>
    <x v="2"/>
    <n v="888.44"/>
    <x v="2"/>
    <n v="2496.7676064256989"/>
    <n v="977.28"/>
    <n v="977.29"/>
    <n v="977.28"/>
    <s v="January 2023"/>
  </r>
  <r>
    <d v="2023-01-01T00:00:00"/>
    <x v="2503"/>
    <n v="35"/>
    <x v="2"/>
    <x v="1"/>
    <x v="1"/>
    <x v="3"/>
    <n v="3142.74"/>
    <x v="1"/>
    <n v="2509.1716796874912"/>
    <n v="3457.01"/>
    <n v="3457.0200000000004"/>
    <n v="3457.01"/>
    <s v="January 2023"/>
  </r>
  <r>
    <d v="2023-01-01T00:00:00"/>
    <x v="2504"/>
    <n v="81"/>
    <x v="1"/>
    <x v="3"/>
    <x v="0"/>
    <x v="2"/>
    <n v="4629.24"/>
    <x v="0"/>
    <n v="2503.6022787783854"/>
    <n v="5092.16"/>
    <n v="5092.17"/>
    <n v="5092.16"/>
    <s v="January 2023"/>
  </r>
  <r>
    <d v="2023-01-01T00:00:00"/>
    <x v="2505"/>
    <n v="79"/>
    <x v="2"/>
    <x v="2"/>
    <x v="1"/>
    <x v="2"/>
    <n v="40.090000000000003"/>
    <x v="0"/>
    <n v="2509.1716796874912"/>
    <n v="44.09"/>
    <n v="44.1"/>
    <n v="44.1"/>
    <s v="January 2023"/>
  </r>
  <r>
    <d v="2023-01-01T00:00:00"/>
    <x v="2506"/>
    <n v="49"/>
    <x v="1"/>
    <x v="5"/>
    <x v="0"/>
    <x v="1"/>
    <n v="4011.08"/>
    <x v="1"/>
    <n v="2503.6022787783854"/>
    <n v="4412.18"/>
    <n v="4412.1900000000005"/>
    <n v="4412.1899999999996"/>
    <s v="January 2023"/>
  </r>
  <r>
    <d v="2023-01-02T00:00:00"/>
    <x v="2507"/>
    <n v="81"/>
    <x v="2"/>
    <x v="4"/>
    <x v="2"/>
    <x v="4"/>
    <n v="751.87"/>
    <x v="0"/>
    <n v="2440.2966694490838"/>
    <n v="827.05"/>
    <n v="827.06"/>
    <n v="827.06"/>
    <s v="January 2023"/>
  </r>
  <r>
    <d v="2023-01-02T00:00:00"/>
    <x v="2508"/>
    <n v="11"/>
    <x v="1"/>
    <x v="4"/>
    <x v="3"/>
    <x v="1"/>
    <n v="4267.3100000000004"/>
    <x v="2"/>
    <n v="2496.7676064256989"/>
    <n v="4694.04"/>
    <n v="4694.05"/>
    <n v="4694.04"/>
    <s v="January 2023"/>
  </r>
  <r>
    <d v="2023-01-02T00:00:00"/>
    <x v="2509"/>
    <n v="43"/>
    <x v="0"/>
    <x v="5"/>
    <x v="0"/>
    <x v="4"/>
    <n v="3806.52"/>
    <x v="1"/>
    <n v="2503.6022787783854"/>
    <n v="4187.17"/>
    <n v="4187.18"/>
    <n v="4187.17"/>
    <s v="January 2023"/>
  </r>
  <r>
    <d v="2023-01-03T00:00:00"/>
    <x v="2510"/>
    <n v="24"/>
    <x v="2"/>
    <x v="6"/>
    <x v="2"/>
    <x v="3"/>
    <n v="3505.33"/>
    <x v="1"/>
    <n v="2440.2966694490838"/>
    <n v="3855.86"/>
    <n v="3855.8700000000003"/>
    <n v="3855.86"/>
    <s v="January 2023"/>
  </r>
  <r>
    <d v="2023-01-03T00:00:00"/>
    <x v="2511"/>
    <n v="71"/>
    <x v="2"/>
    <x v="0"/>
    <x v="1"/>
    <x v="2"/>
    <n v="1885.62"/>
    <x v="0"/>
    <n v="2509.1716796874912"/>
    <n v="2074.1799999999998"/>
    <n v="2074.19"/>
    <n v="2074.1799999999998"/>
    <s v="January 2023"/>
  </r>
  <r>
    <d v="2023-01-03T00:00:00"/>
    <x v="2512"/>
    <n v="19"/>
    <x v="1"/>
    <x v="2"/>
    <x v="1"/>
    <x v="1"/>
    <n v="3421.18"/>
    <x v="1"/>
    <n v="2509.1716796874912"/>
    <n v="3763.29"/>
    <n v="3763.3"/>
    <n v="3763.3"/>
    <s v="January 2023"/>
  </r>
  <r>
    <d v="2023-01-03T00:00:00"/>
    <x v="2513"/>
    <n v="89"/>
    <x v="0"/>
    <x v="3"/>
    <x v="1"/>
    <x v="2"/>
    <n v="853.36"/>
    <x v="0"/>
    <n v="2509.1716796874912"/>
    <n v="938.69"/>
    <n v="938.7"/>
    <n v="938.7"/>
    <s v="January 2023"/>
  </r>
  <r>
    <d v="2023-01-03T00:00:00"/>
    <x v="2514"/>
    <n v="78"/>
    <x v="0"/>
    <x v="3"/>
    <x v="0"/>
    <x v="0"/>
    <n v="4983.76"/>
    <x v="0"/>
    <n v="2503.6022787783854"/>
    <n v="5482.13"/>
    <n v="5482.14"/>
    <n v="5482.14"/>
    <s v="January 2023"/>
  </r>
  <r>
    <d v="2023-01-04T00:00:00"/>
    <x v="2515"/>
    <n v="68"/>
    <x v="0"/>
    <x v="2"/>
    <x v="3"/>
    <x v="1"/>
    <n v="3644.28"/>
    <x v="0"/>
    <n v="2496.7676064256989"/>
    <n v="4008.7"/>
    <n v="4008.71"/>
    <n v="4008.71"/>
    <s v="January 2023"/>
  </r>
  <r>
    <d v="2023-01-04T00:00:00"/>
    <x v="2516"/>
    <n v="90"/>
    <x v="1"/>
    <x v="6"/>
    <x v="3"/>
    <x v="0"/>
    <n v="2939.81"/>
    <x v="0"/>
    <n v="2496.7676064256989"/>
    <n v="3233.79"/>
    <n v="3233.8"/>
    <n v="3233.79"/>
    <s v="January 2023"/>
  </r>
  <r>
    <d v="2023-01-04T00:00:00"/>
    <x v="2517"/>
    <n v="13"/>
    <x v="0"/>
    <x v="0"/>
    <x v="2"/>
    <x v="3"/>
    <n v="1896.35"/>
    <x v="2"/>
    <n v="2440.2966694490838"/>
    <n v="2085.98"/>
    <n v="2085.9900000000002"/>
    <n v="2085.9899999999998"/>
    <s v="January 2023"/>
  </r>
  <r>
    <d v="2023-01-04T00:00:00"/>
    <x v="2518"/>
    <n v="24"/>
    <x v="1"/>
    <x v="2"/>
    <x v="3"/>
    <x v="2"/>
    <n v="830.61"/>
    <x v="1"/>
    <n v="2496.7676064256989"/>
    <n v="913.67"/>
    <n v="913.68"/>
    <n v="913.67"/>
    <s v="January 2023"/>
  </r>
  <r>
    <d v="2023-01-04T00:00:00"/>
    <x v="2519"/>
    <n v="46"/>
    <x v="0"/>
    <x v="1"/>
    <x v="3"/>
    <x v="0"/>
    <n v="736.34"/>
    <x v="1"/>
    <n v="2496.7676064256989"/>
    <n v="809.97"/>
    <n v="809.98"/>
    <n v="809.97"/>
    <s v="January 2023"/>
  </r>
  <r>
    <d v="2023-01-04T00:00:00"/>
    <x v="2520"/>
    <n v="25"/>
    <x v="2"/>
    <x v="0"/>
    <x v="1"/>
    <x v="4"/>
    <n v="316.04000000000002"/>
    <x v="1"/>
    <n v="2509.1716796874912"/>
    <n v="347.64"/>
    <n v="347.65"/>
    <n v="347.64"/>
    <s v="January 2023"/>
  </r>
  <r>
    <d v="2023-01-04T00:00:00"/>
    <x v="2521"/>
    <n v="53"/>
    <x v="0"/>
    <x v="6"/>
    <x v="0"/>
    <x v="3"/>
    <n v="2334.5500000000002"/>
    <x v="1"/>
    <n v="2503.6022787783854"/>
    <n v="2568"/>
    <n v="2568.0100000000002"/>
    <n v="2568.0100000000002"/>
    <s v="January 2023"/>
  </r>
  <r>
    <d v="2023-01-05T00:00:00"/>
    <x v="2522"/>
    <n v="59"/>
    <x v="1"/>
    <x v="5"/>
    <x v="2"/>
    <x v="0"/>
    <n v="608.33000000000004"/>
    <x v="1"/>
    <n v="2440.2966694490838"/>
    <n v="669.16"/>
    <n v="669.17"/>
    <n v="669.16"/>
    <s v="January 2023"/>
  </r>
  <r>
    <d v="2023-01-05T00:00:00"/>
    <x v="2523"/>
    <n v="77"/>
    <x v="0"/>
    <x v="0"/>
    <x v="0"/>
    <x v="4"/>
    <n v="793.86"/>
    <x v="0"/>
    <n v="2503.6022787783854"/>
    <n v="873.24"/>
    <n v="873.25"/>
    <n v="873.25"/>
    <s v="January 2023"/>
  </r>
  <r>
    <d v="2023-01-05T00:00:00"/>
    <x v="2524"/>
    <n v="39"/>
    <x v="2"/>
    <x v="0"/>
    <x v="2"/>
    <x v="0"/>
    <n v="114.04"/>
    <x v="1"/>
    <n v="2440.2966694490838"/>
    <n v="125.44"/>
    <n v="125.45"/>
    <n v="125.44"/>
    <s v="January 2023"/>
  </r>
  <r>
    <d v="2023-01-05T00:00:00"/>
    <x v="2525"/>
    <n v="98"/>
    <x v="2"/>
    <x v="1"/>
    <x v="2"/>
    <x v="4"/>
    <n v="1831.81"/>
    <x v="0"/>
    <n v="2440.2966694490838"/>
    <n v="2014.99"/>
    <n v="2015"/>
    <n v="2014.99"/>
    <s v="January 2023"/>
  </r>
  <r>
    <d v="2023-01-05T00:00:00"/>
    <x v="2526"/>
    <n v="21"/>
    <x v="2"/>
    <x v="3"/>
    <x v="3"/>
    <x v="2"/>
    <n v="4882.18"/>
    <x v="1"/>
    <n v="2496.7676064256989"/>
    <n v="5370.39"/>
    <n v="5370.4000000000005"/>
    <n v="5370.4"/>
    <s v="January 2023"/>
  </r>
  <r>
    <d v="2023-01-06T00:00:00"/>
    <x v="2527"/>
    <n v="59"/>
    <x v="0"/>
    <x v="0"/>
    <x v="2"/>
    <x v="4"/>
    <n v="751"/>
    <x v="1"/>
    <n v="2440.2966694490838"/>
    <n v="826.1"/>
    <n v="826.1"/>
    <n v="826.1"/>
    <s v="January 2023"/>
  </r>
  <r>
    <d v="2023-01-06T00:00:00"/>
    <x v="2528"/>
    <n v="31"/>
    <x v="0"/>
    <x v="7"/>
    <x v="1"/>
    <x v="1"/>
    <n v="1161.45"/>
    <x v="1"/>
    <n v="2509.1716796874912"/>
    <n v="1277.5899999999999"/>
    <n v="1277.5999999999999"/>
    <n v="1277.5999999999999"/>
    <s v="January 2023"/>
  </r>
  <r>
    <d v="2023-01-06T00:00:00"/>
    <x v="2529"/>
    <n v="57"/>
    <x v="1"/>
    <x v="0"/>
    <x v="1"/>
    <x v="2"/>
    <n v="2448.96"/>
    <x v="1"/>
    <n v="2509.1716796874912"/>
    <n v="2693.85"/>
    <n v="2693.86"/>
    <n v="2693.86"/>
    <s v="January 2023"/>
  </r>
  <r>
    <d v="2023-01-06T00:00:00"/>
    <x v="2530"/>
    <n v="32"/>
    <x v="1"/>
    <x v="0"/>
    <x v="2"/>
    <x v="2"/>
    <n v="3754.54"/>
    <x v="1"/>
    <n v="2440.2966694490838"/>
    <n v="4129.99"/>
    <n v="4130"/>
    <n v="4129.99"/>
    <s v="January 2023"/>
  </r>
  <r>
    <d v="2023-01-06T00:00:00"/>
    <x v="2531"/>
    <n v="48"/>
    <x v="2"/>
    <x v="2"/>
    <x v="0"/>
    <x v="0"/>
    <n v="3738.09"/>
    <x v="1"/>
    <n v="2503.6022787783854"/>
    <n v="4111.8900000000003"/>
    <n v="4111.9000000000005"/>
    <n v="4111.8999999999996"/>
    <s v="January 2023"/>
  </r>
  <r>
    <d v="2023-01-06T00:00:00"/>
    <x v="2532"/>
    <n v="57"/>
    <x v="1"/>
    <x v="7"/>
    <x v="0"/>
    <x v="1"/>
    <n v="4766.05"/>
    <x v="1"/>
    <n v="2503.6022787783854"/>
    <n v="5242.6499999999996"/>
    <n v="5242.66"/>
    <n v="5242.66"/>
    <s v="January 2023"/>
  </r>
  <r>
    <d v="2023-01-06T00:00:00"/>
    <x v="2533"/>
    <n v="0"/>
    <x v="2"/>
    <x v="2"/>
    <x v="2"/>
    <x v="4"/>
    <n v="2364.5100000000002"/>
    <x v="2"/>
    <n v="2440.2966694490838"/>
    <n v="2600.96"/>
    <n v="2600.9700000000003"/>
    <n v="2600.96"/>
    <s v="January 2023"/>
  </r>
  <r>
    <d v="2023-01-06T00:00:00"/>
    <x v="2534"/>
    <n v="15"/>
    <x v="0"/>
    <x v="5"/>
    <x v="0"/>
    <x v="1"/>
    <n v="3033.44"/>
    <x v="2"/>
    <n v="2503.6022787783854"/>
    <n v="3336.78"/>
    <n v="3336.7900000000004"/>
    <n v="3336.78"/>
    <s v="January 2023"/>
  </r>
  <r>
    <d v="2023-01-06T00:00:00"/>
    <x v="2535"/>
    <n v="31"/>
    <x v="1"/>
    <x v="2"/>
    <x v="2"/>
    <x v="0"/>
    <n v="2131.42"/>
    <x v="1"/>
    <n v="2440.2966694490838"/>
    <n v="2344.56"/>
    <n v="2344.5700000000002"/>
    <n v="2344.56"/>
    <s v="January 2023"/>
  </r>
  <r>
    <d v="2023-01-07T00:00:00"/>
    <x v="2536"/>
    <n v="43"/>
    <x v="1"/>
    <x v="5"/>
    <x v="0"/>
    <x v="3"/>
    <n v="3624.67"/>
    <x v="1"/>
    <n v="2503.6022787783854"/>
    <n v="3987.13"/>
    <n v="3987.1400000000003"/>
    <n v="3987.14"/>
    <s v="January 2023"/>
  </r>
  <r>
    <d v="2023-01-07T00:00:00"/>
    <x v="2537"/>
    <n v="68"/>
    <x v="0"/>
    <x v="4"/>
    <x v="2"/>
    <x v="3"/>
    <n v="2024.25"/>
    <x v="0"/>
    <n v="2440.2966694490838"/>
    <n v="2226.67"/>
    <n v="2226.6800000000003"/>
    <n v="2226.6799999999998"/>
    <s v="January 2023"/>
  </r>
  <r>
    <d v="2023-01-07T00:00:00"/>
    <x v="2538"/>
    <n v="0"/>
    <x v="2"/>
    <x v="7"/>
    <x v="3"/>
    <x v="0"/>
    <n v="4944.5"/>
    <x v="2"/>
    <n v="2496.7676064256989"/>
    <n v="5438.95"/>
    <n v="5438.95"/>
    <n v="5438.95"/>
    <s v="January 2023"/>
  </r>
  <r>
    <d v="2023-01-07T00:00:00"/>
    <x v="2539"/>
    <n v="53"/>
    <x v="1"/>
    <x v="7"/>
    <x v="1"/>
    <x v="4"/>
    <n v="4903.3599999999997"/>
    <x v="1"/>
    <n v="2509.1716796874912"/>
    <n v="5393.69"/>
    <n v="5393.7"/>
    <n v="5393.7"/>
    <s v="January 2023"/>
  </r>
  <r>
    <d v="2023-01-07T00:00:00"/>
    <x v="2540"/>
    <n v="95"/>
    <x v="1"/>
    <x v="0"/>
    <x v="2"/>
    <x v="0"/>
    <n v="1744.18"/>
    <x v="0"/>
    <n v="2440.2966694490838"/>
    <n v="1918.59"/>
    <n v="1918.6"/>
    <n v="1918.6"/>
    <s v="January 2023"/>
  </r>
  <r>
    <d v="2023-01-07T00:00:00"/>
    <x v="2541"/>
    <n v="42"/>
    <x v="2"/>
    <x v="6"/>
    <x v="2"/>
    <x v="3"/>
    <n v="3295.64"/>
    <x v="1"/>
    <n v="2440.2966694490838"/>
    <n v="3625.2"/>
    <n v="3625.21"/>
    <n v="3625.2"/>
    <s v="January 2023"/>
  </r>
  <r>
    <d v="2023-01-07T00:00:00"/>
    <x v="2542"/>
    <n v="44"/>
    <x v="0"/>
    <x v="5"/>
    <x v="2"/>
    <x v="0"/>
    <n v="3840.17"/>
    <x v="1"/>
    <n v="2440.2966694490838"/>
    <n v="4224.18"/>
    <n v="4224.1900000000005"/>
    <n v="4224.1899999999996"/>
    <s v="January 2023"/>
  </r>
  <r>
    <d v="2023-01-07T00:00:00"/>
    <x v="2543"/>
    <n v="85"/>
    <x v="2"/>
    <x v="1"/>
    <x v="0"/>
    <x v="0"/>
    <n v="3750.07"/>
    <x v="0"/>
    <n v="2503.6022787783854"/>
    <n v="4125.07"/>
    <n v="4125.08"/>
    <n v="4125.08"/>
    <s v="January 2023"/>
  </r>
  <r>
    <d v="2023-01-07T00:00:00"/>
    <x v="2544"/>
    <n v="20"/>
    <x v="2"/>
    <x v="3"/>
    <x v="1"/>
    <x v="4"/>
    <n v="4058.54"/>
    <x v="1"/>
    <n v="2509.1716796874912"/>
    <n v="4464.3900000000003"/>
    <n v="4464.4000000000005"/>
    <n v="4464.3900000000003"/>
    <s v="January 2023"/>
  </r>
  <r>
    <d v="2023-01-07T00:00:00"/>
    <x v="2545"/>
    <n v="72"/>
    <x v="2"/>
    <x v="3"/>
    <x v="2"/>
    <x v="2"/>
    <n v="3475.19"/>
    <x v="0"/>
    <n v="2440.2966694490838"/>
    <n v="3822.7"/>
    <n v="3822.71"/>
    <n v="3822.71"/>
    <s v="January 2023"/>
  </r>
  <r>
    <d v="2023-01-07T00:00:00"/>
    <x v="2546"/>
    <n v="82"/>
    <x v="1"/>
    <x v="7"/>
    <x v="1"/>
    <x v="1"/>
    <n v="3859.76"/>
    <x v="0"/>
    <n v="2509.1716796874912"/>
    <n v="4245.7299999999996"/>
    <n v="4245.74"/>
    <n v="4245.74"/>
    <s v="January 2023"/>
  </r>
  <r>
    <d v="2023-01-07T00:00:00"/>
    <x v="2547"/>
    <n v="14"/>
    <x v="2"/>
    <x v="1"/>
    <x v="2"/>
    <x v="5"/>
    <n v="3334.5"/>
    <x v="2"/>
    <n v="2440.2966694490838"/>
    <n v="3667.95"/>
    <n v="3667.95"/>
    <n v="3667.95"/>
    <s v="January 2023"/>
  </r>
  <r>
    <d v="2023-01-07T00:00:00"/>
    <x v="2548"/>
    <n v="39"/>
    <x v="2"/>
    <x v="2"/>
    <x v="1"/>
    <x v="1"/>
    <n v="4193.45"/>
    <x v="1"/>
    <n v="2509.1716796874912"/>
    <n v="4612.79"/>
    <n v="4612.8"/>
    <n v="4612.8"/>
    <s v="January 2023"/>
  </r>
  <r>
    <d v="2023-01-08T00:00:00"/>
    <x v="2549"/>
    <n v="17"/>
    <x v="1"/>
    <x v="3"/>
    <x v="1"/>
    <x v="4"/>
    <n v="4915.8500000000004"/>
    <x v="1"/>
    <n v="2509.1716796874912"/>
    <n v="5407.43"/>
    <n v="5407.4400000000005"/>
    <n v="5407.44"/>
    <s v="January 2023"/>
  </r>
  <r>
    <d v="2023-01-08T00:00:00"/>
    <x v="2550"/>
    <n v="86"/>
    <x v="1"/>
    <x v="5"/>
    <x v="2"/>
    <x v="2"/>
    <n v="1888.64"/>
    <x v="0"/>
    <n v="2440.2966694490838"/>
    <n v="2077.5"/>
    <n v="2077.5100000000002"/>
    <n v="2077.5"/>
    <s v="January 2023"/>
  </r>
  <r>
    <d v="2023-01-08T00:00:00"/>
    <x v="2551"/>
    <n v="20"/>
    <x v="1"/>
    <x v="2"/>
    <x v="0"/>
    <x v="3"/>
    <n v="712.51"/>
    <x v="1"/>
    <n v="2503.6022787783854"/>
    <n v="783.76"/>
    <n v="783.77"/>
    <n v="783.76"/>
    <s v="January 2023"/>
  </r>
  <r>
    <d v="2023-01-08T00:00:00"/>
    <x v="2552"/>
    <n v="12"/>
    <x v="1"/>
    <x v="4"/>
    <x v="0"/>
    <x v="0"/>
    <n v="4420.0200000000004"/>
    <x v="2"/>
    <n v="2503.6022787783854"/>
    <n v="4862.0200000000004"/>
    <n v="4862.0300000000007"/>
    <n v="4862.0200000000004"/>
    <s v="January 2023"/>
  </r>
  <r>
    <d v="2023-01-08T00:00:00"/>
    <x v="2553"/>
    <n v="27"/>
    <x v="2"/>
    <x v="0"/>
    <x v="3"/>
    <x v="0"/>
    <n v="2221.5100000000002"/>
    <x v="1"/>
    <n v="2496.7676064256989"/>
    <n v="2443.66"/>
    <n v="2443.67"/>
    <n v="2443.66"/>
    <s v="January 2023"/>
  </r>
  <r>
    <d v="2023-01-08T00:00:00"/>
    <x v="2554"/>
    <n v="9"/>
    <x v="1"/>
    <x v="3"/>
    <x v="2"/>
    <x v="1"/>
    <n v="3777.85"/>
    <x v="2"/>
    <n v="2440.2966694490838"/>
    <n v="4155.63"/>
    <n v="4155.6400000000003"/>
    <n v="4155.6400000000003"/>
    <s v="January 2023"/>
  </r>
  <r>
    <d v="2023-01-08T00:00:00"/>
    <x v="2555"/>
    <n v="28"/>
    <x v="0"/>
    <x v="6"/>
    <x v="2"/>
    <x v="4"/>
    <n v="2639.56"/>
    <x v="1"/>
    <n v="2440.2966694490838"/>
    <n v="2903.51"/>
    <n v="2903.5200000000004"/>
    <n v="2903.52"/>
    <s v="January 2023"/>
  </r>
  <r>
    <d v="2023-01-08T00:00:00"/>
    <x v="2556"/>
    <n v="12"/>
    <x v="2"/>
    <x v="7"/>
    <x v="1"/>
    <x v="0"/>
    <n v="4404.59"/>
    <x v="2"/>
    <n v="2509.1716796874912"/>
    <n v="4845.04"/>
    <n v="4845.05"/>
    <n v="4845.05"/>
    <s v="January 2023"/>
  </r>
  <r>
    <d v="2023-01-08T00:00:00"/>
    <x v="2557"/>
    <n v="89"/>
    <x v="2"/>
    <x v="1"/>
    <x v="1"/>
    <x v="0"/>
    <n v="640.54999999999995"/>
    <x v="0"/>
    <n v="2509.1716796874912"/>
    <n v="704.6"/>
    <n v="704.61"/>
    <n v="704.61"/>
    <s v="January 2023"/>
  </r>
  <r>
    <d v="2023-01-09T00:00:00"/>
    <x v="2558"/>
    <n v="68"/>
    <x v="0"/>
    <x v="0"/>
    <x v="2"/>
    <x v="1"/>
    <n v="4758.7700000000004"/>
    <x v="0"/>
    <n v="2440.2966694490838"/>
    <n v="5234.6400000000003"/>
    <n v="5234.6500000000005"/>
    <n v="5234.6499999999996"/>
    <s v="January 2023"/>
  </r>
  <r>
    <d v="2023-01-09T00:00:00"/>
    <x v="2559"/>
    <n v="40"/>
    <x v="0"/>
    <x v="1"/>
    <x v="3"/>
    <x v="4"/>
    <n v="1727.07"/>
    <x v="1"/>
    <n v="2496.7676064256989"/>
    <n v="1899.77"/>
    <n v="1899.78"/>
    <n v="1899.78"/>
    <s v="January 2023"/>
  </r>
  <r>
    <d v="2023-01-09T00:00:00"/>
    <x v="2560"/>
    <n v="50"/>
    <x v="0"/>
    <x v="5"/>
    <x v="2"/>
    <x v="2"/>
    <n v="4408.8599999999997"/>
    <x v="1"/>
    <n v="2440.2966694490838"/>
    <n v="4849.74"/>
    <n v="4849.75"/>
    <n v="4849.75"/>
    <s v="January 2023"/>
  </r>
  <r>
    <d v="2023-01-09T00:00:00"/>
    <x v="2561"/>
    <n v="44"/>
    <x v="1"/>
    <x v="3"/>
    <x v="3"/>
    <x v="0"/>
    <n v="3017.71"/>
    <x v="1"/>
    <n v="2496.7676064256989"/>
    <n v="3319.48"/>
    <n v="3319.4900000000002"/>
    <n v="3319.48"/>
    <s v="January 2023"/>
  </r>
  <r>
    <d v="2023-01-09T00:00:00"/>
    <x v="2562"/>
    <n v="96"/>
    <x v="1"/>
    <x v="3"/>
    <x v="1"/>
    <x v="5"/>
    <n v="3114.73"/>
    <x v="0"/>
    <n v="2509.1716796874912"/>
    <n v="3426.2"/>
    <n v="3426.21"/>
    <n v="3426.2"/>
    <s v="January 2023"/>
  </r>
  <r>
    <d v="2023-01-09T00:00:00"/>
    <x v="2563"/>
    <n v="21"/>
    <x v="1"/>
    <x v="1"/>
    <x v="2"/>
    <x v="2"/>
    <n v="3203.92"/>
    <x v="1"/>
    <n v="2440.2966694490838"/>
    <n v="3524.31"/>
    <n v="3524.32"/>
    <n v="3524.31"/>
    <s v="January 2023"/>
  </r>
  <r>
    <d v="2023-01-09T00:00:00"/>
    <x v="2564"/>
    <n v="4"/>
    <x v="1"/>
    <x v="2"/>
    <x v="3"/>
    <x v="1"/>
    <n v="635.91"/>
    <x v="2"/>
    <n v="2496.7676064256989"/>
    <n v="699.5"/>
    <n v="699.51"/>
    <n v="699.5"/>
    <s v="January 2023"/>
  </r>
  <r>
    <d v="2023-01-10T00:00:00"/>
    <x v="2565"/>
    <n v="21"/>
    <x v="1"/>
    <x v="7"/>
    <x v="3"/>
    <x v="0"/>
    <n v="3315.65"/>
    <x v="1"/>
    <n v="2496.7676064256989"/>
    <n v="3647.21"/>
    <n v="3647.2200000000003"/>
    <n v="3647.22"/>
    <s v="January 2023"/>
  </r>
  <r>
    <d v="2023-01-10T00:00:00"/>
    <x v="2566"/>
    <n v="41"/>
    <x v="0"/>
    <x v="5"/>
    <x v="0"/>
    <x v="0"/>
    <n v="1997.16"/>
    <x v="1"/>
    <n v="2503.6022787783854"/>
    <n v="2196.87"/>
    <n v="2196.88"/>
    <n v="2196.88"/>
    <s v="January 2023"/>
  </r>
  <r>
    <d v="2023-01-10T00:00:00"/>
    <x v="2567"/>
    <n v="87"/>
    <x v="2"/>
    <x v="6"/>
    <x v="0"/>
    <x v="1"/>
    <n v="2813.34"/>
    <x v="0"/>
    <n v="2503.6022787783854"/>
    <n v="3094.67"/>
    <n v="3094.6800000000003"/>
    <n v="3094.67"/>
    <s v="January 2023"/>
  </r>
  <r>
    <d v="2023-01-10T00:00:00"/>
    <x v="2568"/>
    <n v="96"/>
    <x v="1"/>
    <x v="6"/>
    <x v="2"/>
    <x v="3"/>
    <n v="2330.14"/>
    <x v="0"/>
    <n v="2440.2966694490838"/>
    <n v="2563.15"/>
    <n v="2563.1600000000003"/>
    <n v="2563.15"/>
    <s v="January 2023"/>
  </r>
  <r>
    <d v="2023-01-10T00:00:00"/>
    <x v="2569"/>
    <n v="78"/>
    <x v="1"/>
    <x v="1"/>
    <x v="2"/>
    <x v="3"/>
    <n v="3003.91"/>
    <x v="0"/>
    <n v="2440.2966694490838"/>
    <n v="3304.3"/>
    <n v="3304.3100000000004"/>
    <n v="3304.3"/>
    <s v="January 2023"/>
  </r>
  <r>
    <d v="2023-01-10T00:00:00"/>
    <x v="2570"/>
    <n v="16"/>
    <x v="2"/>
    <x v="6"/>
    <x v="0"/>
    <x v="3"/>
    <n v="3796.82"/>
    <x v="1"/>
    <n v="2503.6022787783854"/>
    <n v="4176.5"/>
    <n v="4176.51"/>
    <n v="4176.5"/>
    <s v="January 2023"/>
  </r>
  <r>
    <d v="2023-01-10T00:00:00"/>
    <x v="2571"/>
    <n v="44"/>
    <x v="0"/>
    <x v="4"/>
    <x v="3"/>
    <x v="2"/>
    <n v="1411.21"/>
    <x v="1"/>
    <n v="2496.7676064256989"/>
    <n v="1552.33"/>
    <n v="1552.34"/>
    <n v="1552.33"/>
    <s v="January 2023"/>
  </r>
  <r>
    <d v="2023-01-10T00:00:00"/>
    <x v="2572"/>
    <n v="91"/>
    <x v="0"/>
    <x v="7"/>
    <x v="3"/>
    <x v="0"/>
    <n v="541.02"/>
    <x v="0"/>
    <n v="2496.7676064256989"/>
    <n v="595.12"/>
    <n v="595.13"/>
    <n v="595.12"/>
    <s v="January 2023"/>
  </r>
  <r>
    <d v="2023-01-11T00:00:00"/>
    <x v="2573"/>
    <n v="35"/>
    <x v="0"/>
    <x v="0"/>
    <x v="0"/>
    <x v="3"/>
    <n v="1481.26"/>
    <x v="1"/>
    <n v="2503.6022787783854"/>
    <n v="1629.38"/>
    <n v="1629.39"/>
    <n v="1629.39"/>
    <s v="January 2023"/>
  </r>
  <r>
    <d v="2023-01-11T00:00:00"/>
    <x v="2574"/>
    <n v="72"/>
    <x v="2"/>
    <x v="2"/>
    <x v="3"/>
    <x v="0"/>
    <n v="3454.3"/>
    <x v="0"/>
    <n v="2496.7676064256989"/>
    <n v="3799.73"/>
    <n v="3799.73"/>
    <n v="3799.73"/>
    <s v="January 2023"/>
  </r>
  <r>
    <d v="2023-01-11T00:00:00"/>
    <x v="2575"/>
    <n v="32"/>
    <x v="0"/>
    <x v="2"/>
    <x v="1"/>
    <x v="0"/>
    <n v="64.459999999999994"/>
    <x v="1"/>
    <n v="2509.1716796874912"/>
    <n v="70.900000000000006"/>
    <n v="70.910000000000011"/>
    <n v="70.91"/>
    <s v="January 2023"/>
  </r>
  <r>
    <d v="2023-01-11T00:00:00"/>
    <x v="2576"/>
    <n v="43"/>
    <x v="1"/>
    <x v="7"/>
    <x v="3"/>
    <x v="1"/>
    <n v="4971.17"/>
    <x v="1"/>
    <n v="2496.7676064256989"/>
    <n v="5468.28"/>
    <n v="5468.29"/>
    <n v="5468.29"/>
    <s v="January 2023"/>
  </r>
  <r>
    <d v="2023-01-11T00:00:00"/>
    <x v="2577"/>
    <n v="56"/>
    <x v="0"/>
    <x v="4"/>
    <x v="3"/>
    <x v="0"/>
    <n v="4909.1499999999996"/>
    <x v="1"/>
    <n v="2496.7676064256989"/>
    <n v="5400.06"/>
    <n v="5400.0700000000006"/>
    <n v="5400.07"/>
    <s v="January 2023"/>
  </r>
  <r>
    <d v="2023-01-11T00:00:00"/>
    <x v="2578"/>
    <n v="10"/>
    <x v="0"/>
    <x v="2"/>
    <x v="0"/>
    <x v="3"/>
    <n v="3970.38"/>
    <x v="2"/>
    <n v="2503.6022787783854"/>
    <n v="4367.41"/>
    <n v="4367.42"/>
    <n v="4367.42"/>
    <s v="January 2023"/>
  </r>
  <r>
    <d v="2023-01-11T00:00:00"/>
    <x v="2579"/>
    <n v="78"/>
    <x v="0"/>
    <x v="7"/>
    <x v="0"/>
    <x v="4"/>
    <n v="3947.69"/>
    <x v="0"/>
    <n v="2503.6022787783854"/>
    <n v="4342.45"/>
    <n v="4342.46"/>
    <n v="4342.46"/>
    <s v="January 2023"/>
  </r>
  <r>
    <d v="2023-01-12T00:00:00"/>
    <x v="2580"/>
    <n v="50"/>
    <x v="0"/>
    <x v="4"/>
    <x v="0"/>
    <x v="4"/>
    <n v="3042.91"/>
    <x v="1"/>
    <n v="2503.6022787783854"/>
    <n v="3347.2"/>
    <n v="3347.21"/>
    <n v="3347.2"/>
    <s v="January 2023"/>
  </r>
  <r>
    <d v="2023-01-12T00:00:00"/>
    <x v="2581"/>
    <n v="85"/>
    <x v="0"/>
    <x v="4"/>
    <x v="1"/>
    <x v="1"/>
    <n v="116.1"/>
    <x v="0"/>
    <n v="2509.1716796874912"/>
    <n v="127.71"/>
    <n v="127.71"/>
    <n v="127.71"/>
    <s v="January 2023"/>
  </r>
  <r>
    <d v="2023-01-12T00:00:00"/>
    <x v="2582"/>
    <n v="46"/>
    <x v="0"/>
    <x v="7"/>
    <x v="1"/>
    <x v="2"/>
    <n v="4527.46"/>
    <x v="1"/>
    <n v="2509.1716796874912"/>
    <n v="4980.2"/>
    <n v="4980.21"/>
    <n v="4980.21"/>
    <s v="January 2023"/>
  </r>
  <r>
    <d v="2023-01-12T00:00:00"/>
    <x v="2583"/>
    <n v="1"/>
    <x v="1"/>
    <x v="4"/>
    <x v="1"/>
    <x v="0"/>
    <n v="3978.83"/>
    <x v="2"/>
    <n v="2509.1716796874912"/>
    <n v="4376.71"/>
    <n v="4376.72"/>
    <n v="4376.71"/>
    <s v="January 2023"/>
  </r>
  <r>
    <d v="2023-01-12T00:00:00"/>
    <x v="2584"/>
    <n v="99"/>
    <x v="2"/>
    <x v="3"/>
    <x v="1"/>
    <x v="0"/>
    <n v="616.53"/>
    <x v="0"/>
    <n v="2509.1716796874912"/>
    <n v="678.18"/>
    <n v="678.18999999999994"/>
    <n v="678.18"/>
    <s v="January 2023"/>
  </r>
  <r>
    <d v="2023-01-13T00:00:00"/>
    <x v="2585"/>
    <n v="49"/>
    <x v="1"/>
    <x v="0"/>
    <x v="3"/>
    <x v="0"/>
    <n v="1684.74"/>
    <x v="1"/>
    <n v="2496.7676064256989"/>
    <n v="1853.21"/>
    <n v="1853.22"/>
    <n v="1853.21"/>
    <s v="January 2023"/>
  </r>
  <r>
    <d v="2023-01-13T00:00:00"/>
    <x v="2586"/>
    <n v="17"/>
    <x v="1"/>
    <x v="5"/>
    <x v="1"/>
    <x v="3"/>
    <n v="2700.31"/>
    <x v="1"/>
    <n v="2509.1716796874912"/>
    <n v="2970.34"/>
    <n v="2970.3500000000004"/>
    <n v="2970.34"/>
    <s v="January 2023"/>
  </r>
  <r>
    <d v="2023-01-13T00:00:00"/>
    <x v="2587"/>
    <n v="0"/>
    <x v="0"/>
    <x v="7"/>
    <x v="0"/>
    <x v="0"/>
    <n v="3547.11"/>
    <x v="2"/>
    <n v="2503.6022787783854"/>
    <n v="3901.82"/>
    <n v="3901.8300000000004"/>
    <n v="3901.82"/>
    <s v="January 2023"/>
  </r>
  <r>
    <d v="2023-01-13T00:00:00"/>
    <x v="2588"/>
    <n v="13"/>
    <x v="0"/>
    <x v="5"/>
    <x v="1"/>
    <x v="4"/>
    <n v="2470.4499999999998"/>
    <x v="2"/>
    <n v="2509.1716796874912"/>
    <n v="2717.49"/>
    <n v="2717.5"/>
    <n v="2717.5"/>
    <s v="January 2023"/>
  </r>
  <r>
    <d v="2023-01-14T00:00:00"/>
    <x v="2589"/>
    <n v="65"/>
    <x v="1"/>
    <x v="1"/>
    <x v="0"/>
    <x v="2"/>
    <n v="938.73"/>
    <x v="0"/>
    <n v="2503.6022787783854"/>
    <n v="1032.5999999999999"/>
    <n v="1032.6099999999999"/>
    <n v="1032.5999999999999"/>
    <s v="January 2023"/>
  </r>
  <r>
    <d v="2023-01-14T00:00:00"/>
    <x v="2590"/>
    <n v="28"/>
    <x v="1"/>
    <x v="6"/>
    <x v="0"/>
    <x v="2"/>
    <n v="451.44"/>
    <x v="1"/>
    <n v="2503.6022787783854"/>
    <n v="496.58"/>
    <n v="496.59"/>
    <n v="496.58"/>
    <s v="January 2023"/>
  </r>
  <r>
    <d v="2023-01-14T00:00:00"/>
    <x v="2591"/>
    <n v="5"/>
    <x v="1"/>
    <x v="1"/>
    <x v="2"/>
    <x v="1"/>
    <n v="2491.79"/>
    <x v="2"/>
    <n v="2440.2966694490838"/>
    <n v="2740.96"/>
    <n v="2740.9700000000003"/>
    <n v="2740.97"/>
    <s v="January 2023"/>
  </r>
  <r>
    <d v="2023-01-14T00:00:00"/>
    <x v="2592"/>
    <n v="29"/>
    <x v="0"/>
    <x v="0"/>
    <x v="1"/>
    <x v="3"/>
    <n v="2948.06"/>
    <x v="1"/>
    <n v="2509.1716796874912"/>
    <n v="3242.86"/>
    <n v="3242.8700000000003"/>
    <n v="3242.87"/>
    <s v="January 2023"/>
  </r>
  <r>
    <d v="2023-01-14T00:00:00"/>
    <x v="2593"/>
    <n v="79"/>
    <x v="2"/>
    <x v="2"/>
    <x v="1"/>
    <x v="0"/>
    <n v="3284.08"/>
    <x v="0"/>
    <n v="2509.1716796874912"/>
    <n v="3612.48"/>
    <n v="3612.4900000000002"/>
    <n v="3612.49"/>
    <s v="January 2023"/>
  </r>
  <r>
    <d v="2023-01-15T00:00:00"/>
    <x v="2594"/>
    <n v="18"/>
    <x v="1"/>
    <x v="5"/>
    <x v="0"/>
    <x v="0"/>
    <n v="4217.5"/>
    <x v="1"/>
    <n v="2503.6022787783854"/>
    <n v="4639.25"/>
    <n v="4639.25"/>
    <n v="4639.25"/>
    <s v="January 2023"/>
  </r>
  <r>
    <d v="2023-01-15T00:00:00"/>
    <x v="2595"/>
    <n v="64"/>
    <x v="2"/>
    <x v="1"/>
    <x v="2"/>
    <x v="4"/>
    <n v="277.11"/>
    <x v="1"/>
    <n v="2440.2966694490838"/>
    <n v="304.82"/>
    <n v="304.83"/>
    <n v="304.82"/>
    <s v="January 2023"/>
  </r>
  <r>
    <d v="2023-01-15T00:00:00"/>
    <x v="2596"/>
    <n v="3"/>
    <x v="2"/>
    <x v="7"/>
    <x v="0"/>
    <x v="4"/>
    <n v="4259.5"/>
    <x v="2"/>
    <n v="2503.6022787783854"/>
    <n v="4685.45"/>
    <n v="4685.45"/>
    <n v="4685.45"/>
    <s v="January 2023"/>
  </r>
  <r>
    <d v="2023-01-15T00:00:00"/>
    <x v="2597"/>
    <n v="59"/>
    <x v="1"/>
    <x v="1"/>
    <x v="1"/>
    <x v="0"/>
    <n v="635.32000000000005"/>
    <x v="1"/>
    <n v="2509.1716796874912"/>
    <n v="698.85"/>
    <n v="698.86"/>
    <n v="698.85"/>
    <s v="January 2023"/>
  </r>
  <r>
    <d v="2023-01-15T00:00:00"/>
    <x v="2598"/>
    <n v="88"/>
    <x v="1"/>
    <x v="5"/>
    <x v="1"/>
    <x v="0"/>
    <n v="328.94"/>
    <x v="0"/>
    <n v="2509.1716796874912"/>
    <n v="361.83"/>
    <n v="361.84"/>
    <n v="361.83"/>
    <s v="January 2023"/>
  </r>
  <r>
    <d v="2023-01-16T00:00:00"/>
    <x v="2599"/>
    <n v="29"/>
    <x v="1"/>
    <x v="3"/>
    <x v="2"/>
    <x v="2"/>
    <n v="4119.4399999999996"/>
    <x v="1"/>
    <n v="2440.2966694490838"/>
    <n v="4531.38"/>
    <n v="4531.3900000000003"/>
    <n v="4531.38"/>
    <s v="January 2023"/>
  </r>
  <r>
    <d v="2023-01-16T00:00:00"/>
    <x v="2600"/>
    <n v="74"/>
    <x v="2"/>
    <x v="4"/>
    <x v="2"/>
    <x v="0"/>
    <n v="2050.71"/>
    <x v="0"/>
    <n v="2440.2966694490838"/>
    <n v="2255.7800000000002"/>
    <n v="2255.7900000000004"/>
    <n v="2255.7800000000002"/>
    <s v="January 2023"/>
  </r>
  <r>
    <d v="2023-01-16T00:00:00"/>
    <x v="2601"/>
    <n v="94"/>
    <x v="0"/>
    <x v="0"/>
    <x v="0"/>
    <x v="3"/>
    <n v="540.63"/>
    <x v="0"/>
    <n v="2503.6022787783854"/>
    <n v="594.69000000000005"/>
    <n v="594.70000000000005"/>
    <n v="594.69000000000005"/>
    <s v="January 2023"/>
  </r>
  <r>
    <d v="2023-01-16T00:00:00"/>
    <x v="2602"/>
    <n v="51"/>
    <x v="1"/>
    <x v="1"/>
    <x v="1"/>
    <x v="3"/>
    <n v="3995.85"/>
    <x v="1"/>
    <n v="2509.1716796874912"/>
    <n v="4395.43"/>
    <n v="4395.4400000000005"/>
    <n v="4395.4399999999996"/>
    <s v="January 2023"/>
  </r>
  <r>
    <d v="2023-01-16T00:00:00"/>
    <x v="2603"/>
    <n v="90"/>
    <x v="1"/>
    <x v="3"/>
    <x v="3"/>
    <x v="2"/>
    <n v="2852.2"/>
    <x v="0"/>
    <n v="2496.7676064256989"/>
    <n v="3137.42"/>
    <n v="3137.42"/>
    <n v="3137.42"/>
    <s v="January 2023"/>
  </r>
  <r>
    <d v="2023-01-16T00:00:00"/>
    <x v="2604"/>
    <n v="45"/>
    <x v="2"/>
    <x v="2"/>
    <x v="0"/>
    <x v="3"/>
    <n v="759.79"/>
    <x v="1"/>
    <n v="2503.6022787783854"/>
    <n v="835.76"/>
    <n v="835.77"/>
    <n v="835.77"/>
    <s v="January 2023"/>
  </r>
  <r>
    <d v="2023-01-16T00:00:00"/>
    <x v="2605"/>
    <n v="81"/>
    <x v="1"/>
    <x v="5"/>
    <x v="3"/>
    <x v="4"/>
    <n v="4711.07"/>
    <x v="0"/>
    <n v="2496.7676064256989"/>
    <n v="5182.17"/>
    <n v="5182.18"/>
    <n v="5182.18"/>
    <s v="January 2023"/>
  </r>
  <r>
    <d v="2023-01-16T00:00:00"/>
    <x v="2606"/>
    <n v="57"/>
    <x v="2"/>
    <x v="3"/>
    <x v="3"/>
    <x v="2"/>
    <n v="2568.67"/>
    <x v="1"/>
    <n v="2496.7676064256989"/>
    <n v="2825.53"/>
    <n v="2825.5400000000004"/>
    <n v="2825.54"/>
    <s v="January 2023"/>
  </r>
  <r>
    <d v="2023-01-17T00:00:00"/>
    <x v="2607"/>
    <n v="45"/>
    <x v="0"/>
    <x v="2"/>
    <x v="2"/>
    <x v="4"/>
    <n v="4892.88"/>
    <x v="1"/>
    <n v="2440.2966694490838"/>
    <n v="5382.16"/>
    <n v="5382.17"/>
    <n v="5382.17"/>
    <s v="January 2023"/>
  </r>
  <r>
    <d v="2023-01-17T00:00:00"/>
    <x v="2608"/>
    <n v="12"/>
    <x v="1"/>
    <x v="1"/>
    <x v="0"/>
    <x v="0"/>
    <n v="3268.31"/>
    <x v="2"/>
    <n v="2503.6022787783854"/>
    <n v="3595.14"/>
    <n v="3595.15"/>
    <n v="3595.14"/>
    <s v="January 2023"/>
  </r>
  <r>
    <d v="2023-01-17T00:00:00"/>
    <x v="2609"/>
    <n v="69"/>
    <x v="0"/>
    <x v="7"/>
    <x v="0"/>
    <x v="3"/>
    <n v="1834.53"/>
    <x v="0"/>
    <n v="2503.6022787783854"/>
    <n v="2017.98"/>
    <n v="2017.99"/>
    <n v="2017.98"/>
    <s v="January 2023"/>
  </r>
  <r>
    <d v="2023-01-17T00:00:00"/>
    <x v="2610"/>
    <n v="68"/>
    <x v="1"/>
    <x v="3"/>
    <x v="0"/>
    <x v="0"/>
    <n v="120.95"/>
    <x v="0"/>
    <n v="2503.6022787783854"/>
    <n v="133.04"/>
    <n v="133.04999999999998"/>
    <n v="133.05000000000001"/>
    <s v="January 2023"/>
  </r>
  <r>
    <d v="2023-01-17T00:00:00"/>
    <x v="2611"/>
    <n v="40"/>
    <x v="2"/>
    <x v="2"/>
    <x v="2"/>
    <x v="2"/>
    <n v="747.37"/>
    <x v="1"/>
    <n v="2440.2966694490838"/>
    <n v="822.1"/>
    <n v="822.11"/>
    <n v="822.11"/>
    <s v="January 2023"/>
  </r>
  <r>
    <d v="2023-01-17T00:00:00"/>
    <x v="2612"/>
    <n v="42"/>
    <x v="1"/>
    <x v="5"/>
    <x v="1"/>
    <x v="3"/>
    <n v="343.1"/>
    <x v="1"/>
    <n v="2509.1716796874912"/>
    <n v="377.41"/>
    <n v="377.41"/>
    <n v="377.41"/>
    <s v="January 2023"/>
  </r>
  <r>
    <d v="2023-01-18T00:00:00"/>
    <x v="2613"/>
    <n v="78"/>
    <x v="0"/>
    <x v="4"/>
    <x v="3"/>
    <x v="0"/>
    <n v="789.19"/>
    <x v="0"/>
    <n v="2496.7676064256989"/>
    <n v="868.1"/>
    <n v="868.11"/>
    <n v="868.11"/>
    <s v="January 2023"/>
  </r>
  <r>
    <d v="2023-01-18T00:00:00"/>
    <x v="2614"/>
    <n v="58"/>
    <x v="0"/>
    <x v="5"/>
    <x v="3"/>
    <x v="3"/>
    <n v="1370.94"/>
    <x v="1"/>
    <n v="2496.7676064256989"/>
    <n v="1508.03"/>
    <n v="1508.04"/>
    <n v="1508.03"/>
    <s v="January 2023"/>
  </r>
  <r>
    <d v="2023-01-18T00:00:00"/>
    <x v="2615"/>
    <n v="58"/>
    <x v="0"/>
    <x v="4"/>
    <x v="1"/>
    <x v="3"/>
    <n v="3156.18"/>
    <x v="1"/>
    <n v="2509.1716796874912"/>
    <n v="3471.79"/>
    <n v="3471.8"/>
    <n v="3471.8"/>
    <s v="January 2023"/>
  </r>
  <r>
    <d v="2023-01-18T00:00:00"/>
    <x v="2616"/>
    <n v="92"/>
    <x v="1"/>
    <x v="2"/>
    <x v="0"/>
    <x v="1"/>
    <n v="4207.6499999999996"/>
    <x v="0"/>
    <n v="2503.6022787783854"/>
    <n v="4628.41"/>
    <n v="4628.42"/>
    <n v="4628.42"/>
    <s v="January 2023"/>
  </r>
  <r>
    <d v="2023-01-18T00:00:00"/>
    <x v="2617"/>
    <n v="54"/>
    <x v="0"/>
    <x v="2"/>
    <x v="2"/>
    <x v="2"/>
    <n v="2351.0500000000002"/>
    <x v="1"/>
    <n v="2440.2966694490838"/>
    <n v="2586.15"/>
    <n v="2586.1600000000003"/>
    <n v="2586.16"/>
    <s v="January 2023"/>
  </r>
  <r>
    <d v="2023-01-18T00:00:00"/>
    <x v="2618"/>
    <n v="38"/>
    <x v="0"/>
    <x v="5"/>
    <x v="2"/>
    <x v="0"/>
    <n v="3470.8"/>
    <x v="1"/>
    <n v="2440.2966694490838"/>
    <n v="3817.88"/>
    <n v="3817.88"/>
    <n v="3817.88"/>
    <s v="January 2023"/>
  </r>
  <r>
    <d v="2023-01-18T00:00:00"/>
    <x v="2619"/>
    <n v="99"/>
    <x v="1"/>
    <x v="5"/>
    <x v="2"/>
    <x v="3"/>
    <n v="4650.01"/>
    <x v="0"/>
    <n v="2440.2966694490838"/>
    <n v="5115.01"/>
    <n v="5115.0200000000004"/>
    <n v="5115.01"/>
    <s v="January 2023"/>
  </r>
  <r>
    <d v="2023-01-18T00:00:00"/>
    <x v="2620"/>
    <n v="45"/>
    <x v="2"/>
    <x v="1"/>
    <x v="1"/>
    <x v="1"/>
    <n v="3337.58"/>
    <x v="1"/>
    <n v="2509.1716796874912"/>
    <n v="3671.33"/>
    <n v="3671.34"/>
    <n v="3671.34"/>
    <s v="January 2023"/>
  </r>
  <r>
    <d v="2023-01-18T00:00:00"/>
    <x v="2621"/>
    <n v="36"/>
    <x v="0"/>
    <x v="0"/>
    <x v="2"/>
    <x v="1"/>
    <n v="3208.05"/>
    <x v="1"/>
    <n v="2440.2966694490838"/>
    <n v="3528.85"/>
    <n v="3528.86"/>
    <n v="3528.86"/>
    <s v="January 2023"/>
  </r>
  <r>
    <d v="2023-01-18T00:00:00"/>
    <x v="2622"/>
    <n v="64"/>
    <x v="1"/>
    <x v="2"/>
    <x v="2"/>
    <x v="0"/>
    <n v="1533.33"/>
    <x v="1"/>
    <n v="2440.2966694490838"/>
    <n v="1686.66"/>
    <n v="1686.67"/>
    <n v="1686.66"/>
    <s v="January 2023"/>
  </r>
  <r>
    <d v="2023-01-19T00:00:00"/>
    <x v="2623"/>
    <n v="3"/>
    <x v="0"/>
    <x v="3"/>
    <x v="3"/>
    <x v="4"/>
    <n v="4107.79"/>
    <x v="2"/>
    <n v="2496.7676064256989"/>
    <n v="4518.5600000000004"/>
    <n v="4518.5700000000006"/>
    <n v="4518.57"/>
    <s v="January 2023"/>
  </r>
  <r>
    <d v="2023-01-19T00:00:00"/>
    <x v="2624"/>
    <n v="65"/>
    <x v="1"/>
    <x v="0"/>
    <x v="0"/>
    <x v="4"/>
    <n v="2572.7399999999998"/>
    <x v="0"/>
    <n v="2503.6022787783854"/>
    <n v="2830.01"/>
    <n v="2830.0200000000004"/>
    <n v="2830.01"/>
    <s v="January 2023"/>
  </r>
  <r>
    <d v="2023-01-19T00:00:00"/>
    <x v="2625"/>
    <n v="25"/>
    <x v="2"/>
    <x v="4"/>
    <x v="0"/>
    <x v="1"/>
    <n v="1984.36"/>
    <x v="1"/>
    <n v="2503.6022787783854"/>
    <n v="2182.79"/>
    <n v="2182.8000000000002"/>
    <n v="2182.8000000000002"/>
    <s v="January 2023"/>
  </r>
  <r>
    <d v="2023-01-19T00:00:00"/>
    <x v="2626"/>
    <n v="12"/>
    <x v="1"/>
    <x v="6"/>
    <x v="0"/>
    <x v="0"/>
    <n v="225.42"/>
    <x v="2"/>
    <n v="2503.6022787783854"/>
    <n v="247.96"/>
    <n v="247.97"/>
    <n v="247.96"/>
    <s v="January 2023"/>
  </r>
  <r>
    <d v="2023-01-19T00:00:00"/>
    <x v="2627"/>
    <n v="1"/>
    <x v="1"/>
    <x v="4"/>
    <x v="2"/>
    <x v="3"/>
    <n v="282.02"/>
    <x v="2"/>
    <n v="2440.2966694490838"/>
    <n v="310.22000000000003"/>
    <n v="310.23"/>
    <n v="310.22000000000003"/>
    <s v="January 2023"/>
  </r>
  <r>
    <d v="2023-01-19T00:00:00"/>
    <x v="2628"/>
    <n v="86"/>
    <x v="2"/>
    <x v="7"/>
    <x v="2"/>
    <x v="0"/>
    <n v="2437.56"/>
    <x v="0"/>
    <n v="2440.2966694490838"/>
    <n v="2681.31"/>
    <n v="2681.32"/>
    <n v="2681.32"/>
    <s v="January 2023"/>
  </r>
  <r>
    <d v="2023-01-19T00:00:00"/>
    <x v="2629"/>
    <n v="37"/>
    <x v="0"/>
    <x v="6"/>
    <x v="0"/>
    <x v="0"/>
    <n v="153.22"/>
    <x v="1"/>
    <n v="2503.6022787783854"/>
    <n v="168.54"/>
    <n v="168.54999999999998"/>
    <n v="168.54"/>
    <s v="January 2023"/>
  </r>
  <r>
    <d v="2023-01-19T00:00:00"/>
    <x v="2630"/>
    <n v="12"/>
    <x v="2"/>
    <x v="4"/>
    <x v="1"/>
    <x v="0"/>
    <n v="4178.1099999999997"/>
    <x v="2"/>
    <n v="2509.1716796874912"/>
    <n v="4595.92"/>
    <n v="4595.93"/>
    <n v="4595.92"/>
    <s v="January 2023"/>
  </r>
  <r>
    <d v="2023-01-19T00:00:00"/>
    <x v="2631"/>
    <n v="64"/>
    <x v="1"/>
    <x v="1"/>
    <x v="3"/>
    <x v="1"/>
    <n v="1966.99"/>
    <x v="1"/>
    <n v="2496.7676064256989"/>
    <n v="2163.6799999999998"/>
    <n v="2163.69"/>
    <n v="2163.69"/>
    <s v="January 2023"/>
  </r>
  <r>
    <d v="2023-01-20T00:00:00"/>
    <x v="2632"/>
    <n v="88"/>
    <x v="1"/>
    <x v="0"/>
    <x v="0"/>
    <x v="0"/>
    <n v="1625.37"/>
    <x v="0"/>
    <n v="2503.6022787783854"/>
    <n v="1787.9"/>
    <n v="1787.91"/>
    <n v="1787.91"/>
    <s v="January 2023"/>
  </r>
  <r>
    <d v="2023-01-20T00:00:00"/>
    <x v="2633"/>
    <n v="51"/>
    <x v="0"/>
    <x v="5"/>
    <x v="3"/>
    <x v="1"/>
    <n v="4803.76"/>
    <x v="1"/>
    <n v="2496.7676064256989"/>
    <n v="5284.13"/>
    <n v="5284.14"/>
    <n v="5284.14"/>
    <s v="January 2023"/>
  </r>
  <r>
    <d v="2023-01-20T00:00:00"/>
    <x v="2634"/>
    <n v="18"/>
    <x v="0"/>
    <x v="7"/>
    <x v="3"/>
    <x v="1"/>
    <n v="235.52"/>
    <x v="1"/>
    <n v="2496.7676064256989"/>
    <n v="259.07"/>
    <n v="259.08"/>
    <n v="259.07"/>
    <s v="January 2023"/>
  </r>
  <r>
    <d v="2023-01-20T00:00:00"/>
    <x v="2635"/>
    <n v="91"/>
    <x v="1"/>
    <x v="2"/>
    <x v="2"/>
    <x v="3"/>
    <n v="2102.77"/>
    <x v="0"/>
    <n v="2440.2966694490838"/>
    <n v="2313.04"/>
    <n v="2313.0500000000002"/>
    <n v="2313.0500000000002"/>
    <s v="January 2023"/>
  </r>
  <r>
    <d v="2023-01-20T00:00:00"/>
    <x v="2636"/>
    <n v="47"/>
    <x v="0"/>
    <x v="7"/>
    <x v="0"/>
    <x v="4"/>
    <n v="1325.35"/>
    <x v="1"/>
    <n v="2503.6022787783854"/>
    <n v="1457.88"/>
    <n v="1457.89"/>
    <n v="1457.89"/>
    <s v="January 2023"/>
  </r>
  <r>
    <d v="2023-01-20T00:00:00"/>
    <x v="2637"/>
    <n v="19"/>
    <x v="0"/>
    <x v="5"/>
    <x v="3"/>
    <x v="4"/>
    <n v="2835.14"/>
    <x v="1"/>
    <n v="2496.7676064256989"/>
    <n v="3118.65"/>
    <n v="3118.6600000000003"/>
    <n v="3118.65"/>
    <s v="January 2023"/>
  </r>
  <r>
    <d v="2023-01-20T00:00:00"/>
    <x v="2638"/>
    <n v="87"/>
    <x v="0"/>
    <x v="2"/>
    <x v="3"/>
    <x v="1"/>
    <n v="1898.94"/>
    <x v="0"/>
    <n v="2496.7676064256989"/>
    <n v="2088.83"/>
    <n v="2088.84"/>
    <n v="2088.83"/>
    <s v="January 2023"/>
  </r>
  <r>
    <d v="2023-01-20T00:00:00"/>
    <x v="2639"/>
    <n v="44"/>
    <x v="2"/>
    <x v="5"/>
    <x v="3"/>
    <x v="0"/>
    <n v="4947.3999999999996"/>
    <x v="1"/>
    <n v="2496.7676064256989"/>
    <n v="5442.14"/>
    <n v="5442.14"/>
    <n v="5442.14"/>
    <s v="January 2023"/>
  </r>
  <r>
    <d v="2023-01-21T00:00:00"/>
    <x v="2640"/>
    <n v="52"/>
    <x v="2"/>
    <x v="4"/>
    <x v="1"/>
    <x v="0"/>
    <n v="3870.75"/>
    <x v="1"/>
    <n v="2509.1716796874912"/>
    <n v="4257.82"/>
    <n v="4257.83"/>
    <n v="4257.83"/>
    <s v="January 2023"/>
  </r>
  <r>
    <d v="2023-01-21T00:00:00"/>
    <x v="2641"/>
    <n v="18"/>
    <x v="2"/>
    <x v="0"/>
    <x v="3"/>
    <x v="1"/>
    <n v="866.59"/>
    <x v="1"/>
    <n v="2496.7676064256989"/>
    <n v="953.24"/>
    <n v="953.25"/>
    <n v="953.25"/>
    <s v="January 2023"/>
  </r>
  <r>
    <d v="2023-01-21T00:00:00"/>
    <x v="2642"/>
    <n v="2"/>
    <x v="2"/>
    <x v="7"/>
    <x v="3"/>
    <x v="0"/>
    <n v="4354.41"/>
    <x v="2"/>
    <n v="2496.7676064256989"/>
    <n v="4789.8500000000004"/>
    <n v="4789.8600000000006"/>
    <n v="4789.8500000000004"/>
    <s v="January 2023"/>
  </r>
  <r>
    <d v="2023-01-21T00:00:00"/>
    <x v="2643"/>
    <n v="14"/>
    <x v="1"/>
    <x v="3"/>
    <x v="1"/>
    <x v="2"/>
    <n v="4075.17"/>
    <x v="2"/>
    <n v="2509.1716796874912"/>
    <n v="4482.68"/>
    <n v="4482.6900000000005"/>
    <n v="4482.6899999999996"/>
    <s v="January 2023"/>
  </r>
  <r>
    <d v="2023-01-21T00:00:00"/>
    <x v="2644"/>
    <n v="79"/>
    <x v="1"/>
    <x v="2"/>
    <x v="0"/>
    <x v="2"/>
    <n v="4708.78"/>
    <x v="0"/>
    <n v="2503.6022787783854"/>
    <n v="5179.6499999999996"/>
    <n v="5179.66"/>
    <n v="5179.66"/>
    <s v="January 2023"/>
  </r>
  <r>
    <d v="2023-01-21T00:00:00"/>
    <x v="2645"/>
    <n v="15"/>
    <x v="0"/>
    <x v="0"/>
    <x v="2"/>
    <x v="1"/>
    <n v="4207.34"/>
    <x v="2"/>
    <n v="2440.2966694490838"/>
    <n v="4628.07"/>
    <n v="4628.08"/>
    <n v="4628.07"/>
    <s v="January 2023"/>
  </r>
  <r>
    <d v="2023-01-21T00:00:00"/>
    <x v="2646"/>
    <n v="71"/>
    <x v="1"/>
    <x v="1"/>
    <x v="2"/>
    <x v="3"/>
    <n v="4033.82"/>
    <x v="0"/>
    <n v="2440.2966694490838"/>
    <n v="4437.2"/>
    <n v="4437.21"/>
    <n v="4437.2"/>
    <s v="January 2023"/>
  </r>
  <r>
    <d v="2023-01-21T00:00:00"/>
    <x v="2647"/>
    <n v="22"/>
    <x v="0"/>
    <x v="5"/>
    <x v="0"/>
    <x v="2"/>
    <n v="2366.96"/>
    <x v="1"/>
    <n v="2503.6022787783854"/>
    <n v="2603.65"/>
    <n v="2603.6600000000003"/>
    <n v="2603.66"/>
    <s v="January 2023"/>
  </r>
  <r>
    <d v="2023-01-21T00:00:00"/>
    <x v="2648"/>
    <n v="50"/>
    <x v="1"/>
    <x v="7"/>
    <x v="1"/>
    <x v="0"/>
    <n v="2691.68"/>
    <x v="1"/>
    <n v="2509.1716796874912"/>
    <n v="2960.84"/>
    <n v="2960.8500000000004"/>
    <n v="2960.85"/>
    <s v="January 2023"/>
  </r>
  <r>
    <d v="2023-01-22T00:00:00"/>
    <x v="2649"/>
    <n v="87"/>
    <x v="0"/>
    <x v="5"/>
    <x v="3"/>
    <x v="0"/>
    <n v="2175.6"/>
    <x v="0"/>
    <n v="2496.7676064256989"/>
    <n v="2393.16"/>
    <n v="2393.16"/>
    <n v="2393.16"/>
    <s v="January 2023"/>
  </r>
  <r>
    <d v="2023-01-22T00:00:00"/>
    <x v="2650"/>
    <n v="70"/>
    <x v="2"/>
    <x v="3"/>
    <x v="1"/>
    <x v="1"/>
    <n v="3294.75"/>
    <x v="0"/>
    <n v="2509.1716796874912"/>
    <n v="3624.22"/>
    <n v="3624.23"/>
    <n v="3624.23"/>
    <s v="January 2023"/>
  </r>
  <r>
    <d v="2023-01-22T00:00:00"/>
    <x v="2651"/>
    <n v="18"/>
    <x v="0"/>
    <x v="1"/>
    <x v="2"/>
    <x v="3"/>
    <n v="1970.97"/>
    <x v="1"/>
    <n v="2440.2966694490838"/>
    <n v="2168.06"/>
    <n v="2168.0700000000002"/>
    <n v="2168.0700000000002"/>
    <s v="January 2023"/>
  </r>
  <r>
    <d v="2023-01-22T00:00:00"/>
    <x v="2652"/>
    <n v="19"/>
    <x v="1"/>
    <x v="5"/>
    <x v="0"/>
    <x v="1"/>
    <n v="1742.91"/>
    <x v="1"/>
    <n v="2503.6022787783854"/>
    <n v="1917.2"/>
    <n v="1917.21"/>
    <n v="1917.2"/>
    <s v="January 2023"/>
  </r>
  <r>
    <d v="2023-01-22T00:00:00"/>
    <x v="2653"/>
    <n v="46"/>
    <x v="2"/>
    <x v="1"/>
    <x v="0"/>
    <x v="3"/>
    <n v="132.32"/>
    <x v="1"/>
    <n v="2503.6022787783854"/>
    <n v="145.55000000000001"/>
    <n v="145.56"/>
    <n v="145.55000000000001"/>
    <s v="January 2023"/>
  </r>
  <r>
    <d v="2023-01-22T00:00:00"/>
    <x v="2654"/>
    <n v="59"/>
    <x v="0"/>
    <x v="1"/>
    <x v="3"/>
    <x v="0"/>
    <n v="4217.76"/>
    <x v="1"/>
    <n v="2496.7676064256989"/>
    <n v="4639.53"/>
    <n v="4639.54"/>
    <n v="4639.54"/>
    <s v="January 2023"/>
  </r>
  <r>
    <d v="2023-01-22T00:00:00"/>
    <x v="2655"/>
    <n v="27"/>
    <x v="1"/>
    <x v="3"/>
    <x v="2"/>
    <x v="1"/>
    <n v="123.08"/>
    <x v="1"/>
    <n v="2440.2966694490838"/>
    <n v="135.38"/>
    <n v="135.38999999999999"/>
    <n v="135.38999999999999"/>
    <s v="January 2023"/>
  </r>
  <r>
    <d v="2023-01-22T00:00:00"/>
    <x v="2656"/>
    <n v="59"/>
    <x v="1"/>
    <x v="6"/>
    <x v="0"/>
    <x v="3"/>
    <n v="3798.26"/>
    <x v="1"/>
    <n v="2503.6022787783854"/>
    <n v="4178.08"/>
    <n v="4178.09"/>
    <n v="4178.09"/>
    <s v="January 2023"/>
  </r>
  <r>
    <d v="2023-01-23T00:00:00"/>
    <x v="2657"/>
    <n v="97"/>
    <x v="1"/>
    <x v="4"/>
    <x v="2"/>
    <x v="3"/>
    <n v="1389.4"/>
    <x v="0"/>
    <n v="2440.2966694490838"/>
    <n v="1528.34"/>
    <n v="1528.34"/>
    <n v="1528.34"/>
    <s v="January 2023"/>
  </r>
  <r>
    <d v="2023-01-23T00:00:00"/>
    <x v="2658"/>
    <n v="43"/>
    <x v="1"/>
    <x v="6"/>
    <x v="1"/>
    <x v="2"/>
    <n v="1241.44"/>
    <x v="1"/>
    <n v="2509.1716796874912"/>
    <n v="1365.58"/>
    <n v="1365.59"/>
    <n v="1365.58"/>
    <s v="January 2023"/>
  </r>
  <r>
    <d v="2023-01-23T00:00:00"/>
    <x v="2659"/>
    <n v="83"/>
    <x v="2"/>
    <x v="3"/>
    <x v="2"/>
    <x v="1"/>
    <n v="2347.09"/>
    <x v="0"/>
    <n v="2440.2966694490838"/>
    <n v="2581.79"/>
    <n v="2581.8000000000002"/>
    <n v="2581.8000000000002"/>
    <s v="January 2023"/>
  </r>
  <r>
    <d v="2023-01-23T00:00:00"/>
    <x v="2660"/>
    <n v="72"/>
    <x v="1"/>
    <x v="7"/>
    <x v="3"/>
    <x v="1"/>
    <n v="2414.7600000000002"/>
    <x v="0"/>
    <n v="2496.7676064256989"/>
    <n v="2656.23"/>
    <n v="2656.2400000000002"/>
    <n v="2656.24"/>
    <s v="January 2023"/>
  </r>
  <r>
    <d v="2023-01-23T00:00:00"/>
    <x v="2661"/>
    <n v="41"/>
    <x v="1"/>
    <x v="4"/>
    <x v="0"/>
    <x v="1"/>
    <n v="4887.0200000000004"/>
    <x v="1"/>
    <n v="2503.6022787783854"/>
    <n v="5375.72"/>
    <n v="5375.7300000000005"/>
    <n v="5375.72"/>
    <s v="January 2023"/>
  </r>
  <r>
    <d v="2023-01-23T00:00:00"/>
    <x v="2662"/>
    <n v="12"/>
    <x v="2"/>
    <x v="1"/>
    <x v="0"/>
    <x v="0"/>
    <n v="3058.82"/>
    <x v="2"/>
    <n v="2503.6022787783854"/>
    <n v="3364.7"/>
    <n v="3364.71"/>
    <n v="3364.7"/>
    <s v="January 2023"/>
  </r>
  <r>
    <d v="2023-01-23T00:00:00"/>
    <x v="2663"/>
    <n v="31"/>
    <x v="2"/>
    <x v="5"/>
    <x v="0"/>
    <x v="0"/>
    <n v="3519.16"/>
    <x v="1"/>
    <n v="2503.6022787783854"/>
    <n v="3871.07"/>
    <n v="3871.0800000000004"/>
    <n v="3871.08"/>
    <s v="January 2023"/>
  </r>
  <r>
    <d v="2023-01-23T00:00:00"/>
    <x v="2664"/>
    <n v="83"/>
    <x v="2"/>
    <x v="5"/>
    <x v="0"/>
    <x v="1"/>
    <n v="4404.5600000000004"/>
    <x v="0"/>
    <n v="2503.6022787783854"/>
    <n v="4845.01"/>
    <n v="4845.0200000000004"/>
    <n v="4845.0200000000004"/>
    <s v="January 2023"/>
  </r>
  <r>
    <d v="2023-01-24T00:00:00"/>
    <x v="2665"/>
    <n v="43"/>
    <x v="1"/>
    <x v="7"/>
    <x v="2"/>
    <x v="2"/>
    <n v="2741.98"/>
    <x v="1"/>
    <n v="2440.2966694490838"/>
    <n v="3016.17"/>
    <n v="3016.1800000000003"/>
    <n v="3016.18"/>
    <s v="January 2023"/>
  </r>
  <r>
    <d v="2023-01-24T00:00:00"/>
    <x v="2666"/>
    <n v="20"/>
    <x v="0"/>
    <x v="2"/>
    <x v="3"/>
    <x v="1"/>
    <n v="3028.39"/>
    <x v="1"/>
    <n v="2496.7676064256989"/>
    <n v="3331.22"/>
    <n v="3331.23"/>
    <n v="3331.23"/>
    <s v="January 2023"/>
  </r>
  <r>
    <d v="2023-01-25T00:00:00"/>
    <x v="2667"/>
    <n v="4"/>
    <x v="1"/>
    <x v="2"/>
    <x v="1"/>
    <x v="0"/>
    <n v="1971.96"/>
    <x v="2"/>
    <n v="2509.1716796874912"/>
    <n v="2169.15"/>
    <n v="2169.1600000000003"/>
    <n v="2169.16"/>
    <s v="January 2023"/>
  </r>
  <r>
    <d v="2023-01-25T00:00:00"/>
    <x v="2668"/>
    <n v="18"/>
    <x v="0"/>
    <x v="2"/>
    <x v="1"/>
    <x v="3"/>
    <n v="3463.17"/>
    <x v="1"/>
    <n v="2509.1716796874912"/>
    <n v="3809.48"/>
    <n v="3809.4900000000002"/>
    <n v="3809.49"/>
    <s v="January 2023"/>
  </r>
  <r>
    <d v="2023-01-25T00:00:00"/>
    <x v="2669"/>
    <n v="92"/>
    <x v="2"/>
    <x v="1"/>
    <x v="1"/>
    <x v="3"/>
    <n v="2557.17"/>
    <x v="0"/>
    <n v="2509.1716796874912"/>
    <n v="2812.88"/>
    <n v="2812.8900000000003"/>
    <n v="2812.89"/>
    <s v="January 2023"/>
  </r>
  <r>
    <d v="2023-01-25T00:00:00"/>
    <x v="2670"/>
    <n v="83"/>
    <x v="1"/>
    <x v="0"/>
    <x v="0"/>
    <x v="3"/>
    <n v="4911.99"/>
    <x v="0"/>
    <n v="2503.6022787783854"/>
    <n v="5403.18"/>
    <n v="5403.1900000000005"/>
    <n v="5403.19"/>
    <s v="January 2023"/>
  </r>
  <r>
    <d v="2023-01-25T00:00:00"/>
    <x v="2671"/>
    <n v="40"/>
    <x v="1"/>
    <x v="3"/>
    <x v="0"/>
    <x v="4"/>
    <n v="4392.3599999999997"/>
    <x v="1"/>
    <n v="2503.6022787783854"/>
    <n v="4831.59"/>
    <n v="4831.6000000000004"/>
    <n v="4831.6000000000004"/>
    <s v="January 2023"/>
  </r>
  <r>
    <d v="2023-01-25T00:00:00"/>
    <x v="2672"/>
    <n v="10"/>
    <x v="2"/>
    <x v="5"/>
    <x v="3"/>
    <x v="1"/>
    <n v="3763.64"/>
    <x v="2"/>
    <n v="2496.7676064256989"/>
    <n v="4140"/>
    <n v="4140.01"/>
    <n v="4140"/>
    <s v="January 2023"/>
  </r>
  <r>
    <d v="2023-01-25T00:00:00"/>
    <x v="2673"/>
    <n v="36"/>
    <x v="2"/>
    <x v="1"/>
    <x v="0"/>
    <x v="4"/>
    <n v="2062.86"/>
    <x v="1"/>
    <n v="2503.6022787783854"/>
    <n v="2269.14"/>
    <n v="2269.15"/>
    <n v="2269.15"/>
    <s v="January 2023"/>
  </r>
  <r>
    <d v="2023-01-25T00:00:00"/>
    <x v="2674"/>
    <n v="52"/>
    <x v="1"/>
    <x v="2"/>
    <x v="1"/>
    <x v="3"/>
    <n v="4949.17"/>
    <x v="1"/>
    <n v="2509.1716796874912"/>
    <n v="5444.08"/>
    <n v="5444.09"/>
    <n v="5444.09"/>
    <s v="January 2023"/>
  </r>
  <r>
    <d v="2023-01-26T00:00:00"/>
    <x v="2675"/>
    <n v="17"/>
    <x v="2"/>
    <x v="5"/>
    <x v="3"/>
    <x v="4"/>
    <n v="4360.95"/>
    <x v="1"/>
    <n v="2496.7676064256989"/>
    <n v="4797.04"/>
    <n v="4797.05"/>
    <n v="4797.05"/>
    <s v="January 2023"/>
  </r>
  <r>
    <d v="2023-01-26T00:00:00"/>
    <x v="2676"/>
    <n v="97"/>
    <x v="1"/>
    <x v="6"/>
    <x v="2"/>
    <x v="5"/>
    <n v="3243.5"/>
    <x v="0"/>
    <n v="2440.2966694490838"/>
    <n v="3567.85"/>
    <n v="3567.85"/>
    <n v="3567.85"/>
    <s v="January 2023"/>
  </r>
  <r>
    <d v="2023-01-26T00:00:00"/>
    <x v="2677"/>
    <n v="62"/>
    <x v="0"/>
    <x v="1"/>
    <x v="3"/>
    <x v="4"/>
    <n v="3474.51"/>
    <x v="1"/>
    <n v="2496.7676064256989"/>
    <n v="3821.96"/>
    <n v="3821.9700000000003"/>
    <n v="3821.96"/>
    <s v="January 2023"/>
  </r>
  <r>
    <d v="2023-01-26T00:00:00"/>
    <x v="2678"/>
    <n v="2"/>
    <x v="0"/>
    <x v="3"/>
    <x v="1"/>
    <x v="3"/>
    <n v="1728.52"/>
    <x v="2"/>
    <n v="2509.1716796874912"/>
    <n v="1901.37"/>
    <n v="1901.3799999999999"/>
    <n v="1901.37"/>
    <s v="January 2023"/>
  </r>
  <r>
    <d v="2023-01-27T00:00:00"/>
    <x v="2679"/>
    <n v="37"/>
    <x v="1"/>
    <x v="7"/>
    <x v="0"/>
    <x v="2"/>
    <n v="1794.36"/>
    <x v="1"/>
    <n v="2503.6022787783854"/>
    <n v="1973.79"/>
    <n v="1973.8"/>
    <n v="1973.8"/>
    <s v="January 2023"/>
  </r>
  <r>
    <d v="2023-01-27T00:00:00"/>
    <x v="2680"/>
    <n v="9"/>
    <x v="1"/>
    <x v="7"/>
    <x v="1"/>
    <x v="0"/>
    <n v="1522.42"/>
    <x v="2"/>
    <n v="2509.1716796874912"/>
    <n v="1674.66"/>
    <n v="1674.67"/>
    <n v="1674.66"/>
    <s v="January 2023"/>
  </r>
  <r>
    <d v="2023-01-27T00:00:00"/>
    <x v="2681"/>
    <n v="39"/>
    <x v="2"/>
    <x v="4"/>
    <x v="1"/>
    <x v="4"/>
    <n v="3888.77"/>
    <x v="1"/>
    <n v="2509.1716796874912"/>
    <n v="4277.6400000000003"/>
    <n v="4277.6500000000005"/>
    <n v="4277.6499999999996"/>
    <s v="January 2023"/>
  </r>
  <r>
    <d v="2023-01-27T00:00:00"/>
    <x v="2682"/>
    <n v="17"/>
    <x v="1"/>
    <x v="2"/>
    <x v="0"/>
    <x v="1"/>
    <n v="1278.57"/>
    <x v="1"/>
    <n v="2503.6022787783854"/>
    <n v="1406.42"/>
    <n v="1406.43"/>
    <n v="1406.43"/>
    <s v="January 2023"/>
  </r>
  <r>
    <d v="2023-01-27T00:00:00"/>
    <x v="2683"/>
    <n v="32"/>
    <x v="1"/>
    <x v="6"/>
    <x v="3"/>
    <x v="1"/>
    <n v="2646.41"/>
    <x v="1"/>
    <n v="2496.7676064256989"/>
    <n v="2911.05"/>
    <n v="2911.0600000000004"/>
    <n v="2911.05"/>
    <s v="January 2023"/>
  </r>
  <r>
    <d v="2023-01-27T00:00:00"/>
    <x v="2684"/>
    <n v="51"/>
    <x v="1"/>
    <x v="4"/>
    <x v="3"/>
    <x v="1"/>
    <n v="2464.66"/>
    <x v="1"/>
    <n v="2496.7676064256989"/>
    <n v="2711.12"/>
    <n v="2711.13"/>
    <n v="2711.13"/>
    <s v="January 2023"/>
  </r>
  <r>
    <d v="2023-01-27T00:00:00"/>
    <x v="2685"/>
    <n v="14"/>
    <x v="2"/>
    <x v="0"/>
    <x v="3"/>
    <x v="1"/>
    <n v="101.57"/>
    <x v="2"/>
    <n v="2496.7676064256989"/>
    <n v="111.72"/>
    <n v="111.73"/>
    <n v="111.73"/>
    <s v="January 2023"/>
  </r>
  <r>
    <d v="2023-01-27T00:00:00"/>
    <x v="2686"/>
    <n v="68"/>
    <x v="1"/>
    <x v="3"/>
    <x v="0"/>
    <x v="3"/>
    <n v="2065.2399999999998"/>
    <x v="0"/>
    <n v="2503.6022787783854"/>
    <n v="2271.7600000000002"/>
    <n v="2271.7700000000004"/>
    <n v="2271.7600000000002"/>
    <s v="January 2023"/>
  </r>
  <r>
    <d v="2023-01-27T00:00:00"/>
    <x v="2687"/>
    <n v="65"/>
    <x v="1"/>
    <x v="3"/>
    <x v="1"/>
    <x v="2"/>
    <n v="1231.52"/>
    <x v="0"/>
    <n v="2509.1716796874912"/>
    <n v="1354.67"/>
    <n v="1354.68"/>
    <n v="1354.67"/>
    <s v="January 2023"/>
  </r>
  <r>
    <d v="2023-01-27T00:00:00"/>
    <x v="2688"/>
    <n v="29"/>
    <x v="2"/>
    <x v="2"/>
    <x v="3"/>
    <x v="2"/>
    <n v="2747.05"/>
    <x v="1"/>
    <n v="2496.7676064256989"/>
    <n v="3021.75"/>
    <n v="3021.76"/>
    <n v="3021.76"/>
    <s v="January 2023"/>
  </r>
  <r>
    <d v="2023-01-28T00:00:00"/>
    <x v="2689"/>
    <n v="53"/>
    <x v="1"/>
    <x v="6"/>
    <x v="1"/>
    <x v="3"/>
    <n v="556.04"/>
    <x v="1"/>
    <n v="2509.1716796874912"/>
    <n v="611.64"/>
    <n v="611.65"/>
    <n v="611.64"/>
    <s v="January 2023"/>
  </r>
  <r>
    <d v="2023-01-28T00:00:00"/>
    <x v="2690"/>
    <n v="86"/>
    <x v="2"/>
    <x v="7"/>
    <x v="3"/>
    <x v="4"/>
    <n v="141.34"/>
    <x v="0"/>
    <n v="2496.7676064256989"/>
    <n v="155.47"/>
    <n v="155.47999999999999"/>
    <n v="155.47"/>
    <s v="January 2023"/>
  </r>
  <r>
    <d v="2023-01-28T00:00:00"/>
    <x v="2691"/>
    <n v="72"/>
    <x v="0"/>
    <x v="1"/>
    <x v="1"/>
    <x v="1"/>
    <n v="136.93"/>
    <x v="0"/>
    <n v="2509.1716796874912"/>
    <n v="150.62"/>
    <n v="150.63"/>
    <n v="150.62"/>
    <s v="January 2023"/>
  </r>
  <r>
    <d v="2023-01-28T00:00:00"/>
    <x v="2692"/>
    <n v="30"/>
    <x v="0"/>
    <x v="5"/>
    <x v="1"/>
    <x v="4"/>
    <n v="4746.13"/>
    <x v="1"/>
    <n v="2509.1716796874912"/>
    <n v="5220.74"/>
    <n v="5220.75"/>
    <n v="5220.74"/>
    <s v="January 2023"/>
  </r>
  <r>
    <d v="2023-01-29T00:00:00"/>
    <x v="2693"/>
    <n v="3"/>
    <x v="1"/>
    <x v="5"/>
    <x v="2"/>
    <x v="1"/>
    <n v="204.53"/>
    <x v="2"/>
    <n v="2440.2966694490838"/>
    <n v="224.98"/>
    <n v="224.98999999999998"/>
    <n v="224.98"/>
    <s v="January 2023"/>
  </r>
  <r>
    <d v="2023-01-29T00:00:00"/>
    <x v="2694"/>
    <n v="28"/>
    <x v="2"/>
    <x v="6"/>
    <x v="3"/>
    <x v="0"/>
    <n v="1705.01"/>
    <x v="1"/>
    <n v="2496.7676064256989"/>
    <n v="1875.51"/>
    <n v="1875.52"/>
    <n v="1875.51"/>
    <s v="January 2023"/>
  </r>
  <r>
    <d v="2023-01-29T00:00:00"/>
    <x v="2695"/>
    <n v="55"/>
    <x v="2"/>
    <x v="5"/>
    <x v="3"/>
    <x v="1"/>
    <n v="2072.7600000000002"/>
    <x v="1"/>
    <n v="2496.7676064256989"/>
    <n v="2280.0300000000002"/>
    <n v="2280.0400000000004"/>
    <n v="2280.04"/>
    <s v="January 2023"/>
  </r>
  <r>
    <d v="2023-01-29T00:00:00"/>
    <x v="2696"/>
    <n v="94"/>
    <x v="2"/>
    <x v="5"/>
    <x v="3"/>
    <x v="3"/>
    <n v="1244.8900000000001"/>
    <x v="0"/>
    <n v="2496.7676064256989"/>
    <n v="1369.37"/>
    <n v="1369.3799999999999"/>
    <n v="1369.38"/>
    <s v="January 2023"/>
  </r>
  <r>
    <d v="2023-01-29T00:00:00"/>
    <x v="2697"/>
    <n v="28"/>
    <x v="1"/>
    <x v="2"/>
    <x v="0"/>
    <x v="4"/>
    <n v="3484.11"/>
    <x v="1"/>
    <n v="2503.6022787783854"/>
    <n v="3832.52"/>
    <n v="3832.53"/>
    <n v="3832.52"/>
    <s v="January 2023"/>
  </r>
  <r>
    <d v="2023-01-29T00:00:00"/>
    <x v="2698"/>
    <n v="70"/>
    <x v="2"/>
    <x v="5"/>
    <x v="3"/>
    <x v="1"/>
    <n v="2278.33"/>
    <x v="0"/>
    <n v="2496.7676064256989"/>
    <n v="2506.16"/>
    <n v="2506.17"/>
    <n v="2506.16"/>
    <s v="January 2023"/>
  </r>
  <r>
    <d v="2023-01-30T00:00:00"/>
    <x v="2699"/>
    <n v="0"/>
    <x v="1"/>
    <x v="4"/>
    <x v="0"/>
    <x v="2"/>
    <n v="3807.25"/>
    <x v="2"/>
    <n v="2503.6022787783854"/>
    <n v="4187.97"/>
    <n v="4187.9800000000005"/>
    <n v="4187.9799999999996"/>
    <s v="January 2023"/>
  </r>
  <r>
    <d v="2023-01-30T00:00:00"/>
    <x v="2700"/>
    <n v="68"/>
    <x v="2"/>
    <x v="5"/>
    <x v="0"/>
    <x v="2"/>
    <n v="2282.88"/>
    <x v="0"/>
    <n v="2503.6022787783854"/>
    <n v="2511.16"/>
    <n v="2511.17"/>
    <n v="2511.17"/>
    <s v="January 2023"/>
  </r>
  <r>
    <d v="2023-01-30T00:00:00"/>
    <x v="2701"/>
    <n v="36"/>
    <x v="2"/>
    <x v="3"/>
    <x v="3"/>
    <x v="1"/>
    <n v="4025.23"/>
    <x v="1"/>
    <n v="2496.7676064256989"/>
    <n v="4427.75"/>
    <n v="4427.76"/>
    <n v="4427.75"/>
    <s v="January 2023"/>
  </r>
  <r>
    <d v="2023-01-31T00:00:00"/>
    <x v="2702"/>
    <n v="2"/>
    <x v="1"/>
    <x v="4"/>
    <x v="1"/>
    <x v="1"/>
    <n v="4867.9799999999996"/>
    <x v="2"/>
    <n v="2509.1716796874912"/>
    <n v="5354.77"/>
    <n v="5354.7800000000007"/>
    <n v="5354.78"/>
    <s v="January 2023"/>
  </r>
  <r>
    <d v="2023-01-31T00:00:00"/>
    <x v="2703"/>
    <n v="13"/>
    <x v="2"/>
    <x v="0"/>
    <x v="2"/>
    <x v="4"/>
    <n v="2410.63"/>
    <x v="2"/>
    <n v="2440.2966694490838"/>
    <n v="2651.69"/>
    <n v="2651.7000000000003"/>
    <n v="2651.69"/>
    <s v="January 2023"/>
  </r>
  <r>
    <d v="2023-01-31T00:00:00"/>
    <x v="2704"/>
    <n v="28"/>
    <x v="1"/>
    <x v="2"/>
    <x v="2"/>
    <x v="0"/>
    <n v="4714.54"/>
    <x v="1"/>
    <n v="2440.2966694490838"/>
    <n v="5185.99"/>
    <n v="5186"/>
    <n v="5185.99"/>
    <s v="January 2023"/>
  </r>
  <r>
    <d v="2023-01-31T00:00:00"/>
    <x v="2705"/>
    <n v="61"/>
    <x v="2"/>
    <x v="3"/>
    <x v="3"/>
    <x v="3"/>
    <n v="3817.02"/>
    <x v="1"/>
    <n v="2496.7676064256989"/>
    <n v="4198.72"/>
    <n v="4198.7300000000005"/>
    <n v="4198.72"/>
    <s v="January 2023"/>
  </r>
  <r>
    <d v="2023-01-31T00:00:00"/>
    <x v="2706"/>
    <n v="53"/>
    <x v="2"/>
    <x v="0"/>
    <x v="2"/>
    <x v="2"/>
    <n v="2311.83"/>
    <x v="1"/>
    <n v="2440.2966694490838"/>
    <n v="2543.0100000000002"/>
    <n v="2543.0200000000004"/>
    <n v="2543.0100000000002"/>
    <s v="January 2023"/>
  </r>
  <r>
    <d v="2023-01-31T00:00:00"/>
    <x v="2707"/>
    <n v="47"/>
    <x v="1"/>
    <x v="6"/>
    <x v="2"/>
    <x v="2"/>
    <n v="2006.12"/>
    <x v="1"/>
    <n v="2440.2966694490838"/>
    <n v="2206.73"/>
    <n v="2206.7400000000002"/>
    <n v="2206.73"/>
    <s v="January 2023"/>
  </r>
  <r>
    <d v="2023-01-31T00:00:00"/>
    <x v="2708"/>
    <n v="47"/>
    <x v="1"/>
    <x v="5"/>
    <x v="0"/>
    <x v="1"/>
    <n v="2750.66"/>
    <x v="1"/>
    <n v="2503.6022787783854"/>
    <n v="3025.72"/>
    <n v="3025.73"/>
    <n v="3025.73"/>
    <s v="January 2023"/>
  </r>
  <r>
    <d v="2023-01-31T00:00:00"/>
    <x v="2709"/>
    <n v="84"/>
    <x v="2"/>
    <x v="7"/>
    <x v="2"/>
    <x v="3"/>
    <n v="1653.56"/>
    <x v="0"/>
    <n v="2440.2966694490838"/>
    <n v="1818.91"/>
    <n v="1818.92"/>
    <n v="1818.92"/>
    <s v="January 2023"/>
  </r>
  <r>
    <d v="2023-01-31T00:00:00"/>
    <x v="2710"/>
    <n v="62"/>
    <x v="1"/>
    <x v="6"/>
    <x v="1"/>
    <x v="3"/>
    <n v="4302.8999999999996"/>
    <x v="1"/>
    <n v="2509.1716796874912"/>
    <n v="4733.1899999999996"/>
    <n v="4733.1899999999996"/>
    <n v="4733.1899999999996"/>
    <s v="January 2023"/>
  </r>
  <r>
    <d v="2023-01-31T00:00:00"/>
    <x v="2711"/>
    <n v="37"/>
    <x v="2"/>
    <x v="5"/>
    <x v="0"/>
    <x v="4"/>
    <n v="1957.36"/>
    <x v="1"/>
    <n v="2503.6022787783854"/>
    <n v="2153.09"/>
    <n v="2153.1000000000004"/>
    <n v="2153.1"/>
    <s v="January 2023"/>
  </r>
  <r>
    <d v="2023-01-31T00:00:00"/>
    <x v="2712"/>
    <n v="47"/>
    <x v="0"/>
    <x v="4"/>
    <x v="0"/>
    <x v="2"/>
    <n v="2971.4"/>
    <x v="1"/>
    <n v="2503.6022787783854"/>
    <n v="3268.54"/>
    <n v="3268.54"/>
    <n v="3268.54"/>
    <s v="January 2023"/>
  </r>
  <r>
    <d v="2023-01-31T00:00:00"/>
    <x v="2713"/>
    <n v="42"/>
    <x v="0"/>
    <x v="4"/>
    <x v="1"/>
    <x v="0"/>
    <n v="1367.77"/>
    <x v="1"/>
    <n v="2509.1716796874912"/>
    <n v="1504.54"/>
    <n v="1504.55"/>
    <n v="1504.55"/>
    <s v="January 2023"/>
  </r>
  <r>
    <d v="2023-02-01T00:00:00"/>
    <x v="2714"/>
    <n v="95"/>
    <x v="1"/>
    <x v="3"/>
    <x v="3"/>
    <x v="3"/>
    <n v="2573.34"/>
    <x v="0"/>
    <n v="2496.7676064256989"/>
    <n v="2830.67"/>
    <n v="2830.6800000000003"/>
    <n v="2830.67"/>
    <s v="February 2023"/>
  </r>
  <r>
    <d v="2023-02-01T00:00:00"/>
    <x v="2715"/>
    <n v="16"/>
    <x v="2"/>
    <x v="6"/>
    <x v="0"/>
    <x v="4"/>
    <n v="1382.33"/>
    <x v="1"/>
    <n v="2503.6022787783854"/>
    <n v="1520.56"/>
    <n v="1520.57"/>
    <n v="1520.56"/>
    <s v="February 2023"/>
  </r>
  <r>
    <d v="2023-02-01T00:00:00"/>
    <x v="2716"/>
    <n v="25"/>
    <x v="0"/>
    <x v="4"/>
    <x v="2"/>
    <x v="0"/>
    <n v="1952.65"/>
    <x v="1"/>
    <n v="2440.2966694490838"/>
    <n v="2147.91"/>
    <n v="2147.92"/>
    <n v="2147.92"/>
    <s v="February 2023"/>
  </r>
  <r>
    <d v="2023-02-01T00:00:00"/>
    <x v="2717"/>
    <n v="55"/>
    <x v="1"/>
    <x v="4"/>
    <x v="2"/>
    <x v="0"/>
    <n v="2963.58"/>
    <x v="1"/>
    <n v="2440.2966694490838"/>
    <n v="3259.93"/>
    <n v="3259.94"/>
    <n v="3259.94"/>
    <s v="February 2023"/>
  </r>
  <r>
    <d v="2023-02-01T00:00:00"/>
    <x v="2718"/>
    <n v="15"/>
    <x v="1"/>
    <x v="5"/>
    <x v="3"/>
    <x v="1"/>
    <n v="4121.82"/>
    <x v="2"/>
    <n v="2496.7676064256989"/>
    <n v="4534"/>
    <n v="4534.01"/>
    <n v="4534"/>
    <s v="February 2023"/>
  </r>
  <r>
    <d v="2023-02-01T00:00:00"/>
    <x v="2719"/>
    <n v="3"/>
    <x v="0"/>
    <x v="2"/>
    <x v="2"/>
    <x v="3"/>
    <n v="625.99"/>
    <x v="2"/>
    <n v="2440.2966694490838"/>
    <n v="688.58"/>
    <n v="688.59"/>
    <n v="688.59"/>
    <s v="February 2023"/>
  </r>
  <r>
    <d v="2023-02-01T00:00:00"/>
    <x v="2720"/>
    <n v="65"/>
    <x v="1"/>
    <x v="2"/>
    <x v="0"/>
    <x v="3"/>
    <n v="3528.37"/>
    <x v="0"/>
    <n v="2503.6022787783854"/>
    <n v="3881.2"/>
    <n v="3881.21"/>
    <n v="3881.21"/>
    <s v="February 2023"/>
  </r>
  <r>
    <d v="2023-02-02T00:00:00"/>
    <x v="2721"/>
    <n v="79"/>
    <x v="2"/>
    <x v="2"/>
    <x v="0"/>
    <x v="3"/>
    <n v="4671.4399999999996"/>
    <x v="0"/>
    <n v="2503.6022787783854"/>
    <n v="5138.58"/>
    <n v="5138.59"/>
    <n v="5138.58"/>
    <s v="February 2023"/>
  </r>
  <r>
    <d v="2023-02-02T00:00:00"/>
    <x v="2722"/>
    <n v="30"/>
    <x v="0"/>
    <x v="7"/>
    <x v="1"/>
    <x v="0"/>
    <n v="4406.87"/>
    <x v="1"/>
    <n v="2509.1716796874912"/>
    <n v="4847.55"/>
    <n v="4847.5600000000004"/>
    <n v="4847.5600000000004"/>
    <s v="February 2023"/>
  </r>
  <r>
    <d v="2023-02-02T00:00:00"/>
    <x v="2723"/>
    <n v="36"/>
    <x v="2"/>
    <x v="3"/>
    <x v="0"/>
    <x v="3"/>
    <n v="2341.9"/>
    <x v="1"/>
    <n v="2503.6022787783854"/>
    <n v="2576.09"/>
    <n v="2576.09"/>
    <n v="2576.09"/>
    <s v="February 2023"/>
  </r>
  <r>
    <d v="2023-02-02T00:00:00"/>
    <x v="2724"/>
    <n v="87"/>
    <x v="1"/>
    <x v="3"/>
    <x v="3"/>
    <x v="2"/>
    <n v="1000.63"/>
    <x v="0"/>
    <n v="2496.7676064256989"/>
    <n v="1100.69"/>
    <n v="1100.7"/>
    <n v="1100.69"/>
    <s v="February 2023"/>
  </r>
  <r>
    <d v="2023-02-02T00:00:00"/>
    <x v="2725"/>
    <n v="40"/>
    <x v="0"/>
    <x v="1"/>
    <x v="0"/>
    <x v="3"/>
    <n v="4431.4399999999996"/>
    <x v="1"/>
    <n v="2503.6022787783854"/>
    <n v="4874.58"/>
    <n v="4874.59"/>
    <n v="4874.58"/>
    <s v="February 2023"/>
  </r>
  <r>
    <d v="2023-02-02T00:00:00"/>
    <x v="2726"/>
    <n v="69"/>
    <x v="0"/>
    <x v="1"/>
    <x v="2"/>
    <x v="0"/>
    <n v="798.35"/>
    <x v="0"/>
    <n v="2440.2966694490838"/>
    <n v="878.18"/>
    <n v="878.18999999999994"/>
    <n v="878.19"/>
    <s v="February 2023"/>
  </r>
  <r>
    <d v="2023-02-03T00:00:00"/>
    <x v="2727"/>
    <n v="64"/>
    <x v="2"/>
    <x v="0"/>
    <x v="1"/>
    <x v="0"/>
    <n v="564.4"/>
    <x v="1"/>
    <n v="2509.1716796874912"/>
    <n v="620.84"/>
    <n v="620.84"/>
    <n v="620.84"/>
    <s v="February 2023"/>
  </r>
  <r>
    <d v="2023-02-03T00:00:00"/>
    <x v="2728"/>
    <n v="25"/>
    <x v="0"/>
    <x v="3"/>
    <x v="2"/>
    <x v="3"/>
    <n v="1912.22"/>
    <x v="1"/>
    <n v="2440.2966694490838"/>
    <n v="2103.44"/>
    <n v="2103.4500000000003"/>
    <n v="2103.44"/>
    <s v="February 2023"/>
  </r>
  <r>
    <d v="2023-02-03T00:00:00"/>
    <x v="2729"/>
    <n v="85"/>
    <x v="2"/>
    <x v="7"/>
    <x v="3"/>
    <x v="0"/>
    <n v="3561.95"/>
    <x v="0"/>
    <n v="2496.7676064256989"/>
    <n v="3918.14"/>
    <n v="3918.15"/>
    <n v="3918.15"/>
    <s v="February 2023"/>
  </r>
  <r>
    <d v="2023-02-03T00:00:00"/>
    <x v="2730"/>
    <n v="34"/>
    <x v="1"/>
    <x v="7"/>
    <x v="1"/>
    <x v="0"/>
    <n v="4744.8100000000004"/>
    <x v="1"/>
    <n v="2509.1716796874912"/>
    <n v="5219.29"/>
    <n v="5219.3"/>
    <n v="5219.29"/>
    <s v="February 2023"/>
  </r>
  <r>
    <d v="2023-02-03T00:00:00"/>
    <x v="2731"/>
    <n v="84"/>
    <x v="0"/>
    <x v="0"/>
    <x v="1"/>
    <x v="3"/>
    <n v="4718.8500000000004"/>
    <x v="0"/>
    <n v="2509.1716796874912"/>
    <n v="5190.7299999999996"/>
    <n v="5190.74"/>
    <n v="5190.74"/>
    <s v="February 2023"/>
  </r>
  <r>
    <d v="2023-02-03T00:00:00"/>
    <x v="2732"/>
    <n v="42"/>
    <x v="2"/>
    <x v="6"/>
    <x v="2"/>
    <x v="0"/>
    <n v="1358.08"/>
    <x v="1"/>
    <n v="2440.2966694490838"/>
    <n v="1493.88"/>
    <n v="1493.89"/>
    <n v="1493.89"/>
    <s v="February 2023"/>
  </r>
  <r>
    <d v="2023-02-03T00:00:00"/>
    <x v="2733"/>
    <n v="56"/>
    <x v="0"/>
    <x v="3"/>
    <x v="1"/>
    <x v="3"/>
    <n v="2573.58"/>
    <x v="1"/>
    <n v="2509.1716796874912"/>
    <n v="2830.93"/>
    <n v="2830.94"/>
    <n v="2830.94"/>
    <s v="February 2023"/>
  </r>
  <r>
    <d v="2023-02-03T00:00:00"/>
    <x v="2734"/>
    <n v="91"/>
    <x v="2"/>
    <x v="7"/>
    <x v="3"/>
    <x v="0"/>
    <n v="1044.3"/>
    <x v="0"/>
    <n v="2496.7676064256989"/>
    <n v="1148.73"/>
    <n v="1148.73"/>
    <n v="1148.73"/>
    <s v="February 2023"/>
  </r>
  <r>
    <d v="2023-02-04T00:00:00"/>
    <x v="2735"/>
    <n v="34"/>
    <x v="1"/>
    <x v="0"/>
    <x v="1"/>
    <x v="4"/>
    <n v="1208.8399999999999"/>
    <x v="1"/>
    <n v="2509.1716796874912"/>
    <n v="1329.72"/>
    <n v="1329.73"/>
    <n v="1329.72"/>
    <s v="February 2023"/>
  </r>
  <r>
    <d v="2023-02-04T00:00:00"/>
    <x v="2736"/>
    <n v="23"/>
    <x v="0"/>
    <x v="0"/>
    <x v="1"/>
    <x v="0"/>
    <n v="3078.16"/>
    <x v="1"/>
    <n v="2509.1716796874912"/>
    <n v="3385.97"/>
    <n v="3385.98"/>
    <n v="3385.98"/>
    <s v="February 2023"/>
  </r>
  <r>
    <d v="2023-02-04T00:00:00"/>
    <x v="2737"/>
    <n v="95"/>
    <x v="0"/>
    <x v="7"/>
    <x v="1"/>
    <x v="1"/>
    <n v="1469.25"/>
    <x v="0"/>
    <n v="2509.1716796874912"/>
    <n v="1616.17"/>
    <n v="1616.18"/>
    <n v="1616.18"/>
    <s v="February 2023"/>
  </r>
  <r>
    <d v="2023-02-04T00:00:00"/>
    <x v="2738"/>
    <n v="72"/>
    <x v="1"/>
    <x v="2"/>
    <x v="3"/>
    <x v="0"/>
    <n v="3517.57"/>
    <x v="0"/>
    <n v="2496.7676064256989"/>
    <n v="3869.32"/>
    <n v="3869.3300000000004"/>
    <n v="3869.33"/>
    <s v="February 2023"/>
  </r>
  <r>
    <d v="2023-02-04T00:00:00"/>
    <x v="2739"/>
    <n v="60"/>
    <x v="1"/>
    <x v="0"/>
    <x v="0"/>
    <x v="2"/>
    <n v="2134.5100000000002"/>
    <x v="1"/>
    <n v="2503.6022787783854"/>
    <n v="2347.96"/>
    <n v="2347.9700000000003"/>
    <n v="2347.96"/>
    <s v="February 2023"/>
  </r>
  <r>
    <d v="2023-02-04T00:00:00"/>
    <x v="2740"/>
    <n v="77"/>
    <x v="2"/>
    <x v="7"/>
    <x v="0"/>
    <x v="2"/>
    <n v="3369.02"/>
    <x v="0"/>
    <n v="2503.6022787783854"/>
    <n v="3705.92"/>
    <n v="3705.9300000000003"/>
    <n v="3705.92"/>
    <s v="February 2023"/>
  </r>
  <r>
    <d v="2023-02-04T00:00:00"/>
    <x v="2741"/>
    <n v="7"/>
    <x v="2"/>
    <x v="5"/>
    <x v="0"/>
    <x v="4"/>
    <n v="1138.45"/>
    <x v="2"/>
    <n v="2503.6022787783854"/>
    <n v="1252.29"/>
    <n v="1252.3"/>
    <n v="1252.3"/>
    <s v="February 2023"/>
  </r>
  <r>
    <d v="2023-02-04T00:00:00"/>
    <x v="2742"/>
    <n v="72"/>
    <x v="0"/>
    <x v="5"/>
    <x v="0"/>
    <x v="1"/>
    <n v="331.96"/>
    <x v="0"/>
    <n v="2503.6022787783854"/>
    <n v="365.15"/>
    <n v="365.15999999999997"/>
    <n v="365.16"/>
    <s v="February 2023"/>
  </r>
  <r>
    <d v="2023-02-04T00:00:00"/>
    <x v="2743"/>
    <n v="63"/>
    <x v="0"/>
    <x v="1"/>
    <x v="2"/>
    <x v="1"/>
    <n v="581.22"/>
    <x v="1"/>
    <n v="2440.2966694490838"/>
    <n v="639.34"/>
    <n v="639.35"/>
    <n v="639.34"/>
    <s v="February 2023"/>
  </r>
  <r>
    <d v="2023-02-05T00:00:00"/>
    <x v="2744"/>
    <n v="79"/>
    <x v="0"/>
    <x v="4"/>
    <x v="2"/>
    <x v="0"/>
    <n v="4258.29"/>
    <x v="0"/>
    <n v="2440.2966694490838"/>
    <n v="4684.1099999999997"/>
    <n v="4684.12"/>
    <n v="4684.12"/>
    <s v="February 2023"/>
  </r>
  <r>
    <d v="2023-02-05T00:00:00"/>
    <x v="2745"/>
    <n v="2"/>
    <x v="0"/>
    <x v="2"/>
    <x v="0"/>
    <x v="3"/>
    <n v="4779.9799999999996"/>
    <x v="2"/>
    <n v="2503.6022787783854"/>
    <n v="5257.97"/>
    <n v="5257.9800000000005"/>
    <n v="5257.98"/>
    <s v="February 2023"/>
  </r>
  <r>
    <d v="2023-02-05T00:00:00"/>
    <x v="2746"/>
    <n v="13"/>
    <x v="0"/>
    <x v="3"/>
    <x v="3"/>
    <x v="4"/>
    <n v="4629.58"/>
    <x v="2"/>
    <n v="2496.7676064256989"/>
    <n v="5092.53"/>
    <n v="5092.54"/>
    <n v="5092.54"/>
    <s v="February 2023"/>
  </r>
  <r>
    <d v="2023-02-05T00:00:00"/>
    <x v="2747"/>
    <n v="68"/>
    <x v="2"/>
    <x v="4"/>
    <x v="0"/>
    <x v="2"/>
    <n v="3342.99"/>
    <x v="0"/>
    <n v="2503.6022787783854"/>
    <n v="3677.28"/>
    <n v="3677.2900000000004"/>
    <n v="3677.29"/>
    <s v="February 2023"/>
  </r>
  <r>
    <d v="2023-02-05T00:00:00"/>
    <x v="2748"/>
    <n v="57"/>
    <x v="1"/>
    <x v="1"/>
    <x v="3"/>
    <x v="3"/>
    <n v="4794.37"/>
    <x v="1"/>
    <n v="2496.7676064256989"/>
    <n v="5273.8"/>
    <n v="5273.81"/>
    <n v="5273.81"/>
    <s v="February 2023"/>
  </r>
  <r>
    <d v="2023-02-05T00:00:00"/>
    <x v="2749"/>
    <n v="66"/>
    <x v="0"/>
    <x v="5"/>
    <x v="1"/>
    <x v="0"/>
    <n v="1969.07"/>
    <x v="0"/>
    <n v="2509.1716796874912"/>
    <n v="2165.9699999999998"/>
    <n v="2165.98"/>
    <n v="2165.98"/>
    <s v="February 2023"/>
  </r>
  <r>
    <d v="2023-02-05T00:00:00"/>
    <x v="2750"/>
    <n v="17"/>
    <x v="1"/>
    <x v="6"/>
    <x v="1"/>
    <x v="4"/>
    <n v="251.26"/>
    <x v="1"/>
    <n v="2509.1716796874912"/>
    <n v="276.38"/>
    <n v="276.39"/>
    <n v="276.39"/>
    <s v="February 2023"/>
  </r>
  <r>
    <d v="2023-02-05T00:00:00"/>
    <x v="2751"/>
    <n v="53"/>
    <x v="0"/>
    <x v="1"/>
    <x v="1"/>
    <x v="1"/>
    <n v="1843.73"/>
    <x v="1"/>
    <n v="2509.1716796874912"/>
    <n v="2028.1"/>
    <n v="2028.11"/>
    <n v="2028.1"/>
    <s v="February 2023"/>
  </r>
  <r>
    <d v="2023-02-05T00:00:00"/>
    <x v="2752"/>
    <n v="9"/>
    <x v="0"/>
    <x v="3"/>
    <x v="3"/>
    <x v="1"/>
    <n v="2088.23"/>
    <x v="2"/>
    <n v="2496.7676064256989"/>
    <n v="2297.0500000000002"/>
    <n v="2297.0600000000004"/>
    <n v="2297.0500000000002"/>
    <s v="February 2023"/>
  </r>
  <r>
    <d v="2023-02-05T00:00:00"/>
    <x v="2753"/>
    <n v="54"/>
    <x v="1"/>
    <x v="7"/>
    <x v="0"/>
    <x v="4"/>
    <n v="1509.35"/>
    <x v="1"/>
    <n v="2503.6022787783854"/>
    <n v="1660.28"/>
    <n v="1660.29"/>
    <n v="1660.29"/>
    <s v="February 2023"/>
  </r>
  <r>
    <d v="2023-02-05T00:00:00"/>
    <x v="2754"/>
    <n v="52"/>
    <x v="1"/>
    <x v="3"/>
    <x v="1"/>
    <x v="3"/>
    <n v="4759.47"/>
    <x v="1"/>
    <n v="2509.1716796874912"/>
    <n v="5235.41"/>
    <n v="5235.42"/>
    <n v="5235.42"/>
    <s v="February 2023"/>
  </r>
  <r>
    <d v="2023-02-05T00:00:00"/>
    <x v="2755"/>
    <n v="13"/>
    <x v="1"/>
    <x v="0"/>
    <x v="2"/>
    <x v="2"/>
    <n v="1761.53"/>
    <x v="2"/>
    <n v="2440.2966694490838"/>
    <n v="1937.68"/>
    <n v="1937.69"/>
    <n v="1937.68"/>
    <s v="February 2023"/>
  </r>
  <r>
    <d v="2023-02-05T00:00:00"/>
    <x v="2756"/>
    <n v="14"/>
    <x v="1"/>
    <x v="1"/>
    <x v="0"/>
    <x v="0"/>
    <n v="1464.62"/>
    <x v="2"/>
    <n v="2503.6022787783854"/>
    <n v="1611.08"/>
    <n v="1611.09"/>
    <n v="1611.08"/>
    <s v="February 2023"/>
  </r>
  <r>
    <d v="2023-02-05T00:00:00"/>
    <x v="2757"/>
    <n v="19"/>
    <x v="0"/>
    <x v="4"/>
    <x v="3"/>
    <x v="2"/>
    <n v="2869.83"/>
    <x v="1"/>
    <n v="2496.7676064256989"/>
    <n v="3156.81"/>
    <n v="3156.82"/>
    <n v="3156.81"/>
    <s v="February 2023"/>
  </r>
  <r>
    <d v="2023-02-05T00:00:00"/>
    <x v="2758"/>
    <n v="48"/>
    <x v="2"/>
    <x v="3"/>
    <x v="2"/>
    <x v="0"/>
    <n v="985.78"/>
    <x v="1"/>
    <n v="2440.2966694490838"/>
    <n v="1084.3499999999999"/>
    <n v="1084.3599999999999"/>
    <n v="1084.3599999999999"/>
    <s v="February 2023"/>
  </r>
  <r>
    <d v="2023-02-06T00:00:00"/>
    <x v="2759"/>
    <n v="40"/>
    <x v="1"/>
    <x v="0"/>
    <x v="2"/>
    <x v="2"/>
    <n v="3505.85"/>
    <x v="1"/>
    <n v="2440.2966694490838"/>
    <n v="3856.43"/>
    <n v="3856.44"/>
    <n v="3856.44"/>
    <s v="February 2023"/>
  </r>
  <r>
    <d v="2023-02-06T00:00:00"/>
    <x v="2760"/>
    <n v="53"/>
    <x v="2"/>
    <x v="3"/>
    <x v="3"/>
    <x v="0"/>
    <n v="4808.1400000000003"/>
    <x v="1"/>
    <n v="2496.7676064256989"/>
    <n v="5288.95"/>
    <n v="5288.96"/>
    <n v="5288.95"/>
    <s v="February 2023"/>
  </r>
  <r>
    <d v="2023-02-06T00:00:00"/>
    <x v="2761"/>
    <n v="54"/>
    <x v="0"/>
    <x v="1"/>
    <x v="1"/>
    <x v="1"/>
    <n v="1126.99"/>
    <x v="1"/>
    <n v="2509.1716796874912"/>
    <n v="1239.68"/>
    <n v="1239.69"/>
    <n v="1239.69"/>
    <s v="February 2023"/>
  </r>
  <r>
    <d v="2023-02-07T00:00:00"/>
    <x v="2762"/>
    <n v="35"/>
    <x v="0"/>
    <x v="1"/>
    <x v="2"/>
    <x v="4"/>
    <n v="1246.67"/>
    <x v="1"/>
    <n v="2440.2966694490838"/>
    <n v="1371.33"/>
    <n v="1371.34"/>
    <n v="1371.34"/>
    <s v="February 2023"/>
  </r>
  <r>
    <d v="2023-02-07T00:00:00"/>
    <x v="2763"/>
    <n v="24"/>
    <x v="2"/>
    <x v="3"/>
    <x v="1"/>
    <x v="3"/>
    <n v="3713.78"/>
    <x v="1"/>
    <n v="2509.1716796874912"/>
    <n v="4085.15"/>
    <n v="4085.1600000000003"/>
    <n v="4085.16"/>
    <s v="February 2023"/>
  </r>
  <r>
    <d v="2023-02-07T00:00:00"/>
    <x v="2764"/>
    <n v="81"/>
    <x v="1"/>
    <x v="6"/>
    <x v="3"/>
    <x v="1"/>
    <n v="4554.13"/>
    <x v="0"/>
    <n v="2496.7676064256989"/>
    <n v="5009.54"/>
    <n v="5009.55"/>
    <n v="5009.54"/>
    <s v="February 2023"/>
  </r>
  <r>
    <d v="2023-02-07T00:00:00"/>
    <x v="2765"/>
    <n v="49"/>
    <x v="0"/>
    <x v="0"/>
    <x v="2"/>
    <x v="1"/>
    <n v="1181.8800000000001"/>
    <x v="1"/>
    <n v="2440.2966694490838"/>
    <n v="1300.06"/>
    <n v="1300.07"/>
    <n v="1300.07"/>
    <s v="February 2023"/>
  </r>
  <r>
    <d v="2023-02-08T00:00:00"/>
    <x v="2766"/>
    <n v="92"/>
    <x v="1"/>
    <x v="0"/>
    <x v="2"/>
    <x v="4"/>
    <n v="4232.03"/>
    <x v="0"/>
    <n v="2440.2966694490838"/>
    <n v="4655.2299999999996"/>
    <n v="4655.24"/>
    <n v="4655.2299999999996"/>
    <s v="February 2023"/>
  </r>
  <r>
    <d v="2023-02-08T00:00:00"/>
    <x v="2767"/>
    <n v="38"/>
    <x v="0"/>
    <x v="7"/>
    <x v="1"/>
    <x v="2"/>
    <n v="4141.26"/>
    <x v="1"/>
    <n v="2509.1716796874912"/>
    <n v="4555.38"/>
    <n v="4555.3900000000003"/>
    <n v="4555.3900000000003"/>
    <s v="February 2023"/>
  </r>
  <r>
    <d v="2023-02-08T00:00:00"/>
    <x v="2768"/>
    <n v="32"/>
    <x v="1"/>
    <x v="3"/>
    <x v="1"/>
    <x v="5"/>
    <n v="2507.62"/>
    <x v="1"/>
    <n v="2509.1716796874912"/>
    <n v="2758.38"/>
    <n v="2758.3900000000003"/>
    <n v="2758.38"/>
    <s v="February 2023"/>
  </r>
  <r>
    <d v="2023-02-08T00:00:00"/>
    <x v="2769"/>
    <n v="23"/>
    <x v="1"/>
    <x v="2"/>
    <x v="2"/>
    <x v="1"/>
    <n v="3477.23"/>
    <x v="1"/>
    <n v="2440.2966694490838"/>
    <n v="3824.95"/>
    <n v="3824.96"/>
    <n v="3824.95"/>
    <s v="February 2023"/>
  </r>
  <r>
    <d v="2023-02-08T00:00:00"/>
    <x v="2770"/>
    <n v="74"/>
    <x v="1"/>
    <x v="3"/>
    <x v="1"/>
    <x v="2"/>
    <n v="2815.39"/>
    <x v="0"/>
    <n v="2509.1716796874912"/>
    <n v="3096.92"/>
    <n v="3096.9300000000003"/>
    <n v="3096.93"/>
    <s v="February 2023"/>
  </r>
  <r>
    <d v="2023-02-08T00:00:00"/>
    <x v="2771"/>
    <n v="91"/>
    <x v="0"/>
    <x v="5"/>
    <x v="0"/>
    <x v="2"/>
    <n v="2251.58"/>
    <x v="0"/>
    <n v="2503.6022787783854"/>
    <n v="2476.73"/>
    <n v="2476.7400000000002"/>
    <n v="2476.7399999999998"/>
    <s v="February 2023"/>
  </r>
  <r>
    <d v="2023-02-09T00:00:00"/>
    <x v="2772"/>
    <n v="20"/>
    <x v="1"/>
    <x v="3"/>
    <x v="2"/>
    <x v="4"/>
    <n v="921.78"/>
    <x v="1"/>
    <n v="2440.2966694490838"/>
    <n v="1013.95"/>
    <n v="1013.96"/>
    <n v="1013.96"/>
    <s v="February 2023"/>
  </r>
  <r>
    <d v="2023-02-09T00:00:00"/>
    <x v="2773"/>
    <n v="33"/>
    <x v="1"/>
    <x v="3"/>
    <x v="3"/>
    <x v="4"/>
    <n v="3698"/>
    <x v="1"/>
    <n v="2496.7676064256989"/>
    <n v="4067.8"/>
    <n v="4067.8"/>
    <n v="4067.8"/>
    <s v="February 2023"/>
  </r>
  <r>
    <d v="2023-02-09T00:00:00"/>
    <x v="2774"/>
    <n v="18"/>
    <x v="2"/>
    <x v="5"/>
    <x v="3"/>
    <x v="2"/>
    <n v="2984.95"/>
    <x v="1"/>
    <n v="2496.7676064256989"/>
    <n v="3283.44"/>
    <n v="3283.4500000000003"/>
    <n v="3283.45"/>
    <s v="February 2023"/>
  </r>
  <r>
    <d v="2023-02-09T00:00:00"/>
    <x v="2775"/>
    <n v="10"/>
    <x v="2"/>
    <x v="4"/>
    <x v="1"/>
    <x v="4"/>
    <n v="3988.92"/>
    <x v="2"/>
    <n v="2509.1716796874912"/>
    <n v="4387.8100000000004"/>
    <n v="4387.8200000000006"/>
    <n v="4387.8100000000004"/>
    <s v="February 2023"/>
  </r>
  <r>
    <d v="2023-02-09T00:00:00"/>
    <x v="2776"/>
    <n v="64"/>
    <x v="1"/>
    <x v="0"/>
    <x v="2"/>
    <x v="2"/>
    <n v="3633.41"/>
    <x v="1"/>
    <n v="2440.2966694490838"/>
    <n v="3996.75"/>
    <n v="3996.76"/>
    <n v="3996.75"/>
    <s v="February 2023"/>
  </r>
  <r>
    <d v="2023-02-09T00:00:00"/>
    <x v="2777"/>
    <n v="73"/>
    <x v="0"/>
    <x v="2"/>
    <x v="1"/>
    <x v="4"/>
    <n v="1868.43"/>
    <x v="0"/>
    <n v="2509.1716796874912"/>
    <n v="2055.27"/>
    <n v="2055.2800000000002"/>
    <n v="2055.27"/>
    <s v="February 2023"/>
  </r>
  <r>
    <d v="2023-02-09T00:00:00"/>
    <x v="2778"/>
    <n v="9"/>
    <x v="0"/>
    <x v="6"/>
    <x v="2"/>
    <x v="3"/>
    <n v="1177.1099999999999"/>
    <x v="2"/>
    <n v="2440.2966694490838"/>
    <n v="1294.82"/>
    <n v="1294.83"/>
    <n v="1294.82"/>
    <s v="February 2023"/>
  </r>
  <r>
    <d v="2023-02-09T00:00:00"/>
    <x v="2779"/>
    <n v="51"/>
    <x v="0"/>
    <x v="5"/>
    <x v="2"/>
    <x v="0"/>
    <n v="1925.83"/>
    <x v="1"/>
    <n v="2440.2966694490838"/>
    <n v="2118.41"/>
    <n v="2118.42"/>
    <n v="2118.41"/>
    <s v="February 2023"/>
  </r>
  <r>
    <d v="2023-02-09T00:00:00"/>
    <x v="2780"/>
    <n v="89"/>
    <x v="0"/>
    <x v="4"/>
    <x v="2"/>
    <x v="0"/>
    <n v="2360.92"/>
    <x v="0"/>
    <n v="2440.2966694490838"/>
    <n v="2597.0100000000002"/>
    <n v="2597.0200000000004"/>
    <n v="2597.0100000000002"/>
    <s v="February 2023"/>
  </r>
  <r>
    <d v="2023-02-09T00:00:00"/>
    <x v="2781"/>
    <n v="84"/>
    <x v="2"/>
    <x v="7"/>
    <x v="3"/>
    <x v="0"/>
    <n v="4741.3999999999996"/>
    <x v="0"/>
    <n v="2496.7676064256989"/>
    <n v="5215.54"/>
    <n v="5215.54"/>
    <n v="5215.54"/>
    <s v="February 2023"/>
  </r>
  <r>
    <d v="2023-02-10T00:00:00"/>
    <x v="2782"/>
    <n v="98"/>
    <x v="1"/>
    <x v="2"/>
    <x v="3"/>
    <x v="3"/>
    <n v="742.85"/>
    <x v="0"/>
    <n v="2496.7676064256989"/>
    <n v="817.13"/>
    <n v="817.14"/>
    <n v="817.14"/>
    <s v="February 2023"/>
  </r>
  <r>
    <d v="2023-02-10T00:00:00"/>
    <x v="2783"/>
    <n v="79"/>
    <x v="0"/>
    <x v="5"/>
    <x v="0"/>
    <x v="4"/>
    <n v="4275.63"/>
    <x v="0"/>
    <n v="2503.6022787783854"/>
    <n v="4703.1899999999996"/>
    <n v="4703.2"/>
    <n v="4703.1899999999996"/>
    <s v="February 2023"/>
  </r>
  <r>
    <d v="2023-02-10T00:00:00"/>
    <x v="2784"/>
    <n v="89"/>
    <x v="0"/>
    <x v="0"/>
    <x v="0"/>
    <x v="4"/>
    <n v="446.68"/>
    <x v="0"/>
    <n v="2503.6022787783854"/>
    <n v="491.34"/>
    <n v="491.34999999999997"/>
    <n v="491.35"/>
    <s v="February 2023"/>
  </r>
  <r>
    <d v="2023-02-10T00:00:00"/>
    <x v="2785"/>
    <n v="87"/>
    <x v="0"/>
    <x v="6"/>
    <x v="0"/>
    <x v="1"/>
    <n v="4342.82"/>
    <x v="0"/>
    <n v="2503.6022787783854"/>
    <n v="4777.1000000000004"/>
    <n v="4777.1100000000006"/>
    <n v="4777.1000000000004"/>
    <s v="February 2023"/>
  </r>
  <r>
    <d v="2023-02-10T00:00:00"/>
    <x v="2786"/>
    <n v="35"/>
    <x v="0"/>
    <x v="7"/>
    <x v="2"/>
    <x v="0"/>
    <n v="3752.59"/>
    <x v="1"/>
    <n v="2440.2966694490838"/>
    <n v="4127.84"/>
    <n v="4127.8500000000004"/>
    <n v="4127.8500000000004"/>
    <s v="February 2023"/>
  </r>
  <r>
    <d v="2023-02-10T00:00:00"/>
    <x v="2787"/>
    <n v="64"/>
    <x v="1"/>
    <x v="7"/>
    <x v="1"/>
    <x v="0"/>
    <n v="2589.92"/>
    <x v="1"/>
    <n v="2509.1716796874912"/>
    <n v="2848.91"/>
    <n v="2848.92"/>
    <n v="2848.91"/>
    <s v="February 2023"/>
  </r>
  <r>
    <d v="2023-02-10T00:00:00"/>
    <x v="2788"/>
    <n v="68"/>
    <x v="2"/>
    <x v="3"/>
    <x v="0"/>
    <x v="4"/>
    <n v="4643.42"/>
    <x v="0"/>
    <n v="2503.6022787783854"/>
    <n v="5107.76"/>
    <n v="5107.7700000000004"/>
    <n v="5107.76"/>
    <s v="February 2023"/>
  </r>
  <r>
    <d v="2023-02-11T00:00:00"/>
    <x v="2789"/>
    <n v="19"/>
    <x v="1"/>
    <x v="7"/>
    <x v="2"/>
    <x v="1"/>
    <n v="1058.4100000000001"/>
    <x v="1"/>
    <n v="2440.2966694490838"/>
    <n v="1164.25"/>
    <n v="1164.26"/>
    <n v="1164.25"/>
    <s v="February 2023"/>
  </r>
  <r>
    <d v="2023-02-11T00:00:00"/>
    <x v="2790"/>
    <n v="17"/>
    <x v="0"/>
    <x v="5"/>
    <x v="0"/>
    <x v="1"/>
    <n v="845.64"/>
    <x v="1"/>
    <n v="2503.6022787783854"/>
    <n v="930.2"/>
    <n v="930.21"/>
    <n v="930.2"/>
    <s v="February 2023"/>
  </r>
  <r>
    <d v="2023-02-11T00:00:00"/>
    <x v="2791"/>
    <n v="47"/>
    <x v="2"/>
    <x v="3"/>
    <x v="2"/>
    <x v="2"/>
    <n v="3275.51"/>
    <x v="1"/>
    <n v="2440.2966694490838"/>
    <n v="3603.06"/>
    <n v="3603.07"/>
    <n v="3603.06"/>
    <s v="February 2023"/>
  </r>
  <r>
    <d v="2023-02-11T00:00:00"/>
    <x v="2792"/>
    <n v="67"/>
    <x v="2"/>
    <x v="3"/>
    <x v="3"/>
    <x v="0"/>
    <n v="539.57000000000005"/>
    <x v="0"/>
    <n v="2496.7676064256989"/>
    <n v="593.52"/>
    <n v="593.53"/>
    <n v="593.53"/>
    <s v="February 2023"/>
  </r>
  <r>
    <d v="2023-02-11T00:00:00"/>
    <x v="2793"/>
    <n v="56"/>
    <x v="1"/>
    <x v="6"/>
    <x v="1"/>
    <x v="0"/>
    <n v="3569.92"/>
    <x v="1"/>
    <n v="2509.1716796874912"/>
    <n v="3926.91"/>
    <n v="3926.92"/>
    <n v="3926.91"/>
    <s v="February 2023"/>
  </r>
  <r>
    <d v="2023-02-11T00:00:00"/>
    <x v="2794"/>
    <n v="38"/>
    <x v="0"/>
    <x v="7"/>
    <x v="1"/>
    <x v="0"/>
    <n v="1813.65"/>
    <x v="1"/>
    <n v="2509.1716796874912"/>
    <n v="1995.01"/>
    <n v="1995.02"/>
    <n v="1995.02"/>
    <s v="February 2023"/>
  </r>
  <r>
    <d v="2023-02-11T00:00:00"/>
    <x v="2795"/>
    <n v="48"/>
    <x v="0"/>
    <x v="1"/>
    <x v="2"/>
    <x v="0"/>
    <n v="457.83"/>
    <x v="1"/>
    <n v="2440.2966694490838"/>
    <n v="503.61"/>
    <n v="503.62"/>
    <n v="503.61"/>
    <s v="February 2023"/>
  </r>
  <r>
    <d v="2023-02-11T00:00:00"/>
    <x v="2796"/>
    <n v="79"/>
    <x v="1"/>
    <x v="5"/>
    <x v="0"/>
    <x v="3"/>
    <n v="2287.6799999999998"/>
    <x v="0"/>
    <n v="2503.6022787783854"/>
    <n v="2516.44"/>
    <n v="2516.4500000000003"/>
    <n v="2516.4499999999998"/>
    <s v="February 2023"/>
  </r>
  <r>
    <d v="2023-02-11T00:00:00"/>
    <x v="2797"/>
    <n v="90"/>
    <x v="1"/>
    <x v="7"/>
    <x v="0"/>
    <x v="0"/>
    <n v="1414.28"/>
    <x v="0"/>
    <n v="2503.6022787783854"/>
    <n v="1555.7"/>
    <n v="1555.71"/>
    <n v="1555.71"/>
    <s v="February 2023"/>
  </r>
  <r>
    <d v="2023-02-12T00:00:00"/>
    <x v="2798"/>
    <n v="36"/>
    <x v="0"/>
    <x v="5"/>
    <x v="3"/>
    <x v="1"/>
    <n v="3405.12"/>
    <x v="1"/>
    <n v="2496.7676064256989"/>
    <n v="3745.63"/>
    <n v="3745.6400000000003"/>
    <n v="3745.63"/>
    <s v="February 2023"/>
  </r>
  <r>
    <d v="2023-02-12T00:00:00"/>
    <x v="2799"/>
    <n v="29"/>
    <x v="1"/>
    <x v="2"/>
    <x v="2"/>
    <x v="1"/>
    <n v="1795.91"/>
    <x v="1"/>
    <n v="2440.2966694490838"/>
    <n v="1975.5"/>
    <n v="1975.51"/>
    <n v="1975.5"/>
    <s v="February 2023"/>
  </r>
  <r>
    <d v="2023-02-12T00:00:00"/>
    <x v="2800"/>
    <n v="9"/>
    <x v="1"/>
    <x v="0"/>
    <x v="3"/>
    <x v="0"/>
    <n v="640.13"/>
    <x v="2"/>
    <n v="2496.7676064256989"/>
    <n v="704.14"/>
    <n v="704.15"/>
    <n v="704.14"/>
    <s v="February 2023"/>
  </r>
  <r>
    <d v="2023-02-13T00:00:00"/>
    <x v="2801"/>
    <n v="80"/>
    <x v="1"/>
    <x v="5"/>
    <x v="1"/>
    <x v="3"/>
    <n v="3508.24"/>
    <x v="0"/>
    <n v="2509.1716796874912"/>
    <n v="3859.06"/>
    <n v="3859.07"/>
    <n v="3859.06"/>
    <s v="February 2023"/>
  </r>
  <r>
    <d v="2023-02-13T00:00:00"/>
    <x v="2802"/>
    <n v="66"/>
    <x v="1"/>
    <x v="7"/>
    <x v="3"/>
    <x v="2"/>
    <n v="1667.63"/>
    <x v="0"/>
    <n v="2496.7676064256989"/>
    <n v="1834.39"/>
    <n v="1834.4"/>
    <n v="1834.39"/>
    <s v="February 2023"/>
  </r>
  <r>
    <d v="2023-02-13T00:00:00"/>
    <x v="2803"/>
    <n v="53"/>
    <x v="2"/>
    <x v="3"/>
    <x v="1"/>
    <x v="3"/>
    <n v="246.89"/>
    <x v="1"/>
    <n v="2509.1716796874912"/>
    <n v="271.57"/>
    <n v="271.58"/>
    <n v="271.58"/>
    <s v="February 2023"/>
  </r>
  <r>
    <d v="2023-02-13T00:00:00"/>
    <x v="2804"/>
    <n v="23"/>
    <x v="2"/>
    <x v="1"/>
    <x v="2"/>
    <x v="0"/>
    <n v="3130.26"/>
    <x v="1"/>
    <n v="2440.2966694490838"/>
    <n v="3443.28"/>
    <n v="3443.2900000000004"/>
    <n v="3443.29"/>
    <s v="February 2023"/>
  </r>
  <r>
    <d v="2023-02-13T00:00:00"/>
    <x v="2805"/>
    <n v="81"/>
    <x v="0"/>
    <x v="4"/>
    <x v="1"/>
    <x v="4"/>
    <n v="21.04"/>
    <x v="0"/>
    <n v="2509.1716796874912"/>
    <n v="23.14"/>
    <n v="23.150000000000002"/>
    <n v="23.14"/>
    <s v="February 2023"/>
  </r>
  <r>
    <d v="2023-02-13T00:00:00"/>
    <x v="2806"/>
    <n v="79"/>
    <x v="0"/>
    <x v="3"/>
    <x v="2"/>
    <x v="0"/>
    <n v="2659.85"/>
    <x v="0"/>
    <n v="2440.2966694490838"/>
    <n v="2925.83"/>
    <n v="2925.84"/>
    <n v="2925.84"/>
    <s v="February 2023"/>
  </r>
  <r>
    <d v="2023-02-13T00:00:00"/>
    <x v="2807"/>
    <n v="14"/>
    <x v="0"/>
    <x v="4"/>
    <x v="1"/>
    <x v="2"/>
    <n v="4275.66"/>
    <x v="2"/>
    <n v="2509.1716796874912"/>
    <n v="4703.22"/>
    <n v="4703.2300000000005"/>
    <n v="4703.2299999999996"/>
    <s v="February 2023"/>
  </r>
  <r>
    <d v="2023-02-13T00:00:00"/>
    <x v="2808"/>
    <n v="42"/>
    <x v="1"/>
    <x v="4"/>
    <x v="0"/>
    <x v="0"/>
    <n v="2822.45"/>
    <x v="1"/>
    <n v="2503.6022787783854"/>
    <n v="3104.69"/>
    <n v="3104.7000000000003"/>
    <n v="3104.7"/>
    <s v="February 2023"/>
  </r>
  <r>
    <d v="2023-02-13T00:00:00"/>
    <x v="2809"/>
    <n v="48"/>
    <x v="1"/>
    <x v="3"/>
    <x v="0"/>
    <x v="3"/>
    <n v="849.58"/>
    <x v="1"/>
    <n v="2503.6022787783854"/>
    <n v="934.53"/>
    <n v="934.54"/>
    <n v="934.54"/>
    <s v="February 2023"/>
  </r>
  <r>
    <d v="2023-02-14T00:00:00"/>
    <x v="2810"/>
    <n v="3"/>
    <x v="0"/>
    <x v="5"/>
    <x v="3"/>
    <x v="2"/>
    <n v="69.72"/>
    <x v="2"/>
    <n v="2496.7676064256989"/>
    <n v="76.69"/>
    <n v="76.7"/>
    <n v="76.69"/>
    <s v="February 2023"/>
  </r>
  <r>
    <d v="2023-02-14T00:00:00"/>
    <x v="2811"/>
    <n v="60"/>
    <x v="2"/>
    <x v="0"/>
    <x v="0"/>
    <x v="0"/>
    <n v="3640.15"/>
    <x v="1"/>
    <n v="2503.6022787783854"/>
    <n v="4004.16"/>
    <n v="4004.17"/>
    <n v="4004.17"/>
    <s v="February 2023"/>
  </r>
  <r>
    <d v="2023-02-14T00:00:00"/>
    <x v="2812"/>
    <n v="66"/>
    <x v="2"/>
    <x v="2"/>
    <x v="2"/>
    <x v="2"/>
    <n v="4377.92"/>
    <x v="0"/>
    <n v="2440.2966694490838"/>
    <n v="4815.71"/>
    <n v="4815.72"/>
    <n v="4815.71"/>
    <s v="February 2023"/>
  </r>
  <r>
    <d v="2023-02-14T00:00:00"/>
    <x v="2813"/>
    <n v="56"/>
    <x v="1"/>
    <x v="3"/>
    <x v="2"/>
    <x v="0"/>
    <n v="1156.04"/>
    <x v="1"/>
    <n v="2440.2966694490838"/>
    <n v="1271.6400000000001"/>
    <n v="1271.6500000000001"/>
    <n v="1271.6400000000001"/>
    <s v="February 2023"/>
  </r>
  <r>
    <d v="2023-02-14T00:00:00"/>
    <x v="2814"/>
    <n v="61"/>
    <x v="0"/>
    <x v="7"/>
    <x v="3"/>
    <x v="1"/>
    <n v="3222.11"/>
    <x v="1"/>
    <n v="2496.7676064256989"/>
    <n v="3544.32"/>
    <n v="3544.3300000000004"/>
    <n v="3544.32"/>
    <s v="February 2023"/>
  </r>
  <r>
    <d v="2023-02-14T00:00:00"/>
    <x v="2815"/>
    <n v="0"/>
    <x v="2"/>
    <x v="3"/>
    <x v="1"/>
    <x v="3"/>
    <n v="2640.71"/>
    <x v="2"/>
    <n v="2509.1716796874912"/>
    <n v="2904.78"/>
    <n v="2904.7900000000004"/>
    <n v="2904.78"/>
    <s v="February 2023"/>
  </r>
  <r>
    <d v="2023-02-15T00:00:00"/>
    <x v="2816"/>
    <n v="1"/>
    <x v="2"/>
    <x v="0"/>
    <x v="2"/>
    <x v="2"/>
    <n v="4985.7700000000004"/>
    <x v="2"/>
    <n v="2440.2966694490838"/>
    <n v="5484.34"/>
    <n v="5484.35"/>
    <n v="5484.35"/>
    <s v="February 2023"/>
  </r>
  <r>
    <d v="2023-02-15T00:00:00"/>
    <x v="2817"/>
    <n v="60"/>
    <x v="0"/>
    <x v="5"/>
    <x v="1"/>
    <x v="1"/>
    <n v="1758.2"/>
    <x v="1"/>
    <n v="2509.1716796874912"/>
    <n v="1934.02"/>
    <n v="1934.02"/>
    <n v="1934.02"/>
    <s v="February 2023"/>
  </r>
  <r>
    <d v="2023-02-15T00:00:00"/>
    <x v="2818"/>
    <n v="50"/>
    <x v="0"/>
    <x v="7"/>
    <x v="0"/>
    <x v="0"/>
    <n v="4932.75"/>
    <x v="1"/>
    <n v="2503.6022787783854"/>
    <n v="5426.02"/>
    <n v="5426.0300000000007"/>
    <n v="5426.03"/>
    <s v="February 2023"/>
  </r>
  <r>
    <d v="2023-02-15T00:00:00"/>
    <x v="2819"/>
    <n v="52"/>
    <x v="1"/>
    <x v="1"/>
    <x v="3"/>
    <x v="0"/>
    <n v="1205.25"/>
    <x v="1"/>
    <n v="2496.7676064256989"/>
    <n v="1325.77"/>
    <n v="1325.78"/>
    <n v="1325.78"/>
    <s v="February 2023"/>
  </r>
  <r>
    <d v="2023-02-15T00:00:00"/>
    <x v="2820"/>
    <n v="74"/>
    <x v="2"/>
    <x v="4"/>
    <x v="1"/>
    <x v="4"/>
    <n v="3981.71"/>
    <x v="0"/>
    <n v="2509.1716796874912"/>
    <n v="4379.88"/>
    <n v="4379.8900000000003"/>
    <n v="4379.88"/>
    <s v="February 2023"/>
  </r>
  <r>
    <d v="2023-02-15T00:00:00"/>
    <x v="2821"/>
    <n v="33"/>
    <x v="0"/>
    <x v="2"/>
    <x v="3"/>
    <x v="1"/>
    <n v="4062.39"/>
    <x v="1"/>
    <n v="2496.7676064256989"/>
    <n v="4468.62"/>
    <n v="4468.63"/>
    <n v="4468.63"/>
    <s v="February 2023"/>
  </r>
  <r>
    <d v="2023-02-15T00:00:00"/>
    <x v="2822"/>
    <n v="12"/>
    <x v="0"/>
    <x v="7"/>
    <x v="1"/>
    <x v="4"/>
    <n v="3849.37"/>
    <x v="2"/>
    <n v="2509.1716796874912"/>
    <n v="4234.3"/>
    <n v="4234.3100000000004"/>
    <n v="4234.3100000000004"/>
    <s v="February 2023"/>
  </r>
  <r>
    <d v="2023-02-16T00:00:00"/>
    <x v="2823"/>
    <n v="3"/>
    <x v="0"/>
    <x v="0"/>
    <x v="2"/>
    <x v="2"/>
    <n v="85.63"/>
    <x v="2"/>
    <n v="2440.2966694490838"/>
    <n v="94.19"/>
    <n v="94.2"/>
    <n v="94.19"/>
    <s v="February 2023"/>
  </r>
  <r>
    <d v="2023-02-16T00:00:00"/>
    <x v="2824"/>
    <n v="50"/>
    <x v="0"/>
    <x v="0"/>
    <x v="0"/>
    <x v="0"/>
    <n v="3752.54"/>
    <x v="1"/>
    <n v="2503.6022787783854"/>
    <n v="4127.79"/>
    <n v="4127.8"/>
    <n v="4127.79"/>
    <s v="February 2023"/>
  </r>
  <r>
    <d v="2023-02-16T00:00:00"/>
    <x v="2825"/>
    <n v="55"/>
    <x v="1"/>
    <x v="2"/>
    <x v="3"/>
    <x v="1"/>
    <n v="993.13"/>
    <x v="1"/>
    <n v="2496.7676064256989"/>
    <n v="1092.44"/>
    <n v="1092.45"/>
    <n v="1092.44"/>
    <s v="February 2023"/>
  </r>
  <r>
    <d v="2023-02-16T00:00:00"/>
    <x v="2826"/>
    <n v="69"/>
    <x v="0"/>
    <x v="3"/>
    <x v="0"/>
    <x v="3"/>
    <n v="409"/>
    <x v="0"/>
    <n v="2503.6022787783854"/>
    <n v="449.9"/>
    <n v="449.9"/>
    <n v="449.9"/>
    <s v="February 2023"/>
  </r>
  <r>
    <d v="2023-02-16T00:00:00"/>
    <x v="2827"/>
    <n v="92"/>
    <x v="0"/>
    <x v="7"/>
    <x v="0"/>
    <x v="0"/>
    <n v="4805.59"/>
    <x v="0"/>
    <n v="2503.6022787783854"/>
    <n v="5286.14"/>
    <n v="5286.1500000000005"/>
    <n v="5286.15"/>
    <s v="February 2023"/>
  </r>
  <r>
    <d v="2023-02-16T00:00:00"/>
    <x v="2828"/>
    <n v="74"/>
    <x v="1"/>
    <x v="0"/>
    <x v="3"/>
    <x v="2"/>
    <n v="4604.18"/>
    <x v="0"/>
    <n v="2496.7676064256989"/>
    <n v="5064.59"/>
    <n v="5064.6000000000004"/>
    <n v="5064.6000000000004"/>
    <s v="February 2023"/>
  </r>
  <r>
    <d v="2023-02-16T00:00:00"/>
    <x v="2829"/>
    <n v="20"/>
    <x v="1"/>
    <x v="3"/>
    <x v="2"/>
    <x v="0"/>
    <n v="827.7"/>
    <x v="1"/>
    <n v="2440.2966694490838"/>
    <n v="910.47"/>
    <n v="910.47"/>
    <n v="910.47"/>
    <s v="February 2023"/>
  </r>
  <r>
    <d v="2023-02-16T00:00:00"/>
    <x v="2830"/>
    <n v="49"/>
    <x v="0"/>
    <x v="2"/>
    <x v="3"/>
    <x v="4"/>
    <n v="1834.56"/>
    <x v="1"/>
    <n v="2496.7676064256989"/>
    <n v="2018.01"/>
    <n v="2018.02"/>
    <n v="2018.02"/>
    <s v="February 2023"/>
  </r>
  <r>
    <d v="2023-02-17T00:00:00"/>
    <x v="2831"/>
    <n v="92"/>
    <x v="1"/>
    <x v="0"/>
    <x v="2"/>
    <x v="2"/>
    <n v="3627.43"/>
    <x v="0"/>
    <n v="2440.2966694490838"/>
    <n v="3990.17"/>
    <n v="3990.1800000000003"/>
    <n v="3990.17"/>
    <s v="February 2023"/>
  </r>
  <r>
    <d v="2023-02-17T00:00:00"/>
    <x v="2832"/>
    <n v="38"/>
    <x v="2"/>
    <x v="1"/>
    <x v="3"/>
    <x v="1"/>
    <n v="1551.58"/>
    <x v="1"/>
    <n v="2496.7676064256989"/>
    <n v="1706.73"/>
    <n v="1706.74"/>
    <n v="1706.74"/>
    <s v="February 2023"/>
  </r>
  <r>
    <d v="2023-02-17T00:00:00"/>
    <x v="2833"/>
    <n v="71"/>
    <x v="2"/>
    <x v="5"/>
    <x v="0"/>
    <x v="4"/>
    <n v="1274.54"/>
    <x v="0"/>
    <n v="2503.6022787783854"/>
    <n v="1401.99"/>
    <n v="1402"/>
    <n v="1401.99"/>
    <s v="February 2023"/>
  </r>
  <r>
    <d v="2023-02-17T00:00:00"/>
    <x v="2834"/>
    <n v="69"/>
    <x v="1"/>
    <x v="7"/>
    <x v="1"/>
    <x v="2"/>
    <n v="1009.55"/>
    <x v="0"/>
    <n v="2509.1716796874912"/>
    <n v="1110.5"/>
    <n v="1110.51"/>
    <n v="1110.51"/>
    <s v="February 2023"/>
  </r>
  <r>
    <d v="2023-02-17T00:00:00"/>
    <x v="2835"/>
    <n v="56"/>
    <x v="1"/>
    <x v="3"/>
    <x v="0"/>
    <x v="0"/>
    <n v="4419.43"/>
    <x v="1"/>
    <n v="2503.6022787783854"/>
    <n v="4861.37"/>
    <n v="4861.38"/>
    <n v="4861.37"/>
    <s v="February 2023"/>
  </r>
  <r>
    <d v="2023-02-18T00:00:00"/>
    <x v="2836"/>
    <n v="86"/>
    <x v="1"/>
    <x v="2"/>
    <x v="0"/>
    <x v="3"/>
    <n v="2866.09"/>
    <x v="0"/>
    <n v="2503.6022787783854"/>
    <n v="3152.69"/>
    <n v="3152.7000000000003"/>
    <n v="3152.7"/>
    <s v="February 2023"/>
  </r>
  <r>
    <d v="2023-02-18T00:00:00"/>
    <x v="2837"/>
    <n v="1"/>
    <x v="1"/>
    <x v="5"/>
    <x v="3"/>
    <x v="3"/>
    <n v="184.03"/>
    <x v="2"/>
    <n v="2496.7676064256989"/>
    <n v="202.43"/>
    <n v="202.44"/>
    <n v="202.43"/>
    <s v="February 2023"/>
  </r>
  <r>
    <d v="2023-02-18T00:00:00"/>
    <x v="2838"/>
    <n v="37"/>
    <x v="2"/>
    <x v="7"/>
    <x v="3"/>
    <x v="0"/>
    <n v="3620.26"/>
    <x v="1"/>
    <n v="2496.7676064256989"/>
    <n v="3982.28"/>
    <n v="3982.2900000000004"/>
    <n v="3982.29"/>
    <s v="February 2023"/>
  </r>
  <r>
    <d v="2023-02-18T00:00:00"/>
    <x v="2839"/>
    <n v="13"/>
    <x v="0"/>
    <x v="0"/>
    <x v="0"/>
    <x v="2"/>
    <n v="2524.87"/>
    <x v="2"/>
    <n v="2503.6022787783854"/>
    <n v="2777.35"/>
    <n v="2777.36"/>
    <n v="2777.36"/>
    <s v="February 2023"/>
  </r>
  <r>
    <d v="2023-02-18T00:00:00"/>
    <x v="2840"/>
    <n v="80"/>
    <x v="2"/>
    <x v="3"/>
    <x v="0"/>
    <x v="1"/>
    <n v="3771.47"/>
    <x v="0"/>
    <n v="2503.6022787783854"/>
    <n v="4148.6099999999997"/>
    <n v="4148.62"/>
    <n v="4148.62"/>
    <s v="February 2023"/>
  </r>
  <r>
    <d v="2023-02-18T00:00:00"/>
    <x v="2841"/>
    <n v="12"/>
    <x v="0"/>
    <x v="4"/>
    <x v="0"/>
    <x v="3"/>
    <n v="4726.6099999999997"/>
    <x v="2"/>
    <n v="2503.6022787783854"/>
    <n v="5199.2700000000004"/>
    <n v="5199.2800000000007"/>
    <n v="5199.2700000000004"/>
    <s v="February 2023"/>
  </r>
  <r>
    <d v="2023-02-18T00:00:00"/>
    <x v="2842"/>
    <n v="93"/>
    <x v="2"/>
    <x v="7"/>
    <x v="0"/>
    <x v="0"/>
    <n v="1875.61"/>
    <x v="0"/>
    <n v="2503.6022787783854"/>
    <n v="2063.17"/>
    <n v="2063.1800000000003"/>
    <n v="2063.17"/>
    <s v="February 2023"/>
  </r>
  <r>
    <d v="2023-02-18T00:00:00"/>
    <x v="2843"/>
    <n v="55"/>
    <x v="2"/>
    <x v="7"/>
    <x v="2"/>
    <x v="2"/>
    <n v="526.96"/>
    <x v="1"/>
    <n v="2440.2966694490838"/>
    <n v="579.65"/>
    <n v="579.66"/>
    <n v="579.66"/>
    <s v="February 2023"/>
  </r>
  <r>
    <d v="2023-02-18T00:00:00"/>
    <x v="2844"/>
    <n v="95"/>
    <x v="1"/>
    <x v="7"/>
    <x v="2"/>
    <x v="3"/>
    <n v="3027.41"/>
    <x v="0"/>
    <n v="2440.2966694490838"/>
    <n v="3330.15"/>
    <n v="3330.1600000000003"/>
    <n v="3330.15"/>
    <s v="February 2023"/>
  </r>
  <r>
    <d v="2023-02-18T00:00:00"/>
    <x v="2845"/>
    <n v="37"/>
    <x v="0"/>
    <x v="5"/>
    <x v="0"/>
    <x v="4"/>
    <n v="3320.57"/>
    <x v="1"/>
    <n v="2503.6022787783854"/>
    <n v="3652.62"/>
    <n v="3652.63"/>
    <n v="3652.63"/>
    <s v="February 2023"/>
  </r>
  <r>
    <d v="2023-02-18T00:00:00"/>
    <x v="2846"/>
    <n v="58"/>
    <x v="2"/>
    <x v="5"/>
    <x v="0"/>
    <x v="0"/>
    <n v="3949.81"/>
    <x v="1"/>
    <n v="2503.6022787783854"/>
    <n v="4344.79"/>
    <n v="4344.8"/>
    <n v="4344.79"/>
    <s v="February 2023"/>
  </r>
  <r>
    <d v="2023-02-19T00:00:00"/>
    <x v="2847"/>
    <n v="84"/>
    <x v="2"/>
    <x v="3"/>
    <x v="2"/>
    <x v="4"/>
    <n v="372.23"/>
    <x v="0"/>
    <n v="2440.2966694490838"/>
    <n v="409.45"/>
    <n v="409.46"/>
    <n v="409.45"/>
    <s v="February 2023"/>
  </r>
  <r>
    <d v="2023-02-19T00:00:00"/>
    <x v="2848"/>
    <n v="12"/>
    <x v="1"/>
    <x v="3"/>
    <x v="3"/>
    <x v="1"/>
    <n v="4878.6499999999996"/>
    <x v="2"/>
    <n v="2496.7676064256989"/>
    <n v="5366.51"/>
    <n v="5366.52"/>
    <n v="5366.52"/>
    <s v="February 2023"/>
  </r>
  <r>
    <d v="2023-02-19T00:00:00"/>
    <x v="2849"/>
    <n v="68"/>
    <x v="1"/>
    <x v="7"/>
    <x v="3"/>
    <x v="0"/>
    <n v="3054.55"/>
    <x v="0"/>
    <n v="2496.7676064256989"/>
    <n v="3360"/>
    <n v="3360.01"/>
    <n v="3360.01"/>
    <s v="February 2023"/>
  </r>
  <r>
    <d v="2023-02-19T00:00:00"/>
    <x v="2850"/>
    <n v="93"/>
    <x v="1"/>
    <x v="7"/>
    <x v="3"/>
    <x v="2"/>
    <n v="4049.9"/>
    <x v="0"/>
    <n v="2496.7676064256989"/>
    <n v="4454.8900000000003"/>
    <n v="4454.8900000000003"/>
    <n v="4454.8900000000003"/>
    <s v="February 2023"/>
  </r>
  <r>
    <d v="2023-02-19T00:00:00"/>
    <x v="2851"/>
    <n v="68"/>
    <x v="2"/>
    <x v="4"/>
    <x v="1"/>
    <x v="0"/>
    <n v="1290.0999999999999"/>
    <x v="0"/>
    <n v="2509.1716796874912"/>
    <n v="1419.11"/>
    <n v="1419.11"/>
    <n v="1419.11"/>
    <s v="February 2023"/>
  </r>
  <r>
    <d v="2023-02-19T00:00:00"/>
    <x v="2852"/>
    <n v="72"/>
    <x v="0"/>
    <x v="7"/>
    <x v="3"/>
    <x v="0"/>
    <n v="2871.12"/>
    <x v="0"/>
    <n v="2496.7676064256989"/>
    <n v="3158.23"/>
    <n v="3158.2400000000002"/>
    <n v="3158.23"/>
    <s v="February 2023"/>
  </r>
  <r>
    <d v="2023-02-19T00:00:00"/>
    <x v="2853"/>
    <n v="74"/>
    <x v="0"/>
    <x v="2"/>
    <x v="0"/>
    <x v="2"/>
    <n v="1269.71"/>
    <x v="0"/>
    <n v="2503.6022787783854"/>
    <n v="1396.68"/>
    <n v="1396.69"/>
    <n v="1396.68"/>
    <s v="February 2023"/>
  </r>
  <r>
    <d v="2023-02-20T00:00:00"/>
    <x v="2854"/>
    <n v="17"/>
    <x v="1"/>
    <x v="3"/>
    <x v="1"/>
    <x v="4"/>
    <n v="783.39"/>
    <x v="1"/>
    <n v="2509.1716796874912"/>
    <n v="861.72"/>
    <n v="861.73"/>
    <n v="861.73"/>
    <s v="February 2023"/>
  </r>
  <r>
    <d v="2023-02-20T00:00:00"/>
    <x v="2855"/>
    <n v="39"/>
    <x v="0"/>
    <x v="3"/>
    <x v="1"/>
    <x v="0"/>
    <n v="4205.3100000000004"/>
    <x v="1"/>
    <n v="2509.1716796874912"/>
    <n v="4625.84"/>
    <n v="4625.8500000000004"/>
    <n v="4625.84"/>
    <s v="February 2023"/>
  </r>
  <r>
    <d v="2023-02-20T00:00:00"/>
    <x v="2856"/>
    <n v="63"/>
    <x v="0"/>
    <x v="5"/>
    <x v="1"/>
    <x v="3"/>
    <n v="4015.16"/>
    <x v="1"/>
    <n v="2509.1716796874912"/>
    <n v="4416.67"/>
    <n v="4416.68"/>
    <n v="4416.68"/>
    <s v="February 2023"/>
  </r>
  <r>
    <d v="2023-02-20T00:00:00"/>
    <x v="2857"/>
    <n v="74"/>
    <x v="1"/>
    <x v="4"/>
    <x v="3"/>
    <x v="4"/>
    <n v="1823.52"/>
    <x v="0"/>
    <n v="2496.7676064256989"/>
    <n v="2005.87"/>
    <n v="2005.8799999999999"/>
    <n v="2005.87"/>
    <s v="February 2023"/>
  </r>
  <r>
    <d v="2023-02-20T00:00:00"/>
    <x v="2858"/>
    <n v="72"/>
    <x v="2"/>
    <x v="4"/>
    <x v="0"/>
    <x v="1"/>
    <n v="311.89"/>
    <x v="0"/>
    <n v="2503.6022787783854"/>
    <n v="343.07"/>
    <n v="343.08"/>
    <n v="343.08"/>
    <s v="February 2023"/>
  </r>
  <r>
    <d v="2023-02-20T00:00:00"/>
    <x v="2859"/>
    <n v="72"/>
    <x v="1"/>
    <x v="4"/>
    <x v="1"/>
    <x v="2"/>
    <n v="3623.64"/>
    <x v="0"/>
    <n v="2509.1716796874912"/>
    <n v="3986"/>
    <n v="3986.01"/>
    <n v="3986"/>
    <s v="February 2023"/>
  </r>
  <r>
    <d v="2023-02-20T00:00:00"/>
    <x v="2860"/>
    <n v="97"/>
    <x v="0"/>
    <x v="4"/>
    <x v="1"/>
    <x v="3"/>
    <n v="376.61"/>
    <x v="0"/>
    <n v="2509.1716796874912"/>
    <n v="414.27"/>
    <n v="414.28"/>
    <n v="414.27"/>
    <s v="February 2023"/>
  </r>
  <r>
    <d v="2023-02-20T00:00:00"/>
    <x v="2861"/>
    <n v="75"/>
    <x v="0"/>
    <x v="4"/>
    <x v="3"/>
    <x v="2"/>
    <n v="3397.94"/>
    <x v="0"/>
    <n v="2496.7676064256989"/>
    <n v="3737.73"/>
    <n v="3737.7400000000002"/>
    <n v="3737.73"/>
    <s v="February 2023"/>
  </r>
  <r>
    <d v="2023-02-20T00:00:00"/>
    <x v="2862"/>
    <n v="46"/>
    <x v="1"/>
    <x v="7"/>
    <x v="2"/>
    <x v="3"/>
    <n v="176.29"/>
    <x v="1"/>
    <n v="2440.2966694490838"/>
    <n v="193.91"/>
    <n v="193.92"/>
    <n v="193.92"/>
    <s v="February 2023"/>
  </r>
  <r>
    <d v="2023-02-20T00:00:00"/>
    <x v="2863"/>
    <n v="45"/>
    <x v="2"/>
    <x v="7"/>
    <x v="3"/>
    <x v="3"/>
    <n v="3010.46"/>
    <x v="1"/>
    <n v="2496.7676064256989"/>
    <n v="3311.5"/>
    <n v="3311.51"/>
    <n v="3311.51"/>
    <s v="February 2023"/>
  </r>
  <r>
    <d v="2023-02-20T00:00:00"/>
    <x v="2864"/>
    <n v="37"/>
    <x v="1"/>
    <x v="2"/>
    <x v="3"/>
    <x v="2"/>
    <n v="614.80999999999995"/>
    <x v="1"/>
    <n v="2496.7676064256989"/>
    <n v="676.29"/>
    <n v="676.3"/>
    <n v="676.29"/>
    <s v="February 2023"/>
  </r>
  <r>
    <d v="2023-02-21T00:00:00"/>
    <x v="2865"/>
    <n v="3"/>
    <x v="0"/>
    <x v="2"/>
    <x v="0"/>
    <x v="1"/>
    <n v="142.33000000000001"/>
    <x v="2"/>
    <n v="2503.6022787783854"/>
    <n v="156.56"/>
    <n v="156.57"/>
    <n v="156.56"/>
    <s v="February 2023"/>
  </r>
  <r>
    <d v="2023-02-21T00:00:00"/>
    <x v="2866"/>
    <n v="38"/>
    <x v="1"/>
    <x v="0"/>
    <x v="0"/>
    <x v="3"/>
    <n v="4833.17"/>
    <x v="1"/>
    <n v="2503.6022787783854"/>
    <n v="5316.48"/>
    <n v="5316.49"/>
    <n v="5316.49"/>
    <s v="February 2023"/>
  </r>
  <r>
    <d v="2023-02-21T00:00:00"/>
    <x v="2867"/>
    <n v="3"/>
    <x v="1"/>
    <x v="4"/>
    <x v="3"/>
    <x v="2"/>
    <n v="2005.22"/>
    <x v="2"/>
    <n v="2496.7676064256989"/>
    <n v="2205.7399999999998"/>
    <n v="2205.75"/>
    <n v="2205.7399999999998"/>
    <s v="February 2023"/>
  </r>
  <r>
    <d v="2023-02-21T00:00:00"/>
    <x v="2868"/>
    <n v="46"/>
    <x v="0"/>
    <x v="6"/>
    <x v="0"/>
    <x v="4"/>
    <n v="2116.9499999999998"/>
    <x v="1"/>
    <n v="2503.6022787783854"/>
    <n v="2328.64"/>
    <n v="2328.65"/>
    <n v="2328.65"/>
    <s v="February 2023"/>
  </r>
  <r>
    <d v="2023-02-22T00:00:00"/>
    <x v="2869"/>
    <n v="82"/>
    <x v="1"/>
    <x v="5"/>
    <x v="3"/>
    <x v="0"/>
    <n v="4977.6499999999996"/>
    <x v="0"/>
    <n v="2496.7676064256989"/>
    <n v="5475.41"/>
    <n v="5475.42"/>
    <n v="5475.42"/>
    <s v="February 2023"/>
  </r>
  <r>
    <d v="2023-02-22T00:00:00"/>
    <x v="2870"/>
    <n v="48"/>
    <x v="0"/>
    <x v="5"/>
    <x v="3"/>
    <x v="0"/>
    <n v="4350.3100000000004"/>
    <x v="1"/>
    <n v="2496.7676064256989"/>
    <n v="4785.34"/>
    <n v="4785.3500000000004"/>
    <n v="4785.34"/>
    <s v="February 2023"/>
  </r>
  <r>
    <d v="2023-02-22T00:00:00"/>
    <x v="2871"/>
    <n v="68"/>
    <x v="2"/>
    <x v="7"/>
    <x v="1"/>
    <x v="2"/>
    <n v="1421.59"/>
    <x v="0"/>
    <n v="2509.1716796874912"/>
    <n v="1563.74"/>
    <n v="1563.75"/>
    <n v="1563.75"/>
    <s v="February 2023"/>
  </r>
  <r>
    <d v="2023-02-22T00:00:00"/>
    <x v="2872"/>
    <n v="22"/>
    <x v="2"/>
    <x v="4"/>
    <x v="0"/>
    <x v="0"/>
    <n v="4456.84"/>
    <x v="1"/>
    <n v="2503.6022787783854"/>
    <n v="4902.5200000000004"/>
    <n v="4902.5300000000007"/>
    <n v="4902.5200000000004"/>
    <s v="February 2023"/>
  </r>
  <r>
    <d v="2023-02-22T00:00:00"/>
    <x v="2873"/>
    <n v="72"/>
    <x v="2"/>
    <x v="2"/>
    <x v="3"/>
    <x v="0"/>
    <n v="4562.34"/>
    <x v="0"/>
    <n v="2496.7676064256989"/>
    <n v="5018.57"/>
    <n v="5018.58"/>
    <n v="5018.57"/>
    <s v="February 2023"/>
  </r>
  <r>
    <d v="2023-02-22T00:00:00"/>
    <x v="2874"/>
    <n v="93"/>
    <x v="0"/>
    <x v="1"/>
    <x v="0"/>
    <x v="2"/>
    <n v="2944.6"/>
    <x v="0"/>
    <n v="2503.6022787783854"/>
    <n v="3239.06"/>
    <n v="3239.06"/>
    <n v="3239.06"/>
    <s v="February 2023"/>
  </r>
  <r>
    <d v="2023-02-22T00:00:00"/>
    <x v="2875"/>
    <n v="62"/>
    <x v="1"/>
    <x v="2"/>
    <x v="1"/>
    <x v="1"/>
    <n v="3287.41"/>
    <x v="1"/>
    <n v="2509.1716796874912"/>
    <n v="3616.15"/>
    <n v="3616.1600000000003"/>
    <n v="3616.15"/>
    <s v="February 2023"/>
  </r>
  <r>
    <d v="2023-02-22T00:00:00"/>
    <x v="2876"/>
    <n v="40"/>
    <x v="0"/>
    <x v="5"/>
    <x v="1"/>
    <x v="3"/>
    <n v="4206.66"/>
    <x v="1"/>
    <n v="2509.1716796874912"/>
    <n v="4627.32"/>
    <n v="4627.33"/>
    <n v="4627.33"/>
    <s v="February 2023"/>
  </r>
  <r>
    <d v="2023-02-22T00:00:00"/>
    <x v="2877"/>
    <n v="76"/>
    <x v="1"/>
    <x v="3"/>
    <x v="1"/>
    <x v="1"/>
    <n v="2071.3200000000002"/>
    <x v="0"/>
    <n v="2509.1716796874912"/>
    <n v="2278.4499999999998"/>
    <n v="2278.46"/>
    <n v="2278.4499999999998"/>
    <s v="February 2023"/>
  </r>
  <r>
    <d v="2023-02-23T00:00:00"/>
    <x v="2878"/>
    <n v="44"/>
    <x v="0"/>
    <x v="1"/>
    <x v="2"/>
    <x v="2"/>
    <n v="2928.62"/>
    <x v="1"/>
    <n v="2440.2966694490838"/>
    <n v="3221.48"/>
    <n v="3221.4900000000002"/>
    <n v="3221.48"/>
    <s v="February 2023"/>
  </r>
  <r>
    <d v="2023-02-23T00:00:00"/>
    <x v="2879"/>
    <n v="14"/>
    <x v="1"/>
    <x v="4"/>
    <x v="1"/>
    <x v="1"/>
    <n v="699.3"/>
    <x v="2"/>
    <n v="2509.1716796874912"/>
    <n v="769.23"/>
    <n v="769.23"/>
    <n v="769.23"/>
    <s v="February 2023"/>
  </r>
  <r>
    <d v="2023-02-24T00:00:00"/>
    <x v="2880"/>
    <n v="4"/>
    <x v="1"/>
    <x v="2"/>
    <x v="2"/>
    <x v="5"/>
    <n v="166.64"/>
    <x v="2"/>
    <n v="2440.2966694490838"/>
    <n v="183.3"/>
    <n v="183.31"/>
    <n v="183.3"/>
    <s v="February 2023"/>
  </r>
  <r>
    <d v="2023-02-24T00:00:00"/>
    <x v="2881"/>
    <n v="46"/>
    <x v="1"/>
    <x v="7"/>
    <x v="2"/>
    <x v="1"/>
    <n v="1087.8900000000001"/>
    <x v="1"/>
    <n v="2440.2966694490838"/>
    <n v="1196.67"/>
    <n v="1196.68"/>
    <n v="1196.68"/>
    <s v="February 2023"/>
  </r>
  <r>
    <d v="2023-02-24T00:00:00"/>
    <x v="2882"/>
    <n v="88"/>
    <x v="2"/>
    <x v="0"/>
    <x v="2"/>
    <x v="0"/>
    <n v="2307.21"/>
    <x v="0"/>
    <n v="2440.2966694490838"/>
    <n v="2537.9299999999998"/>
    <n v="2537.94"/>
    <n v="2537.9299999999998"/>
    <s v="February 2023"/>
  </r>
  <r>
    <d v="2023-02-24T00:00:00"/>
    <x v="2883"/>
    <n v="93"/>
    <x v="2"/>
    <x v="0"/>
    <x v="2"/>
    <x v="2"/>
    <n v="667.63"/>
    <x v="0"/>
    <n v="2440.2966694490838"/>
    <n v="734.39"/>
    <n v="734.4"/>
    <n v="734.39"/>
    <s v="February 2023"/>
  </r>
  <r>
    <d v="2023-02-24T00:00:00"/>
    <x v="2884"/>
    <n v="54"/>
    <x v="2"/>
    <x v="2"/>
    <x v="0"/>
    <x v="0"/>
    <n v="2246.29"/>
    <x v="1"/>
    <n v="2503.6022787783854"/>
    <n v="2470.91"/>
    <n v="2470.92"/>
    <n v="2470.92"/>
    <s v="February 2023"/>
  </r>
  <r>
    <d v="2023-02-24T00:00:00"/>
    <x v="2885"/>
    <n v="11"/>
    <x v="2"/>
    <x v="5"/>
    <x v="2"/>
    <x v="2"/>
    <n v="1240.3699999999999"/>
    <x v="2"/>
    <n v="2440.2966694490838"/>
    <n v="1364.4"/>
    <n v="1364.41"/>
    <n v="1364.41"/>
    <s v="February 2023"/>
  </r>
  <r>
    <d v="2023-02-24T00:00:00"/>
    <x v="2886"/>
    <n v="64"/>
    <x v="2"/>
    <x v="3"/>
    <x v="1"/>
    <x v="2"/>
    <n v="1191.93"/>
    <x v="1"/>
    <n v="2509.1716796874912"/>
    <n v="1311.12"/>
    <n v="1311.1299999999999"/>
    <n v="1311.12"/>
    <s v="February 2023"/>
  </r>
  <r>
    <d v="2023-02-24T00:00:00"/>
    <x v="2887"/>
    <n v="11"/>
    <x v="0"/>
    <x v="0"/>
    <x v="0"/>
    <x v="0"/>
    <n v="296.11"/>
    <x v="2"/>
    <n v="2503.6022787783854"/>
    <n v="325.72000000000003"/>
    <n v="325.73"/>
    <n v="325.72000000000003"/>
    <s v="February 2023"/>
  </r>
  <r>
    <d v="2023-02-25T00:00:00"/>
    <x v="2888"/>
    <n v="39"/>
    <x v="0"/>
    <x v="3"/>
    <x v="2"/>
    <x v="4"/>
    <n v="1516.73"/>
    <x v="1"/>
    <n v="2440.2966694490838"/>
    <n v="1668.4"/>
    <n v="1668.41"/>
    <n v="1668.4"/>
    <s v="February 2023"/>
  </r>
  <r>
    <d v="2023-02-25T00:00:00"/>
    <x v="2889"/>
    <n v="38"/>
    <x v="1"/>
    <x v="4"/>
    <x v="1"/>
    <x v="4"/>
    <n v="1577.15"/>
    <x v="1"/>
    <n v="2509.1716796874912"/>
    <n v="1734.86"/>
    <n v="1734.87"/>
    <n v="1734.87"/>
    <s v="February 2023"/>
  </r>
  <r>
    <d v="2023-02-25T00:00:00"/>
    <x v="2890"/>
    <n v="40"/>
    <x v="1"/>
    <x v="7"/>
    <x v="1"/>
    <x v="4"/>
    <n v="4667.1899999999996"/>
    <x v="1"/>
    <n v="2509.1716796874912"/>
    <n v="5133.8999999999996"/>
    <n v="5133.91"/>
    <n v="5133.91"/>
    <s v="February 2023"/>
  </r>
  <r>
    <d v="2023-02-25T00:00:00"/>
    <x v="2891"/>
    <n v="18"/>
    <x v="0"/>
    <x v="3"/>
    <x v="0"/>
    <x v="2"/>
    <n v="2665.88"/>
    <x v="1"/>
    <n v="2503.6022787783854"/>
    <n v="2932.46"/>
    <n v="2932.4700000000003"/>
    <n v="2932.47"/>
    <s v="February 2023"/>
  </r>
  <r>
    <d v="2023-02-25T00:00:00"/>
    <x v="2892"/>
    <n v="98"/>
    <x v="0"/>
    <x v="7"/>
    <x v="1"/>
    <x v="4"/>
    <n v="1111.6600000000001"/>
    <x v="0"/>
    <n v="2509.1716796874912"/>
    <n v="1222.82"/>
    <n v="1222.83"/>
    <n v="1222.83"/>
    <s v="February 2023"/>
  </r>
  <r>
    <d v="2023-02-25T00:00:00"/>
    <x v="2893"/>
    <n v="9"/>
    <x v="0"/>
    <x v="6"/>
    <x v="2"/>
    <x v="2"/>
    <n v="941.28"/>
    <x v="2"/>
    <n v="2440.2966694490838"/>
    <n v="1035.4000000000001"/>
    <n v="1035.4100000000001"/>
    <n v="1035.4100000000001"/>
    <s v="February 2023"/>
  </r>
  <r>
    <d v="2023-02-25T00:00:00"/>
    <x v="2894"/>
    <n v="11"/>
    <x v="0"/>
    <x v="7"/>
    <x v="3"/>
    <x v="2"/>
    <n v="408.38"/>
    <x v="2"/>
    <n v="2496.7676064256989"/>
    <n v="449.21"/>
    <n v="449.21999999999997"/>
    <n v="449.22"/>
    <s v="February 2023"/>
  </r>
  <r>
    <d v="2023-02-25T00:00:00"/>
    <x v="2895"/>
    <n v="77"/>
    <x v="1"/>
    <x v="1"/>
    <x v="2"/>
    <x v="2"/>
    <n v="2845.61"/>
    <x v="0"/>
    <n v="2440.2966694490838"/>
    <n v="3130.17"/>
    <n v="3130.1800000000003"/>
    <n v="3130.17"/>
    <s v="February 2023"/>
  </r>
  <r>
    <d v="2023-02-26T00:00:00"/>
    <x v="2896"/>
    <n v="49"/>
    <x v="1"/>
    <x v="7"/>
    <x v="0"/>
    <x v="1"/>
    <n v="647.74"/>
    <x v="1"/>
    <n v="2503.6022787783854"/>
    <n v="712.51"/>
    <n v="712.52"/>
    <n v="712.51"/>
    <s v="February 2023"/>
  </r>
  <r>
    <d v="2023-02-26T00:00:00"/>
    <x v="2897"/>
    <n v="69"/>
    <x v="1"/>
    <x v="5"/>
    <x v="0"/>
    <x v="2"/>
    <n v="3783.16"/>
    <x v="0"/>
    <n v="2503.6022787783854"/>
    <n v="4161.47"/>
    <n v="4161.4800000000005"/>
    <n v="4161.4799999999996"/>
    <s v="February 2023"/>
  </r>
  <r>
    <d v="2023-02-26T00:00:00"/>
    <x v="2898"/>
    <n v="27"/>
    <x v="2"/>
    <x v="1"/>
    <x v="2"/>
    <x v="4"/>
    <n v="823.95"/>
    <x v="1"/>
    <n v="2440.2966694490838"/>
    <n v="906.34"/>
    <n v="906.35"/>
    <n v="906.35"/>
    <s v="February 2023"/>
  </r>
  <r>
    <d v="2023-02-26T00:00:00"/>
    <x v="2899"/>
    <n v="26"/>
    <x v="0"/>
    <x v="1"/>
    <x v="3"/>
    <x v="1"/>
    <n v="2135.7600000000002"/>
    <x v="1"/>
    <n v="2496.7676064256989"/>
    <n v="2349.33"/>
    <n v="2349.34"/>
    <n v="2349.34"/>
    <s v="February 2023"/>
  </r>
  <r>
    <d v="2023-02-26T00:00:00"/>
    <x v="2900"/>
    <n v="48"/>
    <x v="2"/>
    <x v="0"/>
    <x v="3"/>
    <x v="0"/>
    <n v="4282.7299999999996"/>
    <x v="1"/>
    <n v="2496.7676064256989"/>
    <n v="4711"/>
    <n v="4711.01"/>
    <n v="4711"/>
    <s v="February 2023"/>
  </r>
  <r>
    <d v="2023-02-26T00:00:00"/>
    <x v="2901"/>
    <n v="90"/>
    <x v="1"/>
    <x v="7"/>
    <x v="1"/>
    <x v="4"/>
    <n v="2667.37"/>
    <x v="0"/>
    <n v="2509.1716796874912"/>
    <n v="2934.1"/>
    <n v="2934.11"/>
    <n v="2934.11"/>
    <s v="February 2023"/>
  </r>
  <r>
    <d v="2023-02-26T00:00:00"/>
    <x v="2902"/>
    <n v="17"/>
    <x v="2"/>
    <x v="4"/>
    <x v="0"/>
    <x v="4"/>
    <n v="3306.19"/>
    <x v="1"/>
    <n v="2503.6022787783854"/>
    <n v="3636.8"/>
    <n v="3636.8100000000004"/>
    <n v="3636.81"/>
    <s v="February 2023"/>
  </r>
  <r>
    <d v="2023-02-27T00:00:00"/>
    <x v="2903"/>
    <n v="88"/>
    <x v="1"/>
    <x v="7"/>
    <x v="1"/>
    <x v="3"/>
    <n v="3439.56"/>
    <x v="0"/>
    <n v="2509.1716796874912"/>
    <n v="3783.51"/>
    <n v="3783.5200000000004"/>
    <n v="3783.52"/>
    <s v="February 2023"/>
  </r>
  <r>
    <d v="2023-02-27T00:00:00"/>
    <x v="2904"/>
    <n v="53"/>
    <x v="2"/>
    <x v="3"/>
    <x v="1"/>
    <x v="0"/>
    <n v="1543.89"/>
    <x v="1"/>
    <n v="2509.1716796874912"/>
    <n v="1698.27"/>
    <n v="1698.28"/>
    <n v="1698.28"/>
    <s v="February 2023"/>
  </r>
  <r>
    <d v="2023-02-27T00:00:00"/>
    <x v="2905"/>
    <n v="87"/>
    <x v="0"/>
    <x v="3"/>
    <x v="1"/>
    <x v="2"/>
    <n v="1642.82"/>
    <x v="0"/>
    <n v="2509.1716796874912"/>
    <n v="1807.1"/>
    <n v="1807.11"/>
    <n v="1807.1"/>
    <s v="February 2023"/>
  </r>
  <r>
    <d v="2023-02-27T00:00:00"/>
    <x v="2906"/>
    <n v="23"/>
    <x v="2"/>
    <x v="0"/>
    <x v="1"/>
    <x v="3"/>
    <n v="3150.44"/>
    <x v="1"/>
    <n v="2509.1716796874912"/>
    <n v="3465.48"/>
    <n v="3465.4900000000002"/>
    <n v="3465.48"/>
    <s v="February 2023"/>
  </r>
  <r>
    <d v="2023-02-27T00:00:00"/>
    <x v="2907"/>
    <n v="81"/>
    <x v="0"/>
    <x v="7"/>
    <x v="1"/>
    <x v="4"/>
    <n v="2597.6"/>
    <x v="0"/>
    <n v="2509.1716796874912"/>
    <n v="2857.36"/>
    <n v="2857.36"/>
    <n v="2857.36"/>
    <s v="February 2023"/>
  </r>
  <r>
    <d v="2023-02-27T00:00:00"/>
    <x v="2908"/>
    <n v="79"/>
    <x v="1"/>
    <x v="3"/>
    <x v="2"/>
    <x v="1"/>
    <n v="1637.27"/>
    <x v="0"/>
    <n v="2440.2966694490838"/>
    <n v="1800.99"/>
    <n v="1801"/>
    <n v="1801"/>
    <s v="February 2023"/>
  </r>
  <r>
    <d v="2023-02-27T00:00:00"/>
    <x v="2909"/>
    <n v="93"/>
    <x v="0"/>
    <x v="0"/>
    <x v="1"/>
    <x v="3"/>
    <n v="4101.79"/>
    <x v="0"/>
    <n v="2509.1716796874912"/>
    <n v="4511.96"/>
    <n v="4511.97"/>
    <n v="4511.97"/>
    <s v="February 2023"/>
  </r>
  <r>
    <d v="2023-02-27T00:00:00"/>
    <x v="2910"/>
    <n v="26"/>
    <x v="0"/>
    <x v="1"/>
    <x v="1"/>
    <x v="5"/>
    <n v="1578.99"/>
    <x v="1"/>
    <n v="2509.1716796874912"/>
    <n v="1736.88"/>
    <n v="1736.89"/>
    <n v="1736.89"/>
    <s v="February 2023"/>
  </r>
  <r>
    <d v="2023-02-27T00:00:00"/>
    <x v="2911"/>
    <n v="9"/>
    <x v="1"/>
    <x v="5"/>
    <x v="2"/>
    <x v="1"/>
    <n v="4111.3100000000004"/>
    <x v="2"/>
    <n v="2440.2966694490838"/>
    <n v="4522.4399999999996"/>
    <n v="4522.45"/>
    <n v="4522.4399999999996"/>
    <s v="February 2023"/>
  </r>
  <r>
    <d v="2023-02-27T00:00:00"/>
    <x v="2912"/>
    <n v="52"/>
    <x v="2"/>
    <x v="2"/>
    <x v="2"/>
    <x v="2"/>
    <n v="3451.8"/>
    <x v="1"/>
    <n v="2440.2966694490838"/>
    <n v="3796.98"/>
    <n v="3796.98"/>
    <n v="3796.98"/>
    <s v="February 2023"/>
  </r>
  <r>
    <d v="2023-02-28T00:00:00"/>
    <x v="2913"/>
    <n v="9"/>
    <x v="1"/>
    <x v="6"/>
    <x v="0"/>
    <x v="2"/>
    <n v="1223.3499999999999"/>
    <x v="2"/>
    <n v="2503.6022787783854"/>
    <n v="1345.68"/>
    <n v="1345.69"/>
    <n v="1345.69"/>
    <s v="February 2023"/>
  </r>
  <r>
    <d v="2023-02-28T00:00:00"/>
    <x v="2914"/>
    <n v="7"/>
    <x v="1"/>
    <x v="7"/>
    <x v="1"/>
    <x v="5"/>
    <n v="2978.61"/>
    <x v="2"/>
    <n v="2509.1716796874912"/>
    <n v="3276.47"/>
    <n v="3276.48"/>
    <n v="3276.47"/>
    <s v="February 2023"/>
  </r>
  <r>
    <d v="2023-02-28T00:00:00"/>
    <x v="2915"/>
    <n v="12"/>
    <x v="1"/>
    <x v="3"/>
    <x v="1"/>
    <x v="4"/>
    <n v="2096.5300000000002"/>
    <x v="2"/>
    <n v="2509.1716796874912"/>
    <n v="2306.1799999999998"/>
    <n v="2306.19"/>
    <n v="2306.1799999999998"/>
    <s v="February 2023"/>
  </r>
  <r>
    <d v="2023-02-28T00:00:00"/>
    <x v="2916"/>
    <n v="81"/>
    <x v="2"/>
    <x v="1"/>
    <x v="3"/>
    <x v="2"/>
    <n v="4151.58"/>
    <x v="0"/>
    <n v="2496.7676064256989"/>
    <n v="4566.7299999999996"/>
    <n v="4566.74"/>
    <n v="4566.74"/>
    <s v="February 2023"/>
  </r>
  <r>
    <d v="2023-02-28T00:00:00"/>
    <x v="2917"/>
    <n v="78"/>
    <x v="2"/>
    <x v="4"/>
    <x v="0"/>
    <x v="4"/>
    <n v="1765.31"/>
    <x v="0"/>
    <n v="2503.6022787783854"/>
    <n v="1941.84"/>
    <n v="1941.85"/>
    <n v="1941.84"/>
    <s v="February 2023"/>
  </r>
  <r>
    <d v="2023-02-28T00:00:00"/>
    <x v="2918"/>
    <n v="71"/>
    <x v="0"/>
    <x v="4"/>
    <x v="1"/>
    <x v="4"/>
    <n v="4981.17"/>
    <x v="0"/>
    <n v="2509.1716796874912"/>
    <n v="5479.28"/>
    <n v="5479.29"/>
    <n v="5479.29"/>
    <s v="February 2023"/>
  </r>
  <r>
    <d v="2023-02-28T00:00:00"/>
    <x v="2919"/>
    <n v="33"/>
    <x v="1"/>
    <x v="5"/>
    <x v="0"/>
    <x v="3"/>
    <n v="2168.91"/>
    <x v="1"/>
    <n v="2503.6022787783854"/>
    <n v="2385.8000000000002"/>
    <n v="2385.8100000000004"/>
    <n v="2385.8000000000002"/>
    <s v="February 2023"/>
  </r>
  <r>
    <d v="2023-03-01T00:00:00"/>
    <x v="2920"/>
    <n v="47"/>
    <x v="1"/>
    <x v="0"/>
    <x v="1"/>
    <x v="1"/>
    <n v="1360.32"/>
    <x v="1"/>
    <n v="2509.1716796874912"/>
    <n v="1496.35"/>
    <n v="1496.36"/>
    <n v="1496.35"/>
    <s v="March 2023"/>
  </r>
  <r>
    <d v="2023-03-01T00:00:00"/>
    <x v="2921"/>
    <n v="99"/>
    <x v="0"/>
    <x v="2"/>
    <x v="2"/>
    <x v="5"/>
    <n v="1575.77"/>
    <x v="0"/>
    <n v="2440.2966694490838"/>
    <n v="1733.34"/>
    <n v="1733.35"/>
    <n v="1733.35"/>
    <s v="March 2023"/>
  </r>
  <r>
    <d v="2023-03-01T00:00:00"/>
    <x v="2922"/>
    <n v="81"/>
    <x v="1"/>
    <x v="7"/>
    <x v="2"/>
    <x v="0"/>
    <n v="2978.18"/>
    <x v="0"/>
    <n v="2440.2966694490838"/>
    <n v="3275.99"/>
    <n v="3276"/>
    <n v="3276"/>
    <s v="March 2023"/>
  </r>
  <r>
    <d v="2023-03-01T00:00:00"/>
    <x v="2923"/>
    <n v="56"/>
    <x v="2"/>
    <x v="7"/>
    <x v="2"/>
    <x v="1"/>
    <n v="821.24"/>
    <x v="1"/>
    <n v="2440.2966694490838"/>
    <n v="903.36"/>
    <n v="903.37"/>
    <n v="903.36"/>
    <s v="March 2023"/>
  </r>
  <r>
    <d v="2023-03-02T00:00:00"/>
    <x v="2924"/>
    <n v="6"/>
    <x v="1"/>
    <x v="5"/>
    <x v="1"/>
    <x v="4"/>
    <n v="832.14"/>
    <x v="2"/>
    <n v="2509.1716796874912"/>
    <n v="915.35"/>
    <n v="915.36"/>
    <n v="915.35"/>
    <s v="March 2023"/>
  </r>
  <r>
    <d v="2023-03-02T00:00:00"/>
    <x v="2925"/>
    <n v="47"/>
    <x v="1"/>
    <x v="4"/>
    <x v="0"/>
    <x v="4"/>
    <n v="112.52"/>
    <x v="1"/>
    <n v="2503.6022787783854"/>
    <n v="123.77"/>
    <n v="123.78"/>
    <n v="123.77"/>
    <s v="March 2023"/>
  </r>
  <r>
    <d v="2023-03-02T00:00:00"/>
    <x v="2926"/>
    <n v="52"/>
    <x v="0"/>
    <x v="2"/>
    <x v="3"/>
    <x v="0"/>
    <n v="3432.05"/>
    <x v="1"/>
    <n v="2496.7676064256989"/>
    <n v="3775.25"/>
    <n v="3775.26"/>
    <n v="3775.26"/>
    <s v="March 2023"/>
  </r>
  <r>
    <d v="2023-03-02T00:00:00"/>
    <x v="2927"/>
    <n v="69"/>
    <x v="1"/>
    <x v="4"/>
    <x v="0"/>
    <x v="0"/>
    <n v="3175.4"/>
    <x v="0"/>
    <n v="2503.6022787783854"/>
    <n v="3492.94"/>
    <n v="3492.94"/>
    <n v="3492.94"/>
    <s v="March 2023"/>
  </r>
  <r>
    <d v="2023-03-03T00:00:00"/>
    <x v="2928"/>
    <n v="37"/>
    <x v="0"/>
    <x v="5"/>
    <x v="1"/>
    <x v="2"/>
    <n v="4392.07"/>
    <x v="1"/>
    <n v="2509.1716796874912"/>
    <n v="4831.2700000000004"/>
    <n v="4831.2800000000007"/>
    <n v="4831.28"/>
    <s v="March 2023"/>
  </r>
  <r>
    <d v="2023-03-03T00:00:00"/>
    <x v="2929"/>
    <n v="18"/>
    <x v="0"/>
    <x v="7"/>
    <x v="0"/>
    <x v="0"/>
    <n v="2539.79"/>
    <x v="1"/>
    <n v="2503.6022787783854"/>
    <n v="2793.76"/>
    <n v="2793.7700000000004"/>
    <n v="2793.77"/>
    <s v="March 2023"/>
  </r>
  <r>
    <d v="2023-03-03T00:00:00"/>
    <x v="2930"/>
    <n v="80"/>
    <x v="1"/>
    <x v="0"/>
    <x v="2"/>
    <x v="2"/>
    <n v="3685.18"/>
    <x v="0"/>
    <n v="2440.2966694490838"/>
    <n v="4053.69"/>
    <n v="4053.7000000000003"/>
    <n v="4053.7"/>
    <s v="March 2023"/>
  </r>
  <r>
    <d v="2023-03-03T00:00:00"/>
    <x v="2931"/>
    <n v="96"/>
    <x v="1"/>
    <x v="1"/>
    <x v="1"/>
    <x v="1"/>
    <n v="2585.6799999999998"/>
    <x v="0"/>
    <n v="2509.1716796874912"/>
    <n v="2844.24"/>
    <n v="2844.25"/>
    <n v="2844.25"/>
    <s v="March 2023"/>
  </r>
  <r>
    <d v="2023-03-03T00:00:00"/>
    <x v="2932"/>
    <n v="20"/>
    <x v="2"/>
    <x v="2"/>
    <x v="3"/>
    <x v="2"/>
    <n v="1079.46"/>
    <x v="1"/>
    <n v="2496.7676064256989"/>
    <n v="1187.4000000000001"/>
    <n v="1187.4100000000001"/>
    <n v="1187.4100000000001"/>
    <s v="March 2023"/>
  </r>
  <r>
    <d v="2023-03-04T00:00:00"/>
    <x v="2933"/>
    <n v="43"/>
    <x v="1"/>
    <x v="7"/>
    <x v="3"/>
    <x v="2"/>
    <n v="4362.6899999999996"/>
    <x v="1"/>
    <n v="2496.7676064256989"/>
    <n v="4798.95"/>
    <n v="4798.96"/>
    <n v="4798.96"/>
    <s v="March 2023"/>
  </r>
  <r>
    <d v="2023-03-04T00:00:00"/>
    <x v="2934"/>
    <n v="32"/>
    <x v="0"/>
    <x v="0"/>
    <x v="3"/>
    <x v="1"/>
    <n v="1358.52"/>
    <x v="1"/>
    <n v="2496.7676064256989"/>
    <n v="1494.37"/>
    <n v="1494.3799999999999"/>
    <n v="1494.37"/>
    <s v="March 2023"/>
  </r>
  <r>
    <d v="2023-03-04T00:00:00"/>
    <x v="2935"/>
    <n v="11"/>
    <x v="0"/>
    <x v="6"/>
    <x v="2"/>
    <x v="4"/>
    <n v="2808.84"/>
    <x v="2"/>
    <n v="2440.2966694490838"/>
    <n v="3089.72"/>
    <n v="3089.73"/>
    <n v="3089.72"/>
    <s v="March 2023"/>
  </r>
  <r>
    <d v="2023-03-04T00:00:00"/>
    <x v="2936"/>
    <n v="90"/>
    <x v="2"/>
    <x v="2"/>
    <x v="2"/>
    <x v="0"/>
    <n v="4870.18"/>
    <x v="0"/>
    <n v="2440.2966694490838"/>
    <n v="5357.19"/>
    <n v="5357.2"/>
    <n v="5357.2"/>
    <s v="March 2023"/>
  </r>
  <r>
    <d v="2023-03-04T00:00:00"/>
    <x v="2937"/>
    <n v="37"/>
    <x v="1"/>
    <x v="1"/>
    <x v="0"/>
    <x v="2"/>
    <n v="4300.7"/>
    <x v="1"/>
    <n v="2503.6022787783854"/>
    <n v="4730.7700000000004"/>
    <n v="4730.7700000000004"/>
    <n v="4730.7700000000004"/>
    <s v="March 2023"/>
  </r>
  <r>
    <d v="2023-03-04T00:00:00"/>
    <x v="2938"/>
    <n v="44"/>
    <x v="0"/>
    <x v="4"/>
    <x v="2"/>
    <x v="0"/>
    <n v="4841.49"/>
    <x v="1"/>
    <n v="2440.2966694490838"/>
    <n v="5325.63"/>
    <n v="5325.64"/>
    <n v="5325.64"/>
    <s v="March 2023"/>
  </r>
  <r>
    <d v="2023-03-05T00:00:00"/>
    <x v="2939"/>
    <n v="98"/>
    <x v="2"/>
    <x v="4"/>
    <x v="3"/>
    <x v="3"/>
    <n v="291.17"/>
    <x v="0"/>
    <n v="2496.7676064256989"/>
    <n v="320.27999999999997"/>
    <n v="320.28999999999996"/>
    <n v="320.29000000000002"/>
    <s v="March 2023"/>
  </r>
  <r>
    <d v="2023-03-05T00:00:00"/>
    <x v="2940"/>
    <n v="29"/>
    <x v="1"/>
    <x v="3"/>
    <x v="3"/>
    <x v="2"/>
    <n v="3376.39"/>
    <x v="1"/>
    <n v="2496.7676064256989"/>
    <n v="3714.02"/>
    <n v="3714.03"/>
    <n v="3714.03"/>
    <s v="March 2023"/>
  </r>
  <r>
    <d v="2023-03-05T00:00:00"/>
    <x v="2941"/>
    <n v="24"/>
    <x v="0"/>
    <x v="1"/>
    <x v="2"/>
    <x v="2"/>
    <n v="3740.55"/>
    <x v="1"/>
    <n v="2440.2966694490838"/>
    <n v="4114.6000000000004"/>
    <n v="4114.6100000000006"/>
    <n v="4114.6099999999997"/>
    <s v="March 2023"/>
  </r>
  <r>
    <d v="2023-03-05T00:00:00"/>
    <x v="2942"/>
    <n v="12"/>
    <x v="1"/>
    <x v="3"/>
    <x v="1"/>
    <x v="3"/>
    <n v="724.84"/>
    <x v="2"/>
    <n v="2509.1716796874912"/>
    <n v="797.32"/>
    <n v="797.33"/>
    <n v="797.32"/>
    <s v="March 2023"/>
  </r>
  <r>
    <d v="2023-03-05T00:00:00"/>
    <x v="2943"/>
    <n v="72"/>
    <x v="1"/>
    <x v="7"/>
    <x v="0"/>
    <x v="0"/>
    <n v="3462.23"/>
    <x v="0"/>
    <n v="2503.6022787783854"/>
    <n v="3808.45"/>
    <n v="3808.46"/>
    <n v="3808.45"/>
    <s v="March 2023"/>
  </r>
  <r>
    <d v="2023-03-05T00:00:00"/>
    <x v="2944"/>
    <n v="35"/>
    <x v="1"/>
    <x v="7"/>
    <x v="2"/>
    <x v="2"/>
    <n v="4273.5"/>
    <x v="1"/>
    <n v="2440.2966694490838"/>
    <n v="4700.8500000000004"/>
    <n v="4700.8500000000004"/>
    <n v="4700.8500000000004"/>
    <s v="March 2023"/>
  </r>
  <r>
    <d v="2023-03-05T00:00:00"/>
    <x v="2945"/>
    <n v="24"/>
    <x v="0"/>
    <x v="4"/>
    <x v="3"/>
    <x v="2"/>
    <n v="3017.16"/>
    <x v="1"/>
    <n v="2496.7676064256989"/>
    <n v="3318.87"/>
    <n v="3318.88"/>
    <n v="3318.88"/>
    <s v="March 2023"/>
  </r>
  <r>
    <d v="2023-03-05T00:00:00"/>
    <x v="2946"/>
    <n v="86"/>
    <x v="2"/>
    <x v="2"/>
    <x v="2"/>
    <x v="4"/>
    <n v="3735.86"/>
    <x v="0"/>
    <n v="2440.2966694490838"/>
    <n v="4109.4399999999996"/>
    <n v="4109.45"/>
    <n v="4109.45"/>
    <s v="March 2023"/>
  </r>
  <r>
    <d v="2023-03-05T00:00:00"/>
    <x v="2947"/>
    <n v="65"/>
    <x v="2"/>
    <x v="5"/>
    <x v="3"/>
    <x v="2"/>
    <n v="3251.6"/>
    <x v="0"/>
    <n v="2496.7676064256989"/>
    <n v="3576.76"/>
    <n v="3576.76"/>
    <n v="3576.76"/>
    <s v="March 2023"/>
  </r>
  <r>
    <d v="2023-03-05T00:00:00"/>
    <x v="2948"/>
    <n v="31"/>
    <x v="1"/>
    <x v="0"/>
    <x v="3"/>
    <x v="0"/>
    <n v="1647.7"/>
    <x v="1"/>
    <n v="2496.7676064256989"/>
    <n v="1812.47"/>
    <n v="1812.47"/>
    <n v="1812.47"/>
    <s v="March 2023"/>
  </r>
  <r>
    <d v="2023-03-05T00:00:00"/>
    <x v="2949"/>
    <n v="44"/>
    <x v="2"/>
    <x v="2"/>
    <x v="1"/>
    <x v="3"/>
    <n v="3898.19"/>
    <x v="1"/>
    <n v="2509.1716796874912"/>
    <n v="4288"/>
    <n v="4288.01"/>
    <n v="4288.01"/>
    <s v="March 2023"/>
  </r>
  <r>
    <d v="2023-03-06T00:00:00"/>
    <x v="2950"/>
    <n v="12"/>
    <x v="2"/>
    <x v="0"/>
    <x v="2"/>
    <x v="3"/>
    <n v="3370.29"/>
    <x v="2"/>
    <n v="2440.2966694490838"/>
    <n v="3707.31"/>
    <n v="3707.32"/>
    <n v="3707.32"/>
    <s v="March 2023"/>
  </r>
  <r>
    <d v="2023-03-06T00:00:00"/>
    <x v="2951"/>
    <n v="8"/>
    <x v="0"/>
    <x v="0"/>
    <x v="2"/>
    <x v="4"/>
    <n v="4749.71"/>
    <x v="2"/>
    <n v="2440.2966694490838"/>
    <n v="5224.68"/>
    <n v="5224.6900000000005"/>
    <n v="5224.68"/>
    <s v="March 2023"/>
  </r>
  <r>
    <d v="2023-03-06T00:00:00"/>
    <x v="2952"/>
    <n v="78"/>
    <x v="0"/>
    <x v="3"/>
    <x v="0"/>
    <x v="0"/>
    <n v="4068.15"/>
    <x v="0"/>
    <n v="2503.6022787783854"/>
    <n v="4474.96"/>
    <n v="4474.97"/>
    <n v="4474.97"/>
    <s v="March 2023"/>
  </r>
  <r>
    <d v="2023-03-06T00:00:00"/>
    <x v="2953"/>
    <n v="32"/>
    <x v="2"/>
    <x v="7"/>
    <x v="0"/>
    <x v="3"/>
    <n v="793.28"/>
    <x v="1"/>
    <n v="2503.6022787783854"/>
    <n v="872.6"/>
    <n v="872.61"/>
    <n v="872.61"/>
    <s v="March 2023"/>
  </r>
  <r>
    <d v="2023-03-06T00:00:00"/>
    <x v="2954"/>
    <n v="41"/>
    <x v="0"/>
    <x v="2"/>
    <x v="2"/>
    <x v="1"/>
    <n v="3764.95"/>
    <x v="1"/>
    <n v="2440.2966694490838"/>
    <n v="4141.4399999999996"/>
    <n v="4141.45"/>
    <n v="4141.45"/>
    <s v="March 2023"/>
  </r>
  <r>
    <d v="2023-03-06T00:00:00"/>
    <x v="2955"/>
    <n v="71"/>
    <x v="1"/>
    <x v="5"/>
    <x v="1"/>
    <x v="1"/>
    <n v="682.39"/>
    <x v="0"/>
    <n v="2509.1716796874912"/>
    <n v="750.62"/>
    <n v="750.63"/>
    <n v="750.63"/>
    <s v="March 2023"/>
  </r>
  <r>
    <d v="2023-03-06T00:00:00"/>
    <x v="2956"/>
    <n v="67"/>
    <x v="0"/>
    <x v="2"/>
    <x v="1"/>
    <x v="2"/>
    <n v="521.22"/>
    <x v="0"/>
    <n v="2509.1716796874912"/>
    <n v="573.34"/>
    <n v="573.35"/>
    <n v="573.34"/>
    <s v="March 2023"/>
  </r>
  <r>
    <d v="2023-03-06T00:00:00"/>
    <x v="2957"/>
    <n v="47"/>
    <x v="0"/>
    <x v="3"/>
    <x v="0"/>
    <x v="0"/>
    <n v="1683.04"/>
    <x v="1"/>
    <n v="2503.6022787783854"/>
    <n v="1851.34"/>
    <n v="1851.35"/>
    <n v="1851.34"/>
    <s v="March 2023"/>
  </r>
  <r>
    <d v="2023-03-06T00:00:00"/>
    <x v="2958"/>
    <n v="73"/>
    <x v="2"/>
    <x v="1"/>
    <x v="0"/>
    <x v="3"/>
    <n v="3895.6"/>
    <x v="0"/>
    <n v="2503.6022787783854"/>
    <n v="4285.16"/>
    <n v="4285.16"/>
    <n v="4285.16"/>
    <s v="March 2023"/>
  </r>
  <r>
    <d v="2023-03-07T00:00:00"/>
    <x v="2959"/>
    <n v="29"/>
    <x v="1"/>
    <x v="0"/>
    <x v="2"/>
    <x v="1"/>
    <n v="963.86"/>
    <x v="1"/>
    <n v="2440.2966694490838"/>
    <n v="1060.24"/>
    <n v="1060.25"/>
    <n v="1060.25"/>
    <s v="March 2023"/>
  </r>
  <r>
    <d v="2023-03-08T00:00:00"/>
    <x v="2960"/>
    <n v="27"/>
    <x v="2"/>
    <x v="3"/>
    <x v="2"/>
    <x v="2"/>
    <n v="3460.32"/>
    <x v="1"/>
    <n v="2440.2966694490838"/>
    <n v="3806.35"/>
    <n v="3806.36"/>
    <n v="3806.35"/>
    <s v="March 2023"/>
  </r>
  <r>
    <d v="2023-03-08T00:00:00"/>
    <x v="2961"/>
    <n v="3"/>
    <x v="1"/>
    <x v="1"/>
    <x v="3"/>
    <x v="3"/>
    <n v="4435.43"/>
    <x v="2"/>
    <n v="2496.7676064256989"/>
    <n v="4878.97"/>
    <n v="4878.9800000000005"/>
    <n v="4878.97"/>
    <s v="March 2023"/>
  </r>
  <r>
    <d v="2023-03-08T00:00:00"/>
    <x v="2962"/>
    <n v="7"/>
    <x v="2"/>
    <x v="7"/>
    <x v="2"/>
    <x v="4"/>
    <n v="640.62"/>
    <x v="2"/>
    <n v="2440.2966694490838"/>
    <n v="704.68"/>
    <n v="704.68999999999994"/>
    <n v="704.68"/>
    <s v="March 2023"/>
  </r>
  <r>
    <d v="2023-03-08T00:00:00"/>
    <x v="2963"/>
    <n v="94"/>
    <x v="1"/>
    <x v="7"/>
    <x v="1"/>
    <x v="3"/>
    <n v="3466.94"/>
    <x v="0"/>
    <n v="2509.1716796874912"/>
    <n v="3813.63"/>
    <n v="3813.6400000000003"/>
    <n v="3813.63"/>
    <s v="March 2023"/>
  </r>
  <r>
    <d v="2023-03-08T00:00:00"/>
    <x v="2964"/>
    <n v="19"/>
    <x v="2"/>
    <x v="3"/>
    <x v="2"/>
    <x v="1"/>
    <n v="4497.34"/>
    <x v="1"/>
    <n v="2440.2966694490838"/>
    <n v="4947.07"/>
    <n v="4947.08"/>
    <n v="4947.07"/>
    <s v="March 2023"/>
  </r>
  <r>
    <d v="2023-03-08T00:00:00"/>
    <x v="2965"/>
    <n v="39"/>
    <x v="2"/>
    <x v="3"/>
    <x v="1"/>
    <x v="2"/>
    <n v="2126.13"/>
    <x v="1"/>
    <n v="2509.1716796874912"/>
    <n v="2338.7399999999998"/>
    <n v="2338.75"/>
    <n v="2338.7399999999998"/>
    <s v="March 2023"/>
  </r>
  <r>
    <d v="2023-03-08T00:00:00"/>
    <x v="2966"/>
    <n v="40"/>
    <x v="2"/>
    <x v="4"/>
    <x v="0"/>
    <x v="1"/>
    <n v="426.76"/>
    <x v="1"/>
    <n v="2503.6022787783854"/>
    <n v="469.43"/>
    <n v="469.44"/>
    <n v="469.44"/>
    <s v="March 2023"/>
  </r>
  <r>
    <d v="2023-03-08T00:00:00"/>
    <x v="2967"/>
    <n v="70"/>
    <x v="2"/>
    <x v="7"/>
    <x v="1"/>
    <x v="4"/>
    <n v="4282.2"/>
    <x v="0"/>
    <n v="2509.1716796874912"/>
    <n v="4710.42"/>
    <n v="4710.42"/>
    <n v="4710.42"/>
    <s v="March 2023"/>
  </r>
  <r>
    <d v="2023-03-08T00:00:00"/>
    <x v="2968"/>
    <n v="68"/>
    <x v="0"/>
    <x v="6"/>
    <x v="2"/>
    <x v="2"/>
    <n v="3928.29"/>
    <x v="0"/>
    <n v="2440.2966694490838"/>
    <n v="4321.1099999999997"/>
    <n v="4321.12"/>
    <n v="4321.12"/>
    <s v="March 2023"/>
  </r>
  <r>
    <d v="2023-03-09T00:00:00"/>
    <x v="2969"/>
    <n v="73"/>
    <x v="0"/>
    <x v="1"/>
    <x v="2"/>
    <x v="2"/>
    <n v="3508.24"/>
    <x v="0"/>
    <n v="2440.2966694490838"/>
    <n v="3859.06"/>
    <n v="3859.07"/>
    <n v="3859.06"/>
    <s v="March 2023"/>
  </r>
  <r>
    <d v="2023-03-09T00:00:00"/>
    <x v="2970"/>
    <n v="6"/>
    <x v="0"/>
    <x v="2"/>
    <x v="1"/>
    <x v="3"/>
    <n v="4454.8599999999997"/>
    <x v="2"/>
    <n v="2509.1716796874912"/>
    <n v="4900.34"/>
    <n v="4900.3500000000004"/>
    <n v="4900.3500000000004"/>
    <s v="March 2023"/>
  </r>
  <r>
    <d v="2023-03-09T00:00:00"/>
    <x v="2971"/>
    <n v="19"/>
    <x v="0"/>
    <x v="3"/>
    <x v="1"/>
    <x v="0"/>
    <n v="1442.93"/>
    <x v="1"/>
    <n v="2509.1716796874912"/>
    <n v="1587.22"/>
    <n v="1587.23"/>
    <n v="1587.22"/>
    <s v="March 2023"/>
  </r>
  <r>
    <d v="2023-03-09T00:00:00"/>
    <x v="2972"/>
    <n v="28"/>
    <x v="1"/>
    <x v="1"/>
    <x v="3"/>
    <x v="3"/>
    <n v="4013.76"/>
    <x v="1"/>
    <n v="2496.7676064256989"/>
    <n v="4415.13"/>
    <n v="4415.1400000000003"/>
    <n v="4415.1400000000003"/>
    <s v="March 2023"/>
  </r>
  <r>
    <d v="2023-03-09T00:00:00"/>
    <x v="2973"/>
    <n v="5"/>
    <x v="1"/>
    <x v="5"/>
    <x v="0"/>
    <x v="1"/>
    <n v="4659.74"/>
    <x v="2"/>
    <n v="2503.6022787783854"/>
    <n v="5125.71"/>
    <n v="5125.72"/>
    <n v="5125.71"/>
    <s v="March 2023"/>
  </r>
  <r>
    <d v="2023-03-09T00:00:00"/>
    <x v="2974"/>
    <n v="29"/>
    <x v="2"/>
    <x v="3"/>
    <x v="1"/>
    <x v="0"/>
    <n v="3513.7"/>
    <x v="1"/>
    <n v="2509.1716796874912"/>
    <n v="3865.07"/>
    <n v="3865.07"/>
    <n v="3865.07"/>
    <s v="March 2023"/>
  </r>
  <r>
    <d v="2023-03-10T00:00:00"/>
    <x v="2975"/>
    <n v="1"/>
    <x v="2"/>
    <x v="3"/>
    <x v="2"/>
    <x v="1"/>
    <n v="3709.55"/>
    <x v="2"/>
    <n v="2440.2966694490838"/>
    <n v="4080.5"/>
    <n v="4080.51"/>
    <n v="4080.51"/>
    <s v="March 2023"/>
  </r>
  <r>
    <d v="2023-03-10T00:00:00"/>
    <x v="2976"/>
    <n v="31"/>
    <x v="1"/>
    <x v="5"/>
    <x v="2"/>
    <x v="3"/>
    <n v="143.29"/>
    <x v="1"/>
    <n v="2440.2966694490838"/>
    <n v="157.61000000000001"/>
    <n v="157.62"/>
    <n v="157.62"/>
    <s v="March 2023"/>
  </r>
  <r>
    <d v="2023-03-11T00:00:00"/>
    <x v="2977"/>
    <n v="4"/>
    <x v="0"/>
    <x v="5"/>
    <x v="2"/>
    <x v="3"/>
    <n v="701.91"/>
    <x v="2"/>
    <n v="2440.2966694490838"/>
    <n v="772.1"/>
    <n v="772.11"/>
    <n v="772.1"/>
    <s v="March 2023"/>
  </r>
  <r>
    <d v="2023-03-11T00:00:00"/>
    <x v="2978"/>
    <n v="58"/>
    <x v="1"/>
    <x v="1"/>
    <x v="0"/>
    <x v="0"/>
    <n v="3752.98"/>
    <x v="1"/>
    <n v="2503.6022787783854"/>
    <n v="4128.2700000000004"/>
    <n v="4128.2800000000007"/>
    <n v="4128.28"/>
    <s v="March 2023"/>
  </r>
  <r>
    <d v="2023-03-11T00:00:00"/>
    <x v="2979"/>
    <n v="28"/>
    <x v="2"/>
    <x v="5"/>
    <x v="3"/>
    <x v="2"/>
    <n v="3669.12"/>
    <x v="1"/>
    <n v="2496.7676064256989"/>
    <n v="4036.03"/>
    <n v="4036.0400000000004"/>
    <n v="4036.03"/>
    <s v="March 2023"/>
  </r>
  <r>
    <d v="2023-03-11T00:00:00"/>
    <x v="2980"/>
    <n v="77"/>
    <x v="2"/>
    <x v="3"/>
    <x v="3"/>
    <x v="1"/>
    <n v="4004.75"/>
    <x v="0"/>
    <n v="2496.7676064256989"/>
    <n v="4405.22"/>
    <n v="4405.2300000000005"/>
    <n v="4405.2299999999996"/>
    <s v="March 2023"/>
  </r>
  <r>
    <d v="2023-03-11T00:00:00"/>
    <x v="2981"/>
    <n v="94"/>
    <x v="1"/>
    <x v="2"/>
    <x v="1"/>
    <x v="1"/>
    <n v="2460.59"/>
    <x v="0"/>
    <n v="2509.1716796874912"/>
    <n v="2706.64"/>
    <n v="2706.65"/>
    <n v="2706.65"/>
    <s v="March 2023"/>
  </r>
  <r>
    <d v="2023-03-12T00:00:00"/>
    <x v="2982"/>
    <n v="86"/>
    <x v="2"/>
    <x v="5"/>
    <x v="2"/>
    <x v="0"/>
    <n v="2599.17"/>
    <x v="0"/>
    <n v="2440.2966694490838"/>
    <n v="2859.08"/>
    <n v="2859.09"/>
    <n v="2859.09"/>
    <s v="March 2023"/>
  </r>
  <r>
    <d v="2023-03-12T00:00:00"/>
    <x v="2983"/>
    <n v="27"/>
    <x v="0"/>
    <x v="5"/>
    <x v="2"/>
    <x v="2"/>
    <n v="1129"/>
    <x v="1"/>
    <n v="2440.2966694490838"/>
    <n v="1241.9000000000001"/>
    <n v="1241.9000000000001"/>
    <n v="1241.9000000000001"/>
    <s v="March 2023"/>
  </r>
  <r>
    <d v="2023-03-12T00:00:00"/>
    <x v="2984"/>
    <n v="61"/>
    <x v="2"/>
    <x v="3"/>
    <x v="2"/>
    <x v="2"/>
    <n v="42.85"/>
    <x v="1"/>
    <n v="2440.2966694490838"/>
    <n v="47.13"/>
    <n v="47.14"/>
    <n v="47.14"/>
    <s v="March 2023"/>
  </r>
  <r>
    <d v="2023-03-12T00:00:00"/>
    <x v="2985"/>
    <n v="65"/>
    <x v="0"/>
    <x v="1"/>
    <x v="3"/>
    <x v="0"/>
    <n v="2827.44"/>
    <x v="0"/>
    <n v="2496.7676064256989"/>
    <n v="3110.18"/>
    <n v="3110.19"/>
    <n v="3110.18"/>
    <s v="March 2023"/>
  </r>
  <r>
    <d v="2023-03-12T00:00:00"/>
    <x v="2986"/>
    <n v="24"/>
    <x v="2"/>
    <x v="0"/>
    <x v="3"/>
    <x v="1"/>
    <n v="2997.09"/>
    <x v="1"/>
    <n v="2496.7676064256989"/>
    <n v="3296.79"/>
    <n v="3296.8"/>
    <n v="3296.8"/>
    <s v="March 2023"/>
  </r>
  <r>
    <d v="2023-03-12T00:00:00"/>
    <x v="2987"/>
    <n v="56"/>
    <x v="0"/>
    <x v="7"/>
    <x v="2"/>
    <x v="1"/>
    <n v="2080.0100000000002"/>
    <x v="1"/>
    <n v="2440.2966694490838"/>
    <n v="2288.0100000000002"/>
    <n v="2288.0200000000004"/>
    <n v="2288.0100000000002"/>
    <s v="March 2023"/>
  </r>
  <r>
    <d v="2023-03-13T00:00:00"/>
    <x v="2988"/>
    <n v="89"/>
    <x v="2"/>
    <x v="4"/>
    <x v="2"/>
    <x v="2"/>
    <n v="3004.57"/>
    <x v="0"/>
    <n v="2440.2966694490838"/>
    <n v="3305.02"/>
    <n v="3305.03"/>
    <n v="3305.03"/>
    <s v="March 2023"/>
  </r>
  <r>
    <d v="2023-03-14T00:00:00"/>
    <x v="2989"/>
    <n v="79"/>
    <x v="1"/>
    <x v="5"/>
    <x v="1"/>
    <x v="2"/>
    <n v="646.41999999999996"/>
    <x v="0"/>
    <n v="2509.1716796874912"/>
    <n v="711.06"/>
    <n v="711.06999999999994"/>
    <n v="711.06"/>
    <s v="March 2023"/>
  </r>
  <r>
    <d v="2023-03-14T00:00:00"/>
    <x v="2990"/>
    <n v="49"/>
    <x v="2"/>
    <x v="2"/>
    <x v="2"/>
    <x v="3"/>
    <n v="896.41"/>
    <x v="1"/>
    <n v="2440.2966694490838"/>
    <n v="986.05"/>
    <n v="986.06"/>
    <n v="986.05"/>
    <s v="March 2023"/>
  </r>
  <r>
    <d v="2023-03-14T00:00:00"/>
    <x v="2991"/>
    <n v="21"/>
    <x v="0"/>
    <x v="1"/>
    <x v="1"/>
    <x v="4"/>
    <n v="818.87"/>
    <x v="1"/>
    <n v="2509.1716796874912"/>
    <n v="900.75"/>
    <n v="900.76"/>
    <n v="900.76"/>
    <s v="March 2023"/>
  </r>
  <r>
    <d v="2023-03-14T00:00:00"/>
    <x v="2992"/>
    <n v="81"/>
    <x v="2"/>
    <x v="1"/>
    <x v="3"/>
    <x v="0"/>
    <n v="3377.44"/>
    <x v="0"/>
    <n v="2496.7676064256989"/>
    <n v="3715.18"/>
    <n v="3715.19"/>
    <n v="3715.18"/>
    <s v="March 2023"/>
  </r>
  <r>
    <d v="2023-03-14T00:00:00"/>
    <x v="2993"/>
    <n v="97"/>
    <x v="1"/>
    <x v="4"/>
    <x v="3"/>
    <x v="4"/>
    <n v="1404.3"/>
    <x v="0"/>
    <n v="2496.7676064256989"/>
    <n v="1544.73"/>
    <n v="1544.73"/>
    <n v="1544.73"/>
    <s v="March 2023"/>
  </r>
  <r>
    <d v="2023-03-14T00:00:00"/>
    <x v="2994"/>
    <n v="90"/>
    <x v="0"/>
    <x v="1"/>
    <x v="1"/>
    <x v="1"/>
    <n v="99.47"/>
    <x v="0"/>
    <n v="2509.1716796874912"/>
    <n v="109.41"/>
    <n v="109.42"/>
    <n v="109.42"/>
    <s v="March 2023"/>
  </r>
  <r>
    <d v="2023-03-14T00:00:00"/>
    <x v="2995"/>
    <n v="82"/>
    <x v="0"/>
    <x v="1"/>
    <x v="0"/>
    <x v="0"/>
    <n v="1103.26"/>
    <x v="0"/>
    <n v="2503.6022787783854"/>
    <n v="1213.58"/>
    <n v="1213.5899999999999"/>
    <n v="1213.5899999999999"/>
    <s v="March 2023"/>
  </r>
  <r>
    <d v="2023-03-15T00:00:00"/>
    <x v="2996"/>
    <n v="84"/>
    <x v="1"/>
    <x v="3"/>
    <x v="2"/>
    <x v="3"/>
    <n v="2845.28"/>
    <x v="0"/>
    <n v="2440.2966694490838"/>
    <n v="3129.8"/>
    <n v="3129.8100000000004"/>
    <n v="3129.81"/>
    <s v="March 2023"/>
  </r>
  <r>
    <d v="2023-03-15T00:00:00"/>
    <x v="2997"/>
    <n v="81"/>
    <x v="2"/>
    <x v="7"/>
    <x v="1"/>
    <x v="2"/>
    <n v="4668.9799999999996"/>
    <x v="0"/>
    <n v="2509.1716796874912"/>
    <n v="5135.87"/>
    <n v="5135.88"/>
    <n v="5135.88"/>
    <s v="March 2023"/>
  </r>
  <r>
    <d v="2023-03-15T00:00:00"/>
    <x v="2998"/>
    <n v="50"/>
    <x v="2"/>
    <x v="6"/>
    <x v="2"/>
    <x v="0"/>
    <n v="649.34"/>
    <x v="1"/>
    <n v="2440.2966694490838"/>
    <n v="714.27"/>
    <n v="714.28"/>
    <n v="714.27"/>
    <s v="March 2023"/>
  </r>
  <r>
    <d v="2023-03-15T00:00:00"/>
    <x v="2999"/>
    <n v="6"/>
    <x v="1"/>
    <x v="5"/>
    <x v="1"/>
    <x v="1"/>
    <n v="3090.37"/>
    <x v="2"/>
    <n v="2509.1716796874912"/>
    <n v="3399.4"/>
    <n v="3399.4100000000003"/>
    <n v="3399.41"/>
    <s v="March 2023"/>
  </r>
  <r>
    <d v="2023-03-15T00:00:00"/>
    <x v="3000"/>
    <n v="91"/>
    <x v="2"/>
    <x v="5"/>
    <x v="3"/>
    <x v="2"/>
    <n v="2298.06"/>
    <x v="0"/>
    <n v="2496.7676064256989"/>
    <n v="2527.86"/>
    <n v="2527.8700000000003"/>
    <n v="2527.87"/>
    <s v="March 2023"/>
  </r>
  <r>
    <d v="2023-03-15T00:00:00"/>
    <x v="3001"/>
    <n v="34"/>
    <x v="2"/>
    <x v="5"/>
    <x v="2"/>
    <x v="0"/>
    <n v="3751.81"/>
    <x v="1"/>
    <n v="2440.2966694490838"/>
    <n v="4126.99"/>
    <n v="4127"/>
    <n v="4126.99"/>
    <s v="March 2023"/>
  </r>
  <r>
    <d v="2023-03-15T00:00:00"/>
    <x v="3002"/>
    <n v="47"/>
    <x v="0"/>
    <x v="4"/>
    <x v="1"/>
    <x v="0"/>
    <n v="2752.3"/>
    <x v="1"/>
    <n v="2509.1716796874912"/>
    <n v="3027.53"/>
    <n v="3027.53"/>
    <n v="3027.53"/>
    <s v="March 2023"/>
  </r>
  <r>
    <d v="2023-03-15T00:00:00"/>
    <x v="3003"/>
    <n v="30"/>
    <x v="1"/>
    <x v="7"/>
    <x v="0"/>
    <x v="2"/>
    <n v="1792.91"/>
    <x v="1"/>
    <n v="2503.6022787783854"/>
    <n v="1972.2"/>
    <n v="1972.21"/>
    <n v="1972.2"/>
    <s v="March 2023"/>
  </r>
  <r>
    <d v="2023-03-15T00:00:00"/>
    <x v="3004"/>
    <n v="66"/>
    <x v="1"/>
    <x v="3"/>
    <x v="1"/>
    <x v="3"/>
    <n v="4233.41"/>
    <x v="0"/>
    <n v="2509.1716796874912"/>
    <n v="4656.75"/>
    <n v="4656.76"/>
    <n v="4656.75"/>
    <s v="March 2023"/>
  </r>
  <r>
    <d v="2023-03-15T00:00:00"/>
    <x v="3005"/>
    <n v="69"/>
    <x v="1"/>
    <x v="1"/>
    <x v="1"/>
    <x v="4"/>
    <n v="4545.96"/>
    <x v="0"/>
    <n v="2509.1716796874912"/>
    <n v="5000.55"/>
    <n v="5000.5600000000004"/>
    <n v="5000.5600000000004"/>
    <s v="March 2023"/>
  </r>
  <r>
    <d v="2023-03-15T00:00:00"/>
    <x v="3006"/>
    <n v="75"/>
    <x v="1"/>
    <x v="2"/>
    <x v="3"/>
    <x v="4"/>
    <n v="2144.85"/>
    <x v="0"/>
    <n v="2496.7676064256989"/>
    <n v="2359.33"/>
    <n v="2359.34"/>
    <n v="2359.34"/>
    <s v="March 2023"/>
  </r>
  <r>
    <d v="2023-03-15T00:00:00"/>
    <x v="3007"/>
    <n v="38"/>
    <x v="2"/>
    <x v="6"/>
    <x v="2"/>
    <x v="1"/>
    <n v="2067.91"/>
    <x v="1"/>
    <n v="2440.2966694490838"/>
    <n v="2274.6999999999998"/>
    <n v="2274.71"/>
    <n v="2274.6999999999998"/>
    <s v="March 2023"/>
  </r>
  <r>
    <d v="2023-03-15T00:00:00"/>
    <x v="3008"/>
    <n v="31"/>
    <x v="1"/>
    <x v="3"/>
    <x v="0"/>
    <x v="0"/>
    <n v="3901.62"/>
    <x v="1"/>
    <n v="2503.6022787783854"/>
    <n v="4291.78"/>
    <n v="4291.79"/>
    <n v="4291.78"/>
    <s v="March 2023"/>
  </r>
  <r>
    <d v="2023-03-15T00:00:00"/>
    <x v="3009"/>
    <n v="95"/>
    <x v="2"/>
    <x v="1"/>
    <x v="0"/>
    <x v="0"/>
    <n v="3338.61"/>
    <x v="0"/>
    <n v="2503.6022787783854"/>
    <n v="3672.47"/>
    <n v="3672.48"/>
    <n v="3672.47"/>
    <s v="March 2023"/>
  </r>
  <r>
    <d v="2023-03-16T00:00:00"/>
    <x v="3010"/>
    <n v="7"/>
    <x v="1"/>
    <x v="0"/>
    <x v="2"/>
    <x v="2"/>
    <n v="1991.34"/>
    <x v="2"/>
    <n v="2440.2966694490838"/>
    <n v="2190.4699999999998"/>
    <n v="2190.48"/>
    <n v="2190.4699999999998"/>
    <s v="March 2023"/>
  </r>
  <r>
    <d v="2023-03-16T00:00:00"/>
    <x v="3011"/>
    <n v="8"/>
    <x v="0"/>
    <x v="4"/>
    <x v="1"/>
    <x v="4"/>
    <n v="1104.8900000000001"/>
    <x v="2"/>
    <n v="2509.1716796874912"/>
    <n v="1215.3699999999999"/>
    <n v="1215.3799999999999"/>
    <n v="1215.3800000000001"/>
    <s v="March 2023"/>
  </r>
  <r>
    <d v="2023-03-16T00:00:00"/>
    <x v="3012"/>
    <n v="65"/>
    <x v="1"/>
    <x v="2"/>
    <x v="1"/>
    <x v="2"/>
    <n v="2246.7600000000002"/>
    <x v="0"/>
    <n v="2509.1716796874912"/>
    <n v="2471.4299999999998"/>
    <n v="2471.44"/>
    <n v="2471.44"/>
    <s v="March 2023"/>
  </r>
  <r>
    <d v="2023-03-16T00:00:00"/>
    <x v="3013"/>
    <n v="27"/>
    <x v="0"/>
    <x v="5"/>
    <x v="0"/>
    <x v="4"/>
    <n v="2784.14"/>
    <x v="1"/>
    <n v="2503.6022787783854"/>
    <n v="3062.55"/>
    <n v="3062.5600000000004"/>
    <n v="3062.55"/>
    <s v="March 2023"/>
  </r>
  <r>
    <d v="2023-03-16T00:00:00"/>
    <x v="3014"/>
    <n v="27"/>
    <x v="0"/>
    <x v="4"/>
    <x v="2"/>
    <x v="2"/>
    <n v="3500.82"/>
    <x v="1"/>
    <n v="2440.2966694490838"/>
    <n v="3850.9"/>
    <n v="3850.9100000000003"/>
    <n v="3850.9"/>
    <s v="March 2023"/>
  </r>
  <r>
    <d v="2023-03-16T00:00:00"/>
    <x v="3015"/>
    <n v="51"/>
    <x v="1"/>
    <x v="2"/>
    <x v="2"/>
    <x v="4"/>
    <n v="2341"/>
    <x v="1"/>
    <n v="2440.2966694490838"/>
    <n v="2575.1"/>
    <n v="2575.1"/>
    <n v="2575.1"/>
    <s v="March 2023"/>
  </r>
  <r>
    <d v="2023-03-16T00:00:00"/>
    <x v="3016"/>
    <n v="66"/>
    <x v="2"/>
    <x v="4"/>
    <x v="0"/>
    <x v="0"/>
    <n v="224"/>
    <x v="0"/>
    <n v="2503.6022787783854"/>
    <n v="246.4"/>
    <n v="246.4"/>
    <n v="246.4"/>
    <s v="March 2023"/>
  </r>
  <r>
    <d v="2023-03-17T00:00:00"/>
    <x v="3017"/>
    <n v="53"/>
    <x v="2"/>
    <x v="4"/>
    <x v="0"/>
    <x v="3"/>
    <n v="819.47"/>
    <x v="1"/>
    <n v="2503.6022787783854"/>
    <n v="901.41"/>
    <n v="901.42"/>
    <n v="901.42"/>
    <s v="March 2023"/>
  </r>
  <r>
    <d v="2023-03-17T00:00:00"/>
    <x v="3018"/>
    <n v="16"/>
    <x v="2"/>
    <x v="3"/>
    <x v="2"/>
    <x v="1"/>
    <n v="4886.87"/>
    <x v="1"/>
    <n v="2440.2966694490838"/>
    <n v="5375.55"/>
    <n v="5375.56"/>
    <n v="5375.56"/>
    <s v="March 2023"/>
  </r>
  <r>
    <d v="2023-03-17T00:00:00"/>
    <x v="3019"/>
    <n v="7"/>
    <x v="0"/>
    <x v="0"/>
    <x v="1"/>
    <x v="1"/>
    <n v="3364.54"/>
    <x v="2"/>
    <n v="2509.1716796874912"/>
    <n v="3700.99"/>
    <n v="3701"/>
    <n v="3700.99"/>
    <s v="March 2023"/>
  </r>
  <r>
    <d v="2023-03-17T00:00:00"/>
    <x v="3020"/>
    <n v="51"/>
    <x v="1"/>
    <x v="1"/>
    <x v="3"/>
    <x v="3"/>
    <n v="2355.88"/>
    <x v="1"/>
    <n v="2496.7676064256989"/>
    <n v="2591.46"/>
    <n v="2591.4700000000003"/>
    <n v="2591.4699999999998"/>
    <s v="March 2023"/>
  </r>
  <r>
    <d v="2023-03-17T00:00:00"/>
    <x v="3021"/>
    <n v="0"/>
    <x v="2"/>
    <x v="3"/>
    <x v="1"/>
    <x v="0"/>
    <n v="1498.15"/>
    <x v="2"/>
    <n v="2509.1716796874912"/>
    <n v="1647.96"/>
    <n v="1647.97"/>
    <n v="1647.97"/>
    <s v="March 2023"/>
  </r>
  <r>
    <d v="2023-03-17T00:00:00"/>
    <x v="3022"/>
    <n v="61"/>
    <x v="0"/>
    <x v="1"/>
    <x v="3"/>
    <x v="2"/>
    <n v="4409.2700000000004"/>
    <x v="1"/>
    <n v="2496.7676064256989"/>
    <n v="4850.1899999999996"/>
    <n v="4850.2"/>
    <n v="4850.2"/>
    <s v="March 2023"/>
  </r>
  <r>
    <d v="2023-03-17T00:00:00"/>
    <x v="3023"/>
    <n v="70"/>
    <x v="1"/>
    <x v="1"/>
    <x v="1"/>
    <x v="1"/>
    <n v="4521.29"/>
    <x v="0"/>
    <n v="2509.1716796874912"/>
    <n v="4973.41"/>
    <n v="4973.42"/>
    <n v="4973.42"/>
    <s v="March 2023"/>
  </r>
  <r>
    <d v="2023-03-17T00:00:00"/>
    <x v="3024"/>
    <n v="98"/>
    <x v="1"/>
    <x v="4"/>
    <x v="3"/>
    <x v="2"/>
    <n v="4329.1400000000003"/>
    <x v="0"/>
    <n v="2496.7676064256989"/>
    <n v="4762.05"/>
    <n v="4762.0600000000004"/>
    <n v="4762.05"/>
    <s v="March 2023"/>
  </r>
  <r>
    <d v="2023-03-17T00:00:00"/>
    <x v="3025"/>
    <n v="24"/>
    <x v="1"/>
    <x v="5"/>
    <x v="2"/>
    <x v="1"/>
    <n v="2095.83"/>
    <x v="1"/>
    <n v="2440.2966694490838"/>
    <n v="2305.41"/>
    <n v="2305.42"/>
    <n v="2305.41"/>
    <s v="March 2023"/>
  </r>
  <r>
    <d v="2023-03-18T00:00:00"/>
    <x v="3026"/>
    <n v="4"/>
    <x v="0"/>
    <x v="5"/>
    <x v="1"/>
    <x v="0"/>
    <n v="2389.5500000000002"/>
    <x v="2"/>
    <n v="2509.1716796874912"/>
    <n v="2628.5"/>
    <n v="2628.51"/>
    <n v="2628.51"/>
    <s v="March 2023"/>
  </r>
  <r>
    <d v="2023-03-18T00:00:00"/>
    <x v="3027"/>
    <n v="93"/>
    <x v="0"/>
    <x v="6"/>
    <x v="0"/>
    <x v="3"/>
    <n v="4897.3100000000004"/>
    <x v="0"/>
    <n v="2503.6022787783854"/>
    <n v="5387.04"/>
    <n v="5387.05"/>
    <n v="5387.04"/>
    <s v="March 2023"/>
  </r>
  <r>
    <d v="2023-03-18T00:00:00"/>
    <x v="3028"/>
    <n v="90"/>
    <x v="0"/>
    <x v="0"/>
    <x v="1"/>
    <x v="0"/>
    <n v="1764.58"/>
    <x v="0"/>
    <n v="2509.1716796874912"/>
    <n v="1941.03"/>
    <n v="1941.04"/>
    <n v="1941.04"/>
    <s v="March 2023"/>
  </r>
  <r>
    <d v="2023-03-18T00:00:00"/>
    <x v="3029"/>
    <n v="45"/>
    <x v="2"/>
    <x v="1"/>
    <x v="1"/>
    <x v="3"/>
    <n v="4769.4399999999996"/>
    <x v="1"/>
    <n v="2509.1716796874912"/>
    <n v="5246.38"/>
    <n v="5246.39"/>
    <n v="5246.38"/>
    <s v="March 2023"/>
  </r>
  <r>
    <d v="2023-03-18T00:00:00"/>
    <x v="3030"/>
    <n v="17"/>
    <x v="2"/>
    <x v="6"/>
    <x v="2"/>
    <x v="3"/>
    <n v="1386.67"/>
    <x v="1"/>
    <n v="2440.2966694490838"/>
    <n v="1525.33"/>
    <n v="1525.34"/>
    <n v="1525.34"/>
    <s v="March 2023"/>
  </r>
  <r>
    <d v="2023-03-18T00:00:00"/>
    <x v="3031"/>
    <n v="16"/>
    <x v="0"/>
    <x v="0"/>
    <x v="0"/>
    <x v="3"/>
    <n v="4905.68"/>
    <x v="1"/>
    <n v="2503.6022787783854"/>
    <n v="5396.24"/>
    <n v="5396.25"/>
    <n v="5396.25"/>
    <s v="March 2023"/>
  </r>
  <r>
    <d v="2023-03-19T00:00:00"/>
    <x v="3032"/>
    <n v="70"/>
    <x v="2"/>
    <x v="5"/>
    <x v="3"/>
    <x v="1"/>
    <n v="3144.1"/>
    <x v="0"/>
    <n v="2496.7676064256989"/>
    <n v="3458.51"/>
    <n v="3458.51"/>
    <n v="3458.51"/>
    <s v="March 2023"/>
  </r>
  <r>
    <d v="2023-03-19T00:00:00"/>
    <x v="3033"/>
    <n v="65"/>
    <x v="0"/>
    <x v="5"/>
    <x v="1"/>
    <x v="1"/>
    <n v="1659.83"/>
    <x v="0"/>
    <n v="2509.1716796874912"/>
    <n v="1825.81"/>
    <n v="1825.82"/>
    <n v="1825.81"/>
    <s v="March 2023"/>
  </r>
  <r>
    <d v="2023-03-19T00:00:00"/>
    <x v="3034"/>
    <n v="10"/>
    <x v="0"/>
    <x v="2"/>
    <x v="1"/>
    <x v="4"/>
    <n v="698.05"/>
    <x v="2"/>
    <n v="2509.1716796874912"/>
    <n v="767.85"/>
    <n v="767.86"/>
    <n v="767.86"/>
    <s v="March 2023"/>
  </r>
  <r>
    <d v="2023-03-19T00:00:00"/>
    <x v="3035"/>
    <n v="32"/>
    <x v="0"/>
    <x v="2"/>
    <x v="1"/>
    <x v="0"/>
    <n v="1547.13"/>
    <x v="1"/>
    <n v="2509.1716796874912"/>
    <n v="1701.84"/>
    <n v="1701.85"/>
    <n v="1701.84"/>
    <s v="March 2023"/>
  </r>
  <r>
    <d v="2023-03-19T00:00:00"/>
    <x v="3036"/>
    <n v="41"/>
    <x v="0"/>
    <x v="4"/>
    <x v="1"/>
    <x v="1"/>
    <n v="4437.87"/>
    <x v="1"/>
    <n v="2509.1716796874912"/>
    <n v="4881.6499999999996"/>
    <n v="4881.66"/>
    <n v="4881.66"/>
    <s v="March 2023"/>
  </r>
  <r>
    <d v="2023-03-19T00:00:00"/>
    <x v="3037"/>
    <n v="81"/>
    <x v="2"/>
    <x v="5"/>
    <x v="2"/>
    <x v="2"/>
    <n v="4841.1400000000003"/>
    <x v="0"/>
    <n v="2440.2966694490838"/>
    <n v="5325.25"/>
    <n v="5325.26"/>
    <n v="5325.25"/>
    <s v="March 2023"/>
  </r>
  <r>
    <d v="2023-03-20T00:00:00"/>
    <x v="3038"/>
    <n v="44"/>
    <x v="2"/>
    <x v="5"/>
    <x v="3"/>
    <x v="3"/>
    <n v="4713.7299999999996"/>
    <x v="1"/>
    <n v="2496.7676064256989"/>
    <n v="5185.1000000000004"/>
    <n v="5185.1100000000006"/>
    <n v="5185.1000000000004"/>
    <s v="March 2023"/>
  </r>
  <r>
    <d v="2023-03-20T00:00:00"/>
    <x v="3039"/>
    <n v="50"/>
    <x v="1"/>
    <x v="3"/>
    <x v="1"/>
    <x v="2"/>
    <n v="2331.19"/>
    <x v="1"/>
    <n v="2509.1716796874912"/>
    <n v="2564.3000000000002"/>
    <n v="2564.3100000000004"/>
    <n v="2564.31"/>
    <s v="March 2023"/>
  </r>
  <r>
    <d v="2023-03-20T00:00:00"/>
    <x v="3040"/>
    <n v="85"/>
    <x v="0"/>
    <x v="3"/>
    <x v="0"/>
    <x v="0"/>
    <n v="209.75"/>
    <x v="0"/>
    <n v="2503.6022787783854"/>
    <n v="230.72"/>
    <n v="230.73"/>
    <n v="230.73"/>
    <s v="March 2023"/>
  </r>
  <r>
    <d v="2023-03-20T00:00:00"/>
    <x v="3041"/>
    <n v="67"/>
    <x v="2"/>
    <x v="5"/>
    <x v="0"/>
    <x v="3"/>
    <n v="1436.2"/>
    <x v="0"/>
    <n v="2503.6022787783854"/>
    <n v="1579.82"/>
    <n v="1579.82"/>
    <n v="1579.82"/>
    <s v="March 2023"/>
  </r>
  <r>
    <d v="2023-03-21T00:00:00"/>
    <x v="3042"/>
    <n v="8"/>
    <x v="1"/>
    <x v="0"/>
    <x v="3"/>
    <x v="2"/>
    <n v="1459.87"/>
    <x v="2"/>
    <n v="2496.7676064256989"/>
    <n v="1605.85"/>
    <n v="1605.86"/>
    <n v="1605.86"/>
    <s v="March 2023"/>
  </r>
  <r>
    <d v="2023-03-21T00:00:00"/>
    <x v="3043"/>
    <n v="34"/>
    <x v="2"/>
    <x v="7"/>
    <x v="3"/>
    <x v="1"/>
    <n v="4807.87"/>
    <x v="1"/>
    <n v="2496.7676064256989"/>
    <n v="5288.65"/>
    <n v="5288.66"/>
    <n v="5288.66"/>
    <s v="March 2023"/>
  </r>
  <r>
    <d v="2023-03-21T00:00:00"/>
    <x v="3044"/>
    <n v="77"/>
    <x v="1"/>
    <x v="4"/>
    <x v="0"/>
    <x v="0"/>
    <n v="637.61"/>
    <x v="0"/>
    <n v="2503.6022787783854"/>
    <n v="701.37"/>
    <n v="701.38"/>
    <n v="701.37"/>
    <s v="March 2023"/>
  </r>
  <r>
    <d v="2023-03-21T00:00:00"/>
    <x v="3045"/>
    <n v="52"/>
    <x v="1"/>
    <x v="2"/>
    <x v="0"/>
    <x v="1"/>
    <n v="2682.91"/>
    <x v="1"/>
    <n v="2503.6022787783854"/>
    <n v="2951.2"/>
    <n v="2951.21"/>
    <n v="2951.2"/>
    <s v="March 2023"/>
  </r>
  <r>
    <d v="2023-03-21T00:00:00"/>
    <x v="3046"/>
    <n v="66"/>
    <x v="1"/>
    <x v="5"/>
    <x v="3"/>
    <x v="1"/>
    <n v="407.01"/>
    <x v="0"/>
    <n v="2496.7676064256989"/>
    <n v="447.71"/>
    <n v="447.71999999999997"/>
    <n v="447.71"/>
    <s v="March 2023"/>
  </r>
  <r>
    <d v="2023-03-21T00:00:00"/>
    <x v="3047"/>
    <n v="53"/>
    <x v="0"/>
    <x v="6"/>
    <x v="3"/>
    <x v="1"/>
    <n v="2245.15"/>
    <x v="1"/>
    <n v="2496.7676064256989"/>
    <n v="2469.66"/>
    <n v="2469.67"/>
    <n v="2469.67"/>
    <s v="March 2023"/>
  </r>
  <r>
    <d v="2023-03-21T00:00:00"/>
    <x v="3048"/>
    <n v="88"/>
    <x v="1"/>
    <x v="2"/>
    <x v="3"/>
    <x v="0"/>
    <n v="2193.4499999999998"/>
    <x v="0"/>
    <n v="2496.7676064256989"/>
    <n v="2412.79"/>
    <n v="2412.8000000000002"/>
    <n v="2412.8000000000002"/>
    <s v="March 2023"/>
  </r>
  <r>
    <d v="2023-03-22T00:00:00"/>
    <x v="3049"/>
    <n v="98"/>
    <x v="0"/>
    <x v="5"/>
    <x v="0"/>
    <x v="3"/>
    <n v="3336.13"/>
    <x v="0"/>
    <n v="2503.6022787783854"/>
    <n v="3669.74"/>
    <n v="3669.75"/>
    <n v="3669.74"/>
    <s v="March 2023"/>
  </r>
  <r>
    <d v="2023-03-22T00:00:00"/>
    <x v="3050"/>
    <n v="59"/>
    <x v="0"/>
    <x v="7"/>
    <x v="1"/>
    <x v="0"/>
    <n v="4585.2700000000004"/>
    <x v="1"/>
    <n v="2509.1716796874912"/>
    <n v="5043.79"/>
    <n v="5043.8"/>
    <n v="5043.8"/>
    <s v="March 2023"/>
  </r>
  <r>
    <d v="2023-03-22T00:00:00"/>
    <x v="3051"/>
    <n v="30"/>
    <x v="1"/>
    <x v="4"/>
    <x v="1"/>
    <x v="0"/>
    <n v="867.06"/>
    <x v="1"/>
    <n v="2509.1716796874912"/>
    <n v="953.76"/>
    <n v="953.77"/>
    <n v="953.77"/>
    <s v="March 2023"/>
  </r>
  <r>
    <d v="2023-03-22T00:00:00"/>
    <x v="3052"/>
    <n v="50"/>
    <x v="2"/>
    <x v="6"/>
    <x v="2"/>
    <x v="3"/>
    <n v="487.9"/>
    <x v="1"/>
    <n v="2440.2966694490838"/>
    <n v="536.69000000000005"/>
    <n v="536.69000000000005"/>
    <n v="536.69000000000005"/>
    <s v="March 2023"/>
  </r>
  <r>
    <d v="2023-03-22T00:00:00"/>
    <x v="3053"/>
    <n v="43"/>
    <x v="1"/>
    <x v="7"/>
    <x v="3"/>
    <x v="3"/>
    <n v="3395.06"/>
    <x v="1"/>
    <n v="2496.7676064256989"/>
    <n v="3734.56"/>
    <n v="3734.57"/>
    <n v="3734.57"/>
    <s v="March 2023"/>
  </r>
  <r>
    <d v="2023-03-22T00:00:00"/>
    <x v="3054"/>
    <n v="59"/>
    <x v="0"/>
    <x v="7"/>
    <x v="0"/>
    <x v="1"/>
    <n v="960.31"/>
    <x v="1"/>
    <n v="2503.6022787783854"/>
    <n v="1056.3399999999999"/>
    <n v="1056.3499999999999"/>
    <n v="1056.3399999999999"/>
    <s v="March 2023"/>
  </r>
  <r>
    <d v="2023-03-22T00:00:00"/>
    <x v="3055"/>
    <n v="74"/>
    <x v="2"/>
    <x v="4"/>
    <x v="0"/>
    <x v="2"/>
    <n v="2696.36"/>
    <x v="0"/>
    <n v="2503.6022787783854"/>
    <n v="2965.99"/>
    <n v="2966"/>
    <n v="2966"/>
    <s v="March 2023"/>
  </r>
  <r>
    <d v="2023-03-22T00:00:00"/>
    <x v="3056"/>
    <n v="75"/>
    <x v="1"/>
    <x v="4"/>
    <x v="3"/>
    <x v="1"/>
    <n v="2988.89"/>
    <x v="0"/>
    <n v="2496.7676064256989"/>
    <n v="3287.77"/>
    <n v="3287.78"/>
    <n v="3287.78"/>
    <s v="March 2023"/>
  </r>
  <r>
    <d v="2023-03-22T00:00:00"/>
    <x v="3057"/>
    <n v="89"/>
    <x v="1"/>
    <x v="2"/>
    <x v="1"/>
    <x v="0"/>
    <n v="630.66999999999996"/>
    <x v="0"/>
    <n v="2509.1716796874912"/>
    <n v="693.73"/>
    <n v="693.74"/>
    <n v="693.74"/>
    <s v="March 2023"/>
  </r>
  <r>
    <d v="2023-03-22T00:00:00"/>
    <x v="3058"/>
    <n v="95"/>
    <x v="0"/>
    <x v="3"/>
    <x v="1"/>
    <x v="1"/>
    <n v="3024.53"/>
    <x v="0"/>
    <n v="2509.1716796874912"/>
    <n v="3326.98"/>
    <n v="3326.9900000000002"/>
    <n v="3326.98"/>
    <s v="March 2023"/>
  </r>
  <r>
    <d v="2023-03-23T00:00:00"/>
    <x v="3059"/>
    <n v="52"/>
    <x v="2"/>
    <x v="2"/>
    <x v="1"/>
    <x v="2"/>
    <n v="1561.55"/>
    <x v="1"/>
    <n v="2509.1716796874912"/>
    <n v="1717.7"/>
    <n v="1717.71"/>
    <n v="1717.71"/>
    <s v="March 2023"/>
  </r>
  <r>
    <d v="2023-03-23T00:00:00"/>
    <x v="3060"/>
    <n v="62"/>
    <x v="1"/>
    <x v="3"/>
    <x v="1"/>
    <x v="4"/>
    <n v="741.86"/>
    <x v="1"/>
    <n v="2509.1716796874912"/>
    <n v="816.04"/>
    <n v="816.05"/>
    <n v="816.05"/>
    <s v="March 2023"/>
  </r>
  <r>
    <d v="2023-03-23T00:00:00"/>
    <x v="3061"/>
    <n v="68"/>
    <x v="2"/>
    <x v="5"/>
    <x v="0"/>
    <x v="1"/>
    <n v="1384.54"/>
    <x v="0"/>
    <n v="2503.6022787783854"/>
    <n v="1522.99"/>
    <n v="1523"/>
    <n v="1522.99"/>
    <s v="March 2023"/>
  </r>
  <r>
    <d v="2023-03-23T00:00:00"/>
    <x v="3062"/>
    <n v="83"/>
    <x v="0"/>
    <x v="3"/>
    <x v="3"/>
    <x v="2"/>
    <n v="3567.16"/>
    <x v="0"/>
    <n v="2496.7676064256989"/>
    <n v="3923.87"/>
    <n v="3923.88"/>
    <n v="3923.88"/>
    <s v="March 2023"/>
  </r>
  <r>
    <d v="2023-03-23T00:00:00"/>
    <x v="3063"/>
    <n v="79"/>
    <x v="0"/>
    <x v="1"/>
    <x v="0"/>
    <x v="2"/>
    <n v="1249.93"/>
    <x v="0"/>
    <n v="2503.6022787783854"/>
    <n v="1374.92"/>
    <n v="1374.93"/>
    <n v="1374.92"/>
    <s v="March 2023"/>
  </r>
  <r>
    <d v="2023-03-23T00:00:00"/>
    <x v="3064"/>
    <n v="43"/>
    <x v="1"/>
    <x v="5"/>
    <x v="0"/>
    <x v="4"/>
    <n v="3153.33"/>
    <x v="1"/>
    <n v="2503.6022787783854"/>
    <n v="3468.66"/>
    <n v="3468.67"/>
    <n v="3468.66"/>
    <s v="March 2023"/>
  </r>
  <r>
    <d v="2023-03-23T00:00:00"/>
    <x v="3065"/>
    <n v="20"/>
    <x v="1"/>
    <x v="1"/>
    <x v="2"/>
    <x v="0"/>
    <n v="845.78"/>
    <x v="1"/>
    <n v="2440.2966694490838"/>
    <n v="930.35"/>
    <n v="930.36"/>
    <n v="930.36"/>
    <s v="March 2023"/>
  </r>
  <r>
    <d v="2023-03-23T00:00:00"/>
    <x v="3066"/>
    <n v="22"/>
    <x v="1"/>
    <x v="5"/>
    <x v="3"/>
    <x v="4"/>
    <n v="4607.9799999999996"/>
    <x v="1"/>
    <n v="2496.7676064256989"/>
    <n v="5068.7700000000004"/>
    <n v="5068.7800000000007"/>
    <n v="5068.78"/>
    <s v="March 2023"/>
  </r>
  <r>
    <d v="2023-03-24T00:00:00"/>
    <x v="3067"/>
    <n v="62"/>
    <x v="0"/>
    <x v="2"/>
    <x v="0"/>
    <x v="3"/>
    <n v="205.85"/>
    <x v="1"/>
    <n v="2503.6022787783854"/>
    <n v="226.43"/>
    <n v="226.44"/>
    <n v="226.44"/>
    <s v="March 2023"/>
  </r>
  <r>
    <d v="2023-03-24T00:00:00"/>
    <x v="3068"/>
    <n v="14"/>
    <x v="2"/>
    <x v="4"/>
    <x v="2"/>
    <x v="0"/>
    <n v="3411.42"/>
    <x v="2"/>
    <n v="2440.2966694490838"/>
    <n v="3752.56"/>
    <n v="3752.57"/>
    <n v="3752.56"/>
    <s v="March 2023"/>
  </r>
  <r>
    <d v="2023-03-24T00:00:00"/>
    <x v="3069"/>
    <n v="44"/>
    <x v="2"/>
    <x v="4"/>
    <x v="1"/>
    <x v="0"/>
    <n v="964.28"/>
    <x v="1"/>
    <n v="2509.1716796874912"/>
    <n v="1060.7"/>
    <n v="1060.71"/>
    <n v="1060.71"/>
    <s v="March 2023"/>
  </r>
  <r>
    <d v="2023-03-24T00:00:00"/>
    <x v="3070"/>
    <n v="67"/>
    <x v="2"/>
    <x v="6"/>
    <x v="0"/>
    <x v="4"/>
    <n v="861.54"/>
    <x v="0"/>
    <n v="2503.6022787783854"/>
    <n v="947.69"/>
    <n v="947.7"/>
    <n v="947.69"/>
    <s v="March 2023"/>
  </r>
  <r>
    <d v="2023-03-24T00:00:00"/>
    <x v="3071"/>
    <n v="26"/>
    <x v="2"/>
    <x v="5"/>
    <x v="3"/>
    <x v="1"/>
    <n v="1086.6500000000001"/>
    <x v="1"/>
    <n v="2496.7676064256989"/>
    <n v="1195.31"/>
    <n v="1195.32"/>
    <n v="1195.32"/>
    <s v="March 2023"/>
  </r>
  <r>
    <d v="2023-03-24T00:00:00"/>
    <x v="3072"/>
    <n v="47"/>
    <x v="1"/>
    <x v="5"/>
    <x v="0"/>
    <x v="0"/>
    <n v="111.95"/>
    <x v="1"/>
    <n v="2503.6022787783854"/>
    <n v="123.14"/>
    <n v="123.15"/>
    <n v="123.15"/>
    <s v="March 2023"/>
  </r>
  <r>
    <d v="2023-03-24T00:00:00"/>
    <x v="3073"/>
    <n v="3"/>
    <x v="2"/>
    <x v="0"/>
    <x v="1"/>
    <x v="2"/>
    <n v="3428.84"/>
    <x v="2"/>
    <n v="2509.1716796874912"/>
    <n v="3771.72"/>
    <n v="3771.73"/>
    <n v="3771.72"/>
    <s v="March 2023"/>
  </r>
  <r>
    <d v="2023-03-25T00:00:00"/>
    <x v="3074"/>
    <n v="70"/>
    <x v="0"/>
    <x v="2"/>
    <x v="3"/>
    <x v="2"/>
    <n v="934.7"/>
    <x v="0"/>
    <n v="2496.7676064256989"/>
    <n v="1028.17"/>
    <n v="1028.17"/>
    <n v="1028.17"/>
    <s v="March 2023"/>
  </r>
  <r>
    <d v="2023-03-25T00:00:00"/>
    <x v="3075"/>
    <n v="42"/>
    <x v="2"/>
    <x v="3"/>
    <x v="2"/>
    <x v="4"/>
    <n v="3231.74"/>
    <x v="1"/>
    <n v="2440.2966694490838"/>
    <n v="3554.91"/>
    <n v="3554.92"/>
    <n v="3554.91"/>
    <s v="March 2023"/>
  </r>
  <r>
    <d v="2023-03-25T00:00:00"/>
    <x v="3076"/>
    <n v="63"/>
    <x v="2"/>
    <x v="7"/>
    <x v="3"/>
    <x v="4"/>
    <n v="2068.65"/>
    <x v="1"/>
    <n v="2496.7676064256989"/>
    <n v="2275.5100000000002"/>
    <n v="2275.5200000000004"/>
    <n v="2275.52"/>
    <s v="March 2023"/>
  </r>
  <r>
    <d v="2023-03-25T00:00:00"/>
    <x v="3077"/>
    <n v="18"/>
    <x v="2"/>
    <x v="7"/>
    <x v="1"/>
    <x v="3"/>
    <n v="2920.79"/>
    <x v="1"/>
    <n v="2509.1716796874912"/>
    <n v="3212.86"/>
    <n v="3212.8700000000003"/>
    <n v="3212.87"/>
    <s v="March 2023"/>
  </r>
  <r>
    <d v="2023-03-25T00:00:00"/>
    <x v="3078"/>
    <n v="18"/>
    <x v="0"/>
    <x v="7"/>
    <x v="3"/>
    <x v="4"/>
    <n v="761.25"/>
    <x v="1"/>
    <n v="2496.7676064256989"/>
    <n v="837.37"/>
    <n v="837.38"/>
    <n v="837.38"/>
    <s v="March 2023"/>
  </r>
  <r>
    <d v="2023-03-25T00:00:00"/>
    <x v="3079"/>
    <n v="70"/>
    <x v="0"/>
    <x v="1"/>
    <x v="0"/>
    <x v="0"/>
    <n v="1206.96"/>
    <x v="0"/>
    <n v="2503.6022787783854"/>
    <n v="1327.65"/>
    <n v="1327.66"/>
    <n v="1327.66"/>
    <s v="March 2023"/>
  </r>
  <r>
    <d v="2023-03-25T00:00:00"/>
    <x v="3080"/>
    <n v="11"/>
    <x v="1"/>
    <x v="3"/>
    <x v="3"/>
    <x v="3"/>
    <n v="2050.88"/>
    <x v="2"/>
    <n v="2496.7676064256989"/>
    <n v="2255.96"/>
    <n v="2255.9700000000003"/>
    <n v="2255.9699999999998"/>
    <s v="March 2023"/>
  </r>
  <r>
    <d v="2023-03-25T00:00:00"/>
    <x v="3081"/>
    <n v="18"/>
    <x v="2"/>
    <x v="1"/>
    <x v="0"/>
    <x v="3"/>
    <n v="1624.96"/>
    <x v="1"/>
    <n v="2503.6022787783854"/>
    <n v="1787.45"/>
    <n v="1787.46"/>
    <n v="1787.46"/>
    <s v="March 2023"/>
  </r>
  <r>
    <d v="2023-03-25T00:00:00"/>
    <x v="3082"/>
    <n v="69"/>
    <x v="0"/>
    <x v="1"/>
    <x v="2"/>
    <x v="3"/>
    <n v="3516.48"/>
    <x v="0"/>
    <n v="2440.2966694490838"/>
    <n v="3868.12"/>
    <n v="3868.13"/>
    <n v="3868.13"/>
    <s v="March 2023"/>
  </r>
  <r>
    <d v="2023-03-25T00:00:00"/>
    <x v="3083"/>
    <n v="37"/>
    <x v="0"/>
    <x v="1"/>
    <x v="3"/>
    <x v="0"/>
    <n v="2035.82"/>
    <x v="1"/>
    <n v="2496.7676064256989"/>
    <n v="2239.4"/>
    <n v="2239.4100000000003"/>
    <n v="2239.4"/>
    <s v="March 2023"/>
  </r>
  <r>
    <d v="2023-03-25T00:00:00"/>
    <x v="3084"/>
    <n v="53"/>
    <x v="2"/>
    <x v="0"/>
    <x v="1"/>
    <x v="0"/>
    <n v="4387.96"/>
    <x v="1"/>
    <n v="2509.1716796874912"/>
    <n v="4826.75"/>
    <n v="4826.76"/>
    <n v="4826.76"/>
    <s v="March 2023"/>
  </r>
  <r>
    <d v="2023-03-25T00:00:00"/>
    <x v="3085"/>
    <n v="12"/>
    <x v="0"/>
    <x v="7"/>
    <x v="1"/>
    <x v="1"/>
    <n v="2255.4499999999998"/>
    <x v="2"/>
    <n v="2509.1716796874912"/>
    <n v="2480.9899999999998"/>
    <n v="2481"/>
    <n v="2481"/>
    <s v="March 2023"/>
  </r>
  <r>
    <d v="2023-03-26T00:00:00"/>
    <x v="3086"/>
    <n v="7"/>
    <x v="1"/>
    <x v="7"/>
    <x v="0"/>
    <x v="3"/>
    <n v="410.92"/>
    <x v="2"/>
    <n v="2503.6022787783854"/>
    <n v="452.01"/>
    <n v="452.02"/>
    <n v="452.01"/>
    <s v="March 2023"/>
  </r>
  <r>
    <d v="2023-03-26T00:00:00"/>
    <x v="3087"/>
    <n v="52"/>
    <x v="2"/>
    <x v="5"/>
    <x v="2"/>
    <x v="2"/>
    <n v="4629.12"/>
    <x v="1"/>
    <n v="2440.2966694490838"/>
    <n v="5092.03"/>
    <n v="5092.04"/>
    <n v="5092.03"/>
    <s v="March 2023"/>
  </r>
  <r>
    <d v="2023-03-26T00:00:00"/>
    <x v="3088"/>
    <n v="77"/>
    <x v="1"/>
    <x v="0"/>
    <x v="2"/>
    <x v="2"/>
    <n v="2641.41"/>
    <x v="0"/>
    <n v="2440.2966694490838"/>
    <n v="2905.55"/>
    <n v="2905.5600000000004"/>
    <n v="2905.55"/>
    <s v="March 2023"/>
  </r>
  <r>
    <d v="2023-03-26T00:00:00"/>
    <x v="3089"/>
    <n v="4"/>
    <x v="2"/>
    <x v="1"/>
    <x v="0"/>
    <x v="4"/>
    <n v="2291.29"/>
    <x v="2"/>
    <n v="2503.6022787783854"/>
    <n v="2520.41"/>
    <n v="2520.42"/>
    <n v="2520.42"/>
    <s v="March 2023"/>
  </r>
  <r>
    <d v="2023-03-26T00:00:00"/>
    <x v="3090"/>
    <n v="29"/>
    <x v="1"/>
    <x v="6"/>
    <x v="2"/>
    <x v="2"/>
    <n v="4885.29"/>
    <x v="1"/>
    <n v="2440.2966694490838"/>
    <n v="5373.81"/>
    <n v="5373.8200000000006"/>
    <n v="5373.82"/>
    <s v="March 2023"/>
  </r>
  <r>
    <d v="2023-03-26T00:00:00"/>
    <x v="3091"/>
    <n v="13"/>
    <x v="2"/>
    <x v="7"/>
    <x v="2"/>
    <x v="0"/>
    <n v="4024.12"/>
    <x v="2"/>
    <n v="2440.2966694490838"/>
    <n v="4426.53"/>
    <n v="4426.54"/>
    <n v="4426.53"/>
    <s v="March 2023"/>
  </r>
  <r>
    <d v="2023-03-26T00:00:00"/>
    <x v="3092"/>
    <n v="26"/>
    <x v="2"/>
    <x v="7"/>
    <x v="3"/>
    <x v="1"/>
    <n v="4054.74"/>
    <x v="1"/>
    <n v="2496.7676064256989"/>
    <n v="4460.21"/>
    <n v="4460.22"/>
    <n v="4460.21"/>
    <s v="March 2023"/>
  </r>
  <r>
    <d v="2023-03-26T00:00:00"/>
    <x v="3093"/>
    <n v="62"/>
    <x v="0"/>
    <x v="7"/>
    <x v="1"/>
    <x v="4"/>
    <n v="3703.87"/>
    <x v="1"/>
    <n v="2509.1716796874912"/>
    <n v="4074.25"/>
    <n v="4074.26"/>
    <n v="4074.26"/>
    <s v="March 2023"/>
  </r>
  <r>
    <d v="2023-03-26T00:00:00"/>
    <x v="3094"/>
    <n v="84"/>
    <x v="1"/>
    <x v="1"/>
    <x v="2"/>
    <x v="2"/>
    <n v="960.3"/>
    <x v="0"/>
    <n v="2440.2966694490838"/>
    <n v="1056.33"/>
    <n v="1056.33"/>
    <n v="1056.33"/>
    <s v="March 2023"/>
  </r>
  <r>
    <d v="2023-03-26T00:00:00"/>
    <x v="3095"/>
    <n v="55"/>
    <x v="0"/>
    <x v="2"/>
    <x v="1"/>
    <x v="1"/>
    <n v="531.54"/>
    <x v="1"/>
    <n v="2509.1716796874912"/>
    <n v="584.69000000000005"/>
    <n v="584.70000000000005"/>
    <n v="584.69000000000005"/>
    <s v="March 2023"/>
  </r>
  <r>
    <d v="2023-03-26T00:00:00"/>
    <x v="3096"/>
    <n v="92"/>
    <x v="2"/>
    <x v="4"/>
    <x v="1"/>
    <x v="1"/>
    <n v="3716.01"/>
    <x v="0"/>
    <n v="2509.1716796874912"/>
    <n v="4087.61"/>
    <n v="4087.6200000000003"/>
    <n v="4087.61"/>
    <s v="March 2023"/>
  </r>
  <r>
    <d v="2023-03-26T00:00:00"/>
    <x v="3097"/>
    <n v="22"/>
    <x v="1"/>
    <x v="6"/>
    <x v="0"/>
    <x v="3"/>
    <n v="432.84"/>
    <x v="1"/>
    <n v="2503.6022787783854"/>
    <n v="476.12"/>
    <n v="476.13"/>
    <n v="476.12"/>
    <s v="March 2023"/>
  </r>
  <r>
    <d v="2023-03-26T00:00:00"/>
    <x v="3098"/>
    <n v="49"/>
    <x v="1"/>
    <x v="3"/>
    <x v="3"/>
    <x v="4"/>
    <n v="1598.37"/>
    <x v="1"/>
    <n v="2496.7676064256989"/>
    <n v="1758.2"/>
    <n v="1758.21"/>
    <n v="1758.21"/>
    <s v="March 2023"/>
  </r>
  <r>
    <d v="2023-03-27T00:00:00"/>
    <x v="3099"/>
    <n v="55"/>
    <x v="1"/>
    <x v="5"/>
    <x v="2"/>
    <x v="1"/>
    <n v="4459.95"/>
    <x v="1"/>
    <n v="2440.2966694490838"/>
    <n v="4905.9399999999996"/>
    <n v="4905.95"/>
    <n v="4905.95"/>
    <s v="March 2023"/>
  </r>
  <r>
    <d v="2023-03-27T00:00:00"/>
    <x v="3100"/>
    <n v="80"/>
    <x v="1"/>
    <x v="4"/>
    <x v="3"/>
    <x v="2"/>
    <n v="49.35"/>
    <x v="0"/>
    <n v="2496.7676064256989"/>
    <n v="54.28"/>
    <n v="54.29"/>
    <n v="54.29"/>
    <s v="March 2023"/>
  </r>
  <r>
    <d v="2023-03-27T00:00:00"/>
    <x v="3101"/>
    <n v="80"/>
    <x v="2"/>
    <x v="5"/>
    <x v="3"/>
    <x v="3"/>
    <n v="2260.9"/>
    <x v="0"/>
    <n v="2496.7676064256989"/>
    <n v="2486.9899999999998"/>
    <n v="2486.9899999999998"/>
    <n v="2486.9899999999998"/>
    <s v="March 2023"/>
  </r>
  <r>
    <d v="2023-03-27T00:00:00"/>
    <x v="3102"/>
    <n v="35"/>
    <x v="2"/>
    <x v="6"/>
    <x v="0"/>
    <x v="4"/>
    <n v="2430.44"/>
    <x v="1"/>
    <n v="2503.6022787783854"/>
    <n v="2673.48"/>
    <n v="2673.4900000000002"/>
    <n v="2673.48"/>
    <s v="March 2023"/>
  </r>
  <r>
    <d v="2023-03-27T00:00:00"/>
    <x v="3103"/>
    <n v="92"/>
    <x v="0"/>
    <x v="4"/>
    <x v="3"/>
    <x v="3"/>
    <n v="3850.74"/>
    <x v="0"/>
    <n v="2496.7676064256989"/>
    <n v="4235.8100000000004"/>
    <n v="4235.8200000000006"/>
    <n v="4235.8100000000004"/>
    <s v="March 2023"/>
  </r>
  <r>
    <d v="2023-03-28T00:00:00"/>
    <x v="3104"/>
    <n v="10"/>
    <x v="0"/>
    <x v="3"/>
    <x v="2"/>
    <x v="4"/>
    <n v="1644.39"/>
    <x v="2"/>
    <n v="2440.2966694490838"/>
    <n v="1808.82"/>
    <n v="1808.83"/>
    <n v="1808.83"/>
    <s v="March 2023"/>
  </r>
  <r>
    <d v="2023-03-28T00:00:00"/>
    <x v="3105"/>
    <n v="60"/>
    <x v="2"/>
    <x v="4"/>
    <x v="1"/>
    <x v="3"/>
    <n v="1614.42"/>
    <x v="1"/>
    <n v="2509.1716796874912"/>
    <n v="1775.86"/>
    <n v="1775.87"/>
    <n v="1775.86"/>
    <s v="March 2023"/>
  </r>
  <r>
    <d v="2023-03-28T00:00:00"/>
    <x v="3106"/>
    <n v="67"/>
    <x v="1"/>
    <x v="0"/>
    <x v="2"/>
    <x v="2"/>
    <n v="3908.43"/>
    <x v="0"/>
    <n v="2440.2966694490838"/>
    <n v="4299.2700000000004"/>
    <n v="4299.2800000000007"/>
    <n v="4299.2700000000004"/>
    <s v="March 2023"/>
  </r>
  <r>
    <d v="2023-03-28T00:00:00"/>
    <x v="3107"/>
    <n v="32"/>
    <x v="1"/>
    <x v="1"/>
    <x v="2"/>
    <x v="4"/>
    <n v="3856.04"/>
    <x v="1"/>
    <n v="2440.2966694490838"/>
    <n v="4241.6400000000003"/>
    <n v="4241.6500000000005"/>
    <n v="4241.6400000000003"/>
    <s v="March 2023"/>
  </r>
  <r>
    <d v="2023-03-28T00:00:00"/>
    <x v="3108"/>
    <n v="10"/>
    <x v="0"/>
    <x v="5"/>
    <x v="3"/>
    <x v="1"/>
    <n v="1043.6600000000001"/>
    <x v="2"/>
    <n v="2496.7676064256989"/>
    <n v="1148.02"/>
    <n v="1148.03"/>
    <n v="1148.03"/>
    <s v="March 2023"/>
  </r>
  <r>
    <d v="2023-03-28T00:00:00"/>
    <x v="3109"/>
    <n v="69"/>
    <x v="0"/>
    <x v="0"/>
    <x v="2"/>
    <x v="0"/>
    <n v="4108.12"/>
    <x v="0"/>
    <n v="2440.2966694490838"/>
    <n v="4518.93"/>
    <n v="4518.9400000000005"/>
    <n v="4518.93"/>
    <s v="March 2023"/>
  </r>
  <r>
    <d v="2023-03-28T00:00:00"/>
    <x v="3110"/>
    <n v="16"/>
    <x v="0"/>
    <x v="1"/>
    <x v="3"/>
    <x v="3"/>
    <n v="3702.16"/>
    <x v="1"/>
    <n v="2496.7676064256989"/>
    <n v="4072.37"/>
    <n v="4072.38"/>
    <n v="4072.38"/>
    <s v="March 2023"/>
  </r>
  <r>
    <d v="2023-03-28T00:00:00"/>
    <x v="3111"/>
    <n v="13"/>
    <x v="2"/>
    <x v="2"/>
    <x v="2"/>
    <x v="4"/>
    <n v="4740.08"/>
    <x v="2"/>
    <n v="2440.2966694490838"/>
    <n v="5214.08"/>
    <n v="5214.09"/>
    <n v="5214.09"/>
    <s v="March 2023"/>
  </r>
  <r>
    <d v="2023-03-28T00:00:00"/>
    <x v="3112"/>
    <n v="71"/>
    <x v="2"/>
    <x v="4"/>
    <x v="1"/>
    <x v="2"/>
    <n v="1118.45"/>
    <x v="0"/>
    <n v="2509.1716796874912"/>
    <n v="1230.29"/>
    <n v="1230.3"/>
    <n v="1230.3"/>
    <s v="March 2023"/>
  </r>
  <r>
    <d v="2023-03-28T00:00:00"/>
    <x v="3113"/>
    <n v="13"/>
    <x v="1"/>
    <x v="3"/>
    <x v="1"/>
    <x v="0"/>
    <n v="786.78"/>
    <x v="2"/>
    <n v="2509.1716796874912"/>
    <n v="865.45"/>
    <n v="865.46"/>
    <n v="865.46"/>
    <s v="March 2023"/>
  </r>
  <r>
    <d v="2023-03-29T00:00:00"/>
    <x v="3114"/>
    <n v="21"/>
    <x v="0"/>
    <x v="3"/>
    <x v="3"/>
    <x v="0"/>
    <n v="844.55"/>
    <x v="1"/>
    <n v="2496.7676064256989"/>
    <n v="929"/>
    <n v="929.01"/>
    <n v="929.01"/>
    <s v="March 2023"/>
  </r>
  <r>
    <d v="2023-03-29T00:00:00"/>
    <x v="3115"/>
    <n v="70"/>
    <x v="2"/>
    <x v="6"/>
    <x v="2"/>
    <x v="1"/>
    <n v="66.510000000000005"/>
    <x v="0"/>
    <n v="2440.2966694490838"/>
    <n v="73.16"/>
    <n v="73.17"/>
    <n v="73.16"/>
    <s v="March 2023"/>
  </r>
  <r>
    <d v="2023-03-29T00:00:00"/>
    <x v="3116"/>
    <n v="68"/>
    <x v="1"/>
    <x v="5"/>
    <x v="1"/>
    <x v="3"/>
    <n v="2291.94"/>
    <x v="0"/>
    <n v="2509.1716796874912"/>
    <n v="2521.13"/>
    <n v="2521.1400000000003"/>
    <n v="2521.13"/>
    <s v="March 2023"/>
  </r>
  <r>
    <d v="2023-03-29T00:00:00"/>
    <x v="3117"/>
    <n v="80"/>
    <x v="2"/>
    <x v="3"/>
    <x v="1"/>
    <x v="3"/>
    <n v="3182.64"/>
    <x v="0"/>
    <n v="2509.1716796874912"/>
    <n v="3500.9"/>
    <n v="3500.9100000000003"/>
    <n v="3500.9"/>
    <s v="March 2023"/>
  </r>
  <r>
    <d v="2023-03-29T00:00:00"/>
    <x v="3118"/>
    <n v="49"/>
    <x v="0"/>
    <x v="7"/>
    <x v="3"/>
    <x v="1"/>
    <n v="3605.89"/>
    <x v="1"/>
    <n v="2496.7676064256989"/>
    <n v="3966.47"/>
    <n v="3966.48"/>
    <n v="3966.48"/>
    <s v="March 2023"/>
  </r>
  <r>
    <d v="2023-03-29T00:00:00"/>
    <x v="3119"/>
    <n v="50"/>
    <x v="0"/>
    <x v="4"/>
    <x v="3"/>
    <x v="4"/>
    <n v="745.26"/>
    <x v="1"/>
    <n v="2496.7676064256989"/>
    <n v="819.78"/>
    <n v="819.79"/>
    <n v="819.79"/>
    <s v="March 2023"/>
  </r>
  <r>
    <d v="2023-03-29T00:00:00"/>
    <x v="3120"/>
    <n v="13"/>
    <x v="2"/>
    <x v="2"/>
    <x v="1"/>
    <x v="1"/>
    <n v="2448.69"/>
    <x v="2"/>
    <n v="2509.1716796874912"/>
    <n v="2693.55"/>
    <n v="2693.5600000000004"/>
    <n v="2693.56"/>
    <s v="March 2023"/>
  </r>
  <r>
    <d v="2023-03-29T00:00:00"/>
    <x v="3121"/>
    <n v="31"/>
    <x v="2"/>
    <x v="1"/>
    <x v="1"/>
    <x v="0"/>
    <n v="3743.3"/>
    <x v="1"/>
    <n v="2509.1716796874912"/>
    <n v="4117.63"/>
    <n v="4117.63"/>
    <n v="4117.63"/>
    <s v="March 2023"/>
  </r>
  <r>
    <d v="2023-03-30T00:00:00"/>
    <x v="3122"/>
    <n v="61"/>
    <x v="1"/>
    <x v="6"/>
    <x v="3"/>
    <x v="1"/>
    <n v="986.9"/>
    <x v="1"/>
    <n v="2496.7676064256989"/>
    <n v="1085.5899999999999"/>
    <n v="1085.5899999999999"/>
    <n v="1085.5899999999999"/>
    <s v="March 2023"/>
  </r>
  <r>
    <d v="2023-03-30T00:00:00"/>
    <x v="3123"/>
    <n v="60"/>
    <x v="1"/>
    <x v="5"/>
    <x v="2"/>
    <x v="0"/>
    <n v="4481.78"/>
    <x v="1"/>
    <n v="2440.2966694490838"/>
    <n v="4929.95"/>
    <n v="4929.96"/>
    <n v="4929.96"/>
    <s v="March 2023"/>
  </r>
  <r>
    <d v="2023-03-30T00:00:00"/>
    <x v="3124"/>
    <n v="20"/>
    <x v="1"/>
    <x v="4"/>
    <x v="3"/>
    <x v="4"/>
    <n v="1452.61"/>
    <x v="1"/>
    <n v="2496.7676064256989"/>
    <n v="1597.87"/>
    <n v="1597.8799999999999"/>
    <n v="1597.87"/>
    <s v="March 2023"/>
  </r>
  <r>
    <d v="2023-03-30T00:00:00"/>
    <x v="3125"/>
    <n v="11"/>
    <x v="1"/>
    <x v="2"/>
    <x v="3"/>
    <x v="4"/>
    <n v="4906.13"/>
    <x v="2"/>
    <n v="2496.7676064256989"/>
    <n v="5396.74"/>
    <n v="5396.75"/>
    <n v="5396.74"/>
    <s v="March 2023"/>
  </r>
  <r>
    <d v="2023-03-31T00:00:00"/>
    <x v="3126"/>
    <n v="98"/>
    <x v="2"/>
    <x v="5"/>
    <x v="0"/>
    <x v="2"/>
    <n v="3856.7"/>
    <x v="0"/>
    <n v="2503.6022787783854"/>
    <n v="4242.37"/>
    <n v="4242.37"/>
    <n v="4242.37"/>
    <s v="March 2023"/>
  </r>
  <r>
    <d v="2023-03-31T00:00:00"/>
    <x v="3127"/>
    <n v="97"/>
    <x v="2"/>
    <x v="2"/>
    <x v="0"/>
    <x v="0"/>
    <n v="1941.12"/>
    <x v="0"/>
    <n v="2503.6022787783854"/>
    <n v="2135.23"/>
    <n v="2135.2400000000002"/>
    <n v="2135.23"/>
    <s v="March 2023"/>
  </r>
  <r>
    <d v="2023-03-31T00:00:00"/>
    <x v="3128"/>
    <n v="51"/>
    <x v="1"/>
    <x v="2"/>
    <x v="0"/>
    <x v="3"/>
    <n v="333.45"/>
    <x v="1"/>
    <n v="2503.6022787783854"/>
    <n v="366.79"/>
    <n v="366.8"/>
    <n v="366.8"/>
    <s v="March 2023"/>
  </r>
  <r>
    <d v="2023-03-31T00:00:00"/>
    <x v="3129"/>
    <n v="81"/>
    <x v="0"/>
    <x v="7"/>
    <x v="0"/>
    <x v="3"/>
    <n v="2244.77"/>
    <x v="0"/>
    <n v="2503.6022787783854"/>
    <n v="2469.2399999999998"/>
    <n v="2469.25"/>
    <n v="2469.25"/>
    <s v="March 2023"/>
  </r>
  <r>
    <d v="2023-04-01T00:00:00"/>
    <x v="3130"/>
    <n v="91"/>
    <x v="1"/>
    <x v="6"/>
    <x v="3"/>
    <x v="3"/>
    <n v="1697.61"/>
    <x v="0"/>
    <n v="2496.7676064256989"/>
    <n v="1867.37"/>
    <n v="1867.3799999999999"/>
    <n v="1867.37"/>
    <s v="April 2023"/>
  </r>
  <r>
    <d v="2023-04-01T00:00:00"/>
    <x v="3131"/>
    <n v="84"/>
    <x v="1"/>
    <x v="2"/>
    <x v="0"/>
    <x v="2"/>
    <n v="4586.92"/>
    <x v="0"/>
    <n v="2503.6022787783854"/>
    <n v="5045.6099999999997"/>
    <n v="5045.62"/>
    <n v="5045.6099999999997"/>
    <s v="April 2023"/>
  </r>
  <r>
    <d v="2023-04-01T00:00:00"/>
    <x v="3132"/>
    <n v="84"/>
    <x v="0"/>
    <x v="5"/>
    <x v="2"/>
    <x v="0"/>
    <n v="659.07"/>
    <x v="0"/>
    <n v="2440.2966694490838"/>
    <n v="724.97"/>
    <n v="724.98"/>
    <n v="724.98"/>
    <s v="April 2023"/>
  </r>
  <r>
    <d v="2023-04-01T00:00:00"/>
    <x v="3133"/>
    <n v="5"/>
    <x v="0"/>
    <x v="1"/>
    <x v="3"/>
    <x v="3"/>
    <n v="1104.71"/>
    <x v="2"/>
    <n v="2496.7676064256989"/>
    <n v="1215.18"/>
    <n v="1215.19"/>
    <n v="1215.18"/>
    <s v="April 2023"/>
  </r>
  <r>
    <d v="2023-04-01T00:00:00"/>
    <x v="3134"/>
    <n v="32"/>
    <x v="2"/>
    <x v="0"/>
    <x v="1"/>
    <x v="3"/>
    <n v="733.43"/>
    <x v="1"/>
    <n v="2509.1716796874912"/>
    <n v="806.77"/>
    <n v="806.78"/>
    <n v="806.77"/>
    <s v="April 2023"/>
  </r>
  <r>
    <d v="2023-04-01T00:00:00"/>
    <x v="3135"/>
    <n v="8"/>
    <x v="1"/>
    <x v="1"/>
    <x v="3"/>
    <x v="4"/>
    <n v="3492.45"/>
    <x v="2"/>
    <n v="2496.7676064256989"/>
    <n v="3841.69"/>
    <n v="3841.7000000000003"/>
    <n v="3841.7"/>
    <s v="April 2023"/>
  </r>
  <r>
    <d v="2023-04-02T00:00:00"/>
    <x v="3136"/>
    <n v="56"/>
    <x v="1"/>
    <x v="3"/>
    <x v="0"/>
    <x v="4"/>
    <n v="2419.86"/>
    <x v="1"/>
    <n v="2503.6022787783854"/>
    <n v="2661.84"/>
    <n v="2661.8500000000004"/>
    <n v="2661.85"/>
    <s v="April 2023"/>
  </r>
  <r>
    <d v="2023-04-02T00:00:00"/>
    <x v="3137"/>
    <n v="61"/>
    <x v="1"/>
    <x v="1"/>
    <x v="0"/>
    <x v="3"/>
    <n v="4565.8"/>
    <x v="1"/>
    <n v="2503.6022787783854"/>
    <n v="5022.38"/>
    <n v="5022.38"/>
    <n v="5022.38"/>
    <s v="April 2023"/>
  </r>
  <r>
    <d v="2023-04-02T00:00:00"/>
    <x v="3138"/>
    <n v="40"/>
    <x v="2"/>
    <x v="2"/>
    <x v="1"/>
    <x v="3"/>
    <n v="1123.8599999999999"/>
    <x v="1"/>
    <n v="2509.1716796874912"/>
    <n v="1236.24"/>
    <n v="1236.25"/>
    <n v="1236.25"/>
    <s v="April 2023"/>
  </r>
  <r>
    <d v="2023-04-02T00:00:00"/>
    <x v="3139"/>
    <n v="34"/>
    <x v="2"/>
    <x v="3"/>
    <x v="1"/>
    <x v="3"/>
    <n v="1189.3399999999999"/>
    <x v="1"/>
    <n v="2509.1716796874912"/>
    <n v="1308.27"/>
    <n v="1308.28"/>
    <n v="1308.27"/>
    <s v="April 2023"/>
  </r>
  <r>
    <d v="2023-04-02T00:00:00"/>
    <x v="3140"/>
    <n v="42"/>
    <x v="2"/>
    <x v="1"/>
    <x v="1"/>
    <x v="2"/>
    <n v="4262.6000000000004"/>
    <x v="1"/>
    <n v="2509.1716796874912"/>
    <n v="4688.8599999999997"/>
    <n v="4688.8599999999997"/>
    <n v="4688.8599999999997"/>
    <s v="April 2023"/>
  </r>
  <r>
    <d v="2023-04-02T00:00:00"/>
    <x v="3141"/>
    <n v="50"/>
    <x v="2"/>
    <x v="3"/>
    <x v="2"/>
    <x v="2"/>
    <n v="748.7"/>
    <x v="1"/>
    <n v="2440.2966694490838"/>
    <n v="823.57"/>
    <n v="823.57"/>
    <n v="823.57"/>
    <s v="April 2023"/>
  </r>
  <r>
    <d v="2023-04-02T00:00:00"/>
    <x v="3142"/>
    <n v="17"/>
    <x v="1"/>
    <x v="2"/>
    <x v="1"/>
    <x v="1"/>
    <n v="1531.72"/>
    <x v="1"/>
    <n v="2509.1716796874912"/>
    <n v="1684.89"/>
    <n v="1684.9"/>
    <n v="1684.89"/>
    <s v="April 2023"/>
  </r>
  <r>
    <d v="2023-04-03T00:00:00"/>
    <x v="3143"/>
    <n v="68"/>
    <x v="1"/>
    <x v="2"/>
    <x v="3"/>
    <x v="1"/>
    <n v="578.22"/>
    <x v="0"/>
    <n v="2496.7676064256989"/>
    <n v="636.04"/>
    <n v="636.04999999999995"/>
    <n v="636.04"/>
    <s v="April 2023"/>
  </r>
  <r>
    <d v="2023-04-03T00:00:00"/>
    <x v="3144"/>
    <n v="89"/>
    <x v="2"/>
    <x v="1"/>
    <x v="3"/>
    <x v="2"/>
    <n v="4744.74"/>
    <x v="0"/>
    <n v="2496.7676064256989"/>
    <n v="5219.21"/>
    <n v="5219.22"/>
    <n v="5219.21"/>
    <s v="April 2023"/>
  </r>
  <r>
    <d v="2023-04-03T00:00:00"/>
    <x v="3145"/>
    <n v="46"/>
    <x v="0"/>
    <x v="3"/>
    <x v="0"/>
    <x v="4"/>
    <n v="4453.66"/>
    <x v="1"/>
    <n v="2503.6022787783854"/>
    <n v="4899.0200000000004"/>
    <n v="4899.0300000000007"/>
    <n v="4899.03"/>
    <s v="April 2023"/>
  </r>
  <r>
    <d v="2023-04-03T00:00:00"/>
    <x v="3146"/>
    <n v="29"/>
    <x v="0"/>
    <x v="4"/>
    <x v="0"/>
    <x v="1"/>
    <n v="117.55"/>
    <x v="1"/>
    <n v="2503.6022787783854"/>
    <n v="129.30000000000001"/>
    <n v="129.31"/>
    <n v="129.31"/>
    <s v="April 2023"/>
  </r>
  <r>
    <d v="2023-04-03T00:00:00"/>
    <x v="3147"/>
    <n v="50"/>
    <x v="0"/>
    <x v="2"/>
    <x v="3"/>
    <x v="1"/>
    <n v="4167.1400000000003"/>
    <x v="1"/>
    <n v="2496.7676064256989"/>
    <n v="4583.8500000000004"/>
    <n v="4583.8600000000006"/>
    <n v="4583.8500000000004"/>
    <s v="April 2023"/>
  </r>
  <r>
    <d v="2023-04-03T00:00:00"/>
    <x v="3148"/>
    <n v="1"/>
    <x v="0"/>
    <x v="0"/>
    <x v="2"/>
    <x v="2"/>
    <n v="3353.68"/>
    <x v="2"/>
    <n v="2440.2966694490838"/>
    <n v="3689.04"/>
    <n v="3689.05"/>
    <n v="3689.05"/>
    <s v="April 2023"/>
  </r>
  <r>
    <d v="2023-04-03T00:00:00"/>
    <x v="3149"/>
    <n v="78"/>
    <x v="0"/>
    <x v="0"/>
    <x v="0"/>
    <x v="2"/>
    <n v="3298.24"/>
    <x v="0"/>
    <n v="2503.6022787783854"/>
    <n v="3628.06"/>
    <n v="3628.07"/>
    <n v="3628.06"/>
    <s v="April 2023"/>
  </r>
  <r>
    <d v="2023-04-03T00:00:00"/>
    <x v="3150"/>
    <n v="34"/>
    <x v="2"/>
    <x v="6"/>
    <x v="0"/>
    <x v="4"/>
    <n v="2338.5700000000002"/>
    <x v="1"/>
    <n v="2503.6022787783854"/>
    <n v="2572.42"/>
    <n v="2572.4300000000003"/>
    <n v="2572.4299999999998"/>
    <s v="April 2023"/>
  </r>
  <r>
    <d v="2023-04-03T00:00:00"/>
    <x v="3151"/>
    <n v="69"/>
    <x v="0"/>
    <x v="4"/>
    <x v="0"/>
    <x v="4"/>
    <n v="3356.17"/>
    <x v="0"/>
    <n v="2503.6022787783854"/>
    <n v="3691.78"/>
    <n v="3691.7900000000004"/>
    <n v="3691.79"/>
    <s v="April 2023"/>
  </r>
  <r>
    <d v="2023-04-04T00:00:00"/>
    <x v="3152"/>
    <n v="57"/>
    <x v="2"/>
    <x v="7"/>
    <x v="0"/>
    <x v="2"/>
    <n v="2804.78"/>
    <x v="1"/>
    <n v="2503.6022787783854"/>
    <n v="3085.25"/>
    <n v="3085.26"/>
    <n v="3085.26"/>
    <s v="April 2023"/>
  </r>
  <r>
    <d v="2023-04-04T00:00:00"/>
    <x v="3153"/>
    <n v="58"/>
    <x v="2"/>
    <x v="3"/>
    <x v="2"/>
    <x v="3"/>
    <n v="4667.76"/>
    <x v="1"/>
    <n v="2440.2966694490838"/>
    <n v="5134.53"/>
    <n v="5134.54"/>
    <n v="5134.54"/>
    <s v="April 2023"/>
  </r>
  <r>
    <d v="2023-04-04T00:00:00"/>
    <x v="3154"/>
    <n v="95"/>
    <x v="0"/>
    <x v="5"/>
    <x v="0"/>
    <x v="2"/>
    <n v="2953.22"/>
    <x v="0"/>
    <n v="2503.6022787783854"/>
    <n v="3248.54"/>
    <n v="3248.55"/>
    <n v="3248.54"/>
    <s v="April 2023"/>
  </r>
  <r>
    <d v="2023-04-04T00:00:00"/>
    <x v="3155"/>
    <n v="24"/>
    <x v="2"/>
    <x v="7"/>
    <x v="3"/>
    <x v="1"/>
    <n v="2834.53"/>
    <x v="1"/>
    <n v="2496.7676064256989"/>
    <n v="3117.98"/>
    <n v="3117.9900000000002"/>
    <n v="3117.98"/>
    <s v="April 2023"/>
  </r>
  <r>
    <d v="2023-04-04T00:00:00"/>
    <x v="3156"/>
    <n v="54"/>
    <x v="2"/>
    <x v="7"/>
    <x v="0"/>
    <x v="2"/>
    <n v="2787"/>
    <x v="1"/>
    <n v="2503.6022787783854"/>
    <n v="3065.7"/>
    <n v="3065.7"/>
    <n v="3065.7"/>
    <s v="April 2023"/>
  </r>
  <r>
    <d v="2023-04-04T00:00:00"/>
    <x v="3157"/>
    <n v="15"/>
    <x v="1"/>
    <x v="3"/>
    <x v="2"/>
    <x v="4"/>
    <n v="3958.63"/>
    <x v="2"/>
    <n v="2440.2966694490838"/>
    <n v="4354.49"/>
    <n v="4354.5"/>
    <n v="4354.49"/>
    <s v="April 2023"/>
  </r>
  <r>
    <d v="2023-04-04T00:00:00"/>
    <x v="3158"/>
    <n v="60"/>
    <x v="1"/>
    <x v="2"/>
    <x v="0"/>
    <x v="4"/>
    <n v="3576.57"/>
    <x v="1"/>
    <n v="2503.6022787783854"/>
    <n v="3934.22"/>
    <n v="3934.23"/>
    <n v="3934.23"/>
    <s v="April 2023"/>
  </r>
  <r>
    <d v="2023-04-04T00:00:00"/>
    <x v="3159"/>
    <n v="53"/>
    <x v="1"/>
    <x v="3"/>
    <x v="3"/>
    <x v="0"/>
    <n v="795.27"/>
    <x v="1"/>
    <n v="2496.7676064256989"/>
    <n v="874.79"/>
    <n v="874.8"/>
    <n v="874.8"/>
    <s v="April 2023"/>
  </r>
  <r>
    <d v="2023-04-05T00:00:00"/>
    <x v="3160"/>
    <n v="50"/>
    <x v="1"/>
    <x v="3"/>
    <x v="1"/>
    <x v="2"/>
    <n v="1527.78"/>
    <x v="1"/>
    <n v="2509.1716796874912"/>
    <n v="1680.55"/>
    <n v="1680.56"/>
    <n v="1680.56"/>
    <s v="April 2023"/>
  </r>
  <r>
    <d v="2023-04-05T00:00:00"/>
    <x v="3161"/>
    <n v="77"/>
    <x v="0"/>
    <x v="5"/>
    <x v="1"/>
    <x v="1"/>
    <n v="4942.53"/>
    <x v="0"/>
    <n v="2509.1716796874912"/>
    <n v="5436.78"/>
    <n v="5436.79"/>
    <n v="5436.78"/>
    <s v="April 2023"/>
  </r>
  <r>
    <d v="2023-04-06T00:00:00"/>
    <x v="3162"/>
    <n v="84"/>
    <x v="2"/>
    <x v="0"/>
    <x v="1"/>
    <x v="3"/>
    <n v="1061.75"/>
    <x v="0"/>
    <n v="2509.1716796874912"/>
    <n v="1167.92"/>
    <n v="1167.93"/>
    <n v="1167.93"/>
    <s v="April 2023"/>
  </r>
  <r>
    <d v="2023-04-06T00:00:00"/>
    <x v="3163"/>
    <n v="49"/>
    <x v="2"/>
    <x v="1"/>
    <x v="3"/>
    <x v="1"/>
    <n v="1437.38"/>
    <x v="1"/>
    <n v="2496.7676064256989"/>
    <n v="1581.11"/>
    <n v="1581.12"/>
    <n v="1581.12"/>
    <s v="April 2023"/>
  </r>
  <r>
    <d v="2023-04-06T00:00:00"/>
    <x v="3164"/>
    <n v="89"/>
    <x v="0"/>
    <x v="6"/>
    <x v="3"/>
    <x v="0"/>
    <n v="2843.89"/>
    <x v="0"/>
    <n v="2496.7676064256989"/>
    <n v="3128.27"/>
    <n v="3128.28"/>
    <n v="3128.28"/>
    <s v="April 2023"/>
  </r>
  <r>
    <d v="2023-04-06T00:00:00"/>
    <x v="3165"/>
    <n v="21"/>
    <x v="2"/>
    <x v="4"/>
    <x v="1"/>
    <x v="1"/>
    <n v="4517.07"/>
    <x v="1"/>
    <n v="2509.1716796874912"/>
    <n v="4968.7700000000004"/>
    <n v="4968.7800000000007"/>
    <n v="4968.78"/>
    <s v="April 2023"/>
  </r>
  <r>
    <d v="2023-04-06T00:00:00"/>
    <x v="3166"/>
    <n v="71"/>
    <x v="1"/>
    <x v="0"/>
    <x v="1"/>
    <x v="2"/>
    <n v="763.91"/>
    <x v="0"/>
    <n v="2509.1716796874912"/>
    <n v="840.3"/>
    <n v="840.31"/>
    <n v="840.3"/>
    <s v="April 2023"/>
  </r>
  <r>
    <d v="2023-04-07T00:00:00"/>
    <x v="3167"/>
    <n v="45"/>
    <x v="1"/>
    <x v="1"/>
    <x v="2"/>
    <x v="4"/>
    <n v="3266.23"/>
    <x v="1"/>
    <n v="2440.2966694490838"/>
    <n v="3592.85"/>
    <n v="3592.86"/>
    <n v="3592.85"/>
    <s v="April 2023"/>
  </r>
  <r>
    <d v="2023-04-07T00:00:00"/>
    <x v="3168"/>
    <n v="13"/>
    <x v="1"/>
    <x v="6"/>
    <x v="0"/>
    <x v="2"/>
    <n v="1402.38"/>
    <x v="2"/>
    <n v="2503.6022787783854"/>
    <n v="1542.61"/>
    <n v="1542.62"/>
    <n v="1542.62"/>
    <s v="April 2023"/>
  </r>
  <r>
    <d v="2023-04-07T00:00:00"/>
    <x v="3169"/>
    <n v="40"/>
    <x v="2"/>
    <x v="2"/>
    <x v="0"/>
    <x v="1"/>
    <n v="1089.29"/>
    <x v="1"/>
    <n v="2503.6022787783854"/>
    <n v="1198.21"/>
    <n v="1198.22"/>
    <n v="1198.22"/>
    <s v="April 2023"/>
  </r>
  <r>
    <d v="2023-04-07T00:00:00"/>
    <x v="3170"/>
    <n v="34"/>
    <x v="1"/>
    <x v="5"/>
    <x v="3"/>
    <x v="0"/>
    <n v="2910.49"/>
    <x v="1"/>
    <n v="2496.7676064256989"/>
    <n v="3201.53"/>
    <n v="3201.5400000000004"/>
    <n v="3201.54"/>
    <s v="April 2023"/>
  </r>
  <r>
    <d v="2023-04-07T00:00:00"/>
    <x v="3171"/>
    <n v="55"/>
    <x v="1"/>
    <x v="4"/>
    <x v="2"/>
    <x v="0"/>
    <n v="986.69"/>
    <x v="1"/>
    <n v="2440.2966694490838"/>
    <n v="1085.3499999999999"/>
    <n v="1085.3599999999999"/>
    <n v="1085.3599999999999"/>
    <s v="April 2023"/>
  </r>
  <r>
    <d v="2023-04-07T00:00:00"/>
    <x v="3172"/>
    <n v="48"/>
    <x v="2"/>
    <x v="3"/>
    <x v="0"/>
    <x v="1"/>
    <n v="104.57"/>
    <x v="1"/>
    <n v="2503.6022787783854"/>
    <n v="115.02"/>
    <n v="115.03"/>
    <n v="115.03"/>
    <s v="April 2023"/>
  </r>
  <r>
    <d v="2023-04-08T00:00:00"/>
    <x v="3173"/>
    <n v="71"/>
    <x v="1"/>
    <x v="7"/>
    <x v="1"/>
    <x v="1"/>
    <n v="4933.1400000000003"/>
    <x v="0"/>
    <n v="2509.1716796874912"/>
    <n v="5426.45"/>
    <n v="5426.46"/>
    <n v="5426.45"/>
    <s v="April 2023"/>
  </r>
  <r>
    <d v="2023-04-08T00:00:00"/>
    <x v="3174"/>
    <n v="15"/>
    <x v="1"/>
    <x v="1"/>
    <x v="1"/>
    <x v="3"/>
    <n v="1143.47"/>
    <x v="2"/>
    <n v="2509.1716796874912"/>
    <n v="1257.81"/>
    <n v="1257.82"/>
    <n v="1257.82"/>
    <s v="April 2023"/>
  </r>
  <r>
    <d v="2023-04-08T00:00:00"/>
    <x v="3175"/>
    <n v="64"/>
    <x v="1"/>
    <x v="4"/>
    <x v="3"/>
    <x v="4"/>
    <n v="1188.56"/>
    <x v="1"/>
    <n v="2496.7676064256989"/>
    <n v="1307.4100000000001"/>
    <n v="1307.42"/>
    <n v="1307.42"/>
    <s v="April 2023"/>
  </r>
  <r>
    <d v="2023-04-08T00:00:00"/>
    <x v="3176"/>
    <n v="33"/>
    <x v="1"/>
    <x v="1"/>
    <x v="0"/>
    <x v="3"/>
    <n v="3892.27"/>
    <x v="1"/>
    <n v="2503.6022787783854"/>
    <n v="4281.49"/>
    <n v="4281.5"/>
    <n v="4281.5"/>
    <s v="April 2023"/>
  </r>
  <r>
    <d v="2023-04-08T00:00:00"/>
    <x v="3177"/>
    <n v="2"/>
    <x v="2"/>
    <x v="3"/>
    <x v="0"/>
    <x v="1"/>
    <n v="2968.95"/>
    <x v="2"/>
    <n v="2503.6022787783854"/>
    <n v="3265.84"/>
    <n v="3265.8500000000004"/>
    <n v="3265.85"/>
    <s v="April 2023"/>
  </r>
  <r>
    <d v="2023-04-08T00:00:00"/>
    <x v="3178"/>
    <n v="41"/>
    <x v="2"/>
    <x v="0"/>
    <x v="0"/>
    <x v="0"/>
    <n v="2439.58"/>
    <x v="1"/>
    <n v="2503.6022787783854"/>
    <n v="2683.53"/>
    <n v="2683.5400000000004"/>
    <n v="2683.54"/>
    <s v="April 2023"/>
  </r>
  <r>
    <d v="2023-04-08T00:00:00"/>
    <x v="3179"/>
    <n v="45"/>
    <x v="1"/>
    <x v="4"/>
    <x v="1"/>
    <x v="3"/>
    <n v="879.7"/>
    <x v="1"/>
    <n v="2509.1716796874912"/>
    <n v="967.67"/>
    <n v="967.67"/>
    <n v="967.67"/>
    <s v="April 2023"/>
  </r>
  <r>
    <d v="2023-04-08T00:00:00"/>
    <x v="3180"/>
    <n v="62"/>
    <x v="2"/>
    <x v="4"/>
    <x v="0"/>
    <x v="1"/>
    <n v="913.23"/>
    <x v="1"/>
    <n v="2503.6022787783854"/>
    <n v="1004.55"/>
    <n v="1004.56"/>
    <n v="1004.55"/>
    <s v="April 2023"/>
  </r>
  <r>
    <d v="2023-04-08T00:00:00"/>
    <x v="3181"/>
    <n v="61"/>
    <x v="2"/>
    <x v="7"/>
    <x v="1"/>
    <x v="0"/>
    <n v="3356.01"/>
    <x v="1"/>
    <n v="2509.1716796874912"/>
    <n v="3691.61"/>
    <n v="3691.6200000000003"/>
    <n v="3691.61"/>
    <s v="April 2023"/>
  </r>
  <r>
    <d v="2023-04-08T00:00:00"/>
    <x v="3182"/>
    <n v="44"/>
    <x v="2"/>
    <x v="2"/>
    <x v="2"/>
    <x v="0"/>
    <n v="3315.78"/>
    <x v="1"/>
    <n v="2440.2966694490838"/>
    <n v="3647.35"/>
    <n v="3647.36"/>
    <n v="3647.36"/>
    <s v="April 2023"/>
  </r>
  <r>
    <d v="2023-04-08T00:00:00"/>
    <x v="3183"/>
    <n v="39"/>
    <x v="1"/>
    <x v="5"/>
    <x v="0"/>
    <x v="1"/>
    <n v="666.9"/>
    <x v="1"/>
    <n v="2503.6022787783854"/>
    <n v="733.59"/>
    <n v="733.59"/>
    <n v="733.59"/>
    <s v="April 2023"/>
  </r>
  <r>
    <d v="2023-04-08T00:00:00"/>
    <x v="3184"/>
    <n v="46"/>
    <x v="0"/>
    <x v="1"/>
    <x v="0"/>
    <x v="0"/>
    <n v="310.81"/>
    <x v="1"/>
    <n v="2503.6022787783854"/>
    <n v="341.89"/>
    <n v="341.9"/>
    <n v="341.89"/>
    <s v="April 2023"/>
  </r>
  <r>
    <d v="2023-04-09T00:00:00"/>
    <x v="3185"/>
    <n v="65"/>
    <x v="0"/>
    <x v="1"/>
    <x v="2"/>
    <x v="3"/>
    <n v="423.76"/>
    <x v="0"/>
    <n v="2440.2966694490838"/>
    <n v="466.13"/>
    <n v="466.14"/>
    <n v="466.14"/>
    <s v="April 2023"/>
  </r>
  <r>
    <d v="2023-04-09T00:00:00"/>
    <x v="3186"/>
    <n v="35"/>
    <x v="2"/>
    <x v="3"/>
    <x v="2"/>
    <x v="0"/>
    <n v="3126.53"/>
    <x v="1"/>
    <n v="2440.2966694490838"/>
    <n v="3439.18"/>
    <n v="3439.19"/>
    <n v="3439.18"/>
    <s v="April 2023"/>
  </r>
  <r>
    <d v="2023-04-09T00:00:00"/>
    <x v="3187"/>
    <n v="72"/>
    <x v="0"/>
    <x v="2"/>
    <x v="3"/>
    <x v="1"/>
    <n v="2477.91"/>
    <x v="0"/>
    <n v="2496.7676064256989"/>
    <n v="2725.7"/>
    <n v="2725.71"/>
    <n v="2725.7"/>
    <s v="April 2023"/>
  </r>
  <r>
    <d v="2023-04-09T00:00:00"/>
    <x v="3188"/>
    <n v="34"/>
    <x v="2"/>
    <x v="2"/>
    <x v="2"/>
    <x v="0"/>
    <n v="1682.31"/>
    <x v="1"/>
    <n v="2440.2966694490838"/>
    <n v="1850.54"/>
    <n v="1850.55"/>
    <n v="1850.54"/>
    <s v="April 2023"/>
  </r>
  <r>
    <d v="2023-04-09T00:00:00"/>
    <x v="3189"/>
    <n v="90"/>
    <x v="2"/>
    <x v="5"/>
    <x v="3"/>
    <x v="2"/>
    <n v="2401.89"/>
    <x v="0"/>
    <n v="2496.7676064256989"/>
    <n v="2642.07"/>
    <n v="2642.0800000000004"/>
    <n v="2642.08"/>
    <s v="April 2023"/>
  </r>
  <r>
    <d v="2023-04-09T00:00:00"/>
    <x v="3190"/>
    <n v="26"/>
    <x v="0"/>
    <x v="4"/>
    <x v="3"/>
    <x v="0"/>
    <n v="4021.2"/>
    <x v="1"/>
    <n v="2496.7676064256989"/>
    <n v="4423.32"/>
    <n v="4423.32"/>
    <n v="4423.32"/>
    <s v="April 2023"/>
  </r>
  <r>
    <d v="2023-04-09T00:00:00"/>
    <x v="3191"/>
    <n v="86"/>
    <x v="0"/>
    <x v="3"/>
    <x v="2"/>
    <x v="3"/>
    <n v="3271.45"/>
    <x v="0"/>
    <n v="2440.2966694490838"/>
    <n v="3598.59"/>
    <n v="3598.6000000000004"/>
    <n v="3598.6"/>
    <s v="April 2023"/>
  </r>
  <r>
    <d v="2023-04-09T00:00:00"/>
    <x v="3192"/>
    <n v="38"/>
    <x v="2"/>
    <x v="5"/>
    <x v="1"/>
    <x v="0"/>
    <n v="4377"/>
    <x v="1"/>
    <n v="2509.1716796874912"/>
    <n v="4814.7"/>
    <n v="4814.7"/>
    <n v="4814.7"/>
    <s v="April 2023"/>
  </r>
  <r>
    <d v="2023-04-10T00:00:00"/>
    <x v="3193"/>
    <n v="7"/>
    <x v="2"/>
    <x v="0"/>
    <x v="0"/>
    <x v="4"/>
    <n v="4200.58"/>
    <x v="2"/>
    <n v="2503.6022787783854"/>
    <n v="4620.63"/>
    <n v="4620.6400000000003"/>
    <n v="4620.6400000000003"/>
    <s v="April 2023"/>
  </r>
  <r>
    <d v="2023-04-10T00:00:00"/>
    <x v="3194"/>
    <n v="31"/>
    <x v="1"/>
    <x v="5"/>
    <x v="1"/>
    <x v="2"/>
    <n v="4516.26"/>
    <x v="1"/>
    <n v="2509.1716796874912"/>
    <n v="4967.88"/>
    <n v="4967.8900000000003"/>
    <n v="4967.8900000000003"/>
    <s v="April 2023"/>
  </r>
  <r>
    <d v="2023-04-10T00:00:00"/>
    <x v="3195"/>
    <n v="19"/>
    <x v="0"/>
    <x v="5"/>
    <x v="0"/>
    <x v="1"/>
    <n v="3452.81"/>
    <x v="1"/>
    <n v="2503.6022787783854"/>
    <n v="3798.09"/>
    <n v="3798.1000000000004"/>
    <n v="3798.09"/>
    <s v="April 2023"/>
  </r>
  <r>
    <d v="2023-04-10T00:00:00"/>
    <x v="3196"/>
    <n v="31"/>
    <x v="1"/>
    <x v="3"/>
    <x v="3"/>
    <x v="1"/>
    <n v="3639.2"/>
    <x v="1"/>
    <n v="2496.7676064256989"/>
    <n v="4003.12"/>
    <n v="4003.12"/>
    <n v="4003.12"/>
    <s v="April 2023"/>
  </r>
  <r>
    <d v="2023-04-11T00:00:00"/>
    <x v="3197"/>
    <n v="36"/>
    <x v="1"/>
    <x v="4"/>
    <x v="2"/>
    <x v="4"/>
    <n v="1515.66"/>
    <x v="1"/>
    <n v="2440.2966694490838"/>
    <n v="1667.22"/>
    <n v="1667.23"/>
    <n v="1667.23"/>
    <s v="April 2023"/>
  </r>
  <r>
    <d v="2023-04-11T00:00:00"/>
    <x v="3198"/>
    <n v="78"/>
    <x v="0"/>
    <x v="4"/>
    <x v="3"/>
    <x v="4"/>
    <n v="2278.54"/>
    <x v="0"/>
    <n v="2496.7676064256989"/>
    <n v="2506.39"/>
    <n v="2506.4"/>
    <n v="2506.39"/>
    <s v="April 2023"/>
  </r>
  <r>
    <d v="2023-04-11T00:00:00"/>
    <x v="3199"/>
    <n v="62"/>
    <x v="0"/>
    <x v="5"/>
    <x v="2"/>
    <x v="1"/>
    <n v="3738.94"/>
    <x v="1"/>
    <n v="2440.2966694490838"/>
    <n v="4112.83"/>
    <n v="4112.84"/>
    <n v="4112.83"/>
    <s v="April 2023"/>
  </r>
  <r>
    <d v="2023-04-11T00:00:00"/>
    <x v="3200"/>
    <n v="76"/>
    <x v="2"/>
    <x v="7"/>
    <x v="2"/>
    <x v="1"/>
    <n v="3373.53"/>
    <x v="0"/>
    <n v="2440.2966694490838"/>
    <n v="3710.88"/>
    <n v="3710.8900000000003"/>
    <n v="3710.88"/>
    <s v="April 2023"/>
  </r>
  <r>
    <d v="2023-04-11T00:00:00"/>
    <x v="3201"/>
    <n v="26"/>
    <x v="0"/>
    <x v="0"/>
    <x v="0"/>
    <x v="3"/>
    <n v="783.79"/>
    <x v="1"/>
    <n v="2503.6022787783854"/>
    <n v="862.16"/>
    <n v="862.17"/>
    <n v="862.17"/>
    <s v="April 2023"/>
  </r>
  <r>
    <d v="2023-04-11T00:00:00"/>
    <x v="3202"/>
    <n v="67"/>
    <x v="1"/>
    <x v="0"/>
    <x v="1"/>
    <x v="0"/>
    <n v="4346.63"/>
    <x v="0"/>
    <n v="2509.1716796874912"/>
    <n v="4781.29"/>
    <n v="4781.3"/>
    <n v="4781.29"/>
    <s v="April 2023"/>
  </r>
  <r>
    <d v="2023-04-12T00:00:00"/>
    <x v="3203"/>
    <n v="30"/>
    <x v="0"/>
    <x v="0"/>
    <x v="0"/>
    <x v="0"/>
    <n v="751.54"/>
    <x v="1"/>
    <n v="2503.6022787783854"/>
    <n v="826.69"/>
    <n v="826.7"/>
    <n v="826.69"/>
    <s v="April 2023"/>
  </r>
  <r>
    <d v="2023-04-12T00:00:00"/>
    <x v="3204"/>
    <n v="66"/>
    <x v="0"/>
    <x v="3"/>
    <x v="1"/>
    <x v="2"/>
    <n v="1586.66"/>
    <x v="0"/>
    <n v="2509.1716796874912"/>
    <n v="1745.32"/>
    <n v="1745.33"/>
    <n v="1745.33"/>
    <s v="April 2023"/>
  </r>
  <r>
    <d v="2023-04-12T00:00:00"/>
    <x v="3205"/>
    <n v="93"/>
    <x v="1"/>
    <x v="3"/>
    <x v="1"/>
    <x v="3"/>
    <n v="4115.92"/>
    <x v="0"/>
    <n v="2509.1716796874912"/>
    <n v="4527.51"/>
    <n v="4527.5200000000004"/>
    <n v="4527.51"/>
    <s v="April 2023"/>
  </r>
  <r>
    <d v="2023-04-12T00:00:00"/>
    <x v="3206"/>
    <n v="40"/>
    <x v="2"/>
    <x v="0"/>
    <x v="3"/>
    <x v="2"/>
    <n v="4849.7700000000004"/>
    <x v="1"/>
    <n v="2496.7676064256989"/>
    <n v="5334.74"/>
    <n v="5334.75"/>
    <n v="5334.75"/>
    <s v="April 2023"/>
  </r>
  <r>
    <d v="2023-04-12T00:00:00"/>
    <x v="3207"/>
    <n v="63"/>
    <x v="1"/>
    <x v="4"/>
    <x v="3"/>
    <x v="2"/>
    <n v="4048.03"/>
    <x v="1"/>
    <n v="2496.7676064256989"/>
    <n v="4452.83"/>
    <n v="4452.84"/>
    <n v="4452.83"/>
    <s v="April 2023"/>
  </r>
  <r>
    <d v="2023-04-12T00:00:00"/>
    <x v="3208"/>
    <n v="24"/>
    <x v="0"/>
    <x v="1"/>
    <x v="0"/>
    <x v="4"/>
    <n v="2045.51"/>
    <x v="1"/>
    <n v="2503.6022787783854"/>
    <n v="2250.06"/>
    <n v="2250.0700000000002"/>
    <n v="2250.06"/>
    <s v="April 2023"/>
  </r>
  <r>
    <d v="2023-04-12T00:00:00"/>
    <x v="3209"/>
    <n v="79"/>
    <x v="2"/>
    <x v="3"/>
    <x v="1"/>
    <x v="1"/>
    <n v="2475.62"/>
    <x v="0"/>
    <n v="2509.1716796874912"/>
    <n v="2723.18"/>
    <n v="2723.19"/>
    <n v="2723.18"/>
    <s v="April 2023"/>
  </r>
  <r>
    <d v="2023-04-12T00:00:00"/>
    <x v="3210"/>
    <n v="46"/>
    <x v="2"/>
    <x v="4"/>
    <x v="2"/>
    <x v="0"/>
    <n v="2140"/>
    <x v="1"/>
    <n v="2440.2966694490838"/>
    <n v="2354"/>
    <n v="2354"/>
    <n v="2354"/>
    <s v="April 2023"/>
  </r>
  <r>
    <d v="2023-04-13T00:00:00"/>
    <x v="3211"/>
    <n v="30"/>
    <x v="0"/>
    <x v="7"/>
    <x v="1"/>
    <x v="3"/>
    <n v="1328.79"/>
    <x v="1"/>
    <n v="2509.1716796874912"/>
    <n v="1461.66"/>
    <n v="1461.67"/>
    <n v="1461.67"/>
    <s v="April 2023"/>
  </r>
  <r>
    <d v="2023-04-13T00:00:00"/>
    <x v="3212"/>
    <n v="47"/>
    <x v="0"/>
    <x v="3"/>
    <x v="3"/>
    <x v="1"/>
    <n v="4371.8100000000004"/>
    <x v="1"/>
    <n v="2496.7676064256989"/>
    <n v="4808.99"/>
    <n v="4809"/>
    <n v="4808.99"/>
    <s v="April 2023"/>
  </r>
  <r>
    <d v="2023-04-13T00:00:00"/>
    <x v="3213"/>
    <n v="49"/>
    <x v="1"/>
    <x v="2"/>
    <x v="3"/>
    <x v="1"/>
    <n v="1359.35"/>
    <x v="1"/>
    <n v="2496.7676064256989"/>
    <n v="1495.28"/>
    <n v="1495.29"/>
    <n v="1495.29"/>
    <s v="April 2023"/>
  </r>
  <r>
    <d v="2023-04-13T00:00:00"/>
    <x v="3214"/>
    <n v="86"/>
    <x v="1"/>
    <x v="3"/>
    <x v="0"/>
    <x v="0"/>
    <n v="375.29"/>
    <x v="0"/>
    <n v="2503.6022787783854"/>
    <n v="412.81"/>
    <n v="412.82"/>
    <n v="412.82"/>
    <s v="April 2023"/>
  </r>
  <r>
    <d v="2023-04-13T00:00:00"/>
    <x v="3215"/>
    <n v="9"/>
    <x v="1"/>
    <x v="5"/>
    <x v="3"/>
    <x v="2"/>
    <n v="2298.69"/>
    <x v="2"/>
    <n v="2496.7676064256989"/>
    <n v="2528.5500000000002"/>
    <n v="2528.5600000000004"/>
    <n v="2528.56"/>
    <s v="April 2023"/>
  </r>
  <r>
    <d v="2023-04-13T00:00:00"/>
    <x v="3216"/>
    <n v="12"/>
    <x v="1"/>
    <x v="5"/>
    <x v="2"/>
    <x v="0"/>
    <n v="2853.22"/>
    <x v="2"/>
    <n v="2440.2966694490838"/>
    <n v="3138.54"/>
    <n v="3138.55"/>
    <n v="3138.54"/>
    <s v="April 2023"/>
  </r>
  <r>
    <d v="2023-04-13T00:00:00"/>
    <x v="3217"/>
    <n v="59"/>
    <x v="1"/>
    <x v="0"/>
    <x v="3"/>
    <x v="1"/>
    <n v="1509.81"/>
    <x v="1"/>
    <n v="2496.7676064256989"/>
    <n v="1660.79"/>
    <n v="1660.8"/>
    <n v="1660.79"/>
    <s v="April 2023"/>
  </r>
  <r>
    <d v="2023-04-13T00:00:00"/>
    <x v="3218"/>
    <n v="98"/>
    <x v="1"/>
    <x v="0"/>
    <x v="2"/>
    <x v="3"/>
    <n v="4017.1"/>
    <x v="0"/>
    <n v="2440.2966694490838"/>
    <n v="4418.8100000000004"/>
    <n v="4418.8100000000004"/>
    <n v="4418.8100000000004"/>
    <s v="April 2023"/>
  </r>
  <r>
    <d v="2023-04-14T00:00:00"/>
    <x v="3219"/>
    <n v="61"/>
    <x v="2"/>
    <x v="3"/>
    <x v="0"/>
    <x v="4"/>
    <n v="966.05"/>
    <x v="1"/>
    <n v="2503.6022787783854"/>
    <n v="1062.6500000000001"/>
    <n v="1062.6600000000001"/>
    <n v="1062.6600000000001"/>
    <s v="April 2023"/>
  </r>
  <r>
    <d v="2023-04-14T00:00:00"/>
    <x v="3220"/>
    <n v="54"/>
    <x v="0"/>
    <x v="0"/>
    <x v="3"/>
    <x v="3"/>
    <n v="132.54"/>
    <x v="1"/>
    <n v="2496.7676064256989"/>
    <n v="145.79"/>
    <n v="145.79999999999998"/>
    <n v="145.79"/>
    <s v="April 2023"/>
  </r>
  <r>
    <d v="2023-04-14T00:00:00"/>
    <x v="3221"/>
    <n v="93"/>
    <x v="2"/>
    <x v="5"/>
    <x v="1"/>
    <x v="3"/>
    <n v="1974.7"/>
    <x v="0"/>
    <n v="2509.1716796874912"/>
    <n v="2172.17"/>
    <n v="2172.17"/>
    <n v="2172.17"/>
    <s v="April 2023"/>
  </r>
  <r>
    <d v="2023-04-14T00:00:00"/>
    <x v="3222"/>
    <n v="58"/>
    <x v="0"/>
    <x v="3"/>
    <x v="2"/>
    <x v="1"/>
    <n v="1883.38"/>
    <x v="1"/>
    <n v="2440.2966694490838"/>
    <n v="2071.71"/>
    <n v="2071.7200000000003"/>
    <n v="2071.7199999999998"/>
    <s v="April 2023"/>
  </r>
  <r>
    <d v="2023-04-14T00:00:00"/>
    <x v="3223"/>
    <n v="49"/>
    <x v="0"/>
    <x v="5"/>
    <x v="3"/>
    <x v="0"/>
    <n v="1599.02"/>
    <x v="1"/>
    <n v="2496.7676064256989"/>
    <n v="1758.92"/>
    <n v="1758.93"/>
    <n v="1758.92"/>
    <s v="April 2023"/>
  </r>
  <r>
    <d v="2023-04-14T00:00:00"/>
    <x v="3224"/>
    <n v="15"/>
    <x v="2"/>
    <x v="0"/>
    <x v="2"/>
    <x v="1"/>
    <n v="2756.32"/>
    <x v="2"/>
    <n v="2440.2966694490838"/>
    <n v="3031.95"/>
    <n v="3031.96"/>
    <n v="3031.95"/>
    <s v="April 2023"/>
  </r>
  <r>
    <d v="2023-04-14T00:00:00"/>
    <x v="3225"/>
    <n v="81"/>
    <x v="2"/>
    <x v="4"/>
    <x v="0"/>
    <x v="1"/>
    <n v="905.64"/>
    <x v="0"/>
    <n v="2503.6022787783854"/>
    <n v="996.2"/>
    <n v="996.21"/>
    <n v="996.2"/>
    <s v="April 2023"/>
  </r>
  <r>
    <d v="2023-04-14T00:00:00"/>
    <x v="3226"/>
    <n v="51"/>
    <x v="2"/>
    <x v="7"/>
    <x v="1"/>
    <x v="2"/>
    <n v="3148.45"/>
    <x v="1"/>
    <n v="2509.1716796874912"/>
    <n v="3463.29"/>
    <n v="3463.3"/>
    <n v="3463.3"/>
    <s v="April 2023"/>
  </r>
  <r>
    <d v="2023-04-14T00:00:00"/>
    <x v="3227"/>
    <n v="35"/>
    <x v="2"/>
    <x v="7"/>
    <x v="1"/>
    <x v="4"/>
    <n v="4275.91"/>
    <x v="1"/>
    <n v="2509.1716796874912"/>
    <n v="4703.5"/>
    <n v="4703.51"/>
    <n v="4703.5"/>
    <s v="April 2023"/>
  </r>
  <r>
    <d v="2023-04-14T00:00:00"/>
    <x v="3228"/>
    <n v="49"/>
    <x v="1"/>
    <x v="4"/>
    <x v="0"/>
    <x v="3"/>
    <n v="2878.6"/>
    <x v="1"/>
    <n v="2503.6022787783854"/>
    <n v="3166.46"/>
    <n v="3166.46"/>
    <n v="3166.46"/>
    <s v="April 2023"/>
  </r>
  <r>
    <d v="2023-04-15T00:00:00"/>
    <x v="3229"/>
    <n v="19"/>
    <x v="0"/>
    <x v="5"/>
    <x v="1"/>
    <x v="4"/>
    <n v="4169.68"/>
    <x v="1"/>
    <n v="2509.1716796874912"/>
    <n v="4586.6400000000003"/>
    <n v="4586.6500000000005"/>
    <n v="4586.6499999999996"/>
    <s v="April 2023"/>
  </r>
  <r>
    <d v="2023-04-15T00:00:00"/>
    <x v="3230"/>
    <n v="51"/>
    <x v="1"/>
    <x v="4"/>
    <x v="3"/>
    <x v="1"/>
    <n v="722.76"/>
    <x v="1"/>
    <n v="2496.7676064256989"/>
    <n v="795.03"/>
    <n v="795.04"/>
    <n v="795.04"/>
    <s v="April 2023"/>
  </r>
  <r>
    <d v="2023-04-15T00:00:00"/>
    <x v="3231"/>
    <n v="50"/>
    <x v="0"/>
    <x v="3"/>
    <x v="3"/>
    <x v="1"/>
    <n v="3132.58"/>
    <x v="1"/>
    <n v="2496.7676064256989"/>
    <n v="3445.83"/>
    <n v="3445.84"/>
    <n v="3445.84"/>
    <s v="April 2023"/>
  </r>
  <r>
    <d v="2023-04-15T00:00:00"/>
    <x v="3232"/>
    <n v="36"/>
    <x v="2"/>
    <x v="4"/>
    <x v="3"/>
    <x v="1"/>
    <n v="4556.1499999999996"/>
    <x v="1"/>
    <n v="2496.7676064256989"/>
    <n v="5011.76"/>
    <n v="5011.7700000000004"/>
    <n v="5011.7700000000004"/>
    <s v="April 2023"/>
  </r>
  <r>
    <d v="2023-04-15T00:00:00"/>
    <x v="3233"/>
    <n v="97"/>
    <x v="1"/>
    <x v="1"/>
    <x v="3"/>
    <x v="0"/>
    <n v="1808.82"/>
    <x v="0"/>
    <n v="2496.7676064256989"/>
    <n v="1989.7"/>
    <n v="1989.71"/>
    <n v="1989.7"/>
    <s v="April 2023"/>
  </r>
  <r>
    <d v="2023-04-15T00:00:00"/>
    <x v="3234"/>
    <n v="29"/>
    <x v="0"/>
    <x v="5"/>
    <x v="1"/>
    <x v="2"/>
    <n v="3837.54"/>
    <x v="1"/>
    <n v="2509.1716796874912"/>
    <n v="4221.29"/>
    <n v="4221.3"/>
    <n v="4221.29"/>
    <s v="April 2023"/>
  </r>
  <r>
    <d v="2023-04-15T00:00:00"/>
    <x v="3235"/>
    <n v="45"/>
    <x v="0"/>
    <x v="0"/>
    <x v="3"/>
    <x v="3"/>
    <n v="3472.24"/>
    <x v="1"/>
    <n v="2496.7676064256989"/>
    <n v="3819.46"/>
    <n v="3819.4700000000003"/>
    <n v="3819.46"/>
    <s v="April 2023"/>
  </r>
  <r>
    <d v="2023-04-16T00:00:00"/>
    <x v="3236"/>
    <n v="77"/>
    <x v="0"/>
    <x v="6"/>
    <x v="0"/>
    <x v="2"/>
    <n v="2284.79"/>
    <x v="0"/>
    <n v="2503.6022787783854"/>
    <n v="2513.2600000000002"/>
    <n v="2513.2700000000004"/>
    <n v="2513.27"/>
    <s v="April 2023"/>
  </r>
  <r>
    <d v="2023-04-16T00:00:00"/>
    <x v="3237"/>
    <n v="8"/>
    <x v="2"/>
    <x v="0"/>
    <x v="1"/>
    <x v="4"/>
    <n v="1714.36"/>
    <x v="2"/>
    <n v="2509.1716796874912"/>
    <n v="1885.79"/>
    <n v="1885.8"/>
    <n v="1885.8"/>
    <s v="April 2023"/>
  </r>
  <r>
    <d v="2023-04-16T00:00:00"/>
    <x v="3238"/>
    <n v="71"/>
    <x v="1"/>
    <x v="2"/>
    <x v="0"/>
    <x v="3"/>
    <n v="3078.07"/>
    <x v="0"/>
    <n v="2503.6022787783854"/>
    <n v="3385.87"/>
    <n v="3385.88"/>
    <n v="3385.88"/>
    <s v="April 2023"/>
  </r>
  <r>
    <d v="2023-04-16T00:00:00"/>
    <x v="3239"/>
    <n v="52"/>
    <x v="0"/>
    <x v="3"/>
    <x v="2"/>
    <x v="2"/>
    <n v="1645.85"/>
    <x v="1"/>
    <n v="2440.2966694490838"/>
    <n v="1810.43"/>
    <n v="1810.44"/>
    <n v="1810.44"/>
    <s v="April 2023"/>
  </r>
  <r>
    <d v="2023-04-16T00:00:00"/>
    <x v="3240"/>
    <n v="2"/>
    <x v="2"/>
    <x v="2"/>
    <x v="2"/>
    <x v="3"/>
    <n v="4434.43"/>
    <x v="2"/>
    <n v="2440.2966694490838"/>
    <n v="4877.87"/>
    <n v="4877.88"/>
    <n v="4877.87"/>
    <s v="April 2023"/>
  </r>
  <r>
    <d v="2023-04-17T00:00:00"/>
    <x v="3241"/>
    <n v="78"/>
    <x v="2"/>
    <x v="5"/>
    <x v="3"/>
    <x v="4"/>
    <n v="740.93"/>
    <x v="0"/>
    <n v="2496.7676064256989"/>
    <n v="815.02"/>
    <n v="815.03"/>
    <n v="815.02"/>
    <s v="April 2023"/>
  </r>
  <r>
    <d v="2023-04-17T00:00:00"/>
    <x v="3242"/>
    <n v="95"/>
    <x v="1"/>
    <x v="2"/>
    <x v="1"/>
    <x v="2"/>
    <n v="3988.42"/>
    <x v="0"/>
    <n v="2509.1716796874912"/>
    <n v="4387.26"/>
    <n v="4387.2700000000004"/>
    <n v="4387.26"/>
    <s v="April 2023"/>
  </r>
  <r>
    <d v="2023-04-17T00:00:00"/>
    <x v="3243"/>
    <n v="7"/>
    <x v="2"/>
    <x v="0"/>
    <x v="2"/>
    <x v="1"/>
    <n v="1466.97"/>
    <x v="2"/>
    <n v="2440.2966694490838"/>
    <n v="1613.66"/>
    <n v="1613.67"/>
    <n v="1613.67"/>
    <s v="April 2023"/>
  </r>
  <r>
    <d v="2023-04-17T00:00:00"/>
    <x v="3244"/>
    <n v="90"/>
    <x v="1"/>
    <x v="0"/>
    <x v="3"/>
    <x v="2"/>
    <n v="4565.53"/>
    <x v="0"/>
    <n v="2496.7676064256989"/>
    <n v="5022.08"/>
    <n v="5022.09"/>
    <n v="5022.08"/>
    <s v="April 2023"/>
  </r>
  <r>
    <d v="2023-04-17T00:00:00"/>
    <x v="3245"/>
    <n v="43"/>
    <x v="0"/>
    <x v="6"/>
    <x v="0"/>
    <x v="0"/>
    <n v="2467.5"/>
    <x v="1"/>
    <n v="2503.6022787783854"/>
    <n v="2714.25"/>
    <n v="2714.25"/>
    <n v="2714.25"/>
    <s v="April 2023"/>
  </r>
  <r>
    <d v="2023-04-17T00:00:00"/>
    <x v="3246"/>
    <n v="78"/>
    <x v="0"/>
    <x v="0"/>
    <x v="3"/>
    <x v="2"/>
    <n v="197.78"/>
    <x v="0"/>
    <n v="2496.7676064256989"/>
    <n v="217.55"/>
    <n v="217.56"/>
    <n v="217.56"/>
    <s v="April 2023"/>
  </r>
  <r>
    <d v="2023-04-17T00:00:00"/>
    <x v="3247"/>
    <n v="15"/>
    <x v="2"/>
    <x v="1"/>
    <x v="0"/>
    <x v="0"/>
    <n v="4975.72"/>
    <x v="2"/>
    <n v="2503.6022787783854"/>
    <n v="5473.29"/>
    <n v="5473.3"/>
    <n v="5473.29"/>
    <s v="April 2023"/>
  </r>
  <r>
    <d v="2023-04-18T00:00:00"/>
    <x v="3248"/>
    <n v="32"/>
    <x v="1"/>
    <x v="5"/>
    <x v="0"/>
    <x v="4"/>
    <n v="4857.08"/>
    <x v="1"/>
    <n v="2503.6022787783854"/>
    <n v="5342.78"/>
    <n v="5342.79"/>
    <n v="5342.79"/>
    <s v="April 2023"/>
  </r>
  <r>
    <d v="2023-04-18T00:00:00"/>
    <x v="3249"/>
    <n v="21"/>
    <x v="2"/>
    <x v="0"/>
    <x v="3"/>
    <x v="3"/>
    <n v="28.9"/>
    <x v="1"/>
    <n v="2496.7676064256989"/>
    <n v="31.79"/>
    <n v="31.79"/>
    <n v="31.79"/>
    <s v="April 2023"/>
  </r>
  <r>
    <d v="2023-04-18T00:00:00"/>
    <x v="3250"/>
    <n v="12"/>
    <x v="1"/>
    <x v="3"/>
    <x v="0"/>
    <x v="4"/>
    <n v="2757.45"/>
    <x v="2"/>
    <n v="2503.6022787783854"/>
    <n v="3033.19"/>
    <n v="3033.2000000000003"/>
    <n v="3033.2"/>
    <s v="April 2023"/>
  </r>
  <r>
    <d v="2023-04-18T00:00:00"/>
    <x v="3251"/>
    <n v="40"/>
    <x v="1"/>
    <x v="0"/>
    <x v="0"/>
    <x v="0"/>
    <n v="2175.7600000000002"/>
    <x v="1"/>
    <n v="2503.6022787783854"/>
    <n v="2393.33"/>
    <n v="2393.34"/>
    <n v="2393.34"/>
    <s v="April 2023"/>
  </r>
  <r>
    <d v="2023-04-18T00:00:00"/>
    <x v="3252"/>
    <n v="12"/>
    <x v="1"/>
    <x v="1"/>
    <x v="2"/>
    <x v="3"/>
    <n v="2142.5100000000002"/>
    <x v="2"/>
    <n v="2440.2966694490838"/>
    <n v="2356.7600000000002"/>
    <n v="2356.7700000000004"/>
    <n v="2356.7600000000002"/>
    <s v="April 2023"/>
  </r>
  <r>
    <d v="2023-04-18T00:00:00"/>
    <x v="3253"/>
    <n v="85"/>
    <x v="0"/>
    <x v="0"/>
    <x v="2"/>
    <x v="1"/>
    <n v="1027.93"/>
    <x v="0"/>
    <n v="2440.2966694490838"/>
    <n v="1130.72"/>
    <n v="1130.73"/>
    <n v="1130.72"/>
    <s v="April 2023"/>
  </r>
  <r>
    <d v="2023-04-18T00:00:00"/>
    <x v="3254"/>
    <n v="34"/>
    <x v="2"/>
    <x v="0"/>
    <x v="1"/>
    <x v="1"/>
    <n v="3603.7"/>
    <x v="1"/>
    <n v="2509.1716796874912"/>
    <n v="3964.07"/>
    <n v="3964.07"/>
    <n v="3964.07"/>
    <s v="April 2023"/>
  </r>
  <r>
    <d v="2023-04-18T00:00:00"/>
    <x v="3255"/>
    <n v="78"/>
    <x v="2"/>
    <x v="2"/>
    <x v="0"/>
    <x v="2"/>
    <n v="4982.91"/>
    <x v="0"/>
    <n v="2503.6022787783854"/>
    <n v="5481.2"/>
    <n v="5481.21"/>
    <n v="5481.2"/>
    <s v="April 2023"/>
  </r>
  <r>
    <d v="2023-04-19T00:00:00"/>
    <x v="3256"/>
    <n v="52"/>
    <x v="2"/>
    <x v="0"/>
    <x v="3"/>
    <x v="1"/>
    <n v="4444.7299999999996"/>
    <x v="1"/>
    <n v="2496.7676064256989"/>
    <n v="4889.2"/>
    <n v="4889.21"/>
    <n v="4889.2"/>
    <s v="April 2023"/>
  </r>
  <r>
    <d v="2023-04-19T00:00:00"/>
    <x v="3257"/>
    <n v="92"/>
    <x v="0"/>
    <x v="1"/>
    <x v="0"/>
    <x v="0"/>
    <n v="4677.8500000000004"/>
    <x v="0"/>
    <n v="2503.6022787783854"/>
    <n v="5145.63"/>
    <n v="5145.6400000000003"/>
    <n v="5145.6400000000003"/>
    <s v="April 2023"/>
  </r>
  <r>
    <d v="2023-04-19T00:00:00"/>
    <x v="3258"/>
    <n v="17"/>
    <x v="2"/>
    <x v="4"/>
    <x v="3"/>
    <x v="2"/>
    <n v="938.79"/>
    <x v="1"/>
    <n v="2496.7676064256989"/>
    <n v="1032.6600000000001"/>
    <n v="1032.67"/>
    <n v="1032.67"/>
    <s v="April 2023"/>
  </r>
  <r>
    <d v="2023-04-19T00:00:00"/>
    <x v="3259"/>
    <n v="48"/>
    <x v="0"/>
    <x v="3"/>
    <x v="2"/>
    <x v="2"/>
    <n v="3907.46"/>
    <x v="1"/>
    <n v="2440.2966694490838"/>
    <n v="4298.2"/>
    <n v="4298.21"/>
    <n v="4298.21"/>
    <s v="April 2023"/>
  </r>
  <r>
    <d v="2023-04-19T00:00:00"/>
    <x v="3260"/>
    <n v="98"/>
    <x v="0"/>
    <x v="0"/>
    <x v="2"/>
    <x v="0"/>
    <n v="3137.32"/>
    <x v="0"/>
    <n v="2440.2966694490838"/>
    <n v="3451.05"/>
    <n v="3451.0600000000004"/>
    <n v="3451.05"/>
    <s v="April 2023"/>
  </r>
  <r>
    <d v="2023-04-19T00:00:00"/>
    <x v="3261"/>
    <n v="42"/>
    <x v="0"/>
    <x v="6"/>
    <x v="1"/>
    <x v="2"/>
    <n v="3676.33"/>
    <x v="1"/>
    <n v="2509.1716796874912"/>
    <n v="4043.96"/>
    <n v="4043.9700000000003"/>
    <n v="4043.96"/>
    <s v="April 2023"/>
  </r>
  <r>
    <d v="2023-04-19T00:00:00"/>
    <x v="3262"/>
    <n v="58"/>
    <x v="2"/>
    <x v="1"/>
    <x v="1"/>
    <x v="2"/>
    <n v="2582.1"/>
    <x v="1"/>
    <n v="2509.1716796874912"/>
    <n v="2840.31"/>
    <n v="2840.31"/>
    <n v="2840.31"/>
    <s v="April 2023"/>
  </r>
  <r>
    <d v="2023-04-20T00:00:00"/>
    <x v="3263"/>
    <n v="66"/>
    <x v="1"/>
    <x v="2"/>
    <x v="0"/>
    <x v="4"/>
    <n v="3467.09"/>
    <x v="0"/>
    <n v="2503.6022787783854"/>
    <n v="3813.79"/>
    <n v="3813.8"/>
    <n v="3813.8"/>
    <s v="April 2023"/>
  </r>
  <r>
    <d v="2023-04-20T00:00:00"/>
    <x v="3264"/>
    <n v="13"/>
    <x v="0"/>
    <x v="5"/>
    <x v="3"/>
    <x v="1"/>
    <n v="2572.0700000000002"/>
    <x v="2"/>
    <n v="2496.7676064256989"/>
    <n v="2829.27"/>
    <n v="2829.28"/>
    <n v="2829.28"/>
    <s v="April 2023"/>
  </r>
  <r>
    <d v="2023-04-20T00:00:00"/>
    <x v="3265"/>
    <n v="82"/>
    <x v="1"/>
    <x v="0"/>
    <x v="0"/>
    <x v="2"/>
    <n v="1391.97"/>
    <x v="0"/>
    <n v="2503.6022787783854"/>
    <n v="1531.16"/>
    <n v="1531.17"/>
    <n v="1531.17"/>
    <s v="April 2023"/>
  </r>
  <r>
    <d v="2023-04-20T00:00:00"/>
    <x v="3266"/>
    <n v="55"/>
    <x v="2"/>
    <x v="4"/>
    <x v="1"/>
    <x v="3"/>
    <n v="429.52"/>
    <x v="1"/>
    <n v="2509.1716796874912"/>
    <n v="472.47"/>
    <n v="472.48"/>
    <n v="472.47"/>
    <s v="April 2023"/>
  </r>
  <r>
    <d v="2023-04-20T00:00:00"/>
    <x v="3267"/>
    <n v="26"/>
    <x v="1"/>
    <x v="4"/>
    <x v="2"/>
    <x v="3"/>
    <n v="1207.8399999999999"/>
    <x v="1"/>
    <n v="2440.2966694490838"/>
    <n v="1328.62"/>
    <n v="1328.6299999999999"/>
    <n v="1328.62"/>
    <s v="April 2023"/>
  </r>
  <r>
    <d v="2023-04-21T00:00:00"/>
    <x v="3268"/>
    <n v="62"/>
    <x v="2"/>
    <x v="4"/>
    <x v="3"/>
    <x v="4"/>
    <n v="2564.67"/>
    <x v="1"/>
    <n v="2496.7676064256989"/>
    <n v="2821.13"/>
    <n v="2821.1400000000003"/>
    <n v="2821.14"/>
    <s v="April 2023"/>
  </r>
  <r>
    <d v="2023-04-21T00:00:00"/>
    <x v="3269"/>
    <n v="42"/>
    <x v="2"/>
    <x v="6"/>
    <x v="1"/>
    <x v="3"/>
    <n v="2352.2199999999998"/>
    <x v="1"/>
    <n v="2509.1716796874912"/>
    <n v="2587.44"/>
    <n v="2587.4500000000003"/>
    <n v="2587.44"/>
    <s v="April 2023"/>
  </r>
  <r>
    <d v="2023-04-21T00:00:00"/>
    <x v="3270"/>
    <n v="7"/>
    <x v="1"/>
    <x v="1"/>
    <x v="2"/>
    <x v="4"/>
    <n v="480"/>
    <x v="2"/>
    <n v="2440.2966694490838"/>
    <n v="528"/>
    <n v="528"/>
    <n v="528"/>
    <s v="April 2023"/>
  </r>
  <r>
    <d v="2023-04-21T00:00:00"/>
    <x v="3271"/>
    <n v="7"/>
    <x v="2"/>
    <x v="2"/>
    <x v="0"/>
    <x v="3"/>
    <n v="255.32"/>
    <x v="2"/>
    <n v="2503.6022787783854"/>
    <n v="280.85000000000002"/>
    <n v="280.86"/>
    <n v="280.85000000000002"/>
    <s v="April 2023"/>
  </r>
  <r>
    <d v="2023-04-21T00:00:00"/>
    <x v="3272"/>
    <n v="96"/>
    <x v="0"/>
    <x v="0"/>
    <x v="3"/>
    <x v="4"/>
    <n v="3256.95"/>
    <x v="0"/>
    <n v="2496.7676064256989"/>
    <n v="3582.64"/>
    <n v="3582.65"/>
    <n v="3582.65"/>
    <s v="April 2023"/>
  </r>
  <r>
    <d v="2023-04-21T00:00:00"/>
    <x v="3273"/>
    <n v="20"/>
    <x v="2"/>
    <x v="1"/>
    <x v="0"/>
    <x v="4"/>
    <n v="4887.2700000000004"/>
    <x v="1"/>
    <n v="2503.6022787783854"/>
    <n v="5375.99"/>
    <n v="5376"/>
    <n v="5376"/>
    <s v="April 2023"/>
  </r>
  <r>
    <d v="2023-04-21T00:00:00"/>
    <x v="3274"/>
    <n v="35"/>
    <x v="1"/>
    <x v="7"/>
    <x v="1"/>
    <x v="1"/>
    <n v="2275.1"/>
    <x v="1"/>
    <n v="2509.1716796874912"/>
    <n v="2502.61"/>
    <n v="2502.61"/>
    <n v="2502.61"/>
    <s v="April 2023"/>
  </r>
  <r>
    <d v="2023-04-22T00:00:00"/>
    <x v="3275"/>
    <n v="24"/>
    <x v="0"/>
    <x v="6"/>
    <x v="0"/>
    <x v="2"/>
    <n v="4150.1499999999996"/>
    <x v="1"/>
    <n v="2503.6022787783854"/>
    <n v="4565.16"/>
    <n v="4565.17"/>
    <n v="4565.17"/>
    <s v="April 2023"/>
  </r>
  <r>
    <d v="2023-04-22T00:00:00"/>
    <x v="3276"/>
    <n v="19"/>
    <x v="2"/>
    <x v="3"/>
    <x v="3"/>
    <x v="2"/>
    <n v="3679.21"/>
    <x v="1"/>
    <n v="2496.7676064256989"/>
    <n v="4047.13"/>
    <n v="4047.1400000000003"/>
    <n v="4047.13"/>
    <s v="April 2023"/>
  </r>
  <r>
    <d v="2023-04-22T00:00:00"/>
    <x v="3277"/>
    <n v="49"/>
    <x v="0"/>
    <x v="7"/>
    <x v="1"/>
    <x v="1"/>
    <n v="3092.06"/>
    <x v="1"/>
    <n v="2509.1716796874912"/>
    <n v="3401.26"/>
    <n v="3401.2700000000004"/>
    <n v="3401.27"/>
    <s v="April 2023"/>
  </r>
  <r>
    <d v="2023-04-22T00:00:00"/>
    <x v="3278"/>
    <n v="24"/>
    <x v="0"/>
    <x v="2"/>
    <x v="2"/>
    <x v="4"/>
    <n v="3332.76"/>
    <x v="1"/>
    <n v="2440.2966694490838"/>
    <n v="3666.03"/>
    <n v="3666.0400000000004"/>
    <n v="3666.04"/>
    <s v="April 2023"/>
  </r>
  <r>
    <d v="2023-04-22T00:00:00"/>
    <x v="3279"/>
    <n v="45"/>
    <x v="0"/>
    <x v="2"/>
    <x v="0"/>
    <x v="2"/>
    <n v="1054.1099999999999"/>
    <x v="1"/>
    <n v="2503.6022787783854"/>
    <n v="1159.52"/>
    <n v="1159.53"/>
    <n v="1159.52"/>
    <s v="April 2023"/>
  </r>
  <r>
    <d v="2023-04-23T00:00:00"/>
    <x v="3280"/>
    <n v="36"/>
    <x v="0"/>
    <x v="2"/>
    <x v="1"/>
    <x v="4"/>
    <n v="885.87"/>
    <x v="1"/>
    <n v="2509.1716796874912"/>
    <n v="974.45"/>
    <n v="974.46"/>
    <n v="974.46"/>
    <s v="April 2023"/>
  </r>
  <r>
    <d v="2023-04-23T00:00:00"/>
    <x v="3281"/>
    <n v="99"/>
    <x v="2"/>
    <x v="7"/>
    <x v="2"/>
    <x v="2"/>
    <n v="4312.71"/>
    <x v="0"/>
    <n v="2440.2966694490838"/>
    <n v="4743.9799999999996"/>
    <n v="4743.99"/>
    <n v="4743.9799999999996"/>
    <s v="April 2023"/>
  </r>
  <r>
    <d v="2023-04-23T00:00:00"/>
    <x v="3282"/>
    <n v="71"/>
    <x v="2"/>
    <x v="3"/>
    <x v="3"/>
    <x v="4"/>
    <n v="4268.51"/>
    <x v="0"/>
    <n v="2496.7676064256989"/>
    <n v="4695.3599999999997"/>
    <n v="4695.37"/>
    <n v="4695.3599999999997"/>
    <s v="April 2023"/>
  </r>
  <r>
    <d v="2023-04-23T00:00:00"/>
    <x v="3283"/>
    <n v="56"/>
    <x v="2"/>
    <x v="0"/>
    <x v="1"/>
    <x v="1"/>
    <n v="3111.78"/>
    <x v="1"/>
    <n v="2509.1716796874912"/>
    <n v="3422.95"/>
    <n v="3422.96"/>
    <n v="3422.96"/>
    <s v="April 2023"/>
  </r>
  <r>
    <d v="2023-04-23T00:00:00"/>
    <x v="3284"/>
    <n v="67"/>
    <x v="2"/>
    <x v="2"/>
    <x v="2"/>
    <x v="4"/>
    <n v="4874.72"/>
    <x v="0"/>
    <n v="2440.2966694490838"/>
    <n v="5362.19"/>
    <n v="5362.2"/>
    <n v="5362.19"/>
    <s v="April 2023"/>
  </r>
  <r>
    <d v="2023-04-23T00:00:00"/>
    <x v="3285"/>
    <n v="81"/>
    <x v="0"/>
    <x v="0"/>
    <x v="0"/>
    <x v="0"/>
    <n v="56.45"/>
    <x v="0"/>
    <n v="2503.6022787783854"/>
    <n v="62.09"/>
    <n v="62.1"/>
    <n v="62.1"/>
    <s v="April 2023"/>
  </r>
  <r>
    <d v="2023-04-23T00:00:00"/>
    <x v="3286"/>
    <n v="74"/>
    <x v="2"/>
    <x v="3"/>
    <x v="3"/>
    <x v="4"/>
    <n v="2468.73"/>
    <x v="0"/>
    <n v="2496.7676064256989"/>
    <n v="2715.6"/>
    <n v="2715.61"/>
    <n v="2715.6"/>
    <s v="April 2023"/>
  </r>
  <r>
    <d v="2023-04-23T00:00:00"/>
    <x v="3287"/>
    <n v="64"/>
    <x v="0"/>
    <x v="3"/>
    <x v="0"/>
    <x v="0"/>
    <n v="190.43"/>
    <x v="1"/>
    <n v="2503.6022787783854"/>
    <n v="209.47"/>
    <n v="209.48"/>
    <n v="209.47"/>
    <s v="April 2023"/>
  </r>
  <r>
    <d v="2023-04-24T00:00:00"/>
    <x v="3288"/>
    <n v="42"/>
    <x v="2"/>
    <x v="1"/>
    <x v="2"/>
    <x v="2"/>
    <n v="3697.02"/>
    <x v="1"/>
    <n v="2440.2966694490838"/>
    <n v="4066.72"/>
    <n v="4066.73"/>
    <n v="4066.72"/>
    <s v="April 2023"/>
  </r>
  <r>
    <d v="2023-04-24T00:00:00"/>
    <x v="3289"/>
    <n v="47"/>
    <x v="0"/>
    <x v="1"/>
    <x v="1"/>
    <x v="2"/>
    <n v="3453.05"/>
    <x v="1"/>
    <n v="2509.1716796874912"/>
    <n v="3798.35"/>
    <n v="3798.36"/>
    <n v="3798.36"/>
    <s v="April 2023"/>
  </r>
  <r>
    <d v="2023-04-24T00:00:00"/>
    <x v="3290"/>
    <n v="17"/>
    <x v="0"/>
    <x v="3"/>
    <x v="0"/>
    <x v="3"/>
    <n v="1970.54"/>
    <x v="1"/>
    <n v="2503.6022787783854"/>
    <n v="2167.59"/>
    <n v="2167.6000000000004"/>
    <n v="2167.59"/>
    <s v="April 2023"/>
  </r>
  <r>
    <d v="2023-04-24T00:00:00"/>
    <x v="3291"/>
    <n v="42"/>
    <x v="0"/>
    <x v="1"/>
    <x v="0"/>
    <x v="3"/>
    <n v="4257.28"/>
    <x v="1"/>
    <n v="2503.6022787783854"/>
    <n v="4683"/>
    <n v="4683.01"/>
    <n v="4683.01"/>
    <s v="April 2023"/>
  </r>
  <r>
    <d v="2023-04-25T00:00:00"/>
    <x v="3292"/>
    <n v="29"/>
    <x v="0"/>
    <x v="4"/>
    <x v="1"/>
    <x v="1"/>
    <n v="2124.15"/>
    <x v="1"/>
    <n v="2509.1716796874912"/>
    <n v="2336.56"/>
    <n v="2336.5700000000002"/>
    <n v="2336.5700000000002"/>
    <s v="April 2023"/>
  </r>
  <r>
    <d v="2023-04-25T00:00:00"/>
    <x v="3293"/>
    <n v="3"/>
    <x v="2"/>
    <x v="2"/>
    <x v="3"/>
    <x v="3"/>
    <n v="623.47"/>
    <x v="2"/>
    <n v="2496.7676064256989"/>
    <n v="685.81"/>
    <n v="685.81999999999994"/>
    <n v="685.82"/>
    <s v="April 2023"/>
  </r>
  <r>
    <d v="2023-04-25T00:00:00"/>
    <x v="3294"/>
    <n v="56"/>
    <x v="0"/>
    <x v="4"/>
    <x v="1"/>
    <x v="2"/>
    <n v="1857.53"/>
    <x v="1"/>
    <n v="2509.1716796874912"/>
    <n v="2043.28"/>
    <n v="2043.29"/>
    <n v="2043.28"/>
    <s v="April 2023"/>
  </r>
  <r>
    <d v="2023-04-25T00:00:00"/>
    <x v="3295"/>
    <n v="82"/>
    <x v="1"/>
    <x v="7"/>
    <x v="3"/>
    <x v="2"/>
    <n v="4270.3900000000003"/>
    <x v="0"/>
    <n v="2496.7676064256989"/>
    <n v="4697.42"/>
    <n v="4697.43"/>
    <n v="4697.43"/>
    <s v="April 2023"/>
  </r>
  <r>
    <d v="2023-04-25T00:00:00"/>
    <x v="3296"/>
    <n v="51"/>
    <x v="2"/>
    <x v="3"/>
    <x v="0"/>
    <x v="4"/>
    <n v="2739.13"/>
    <x v="1"/>
    <n v="2503.6022787783854"/>
    <n v="3013.04"/>
    <n v="3013.05"/>
    <n v="3013.04"/>
    <s v="April 2023"/>
  </r>
  <r>
    <d v="2023-04-25T00:00:00"/>
    <x v="3297"/>
    <n v="79"/>
    <x v="2"/>
    <x v="7"/>
    <x v="2"/>
    <x v="4"/>
    <n v="333.89"/>
    <x v="0"/>
    <n v="2440.2966694490838"/>
    <n v="367.27"/>
    <n v="367.28"/>
    <n v="367.28"/>
    <s v="April 2023"/>
  </r>
  <r>
    <d v="2023-04-25T00:00:00"/>
    <x v="3298"/>
    <n v="63"/>
    <x v="1"/>
    <x v="3"/>
    <x v="3"/>
    <x v="4"/>
    <n v="4255.49"/>
    <x v="1"/>
    <n v="2496.7676064256989"/>
    <n v="4681.03"/>
    <n v="4681.04"/>
    <n v="4681.04"/>
    <s v="April 2023"/>
  </r>
  <r>
    <d v="2023-04-26T00:00:00"/>
    <x v="3299"/>
    <n v="18"/>
    <x v="1"/>
    <x v="7"/>
    <x v="3"/>
    <x v="0"/>
    <n v="3793.64"/>
    <x v="1"/>
    <n v="2496.7676064256989"/>
    <n v="4173"/>
    <n v="4173.01"/>
    <n v="4173"/>
    <s v="April 2023"/>
  </r>
  <r>
    <d v="2023-04-26T00:00:00"/>
    <x v="3300"/>
    <n v="87"/>
    <x v="2"/>
    <x v="3"/>
    <x v="1"/>
    <x v="3"/>
    <n v="1390.13"/>
    <x v="0"/>
    <n v="2509.1716796874912"/>
    <n v="1529.14"/>
    <n v="1529.15"/>
    <n v="1529.14"/>
    <s v="April 2023"/>
  </r>
  <r>
    <d v="2023-04-26T00:00:00"/>
    <x v="3301"/>
    <n v="85"/>
    <x v="1"/>
    <x v="2"/>
    <x v="2"/>
    <x v="1"/>
    <n v="1071.49"/>
    <x v="0"/>
    <n v="2440.2966694490838"/>
    <n v="1178.6300000000001"/>
    <n v="1178.6400000000001"/>
    <n v="1178.6400000000001"/>
    <s v="April 2023"/>
  </r>
  <r>
    <d v="2023-04-26T00:00:00"/>
    <x v="3302"/>
    <n v="38"/>
    <x v="1"/>
    <x v="7"/>
    <x v="1"/>
    <x v="4"/>
    <n v="693.66"/>
    <x v="1"/>
    <n v="2509.1716796874912"/>
    <n v="763.02"/>
    <n v="763.03"/>
    <n v="763.03"/>
    <s v="April 2023"/>
  </r>
  <r>
    <d v="2023-04-26T00:00:00"/>
    <x v="3303"/>
    <n v="55"/>
    <x v="2"/>
    <x v="1"/>
    <x v="1"/>
    <x v="3"/>
    <n v="556.84"/>
    <x v="1"/>
    <n v="2509.1716796874912"/>
    <n v="612.52"/>
    <n v="612.53"/>
    <n v="612.52"/>
    <s v="April 2023"/>
  </r>
  <r>
    <d v="2023-04-26T00:00:00"/>
    <x v="3304"/>
    <n v="73"/>
    <x v="0"/>
    <x v="2"/>
    <x v="3"/>
    <x v="0"/>
    <n v="493.64"/>
    <x v="0"/>
    <n v="2496.7676064256989"/>
    <n v="543"/>
    <n v="543.01"/>
    <n v="543"/>
    <s v="April 2023"/>
  </r>
  <r>
    <d v="2023-04-26T00:00:00"/>
    <x v="3305"/>
    <n v="78"/>
    <x v="2"/>
    <x v="5"/>
    <x v="3"/>
    <x v="0"/>
    <n v="1514.41"/>
    <x v="0"/>
    <n v="2496.7676064256989"/>
    <n v="1665.85"/>
    <n v="1665.86"/>
    <n v="1665.85"/>
    <s v="April 2023"/>
  </r>
  <r>
    <d v="2023-04-27T00:00:00"/>
    <x v="3306"/>
    <n v="99"/>
    <x v="0"/>
    <x v="1"/>
    <x v="0"/>
    <x v="1"/>
    <n v="2652.97"/>
    <x v="0"/>
    <n v="2503.6022787783854"/>
    <n v="2918.26"/>
    <n v="2918.2700000000004"/>
    <n v="2918.27"/>
    <s v="April 2023"/>
  </r>
  <r>
    <d v="2023-04-27T00:00:00"/>
    <x v="3307"/>
    <n v="25"/>
    <x v="0"/>
    <x v="2"/>
    <x v="0"/>
    <x v="0"/>
    <n v="187.71"/>
    <x v="1"/>
    <n v="2503.6022787783854"/>
    <n v="206.48"/>
    <n v="206.48999999999998"/>
    <n v="206.48"/>
    <s v="April 2023"/>
  </r>
  <r>
    <d v="2023-04-27T00:00:00"/>
    <x v="3308"/>
    <n v="74"/>
    <x v="0"/>
    <x v="3"/>
    <x v="0"/>
    <x v="0"/>
    <n v="528.99"/>
    <x v="0"/>
    <n v="2503.6022787783854"/>
    <n v="581.88"/>
    <n v="581.89"/>
    <n v="581.89"/>
    <s v="April 2023"/>
  </r>
  <r>
    <d v="2023-04-27T00:00:00"/>
    <x v="3309"/>
    <n v="31"/>
    <x v="0"/>
    <x v="5"/>
    <x v="2"/>
    <x v="3"/>
    <n v="1359.54"/>
    <x v="1"/>
    <n v="2440.2966694490838"/>
    <n v="1495.49"/>
    <n v="1495.5"/>
    <n v="1495.49"/>
    <s v="April 2023"/>
  </r>
  <r>
    <d v="2023-04-27T00:00:00"/>
    <x v="3310"/>
    <n v="90"/>
    <x v="2"/>
    <x v="0"/>
    <x v="3"/>
    <x v="5"/>
    <n v="2298.86"/>
    <x v="0"/>
    <n v="2496.7676064256989"/>
    <n v="2528.7399999999998"/>
    <n v="2528.75"/>
    <n v="2528.75"/>
    <s v="April 2023"/>
  </r>
  <r>
    <d v="2023-04-27T00:00:00"/>
    <x v="3311"/>
    <n v="79"/>
    <x v="0"/>
    <x v="2"/>
    <x v="2"/>
    <x v="0"/>
    <n v="3156.89"/>
    <x v="0"/>
    <n v="2440.2966694490838"/>
    <n v="3472.57"/>
    <n v="3472.5800000000004"/>
    <n v="3472.58"/>
    <s v="April 2023"/>
  </r>
  <r>
    <d v="2023-04-28T00:00:00"/>
    <x v="3312"/>
    <n v="17"/>
    <x v="1"/>
    <x v="6"/>
    <x v="3"/>
    <x v="3"/>
    <n v="2548.8200000000002"/>
    <x v="1"/>
    <n v="2496.7676064256989"/>
    <n v="2803.7"/>
    <n v="2803.71"/>
    <n v="2803.7"/>
    <s v="April 2023"/>
  </r>
  <r>
    <d v="2023-04-28T00:00:00"/>
    <x v="3313"/>
    <n v="4"/>
    <x v="2"/>
    <x v="4"/>
    <x v="0"/>
    <x v="2"/>
    <n v="4419.16"/>
    <x v="2"/>
    <n v="2503.6022787783854"/>
    <n v="4861.07"/>
    <n v="4861.08"/>
    <n v="4861.08"/>
    <s v="April 2023"/>
  </r>
  <r>
    <d v="2023-04-28T00:00:00"/>
    <x v="3314"/>
    <n v="60"/>
    <x v="2"/>
    <x v="2"/>
    <x v="3"/>
    <x v="4"/>
    <n v="942.76"/>
    <x v="1"/>
    <n v="2496.7676064256989"/>
    <n v="1037.03"/>
    <n v="1037.04"/>
    <n v="1037.04"/>
    <s v="April 2023"/>
  </r>
  <r>
    <d v="2023-04-28T00:00:00"/>
    <x v="3315"/>
    <n v="0"/>
    <x v="0"/>
    <x v="6"/>
    <x v="2"/>
    <x v="4"/>
    <n v="1100.52"/>
    <x v="2"/>
    <n v="2440.2966694490838"/>
    <n v="1210.57"/>
    <n v="1210.58"/>
    <n v="1210.57"/>
    <s v="April 2023"/>
  </r>
  <r>
    <d v="2023-04-29T00:00:00"/>
    <x v="3316"/>
    <n v="38"/>
    <x v="1"/>
    <x v="0"/>
    <x v="1"/>
    <x v="3"/>
    <n v="3065.74"/>
    <x v="1"/>
    <n v="2509.1716796874912"/>
    <n v="3372.31"/>
    <n v="3372.32"/>
    <n v="3372.31"/>
    <s v="April 2023"/>
  </r>
  <r>
    <d v="2023-04-29T00:00:00"/>
    <x v="3317"/>
    <n v="11"/>
    <x v="2"/>
    <x v="2"/>
    <x v="0"/>
    <x v="3"/>
    <n v="2194.7399999999998"/>
    <x v="2"/>
    <n v="2503.6022787783854"/>
    <n v="2414.21"/>
    <n v="2414.2200000000003"/>
    <n v="2414.21"/>
    <s v="April 2023"/>
  </r>
  <r>
    <d v="2023-04-29T00:00:00"/>
    <x v="3318"/>
    <n v="74"/>
    <x v="0"/>
    <x v="4"/>
    <x v="0"/>
    <x v="4"/>
    <n v="1593.03"/>
    <x v="0"/>
    <n v="2503.6022787783854"/>
    <n v="1752.33"/>
    <n v="1752.34"/>
    <n v="1752.33"/>
    <s v="April 2023"/>
  </r>
  <r>
    <d v="2023-04-29T00:00:00"/>
    <x v="3319"/>
    <n v="92"/>
    <x v="1"/>
    <x v="4"/>
    <x v="3"/>
    <x v="4"/>
    <n v="1189.9100000000001"/>
    <x v="0"/>
    <n v="2496.7676064256989"/>
    <n v="1308.9000000000001"/>
    <n v="1308.9100000000001"/>
    <n v="1308.9000000000001"/>
    <s v="April 2023"/>
  </r>
  <r>
    <d v="2023-04-30T00:00:00"/>
    <x v="3320"/>
    <n v="54"/>
    <x v="1"/>
    <x v="4"/>
    <x v="2"/>
    <x v="5"/>
    <n v="3261.31"/>
    <x v="1"/>
    <n v="2440.2966694490838"/>
    <n v="3587.44"/>
    <n v="3587.4500000000003"/>
    <n v="3587.44"/>
    <s v="April 2023"/>
  </r>
  <r>
    <d v="2023-04-30T00:00:00"/>
    <x v="3321"/>
    <n v="25"/>
    <x v="1"/>
    <x v="2"/>
    <x v="0"/>
    <x v="2"/>
    <n v="502.52"/>
    <x v="1"/>
    <n v="2503.6022787783854"/>
    <n v="552.77"/>
    <n v="552.78"/>
    <n v="552.77"/>
    <s v="April 2023"/>
  </r>
  <r>
    <d v="2023-04-30T00:00:00"/>
    <x v="3322"/>
    <n v="13"/>
    <x v="0"/>
    <x v="7"/>
    <x v="2"/>
    <x v="1"/>
    <n v="3387.6"/>
    <x v="2"/>
    <n v="2440.2966694490838"/>
    <n v="3726.36"/>
    <n v="3726.36"/>
    <n v="3726.36"/>
    <s v="April 2023"/>
  </r>
  <r>
    <d v="2023-04-30T00:00:00"/>
    <x v="3323"/>
    <n v="57"/>
    <x v="2"/>
    <x v="3"/>
    <x v="0"/>
    <x v="0"/>
    <n v="4175.99"/>
    <x v="1"/>
    <n v="2503.6022787783854"/>
    <n v="4593.58"/>
    <n v="4593.59"/>
    <n v="4593.59"/>
    <s v="April 2023"/>
  </r>
  <r>
    <d v="2023-04-30T00:00:00"/>
    <x v="3324"/>
    <n v="22"/>
    <x v="0"/>
    <x v="4"/>
    <x v="0"/>
    <x v="4"/>
    <n v="955.12"/>
    <x v="1"/>
    <n v="2503.6022787783854"/>
    <n v="1050.6300000000001"/>
    <n v="1050.6400000000001"/>
    <n v="1050.6300000000001"/>
    <s v="April 2023"/>
  </r>
  <r>
    <d v="2023-04-30T00:00:00"/>
    <x v="3325"/>
    <n v="3"/>
    <x v="1"/>
    <x v="3"/>
    <x v="1"/>
    <x v="4"/>
    <n v="123.97"/>
    <x v="2"/>
    <n v="2509.1716796874912"/>
    <n v="136.36000000000001"/>
    <n v="136.37"/>
    <n v="136.37"/>
    <s v="April 2023"/>
  </r>
  <r>
    <d v="2023-04-30T00:00:00"/>
    <x v="3326"/>
    <n v="83"/>
    <x v="0"/>
    <x v="5"/>
    <x v="0"/>
    <x v="0"/>
    <n v="1052.93"/>
    <x v="0"/>
    <n v="2503.6022787783854"/>
    <n v="1158.22"/>
    <n v="1158.23"/>
    <n v="1158.22"/>
    <s v="April 2023"/>
  </r>
  <r>
    <d v="2023-04-30T00:00:00"/>
    <x v="3327"/>
    <n v="82"/>
    <x v="2"/>
    <x v="5"/>
    <x v="1"/>
    <x v="4"/>
    <n v="4710.51"/>
    <x v="0"/>
    <n v="2509.1716796874912"/>
    <n v="5181.5600000000004"/>
    <n v="5181.5700000000006"/>
    <n v="5181.5600000000004"/>
    <s v="April 2023"/>
  </r>
  <r>
    <d v="2023-04-30T00:00:00"/>
    <x v="3328"/>
    <n v="76"/>
    <x v="2"/>
    <x v="3"/>
    <x v="1"/>
    <x v="4"/>
    <n v="450.44"/>
    <x v="0"/>
    <n v="2509.1716796874912"/>
    <n v="495.48"/>
    <n v="495.49"/>
    <n v="495.48"/>
    <s v="April 2023"/>
  </r>
  <r>
    <d v="2023-04-30T00:00:00"/>
    <x v="3329"/>
    <n v="59"/>
    <x v="0"/>
    <x v="7"/>
    <x v="1"/>
    <x v="0"/>
    <n v="4891.47"/>
    <x v="1"/>
    <n v="2509.1716796874912"/>
    <n v="5380.61"/>
    <n v="5380.62"/>
    <n v="5380.62"/>
    <s v="April 2023"/>
  </r>
  <r>
    <d v="2023-04-30T00:00:00"/>
    <x v="3330"/>
    <n v="70"/>
    <x v="1"/>
    <x v="3"/>
    <x v="1"/>
    <x v="4"/>
    <n v="4961.12"/>
    <x v="0"/>
    <n v="2509.1716796874912"/>
    <n v="5457.23"/>
    <n v="5457.24"/>
    <n v="5457.23"/>
    <s v="April 2023"/>
  </r>
  <r>
    <d v="2023-05-01T00:00:00"/>
    <x v="3331"/>
    <n v="40"/>
    <x v="1"/>
    <x v="0"/>
    <x v="1"/>
    <x v="4"/>
    <n v="2286.15"/>
    <x v="1"/>
    <n v="2509.1716796874912"/>
    <n v="2514.7600000000002"/>
    <n v="2514.7700000000004"/>
    <n v="2514.77"/>
    <s v="May 2023"/>
  </r>
  <r>
    <d v="2023-05-01T00:00:00"/>
    <x v="3332"/>
    <n v="45"/>
    <x v="2"/>
    <x v="5"/>
    <x v="1"/>
    <x v="3"/>
    <n v="3568.19"/>
    <x v="1"/>
    <n v="2509.1716796874912"/>
    <n v="3925"/>
    <n v="3925.01"/>
    <n v="3925.01"/>
    <s v="May 2023"/>
  </r>
  <r>
    <d v="2023-05-01T00:00:00"/>
    <x v="3333"/>
    <n v="13"/>
    <x v="0"/>
    <x v="1"/>
    <x v="3"/>
    <x v="3"/>
    <n v="4534.84"/>
    <x v="2"/>
    <n v="2496.7676064256989"/>
    <n v="4988.32"/>
    <n v="4988.33"/>
    <n v="4988.32"/>
    <s v="May 2023"/>
  </r>
  <r>
    <d v="2023-05-01T00:00:00"/>
    <x v="3334"/>
    <n v="25"/>
    <x v="1"/>
    <x v="2"/>
    <x v="0"/>
    <x v="0"/>
    <n v="3107.24"/>
    <x v="1"/>
    <n v="2503.6022787783854"/>
    <n v="3417.96"/>
    <n v="3417.9700000000003"/>
    <n v="3417.96"/>
    <s v="May 2023"/>
  </r>
  <r>
    <d v="2023-05-01T00:00:00"/>
    <x v="3335"/>
    <n v="66"/>
    <x v="0"/>
    <x v="4"/>
    <x v="2"/>
    <x v="0"/>
    <n v="3061.86"/>
    <x v="0"/>
    <n v="2440.2966694490838"/>
    <n v="3368.04"/>
    <n v="3368.05"/>
    <n v="3368.05"/>
    <s v="May 2023"/>
  </r>
  <r>
    <d v="2023-05-01T00:00:00"/>
    <x v="3336"/>
    <n v="65"/>
    <x v="2"/>
    <x v="5"/>
    <x v="1"/>
    <x v="1"/>
    <n v="2452.89"/>
    <x v="0"/>
    <n v="2509.1716796874912"/>
    <n v="2698.17"/>
    <n v="2698.1800000000003"/>
    <n v="2698.18"/>
    <s v="May 2023"/>
  </r>
  <r>
    <d v="2023-05-01T00:00:00"/>
    <x v="3337"/>
    <n v="8"/>
    <x v="0"/>
    <x v="7"/>
    <x v="2"/>
    <x v="1"/>
    <n v="737.32"/>
    <x v="2"/>
    <n v="2440.2966694490838"/>
    <n v="811.05"/>
    <n v="811.06"/>
    <n v="811.05"/>
    <s v="May 2023"/>
  </r>
  <r>
    <d v="2023-05-02T00:00:00"/>
    <x v="3338"/>
    <n v="46"/>
    <x v="1"/>
    <x v="6"/>
    <x v="0"/>
    <x v="4"/>
    <n v="3124.86"/>
    <x v="1"/>
    <n v="2503.6022787783854"/>
    <n v="3437.34"/>
    <n v="3437.3500000000004"/>
    <n v="3437.35"/>
    <s v="May 2023"/>
  </r>
  <r>
    <d v="2023-05-02T00:00:00"/>
    <x v="3339"/>
    <n v="56"/>
    <x v="2"/>
    <x v="1"/>
    <x v="0"/>
    <x v="4"/>
    <n v="4292.05"/>
    <x v="1"/>
    <n v="2503.6022787783854"/>
    <n v="4721.25"/>
    <n v="4721.26"/>
    <n v="4721.26"/>
    <s v="May 2023"/>
  </r>
  <r>
    <d v="2023-05-02T00:00:00"/>
    <x v="3340"/>
    <n v="39"/>
    <x v="0"/>
    <x v="3"/>
    <x v="2"/>
    <x v="4"/>
    <n v="551.36"/>
    <x v="1"/>
    <n v="2440.2966694490838"/>
    <n v="606.49"/>
    <n v="606.5"/>
    <n v="606.5"/>
    <s v="May 2023"/>
  </r>
  <r>
    <d v="2023-05-02T00:00:00"/>
    <x v="3341"/>
    <n v="36"/>
    <x v="1"/>
    <x v="0"/>
    <x v="2"/>
    <x v="2"/>
    <n v="2327.11"/>
    <x v="1"/>
    <n v="2440.2966694490838"/>
    <n v="2559.8200000000002"/>
    <n v="2559.8300000000004"/>
    <n v="2559.8200000000002"/>
    <s v="May 2023"/>
  </r>
  <r>
    <d v="2023-05-02T00:00:00"/>
    <x v="3342"/>
    <n v="27"/>
    <x v="2"/>
    <x v="7"/>
    <x v="0"/>
    <x v="2"/>
    <n v="3766.07"/>
    <x v="1"/>
    <n v="2503.6022787783854"/>
    <n v="4142.67"/>
    <n v="4142.68"/>
    <n v="4142.68"/>
    <s v="May 2023"/>
  </r>
  <r>
    <d v="2023-05-02T00:00:00"/>
    <x v="3343"/>
    <n v="1"/>
    <x v="0"/>
    <x v="5"/>
    <x v="1"/>
    <x v="3"/>
    <n v="2446.35"/>
    <x v="2"/>
    <n v="2509.1716796874912"/>
    <n v="2690.98"/>
    <n v="2690.9900000000002"/>
    <n v="2690.99"/>
    <s v="May 2023"/>
  </r>
  <r>
    <d v="2023-05-02T00:00:00"/>
    <x v="3344"/>
    <n v="2"/>
    <x v="1"/>
    <x v="7"/>
    <x v="0"/>
    <x v="0"/>
    <n v="3430.29"/>
    <x v="2"/>
    <n v="2503.6022787783854"/>
    <n v="3773.31"/>
    <n v="3773.32"/>
    <n v="3773.32"/>
    <s v="May 2023"/>
  </r>
  <r>
    <d v="2023-05-02T00:00:00"/>
    <x v="3345"/>
    <n v="33"/>
    <x v="0"/>
    <x v="0"/>
    <x v="3"/>
    <x v="4"/>
    <n v="2510.98"/>
    <x v="1"/>
    <n v="2496.7676064256989"/>
    <n v="2762.07"/>
    <n v="2762.0800000000004"/>
    <n v="2762.08"/>
    <s v="May 2023"/>
  </r>
  <r>
    <d v="2023-05-03T00:00:00"/>
    <x v="3346"/>
    <n v="52"/>
    <x v="2"/>
    <x v="2"/>
    <x v="2"/>
    <x v="4"/>
    <n v="144.01"/>
    <x v="1"/>
    <n v="2440.2966694490838"/>
    <n v="158.41"/>
    <n v="158.41999999999999"/>
    <n v="158.41"/>
    <s v="May 2023"/>
  </r>
  <r>
    <d v="2023-05-03T00:00:00"/>
    <x v="3347"/>
    <n v="76"/>
    <x v="1"/>
    <x v="6"/>
    <x v="0"/>
    <x v="4"/>
    <n v="707.91"/>
    <x v="0"/>
    <n v="2503.6022787783854"/>
    <n v="778.7"/>
    <n v="778.71"/>
    <n v="778.7"/>
    <s v="May 2023"/>
  </r>
  <r>
    <d v="2023-05-03T00:00:00"/>
    <x v="3348"/>
    <n v="20"/>
    <x v="0"/>
    <x v="3"/>
    <x v="3"/>
    <x v="4"/>
    <n v="723.74"/>
    <x v="1"/>
    <n v="2496.7676064256989"/>
    <n v="796.11"/>
    <n v="796.12"/>
    <n v="796.11"/>
    <s v="May 2023"/>
  </r>
  <r>
    <d v="2023-05-04T00:00:00"/>
    <x v="3349"/>
    <n v="32"/>
    <x v="1"/>
    <x v="3"/>
    <x v="1"/>
    <x v="4"/>
    <n v="1839.59"/>
    <x v="1"/>
    <n v="2509.1716796874912"/>
    <n v="2023.54"/>
    <n v="2023.55"/>
    <n v="2023.55"/>
    <s v="May 2023"/>
  </r>
  <r>
    <d v="2023-05-04T00:00:00"/>
    <x v="3350"/>
    <n v="68"/>
    <x v="2"/>
    <x v="0"/>
    <x v="0"/>
    <x v="4"/>
    <n v="4632.34"/>
    <x v="0"/>
    <n v="2503.6022787783854"/>
    <n v="5095.57"/>
    <n v="5095.58"/>
    <n v="5095.57"/>
    <s v="May 2023"/>
  </r>
  <r>
    <d v="2023-05-04T00:00:00"/>
    <x v="3351"/>
    <n v="24"/>
    <x v="0"/>
    <x v="7"/>
    <x v="0"/>
    <x v="4"/>
    <n v="4305.88"/>
    <x v="1"/>
    <n v="2503.6022787783854"/>
    <n v="4736.46"/>
    <n v="4736.47"/>
    <n v="4736.47"/>
    <s v="May 2023"/>
  </r>
  <r>
    <d v="2023-05-04T00:00:00"/>
    <x v="3352"/>
    <n v="77"/>
    <x v="1"/>
    <x v="3"/>
    <x v="0"/>
    <x v="3"/>
    <n v="3853.7"/>
    <x v="0"/>
    <n v="2503.6022787783854"/>
    <n v="4239.07"/>
    <n v="4239.07"/>
    <n v="4239.07"/>
    <s v="May 2023"/>
  </r>
  <r>
    <d v="2023-05-04T00:00:00"/>
    <x v="3353"/>
    <n v="52"/>
    <x v="0"/>
    <x v="0"/>
    <x v="3"/>
    <x v="3"/>
    <n v="4051.22"/>
    <x v="1"/>
    <n v="2496.7676064256989"/>
    <n v="4456.34"/>
    <n v="4456.3500000000004"/>
    <n v="4456.34"/>
    <s v="May 2023"/>
  </r>
  <r>
    <d v="2023-05-04T00:00:00"/>
    <x v="3354"/>
    <n v="18"/>
    <x v="1"/>
    <x v="4"/>
    <x v="1"/>
    <x v="3"/>
    <n v="3015.71"/>
    <x v="1"/>
    <n v="2509.1716796874912"/>
    <n v="3317.28"/>
    <n v="3317.2900000000004"/>
    <n v="3317.28"/>
    <s v="May 2023"/>
  </r>
  <r>
    <d v="2023-05-04T00:00:00"/>
    <x v="3355"/>
    <n v="24"/>
    <x v="2"/>
    <x v="2"/>
    <x v="3"/>
    <x v="4"/>
    <n v="1004.23"/>
    <x v="1"/>
    <n v="2496.7676064256989"/>
    <n v="1104.6500000000001"/>
    <n v="1104.6600000000001"/>
    <n v="1104.6500000000001"/>
    <s v="May 2023"/>
  </r>
  <r>
    <d v="2023-05-04T00:00:00"/>
    <x v="3356"/>
    <n v="23"/>
    <x v="1"/>
    <x v="4"/>
    <x v="1"/>
    <x v="1"/>
    <n v="4481.66"/>
    <x v="1"/>
    <n v="2509.1716796874912"/>
    <n v="4929.82"/>
    <n v="4929.83"/>
    <n v="4929.83"/>
    <s v="May 2023"/>
  </r>
  <r>
    <d v="2023-05-04T00:00:00"/>
    <x v="3357"/>
    <n v="90"/>
    <x v="1"/>
    <x v="4"/>
    <x v="1"/>
    <x v="3"/>
    <n v="224.86"/>
    <x v="0"/>
    <n v="2509.1716796874912"/>
    <n v="247.34"/>
    <n v="247.35"/>
    <n v="247.35"/>
    <s v="May 2023"/>
  </r>
  <r>
    <d v="2023-05-05T00:00:00"/>
    <x v="3358"/>
    <n v="80"/>
    <x v="2"/>
    <x v="4"/>
    <x v="1"/>
    <x v="3"/>
    <n v="3922.38"/>
    <x v="0"/>
    <n v="2509.1716796874912"/>
    <n v="4314.6099999999997"/>
    <n v="4314.62"/>
    <n v="4314.62"/>
    <s v="May 2023"/>
  </r>
  <r>
    <d v="2023-05-05T00:00:00"/>
    <x v="3359"/>
    <n v="56"/>
    <x v="0"/>
    <x v="7"/>
    <x v="2"/>
    <x v="5"/>
    <n v="2981.63"/>
    <x v="1"/>
    <n v="2440.2966694490838"/>
    <n v="3279.79"/>
    <n v="3279.8"/>
    <n v="3279.79"/>
    <s v="May 2023"/>
  </r>
  <r>
    <d v="2023-05-05T00:00:00"/>
    <x v="3360"/>
    <n v="63"/>
    <x v="2"/>
    <x v="2"/>
    <x v="1"/>
    <x v="3"/>
    <n v="4013.35"/>
    <x v="1"/>
    <n v="2509.1716796874912"/>
    <n v="4414.68"/>
    <n v="4414.6900000000005"/>
    <n v="4414.6899999999996"/>
    <s v="May 2023"/>
  </r>
  <r>
    <d v="2023-05-05T00:00:00"/>
    <x v="3361"/>
    <n v="12"/>
    <x v="0"/>
    <x v="4"/>
    <x v="2"/>
    <x v="1"/>
    <n v="2227.9499999999998"/>
    <x v="2"/>
    <n v="2440.2966694490838"/>
    <n v="2450.7399999999998"/>
    <n v="2450.75"/>
    <n v="2450.75"/>
    <s v="May 2023"/>
  </r>
  <r>
    <d v="2023-05-05T00:00:00"/>
    <x v="3362"/>
    <n v="47"/>
    <x v="2"/>
    <x v="4"/>
    <x v="3"/>
    <x v="0"/>
    <n v="692.96"/>
    <x v="1"/>
    <n v="2496.7676064256989"/>
    <n v="762.25"/>
    <n v="762.26"/>
    <n v="762.26"/>
    <s v="May 2023"/>
  </r>
  <r>
    <d v="2023-05-05T00:00:00"/>
    <x v="3363"/>
    <n v="36"/>
    <x v="2"/>
    <x v="5"/>
    <x v="3"/>
    <x v="0"/>
    <n v="3212.96"/>
    <x v="1"/>
    <n v="2496.7676064256989"/>
    <n v="3534.25"/>
    <n v="3534.26"/>
    <n v="3534.26"/>
    <s v="May 2023"/>
  </r>
  <r>
    <d v="2023-05-06T00:00:00"/>
    <x v="3364"/>
    <n v="29"/>
    <x v="1"/>
    <x v="0"/>
    <x v="0"/>
    <x v="3"/>
    <n v="1344.03"/>
    <x v="1"/>
    <n v="2503.6022787783854"/>
    <n v="1478.43"/>
    <n v="1478.44"/>
    <n v="1478.43"/>
    <s v="May 2023"/>
  </r>
  <r>
    <d v="2023-05-06T00:00:00"/>
    <x v="3365"/>
    <n v="73"/>
    <x v="0"/>
    <x v="5"/>
    <x v="0"/>
    <x v="2"/>
    <n v="286.22000000000003"/>
    <x v="0"/>
    <n v="2503.6022787783854"/>
    <n v="314.83999999999997"/>
    <n v="314.84999999999997"/>
    <n v="314.83999999999997"/>
    <s v="May 2023"/>
  </r>
  <r>
    <d v="2023-05-06T00:00:00"/>
    <x v="3366"/>
    <n v="65"/>
    <x v="1"/>
    <x v="1"/>
    <x v="1"/>
    <x v="2"/>
    <n v="4532.67"/>
    <x v="0"/>
    <n v="2509.1716796874912"/>
    <n v="4985.93"/>
    <n v="4985.9400000000005"/>
    <n v="4985.9399999999996"/>
    <s v="May 2023"/>
  </r>
  <r>
    <d v="2023-05-06T00:00:00"/>
    <x v="3367"/>
    <n v="67"/>
    <x v="1"/>
    <x v="1"/>
    <x v="2"/>
    <x v="2"/>
    <n v="4907.5200000000004"/>
    <x v="0"/>
    <n v="2440.2966694490838"/>
    <n v="5398.27"/>
    <n v="5398.2800000000007"/>
    <n v="5398.27"/>
    <s v="May 2023"/>
  </r>
  <r>
    <d v="2023-05-06T00:00:00"/>
    <x v="3368"/>
    <n v="17"/>
    <x v="2"/>
    <x v="4"/>
    <x v="2"/>
    <x v="2"/>
    <n v="2039.21"/>
    <x v="1"/>
    <n v="2440.2966694490838"/>
    <n v="2243.13"/>
    <n v="2243.1400000000003"/>
    <n v="2243.13"/>
    <s v="May 2023"/>
  </r>
  <r>
    <d v="2023-05-06T00:00:00"/>
    <x v="3369"/>
    <n v="58"/>
    <x v="0"/>
    <x v="6"/>
    <x v="3"/>
    <x v="4"/>
    <n v="1563.58"/>
    <x v="1"/>
    <n v="2496.7676064256989"/>
    <n v="1719.93"/>
    <n v="1719.94"/>
    <n v="1719.94"/>
    <s v="May 2023"/>
  </r>
  <r>
    <d v="2023-05-07T00:00:00"/>
    <x v="3370"/>
    <n v="65"/>
    <x v="2"/>
    <x v="4"/>
    <x v="0"/>
    <x v="3"/>
    <n v="2147.14"/>
    <x v="0"/>
    <n v="2503.6022787783854"/>
    <n v="2361.85"/>
    <n v="2361.86"/>
    <n v="2361.85"/>
    <s v="May 2023"/>
  </r>
  <r>
    <d v="2023-05-07T00:00:00"/>
    <x v="3371"/>
    <n v="21"/>
    <x v="0"/>
    <x v="1"/>
    <x v="0"/>
    <x v="3"/>
    <n v="3257.84"/>
    <x v="1"/>
    <n v="2503.6022787783854"/>
    <n v="3583.62"/>
    <n v="3583.63"/>
    <n v="3583.62"/>
    <s v="May 2023"/>
  </r>
  <r>
    <d v="2023-05-07T00:00:00"/>
    <x v="3372"/>
    <n v="65"/>
    <x v="0"/>
    <x v="1"/>
    <x v="2"/>
    <x v="3"/>
    <n v="2076.1"/>
    <x v="0"/>
    <n v="2440.2966694490838"/>
    <n v="2283.71"/>
    <n v="2283.71"/>
    <n v="2283.71"/>
    <s v="May 2023"/>
  </r>
  <r>
    <d v="2023-05-07T00:00:00"/>
    <x v="3373"/>
    <n v="92"/>
    <x v="0"/>
    <x v="7"/>
    <x v="0"/>
    <x v="0"/>
    <n v="3976.35"/>
    <x v="0"/>
    <n v="2503.6022787783854"/>
    <n v="4373.9799999999996"/>
    <n v="4373.99"/>
    <n v="4373.99"/>
    <s v="May 2023"/>
  </r>
  <r>
    <d v="2023-05-07T00:00:00"/>
    <x v="3374"/>
    <n v="42"/>
    <x v="0"/>
    <x v="1"/>
    <x v="3"/>
    <x v="4"/>
    <n v="1430.01"/>
    <x v="1"/>
    <n v="2496.7676064256989"/>
    <n v="1573.01"/>
    <n v="1573.02"/>
    <n v="1573.01"/>
    <s v="May 2023"/>
  </r>
  <r>
    <d v="2023-05-07T00:00:00"/>
    <x v="3375"/>
    <n v="32"/>
    <x v="1"/>
    <x v="1"/>
    <x v="0"/>
    <x v="2"/>
    <n v="2604.13"/>
    <x v="1"/>
    <n v="2503.6022787783854"/>
    <n v="2864.54"/>
    <n v="2864.55"/>
    <n v="2864.54"/>
    <s v="May 2023"/>
  </r>
  <r>
    <d v="2023-05-07T00:00:00"/>
    <x v="3376"/>
    <n v="86"/>
    <x v="0"/>
    <x v="6"/>
    <x v="3"/>
    <x v="2"/>
    <n v="3742.51"/>
    <x v="0"/>
    <n v="2496.7676064256989"/>
    <n v="4116.76"/>
    <n v="4116.7700000000004"/>
    <n v="4116.76"/>
    <s v="May 2023"/>
  </r>
  <r>
    <d v="2023-05-07T00:00:00"/>
    <x v="3377"/>
    <n v="77"/>
    <x v="0"/>
    <x v="7"/>
    <x v="0"/>
    <x v="2"/>
    <n v="970.96"/>
    <x v="0"/>
    <n v="2503.6022787783854"/>
    <n v="1068.05"/>
    <n v="1068.06"/>
    <n v="1068.06"/>
    <s v="May 2023"/>
  </r>
  <r>
    <d v="2023-05-07T00:00:00"/>
    <x v="3378"/>
    <n v="39"/>
    <x v="0"/>
    <x v="3"/>
    <x v="0"/>
    <x v="1"/>
    <n v="4360.5200000000004"/>
    <x v="1"/>
    <n v="2503.6022787783854"/>
    <n v="4796.57"/>
    <n v="4796.58"/>
    <n v="4796.57"/>
    <s v="May 2023"/>
  </r>
  <r>
    <d v="2023-05-08T00:00:00"/>
    <x v="3379"/>
    <n v="92"/>
    <x v="0"/>
    <x v="6"/>
    <x v="1"/>
    <x v="2"/>
    <n v="437.63"/>
    <x v="0"/>
    <n v="2509.1716796874912"/>
    <n v="481.39"/>
    <n v="481.4"/>
    <n v="481.39"/>
    <s v="May 2023"/>
  </r>
  <r>
    <d v="2023-05-08T00:00:00"/>
    <x v="3380"/>
    <n v="66"/>
    <x v="1"/>
    <x v="7"/>
    <x v="0"/>
    <x v="1"/>
    <n v="2591.7199999999998"/>
    <x v="0"/>
    <n v="2503.6022787783854"/>
    <n v="2850.89"/>
    <n v="2850.9"/>
    <n v="2850.89"/>
    <s v="May 2023"/>
  </r>
  <r>
    <d v="2023-05-08T00:00:00"/>
    <x v="3381"/>
    <n v="79"/>
    <x v="1"/>
    <x v="1"/>
    <x v="0"/>
    <x v="0"/>
    <n v="4474.63"/>
    <x v="0"/>
    <n v="2503.6022787783854"/>
    <n v="4922.09"/>
    <n v="4922.1000000000004"/>
    <n v="4922.09"/>
    <s v="May 2023"/>
  </r>
  <r>
    <d v="2023-05-08T00:00:00"/>
    <x v="3382"/>
    <n v="86"/>
    <x v="2"/>
    <x v="7"/>
    <x v="3"/>
    <x v="4"/>
    <n v="4998.22"/>
    <x v="0"/>
    <n v="2496.7676064256989"/>
    <n v="5498.04"/>
    <n v="5498.05"/>
    <n v="5498.04"/>
    <s v="May 2023"/>
  </r>
  <r>
    <d v="2023-05-08T00:00:00"/>
    <x v="3383"/>
    <n v="10"/>
    <x v="2"/>
    <x v="1"/>
    <x v="3"/>
    <x v="2"/>
    <n v="355.75"/>
    <x v="2"/>
    <n v="2496.7676064256989"/>
    <n v="391.32"/>
    <n v="391.33"/>
    <n v="391.33"/>
    <s v="May 2023"/>
  </r>
  <r>
    <d v="2023-05-09T00:00:00"/>
    <x v="3384"/>
    <n v="89"/>
    <x v="2"/>
    <x v="1"/>
    <x v="2"/>
    <x v="4"/>
    <n v="1803.49"/>
    <x v="0"/>
    <n v="2440.2966694490838"/>
    <n v="1983.83"/>
    <n v="1983.84"/>
    <n v="1983.84"/>
    <s v="May 2023"/>
  </r>
  <r>
    <d v="2023-05-09T00:00:00"/>
    <x v="3385"/>
    <n v="0"/>
    <x v="1"/>
    <x v="4"/>
    <x v="3"/>
    <x v="5"/>
    <n v="4094.31"/>
    <x v="2"/>
    <n v="2496.7676064256989"/>
    <n v="4503.74"/>
    <n v="4503.75"/>
    <n v="4503.74"/>
    <s v="May 2023"/>
  </r>
  <r>
    <d v="2023-05-09T00:00:00"/>
    <x v="3386"/>
    <n v="68"/>
    <x v="0"/>
    <x v="4"/>
    <x v="0"/>
    <x v="0"/>
    <n v="652.95000000000005"/>
    <x v="0"/>
    <n v="2503.6022787783854"/>
    <n v="718.24"/>
    <n v="718.25"/>
    <n v="718.25"/>
    <s v="May 2023"/>
  </r>
  <r>
    <d v="2023-05-09T00:00:00"/>
    <x v="3387"/>
    <n v="37"/>
    <x v="0"/>
    <x v="3"/>
    <x v="0"/>
    <x v="0"/>
    <n v="966.01"/>
    <x v="1"/>
    <n v="2503.6022787783854"/>
    <n v="1062.6099999999999"/>
    <n v="1062.6199999999999"/>
    <n v="1062.6099999999999"/>
    <s v="May 2023"/>
  </r>
  <r>
    <d v="2023-05-10T00:00:00"/>
    <x v="3388"/>
    <n v="25"/>
    <x v="0"/>
    <x v="3"/>
    <x v="2"/>
    <x v="3"/>
    <n v="3985.78"/>
    <x v="1"/>
    <n v="2440.2966694490838"/>
    <n v="4384.3500000000004"/>
    <n v="4384.3600000000006"/>
    <n v="4384.3599999999997"/>
    <s v="May 2023"/>
  </r>
  <r>
    <d v="2023-05-10T00:00:00"/>
    <x v="3389"/>
    <n v="50"/>
    <x v="1"/>
    <x v="3"/>
    <x v="0"/>
    <x v="1"/>
    <n v="2886.8"/>
    <x v="1"/>
    <n v="2503.6022787783854"/>
    <n v="3175.48"/>
    <n v="3175.48"/>
    <n v="3175.48"/>
    <s v="May 2023"/>
  </r>
  <r>
    <d v="2023-05-10T00:00:00"/>
    <x v="3390"/>
    <n v="4"/>
    <x v="0"/>
    <x v="3"/>
    <x v="2"/>
    <x v="2"/>
    <n v="4083.85"/>
    <x v="2"/>
    <n v="2440.2966694490838"/>
    <n v="4492.2299999999996"/>
    <n v="4492.24"/>
    <n v="4492.24"/>
    <s v="May 2023"/>
  </r>
  <r>
    <d v="2023-05-10T00:00:00"/>
    <x v="3391"/>
    <n v="42"/>
    <x v="0"/>
    <x v="5"/>
    <x v="0"/>
    <x v="1"/>
    <n v="1799.77"/>
    <x v="1"/>
    <n v="2503.6022787783854"/>
    <n v="1979.74"/>
    <n v="1979.75"/>
    <n v="1979.75"/>
    <s v="May 2023"/>
  </r>
  <r>
    <d v="2023-05-10T00:00:00"/>
    <x v="3392"/>
    <n v="57"/>
    <x v="1"/>
    <x v="0"/>
    <x v="2"/>
    <x v="1"/>
    <n v="119.24"/>
    <x v="1"/>
    <n v="2440.2966694490838"/>
    <n v="131.16"/>
    <n v="131.16999999999999"/>
    <n v="131.16"/>
    <s v="May 2023"/>
  </r>
  <r>
    <d v="2023-05-10T00:00:00"/>
    <x v="3393"/>
    <n v="86"/>
    <x v="2"/>
    <x v="5"/>
    <x v="0"/>
    <x v="2"/>
    <n v="2759.01"/>
    <x v="0"/>
    <n v="2503.6022787783854"/>
    <n v="3034.91"/>
    <n v="3034.92"/>
    <n v="3034.91"/>
    <s v="May 2023"/>
  </r>
  <r>
    <d v="2023-05-11T00:00:00"/>
    <x v="3394"/>
    <n v="56"/>
    <x v="2"/>
    <x v="6"/>
    <x v="0"/>
    <x v="4"/>
    <n v="4824.51"/>
    <x v="1"/>
    <n v="2503.6022787783854"/>
    <n v="5306.96"/>
    <n v="5306.97"/>
    <n v="5306.96"/>
    <s v="May 2023"/>
  </r>
  <r>
    <d v="2023-05-11T00:00:00"/>
    <x v="3395"/>
    <n v="74"/>
    <x v="1"/>
    <x v="5"/>
    <x v="2"/>
    <x v="1"/>
    <n v="4543.5200000000004"/>
    <x v="0"/>
    <n v="2440.2966694490838"/>
    <n v="4997.87"/>
    <n v="4997.88"/>
    <n v="4997.87"/>
    <s v="May 2023"/>
  </r>
  <r>
    <d v="2023-05-11T00:00:00"/>
    <x v="3396"/>
    <n v="68"/>
    <x v="2"/>
    <x v="3"/>
    <x v="0"/>
    <x v="3"/>
    <n v="1161.2"/>
    <x v="0"/>
    <n v="2503.6022787783854"/>
    <n v="1277.32"/>
    <n v="1277.32"/>
    <n v="1277.32"/>
    <s v="May 2023"/>
  </r>
  <r>
    <d v="2023-05-11T00:00:00"/>
    <x v="3397"/>
    <n v="23"/>
    <x v="1"/>
    <x v="4"/>
    <x v="3"/>
    <x v="4"/>
    <n v="3878.48"/>
    <x v="1"/>
    <n v="2496.7676064256989"/>
    <n v="4266.32"/>
    <n v="4266.33"/>
    <n v="4266.33"/>
    <s v="May 2023"/>
  </r>
  <r>
    <d v="2023-05-11T00:00:00"/>
    <x v="3398"/>
    <n v="21"/>
    <x v="1"/>
    <x v="2"/>
    <x v="0"/>
    <x v="4"/>
    <n v="2251.14"/>
    <x v="1"/>
    <n v="2503.6022787783854"/>
    <n v="2476.25"/>
    <n v="2476.2600000000002"/>
    <n v="2476.25"/>
    <s v="May 2023"/>
  </r>
  <r>
    <d v="2023-05-11T00:00:00"/>
    <x v="3399"/>
    <n v="40"/>
    <x v="1"/>
    <x v="1"/>
    <x v="2"/>
    <x v="4"/>
    <n v="4272.28"/>
    <x v="1"/>
    <n v="2440.2966694490838"/>
    <n v="4699.5"/>
    <n v="4699.51"/>
    <n v="4699.51"/>
    <s v="May 2023"/>
  </r>
  <r>
    <d v="2023-05-11T00:00:00"/>
    <x v="3400"/>
    <n v="95"/>
    <x v="2"/>
    <x v="4"/>
    <x v="1"/>
    <x v="3"/>
    <n v="455.81"/>
    <x v="0"/>
    <n v="2509.1716796874912"/>
    <n v="501.39"/>
    <n v="501.4"/>
    <n v="501.39"/>
    <s v="May 2023"/>
  </r>
  <r>
    <d v="2023-05-12T00:00:00"/>
    <x v="3401"/>
    <n v="97"/>
    <x v="2"/>
    <x v="7"/>
    <x v="2"/>
    <x v="1"/>
    <n v="2934.58"/>
    <x v="0"/>
    <n v="2440.2966694490838"/>
    <n v="3228.03"/>
    <n v="3228.0400000000004"/>
    <n v="3228.04"/>
    <s v="May 2023"/>
  </r>
  <r>
    <d v="2023-05-12T00:00:00"/>
    <x v="3402"/>
    <n v="24"/>
    <x v="0"/>
    <x v="0"/>
    <x v="0"/>
    <x v="3"/>
    <n v="1254.32"/>
    <x v="1"/>
    <n v="2503.6022787783854"/>
    <n v="1379.75"/>
    <n v="1379.76"/>
    <n v="1379.75"/>
    <s v="May 2023"/>
  </r>
  <r>
    <d v="2023-05-12T00:00:00"/>
    <x v="3403"/>
    <n v="70"/>
    <x v="0"/>
    <x v="5"/>
    <x v="2"/>
    <x v="1"/>
    <n v="4793.6000000000004"/>
    <x v="0"/>
    <n v="2440.2966694490838"/>
    <n v="5272.96"/>
    <n v="5272.96"/>
    <n v="5272.96"/>
    <s v="May 2023"/>
  </r>
  <r>
    <d v="2023-05-12T00:00:00"/>
    <x v="3404"/>
    <n v="93"/>
    <x v="1"/>
    <x v="4"/>
    <x v="0"/>
    <x v="0"/>
    <n v="2580.65"/>
    <x v="0"/>
    <n v="2503.6022787783854"/>
    <n v="2838.71"/>
    <n v="2838.7200000000003"/>
    <n v="2838.72"/>
    <s v="May 2023"/>
  </r>
  <r>
    <d v="2023-05-12T00:00:00"/>
    <x v="3405"/>
    <n v="47"/>
    <x v="0"/>
    <x v="7"/>
    <x v="0"/>
    <x v="4"/>
    <n v="1290.4100000000001"/>
    <x v="1"/>
    <n v="2503.6022787783854"/>
    <n v="1419.45"/>
    <n v="1419.46"/>
    <n v="1419.45"/>
    <s v="May 2023"/>
  </r>
  <r>
    <d v="2023-05-12T00:00:00"/>
    <x v="3406"/>
    <n v="58"/>
    <x v="2"/>
    <x v="6"/>
    <x v="3"/>
    <x v="3"/>
    <n v="4780.29"/>
    <x v="1"/>
    <n v="2496.7676064256989"/>
    <n v="5258.31"/>
    <n v="5258.3200000000006"/>
    <n v="5258.32"/>
    <s v="May 2023"/>
  </r>
  <r>
    <d v="2023-05-12T00:00:00"/>
    <x v="3407"/>
    <n v="56"/>
    <x v="1"/>
    <x v="5"/>
    <x v="3"/>
    <x v="1"/>
    <n v="715.1"/>
    <x v="1"/>
    <n v="2496.7676064256989"/>
    <n v="786.61"/>
    <n v="786.61"/>
    <n v="786.61"/>
    <s v="May 2023"/>
  </r>
  <r>
    <d v="2023-05-13T00:00:00"/>
    <x v="3408"/>
    <n v="16"/>
    <x v="0"/>
    <x v="2"/>
    <x v="1"/>
    <x v="1"/>
    <n v="760.13"/>
    <x v="1"/>
    <n v="2509.1716796874912"/>
    <n v="836.14"/>
    <n v="836.15"/>
    <n v="836.14"/>
    <s v="May 2023"/>
  </r>
  <r>
    <d v="2023-05-13T00:00:00"/>
    <x v="3409"/>
    <n v="34"/>
    <x v="1"/>
    <x v="4"/>
    <x v="3"/>
    <x v="2"/>
    <n v="4917.12"/>
    <x v="1"/>
    <n v="2496.7676064256989"/>
    <n v="5408.83"/>
    <n v="5408.84"/>
    <n v="5408.83"/>
    <s v="May 2023"/>
  </r>
  <r>
    <d v="2023-05-13T00:00:00"/>
    <x v="3410"/>
    <n v="98"/>
    <x v="1"/>
    <x v="2"/>
    <x v="3"/>
    <x v="4"/>
    <n v="679.97"/>
    <x v="0"/>
    <n v="2496.7676064256989"/>
    <n v="747.96"/>
    <n v="747.97"/>
    <n v="747.97"/>
    <s v="May 2023"/>
  </r>
  <r>
    <d v="2023-05-13T00:00:00"/>
    <x v="3411"/>
    <n v="73"/>
    <x v="1"/>
    <x v="0"/>
    <x v="3"/>
    <x v="1"/>
    <n v="3361.81"/>
    <x v="0"/>
    <n v="2496.7676064256989"/>
    <n v="3697.99"/>
    <n v="3698"/>
    <n v="3697.99"/>
    <s v="May 2023"/>
  </r>
  <r>
    <d v="2023-05-13T00:00:00"/>
    <x v="3412"/>
    <n v="85"/>
    <x v="0"/>
    <x v="6"/>
    <x v="0"/>
    <x v="4"/>
    <n v="3207.71"/>
    <x v="0"/>
    <n v="2503.6022787783854"/>
    <n v="3528.48"/>
    <n v="3528.4900000000002"/>
    <n v="3528.48"/>
    <s v="May 2023"/>
  </r>
  <r>
    <d v="2023-05-13T00:00:00"/>
    <x v="3413"/>
    <n v="99"/>
    <x v="2"/>
    <x v="3"/>
    <x v="2"/>
    <x v="1"/>
    <n v="1555"/>
    <x v="0"/>
    <n v="2440.2966694490838"/>
    <n v="1710.5"/>
    <n v="1710.5"/>
    <n v="1710.5"/>
    <s v="May 2023"/>
  </r>
  <r>
    <d v="2023-05-13T00:00:00"/>
    <x v="3414"/>
    <n v="13"/>
    <x v="2"/>
    <x v="2"/>
    <x v="1"/>
    <x v="2"/>
    <n v="2013.1"/>
    <x v="2"/>
    <n v="2509.1716796874912"/>
    <n v="2214.41"/>
    <n v="2214.41"/>
    <n v="2214.41"/>
    <s v="May 2023"/>
  </r>
  <r>
    <d v="2023-05-13T00:00:00"/>
    <x v="3415"/>
    <n v="93"/>
    <x v="2"/>
    <x v="5"/>
    <x v="1"/>
    <x v="2"/>
    <n v="1222.19"/>
    <x v="0"/>
    <n v="2509.1716796874912"/>
    <n v="1344.4"/>
    <n v="1344.41"/>
    <n v="1344.41"/>
    <s v="May 2023"/>
  </r>
  <r>
    <d v="2023-05-13T00:00:00"/>
    <x v="3416"/>
    <n v="45"/>
    <x v="1"/>
    <x v="3"/>
    <x v="3"/>
    <x v="4"/>
    <n v="3285.48"/>
    <x v="1"/>
    <n v="2496.7676064256989"/>
    <n v="3614.02"/>
    <n v="3614.03"/>
    <n v="3614.03"/>
    <s v="May 2023"/>
  </r>
  <r>
    <d v="2023-05-14T00:00:00"/>
    <x v="3417"/>
    <n v="57"/>
    <x v="1"/>
    <x v="3"/>
    <x v="2"/>
    <x v="0"/>
    <n v="2696.78"/>
    <x v="1"/>
    <n v="2440.2966694490838"/>
    <n v="2966.45"/>
    <n v="2966.46"/>
    <n v="2966.46"/>
    <s v="May 2023"/>
  </r>
  <r>
    <d v="2023-05-14T00:00:00"/>
    <x v="3418"/>
    <n v="95"/>
    <x v="0"/>
    <x v="2"/>
    <x v="0"/>
    <x v="3"/>
    <n v="460.63"/>
    <x v="0"/>
    <n v="2503.6022787783854"/>
    <n v="506.69"/>
    <n v="506.7"/>
    <n v="506.69"/>
    <s v="May 2023"/>
  </r>
  <r>
    <d v="2023-05-14T00:00:00"/>
    <x v="3419"/>
    <n v="18"/>
    <x v="0"/>
    <x v="5"/>
    <x v="1"/>
    <x v="2"/>
    <n v="1450.49"/>
    <x v="1"/>
    <n v="2509.1716796874912"/>
    <n v="1595.53"/>
    <n v="1595.54"/>
    <n v="1595.54"/>
    <s v="May 2023"/>
  </r>
  <r>
    <d v="2023-05-14T00:00:00"/>
    <x v="3420"/>
    <n v="93"/>
    <x v="1"/>
    <x v="7"/>
    <x v="1"/>
    <x v="0"/>
    <n v="1888.1"/>
    <x v="0"/>
    <n v="2509.1716796874912"/>
    <n v="2076.91"/>
    <n v="2076.91"/>
    <n v="2076.91"/>
    <s v="May 2023"/>
  </r>
  <r>
    <d v="2023-05-15T00:00:00"/>
    <x v="3421"/>
    <n v="39"/>
    <x v="2"/>
    <x v="0"/>
    <x v="2"/>
    <x v="1"/>
    <n v="631.64"/>
    <x v="1"/>
    <n v="2440.2966694490838"/>
    <n v="694.8"/>
    <n v="694.81"/>
    <n v="694.8"/>
    <s v="May 2023"/>
  </r>
  <r>
    <d v="2023-05-15T00:00:00"/>
    <x v="3422"/>
    <n v="26"/>
    <x v="0"/>
    <x v="3"/>
    <x v="3"/>
    <x v="2"/>
    <n v="853.38"/>
    <x v="1"/>
    <n v="2496.7676064256989"/>
    <n v="938.71"/>
    <n v="938.72"/>
    <n v="938.72"/>
    <s v="May 2023"/>
  </r>
  <r>
    <d v="2023-05-15T00:00:00"/>
    <x v="3423"/>
    <n v="9"/>
    <x v="0"/>
    <x v="1"/>
    <x v="0"/>
    <x v="4"/>
    <n v="2440.62"/>
    <x v="2"/>
    <n v="2503.6022787783854"/>
    <n v="2684.68"/>
    <n v="2684.69"/>
    <n v="2684.68"/>
    <s v="May 2023"/>
  </r>
  <r>
    <d v="2023-05-15T00:00:00"/>
    <x v="3424"/>
    <n v="47"/>
    <x v="2"/>
    <x v="1"/>
    <x v="0"/>
    <x v="4"/>
    <n v="3280.46"/>
    <x v="1"/>
    <n v="2503.6022787783854"/>
    <n v="3608.5"/>
    <n v="3608.51"/>
    <n v="3608.51"/>
    <s v="May 2023"/>
  </r>
  <r>
    <d v="2023-05-16T00:00:00"/>
    <x v="3425"/>
    <n v="65"/>
    <x v="2"/>
    <x v="1"/>
    <x v="3"/>
    <x v="3"/>
    <n v="1490.92"/>
    <x v="0"/>
    <n v="2496.7676064256989"/>
    <n v="1640.01"/>
    <n v="1640.02"/>
    <n v="1640.01"/>
    <s v="May 2023"/>
  </r>
  <r>
    <d v="2023-05-16T00:00:00"/>
    <x v="3426"/>
    <n v="31"/>
    <x v="2"/>
    <x v="4"/>
    <x v="1"/>
    <x v="4"/>
    <n v="538.07000000000005"/>
    <x v="1"/>
    <n v="2509.1716796874912"/>
    <n v="591.87"/>
    <n v="591.88"/>
    <n v="591.88"/>
    <s v="May 2023"/>
  </r>
  <r>
    <d v="2023-05-16T00:00:00"/>
    <x v="3427"/>
    <n v="15"/>
    <x v="1"/>
    <x v="4"/>
    <x v="3"/>
    <x v="4"/>
    <n v="3333.63"/>
    <x v="2"/>
    <n v="2496.7676064256989"/>
    <n v="3666.99"/>
    <n v="3667"/>
    <n v="3666.99"/>
    <s v="May 2023"/>
  </r>
  <r>
    <d v="2023-05-16T00:00:00"/>
    <x v="3428"/>
    <n v="2"/>
    <x v="0"/>
    <x v="4"/>
    <x v="1"/>
    <x v="1"/>
    <n v="3070.63"/>
    <x v="2"/>
    <n v="2509.1716796874912"/>
    <n v="3377.69"/>
    <n v="3377.7000000000003"/>
    <n v="3377.69"/>
    <s v="May 2023"/>
  </r>
  <r>
    <d v="2023-05-16T00:00:00"/>
    <x v="3429"/>
    <n v="41"/>
    <x v="2"/>
    <x v="2"/>
    <x v="1"/>
    <x v="2"/>
    <n v="248.71"/>
    <x v="1"/>
    <n v="2509.1716796874912"/>
    <n v="273.58"/>
    <n v="273.58999999999997"/>
    <n v="273.58"/>
    <s v="May 2023"/>
  </r>
  <r>
    <d v="2023-05-16T00:00:00"/>
    <x v="3430"/>
    <n v="81"/>
    <x v="2"/>
    <x v="0"/>
    <x v="1"/>
    <x v="1"/>
    <n v="2759.44"/>
    <x v="0"/>
    <n v="2509.1716796874912"/>
    <n v="3035.38"/>
    <n v="3035.3900000000003"/>
    <n v="3035.38"/>
    <s v="May 2023"/>
  </r>
  <r>
    <d v="2023-05-16T00:00:00"/>
    <x v="3431"/>
    <n v="45"/>
    <x v="2"/>
    <x v="0"/>
    <x v="0"/>
    <x v="1"/>
    <n v="4836.37"/>
    <x v="1"/>
    <n v="2503.6022787783854"/>
    <n v="5320"/>
    <n v="5320.01"/>
    <n v="5320.01"/>
    <s v="May 2023"/>
  </r>
  <r>
    <d v="2023-05-16T00:00:00"/>
    <x v="3432"/>
    <n v="60"/>
    <x v="0"/>
    <x v="3"/>
    <x v="2"/>
    <x v="2"/>
    <n v="4202.33"/>
    <x v="1"/>
    <n v="2440.2966694490838"/>
    <n v="4622.5600000000004"/>
    <n v="4622.5700000000006"/>
    <n v="4622.5600000000004"/>
    <s v="May 2023"/>
  </r>
  <r>
    <d v="2023-05-16T00:00:00"/>
    <x v="3433"/>
    <n v="64"/>
    <x v="2"/>
    <x v="2"/>
    <x v="1"/>
    <x v="1"/>
    <n v="2994.66"/>
    <x v="1"/>
    <n v="2509.1716796874912"/>
    <n v="3294.12"/>
    <n v="3294.13"/>
    <n v="3294.13"/>
    <s v="May 2023"/>
  </r>
  <r>
    <d v="2023-05-16T00:00:00"/>
    <x v="3434"/>
    <n v="38"/>
    <x v="0"/>
    <x v="6"/>
    <x v="2"/>
    <x v="4"/>
    <n v="1995.66"/>
    <x v="1"/>
    <n v="2440.2966694490838"/>
    <n v="2195.2199999999998"/>
    <n v="2195.23"/>
    <n v="2195.23"/>
    <s v="May 2023"/>
  </r>
  <r>
    <d v="2023-05-16T00:00:00"/>
    <x v="3435"/>
    <n v="97"/>
    <x v="0"/>
    <x v="7"/>
    <x v="2"/>
    <x v="4"/>
    <n v="442.84"/>
    <x v="0"/>
    <n v="2440.2966694490838"/>
    <n v="487.12"/>
    <n v="487.13"/>
    <n v="487.12"/>
    <s v="May 2023"/>
  </r>
  <r>
    <d v="2023-05-16T00:00:00"/>
    <x v="3436"/>
    <n v="97"/>
    <x v="0"/>
    <x v="3"/>
    <x v="1"/>
    <x v="0"/>
    <n v="4336.05"/>
    <x v="0"/>
    <n v="2509.1716796874912"/>
    <n v="4769.6499999999996"/>
    <n v="4769.66"/>
    <n v="4769.66"/>
    <s v="May 2023"/>
  </r>
  <r>
    <d v="2023-05-17T00:00:00"/>
    <x v="3437"/>
    <n v="79"/>
    <x v="0"/>
    <x v="2"/>
    <x v="2"/>
    <x v="3"/>
    <n v="2884.89"/>
    <x v="0"/>
    <n v="2440.2966694490838"/>
    <n v="3173.37"/>
    <n v="3173.38"/>
    <n v="3173.38"/>
    <s v="May 2023"/>
  </r>
  <r>
    <d v="2023-05-17T00:00:00"/>
    <x v="3438"/>
    <n v="56"/>
    <x v="1"/>
    <x v="0"/>
    <x v="2"/>
    <x v="1"/>
    <n v="4340.82"/>
    <x v="1"/>
    <n v="2440.2966694490838"/>
    <n v="4774.8999999999996"/>
    <n v="4774.91"/>
    <n v="4774.8999999999996"/>
    <s v="May 2023"/>
  </r>
  <r>
    <d v="2023-05-17T00:00:00"/>
    <x v="3439"/>
    <n v="11"/>
    <x v="1"/>
    <x v="7"/>
    <x v="3"/>
    <x v="4"/>
    <n v="1057.1400000000001"/>
    <x v="2"/>
    <n v="2496.7676064256989"/>
    <n v="1162.8499999999999"/>
    <n v="1162.8599999999999"/>
    <n v="1162.8499999999999"/>
    <s v="May 2023"/>
  </r>
  <r>
    <d v="2023-05-17T00:00:00"/>
    <x v="3440"/>
    <n v="31"/>
    <x v="2"/>
    <x v="1"/>
    <x v="3"/>
    <x v="0"/>
    <n v="3892.53"/>
    <x v="1"/>
    <n v="2496.7676064256989"/>
    <n v="4281.78"/>
    <n v="4281.79"/>
    <n v="4281.78"/>
    <s v="May 2023"/>
  </r>
  <r>
    <d v="2023-05-17T00:00:00"/>
    <x v="3441"/>
    <n v="72"/>
    <x v="0"/>
    <x v="3"/>
    <x v="3"/>
    <x v="3"/>
    <n v="2331.89"/>
    <x v="0"/>
    <n v="2496.7676064256989"/>
    <n v="2565.0700000000002"/>
    <n v="2565.0800000000004"/>
    <n v="2565.08"/>
    <s v="May 2023"/>
  </r>
  <r>
    <d v="2023-05-17T00:00:00"/>
    <x v="3442"/>
    <n v="45"/>
    <x v="2"/>
    <x v="1"/>
    <x v="0"/>
    <x v="3"/>
    <n v="2440.94"/>
    <x v="1"/>
    <n v="2503.6022787783854"/>
    <n v="2685.03"/>
    <n v="2685.0400000000004"/>
    <n v="2685.03"/>
    <s v="May 2023"/>
  </r>
  <r>
    <d v="2023-05-17T00:00:00"/>
    <x v="3443"/>
    <n v="54"/>
    <x v="0"/>
    <x v="2"/>
    <x v="3"/>
    <x v="3"/>
    <n v="1572.56"/>
    <x v="1"/>
    <n v="2496.7676064256989"/>
    <n v="1729.81"/>
    <n v="1729.82"/>
    <n v="1729.82"/>
    <s v="May 2023"/>
  </r>
  <r>
    <d v="2023-05-18T00:00:00"/>
    <x v="3444"/>
    <n v="16"/>
    <x v="0"/>
    <x v="6"/>
    <x v="2"/>
    <x v="0"/>
    <n v="1957.59"/>
    <x v="1"/>
    <n v="2440.2966694490838"/>
    <n v="2153.34"/>
    <n v="2153.3500000000004"/>
    <n v="2153.35"/>
    <s v="May 2023"/>
  </r>
  <r>
    <d v="2023-05-18T00:00:00"/>
    <x v="3445"/>
    <n v="1"/>
    <x v="0"/>
    <x v="2"/>
    <x v="3"/>
    <x v="1"/>
    <n v="1647.67"/>
    <x v="2"/>
    <n v="2496.7676064256989"/>
    <n v="1812.43"/>
    <n v="1812.44"/>
    <n v="1812.44"/>
    <s v="May 2023"/>
  </r>
  <r>
    <d v="2023-05-18T00:00:00"/>
    <x v="3446"/>
    <n v="15"/>
    <x v="1"/>
    <x v="3"/>
    <x v="1"/>
    <x v="2"/>
    <n v="3698.26"/>
    <x v="2"/>
    <n v="2509.1716796874912"/>
    <n v="4068.08"/>
    <n v="4068.09"/>
    <n v="4068.09"/>
    <s v="May 2023"/>
  </r>
  <r>
    <d v="2023-05-18T00:00:00"/>
    <x v="3447"/>
    <n v="19"/>
    <x v="1"/>
    <x v="5"/>
    <x v="1"/>
    <x v="2"/>
    <n v="1776.64"/>
    <x v="1"/>
    <n v="2509.1716796874912"/>
    <n v="1954.3"/>
    <n v="1954.31"/>
    <n v="1954.3"/>
    <s v="May 2023"/>
  </r>
  <r>
    <d v="2023-05-18T00:00:00"/>
    <x v="3448"/>
    <n v="85"/>
    <x v="2"/>
    <x v="0"/>
    <x v="3"/>
    <x v="4"/>
    <n v="3498.67"/>
    <x v="0"/>
    <n v="2496.7676064256989"/>
    <n v="3848.53"/>
    <n v="3848.5400000000004"/>
    <n v="3848.54"/>
    <s v="May 2023"/>
  </r>
  <r>
    <d v="2023-05-18T00:00:00"/>
    <x v="3449"/>
    <n v="25"/>
    <x v="2"/>
    <x v="2"/>
    <x v="3"/>
    <x v="4"/>
    <n v="2058.63"/>
    <x v="1"/>
    <n v="2496.7676064256989"/>
    <n v="2264.4899999999998"/>
    <n v="2264.5"/>
    <n v="2264.4899999999998"/>
    <s v="May 2023"/>
  </r>
  <r>
    <d v="2023-05-18T00:00:00"/>
    <x v="3450"/>
    <n v="34"/>
    <x v="1"/>
    <x v="6"/>
    <x v="3"/>
    <x v="4"/>
    <n v="3979.42"/>
    <x v="1"/>
    <n v="2496.7676064256989"/>
    <n v="4377.3599999999997"/>
    <n v="4377.37"/>
    <n v="4377.3599999999997"/>
    <s v="May 2023"/>
  </r>
  <r>
    <d v="2023-05-18T00:00:00"/>
    <x v="3451"/>
    <n v="72"/>
    <x v="2"/>
    <x v="5"/>
    <x v="1"/>
    <x v="2"/>
    <n v="3423.2"/>
    <x v="0"/>
    <n v="2509.1716796874912"/>
    <n v="3765.52"/>
    <n v="3765.52"/>
    <n v="3765.52"/>
    <s v="May 2023"/>
  </r>
  <r>
    <d v="2023-05-18T00:00:00"/>
    <x v="3452"/>
    <n v="24"/>
    <x v="1"/>
    <x v="1"/>
    <x v="3"/>
    <x v="4"/>
    <n v="4770.24"/>
    <x v="1"/>
    <n v="2496.7676064256989"/>
    <n v="5247.26"/>
    <n v="5247.27"/>
    <n v="5247.26"/>
    <s v="May 2023"/>
  </r>
  <r>
    <d v="2023-05-18T00:00:00"/>
    <x v="3453"/>
    <n v="29"/>
    <x v="1"/>
    <x v="1"/>
    <x v="1"/>
    <x v="1"/>
    <n v="4771.28"/>
    <x v="1"/>
    <n v="2509.1716796874912"/>
    <n v="5248.4"/>
    <n v="5248.41"/>
    <n v="5248.41"/>
    <s v="May 2023"/>
  </r>
  <r>
    <d v="2023-05-19T00:00:00"/>
    <x v="3454"/>
    <n v="95"/>
    <x v="0"/>
    <x v="6"/>
    <x v="0"/>
    <x v="1"/>
    <n v="2432.6799999999998"/>
    <x v="0"/>
    <n v="2503.6022787783854"/>
    <n v="2675.94"/>
    <n v="2675.9500000000003"/>
    <n v="2675.95"/>
    <s v="May 2023"/>
  </r>
  <r>
    <d v="2023-05-19T00:00:00"/>
    <x v="3455"/>
    <n v="52"/>
    <x v="2"/>
    <x v="4"/>
    <x v="3"/>
    <x v="1"/>
    <n v="2914.68"/>
    <x v="1"/>
    <n v="2496.7676064256989"/>
    <n v="3206.14"/>
    <n v="3206.15"/>
    <n v="3206.15"/>
    <s v="May 2023"/>
  </r>
  <r>
    <d v="2023-05-19T00:00:00"/>
    <x v="3456"/>
    <n v="14"/>
    <x v="1"/>
    <x v="4"/>
    <x v="1"/>
    <x v="0"/>
    <n v="586.92999999999995"/>
    <x v="2"/>
    <n v="2509.1716796874912"/>
    <n v="645.62"/>
    <n v="645.63"/>
    <n v="645.62"/>
    <s v="May 2023"/>
  </r>
  <r>
    <d v="2023-05-20T00:00:00"/>
    <x v="3457"/>
    <n v="68"/>
    <x v="0"/>
    <x v="2"/>
    <x v="1"/>
    <x v="2"/>
    <n v="641.08000000000004"/>
    <x v="0"/>
    <n v="2509.1716796874912"/>
    <n v="705.18"/>
    <n v="705.18999999999994"/>
    <n v="705.19"/>
    <s v="May 2023"/>
  </r>
  <r>
    <d v="2023-05-20T00:00:00"/>
    <x v="3458"/>
    <n v="55"/>
    <x v="0"/>
    <x v="6"/>
    <x v="1"/>
    <x v="0"/>
    <n v="1505.69"/>
    <x v="1"/>
    <n v="2509.1716796874912"/>
    <n v="1656.25"/>
    <n v="1656.26"/>
    <n v="1656.26"/>
    <s v="May 2023"/>
  </r>
  <r>
    <d v="2023-05-20T00:00:00"/>
    <x v="3459"/>
    <n v="92"/>
    <x v="0"/>
    <x v="1"/>
    <x v="3"/>
    <x v="1"/>
    <n v="2610.67"/>
    <x v="0"/>
    <n v="2496.7676064256989"/>
    <n v="2871.73"/>
    <n v="2871.7400000000002"/>
    <n v="2871.74"/>
    <s v="May 2023"/>
  </r>
  <r>
    <d v="2023-05-20T00:00:00"/>
    <x v="3460"/>
    <n v="14"/>
    <x v="1"/>
    <x v="2"/>
    <x v="1"/>
    <x v="3"/>
    <n v="3540.35"/>
    <x v="2"/>
    <n v="2509.1716796874912"/>
    <n v="3894.38"/>
    <n v="3894.3900000000003"/>
    <n v="3894.39"/>
    <s v="May 2023"/>
  </r>
  <r>
    <d v="2023-05-20T00:00:00"/>
    <x v="3461"/>
    <n v="66"/>
    <x v="2"/>
    <x v="1"/>
    <x v="0"/>
    <x v="3"/>
    <n v="4587.0200000000004"/>
    <x v="0"/>
    <n v="2503.6022787783854"/>
    <n v="5045.72"/>
    <n v="5045.7300000000005"/>
    <n v="5045.72"/>
    <s v="May 2023"/>
  </r>
  <r>
    <d v="2023-05-20T00:00:00"/>
    <x v="3462"/>
    <n v="71"/>
    <x v="2"/>
    <x v="1"/>
    <x v="2"/>
    <x v="0"/>
    <n v="2913.81"/>
    <x v="0"/>
    <n v="2440.2966694490838"/>
    <n v="3205.19"/>
    <n v="3205.2000000000003"/>
    <n v="3205.19"/>
    <s v="May 2023"/>
  </r>
  <r>
    <d v="2023-05-21T00:00:00"/>
    <x v="3463"/>
    <n v="86"/>
    <x v="1"/>
    <x v="2"/>
    <x v="0"/>
    <x v="4"/>
    <n v="1606.08"/>
    <x v="0"/>
    <n v="2503.6022787783854"/>
    <n v="1766.68"/>
    <n v="1766.69"/>
    <n v="1766.69"/>
    <s v="May 2023"/>
  </r>
  <r>
    <d v="2023-05-21T00:00:00"/>
    <x v="3464"/>
    <n v="59"/>
    <x v="1"/>
    <x v="1"/>
    <x v="0"/>
    <x v="5"/>
    <n v="1349.16"/>
    <x v="1"/>
    <n v="2503.6022787783854"/>
    <n v="1484.07"/>
    <n v="1484.08"/>
    <n v="1484.08"/>
    <s v="May 2023"/>
  </r>
  <r>
    <d v="2023-05-21T00:00:00"/>
    <x v="3465"/>
    <n v="41"/>
    <x v="2"/>
    <x v="0"/>
    <x v="3"/>
    <x v="3"/>
    <n v="2897.84"/>
    <x v="1"/>
    <n v="2496.7676064256989"/>
    <n v="3187.62"/>
    <n v="3187.63"/>
    <n v="3187.62"/>
    <s v="May 2023"/>
  </r>
  <r>
    <d v="2023-05-21T00:00:00"/>
    <x v="3466"/>
    <n v="64"/>
    <x v="2"/>
    <x v="4"/>
    <x v="2"/>
    <x v="3"/>
    <n v="1934.81"/>
    <x v="1"/>
    <n v="2440.2966694490838"/>
    <n v="2128.29"/>
    <n v="2128.3000000000002"/>
    <n v="2128.29"/>
    <s v="May 2023"/>
  </r>
  <r>
    <d v="2023-05-21T00:00:00"/>
    <x v="3467"/>
    <n v="24"/>
    <x v="0"/>
    <x v="6"/>
    <x v="1"/>
    <x v="3"/>
    <n v="1331.06"/>
    <x v="1"/>
    <n v="2509.1716796874912"/>
    <n v="1464.16"/>
    <n v="1464.17"/>
    <n v="1464.17"/>
    <s v="May 2023"/>
  </r>
  <r>
    <d v="2023-05-21T00:00:00"/>
    <x v="3468"/>
    <n v="71"/>
    <x v="2"/>
    <x v="7"/>
    <x v="1"/>
    <x v="1"/>
    <n v="341.02"/>
    <x v="0"/>
    <n v="2509.1716796874912"/>
    <n v="375.12"/>
    <n v="375.13"/>
    <n v="375.12"/>
    <s v="May 2023"/>
  </r>
  <r>
    <d v="2023-05-21T00:00:00"/>
    <x v="3469"/>
    <n v="97"/>
    <x v="0"/>
    <x v="3"/>
    <x v="3"/>
    <x v="1"/>
    <n v="4654.83"/>
    <x v="0"/>
    <n v="2496.7676064256989"/>
    <n v="5120.3100000000004"/>
    <n v="5120.3200000000006"/>
    <n v="5120.3100000000004"/>
    <s v="May 2023"/>
  </r>
  <r>
    <d v="2023-05-21T00:00:00"/>
    <x v="3470"/>
    <n v="82"/>
    <x v="2"/>
    <x v="1"/>
    <x v="0"/>
    <x v="2"/>
    <n v="3649.74"/>
    <x v="0"/>
    <n v="2503.6022787783854"/>
    <n v="4014.71"/>
    <n v="4014.7200000000003"/>
    <n v="4014.71"/>
    <s v="May 2023"/>
  </r>
  <r>
    <d v="2023-05-21T00:00:00"/>
    <x v="3471"/>
    <n v="69"/>
    <x v="2"/>
    <x v="0"/>
    <x v="0"/>
    <x v="1"/>
    <n v="4524.5200000000004"/>
    <x v="0"/>
    <n v="2503.6022787783854"/>
    <n v="4976.97"/>
    <n v="4976.9800000000005"/>
    <n v="4976.97"/>
    <s v="May 2023"/>
  </r>
  <r>
    <d v="2023-05-21T00:00:00"/>
    <x v="3472"/>
    <n v="25"/>
    <x v="0"/>
    <x v="5"/>
    <x v="0"/>
    <x v="0"/>
    <n v="1172.29"/>
    <x v="1"/>
    <n v="2503.6022787783854"/>
    <n v="1289.51"/>
    <n v="1289.52"/>
    <n v="1289.52"/>
    <s v="May 2023"/>
  </r>
  <r>
    <d v="2023-05-22T00:00:00"/>
    <x v="3473"/>
    <n v="21"/>
    <x v="1"/>
    <x v="3"/>
    <x v="2"/>
    <x v="4"/>
    <n v="4461.74"/>
    <x v="1"/>
    <n v="2440.2966694490838"/>
    <n v="4907.91"/>
    <n v="4907.92"/>
    <n v="4907.91"/>
    <s v="May 2023"/>
  </r>
  <r>
    <d v="2023-05-22T00:00:00"/>
    <x v="3474"/>
    <n v="10"/>
    <x v="2"/>
    <x v="2"/>
    <x v="1"/>
    <x v="4"/>
    <n v="250.59"/>
    <x v="2"/>
    <n v="2509.1716796874912"/>
    <n v="275.64"/>
    <n v="275.64999999999998"/>
    <n v="275.64999999999998"/>
    <s v="May 2023"/>
  </r>
  <r>
    <d v="2023-05-22T00:00:00"/>
    <x v="3475"/>
    <n v="38"/>
    <x v="1"/>
    <x v="7"/>
    <x v="2"/>
    <x v="3"/>
    <n v="1970.19"/>
    <x v="1"/>
    <n v="2440.2966694490838"/>
    <n v="2167.1999999999998"/>
    <n v="2167.21"/>
    <n v="2167.21"/>
    <s v="May 2023"/>
  </r>
  <r>
    <d v="2023-05-22T00:00:00"/>
    <x v="3476"/>
    <n v="24"/>
    <x v="1"/>
    <x v="2"/>
    <x v="3"/>
    <x v="1"/>
    <n v="2406.25"/>
    <x v="1"/>
    <n v="2496.7676064256989"/>
    <n v="2646.87"/>
    <n v="2646.88"/>
    <n v="2646.88"/>
    <s v="May 2023"/>
  </r>
  <r>
    <d v="2023-05-23T00:00:00"/>
    <x v="3477"/>
    <n v="1"/>
    <x v="1"/>
    <x v="6"/>
    <x v="0"/>
    <x v="1"/>
    <n v="4769"/>
    <x v="2"/>
    <n v="2503.6022787783854"/>
    <n v="5245.9"/>
    <n v="5245.9"/>
    <n v="5245.9"/>
    <s v="May 2023"/>
  </r>
  <r>
    <d v="2023-05-23T00:00:00"/>
    <x v="3478"/>
    <n v="8"/>
    <x v="0"/>
    <x v="0"/>
    <x v="3"/>
    <x v="0"/>
    <n v="1305.72"/>
    <x v="2"/>
    <n v="2496.7676064256989"/>
    <n v="1436.29"/>
    <n v="1436.3"/>
    <n v="1436.29"/>
    <s v="May 2023"/>
  </r>
  <r>
    <d v="2023-05-23T00:00:00"/>
    <x v="3479"/>
    <n v="24"/>
    <x v="0"/>
    <x v="4"/>
    <x v="0"/>
    <x v="4"/>
    <n v="3218.35"/>
    <x v="1"/>
    <n v="2503.6022787783854"/>
    <n v="3540.18"/>
    <n v="3540.19"/>
    <n v="3540.19"/>
    <s v="May 2023"/>
  </r>
  <r>
    <d v="2023-05-23T00:00:00"/>
    <x v="3480"/>
    <n v="82"/>
    <x v="1"/>
    <x v="4"/>
    <x v="2"/>
    <x v="4"/>
    <n v="600.07000000000005"/>
    <x v="0"/>
    <n v="2440.2966694490838"/>
    <n v="660.07"/>
    <n v="660.08"/>
    <n v="660.08"/>
    <s v="May 2023"/>
  </r>
  <r>
    <d v="2023-05-23T00:00:00"/>
    <x v="3481"/>
    <n v="19"/>
    <x v="0"/>
    <x v="4"/>
    <x v="2"/>
    <x v="4"/>
    <n v="934.96"/>
    <x v="1"/>
    <n v="2440.2966694490838"/>
    <n v="1028.45"/>
    <n v="1028.46"/>
    <n v="1028.46"/>
    <s v="May 2023"/>
  </r>
  <r>
    <d v="2023-05-23T00:00:00"/>
    <x v="3482"/>
    <n v="3"/>
    <x v="1"/>
    <x v="5"/>
    <x v="2"/>
    <x v="0"/>
    <n v="376.71"/>
    <x v="2"/>
    <n v="2440.2966694490838"/>
    <n v="414.38"/>
    <n v="414.39"/>
    <n v="414.38"/>
    <s v="May 2023"/>
  </r>
  <r>
    <d v="2023-05-23T00:00:00"/>
    <x v="3483"/>
    <n v="81"/>
    <x v="0"/>
    <x v="7"/>
    <x v="0"/>
    <x v="4"/>
    <n v="554.96"/>
    <x v="0"/>
    <n v="2503.6022787783854"/>
    <n v="610.45000000000005"/>
    <n v="610.46"/>
    <n v="610.46"/>
    <s v="May 2023"/>
  </r>
  <r>
    <d v="2023-05-23T00:00:00"/>
    <x v="3484"/>
    <n v="61"/>
    <x v="2"/>
    <x v="7"/>
    <x v="0"/>
    <x v="4"/>
    <n v="3520.3"/>
    <x v="1"/>
    <n v="2503.6022787783854"/>
    <n v="3872.33"/>
    <n v="3872.33"/>
    <n v="3872.33"/>
    <s v="May 2023"/>
  </r>
  <r>
    <d v="2023-05-24T00:00:00"/>
    <x v="3485"/>
    <n v="47"/>
    <x v="2"/>
    <x v="4"/>
    <x v="1"/>
    <x v="0"/>
    <n v="159.97"/>
    <x v="1"/>
    <n v="2509.1716796874912"/>
    <n v="175.96"/>
    <n v="175.97"/>
    <n v="175.97"/>
    <s v="May 2023"/>
  </r>
  <r>
    <d v="2023-05-24T00:00:00"/>
    <x v="3486"/>
    <n v="37"/>
    <x v="1"/>
    <x v="6"/>
    <x v="0"/>
    <x v="2"/>
    <n v="3890.18"/>
    <x v="1"/>
    <n v="2503.6022787783854"/>
    <n v="4279.1899999999996"/>
    <n v="4279.2"/>
    <n v="4279.2"/>
    <s v="May 2023"/>
  </r>
  <r>
    <d v="2023-05-24T00:00:00"/>
    <x v="3487"/>
    <n v="90"/>
    <x v="1"/>
    <x v="0"/>
    <x v="1"/>
    <x v="2"/>
    <n v="1001.34"/>
    <x v="0"/>
    <n v="2509.1716796874912"/>
    <n v="1101.47"/>
    <n v="1101.48"/>
    <n v="1101.47"/>
    <s v="May 2023"/>
  </r>
  <r>
    <d v="2023-05-24T00:00:00"/>
    <x v="3488"/>
    <n v="88"/>
    <x v="0"/>
    <x v="4"/>
    <x v="0"/>
    <x v="1"/>
    <n v="4413.04"/>
    <x v="0"/>
    <n v="2503.6022787783854"/>
    <n v="4854.34"/>
    <n v="4854.3500000000004"/>
    <n v="4854.34"/>
    <s v="May 2023"/>
  </r>
  <r>
    <d v="2023-05-24T00:00:00"/>
    <x v="3489"/>
    <n v="52"/>
    <x v="0"/>
    <x v="1"/>
    <x v="0"/>
    <x v="1"/>
    <n v="438.96"/>
    <x v="1"/>
    <n v="2503.6022787783854"/>
    <n v="482.85"/>
    <n v="482.86"/>
    <n v="482.86"/>
    <s v="May 2023"/>
  </r>
  <r>
    <d v="2023-05-25T00:00:00"/>
    <x v="3490"/>
    <n v="37"/>
    <x v="0"/>
    <x v="5"/>
    <x v="1"/>
    <x v="4"/>
    <n v="3135.26"/>
    <x v="1"/>
    <n v="2509.1716796874912"/>
    <n v="3448.78"/>
    <n v="3448.7900000000004"/>
    <n v="3448.79"/>
    <s v="May 2023"/>
  </r>
  <r>
    <d v="2023-05-25T00:00:00"/>
    <x v="3491"/>
    <n v="27"/>
    <x v="1"/>
    <x v="6"/>
    <x v="2"/>
    <x v="3"/>
    <n v="2235.73"/>
    <x v="1"/>
    <n v="2440.2966694490838"/>
    <n v="2459.3000000000002"/>
    <n v="2459.3100000000004"/>
    <n v="2459.3000000000002"/>
    <s v="May 2023"/>
  </r>
  <r>
    <d v="2023-05-25T00:00:00"/>
    <x v="3492"/>
    <n v="8"/>
    <x v="0"/>
    <x v="5"/>
    <x v="3"/>
    <x v="1"/>
    <n v="1423.87"/>
    <x v="2"/>
    <n v="2496.7676064256989"/>
    <n v="1566.25"/>
    <n v="1566.26"/>
    <n v="1566.26"/>
    <s v="May 2023"/>
  </r>
  <r>
    <d v="2023-05-25T00:00:00"/>
    <x v="3493"/>
    <n v="7"/>
    <x v="1"/>
    <x v="1"/>
    <x v="3"/>
    <x v="4"/>
    <n v="4153.8599999999997"/>
    <x v="2"/>
    <n v="2496.7676064256989"/>
    <n v="4569.24"/>
    <n v="4569.25"/>
    <n v="4569.25"/>
    <s v="May 2023"/>
  </r>
  <r>
    <d v="2023-05-25T00:00:00"/>
    <x v="3494"/>
    <n v="93"/>
    <x v="2"/>
    <x v="4"/>
    <x v="2"/>
    <x v="3"/>
    <n v="4598.25"/>
    <x v="0"/>
    <n v="2440.2966694490838"/>
    <n v="5058.07"/>
    <n v="5058.08"/>
    <n v="5058.08"/>
    <s v="May 2023"/>
  </r>
  <r>
    <d v="2023-05-25T00:00:00"/>
    <x v="3495"/>
    <n v="94"/>
    <x v="0"/>
    <x v="3"/>
    <x v="0"/>
    <x v="5"/>
    <n v="1507.85"/>
    <x v="0"/>
    <n v="2503.6022787783854"/>
    <n v="1658.63"/>
    <n v="1658.64"/>
    <n v="1658.64"/>
    <s v="May 2023"/>
  </r>
  <r>
    <d v="2023-05-25T00:00:00"/>
    <x v="3496"/>
    <n v="14"/>
    <x v="1"/>
    <x v="7"/>
    <x v="1"/>
    <x v="3"/>
    <n v="1192.21"/>
    <x v="2"/>
    <n v="2509.1716796874912"/>
    <n v="1311.43"/>
    <n v="1311.44"/>
    <n v="1311.43"/>
    <s v="May 2023"/>
  </r>
  <r>
    <d v="2023-05-26T00:00:00"/>
    <x v="3497"/>
    <n v="72"/>
    <x v="1"/>
    <x v="3"/>
    <x v="1"/>
    <x v="1"/>
    <n v="1345.04"/>
    <x v="0"/>
    <n v="2509.1716796874912"/>
    <n v="1479.54"/>
    <n v="1479.55"/>
    <n v="1479.54"/>
    <s v="May 2023"/>
  </r>
  <r>
    <d v="2023-05-26T00:00:00"/>
    <x v="3498"/>
    <n v="95"/>
    <x v="2"/>
    <x v="4"/>
    <x v="3"/>
    <x v="4"/>
    <n v="2880.31"/>
    <x v="0"/>
    <n v="2496.7676064256989"/>
    <n v="3168.34"/>
    <n v="3168.3500000000004"/>
    <n v="3168.34"/>
    <s v="May 2023"/>
  </r>
  <r>
    <d v="2023-05-26T00:00:00"/>
    <x v="3499"/>
    <n v="8"/>
    <x v="1"/>
    <x v="2"/>
    <x v="3"/>
    <x v="2"/>
    <n v="2901.97"/>
    <x v="2"/>
    <n v="2496.7676064256989"/>
    <n v="3192.16"/>
    <n v="3192.17"/>
    <n v="3192.17"/>
    <s v="May 2023"/>
  </r>
  <r>
    <d v="2023-05-27T00:00:00"/>
    <x v="3500"/>
    <n v="12"/>
    <x v="1"/>
    <x v="4"/>
    <x v="1"/>
    <x v="0"/>
    <n v="1412.97"/>
    <x v="2"/>
    <n v="2509.1716796874912"/>
    <n v="1554.26"/>
    <n v="1554.27"/>
    <n v="1554.27"/>
    <s v="May 2023"/>
  </r>
  <r>
    <d v="2023-05-27T00:00:00"/>
    <x v="3501"/>
    <n v="6"/>
    <x v="1"/>
    <x v="6"/>
    <x v="0"/>
    <x v="3"/>
    <n v="1596.6"/>
    <x v="2"/>
    <n v="2503.6022787783854"/>
    <n v="1756.26"/>
    <n v="1756.26"/>
    <n v="1756.26"/>
    <s v="May 2023"/>
  </r>
  <r>
    <d v="2023-05-27T00:00:00"/>
    <x v="3502"/>
    <n v="16"/>
    <x v="2"/>
    <x v="0"/>
    <x v="1"/>
    <x v="0"/>
    <n v="2501.91"/>
    <x v="1"/>
    <n v="2509.1716796874912"/>
    <n v="2752.1"/>
    <n v="2752.11"/>
    <n v="2752.1"/>
    <s v="May 2023"/>
  </r>
  <r>
    <d v="2023-05-27T00:00:00"/>
    <x v="3503"/>
    <n v="27"/>
    <x v="0"/>
    <x v="1"/>
    <x v="3"/>
    <x v="2"/>
    <n v="2513.1999999999998"/>
    <x v="1"/>
    <n v="2496.7676064256989"/>
    <n v="2764.52"/>
    <n v="2764.52"/>
    <n v="2764.52"/>
    <s v="May 2023"/>
  </r>
  <r>
    <d v="2023-05-27T00:00:00"/>
    <x v="3504"/>
    <n v="63"/>
    <x v="0"/>
    <x v="1"/>
    <x v="1"/>
    <x v="3"/>
    <n v="1867.58"/>
    <x v="1"/>
    <n v="2509.1716796874912"/>
    <n v="2054.33"/>
    <n v="2054.34"/>
    <n v="2054.34"/>
    <s v="May 2023"/>
  </r>
  <r>
    <d v="2023-05-27T00:00:00"/>
    <x v="3505"/>
    <n v="21"/>
    <x v="2"/>
    <x v="3"/>
    <x v="1"/>
    <x v="0"/>
    <n v="4720.3599999999997"/>
    <x v="1"/>
    <n v="2509.1716796874912"/>
    <n v="5192.3900000000003"/>
    <n v="5192.4000000000005"/>
    <n v="5192.3999999999996"/>
    <s v="May 2023"/>
  </r>
  <r>
    <d v="2023-05-27T00:00:00"/>
    <x v="3506"/>
    <n v="57"/>
    <x v="2"/>
    <x v="2"/>
    <x v="3"/>
    <x v="0"/>
    <n v="4171.6899999999996"/>
    <x v="1"/>
    <n v="2496.7676064256989"/>
    <n v="4588.8500000000004"/>
    <n v="4588.8600000000006"/>
    <n v="4588.8599999999997"/>
    <s v="May 2023"/>
  </r>
  <r>
    <d v="2023-05-27T00:00:00"/>
    <x v="3507"/>
    <n v="25"/>
    <x v="2"/>
    <x v="6"/>
    <x v="2"/>
    <x v="3"/>
    <n v="599.48"/>
    <x v="1"/>
    <n v="2440.2966694490838"/>
    <n v="659.42"/>
    <n v="659.43"/>
    <n v="659.43"/>
    <s v="May 2023"/>
  </r>
  <r>
    <d v="2023-05-27T00:00:00"/>
    <x v="3508"/>
    <n v="87"/>
    <x v="1"/>
    <x v="1"/>
    <x v="2"/>
    <x v="0"/>
    <n v="4398.32"/>
    <x v="0"/>
    <n v="2440.2966694490838"/>
    <n v="4838.1499999999996"/>
    <n v="4838.16"/>
    <n v="4838.1499999999996"/>
    <s v="May 2023"/>
  </r>
  <r>
    <d v="2023-05-27T00:00:00"/>
    <x v="3509"/>
    <n v="4"/>
    <x v="2"/>
    <x v="3"/>
    <x v="3"/>
    <x v="1"/>
    <n v="682.73"/>
    <x v="2"/>
    <n v="2496.7676064256989"/>
    <n v="751"/>
    <n v="751.01"/>
    <n v="751"/>
    <s v="May 2023"/>
  </r>
  <r>
    <d v="2023-05-27T00:00:00"/>
    <x v="3510"/>
    <n v="66"/>
    <x v="0"/>
    <x v="1"/>
    <x v="2"/>
    <x v="1"/>
    <n v="3765.96"/>
    <x v="0"/>
    <n v="2440.2966694490838"/>
    <n v="4142.55"/>
    <n v="4142.5600000000004"/>
    <n v="4142.5600000000004"/>
    <s v="May 2023"/>
  </r>
  <r>
    <d v="2023-05-27T00:00:00"/>
    <x v="3511"/>
    <n v="75"/>
    <x v="0"/>
    <x v="0"/>
    <x v="2"/>
    <x v="1"/>
    <n v="1947.42"/>
    <x v="0"/>
    <n v="2440.2966694490838"/>
    <n v="2142.16"/>
    <n v="2142.17"/>
    <n v="2142.16"/>
    <s v="May 2023"/>
  </r>
  <r>
    <d v="2023-05-27T00:00:00"/>
    <x v="3512"/>
    <n v="21"/>
    <x v="2"/>
    <x v="7"/>
    <x v="3"/>
    <x v="3"/>
    <n v="1309.46"/>
    <x v="1"/>
    <n v="2496.7676064256989"/>
    <n v="1440.4"/>
    <n v="1440.41"/>
    <n v="1440.41"/>
    <s v="May 2023"/>
  </r>
  <r>
    <d v="2023-05-28T00:00:00"/>
    <x v="3513"/>
    <n v="96"/>
    <x v="0"/>
    <x v="2"/>
    <x v="2"/>
    <x v="4"/>
    <n v="1712.11"/>
    <x v="0"/>
    <n v="2440.2966694490838"/>
    <n v="1883.32"/>
    <n v="1883.33"/>
    <n v="1883.32"/>
    <s v="May 2023"/>
  </r>
  <r>
    <d v="2023-05-28T00:00:00"/>
    <x v="3514"/>
    <n v="62"/>
    <x v="2"/>
    <x v="6"/>
    <x v="0"/>
    <x v="0"/>
    <n v="4757.4399999999996"/>
    <x v="1"/>
    <n v="2503.6022787783854"/>
    <n v="5233.18"/>
    <n v="5233.1900000000005"/>
    <n v="5233.18"/>
    <s v="May 2023"/>
  </r>
  <r>
    <d v="2023-05-28T00:00:00"/>
    <x v="3515"/>
    <n v="78"/>
    <x v="0"/>
    <x v="5"/>
    <x v="3"/>
    <x v="1"/>
    <n v="3412.76"/>
    <x v="0"/>
    <n v="2496.7676064256989"/>
    <n v="3754.03"/>
    <n v="3754.0400000000004"/>
    <n v="3754.04"/>
    <s v="May 2023"/>
  </r>
  <r>
    <d v="2023-05-28T00:00:00"/>
    <x v="3516"/>
    <n v="57"/>
    <x v="1"/>
    <x v="3"/>
    <x v="0"/>
    <x v="4"/>
    <n v="2812.26"/>
    <x v="1"/>
    <n v="2503.6022787783854"/>
    <n v="3093.48"/>
    <n v="3093.4900000000002"/>
    <n v="3093.49"/>
    <s v="May 2023"/>
  </r>
  <r>
    <d v="2023-05-28T00:00:00"/>
    <x v="3517"/>
    <n v="43"/>
    <x v="1"/>
    <x v="2"/>
    <x v="0"/>
    <x v="4"/>
    <n v="2478.12"/>
    <x v="1"/>
    <n v="2503.6022787783854"/>
    <n v="2725.93"/>
    <n v="2725.94"/>
    <n v="2725.93"/>
    <s v="May 2023"/>
  </r>
  <r>
    <d v="2023-05-29T00:00:00"/>
    <x v="3518"/>
    <n v="91"/>
    <x v="2"/>
    <x v="3"/>
    <x v="0"/>
    <x v="5"/>
    <n v="2468.17"/>
    <x v="0"/>
    <n v="2503.6022787783854"/>
    <n v="2714.98"/>
    <n v="2714.9900000000002"/>
    <n v="2714.99"/>
    <s v="May 2023"/>
  </r>
  <r>
    <d v="2023-05-29T00:00:00"/>
    <x v="3519"/>
    <n v="56"/>
    <x v="1"/>
    <x v="5"/>
    <x v="3"/>
    <x v="4"/>
    <n v="698.63"/>
    <x v="1"/>
    <n v="2496.7676064256989"/>
    <n v="768.49"/>
    <n v="768.5"/>
    <n v="768.49"/>
    <s v="May 2023"/>
  </r>
  <r>
    <d v="2023-05-29T00:00:00"/>
    <x v="3520"/>
    <n v="16"/>
    <x v="2"/>
    <x v="3"/>
    <x v="2"/>
    <x v="4"/>
    <n v="95.52"/>
    <x v="1"/>
    <n v="2440.2966694490838"/>
    <n v="105.07"/>
    <n v="105.08"/>
    <n v="105.07"/>
    <s v="May 2023"/>
  </r>
  <r>
    <d v="2023-05-29T00:00:00"/>
    <x v="3521"/>
    <n v="30"/>
    <x v="0"/>
    <x v="0"/>
    <x v="3"/>
    <x v="2"/>
    <n v="56.46"/>
    <x v="1"/>
    <n v="2496.7676064256989"/>
    <n v="62.1"/>
    <n v="62.11"/>
    <n v="62.11"/>
    <s v="May 2023"/>
  </r>
  <r>
    <d v="2023-05-29T00:00:00"/>
    <x v="3522"/>
    <n v="80"/>
    <x v="1"/>
    <x v="4"/>
    <x v="0"/>
    <x v="0"/>
    <n v="325.08999999999997"/>
    <x v="0"/>
    <n v="2503.6022787783854"/>
    <n v="357.59"/>
    <n v="357.59999999999997"/>
    <n v="357.6"/>
    <s v="May 2023"/>
  </r>
  <r>
    <d v="2023-05-29T00:00:00"/>
    <x v="3523"/>
    <n v="17"/>
    <x v="1"/>
    <x v="2"/>
    <x v="0"/>
    <x v="4"/>
    <n v="3207.11"/>
    <x v="1"/>
    <n v="2503.6022787783854"/>
    <n v="3527.82"/>
    <n v="3527.8300000000004"/>
    <n v="3527.82"/>
    <s v="May 2023"/>
  </r>
  <r>
    <d v="2023-05-29T00:00:00"/>
    <x v="3524"/>
    <n v="21"/>
    <x v="1"/>
    <x v="5"/>
    <x v="1"/>
    <x v="3"/>
    <n v="4094.48"/>
    <x v="1"/>
    <n v="2509.1716796874912"/>
    <n v="4503.92"/>
    <n v="4503.93"/>
    <n v="4503.93"/>
    <s v="May 2023"/>
  </r>
  <r>
    <d v="2023-05-30T00:00:00"/>
    <x v="3525"/>
    <n v="78"/>
    <x v="1"/>
    <x v="0"/>
    <x v="0"/>
    <x v="0"/>
    <n v="3154.27"/>
    <x v="0"/>
    <n v="2503.6022787783854"/>
    <n v="3469.69"/>
    <n v="3469.7000000000003"/>
    <n v="3469.7"/>
    <s v="May 2023"/>
  </r>
  <r>
    <d v="2023-05-30T00:00:00"/>
    <x v="3526"/>
    <n v="14"/>
    <x v="0"/>
    <x v="4"/>
    <x v="1"/>
    <x v="4"/>
    <n v="1621.03"/>
    <x v="2"/>
    <n v="2509.1716796874912"/>
    <n v="1783.13"/>
    <n v="1783.14"/>
    <n v="1783.13"/>
    <s v="May 2023"/>
  </r>
  <r>
    <d v="2023-05-30T00:00:00"/>
    <x v="3527"/>
    <n v="43"/>
    <x v="2"/>
    <x v="5"/>
    <x v="0"/>
    <x v="2"/>
    <n v="2469.9299999999998"/>
    <x v="1"/>
    <n v="2503.6022787783854"/>
    <n v="2716.92"/>
    <n v="2716.9300000000003"/>
    <n v="2716.92"/>
    <s v="May 2023"/>
  </r>
  <r>
    <d v="2023-05-30T00:00:00"/>
    <x v="3528"/>
    <n v="72"/>
    <x v="2"/>
    <x v="5"/>
    <x v="0"/>
    <x v="0"/>
    <n v="149.16999999999999"/>
    <x v="0"/>
    <n v="2503.6022787783854"/>
    <n v="164.08"/>
    <n v="164.09"/>
    <n v="164.09"/>
    <s v="May 2023"/>
  </r>
  <r>
    <d v="2023-05-31T00:00:00"/>
    <x v="3529"/>
    <n v="72"/>
    <x v="1"/>
    <x v="2"/>
    <x v="2"/>
    <x v="3"/>
    <n v="3616.22"/>
    <x v="0"/>
    <n v="2440.2966694490838"/>
    <n v="3977.84"/>
    <n v="3977.8500000000004"/>
    <n v="3977.84"/>
    <s v="May 2023"/>
  </r>
  <r>
    <d v="2023-05-31T00:00:00"/>
    <x v="3530"/>
    <n v="94"/>
    <x v="1"/>
    <x v="2"/>
    <x v="3"/>
    <x v="2"/>
    <n v="3848.83"/>
    <x v="0"/>
    <n v="2496.7676064256989"/>
    <n v="4233.71"/>
    <n v="4233.72"/>
    <n v="4233.71"/>
    <s v="May 2023"/>
  </r>
  <r>
    <d v="2023-05-31T00:00:00"/>
    <x v="3531"/>
    <n v="43"/>
    <x v="1"/>
    <x v="4"/>
    <x v="0"/>
    <x v="3"/>
    <n v="4415.08"/>
    <x v="1"/>
    <n v="2503.6022787783854"/>
    <n v="4856.58"/>
    <n v="4856.59"/>
    <n v="4856.59"/>
    <s v="May 2023"/>
  </r>
  <r>
    <d v="2023-05-31T00:00:00"/>
    <x v="3532"/>
    <n v="83"/>
    <x v="2"/>
    <x v="3"/>
    <x v="2"/>
    <x v="2"/>
    <n v="2694.9"/>
    <x v="0"/>
    <n v="2440.2966694490838"/>
    <n v="2964.39"/>
    <n v="2964.39"/>
    <n v="2964.39"/>
    <s v="May 2023"/>
  </r>
  <r>
    <d v="2023-05-31T00:00:00"/>
    <x v="3533"/>
    <n v="54"/>
    <x v="0"/>
    <x v="4"/>
    <x v="3"/>
    <x v="5"/>
    <n v="362.09"/>
    <x v="1"/>
    <n v="2496.7676064256989"/>
    <n v="398.29"/>
    <n v="398.3"/>
    <n v="398.3"/>
    <s v="May 2023"/>
  </r>
  <r>
    <d v="2023-05-31T00:00:00"/>
    <x v="3534"/>
    <n v="18"/>
    <x v="0"/>
    <x v="1"/>
    <x v="2"/>
    <x v="0"/>
    <n v="170.18"/>
    <x v="1"/>
    <n v="2440.2966694490838"/>
    <n v="187.19"/>
    <n v="187.2"/>
    <n v="187.2"/>
    <s v="May 2023"/>
  </r>
  <r>
    <d v="2023-05-31T00:00:00"/>
    <x v="3535"/>
    <n v="64"/>
    <x v="1"/>
    <x v="2"/>
    <x v="1"/>
    <x v="0"/>
    <n v="2304.8000000000002"/>
    <x v="1"/>
    <n v="2509.1716796874912"/>
    <n v="2535.2800000000002"/>
    <n v="2535.2800000000002"/>
    <n v="2535.2800000000002"/>
    <s v="May 2023"/>
  </r>
  <r>
    <d v="2023-05-31T00:00:00"/>
    <x v="3536"/>
    <n v="69"/>
    <x v="2"/>
    <x v="3"/>
    <x v="3"/>
    <x v="4"/>
    <n v="742.93"/>
    <x v="0"/>
    <n v="2496.7676064256989"/>
    <n v="817.22"/>
    <n v="817.23"/>
    <n v="817.22"/>
    <s v="May 2023"/>
  </r>
  <r>
    <d v="2023-05-31T00:00:00"/>
    <x v="3537"/>
    <n v="24"/>
    <x v="1"/>
    <x v="7"/>
    <x v="2"/>
    <x v="4"/>
    <n v="3427.02"/>
    <x v="1"/>
    <n v="2440.2966694490838"/>
    <n v="3769.72"/>
    <n v="3769.73"/>
    <n v="3769.72"/>
    <s v="May 2023"/>
  </r>
  <r>
    <d v="2023-05-31T00:00:00"/>
    <x v="3538"/>
    <n v="91"/>
    <x v="1"/>
    <x v="6"/>
    <x v="2"/>
    <x v="3"/>
    <n v="3053.52"/>
    <x v="0"/>
    <n v="2440.2966694490838"/>
    <n v="3358.87"/>
    <n v="3358.88"/>
    <n v="3358.87"/>
    <s v="May 2023"/>
  </r>
  <r>
    <d v="2023-05-31T00:00:00"/>
    <x v="3539"/>
    <n v="64"/>
    <x v="1"/>
    <x v="7"/>
    <x v="2"/>
    <x v="2"/>
    <n v="4467.68"/>
    <x v="1"/>
    <n v="2440.2966694490838"/>
    <n v="4914.4399999999996"/>
    <n v="4914.45"/>
    <n v="4914.45"/>
    <s v="May 2023"/>
  </r>
  <r>
    <d v="2023-06-01T00:00:00"/>
    <x v="3540"/>
    <n v="5"/>
    <x v="2"/>
    <x v="7"/>
    <x v="0"/>
    <x v="3"/>
    <n v="3005.51"/>
    <x v="2"/>
    <n v="2503.6022787783854"/>
    <n v="3306.06"/>
    <n v="3306.07"/>
    <n v="3306.06"/>
    <s v="June 2023"/>
  </r>
  <r>
    <d v="2023-06-01T00:00:00"/>
    <x v="3541"/>
    <n v="7"/>
    <x v="2"/>
    <x v="4"/>
    <x v="2"/>
    <x v="0"/>
    <n v="2330.34"/>
    <x v="2"/>
    <n v="2440.2966694490838"/>
    <n v="2563.37"/>
    <n v="2563.38"/>
    <n v="2563.37"/>
    <s v="June 2023"/>
  </r>
  <r>
    <d v="2023-06-01T00:00:00"/>
    <x v="3542"/>
    <n v="87"/>
    <x v="1"/>
    <x v="7"/>
    <x v="1"/>
    <x v="2"/>
    <n v="1812.73"/>
    <x v="0"/>
    <n v="2509.1716796874912"/>
    <n v="1994"/>
    <n v="1994.01"/>
    <n v="1994"/>
    <s v="June 2023"/>
  </r>
  <r>
    <d v="2023-06-01T00:00:00"/>
    <x v="3543"/>
    <n v="47"/>
    <x v="2"/>
    <x v="6"/>
    <x v="1"/>
    <x v="4"/>
    <n v="853.71"/>
    <x v="1"/>
    <n v="2509.1716796874912"/>
    <n v="939.08"/>
    <n v="939.09"/>
    <n v="939.08"/>
    <s v="June 2023"/>
  </r>
  <r>
    <d v="2023-06-01T00:00:00"/>
    <x v="3544"/>
    <n v="44"/>
    <x v="2"/>
    <x v="1"/>
    <x v="3"/>
    <x v="3"/>
    <n v="2744.88"/>
    <x v="1"/>
    <n v="2496.7676064256989"/>
    <n v="3019.36"/>
    <n v="3019.3700000000003"/>
    <n v="3019.37"/>
    <s v="June 2023"/>
  </r>
  <r>
    <d v="2023-06-01T00:00:00"/>
    <x v="3545"/>
    <n v="66"/>
    <x v="1"/>
    <x v="0"/>
    <x v="0"/>
    <x v="0"/>
    <n v="2532.75"/>
    <x v="0"/>
    <n v="2503.6022787783854"/>
    <n v="2786.02"/>
    <n v="2786.03"/>
    <n v="2786.03"/>
    <s v="June 2023"/>
  </r>
  <r>
    <d v="2023-06-01T00:00:00"/>
    <x v="3546"/>
    <n v="54"/>
    <x v="0"/>
    <x v="1"/>
    <x v="2"/>
    <x v="3"/>
    <n v="264.89999999999998"/>
    <x v="1"/>
    <n v="2440.2966694490838"/>
    <n v="291.39"/>
    <n v="291.39"/>
    <n v="291.39"/>
    <s v="June 2023"/>
  </r>
  <r>
    <d v="2023-06-02T00:00:00"/>
    <x v="3547"/>
    <n v="26"/>
    <x v="0"/>
    <x v="0"/>
    <x v="0"/>
    <x v="0"/>
    <n v="4329.83"/>
    <x v="1"/>
    <n v="2503.6022787783854"/>
    <n v="4762.8100000000004"/>
    <n v="4762.8200000000006"/>
    <n v="4762.8100000000004"/>
    <s v="June 2023"/>
  </r>
  <r>
    <d v="2023-06-02T00:00:00"/>
    <x v="3548"/>
    <n v="86"/>
    <x v="1"/>
    <x v="3"/>
    <x v="1"/>
    <x v="4"/>
    <n v="4961.74"/>
    <x v="0"/>
    <n v="2509.1716796874912"/>
    <n v="5457.91"/>
    <n v="5457.92"/>
    <n v="5457.91"/>
    <s v="June 2023"/>
  </r>
  <r>
    <d v="2023-06-02T00:00:00"/>
    <x v="3549"/>
    <n v="53"/>
    <x v="2"/>
    <x v="4"/>
    <x v="1"/>
    <x v="3"/>
    <n v="1918.1"/>
    <x v="1"/>
    <n v="2509.1716796874912"/>
    <n v="2109.91"/>
    <n v="2109.91"/>
    <n v="2109.91"/>
    <s v="June 2023"/>
  </r>
  <r>
    <d v="2023-06-02T00:00:00"/>
    <x v="3550"/>
    <n v="64"/>
    <x v="1"/>
    <x v="7"/>
    <x v="3"/>
    <x v="4"/>
    <n v="4248.8"/>
    <x v="1"/>
    <n v="2496.7676064256989"/>
    <n v="4673.68"/>
    <n v="4673.68"/>
    <n v="4673.68"/>
    <s v="June 2023"/>
  </r>
  <r>
    <d v="2023-06-02T00:00:00"/>
    <x v="3551"/>
    <n v="17"/>
    <x v="2"/>
    <x v="0"/>
    <x v="0"/>
    <x v="0"/>
    <n v="1908.24"/>
    <x v="1"/>
    <n v="2503.6022787783854"/>
    <n v="2099.06"/>
    <n v="2099.0700000000002"/>
    <n v="2099.06"/>
    <s v="June 2023"/>
  </r>
  <r>
    <d v="2023-06-03T00:00:00"/>
    <x v="3552"/>
    <n v="46"/>
    <x v="0"/>
    <x v="5"/>
    <x v="0"/>
    <x v="1"/>
    <n v="4839.3"/>
    <x v="1"/>
    <n v="2503.6022787783854"/>
    <n v="5323.23"/>
    <n v="5323.23"/>
    <n v="5323.23"/>
    <s v="June 2023"/>
  </r>
  <r>
    <d v="2023-06-03T00:00:00"/>
    <x v="3553"/>
    <n v="23"/>
    <x v="0"/>
    <x v="0"/>
    <x v="1"/>
    <x v="4"/>
    <n v="114.4"/>
    <x v="1"/>
    <n v="2509.1716796874912"/>
    <n v="125.84"/>
    <n v="125.84"/>
    <n v="125.84"/>
    <s v="June 2023"/>
  </r>
  <r>
    <d v="2023-06-03T00:00:00"/>
    <x v="3554"/>
    <n v="52"/>
    <x v="0"/>
    <x v="0"/>
    <x v="0"/>
    <x v="2"/>
    <n v="2770.12"/>
    <x v="1"/>
    <n v="2503.6022787783854"/>
    <n v="3047.13"/>
    <n v="3047.1400000000003"/>
    <n v="3047.13"/>
    <s v="June 2023"/>
  </r>
  <r>
    <d v="2023-06-03T00:00:00"/>
    <x v="3555"/>
    <n v="26"/>
    <x v="1"/>
    <x v="1"/>
    <x v="2"/>
    <x v="0"/>
    <n v="3813.8"/>
    <x v="1"/>
    <n v="2440.2966694490838"/>
    <n v="4195.18"/>
    <n v="4195.18"/>
    <n v="4195.18"/>
    <s v="June 2023"/>
  </r>
  <r>
    <d v="2023-06-03T00:00:00"/>
    <x v="3556"/>
    <n v="88"/>
    <x v="0"/>
    <x v="1"/>
    <x v="1"/>
    <x v="1"/>
    <n v="2676.59"/>
    <x v="0"/>
    <n v="2509.1716796874912"/>
    <n v="2944.24"/>
    <n v="2944.25"/>
    <n v="2944.25"/>
    <s v="June 2023"/>
  </r>
  <r>
    <d v="2023-06-04T00:00:00"/>
    <x v="3557"/>
    <n v="78"/>
    <x v="2"/>
    <x v="4"/>
    <x v="0"/>
    <x v="4"/>
    <n v="4813.91"/>
    <x v="0"/>
    <n v="2503.6022787783854"/>
    <n v="5295.3"/>
    <n v="5295.31"/>
    <n v="5295.3"/>
    <s v="June 2023"/>
  </r>
  <r>
    <d v="2023-06-04T00:00:00"/>
    <x v="3558"/>
    <n v="17"/>
    <x v="1"/>
    <x v="2"/>
    <x v="1"/>
    <x v="3"/>
    <n v="4424.96"/>
    <x v="1"/>
    <n v="2509.1716796874912"/>
    <n v="4867.45"/>
    <n v="4867.46"/>
    <n v="4867.46"/>
    <s v="June 2023"/>
  </r>
  <r>
    <d v="2023-06-04T00:00:00"/>
    <x v="3559"/>
    <n v="66"/>
    <x v="2"/>
    <x v="1"/>
    <x v="3"/>
    <x v="4"/>
    <n v="2486.2600000000002"/>
    <x v="0"/>
    <n v="2496.7676064256989"/>
    <n v="2734.88"/>
    <n v="2734.8900000000003"/>
    <n v="2734.89"/>
    <s v="June 2023"/>
  </r>
  <r>
    <d v="2023-06-04T00:00:00"/>
    <x v="3560"/>
    <n v="99"/>
    <x v="0"/>
    <x v="5"/>
    <x v="1"/>
    <x v="5"/>
    <n v="3107.83"/>
    <x v="0"/>
    <n v="2509.1716796874912"/>
    <n v="3418.61"/>
    <n v="3418.6200000000003"/>
    <n v="3418.61"/>
    <s v="June 2023"/>
  </r>
  <r>
    <d v="2023-06-04T00:00:00"/>
    <x v="3561"/>
    <n v="37"/>
    <x v="0"/>
    <x v="1"/>
    <x v="3"/>
    <x v="0"/>
    <n v="2069.5300000000002"/>
    <x v="1"/>
    <n v="2496.7676064256989"/>
    <n v="2276.48"/>
    <n v="2276.4900000000002"/>
    <n v="2276.48"/>
    <s v="June 2023"/>
  </r>
  <r>
    <d v="2023-06-05T00:00:00"/>
    <x v="3562"/>
    <n v="81"/>
    <x v="2"/>
    <x v="3"/>
    <x v="0"/>
    <x v="2"/>
    <n v="1109.1300000000001"/>
    <x v="0"/>
    <n v="2503.6022787783854"/>
    <n v="1220.04"/>
    <n v="1220.05"/>
    <n v="1220.04"/>
    <s v="June 2023"/>
  </r>
  <r>
    <d v="2023-06-05T00:00:00"/>
    <x v="3563"/>
    <n v="74"/>
    <x v="1"/>
    <x v="6"/>
    <x v="3"/>
    <x v="5"/>
    <n v="4198"/>
    <x v="0"/>
    <n v="2496.7676064256989"/>
    <n v="4617.8"/>
    <n v="4617.8"/>
    <n v="4617.8"/>
    <s v="June 2023"/>
  </r>
  <r>
    <d v="2023-06-05T00:00:00"/>
    <x v="3564"/>
    <n v="82"/>
    <x v="2"/>
    <x v="0"/>
    <x v="1"/>
    <x v="0"/>
    <n v="3375.11"/>
    <x v="0"/>
    <n v="2509.1716796874912"/>
    <n v="3712.62"/>
    <n v="3712.63"/>
    <n v="3712.62"/>
    <s v="June 2023"/>
  </r>
  <r>
    <d v="2023-06-05T00:00:00"/>
    <x v="3565"/>
    <n v="83"/>
    <x v="0"/>
    <x v="1"/>
    <x v="2"/>
    <x v="2"/>
    <n v="1018.07"/>
    <x v="0"/>
    <n v="2440.2966694490838"/>
    <n v="1119.8699999999999"/>
    <n v="1119.8799999999999"/>
    <n v="1119.8800000000001"/>
    <s v="June 2023"/>
  </r>
  <r>
    <d v="2023-06-05T00:00:00"/>
    <x v="3566"/>
    <n v="18"/>
    <x v="0"/>
    <x v="1"/>
    <x v="2"/>
    <x v="3"/>
    <n v="3975.92"/>
    <x v="1"/>
    <n v="2440.2966694490838"/>
    <n v="4373.51"/>
    <n v="4373.5200000000004"/>
    <n v="4373.51"/>
    <s v="June 2023"/>
  </r>
  <r>
    <d v="2023-06-05T00:00:00"/>
    <x v="3567"/>
    <n v="59"/>
    <x v="2"/>
    <x v="2"/>
    <x v="0"/>
    <x v="1"/>
    <n v="1361.33"/>
    <x v="1"/>
    <n v="2503.6022787783854"/>
    <n v="1497.46"/>
    <n v="1497.47"/>
    <n v="1497.46"/>
    <s v="June 2023"/>
  </r>
  <r>
    <d v="2023-06-06T00:00:00"/>
    <x v="3568"/>
    <n v="29"/>
    <x v="1"/>
    <x v="1"/>
    <x v="3"/>
    <x v="4"/>
    <n v="2002.64"/>
    <x v="1"/>
    <n v="2496.7676064256989"/>
    <n v="2202.9"/>
    <n v="2202.9100000000003"/>
    <n v="2202.9"/>
    <s v="June 2023"/>
  </r>
  <r>
    <d v="2023-06-06T00:00:00"/>
    <x v="3569"/>
    <n v="11"/>
    <x v="2"/>
    <x v="5"/>
    <x v="0"/>
    <x v="2"/>
    <n v="1076.1600000000001"/>
    <x v="2"/>
    <n v="2503.6022787783854"/>
    <n v="1183.77"/>
    <n v="1183.78"/>
    <n v="1183.78"/>
    <s v="June 2023"/>
  </r>
  <r>
    <d v="2023-06-06T00:00:00"/>
    <x v="3570"/>
    <n v="6"/>
    <x v="2"/>
    <x v="4"/>
    <x v="2"/>
    <x v="4"/>
    <n v="1633.09"/>
    <x v="2"/>
    <n v="2440.2966694490838"/>
    <n v="1796.39"/>
    <n v="1796.4"/>
    <n v="1796.4"/>
    <s v="June 2023"/>
  </r>
  <r>
    <d v="2023-06-06T00:00:00"/>
    <x v="3571"/>
    <n v="20"/>
    <x v="0"/>
    <x v="2"/>
    <x v="3"/>
    <x v="0"/>
    <n v="679.49"/>
    <x v="1"/>
    <n v="2496.7676064256989"/>
    <n v="747.43"/>
    <n v="747.43999999999994"/>
    <n v="747.44"/>
    <s v="June 2023"/>
  </r>
  <r>
    <d v="2023-06-06T00:00:00"/>
    <x v="3572"/>
    <n v="63"/>
    <x v="2"/>
    <x v="3"/>
    <x v="0"/>
    <x v="3"/>
    <n v="868.22"/>
    <x v="1"/>
    <n v="2503.6022787783854"/>
    <n v="955.04"/>
    <n v="955.05"/>
    <n v="955.04"/>
    <s v="June 2023"/>
  </r>
  <r>
    <d v="2023-06-06T00:00:00"/>
    <x v="3573"/>
    <n v="34"/>
    <x v="0"/>
    <x v="6"/>
    <x v="1"/>
    <x v="0"/>
    <n v="4719.84"/>
    <x v="1"/>
    <n v="2509.1716796874912"/>
    <n v="5191.82"/>
    <n v="5191.83"/>
    <n v="5191.82"/>
    <s v="June 2023"/>
  </r>
  <r>
    <d v="2023-06-06T00:00:00"/>
    <x v="3574"/>
    <n v="40"/>
    <x v="1"/>
    <x v="7"/>
    <x v="0"/>
    <x v="1"/>
    <n v="4596.72"/>
    <x v="1"/>
    <n v="2503.6022787783854"/>
    <n v="5056.3900000000003"/>
    <n v="5056.4000000000005"/>
    <n v="5056.3900000000003"/>
    <s v="June 2023"/>
  </r>
  <r>
    <d v="2023-06-06T00:00:00"/>
    <x v="3575"/>
    <n v="58"/>
    <x v="1"/>
    <x v="4"/>
    <x v="2"/>
    <x v="3"/>
    <n v="3346.96"/>
    <x v="1"/>
    <n v="2440.2966694490838"/>
    <n v="3681.65"/>
    <n v="3681.6600000000003"/>
    <n v="3681.66"/>
    <s v="June 2023"/>
  </r>
  <r>
    <d v="2023-06-06T00:00:00"/>
    <x v="3576"/>
    <n v="44"/>
    <x v="2"/>
    <x v="3"/>
    <x v="0"/>
    <x v="1"/>
    <n v="1624.87"/>
    <x v="1"/>
    <n v="2503.6022787783854"/>
    <n v="1787.35"/>
    <n v="1787.36"/>
    <n v="1787.36"/>
    <s v="June 2023"/>
  </r>
  <r>
    <d v="2023-06-06T00:00:00"/>
    <x v="3577"/>
    <n v="46"/>
    <x v="1"/>
    <x v="4"/>
    <x v="3"/>
    <x v="2"/>
    <n v="2555.46"/>
    <x v="1"/>
    <n v="2496.7676064256989"/>
    <n v="2811"/>
    <n v="2811.01"/>
    <n v="2811.01"/>
    <s v="June 2023"/>
  </r>
  <r>
    <d v="2023-06-06T00:00:00"/>
    <x v="3578"/>
    <n v="69"/>
    <x v="2"/>
    <x v="7"/>
    <x v="1"/>
    <x v="3"/>
    <n v="1324.86"/>
    <x v="0"/>
    <n v="2509.1716796874912"/>
    <n v="1457.34"/>
    <n v="1457.35"/>
    <n v="1457.35"/>
    <s v="June 2023"/>
  </r>
  <r>
    <d v="2023-06-07T00:00:00"/>
    <x v="3579"/>
    <n v="89"/>
    <x v="0"/>
    <x v="4"/>
    <x v="0"/>
    <x v="0"/>
    <n v="2063.58"/>
    <x v="0"/>
    <n v="2503.6022787783854"/>
    <n v="2269.9299999999998"/>
    <n v="2269.94"/>
    <n v="2269.94"/>
    <s v="June 2023"/>
  </r>
  <r>
    <d v="2023-06-07T00:00:00"/>
    <x v="3580"/>
    <n v="61"/>
    <x v="1"/>
    <x v="7"/>
    <x v="0"/>
    <x v="3"/>
    <n v="3103.88"/>
    <x v="1"/>
    <n v="2503.6022787783854"/>
    <n v="3414.26"/>
    <n v="3414.2700000000004"/>
    <n v="3414.27"/>
    <s v="June 2023"/>
  </r>
  <r>
    <d v="2023-06-07T00:00:00"/>
    <x v="3581"/>
    <n v="42"/>
    <x v="0"/>
    <x v="2"/>
    <x v="1"/>
    <x v="2"/>
    <n v="423.18"/>
    <x v="1"/>
    <n v="2509.1716796874912"/>
    <n v="465.49"/>
    <n v="465.5"/>
    <n v="465.5"/>
    <s v="June 2023"/>
  </r>
  <r>
    <d v="2023-06-08T00:00:00"/>
    <x v="3582"/>
    <n v="42"/>
    <x v="2"/>
    <x v="5"/>
    <x v="1"/>
    <x v="3"/>
    <n v="1531.89"/>
    <x v="1"/>
    <n v="2509.1716796874912"/>
    <n v="1685.07"/>
    <n v="1685.08"/>
    <n v="1685.08"/>
    <s v="June 2023"/>
  </r>
  <r>
    <d v="2023-06-08T00:00:00"/>
    <x v="3583"/>
    <n v="82"/>
    <x v="0"/>
    <x v="0"/>
    <x v="3"/>
    <x v="4"/>
    <n v="1630.45"/>
    <x v="0"/>
    <n v="2496.7676064256989"/>
    <n v="1793.49"/>
    <n v="1793.5"/>
    <n v="1793.5"/>
    <s v="June 2023"/>
  </r>
  <r>
    <d v="2023-06-08T00:00:00"/>
    <x v="3584"/>
    <n v="28"/>
    <x v="1"/>
    <x v="3"/>
    <x v="0"/>
    <x v="3"/>
    <n v="2593.73"/>
    <x v="1"/>
    <n v="2503.6022787783854"/>
    <n v="2853.1"/>
    <n v="2853.11"/>
    <n v="2853.1"/>
    <s v="June 2023"/>
  </r>
  <r>
    <d v="2023-06-08T00:00:00"/>
    <x v="3585"/>
    <n v="38"/>
    <x v="0"/>
    <x v="6"/>
    <x v="3"/>
    <x v="4"/>
    <n v="392.63"/>
    <x v="1"/>
    <n v="2496.7676064256989"/>
    <n v="431.89"/>
    <n v="431.9"/>
    <n v="431.89"/>
    <s v="June 2023"/>
  </r>
  <r>
    <d v="2023-06-08T00:00:00"/>
    <x v="3586"/>
    <n v="3"/>
    <x v="2"/>
    <x v="3"/>
    <x v="1"/>
    <x v="0"/>
    <n v="4956.16"/>
    <x v="2"/>
    <n v="2509.1716796874912"/>
    <n v="5451.77"/>
    <n v="5451.7800000000007"/>
    <n v="5451.78"/>
    <s v="June 2023"/>
  </r>
  <r>
    <d v="2023-06-08T00:00:00"/>
    <x v="3587"/>
    <n v="76"/>
    <x v="1"/>
    <x v="2"/>
    <x v="2"/>
    <x v="3"/>
    <n v="1857.28"/>
    <x v="0"/>
    <n v="2440.2966694490838"/>
    <n v="2043"/>
    <n v="2043.01"/>
    <n v="2043.01"/>
    <s v="June 2023"/>
  </r>
  <r>
    <d v="2023-06-09T00:00:00"/>
    <x v="3588"/>
    <n v="32"/>
    <x v="0"/>
    <x v="6"/>
    <x v="0"/>
    <x v="1"/>
    <n v="4962.46"/>
    <x v="1"/>
    <n v="2503.6022787783854"/>
    <n v="5458.7"/>
    <n v="5458.71"/>
    <n v="5458.71"/>
    <s v="June 2023"/>
  </r>
  <r>
    <d v="2023-06-09T00:00:00"/>
    <x v="3589"/>
    <n v="35"/>
    <x v="0"/>
    <x v="3"/>
    <x v="0"/>
    <x v="3"/>
    <n v="1120.45"/>
    <x v="1"/>
    <n v="2503.6022787783854"/>
    <n v="1232.49"/>
    <n v="1232.5"/>
    <n v="1232.5"/>
    <s v="June 2023"/>
  </r>
  <r>
    <d v="2023-06-09T00:00:00"/>
    <x v="3590"/>
    <n v="0"/>
    <x v="1"/>
    <x v="4"/>
    <x v="1"/>
    <x v="3"/>
    <n v="937.26"/>
    <x v="2"/>
    <n v="2509.1716796874912"/>
    <n v="1030.98"/>
    <n v="1030.99"/>
    <n v="1030.99"/>
    <s v="June 2023"/>
  </r>
  <r>
    <d v="2023-06-09T00:00:00"/>
    <x v="3591"/>
    <n v="76"/>
    <x v="0"/>
    <x v="0"/>
    <x v="3"/>
    <x v="3"/>
    <n v="4297.04"/>
    <x v="0"/>
    <n v="2496.7676064256989"/>
    <n v="4726.74"/>
    <n v="4726.75"/>
    <n v="4726.74"/>
    <s v="June 2023"/>
  </r>
  <r>
    <d v="2023-06-09T00:00:00"/>
    <x v="3592"/>
    <n v="64"/>
    <x v="1"/>
    <x v="1"/>
    <x v="3"/>
    <x v="0"/>
    <n v="1060.48"/>
    <x v="1"/>
    <n v="2496.7676064256989"/>
    <n v="1166.52"/>
    <n v="1166.53"/>
    <n v="1166.53"/>
    <s v="June 2023"/>
  </r>
  <r>
    <d v="2023-06-09T00:00:00"/>
    <x v="3593"/>
    <n v="73"/>
    <x v="0"/>
    <x v="4"/>
    <x v="1"/>
    <x v="2"/>
    <n v="858.83"/>
    <x v="0"/>
    <n v="2509.1716796874912"/>
    <n v="944.71"/>
    <n v="944.72"/>
    <n v="944.71"/>
    <s v="June 2023"/>
  </r>
  <r>
    <d v="2023-06-09T00:00:00"/>
    <x v="3594"/>
    <n v="41"/>
    <x v="2"/>
    <x v="7"/>
    <x v="2"/>
    <x v="3"/>
    <n v="1721.45"/>
    <x v="1"/>
    <n v="2440.2966694490838"/>
    <n v="1893.59"/>
    <n v="1893.6"/>
    <n v="1893.6"/>
    <s v="June 2023"/>
  </r>
  <r>
    <d v="2023-06-09T00:00:00"/>
    <x v="3595"/>
    <n v="0"/>
    <x v="0"/>
    <x v="5"/>
    <x v="0"/>
    <x v="0"/>
    <n v="88"/>
    <x v="2"/>
    <n v="2503.6022787783854"/>
    <n v="96.8"/>
    <n v="96.8"/>
    <n v="96.8"/>
    <s v="June 2023"/>
  </r>
  <r>
    <d v="2023-06-09T00:00:00"/>
    <x v="3596"/>
    <n v="67"/>
    <x v="2"/>
    <x v="0"/>
    <x v="2"/>
    <x v="3"/>
    <n v="3344.87"/>
    <x v="0"/>
    <n v="2440.2966694490838"/>
    <n v="3679.35"/>
    <n v="3679.36"/>
    <n v="3679.36"/>
    <s v="June 2023"/>
  </r>
  <r>
    <d v="2023-06-09T00:00:00"/>
    <x v="3597"/>
    <n v="24"/>
    <x v="0"/>
    <x v="0"/>
    <x v="3"/>
    <x v="0"/>
    <n v="2657.84"/>
    <x v="1"/>
    <n v="2496.7676064256989"/>
    <n v="2923.62"/>
    <n v="2923.63"/>
    <n v="2923.62"/>
    <s v="June 2023"/>
  </r>
  <r>
    <d v="2023-06-09T00:00:00"/>
    <x v="3598"/>
    <n v="60"/>
    <x v="1"/>
    <x v="5"/>
    <x v="2"/>
    <x v="1"/>
    <n v="2730.14"/>
    <x v="1"/>
    <n v="2440.2966694490838"/>
    <n v="3003.15"/>
    <n v="3003.1600000000003"/>
    <n v="3003.15"/>
    <s v="June 2023"/>
  </r>
  <r>
    <d v="2023-06-10T00:00:00"/>
    <x v="3599"/>
    <n v="60"/>
    <x v="0"/>
    <x v="5"/>
    <x v="2"/>
    <x v="4"/>
    <n v="937.48"/>
    <x v="1"/>
    <n v="2440.2966694490838"/>
    <n v="1031.22"/>
    <n v="1031.23"/>
    <n v="1031.23"/>
    <s v="June 2023"/>
  </r>
  <r>
    <d v="2023-06-10T00:00:00"/>
    <x v="3600"/>
    <n v="0"/>
    <x v="0"/>
    <x v="1"/>
    <x v="3"/>
    <x v="2"/>
    <n v="115.17"/>
    <x v="2"/>
    <n v="2496.7676064256989"/>
    <n v="126.68"/>
    <n v="126.69000000000001"/>
    <n v="126.69"/>
    <s v="June 2023"/>
  </r>
  <r>
    <d v="2023-06-10T00:00:00"/>
    <x v="3601"/>
    <n v="57"/>
    <x v="2"/>
    <x v="7"/>
    <x v="1"/>
    <x v="2"/>
    <n v="4115.76"/>
    <x v="1"/>
    <n v="2509.1716796874912"/>
    <n v="4527.33"/>
    <n v="4527.34"/>
    <n v="4527.34"/>
    <s v="June 2023"/>
  </r>
  <r>
    <d v="2023-06-10T00:00:00"/>
    <x v="3602"/>
    <n v="43"/>
    <x v="2"/>
    <x v="1"/>
    <x v="2"/>
    <x v="2"/>
    <n v="3707.72"/>
    <x v="1"/>
    <n v="2440.2966694490838"/>
    <n v="4078.49"/>
    <n v="4078.5"/>
    <n v="4078.49"/>
    <s v="June 2023"/>
  </r>
  <r>
    <d v="2023-06-10T00:00:00"/>
    <x v="3603"/>
    <n v="18"/>
    <x v="0"/>
    <x v="7"/>
    <x v="2"/>
    <x v="3"/>
    <n v="290.02"/>
    <x v="1"/>
    <n v="2440.2966694490838"/>
    <n v="319.02"/>
    <n v="319.02999999999997"/>
    <n v="319.02"/>
    <s v="June 2023"/>
  </r>
  <r>
    <d v="2023-06-10T00:00:00"/>
    <x v="3604"/>
    <n v="84"/>
    <x v="2"/>
    <x v="0"/>
    <x v="3"/>
    <x v="3"/>
    <n v="4530.8900000000003"/>
    <x v="0"/>
    <n v="2496.7676064256989"/>
    <n v="4983.97"/>
    <n v="4983.9800000000005"/>
    <n v="4983.9799999999996"/>
    <s v="June 2023"/>
  </r>
  <r>
    <d v="2023-06-10T00:00:00"/>
    <x v="3605"/>
    <n v="32"/>
    <x v="1"/>
    <x v="3"/>
    <x v="0"/>
    <x v="4"/>
    <n v="4066.99"/>
    <x v="1"/>
    <n v="2503.6022787783854"/>
    <n v="4473.68"/>
    <n v="4473.6900000000005"/>
    <n v="4473.6899999999996"/>
    <s v="June 2023"/>
  </r>
  <r>
    <d v="2023-06-10T00:00:00"/>
    <x v="3606"/>
    <n v="86"/>
    <x v="2"/>
    <x v="3"/>
    <x v="1"/>
    <x v="2"/>
    <n v="587.27"/>
    <x v="0"/>
    <n v="2509.1716796874912"/>
    <n v="645.99"/>
    <n v="646"/>
    <n v="646"/>
    <s v="June 2023"/>
  </r>
  <r>
    <d v="2023-06-10T00:00:00"/>
    <x v="3607"/>
    <n v="68"/>
    <x v="1"/>
    <x v="3"/>
    <x v="3"/>
    <x v="2"/>
    <n v="591.47"/>
    <x v="0"/>
    <n v="2496.7676064256989"/>
    <n v="650.61"/>
    <n v="650.62"/>
    <n v="650.62"/>
    <s v="June 2023"/>
  </r>
  <r>
    <d v="2023-06-11T00:00:00"/>
    <x v="3608"/>
    <n v="37"/>
    <x v="0"/>
    <x v="1"/>
    <x v="3"/>
    <x v="2"/>
    <n v="2106.67"/>
    <x v="1"/>
    <n v="2496.7676064256989"/>
    <n v="2317.33"/>
    <n v="2317.34"/>
    <n v="2317.34"/>
    <s v="June 2023"/>
  </r>
  <r>
    <d v="2023-06-11T00:00:00"/>
    <x v="3609"/>
    <n v="48"/>
    <x v="2"/>
    <x v="3"/>
    <x v="2"/>
    <x v="4"/>
    <n v="3791.9"/>
    <x v="1"/>
    <n v="2440.2966694490838"/>
    <n v="4171.09"/>
    <n v="4171.09"/>
    <n v="4171.09"/>
    <s v="June 2023"/>
  </r>
  <r>
    <d v="2023-06-11T00:00:00"/>
    <x v="3610"/>
    <n v="44"/>
    <x v="1"/>
    <x v="4"/>
    <x v="1"/>
    <x v="2"/>
    <n v="3792.32"/>
    <x v="1"/>
    <n v="2509.1716796874912"/>
    <n v="4171.55"/>
    <n v="4171.5600000000004"/>
    <n v="4171.55"/>
    <s v="June 2023"/>
  </r>
  <r>
    <d v="2023-06-11T00:00:00"/>
    <x v="3611"/>
    <n v="66"/>
    <x v="2"/>
    <x v="6"/>
    <x v="1"/>
    <x v="3"/>
    <n v="3222.01"/>
    <x v="0"/>
    <n v="2509.1716796874912"/>
    <n v="3544.21"/>
    <n v="3544.2200000000003"/>
    <n v="3544.21"/>
    <s v="June 2023"/>
  </r>
  <r>
    <d v="2023-06-11T00:00:00"/>
    <x v="3612"/>
    <n v="95"/>
    <x v="1"/>
    <x v="1"/>
    <x v="1"/>
    <x v="0"/>
    <n v="1798.77"/>
    <x v="0"/>
    <n v="2509.1716796874912"/>
    <n v="1978.64"/>
    <n v="1978.65"/>
    <n v="1978.65"/>
    <s v="June 2023"/>
  </r>
  <r>
    <d v="2023-06-11T00:00:00"/>
    <x v="3613"/>
    <n v="10"/>
    <x v="1"/>
    <x v="3"/>
    <x v="2"/>
    <x v="4"/>
    <n v="662.07"/>
    <x v="2"/>
    <n v="2440.2966694490838"/>
    <n v="728.27"/>
    <n v="728.28"/>
    <n v="728.28"/>
    <s v="June 2023"/>
  </r>
  <r>
    <d v="2023-06-12T00:00:00"/>
    <x v="3614"/>
    <n v="23"/>
    <x v="1"/>
    <x v="3"/>
    <x v="2"/>
    <x v="4"/>
    <n v="566.84"/>
    <x v="1"/>
    <n v="2440.2966694490838"/>
    <n v="623.52"/>
    <n v="623.53"/>
    <n v="623.52"/>
    <s v="June 2023"/>
  </r>
  <r>
    <d v="2023-06-12T00:00:00"/>
    <x v="3615"/>
    <n v="62"/>
    <x v="1"/>
    <x v="4"/>
    <x v="2"/>
    <x v="0"/>
    <n v="4256.8900000000003"/>
    <x v="1"/>
    <n v="2440.2966694490838"/>
    <n v="4682.57"/>
    <n v="4682.58"/>
    <n v="4682.58"/>
    <s v="June 2023"/>
  </r>
  <r>
    <d v="2023-06-12T00:00:00"/>
    <x v="3616"/>
    <n v="83"/>
    <x v="0"/>
    <x v="1"/>
    <x v="0"/>
    <x v="4"/>
    <n v="2374.39"/>
    <x v="0"/>
    <n v="2503.6022787783854"/>
    <n v="2611.8200000000002"/>
    <n v="2611.8300000000004"/>
    <n v="2611.83"/>
    <s v="June 2023"/>
  </r>
  <r>
    <d v="2023-06-12T00:00:00"/>
    <x v="3617"/>
    <n v="64"/>
    <x v="1"/>
    <x v="2"/>
    <x v="3"/>
    <x v="0"/>
    <n v="2224.06"/>
    <x v="1"/>
    <n v="2496.7676064256989"/>
    <n v="2446.46"/>
    <n v="2446.4700000000003"/>
    <n v="2446.4699999999998"/>
    <s v="June 2023"/>
  </r>
  <r>
    <d v="2023-06-12T00:00:00"/>
    <x v="3618"/>
    <n v="83"/>
    <x v="0"/>
    <x v="2"/>
    <x v="2"/>
    <x v="1"/>
    <n v="2571.7399999999998"/>
    <x v="0"/>
    <n v="2440.2966694490838"/>
    <n v="2828.91"/>
    <n v="2828.92"/>
    <n v="2828.91"/>
    <s v="June 2023"/>
  </r>
  <r>
    <d v="2023-06-12T00:00:00"/>
    <x v="3619"/>
    <n v="91"/>
    <x v="1"/>
    <x v="3"/>
    <x v="0"/>
    <x v="3"/>
    <n v="236.24"/>
    <x v="0"/>
    <n v="2503.6022787783854"/>
    <n v="259.86"/>
    <n v="259.87"/>
    <n v="259.86"/>
    <s v="June 2023"/>
  </r>
  <r>
    <d v="2023-06-13T00:00:00"/>
    <x v="3620"/>
    <n v="91"/>
    <x v="0"/>
    <x v="0"/>
    <x v="0"/>
    <x v="1"/>
    <n v="629.38"/>
    <x v="0"/>
    <n v="2503.6022787783854"/>
    <n v="692.31"/>
    <n v="692.31999999999994"/>
    <n v="692.32"/>
    <s v="June 2023"/>
  </r>
  <r>
    <d v="2023-06-13T00:00:00"/>
    <x v="3621"/>
    <n v="40"/>
    <x v="2"/>
    <x v="0"/>
    <x v="3"/>
    <x v="2"/>
    <n v="626.37"/>
    <x v="1"/>
    <n v="2496.7676064256989"/>
    <n v="689"/>
    <n v="689.01"/>
    <n v="689.01"/>
    <s v="June 2023"/>
  </r>
  <r>
    <d v="2023-06-13T00:00:00"/>
    <x v="3622"/>
    <n v="90"/>
    <x v="0"/>
    <x v="0"/>
    <x v="3"/>
    <x v="3"/>
    <n v="2405.56"/>
    <x v="0"/>
    <n v="2496.7676064256989"/>
    <n v="2646.11"/>
    <n v="2646.1200000000003"/>
    <n v="2646.12"/>
    <s v="June 2023"/>
  </r>
  <r>
    <d v="2023-06-14T00:00:00"/>
    <x v="3623"/>
    <n v="16"/>
    <x v="0"/>
    <x v="7"/>
    <x v="2"/>
    <x v="1"/>
    <n v="1679.51"/>
    <x v="1"/>
    <n v="2440.2966694490838"/>
    <n v="1847.46"/>
    <n v="1847.47"/>
    <n v="1847.46"/>
    <s v="June 2023"/>
  </r>
  <r>
    <d v="2023-06-14T00:00:00"/>
    <x v="3624"/>
    <n v="80"/>
    <x v="2"/>
    <x v="4"/>
    <x v="3"/>
    <x v="2"/>
    <n v="4529.72"/>
    <x v="0"/>
    <n v="2496.7676064256989"/>
    <n v="4982.6899999999996"/>
    <n v="4982.7"/>
    <n v="4982.6899999999996"/>
    <s v="June 2023"/>
  </r>
  <r>
    <d v="2023-06-14T00:00:00"/>
    <x v="3625"/>
    <n v="89"/>
    <x v="1"/>
    <x v="7"/>
    <x v="3"/>
    <x v="2"/>
    <n v="4901.74"/>
    <x v="0"/>
    <n v="2496.7676064256989"/>
    <n v="5391.91"/>
    <n v="5391.92"/>
    <n v="5391.91"/>
    <s v="June 2023"/>
  </r>
  <r>
    <d v="2023-06-14T00:00:00"/>
    <x v="3626"/>
    <n v="94"/>
    <x v="0"/>
    <x v="1"/>
    <x v="3"/>
    <x v="2"/>
    <n v="940.74"/>
    <x v="0"/>
    <n v="2496.7676064256989"/>
    <n v="1034.81"/>
    <n v="1034.82"/>
    <n v="1034.81"/>
    <s v="June 2023"/>
  </r>
  <r>
    <d v="2023-06-14T00:00:00"/>
    <x v="3627"/>
    <n v="79"/>
    <x v="1"/>
    <x v="0"/>
    <x v="2"/>
    <x v="1"/>
    <n v="3789.75"/>
    <x v="0"/>
    <n v="2440.2966694490838"/>
    <n v="4168.72"/>
    <n v="4168.7300000000005"/>
    <n v="4168.7299999999996"/>
    <s v="June 2023"/>
  </r>
  <r>
    <d v="2023-06-14T00:00:00"/>
    <x v="3628"/>
    <n v="10"/>
    <x v="1"/>
    <x v="3"/>
    <x v="1"/>
    <x v="0"/>
    <n v="617.99"/>
    <x v="2"/>
    <n v="2509.1716796874912"/>
    <n v="679.78"/>
    <n v="679.79"/>
    <n v="679.79"/>
    <s v="June 2023"/>
  </r>
  <r>
    <d v="2023-06-15T00:00:00"/>
    <x v="3629"/>
    <n v="17"/>
    <x v="1"/>
    <x v="0"/>
    <x v="3"/>
    <x v="2"/>
    <n v="234.19"/>
    <x v="1"/>
    <n v="2496.7676064256989"/>
    <n v="257.60000000000002"/>
    <n v="257.61"/>
    <n v="257.61"/>
    <s v="June 2023"/>
  </r>
  <r>
    <d v="2023-06-15T00:00:00"/>
    <x v="3630"/>
    <n v="41"/>
    <x v="0"/>
    <x v="6"/>
    <x v="1"/>
    <x v="4"/>
    <n v="4642.72"/>
    <x v="1"/>
    <n v="2509.1716796874912"/>
    <n v="5106.99"/>
    <n v="5107"/>
    <n v="5106.99"/>
    <s v="June 2023"/>
  </r>
  <r>
    <d v="2023-06-15T00:00:00"/>
    <x v="3631"/>
    <n v="81"/>
    <x v="0"/>
    <x v="7"/>
    <x v="1"/>
    <x v="2"/>
    <n v="1784.79"/>
    <x v="0"/>
    <n v="2509.1716796874912"/>
    <n v="1963.26"/>
    <n v="1963.27"/>
    <n v="1963.27"/>
    <s v="June 2023"/>
  </r>
  <r>
    <d v="2023-06-15T00:00:00"/>
    <x v="3632"/>
    <n v="64"/>
    <x v="0"/>
    <x v="1"/>
    <x v="0"/>
    <x v="4"/>
    <n v="3951.28"/>
    <x v="1"/>
    <n v="2503.6022787783854"/>
    <n v="4346.3999999999996"/>
    <n v="4346.41"/>
    <n v="4346.41"/>
    <s v="June 2023"/>
  </r>
  <r>
    <d v="2023-06-15T00:00:00"/>
    <x v="3633"/>
    <n v="25"/>
    <x v="2"/>
    <x v="5"/>
    <x v="1"/>
    <x v="2"/>
    <n v="3313.69"/>
    <x v="1"/>
    <n v="2509.1716796874912"/>
    <n v="3645.05"/>
    <n v="3645.0600000000004"/>
    <n v="3645.06"/>
    <s v="June 2023"/>
  </r>
  <r>
    <d v="2023-06-15T00:00:00"/>
    <x v="3634"/>
    <n v="19"/>
    <x v="1"/>
    <x v="7"/>
    <x v="0"/>
    <x v="2"/>
    <n v="735.2"/>
    <x v="1"/>
    <n v="2503.6022787783854"/>
    <n v="808.72"/>
    <n v="808.72"/>
    <n v="808.72"/>
    <s v="June 2023"/>
  </r>
  <r>
    <d v="2023-06-15T00:00:00"/>
    <x v="3635"/>
    <n v="40"/>
    <x v="0"/>
    <x v="3"/>
    <x v="2"/>
    <x v="2"/>
    <n v="908.81"/>
    <x v="1"/>
    <n v="2440.2966694490838"/>
    <n v="999.69"/>
    <n v="999.7"/>
    <n v="999.69"/>
    <s v="June 2023"/>
  </r>
  <r>
    <d v="2023-06-16T00:00:00"/>
    <x v="3636"/>
    <n v="38"/>
    <x v="0"/>
    <x v="3"/>
    <x v="2"/>
    <x v="4"/>
    <n v="2579.5100000000002"/>
    <x v="1"/>
    <n v="2440.2966694490838"/>
    <n v="2837.46"/>
    <n v="2837.4700000000003"/>
    <n v="2837.46"/>
    <s v="June 2023"/>
  </r>
  <r>
    <d v="2023-06-16T00:00:00"/>
    <x v="3637"/>
    <n v="21"/>
    <x v="2"/>
    <x v="2"/>
    <x v="3"/>
    <x v="4"/>
    <n v="2918.92"/>
    <x v="1"/>
    <n v="2496.7676064256989"/>
    <n v="3210.81"/>
    <n v="3210.82"/>
    <n v="3210.81"/>
    <s v="June 2023"/>
  </r>
  <r>
    <d v="2023-06-16T00:00:00"/>
    <x v="3638"/>
    <n v="39"/>
    <x v="2"/>
    <x v="6"/>
    <x v="3"/>
    <x v="0"/>
    <n v="1920.67"/>
    <x v="1"/>
    <n v="2496.7676064256989"/>
    <n v="2112.73"/>
    <n v="2112.7400000000002"/>
    <n v="2112.7399999999998"/>
    <s v="June 2023"/>
  </r>
  <r>
    <d v="2023-06-16T00:00:00"/>
    <x v="3639"/>
    <n v="59"/>
    <x v="0"/>
    <x v="5"/>
    <x v="0"/>
    <x v="3"/>
    <n v="749.08"/>
    <x v="1"/>
    <n v="2503.6022787783854"/>
    <n v="823.98"/>
    <n v="823.99"/>
    <n v="823.99"/>
    <s v="June 2023"/>
  </r>
  <r>
    <d v="2023-06-16T00:00:00"/>
    <x v="3640"/>
    <n v="21"/>
    <x v="0"/>
    <x v="3"/>
    <x v="0"/>
    <x v="3"/>
    <n v="3689.63"/>
    <x v="1"/>
    <n v="2503.6022787783854"/>
    <n v="4058.59"/>
    <n v="4058.6000000000004"/>
    <n v="4058.59"/>
    <s v="June 2023"/>
  </r>
  <r>
    <d v="2023-06-16T00:00:00"/>
    <x v="3641"/>
    <n v="30"/>
    <x v="2"/>
    <x v="4"/>
    <x v="0"/>
    <x v="1"/>
    <n v="2961.25"/>
    <x v="1"/>
    <n v="2503.6022787783854"/>
    <n v="3257.37"/>
    <n v="3257.38"/>
    <n v="3257.38"/>
    <s v="June 2023"/>
  </r>
  <r>
    <d v="2023-06-17T00:00:00"/>
    <x v="3642"/>
    <n v="44"/>
    <x v="2"/>
    <x v="5"/>
    <x v="2"/>
    <x v="2"/>
    <n v="4808.6000000000004"/>
    <x v="1"/>
    <n v="2440.2966694490838"/>
    <n v="5289.46"/>
    <n v="5289.46"/>
    <n v="5289.46"/>
    <s v="June 2023"/>
  </r>
  <r>
    <d v="2023-06-17T00:00:00"/>
    <x v="3643"/>
    <n v="33"/>
    <x v="1"/>
    <x v="2"/>
    <x v="2"/>
    <x v="4"/>
    <n v="2030.16"/>
    <x v="1"/>
    <n v="2440.2966694490838"/>
    <n v="2233.17"/>
    <n v="2233.1800000000003"/>
    <n v="2233.1799999999998"/>
    <s v="June 2023"/>
  </r>
  <r>
    <d v="2023-06-17T00:00:00"/>
    <x v="3644"/>
    <n v="9"/>
    <x v="0"/>
    <x v="0"/>
    <x v="0"/>
    <x v="2"/>
    <n v="1651.65"/>
    <x v="2"/>
    <n v="2503.6022787783854"/>
    <n v="1816.81"/>
    <n v="1816.82"/>
    <n v="1816.82"/>
    <s v="June 2023"/>
  </r>
  <r>
    <d v="2023-06-17T00:00:00"/>
    <x v="3645"/>
    <n v="67"/>
    <x v="1"/>
    <x v="2"/>
    <x v="3"/>
    <x v="3"/>
    <n v="4447.07"/>
    <x v="0"/>
    <n v="2496.7676064256989"/>
    <n v="4891.7700000000004"/>
    <n v="4891.7800000000007"/>
    <n v="4891.78"/>
    <s v="June 2023"/>
  </r>
  <r>
    <d v="2023-06-17T00:00:00"/>
    <x v="3646"/>
    <n v="30"/>
    <x v="2"/>
    <x v="7"/>
    <x v="1"/>
    <x v="0"/>
    <n v="2649.54"/>
    <x v="1"/>
    <n v="2509.1716796874912"/>
    <n v="2914.49"/>
    <n v="2914.5"/>
    <n v="2914.49"/>
    <s v="June 2023"/>
  </r>
  <r>
    <d v="2023-06-17T00:00:00"/>
    <x v="3647"/>
    <n v="6"/>
    <x v="2"/>
    <x v="3"/>
    <x v="2"/>
    <x v="1"/>
    <n v="2375.62"/>
    <x v="2"/>
    <n v="2440.2966694490838"/>
    <n v="2613.1799999999998"/>
    <n v="2613.19"/>
    <n v="2613.1799999999998"/>
    <s v="June 2023"/>
  </r>
  <r>
    <d v="2023-06-18T00:00:00"/>
    <x v="3648"/>
    <n v="14"/>
    <x v="1"/>
    <x v="2"/>
    <x v="0"/>
    <x v="0"/>
    <n v="1910.26"/>
    <x v="2"/>
    <n v="2503.6022787783854"/>
    <n v="2101.2800000000002"/>
    <n v="2101.2900000000004"/>
    <n v="2101.29"/>
    <s v="June 2023"/>
  </r>
  <r>
    <d v="2023-06-18T00:00:00"/>
    <x v="3649"/>
    <n v="22"/>
    <x v="1"/>
    <x v="6"/>
    <x v="2"/>
    <x v="3"/>
    <n v="1573.25"/>
    <x v="1"/>
    <n v="2440.2966694490838"/>
    <n v="1730.57"/>
    <n v="1730.58"/>
    <n v="1730.58"/>
    <s v="June 2023"/>
  </r>
  <r>
    <d v="2023-06-18T00:00:00"/>
    <x v="3650"/>
    <n v="60"/>
    <x v="0"/>
    <x v="4"/>
    <x v="3"/>
    <x v="3"/>
    <n v="1201.43"/>
    <x v="1"/>
    <n v="2496.7676064256989"/>
    <n v="1321.57"/>
    <n v="1321.58"/>
    <n v="1321.57"/>
    <s v="June 2023"/>
  </r>
  <r>
    <d v="2023-06-18T00:00:00"/>
    <x v="3651"/>
    <n v="52"/>
    <x v="2"/>
    <x v="5"/>
    <x v="3"/>
    <x v="2"/>
    <n v="2359.0500000000002"/>
    <x v="1"/>
    <n v="2496.7676064256989"/>
    <n v="2594.9499999999998"/>
    <n v="2594.96"/>
    <n v="2594.96"/>
    <s v="June 2023"/>
  </r>
  <r>
    <d v="2023-06-18T00:00:00"/>
    <x v="3652"/>
    <n v="20"/>
    <x v="1"/>
    <x v="0"/>
    <x v="1"/>
    <x v="3"/>
    <n v="4299.97"/>
    <x v="1"/>
    <n v="2509.1716796874912"/>
    <n v="4729.96"/>
    <n v="4729.97"/>
    <n v="4729.97"/>
    <s v="June 2023"/>
  </r>
  <r>
    <d v="2023-06-19T00:00:00"/>
    <x v="3653"/>
    <n v="26"/>
    <x v="1"/>
    <x v="5"/>
    <x v="3"/>
    <x v="4"/>
    <n v="478.23"/>
    <x v="1"/>
    <n v="2496.7676064256989"/>
    <n v="526.04999999999995"/>
    <n v="526.05999999999995"/>
    <n v="526.04999999999995"/>
    <s v="June 2023"/>
  </r>
  <r>
    <d v="2023-06-19T00:00:00"/>
    <x v="3654"/>
    <n v="97"/>
    <x v="2"/>
    <x v="7"/>
    <x v="0"/>
    <x v="1"/>
    <n v="2867.4"/>
    <x v="0"/>
    <n v="2503.6022787783854"/>
    <n v="3154.14"/>
    <n v="3154.14"/>
    <n v="3154.14"/>
    <s v="June 2023"/>
  </r>
  <r>
    <d v="2023-06-19T00:00:00"/>
    <x v="3655"/>
    <n v="55"/>
    <x v="1"/>
    <x v="4"/>
    <x v="3"/>
    <x v="2"/>
    <n v="676.18"/>
    <x v="1"/>
    <n v="2496.7676064256989"/>
    <n v="743.79"/>
    <n v="743.8"/>
    <n v="743.8"/>
    <s v="June 2023"/>
  </r>
  <r>
    <d v="2023-06-19T00:00:00"/>
    <x v="3656"/>
    <n v="63"/>
    <x v="1"/>
    <x v="4"/>
    <x v="2"/>
    <x v="3"/>
    <n v="2029.94"/>
    <x v="1"/>
    <n v="2440.2966694490838"/>
    <n v="2232.9299999999998"/>
    <n v="2232.94"/>
    <n v="2232.9299999999998"/>
    <s v="June 2023"/>
  </r>
  <r>
    <d v="2023-06-19T00:00:00"/>
    <x v="3657"/>
    <n v="21"/>
    <x v="0"/>
    <x v="5"/>
    <x v="1"/>
    <x v="1"/>
    <n v="3679.53"/>
    <x v="1"/>
    <n v="2509.1716796874912"/>
    <n v="4047.48"/>
    <n v="4047.4900000000002"/>
    <n v="4047.48"/>
    <s v="June 2023"/>
  </r>
  <r>
    <d v="2023-06-20T00:00:00"/>
    <x v="3658"/>
    <n v="63"/>
    <x v="0"/>
    <x v="7"/>
    <x v="2"/>
    <x v="3"/>
    <n v="915.82"/>
    <x v="1"/>
    <n v="2440.2966694490838"/>
    <n v="1007.4"/>
    <n v="1007.41"/>
    <n v="1007.4"/>
    <s v="June 2023"/>
  </r>
  <r>
    <d v="2023-06-20T00:00:00"/>
    <x v="3659"/>
    <n v="3"/>
    <x v="0"/>
    <x v="3"/>
    <x v="1"/>
    <x v="3"/>
    <n v="3537.71"/>
    <x v="2"/>
    <n v="2509.1716796874912"/>
    <n v="3891.48"/>
    <n v="3891.4900000000002"/>
    <n v="3891.48"/>
    <s v="June 2023"/>
  </r>
  <r>
    <d v="2023-06-20T00:00:00"/>
    <x v="3660"/>
    <n v="89"/>
    <x v="2"/>
    <x v="1"/>
    <x v="3"/>
    <x v="2"/>
    <n v="1505.89"/>
    <x v="0"/>
    <n v="2496.7676064256989"/>
    <n v="1656.47"/>
    <n v="1656.48"/>
    <n v="1656.48"/>
    <s v="June 2023"/>
  </r>
  <r>
    <d v="2023-06-20T00:00:00"/>
    <x v="3661"/>
    <n v="13"/>
    <x v="0"/>
    <x v="1"/>
    <x v="2"/>
    <x v="1"/>
    <n v="4032.97"/>
    <x v="2"/>
    <n v="2440.2966694490838"/>
    <n v="4436.26"/>
    <n v="4436.2700000000004"/>
    <n v="4436.2700000000004"/>
    <s v="June 2023"/>
  </r>
  <r>
    <d v="2023-06-20T00:00:00"/>
    <x v="3662"/>
    <n v="96"/>
    <x v="1"/>
    <x v="2"/>
    <x v="3"/>
    <x v="3"/>
    <n v="4593.16"/>
    <x v="0"/>
    <n v="2496.7676064256989"/>
    <n v="5052.47"/>
    <n v="5052.4800000000005"/>
    <n v="5052.4799999999996"/>
    <s v="June 2023"/>
  </r>
  <r>
    <d v="2023-06-21T00:00:00"/>
    <x v="3663"/>
    <n v="78"/>
    <x v="0"/>
    <x v="4"/>
    <x v="2"/>
    <x v="3"/>
    <n v="1625.42"/>
    <x v="0"/>
    <n v="2440.2966694490838"/>
    <n v="1787.96"/>
    <n v="1787.97"/>
    <n v="1787.96"/>
    <s v="June 2023"/>
  </r>
  <r>
    <d v="2023-06-21T00:00:00"/>
    <x v="3664"/>
    <n v="45"/>
    <x v="2"/>
    <x v="1"/>
    <x v="2"/>
    <x v="2"/>
    <n v="3123.94"/>
    <x v="1"/>
    <n v="2440.2966694490838"/>
    <n v="3436.33"/>
    <n v="3436.34"/>
    <n v="3436.33"/>
    <s v="June 2023"/>
  </r>
  <r>
    <d v="2023-06-21T00:00:00"/>
    <x v="3665"/>
    <n v="54"/>
    <x v="0"/>
    <x v="5"/>
    <x v="0"/>
    <x v="0"/>
    <n v="1778.21"/>
    <x v="1"/>
    <n v="2503.6022787783854"/>
    <n v="1956.03"/>
    <n v="1956.04"/>
    <n v="1956.03"/>
    <s v="June 2023"/>
  </r>
  <r>
    <d v="2023-06-21T00:00:00"/>
    <x v="3666"/>
    <n v="82"/>
    <x v="0"/>
    <x v="3"/>
    <x v="2"/>
    <x v="2"/>
    <n v="950.75"/>
    <x v="0"/>
    <n v="2440.2966694490838"/>
    <n v="1045.82"/>
    <n v="1045.83"/>
    <n v="1045.83"/>
    <s v="June 2023"/>
  </r>
  <r>
    <d v="2023-06-21T00:00:00"/>
    <x v="3667"/>
    <n v="69"/>
    <x v="1"/>
    <x v="4"/>
    <x v="2"/>
    <x v="4"/>
    <n v="1839.47"/>
    <x v="0"/>
    <n v="2440.2966694490838"/>
    <n v="2023.41"/>
    <n v="2023.42"/>
    <n v="2023.42"/>
    <s v="June 2023"/>
  </r>
  <r>
    <d v="2023-06-21T00:00:00"/>
    <x v="3668"/>
    <n v="21"/>
    <x v="1"/>
    <x v="6"/>
    <x v="0"/>
    <x v="1"/>
    <n v="1034.0899999999999"/>
    <x v="1"/>
    <n v="2503.6022787783854"/>
    <n v="1137.49"/>
    <n v="1137.5"/>
    <n v="1137.5"/>
    <s v="June 2023"/>
  </r>
  <r>
    <d v="2023-06-21T00:00:00"/>
    <x v="3669"/>
    <n v="19"/>
    <x v="0"/>
    <x v="3"/>
    <x v="3"/>
    <x v="3"/>
    <n v="1103.69"/>
    <x v="1"/>
    <n v="2496.7676064256989"/>
    <n v="1214.05"/>
    <n v="1214.06"/>
    <n v="1214.06"/>
    <s v="June 2023"/>
  </r>
  <r>
    <d v="2023-06-21T00:00:00"/>
    <x v="3670"/>
    <n v="46"/>
    <x v="0"/>
    <x v="7"/>
    <x v="1"/>
    <x v="2"/>
    <n v="2891.51"/>
    <x v="1"/>
    <n v="2509.1716796874912"/>
    <n v="3180.66"/>
    <n v="3180.67"/>
    <n v="3180.66"/>
    <s v="June 2023"/>
  </r>
  <r>
    <d v="2023-06-21T00:00:00"/>
    <x v="3671"/>
    <n v="7"/>
    <x v="2"/>
    <x v="0"/>
    <x v="0"/>
    <x v="1"/>
    <n v="1677.84"/>
    <x v="2"/>
    <n v="2503.6022787783854"/>
    <n v="1845.62"/>
    <n v="1845.6299999999999"/>
    <n v="1845.62"/>
    <s v="June 2023"/>
  </r>
  <r>
    <d v="2023-06-22T00:00:00"/>
    <x v="3672"/>
    <n v="82"/>
    <x v="0"/>
    <x v="4"/>
    <x v="1"/>
    <x v="5"/>
    <n v="2383.81"/>
    <x v="0"/>
    <n v="2509.1716796874912"/>
    <n v="2622.19"/>
    <n v="2622.2000000000003"/>
    <n v="2622.19"/>
    <s v="June 2023"/>
  </r>
  <r>
    <d v="2023-06-22T00:00:00"/>
    <x v="3673"/>
    <n v="95"/>
    <x v="1"/>
    <x v="2"/>
    <x v="3"/>
    <x v="4"/>
    <n v="4721.74"/>
    <x v="0"/>
    <n v="2496.7676064256989"/>
    <n v="5193.91"/>
    <n v="5193.92"/>
    <n v="5193.91"/>
    <s v="June 2023"/>
  </r>
  <r>
    <d v="2023-06-22T00:00:00"/>
    <x v="3674"/>
    <n v="92"/>
    <x v="1"/>
    <x v="0"/>
    <x v="3"/>
    <x v="2"/>
    <n v="3976.28"/>
    <x v="0"/>
    <n v="2496.7676064256989"/>
    <n v="4373.8999999999996"/>
    <n v="4373.91"/>
    <n v="4373.91"/>
    <s v="June 2023"/>
  </r>
  <r>
    <d v="2023-06-22T00:00:00"/>
    <x v="3675"/>
    <n v="51"/>
    <x v="2"/>
    <x v="2"/>
    <x v="0"/>
    <x v="0"/>
    <n v="4827.71"/>
    <x v="1"/>
    <n v="2503.6022787783854"/>
    <n v="5310.48"/>
    <n v="5310.49"/>
    <n v="5310.48"/>
    <s v="June 2023"/>
  </r>
  <r>
    <d v="2023-06-22T00:00:00"/>
    <x v="3676"/>
    <n v="89"/>
    <x v="0"/>
    <x v="6"/>
    <x v="1"/>
    <x v="4"/>
    <n v="4542.34"/>
    <x v="0"/>
    <n v="2509.1716796874912"/>
    <n v="4996.57"/>
    <n v="4996.58"/>
    <n v="4996.57"/>
    <s v="June 2023"/>
  </r>
  <r>
    <d v="2023-06-22T00:00:00"/>
    <x v="3677"/>
    <n v="94"/>
    <x v="2"/>
    <x v="1"/>
    <x v="3"/>
    <x v="0"/>
    <n v="1247.29"/>
    <x v="0"/>
    <n v="2496.7676064256989"/>
    <n v="1372.01"/>
    <n v="1372.02"/>
    <n v="1372.02"/>
    <s v="June 2023"/>
  </r>
  <r>
    <d v="2023-06-22T00:00:00"/>
    <x v="3678"/>
    <n v="76"/>
    <x v="2"/>
    <x v="6"/>
    <x v="0"/>
    <x v="1"/>
    <n v="3556.79"/>
    <x v="0"/>
    <n v="2503.6022787783854"/>
    <n v="3912.46"/>
    <n v="3912.4700000000003"/>
    <n v="3912.47"/>
    <s v="June 2023"/>
  </r>
  <r>
    <d v="2023-06-22T00:00:00"/>
    <x v="3679"/>
    <n v="30"/>
    <x v="2"/>
    <x v="7"/>
    <x v="1"/>
    <x v="4"/>
    <n v="4132.16"/>
    <x v="1"/>
    <n v="2509.1716796874912"/>
    <n v="4545.37"/>
    <n v="4545.38"/>
    <n v="4545.38"/>
    <s v="June 2023"/>
  </r>
  <r>
    <d v="2023-06-22T00:00:00"/>
    <x v="3680"/>
    <n v="82"/>
    <x v="2"/>
    <x v="5"/>
    <x v="2"/>
    <x v="5"/>
    <n v="3793.48"/>
    <x v="0"/>
    <n v="2440.2966694490838"/>
    <n v="4172.82"/>
    <n v="4172.83"/>
    <n v="4172.83"/>
    <s v="June 2023"/>
  </r>
  <r>
    <d v="2023-06-22T00:00:00"/>
    <x v="3681"/>
    <n v="62"/>
    <x v="0"/>
    <x v="5"/>
    <x v="2"/>
    <x v="0"/>
    <n v="1234.54"/>
    <x v="1"/>
    <n v="2440.2966694490838"/>
    <n v="1357.99"/>
    <n v="1358"/>
    <n v="1357.99"/>
    <s v="June 2023"/>
  </r>
  <r>
    <d v="2023-06-22T00:00:00"/>
    <x v="3682"/>
    <n v="74"/>
    <x v="0"/>
    <x v="5"/>
    <x v="1"/>
    <x v="2"/>
    <n v="3185.3"/>
    <x v="0"/>
    <n v="2509.1716796874912"/>
    <n v="3503.83"/>
    <n v="3503.83"/>
    <n v="3503.83"/>
    <s v="June 2023"/>
  </r>
  <r>
    <d v="2023-06-23T00:00:00"/>
    <x v="3683"/>
    <n v="3"/>
    <x v="2"/>
    <x v="0"/>
    <x v="0"/>
    <x v="4"/>
    <n v="1367.78"/>
    <x v="2"/>
    <n v="2503.6022787783854"/>
    <n v="1504.55"/>
    <n v="1504.56"/>
    <n v="1504.56"/>
    <s v="June 2023"/>
  </r>
  <r>
    <d v="2023-06-23T00:00:00"/>
    <x v="3684"/>
    <n v="97"/>
    <x v="0"/>
    <x v="4"/>
    <x v="2"/>
    <x v="1"/>
    <n v="4099.99"/>
    <x v="0"/>
    <n v="2440.2966694490838"/>
    <n v="4509.9799999999996"/>
    <n v="4509.99"/>
    <n v="4509.99"/>
    <s v="June 2023"/>
  </r>
  <r>
    <d v="2023-06-23T00:00:00"/>
    <x v="3685"/>
    <n v="15"/>
    <x v="2"/>
    <x v="3"/>
    <x v="1"/>
    <x v="3"/>
    <n v="601.77"/>
    <x v="2"/>
    <n v="2509.1716796874912"/>
    <n v="661.94"/>
    <n v="661.95"/>
    <n v="661.95"/>
    <s v="June 2023"/>
  </r>
  <r>
    <d v="2023-06-23T00:00:00"/>
    <x v="3686"/>
    <n v="33"/>
    <x v="2"/>
    <x v="5"/>
    <x v="1"/>
    <x v="2"/>
    <n v="1295.8699999999999"/>
    <x v="1"/>
    <n v="2509.1716796874912"/>
    <n v="1425.45"/>
    <n v="1425.46"/>
    <n v="1425.46"/>
    <s v="June 2023"/>
  </r>
  <r>
    <d v="2023-06-23T00:00:00"/>
    <x v="3687"/>
    <n v="52"/>
    <x v="2"/>
    <x v="3"/>
    <x v="1"/>
    <x v="2"/>
    <n v="1238.6199999999999"/>
    <x v="1"/>
    <n v="2509.1716796874912"/>
    <n v="1362.48"/>
    <n v="1362.49"/>
    <n v="1362.48"/>
    <s v="June 2023"/>
  </r>
  <r>
    <d v="2023-06-23T00:00:00"/>
    <x v="3688"/>
    <n v="99"/>
    <x v="1"/>
    <x v="5"/>
    <x v="0"/>
    <x v="5"/>
    <n v="3030.52"/>
    <x v="0"/>
    <n v="2503.6022787783854"/>
    <n v="3333.57"/>
    <n v="3333.5800000000004"/>
    <n v="3333.57"/>
    <s v="June 2023"/>
  </r>
  <r>
    <d v="2023-06-23T00:00:00"/>
    <x v="3689"/>
    <n v="91"/>
    <x v="1"/>
    <x v="5"/>
    <x v="0"/>
    <x v="1"/>
    <n v="3433.56"/>
    <x v="0"/>
    <n v="2503.6022787783854"/>
    <n v="3776.91"/>
    <n v="3776.92"/>
    <n v="3776.92"/>
    <s v="June 2023"/>
  </r>
  <r>
    <d v="2023-06-23T00:00:00"/>
    <x v="3690"/>
    <n v="13"/>
    <x v="1"/>
    <x v="2"/>
    <x v="1"/>
    <x v="3"/>
    <n v="2197.6799999999998"/>
    <x v="2"/>
    <n v="2509.1716796874912"/>
    <n v="2417.44"/>
    <n v="2417.4500000000003"/>
    <n v="2417.4499999999998"/>
    <s v="June 2023"/>
  </r>
  <r>
    <d v="2023-06-23T00:00:00"/>
    <x v="3691"/>
    <n v="2"/>
    <x v="0"/>
    <x v="3"/>
    <x v="0"/>
    <x v="0"/>
    <n v="356.21"/>
    <x v="2"/>
    <n v="2503.6022787783854"/>
    <n v="391.83"/>
    <n v="391.84"/>
    <n v="391.83"/>
    <s v="June 2023"/>
  </r>
  <r>
    <d v="2023-06-23T00:00:00"/>
    <x v="3692"/>
    <n v="73"/>
    <x v="0"/>
    <x v="5"/>
    <x v="1"/>
    <x v="3"/>
    <n v="1350.29"/>
    <x v="0"/>
    <n v="2509.1716796874912"/>
    <n v="1485.31"/>
    <n v="1485.32"/>
    <n v="1485.32"/>
    <s v="June 2023"/>
  </r>
  <r>
    <d v="2023-06-24T00:00:00"/>
    <x v="3693"/>
    <n v="56"/>
    <x v="2"/>
    <x v="7"/>
    <x v="3"/>
    <x v="0"/>
    <n v="1077.28"/>
    <x v="1"/>
    <n v="2496.7676064256989"/>
    <n v="1185"/>
    <n v="1185.01"/>
    <n v="1185.01"/>
    <s v="June 2023"/>
  </r>
  <r>
    <d v="2023-06-24T00:00:00"/>
    <x v="3694"/>
    <n v="8"/>
    <x v="0"/>
    <x v="7"/>
    <x v="2"/>
    <x v="4"/>
    <n v="2294.77"/>
    <x v="2"/>
    <n v="2440.2966694490838"/>
    <n v="2524.2399999999998"/>
    <n v="2524.25"/>
    <n v="2524.25"/>
    <s v="June 2023"/>
  </r>
  <r>
    <d v="2023-06-24T00:00:00"/>
    <x v="3695"/>
    <n v="41"/>
    <x v="1"/>
    <x v="6"/>
    <x v="3"/>
    <x v="1"/>
    <n v="2762.95"/>
    <x v="1"/>
    <n v="2496.7676064256989"/>
    <n v="3039.24"/>
    <n v="3039.25"/>
    <n v="3039.25"/>
    <s v="June 2023"/>
  </r>
  <r>
    <d v="2023-06-24T00:00:00"/>
    <x v="3696"/>
    <n v="63"/>
    <x v="1"/>
    <x v="1"/>
    <x v="0"/>
    <x v="0"/>
    <n v="4474.66"/>
    <x v="1"/>
    <n v="2503.6022787783854"/>
    <n v="4922.12"/>
    <n v="4922.13"/>
    <n v="4922.13"/>
    <s v="June 2023"/>
  </r>
  <r>
    <d v="2023-06-24T00:00:00"/>
    <x v="3697"/>
    <n v="41"/>
    <x v="0"/>
    <x v="4"/>
    <x v="3"/>
    <x v="4"/>
    <n v="3329.55"/>
    <x v="1"/>
    <n v="2496.7676064256989"/>
    <n v="3662.5"/>
    <n v="3662.51"/>
    <n v="3662.51"/>
    <s v="June 2023"/>
  </r>
  <r>
    <d v="2023-06-24T00:00:00"/>
    <x v="3698"/>
    <n v="37"/>
    <x v="1"/>
    <x v="6"/>
    <x v="2"/>
    <x v="2"/>
    <n v="2193.08"/>
    <x v="1"/>
    <n v="2440.2966694490838"/>
    <n v="2412.38"/>
    <n v="2412.3900000000003"/>
    <n v="2412.39"/>
    <s v="June 2023"/>
  </r>
  <r>
    <d v="2023-06-24T00:00:00"/>
    <x v="3699"/>
    <n v="39"/>
    <x v="0"/>
    <x v="5"/>
    <x v="1"/>
    <x v="3"/>
    <n v="517.99"/>
    <x v="1"/>
    <n v="2509.1716796874912"/>
    <n v="569.78"/>
    <n v="569.79"/>
    <n v="569.79"/>
    <s v="June 2023"/>
  </r>
  <r>
    <d v="2023-06-24T00:00:00"/>
    <x v="3700"/>
    <n v="44"/>
    <x v="0"/>
    <x v="5"/>
    <x v="1"/>
    <x v="2"/>
    <n v="4528.38"/>
    <x v="1"/>
    <n v="2509.1716796874912"/>
    <n v="4981.21"/>
    <n v="4981.22"/>
    <n v="4981.22"/>
    <s v="June 2023"/>
  </r>
  <r>
    <d v="2023-06-24T00:00:00"/>
    <x v="3701"/>
    <n v="16"/>
    <x v="1"/>
    <x v="4"/>
    <x v="3"/>
    <x v="2"/>
    <n v="4450.72"/>
    <x v="1"/>
    <n v="2496.7676064256989"/>
    <n v="4895.79"/>
    <n v="4895.8"/>
    <n v="4895.79"/>
    <s v="June 2023"/>
  </r>
  <r>
    <d v="2023-06-24T00:00:00"/>
    <x v="3702"/>
    <n v="83"/>
    <x v="1"/>
    <x v="5"/>
    <x v="1"/>
    <x v="2"/>
    <n v="4520.53"/>
    <x v="0"/>
    <n v="2509.1716796874912"/>
    <n v="4972.58"/>
    <n v="4972.59"/>
    <n v="4972.58"/>
    <s v="June 2023"/>
  </r>
  <r>
    <d v="2023-06-25T00:00:00"/>
    <x v="3703"/>
    <n v="57"/>
    <x v="1"/>
    <x v="3"/>
    <x v="3"/>
    <x v="2"/>
    <n v="4675.76"/>
    <x v="1"/>
    <n v="2496.7676064256989"/>
    <n v="5143.33"/>
    <n v="5143.34"/>
    <n v="5143.34"/>
    <s v="June 2023"/>
  </r>
  <r>
    <d v="2023-06-25T00:00:00"/>
    <x v="3704"/>
    <n v="80"/>
    <x v="2"/>
    <x v="5"/>
    <x v="3"/>
    <x v="0"/>
    <n v="4095.54"/>
    <x v="0"/>
    <n v="2496.7676064256989"/>
    <n v="4505.09"/>
    <n v="4505.1000000000004"/>
    <n v="4505.09"/>
    <s v="June 2023"/>
  </r>
  <r>
    <d v="2023-06-25T00:00:00"/>
    <x v="3705"/>
    <n v="41"/>
    <x v="0"/>
    <x v="2"/>
    <x v="2"/>
    <x v="1"/>
    <n v="1897.65"/>
    <x v="1"/>
    <n v="2440.2966694490838"/>
    <n v="2087.41"/>
    <n v="2087.42"/>
    <n v="2087.42"/>
    <s v="June 2023"/>
  </r>
  <r>
    <d v="2023-06-26T00:00:00"/>
    <x v="3706"/>
    <n v="22"/>
    <x v="1"/>
    <x v="0"/>
    <x v="1"/>
    <x v="3"/>
    <n v="1667.13"/>
    <x v="1"/>
    <n v="2509.1716796874912"/>
    <n v="1833.84"/>
    <n v="1833.85"/>
    <n v="1833.84"/>
    <s v="June 2023"/>
  </r>
  <r>
    <d v="2023-06-26T00:00:00"/>
    <x v="3707"/>
    <n v="96"/>
    <x v="1"/>
    <x v="2"/>
    <x v="0"/>
    <x v="4"/>
    <n v="40.479999999999997"/>
    <x v="0"/>
    <n v="2503.6022787783854"/>
    <n v="44.52"/>
    <n v="44.53"/>
    <n v="44.53"/>
    <s v="June 2023"/>
  </r>
  <r>
    <d v="2023-06-26T00:00:00"/>
    <x v="3708"/>
    <n v="16"/>
    <x v="1"/>
    <x v="2"/>
    <x v="3"/>
    <x v="1"/>
    <n v="1652.04"/>
    <x v="1"/>
    <n v="2496.7676064256989"/>
    <n v="1817.24"/>
    <n v="1817.25"/>
    <n v="1817.24"/>
    <s v="June 2023"/>
  </r>
  <r>
    <d v="2023-06-26T00:00:00"/>
    <x v="3709"/>
    <n v="33"/>
    <x v="1"/>
    <x v="2"/>
    <x v="2"/>
    <x v="3"/>
    <n v="110.87"/>
    <x v="1"/>
    <n v="2440.2966694490838"/>
    <n v="121.95"/>
    <n v="121.96000000000001"/>
    <n v="121.96"/>
    <s v="June 2023"/>
  </r>
  <r>
    <d v="2023-06-27T00:00:00"/>
    <x v="3710"/>
    <n v="2"/>
    <x v="1"/>
    <x v="1"/>
    <x v="1"/>
    <x v="0"/>
    <n v="3942.91"/>
    <x v="2"/>
    <n v="2509.1716796874912"/>
    <n v="4337.2"/>
    <n v="4337.21"/>
    <n v="4337.2"/>
    <s v="June 2023"/>
  </r>
  <r>
    <d v="2023-06-27T00:00:00"/>
    <x v="3711"/>
    <n v="70"/>
    <x v="1"/>
    <x v="2"/>
    <x v="0"/>
    <x v="1"/>
    <n v="1728.56"/>
    <x v="0"/>
    <n v="2503.6022787783854"/>
    <n v="1901.41"/>
    <n v="1901.42"/>
    <n v="1901.42"/>
    <s v="June 2023"/>
  </r>
  <r>
    <d v="2023-06-27T00:00:00"/>
    <x v="3712"/>
    <n v="93"/>
    <x v="2"/>
    <x v="0"/>
    <x v="2"/>
    <x v="4"/>
    <n v="865.69"/>
    <x v="0"/>
    <n v="2440.2966694490838"/>
    <n v="952.25"/>
    <n v="952.26"/>
    <n v="952.26"/>
    <s v="June 2023"/>
  </r>
  <r>
    <d v="2023-06-27T00:00:00"/>
    <x v="3713"/>
    <n v="69"/>
    <x v="1"/>
    <x v="0"/>
    <x v="0"/>
    <x v="2"/>
    <n v="311.52"/>
    <x v="0"/>
    <n v="2503.6022787783854"/>
    <n v="342.67"/>
    <n v="342.68"/>
    <n v="342.67"/>
    <s v="June 2023"/>
  </r>
  <r>
    <d v="2023-06-27T00:00:00"/>
    <x v="3714"/>
    <n v="18"/>
    <x v="2"/>
    <x v="4"/>
    <x v="2"/>
    <x v="1"/>
    <n v="541.99"/>
    <x v="1"/>
    <n v="2440.2966694490838"/>
    <n v="596.17999999999995"/>
    <n v="596.18999999999994"/>
    <n v="596.19000000000005"/>
    <s v="June 2023"/>
  </r>
  <r>
    <d v="2023-06-27T00:00:00"/>
    <x v="3715"/>
    <n v="46"/>
    <x v="0"/>
    <x v="3"/>
    <x v="2"/>
    <x v="3"/>
    <n v="3224.97"/>
    <x v="1"/>
    <n v="2440.2966694490838"/>
    <n v="3547.46"/>
    <n v="3547.4700000000003"/>
    <n v="3547.47"/>
    <s v="June 2023"/>
  </r>
  <r>
    <d v="2023-06-27T00:00:00"/>
    <x v="3716"/>
    <n v="47"/>
    <x v="2"/>
    <x v="0"/>
    <x v="3"/>
    <x v="3"/>
    <n v="1219.46"/>
    <x v="1"/>
    <n v="2496.7676064256989"/>
    <n v="1341.4"/>
    <n v="1341.41"/>
    <n v="1341.41"/>
    <s v="June 2023"/>
  </r>
  <r>
    <d v="2023-06-27T00:00:00"/>
    <x v="3717"/>
    <n v="15"/>
    <x v="1"/>
    <x v="5"/>
    <x v="2"/>
    <x v="4"/>
    <n v="742.51"/>
    <x v="2"/>
    <n v="2440.2966694490838"/>
    <n v="816.76"/>
    <n v="816.77"/>
    <n v="816.76"/>
    <s v="June 2023"/>
  </r>
  <r>
    <d v="2023-06-27T00:00:00"/>
    <x v="3718"/>
    <n v="19"/>
    <x v="0"/>
    <x v="0"/>
    <x v="3"/>
    <x v="4"/>
    <n v="4181.3"/>
    <x v="1"/>
    <n v="2496.7676064256989"/>
    <n v="4599.43"/>
    <n v="4599.43"/>
    <n v="4599.43"/>
    <s v="June 2023"/>
  </r>
  <r>
    <d v="2023-06-28T00:00:00"/>
    <x v="3719"/>
    <n v="11"/>
    <x v="0"/>
    <x v="2"/>
    <x v="1"/>
    <x v="1"/>
    <n v="2926.34"/>
    <x v="2"/>
    <n v="2509.1716796874912"/>
    <n v="3218.97"/>
    <n v="3218.98"/>
    <n v="3218.97"/>
    <s v="June 2023"/>
  </r>
  <r>
    <d v="2023-06-28T00:00:00"/>
    <x v="3720"/>
    <n v="11"/>
    <x v="1"/>
    <x v="0"/>
    <x v="1"/>
    <x v="0"/>
    <n v="3504.53"/>
    <x v="2"/>
    <n v="2509.1716796874912"/>
    <n v="3854.98"/>
    <n v="3854.9900000000002"/>
    <n v="3854.98"/>
    <s v="June 2023"/>
  </r>
  <r>
    <d v="2023-06-28T00:00:00"/>
    <x v="3721"/>
    <n v="29"/>
    <x v="1"/>
    <x v="5"/>
    <x v="2"/>
    <x v="0"/>
    <n v="2507.41"/>
    <x v="1"/>
    <n v="2440.2966694490838"/>
    <n v="2758.15"/>
    <n v="2758.1600000000003"/>
    <n v="2758.15"/>
    <s v="June 2023"/>
  </r>
  <r>
    <d v="2023-06-28T00:00:00"/>
    <x v="3722"/>
    <n v="68"/>
    <x v="2"/>
    <x v="1"/>
    <x v="3"/>
    <x v="2"/>
    <n v="2227.2199999999998"/>
    <x v="0"/>
    <n v="2496.7676064256989"/>
    <n v="2449.94"/>
    <n v="2449.9500000000003"/>
    <n v="2449.94"/>
    <s v="June 2023"/>
  </r>
  <r>
    <d v="2023-06-28T00:00:00"/>
    <x v="3723"/>
    <n v="6"/>
    <x v="1"/>
    <x v="7"/>
    <x v="0"/>
    <x v="1"/>
    <n v="3258.82"/>
    <x v="2"/>
    <n v="2503.6022787783854"/>
    <n v="3584.7"/>
    <n v="3584.71"/>
    <n v="3584.7"/>
    <s v="June 2023"/>
  </r>
  <r>
    <d v="2023-06-29T00:00:00"/>
    <x v="3724"/>
    <n v="43"/>
    <x v="1"/>
    <x v="1"/>
    <x v="3"/>
    <x v="3"/>
    <n v="1043.96"/>
    <x v="1"/>
    <n v="2496.7676064256989"/>
    <n v="1148.3499999999999"/>
    <n v="1148.3599999999999"/>
    <n v="1148.3599999999999"/>
    <s v="June 2023"/>
  </r>
  <r>
    <d v="2023-06-29T00:00:00"/>
    <x v="3725"/>
    <n v="33"/>
    <x v="0"/>
    <x v="2"/>
    <x v="0"/>
    <x v="2"/>
    <n v="454.43"/>
    <x v="1"/>
    <n v="2503.6022787783854"/>
    <n v="499.87"/>
    <n v="499.88"/>
    <n v="499.87"/>
    <s v="June 2023"/>
  </r>
  <r>
    <d v="2023-06-29T00:00:00"/>
    <x v="3726"/>
    <n v="23"/>
    <x v="1"/>
    <x v="0"/>
    <x v="3"/>
    <x v="0"/>
    <n v="3483.07"/>
    <x v="1"/>
    <n v="2496.7676064256989"/>
    <n v="3831.37"/>
    <n v="3831.38"/>
    <n v="3831.38"/>
    <s v="June 2023"/>
  </r>
  <r>
    <d v="2023-06-29T00:00:00"/>
    <x v="3727"/>
    <n v="35"/>
    <x v="0"/>
    <x v="0"/>
    <x v="3"/>
    <x v="0"/>
    <n v="4393.66"/>
    <x v="1"/>
    <n v="2496.7676064256989"/>
    <n v="4833.0200000000004"/>
    <n v="4833.0300000000007"/>
    <n v="4833.03"/>
    <s v="June 2023"/>
  </r>
  <r>
    <d v="2023-06-29T00:00:00"/>
    <x v="3728"/>
    <n v="79"/>
    <x v="1"/>
    <x v="5"/>
    <x v="0"/>
    <x v="3"/>
    <n v="2756.08"/>
    <x v="0"/>
    <n v="2503.6022787783854"/>
    <n v="3031.68"/>
    <n v="3031.69"/>
    <n v="3031.69"/>
    <s v="June 2023"/>
  </r>
  <r>
    <d v="2023-06-29T00:00:00"/>
    <x v="3729"/>
    <n v="24"/>
    <x v="0"/>
    <x v="2"/>
    <x v="2"/>
    <x v="4"/>
    <n v="4114.6400000000003"/>
    <x v="1"/>
    <n v="2440.2966694490838"/>
    <n v="4526.1000000000004"/>
    <n v="4526.1100000000006"/>
    <n v="4526.1000000000004"/>
    <s v="June 2023"/>
  </r>
  <r>
    <d v="2023-06-29T00:00:00"/>
    <x v="3730"/>
    <n v="73"/>
    <x v="2"/>
    <x v="3"/>
    <x v="2"/>
    <x v="1"/>
    <n v="2501.7600000000002"/>
    <x v="0"/>
    <n v="2440.2966694490838"/>
    <n v="2751.93"/>
    <n v="2751.94"/>
    <n v="2751.94"/>
    <s v="June 2023"/>
  </r>
  <r>
    <d v="2023-06-29T00:00:00"/>
    <x v="3731"/>
    <n v="1"/>
    <x v="1"/>
    <x v="5"/>
    <x v="2"/>
    <x v="4"/>
    <n v="2727.47"/>
    <x v="2"/>
    <n v="2440.2966694490838"/>
    <n v="3000.21"/>
    <n v="3000.2200000000003"/>
    <n v="3000.22"/>
    <s v="June 2023"/>
  </r>
  <r>
    <d v="2023-06-29T00:00:00"/>
    <x v="3732"/>
    <n v="27"/>
    <x v="0"/>
    <x v="5"/>
    <x v="1"/>
    <x v="1"/>
    <n v="2464.2800000000002"/>
    <x v="1"/>
    <n v="2509.1716796874912"/>
    <n v="2710.7"/>
    <n v="2710.71"/>
    <n v="2710.71"/>
    <s v="June 2023"/>
  </r>
  <r>
    <d v="2023-06-29T00:00:00"/>
    <x v="3733"/>
    <n v="55"/>
    <x v="2"/>
    <x v="0"/>
    <x v="2"/>
    <x v="1"/>
    <n v="4834.32"/>
    <x v="1"/>
    <n v="2440.2966694490838"/>
    <n v="5317.75"/>
    <n v="5317.76"/>
    <n v="5317.75"/>
    <s v="June 2023"/>
  </r>
  <r>
    <d v="2023-06-29T00:00:00"/>
    <x v="3734"/>
    <n v="9"/>
    <x v="1"/>
    <x v="3"/>
    <x v="1"/>
    <x v="3"/>
    <n v="1359.34"/>
    <x v="2"/>
    <n v="2509.1716796874912"/>
    <n v="1495.27"/>
    <n v="1495.28"/>
    <n v="1495.27"/>
    <s v="June 2023"/>
  </r>
  <r>
    <d v="2023-06-30T00:00:00"/>
    <x v="3735"/>
    <n v="85"/>
    <x v="2"/>
    <x v="6"/>
    <x v="1"/>
    <x v="3"/>
    <n v="3043.82"/>
    <x v="0"/>
    <n v="2509.1716796874912"/>
    <n v="3348.2"/>
    <n v="3348.21"/>
    <n v="3348.2"/>
    <s v="June 2023"/>
  </r>
  <r>
    <d v="2023-06-30T00:00:00"/>
    <x v="3736"/>
    <n v="62"/>
    <x v="0"/>
    <x v="5"/>
    <x v="2"/>
    <x v="3"/>
    <n v="4618.1499999999996"/>
    <x v="1"/>
    <n v="2440.2966694490838"/>
    <n v="5079.96"/>
    <n v="5079.97"/>
    <n v="5079.97"/>
    <s v="June 2023"/>
  </r>
  <r>
    <d v="2023-06-30T00:00:00"/>
    <x v="3737"/>
    <n v="50"/>
    <x v="2"/>
    <x v="3"/>
    <x v="0"/>
    <x v="3"/>
    <n v="1824.55"/>
    <x v="1"/>
    <n v="2503.6022787783854"/>
    <n v="2007"/>
    <n v="2007.01"/>
    <n v="2007.01"/>
    <s v="June 2023"/>
  </r>
  <r>
    <d v="2023-06-30T00:00:00"/>
    <x v="3738"/>
    <n v="52"/>
    <x v="1"/>
    <x v="7"/>
    <x v="2"/>
    <x v="4"/>
    <n v="4103.4399999999996"/>
    <x v="1"/>
    <n v="2440.2966694490838"/>
    <n v="4513.78"/>
    <n v="4513.79"/>
    <n v="4513.78"/>
    <s v="June 2023"/>
  </r>
  <r>
    <d v="2023-06-30T00:00:00"/>
    <x v="3739"/>
    <n v="95"/>
    <x v="2"/>
    <x v="7"/>
    <x v="3"/>
    <x v="0"/>
    <n v="2079.41"/>
    <x v="0"/>
    <n v="2496.7676064256989"/>
    <n v="2287.35"/>
    <n v="2287.36"/>
    <n v="2287.35"/>
    <s v="June 2023"/>
  </r>
  <r>
    <d v="2023-06-30T00:00:00"/>
    <x v="3740"/>
    <n v="79"/>
    <x v="0"/>
    <x v="6"/>
    <x v="1"/>
    <x v="0"/>
    <n v="575.13"/>
    <x v="0"/>
    <n v="2509.1716796874912"/>
    <n v="632.64"/>
    <n v="632.65"/>
    <n v="632.64"/>
    <s v="June 2023"/>
  </r>
  <r>
    <d v="2023-06-30T00:00:00"/>
    <x v="3741"/>
    <n v="47"/>
    <x v="1"/>
    <x v="4"/>
    <x v="3"/>
    <x v="3"/>
    <n v="2587.64"/>
    <x v="1"/>
    <n v="2496.7676064256989"/>
    <n v="2846.4"/>
    <n v="2846.4100000000003"/>
    <n v="2846.4"/>
    <s v="June 2023"/>
  </r>
  <r>
    <d v="2023-06-30T00:00:00"/>
    <x v="3742"/>
    <n v="23"/>
    <x v="2"/>
    <x v="2"/>
    <x v="2"/>
    <x v="3"/>
    <n v="2793.01"/>
    <x v="1"/>
    <n v="2440.2966694490838"/>
    <n v="3072.31"/>
    <n v="3072.32"/>
    <n v="3072.31"/>
    <s v="June 2023"/>
  </r>
  <r>
    <d v="2023-06-30T00:00:00"/>
    <x v="3743"/>
    <n v="82"/>
    <x v="2"/>
    <x v="7"/>
    <x v="0"/>
    <x v="5"/>
    <n v="2588.59"/>
    <x v="0"/>
    <n v="2503.6022787783854"/>
    <n v="2847.44"/>
    <n v="2847.4500000000003"/>
    <n v="2847.45"/>
    <s v="June 2023"/>
  </r>
  <r>
    <d v="2023-06-30T00:00:00"/>
    <x v="3744"/>
    <n v="2"/>
    <x v="0"/>
    <x v="4"/>
    <x v="0"/>
    <x v="0"/>
    <n v="4465.3900000000003"/>
    <x v="2"/>
    <n v="2503.6022787783854"/>
    <n v="4911.92"/>
    <n v="4911.93"/>
    <n v="4911.93"/>
    <s v="June 2023"/>
  </r>
  <r>
    <d v="2023-06-30T00:00:00"/>
    <x v="3745"/>
    <n v="5"/>
    <x v="2"/>
    <x v="7"/>
    <x v="0"/>
    <x v="1"/>
    <n v="2558.5700000000002"/>
    <x v="2"/>
    <n v="2503.6022787783854"/>
    <n v="2814.42"/>
    <n v="2814.4300000000003"/>
    <n v="2814.43"/>
    <s v="June 2023"/>
  </r>
  <r>
    <d v="2023-07-01T00:00:00"/>
    <x v="3746"/>
    <n v="2"/>
    <x v="2"/>
    <x v="1"/>
    <x v="2"/>
    <x v="1"/>
    <n v="4264.4399999999996"/>
    <x v="2"/>
    <n v="2440.2966694490838"/>
    <n v="4690.88"/>
    <n v="4690.8900000000003"/>
    <n v="4690.88"/>
    <s v="July 2023"/>
  </r>
  <r>
    <d v="2023-07-01T00:00:00"/>
    <x v="3747"/>
    <n v="49"/>
    <x v="2"/>
    <x v="5"/>
    <x v="0"/>
    <x v="2"/>
    <n v="577.20000000000005"/>
    <x v="1"/>
    <n v="2503.6022787783854"/>
    <n v="634.91999999999996"/>
    <n v="634.91999999999996"/>
    <n v="634.91999999999996"/>
    <s v="July 2023"/>
  </r>
  <r>
    <d v="2023-07-01T00:00:00"/>
    <x v="3748"/>
    <n v="59"/>
    <x v="2"/>
    <x v="3"/>
    <x v="1"/>
    <x v="1"/>
    <n v="1672.26"/>
    <x v="1"/>
    <n v="2509.1716796874912"/>
    <n v="1839.48"/>
    <n v="1839.49"/>
    <n v="1839.49"/>
    <s v="July 2023"/>
  </r>
  <r>
    <d v="2023-07-01T00:00:00"/>
    <x v="3749"/>
    <n v="32"/>
    <x v="2"/>
    <x v="5"/>
    <x v="2"/>
    <x v="1"/>
    <n v="3442.96"/>
    <x v="1"/>
    <n v="2440.2966694490838"/>
    <n v="3787.25"/>
    <n v="3787.26"/>
    <n v="3787.26"/>
    <s v="July 2023"/>
  </r>
  <r>
    <d v="2023-07-02T00:00:00"/>
    <x v="3750"/>
    <n v="25"/>
    <x v="1"/>
    <x v="2"/>
    <x v="1"/>
    <x v="3"/>
    <n v="2688.07"/>
    <x v="1"/>
    <n v="2509.1716796874912"/>
    <n v="2956.87"/>
    <n v="2956.88"/>
    <n v="2956.88"/>
    <s v="July 2023"/>
  </r>
  <r>
    <d v="2023-07-02T00:00:00"/>
    <x v="3751"/>
    <n v="40"/>
    <x v="2"/>
    <x v="3"/>
    <x v="3"/>
    <x v="1"/>
    <n v="361.56"/>
    <x v="1"/>
    <n v="2496.7676064256989"/>
    <n v="397.71"/>
    <n v="397.71999999999997"/>
    <n v="397.72"/>
    <s v="July 2023"/>
  </r>
  <r>
    <d v="2023-07-02T00:00:00"/>
    <x v="3752"/>
    <n v="76"/>
    <x v="2"/>
    <x v="7"/>
    <x v="0"/>
    <x v="1"/>
    <n v="297.75"/>
    <x v="0"/>
    <n v="2503.6022787783854"/>
    <n v="327.52"/>
    <n v="327.52999999999997"/>
    <n v="327.52999999999997"/>
    <s v="July 2023"/>
  </r>
  <r>
    <d v="2023-07-02T00:00:00"/>
    <x v="3753"/>
    <n v="32"/>
    <x v="1"/>
    <x v="5"/>
    <x v="3"/>
    <x v="0"/>
    <n v="4599"/>
    <x v="1"/>
    <n v="2496.7676064256989"/>
    <n v="5058.8999999999996"/>
    <n v="5058.8999999999996"/>
    <n v="5058.8999999999996"/>
    <s v="July 2023"/>
  </r>
  <r>
    <d v="2023-07-02T00:00:00"/>
    <x v="3754"/>
    <n v="10"/>
    <x v="1"/>
    <x v="1"/>
    <x v="3"/>
    <x v="1"/>
    <n v="4437.08"/>
    <x v="2"/>
    <n v="2496.7676064256989"/>
    <n v="4880.78"/>
    <n v="4880.79"/>
    <n v="4880.79"/>
    <s v="July 2023"/>
  </r>
  <r>
    <d v="2023-07-02T00:00:00"/>
    <x v="3755"/>
    <n v="57"/>
    <x v="0"/>
    <x v="2"/>
    <x v="1"/>
    <x v="2"/>
    <n v="1316.4"/>
    <x v="1"/>
    <n v="2509.1716796874912"/>
    <n v="1448.04"/>
    <n v="1448.04"/>
    <n v="1448.04"/>
    <s v="July 2023"/>
  </r>
  <r>
    <d v="2023-07-03T00:00:00"/>
    <x v="3756"/>
    <n v="14"/>
    <x v="0"/>
    <x v="4"/>
    <x v="3"/>
    <x v="0"/>
    <n v="3354.68"/>
    <x v="2"/>
    <n v="2496.7676064256989"/>
    <n v="3690.14"/>
    <n v="3690.15"/>
    <n v="3690.15"/>
    <s v="July 2023"/>
  </r>
  <r>
    <d v="2023-07-03T00:00:00"/>
    <x v="3757"/>
    <n v="34"/>
    <x v="2"/>
    <x v="7"/>
    <x v="1"/>
    <x v="2"/>
    <n v="550.92999999999995"/>
    <x v="1"/>
    <n v="2509.1716796874912"/>
    <n v="606.02"/>
    <n v="606.03"/>
    <n v="606.02"/>
    <s v="July 2023"/>
  </r>
  <r>
    <d v="2023-07-03T00:00:00"/>
    <x v="3758"/>
    <n v="4"/>
    <x v="2"/>
    <x v="1"/>
    <x v="0"/>
    <x v="3"/>
    <n v="2877.82"/>
    <x v="2"/>
    <n v="2503.6022787783854"/>
    <n v="3165.6"/>
    <n v="3165.61"/>
    <n v="3165.6"/>
    <s v="July 2023"/>
  </r>
  <r>
    <d v="2023-07-03T00:00:00"/>
    <x v="3759"/>
    <n v="77"/>
    <x v="0"/>
    <x v="0"/>
    <x v="1"/>
    <x v="2"/>
    <n v="106.68"/>
    <x v="0"/>
    <n v="2509.1716796874912"/>
    <n v="117.34"/>
    <n v="117.35000000000001"/>
    <n v="117.35"/>
    <s v="July 2023"/>
  </r>
  <r>
    <d v="2023-07-03T00:00:00"/>
    <x v="3760"/>
    <n v="4"/>
    <x v="2"/>
    <x v="1"/>
    <x v="2"/>
    <x v="0"/>
    <n v="506.17"/>
    <x v="2"/>
    <n v="2440.2966694490838"/>
    <n v="556.78"/>
    <n v="556.79"/>
    <n v="556.79"/>
    <s v="July 2023"/>
  </r>
  <r>
    <d v="2023-07-03T00:00:00"/>
    <x v="3761"/>
    <n v="24"/>
    <x v="1"/>
    <x v="7"/>
    <x v="1"/>
    <x v="3"/>
    <n v="3050.47"/>
    <x v="1"/>
    <n v="2509.1716796874912"/>
    <n v="3355.51"/>
    <n v="3355.5200000000004"/>
    <n v="3355.52"/>
    <s v="July 2023"/>
  </r>
  <r>
    <d v="2023-07-03T00:00:00"/>
    <x v="3762"/>
    <n v="7"/>
    <x v="2"/>
    <x v="1"/>
    <x v="3"/>
    <x v="3"/>
    <n v="4941.3100000000004"/>
    <x v="2"/>
    <n v="2496.7676064256989"/>
    <n v="5435.44"/>
    <n v="5435.45"/>
    <n v="5435.44"/>
    <s v="July 2023"/>
  </r>
  <r>
    <d v="2023-07-03T00:00:00"/>
    <x v="3763"/>
    <n v="50"/>
    <x v="2"/>
    <x v="0"/>
    <x v="3"/>
    <x v="4"/>
    <n v="4201.5"/>
    <x v="1"/>
    <n v="2496.7676064256989"/>
    <n v="4621.6499999999996"/>
    <n v="4621.6499999999996"/>
    <n v="4621.6499999999996"/>
    <s v="July 2023"/>
  </r>
  <r>
    <d v="2023-07-03T00:00:00"/>
    <x v="3764"/>
    <n v="50"/>
    <x v="1"/>
    <x v="7"/>
    <x v="1"/>
    <x v="4"/>
    <n v="988.57"/>
    <x v="1"/>
    <n v="2509.1716796874912"/>
    <n v="1087.42"/>
    <n v="1087.43"/>
    <n v="1087.43"/>
    <s v="July 2023"/>
  </r>
  <r>
    <d v="2023-07-04T00:00:00"/>
    <x v="3765"/>
    <n v="96"/>
    <x v="2"/>
    <x v="2"/>
    <x v="1"/>
    <x v="2"/>
    <n v="2309.04"/>
    <x v="0"/>
    <n v="2509.1716796874912"/>
    <n v="2539.94"/>
    <n v="2539.9500000000003"/>
    <n v="2539.94"/>
    <s v="July 2023"/>
  </r>
  <r>
    <d v="2023-07-04T00:00:00"/>
    <x v="3766"/>
    <n v="89"/>
    <x v="2"/>
    <x v="0"/>
    <x v="2"/>
    <x v="4"/>
    <n v="3703.68"/>
    <x v="0"/>
    <n v="2440.2966694490838"/>
    <n v="4074.04"/>
    <n v="4074.05"/>
    <n v="4074.05"/>
    <s v="July 2023"/>
  </r>
  <r>
    <d v="2023-07-05T00:00:00"/>
    <x v="3767"/>
    <n v="35"/>
    <x v="1"/>
    <x v="1"/>
    <x v="3"/>
    <x v="3"/>
    <n v="3855.29"/>
    <x v="1"/>
    <n v="2496.7676064256989"/>
    <n v="4240.8100000000004"/>
    <n v="4240.8200000000006"/>
    <n v="4240.82"/>
    <s v="July 2023"/>
  </r>
  <r>
    <d v="2023-07-05T00:00:00"/>
    <x v="3768"/>
    <n v="11"/>
    <x v="0"/>
    <x v="2"/>
    <x v="0"/>
    <x v="3"/>
    <n v="4241.54"/>
    <x v="2"/>
    <n v="2503.6022787783854"/>
    <n v="4665.6899999999996"/>
    <n v="4665.7"/>
    <n v="4665.6899999999996"/>
    <s v="July 2023"/>
  </r>
  <r>
    <d v="2023-07-05T00:00:00"/>
    <x v="3769"/>
    <n v="54"/>
    <x v="1"/>
    <x v="7"/>
    <x v="3"/>
    <x v="4"/>
    <n v="1065.95"/>
    <x v="1"/>
    <n v="2496.7676064256989"/>
    <n v="1172.54"/>
    <n v="1172.55"/>
    <n v="1172.55"/>
    <s v="July 2023"/>
  </r>
  <r>
    <d v="2023-07-05T00:00:00"/>
    <x v="3770"/>
    <n v="93"/>
    <x v="1"/>
    <x v="0"/>
    <x v="0"/>
    <x v="1"/>
    <n v="3015.21"/>
    <x v="0"/>
    <n v="2503.6022787783854"/>
    <n v="3316.73"/>
    <n v="3316.7400000000002"/>
    <n v="3316.73"/>
    <s v="July 2023"/>
  </r>
  <r>
    <d v="2023-07-05T00:00:00"/>
    <x v="3771"/>
    <n v="31"/>
    <x v="2"/>
    <x v="7"/>
    <x v="3"/>
    <x v="5"/>
    <n v="2085.1999999999998"/>
    <x v="1"/>
    <n v="2496.7676064256989"/>
    <n v="2293.7199999999998"/>
    <n v="2293.7199999999998"/>
    <n v="2293.7199999999998"/>
    <s v="July 2023"/>
  </r>
  <r>
    <d v="2023-07-06T00:00:00"/>
    <x v="3772"/>
    <n v="44"/>
    <x v="2"/>
    <x v="3"/>
    <x v="0"/>
    <x v="5"/>
    <n v="3900.36"/>
    <x v="1"/>
    <n v="2503.6022787783854"/>
    <n v="4290.3900000000003"/>
    <n v="4290.4000000000005"/>
    <n v="4290.3999999999996"/>
    <s v="July 2023"/>
  </r>
  <r>
    <d v="2023-07-06T00:00:00"/>
    <x v="3773"/>
    <n v="15"/>
    <x v="1"/>
    <x v="6"/>
    <x v="2"/>
    <x v="1"/>
    <n v="131.66999999999999"/>
    <x v="2"/>
    <n v="2440.2966694490838"/>
    <n v="144.83000000000001"/>
    <n v="144.84"/>
    <n v="144.84"/>
    <s v="July 2023"/>
  </r>
  <r>
    <d v="2023-07-07T00:00:00"/>
    <x v="3774"/>
    <n v="60"/>
    <x v="2"/>
    <x v="5"/>
    <x v="1"/>
    <x v="4"/>
    <n v="3981.78"/>
    <x v="1"/>
    <n v="2509.1716796874912"/>
    <n v="4379.95"/>
    <n v="4379.96"/>
    <n v="4379.96"/>
    <s v="July 2023"/>
  </r>
  <r>
    <d v="2023-07-07T00:00:00"/>
    <x v="3775"/>
    <n v="99"/>
    <x v="0"/>
    <x v="1"/>
    <x v="3"/>
    <x v="3"/>
    <n v="3392.94"/>
    <x v="0"/>
    <n v="2496.7676064256989"/>
    <n v="3732.23"/>
    <n v="3732.2400000000002"/>
    <n v="3732.23"/>
    <s v="July 2023"/>
  </r>
  <r>
    <d v="2023-07-07T00:00:00"/>
    <x v="3776"/>
    <n v="75"/>
    <x v="2"/>
    <x v="3"/>
    <x v="1"/>
    <x v="0"/>
    <n v="1385.91"/>
    <x v="0"/>
    <n v="2509.1716796874912"/>
    <n v="1524.5"/>
    <n v="1524.51"/>
    <n v="1524.5"/>
    <s v="July 2023"/>
  </r>
  <r>
    <d v="2023-07-07T00:00:00"/>
    <x v="3777"/>
    <n v="65"/>
    <x v="1"/>
    <x v="6"/>
    <x v="2"/>
    <x v="3"/>
    <n v="2338.0700000000002"/>
    <x v="0"/>
    <n v="2440.2966694490838"/>
    <n v="2571.87"/>
    <n v="2571.88"/>
    <n v="2571.88"/>
    <s v="July 2023"/>
  </r>
  <r>
    <d v="2023-07-07T00:00:00"/>
    <x v="3778"/>
    <n v="97"/>
    <x v="1"/>
    <x v="5"/>
    <x v="2"/>
    <x v="1"/>
    <n v="4018.54"/>
    <x v="0"/>
    <n v="2440.2966694490838"/>
    <n v="4420.3900000000003"/>
    <n v="4420.4000000000005"/>
    <n v="4420.3900000000003"/>
    <s v="July 2023"/>
  </r>
  <r>
    <d v="2023-07-07T00:00:00"/>
    <x v="3779"/>
    <n v="67"/>
    <x v="1"/>
    <x v="3"/>
    <x v="2"/>
    <x v="2"/>
    <n v="2218.17"/>
    <x v="0"/>
    <n v="2440.2966694490838"/>
    <n v="2439.98"/>
    <n v="2439.9900000000002"/>
    <n v="2439.9899999999998"/>
    <s v="July 2023"/>
  </r>
  <r>
    <d v="2023-07-07T00:00:00"/>
    <x v="3780"/>
    <n v="72"/>
    <x v="0"/>
    <x v="6"/>
    <x v="1"/>
    <x v="0"/>
    <n v="1412.48"/>
    <x v="0"/>
    <n v="2509.1716796874912"/>
    <n v="1553.72"/>
    <n v="1553.73"/>
    <n v="1553.73"/>
    <s v="July 2023"/>
  </r>
  <r>
    <d v="2023-07-08T00:00:00"/>
    <x v="3781"/>
    <n v="12"/>
    <x v="1"/>
    <x v="0"/>
    <x v="2"/>
    <x v="2"/>
    <n v="4244.6099999999997"/>
    <x v="2"/>
    <n v="2440.2966694490838"/>
    <n v="4669.07"/>
    <n v="4669.08"/>
    <n v="4669.07"/>
    <s v="July 2023"/>
  </r>
  <r>
    <d v="2023-07-08T00:00:00"/>
    <x v="3782"/>
    <n v="97"/>
    <x v="2"/>
    <x v="2"/>
    <x v="2"/>
    <x v="4"/>
    <n v="769.22"/>
    <x v="0"/>
    <n v="2440.2966694490838"/>
    <n v="846.14"/>
    <n v="846.15"/>
    <n v="846.14"/>
    <s v="July 2023"/>
  </r>
  <r>
    <d v="2023-07-08T00:00:00"/>
    <x v="3783"/>
    <n v="32"/>
    <x v="1"/>
    <x v="0"/>
    <x v="1"/>
    <x v="2"/>
    <n v="2625.31"/>
    <x v="1"/>
    <n v="2509.1716796874912"/>
    <n v="2887.84"/>
    <n v="2887.8500000000004"/>
    <n v="2887.84"/>
    <s v="July 2023"/>
  </r>
  <r>
    <d v="2023-07-08T00:00:00"/>
    <x v="3784"/>
    <n v="9"/>
    <x v="1"/>
    <x v="7"/>
    <x v="1"/>
    <x v="4"/>
    <n v="925.55"/>
    <x v="2"/>
    <n v="2509.1716796874912"/>
    <n v="1018.1"/>
    <n v="1018.11"/>
    <n v="1018.11"/>
    <s v="July 2023"/>
  </r>
  <r>
    <d v="2023-07-08T00:00:00"/>
    <x v="3785"/>
    <n v="1"/>
    <x v="0"/>
    <x v="0"/>
    <x v="1"/>
    <x v="0"/>
    <n v="2174.3200000000002"/>
    <x v="2"/>
    <n v="2509.1716796874912"/>
    <n v="2391.75"/>
    <n v="2391.7600000000002"/>
    <n v="2391.75"/>
    <s v="July 2023"/>
  </r>
  <r>
    <d v="2023-07-09T00:00:00"/>
    <x v="3786"/>
    <n v="70"/>
    <x v="2"/>
    <x v="0"/>
    <x v="2"/>
    <x v="2"/>
    <n v="931.75"/>
    <x v="0"/>
    <n v="2440.2966694490838"/>
    <n v="1024.92"/>
    <n v="1024.93"/>
    <n v="1024.93"/>
    <s v="July 2023"/>
  </r>
  <r>
    <d v="2023-07-09T00:00:00"/>
    <x v="3787"/>
    <n v="4"/>
    <x v="1"/>
    <x v="3"/>
    <x v="1"/>
    <x v="1"/>
    <n v="80.849999999999994"/>
    <x v="2"/>
    <n v="2509.1716796874912"/>
    <n v="88.93"/>
    <n v="88.940000000000012"/>
    <n v="88.94"/>
    <s v="July 2023"/>
  </r>
  <r>
    <d v="2023-07-09T00:00:00"/>
    <x v="3788"/>
    <n v="26"/>
    <x v="0"/>
    <x v="4"/>
    <x v="2"/>
    <x v="4"/>
    <n v="990.43"/>
    <x v="1"/>
    <n v="2440.2966694490838"/>
    <n v="1089.47"/>
    <n v="1089.48"/>
    <n v="1089.47"/>
    <s v="July 2023"/>
  </r>
  <r>
    <d v="2023-07-09T00:00:00"/>
    <x v="3789"/>
    <n v="39"/>
    <x v="0"/>
    <x v="3"/>
    <x v="1"/>
    <x v="3"/>
    <n v="1400.32"/>
    <x v="1"/>
    <n v="2509.1716796874912"/>
    <n v="1540.35"/>
    <n v="1540.36"/>
    <n v="1540.35"/>
    <s v="July 2023"/>
  </r>
  <r>
    <d v="2023-07-09T00:00:00"/>
    <x v="3790"/>
    <n v="60"/>
    <x v="0"/>
    <x v="7"/>
    <x v="0"/>
    <x v="3"/>
    <n v="836.24"/>
    <x v="1"/>
    <n v="2503.6022787783854"/>
    <n v="919.86"/>
    <n v="919.87"/>
    <n v="919.86"/>
    <s v="July 2023"/>
  </r>
  <r>
    <d v="2023-07-09T00:00:00"/>
    <x v="3791"/>
    <n v="40"/>
    <x v="2"/>
    <x v="2"/>
    <x v="0"/>
    <x v="1"/>
    <n v="2842.59"/>
    <x v="1"/>
    <n v="2503.6022787783854"/>
    <n v="3126.84"/>
    <n v="3126.8500000000004"/>
    <n v="3126.85"/>
    <s v="July 2023"/>
  </r>
  <r>
    <d v="2023-07-09T00:00:00"/>
    <x v="3792"/>
    <n v="79"/>
    <x v="0"/>
    <x v="7"/>
    <x v="3"/>
    <x v="4"/>
    <n v="3200.77"/>
    <x v="0"/>
    <n v="2496.7676064256989"/>
    <n v="3520.84"/>
    <n v="3520.8500000000004"/>
    <n v="3520.85"/>
    <s v="July 2023"/>
  </r>
  <r>
    <d v="2023-07-09T00:00:00"/>
    <x v="3793"/>
    <n v="96"/>
    <x v="1"/>
    <x v="7"/>
    <x v="3"/>
    <x v="1"/>
    <n v="624.54"/>
    <x v="0"/>
    <n v="2496.7676064256989"/>
    <n v="686.99"/>
    <n v="687"/>
    <n v="686.99"/>
    <s v="July 2023"/>
  </r>
  <r>
    <d v="2023-07-09T00:00:00"/>
    <x v="3794"/>
    <n v="81"/>
    <x v="0"/>
    <x v="4"/>
    <x v="1"/>
    <x v="3"/>
    <n v="2703.11"/>
    <x v="0"/>
    <n v="2509.1716796874912"/>
    <n v="2973.42"/>
    <n v="2973.4300000000003"/>
    <n v="2973.42"/>
    <s v="July 2023"/>
  </r>
  <r>
    <d v="2023-07-09T00:00:00"/>
    <x v="3795"/>
    <n v="30"/>
    <x v="2"/>
    <x v="5"/>
    <x v="1"/>
    <x v="1"/>
    <n v="295.17"/>
    <x v="1"/>
    <n v="2509.1716796874912"/>
    <n v="324.68"/>
    <n v="324.69"/>
    <n v="324.69"/>
    <s v="July 2023"/>
  </r>
  <r>
    <d v="2023-07-10T00:00:00"/>
    <x v="3796"/>
    <n v="24"/>
    <x v="0"/>
    <x v="0"/>
    <x v="0"/>
    <x v="5"/>
    <n v="2756.69"/>
    <x v="1"/>
    <n v="2503.6022787783854"/>
    <n v="3032.35"/>
    <n v="3032.36"/>
    <n v="3032.36"/>
    <s v="July 2023"/>
  </r>
  <r>
    <d v="2023-07-10T00:00:00"/>
    <x v="3797"/>
    <n v="25"/>
    <x v="2"/>
    <x v="4"/>
    <x v="0"/>
    <x v="1"/>
    <n v="2483.2199999999998"/>
    <x v="1"/>
    <n v="2503.6022787783854"/>
    <n v="2731.54"/>
    <n v="2731.55"/>
    <n v="2731.54"/>
    <s v="July 2023"/>
  </r>
  <r>
    <d v="2023-07-10T00:00:00"/>
    <x v="3798"/>
    <n v="54"/>
    <x v="2"/>
    <x v="6"/>
    <x v="0"/>
    <x v="0"/>
    <n v="1048.24"/>
    <x v="1"/>
    <n v="2503.6022787783854"/>
    <n v="1153.06"/>
    <n v="1153.07"/>
    <n v="1153.06"/>
    <s v="July 2023"/>
  </r>
  <r>
    <d v="2023-07-10T00:00:00"/>
    <x v="3799"/>
    <n v="41"/>
    <x v="0"/>
    <x v="4"/>
    <x v="0"/>
    <x v="3"/>
    <n v="262.39999999999998"/>
    <x v="1"/>
    <n v="2503.6022787783854"/>
    <n v="288.64"/>
    <n v="288.64"/>
    <n v="288.64"/>
    <s v="July 2023"/>
  </r>
  <r>
    <d v="2023-07-10T00:00:00"/>
    <x v="3800"/>
    <n v="53"/>
    <x v="2"/>
    <x v="7"/>
    <x v="2"/>
    <x v="4"/>
    <n v="2844.6"/>
    <x v="1"/>
    <n v="2440.2966694490838"/>
    <n v="3129.06"/>
    <n v="3129.06"/>
    <n v="3129.06"/>
    <s v="July 2023"/>
  </r>
  <r>
    <d v="2023-07-11T00:00:00"/>
    <x v="3801"/>
    <n v="19"/>
    <x v="2"/>
    <x v="3"/>
    <x v="0"/>
    <x v="2"/>
    <n v="4617.04"/>
    <x v="1"/>
    <n v="2503.6022787783854"/>
    <n v="5078.74"/>
    <n v="5078.75"/>
    <n v="5078.74"/>
    <s v="July 2023"/>
  </r>
  <r>
    <d v="2023-07-11T00:00:00"/>
    <x v="3802"/>
    <n v="49"/>
    <x v="0"/>
    <x v="2"/>
    <x v="3"/>
    <x v="3"/>
    <n v="129.59"/>
    <x v="1"/>
    <n v="2496.7676064256989"/>
    <n v="142.54"/>
    <n v="142.54999999999998"/>
    <n v="142.55000000000001"/>
    <s v="July 2023"/>
  </r>
  <r>
    <d v="2023-07-11T00:00:00"/>
    <x v="3803"/>
    <n v="60"/>
    <x v="1"/>
    <x v="3"/>
    <x v="1"/>
    <x v="0"/>
    <n v="3427.93"/>
    <x v="1"/>
    <n v="2509.1716796874912"/>
    <n v="3770.72"/>
    <n v="3770.73"/>
    <n v="3770.72"/>
    <s v="July 2023"/>
  </r>
  <r>
    <d v="2023-07-11T00:00:00"/>
    <x v="3804"/>
    <n v="23"/>
    <x v="1"/>
    <x v="5"/>
    <x v="3"/>
    <x v="0"/>
    <n v="2873.57"/>
    <x v="1"/>
    <n v="2496.7676064256989"/>
    <n v="3160.92"/>
    <n v="3160.9300000000003"/>
    <n v="3160.93"/>
    <s v="July 2023"/>
  </r>
  <r>
    <d v="2023-07-11T00:00:00"/>
    <x v="3805"/>
    <n v="14"/>
    <x v="1"/>
    <x v="7"/>
    <x v="2"/>
    <x v="1"/>
    <n v="106.54"/>
    <x v="2"/>
    <n v="2440.2966694490838"/>
    <n v="117.19"/>
    <n v="117.2"/>
    <n v="117.19"/>
    <s v="July 2023"/>
  </r>
  <r>
    <d v="2023-07-11T00:00:00"/>
    <x v="3806"/>
    <n v="69"/>
    <x v="0"/>
    <x v="4"/>
    <x v="0"/>
    <x v="1"/>
    <n v="442.66"/>
    <x v="0"/>
    <n v="2503.6022787783854"/>
    <n v="486.92"/>
    <n v="486.93"/>
    <n v="486.93"/>
    <s v="July 2023"/>
  </r>
  <r>
    <d v="2023-07-11T00:00:00"/>
    <x v="3807"/>
    <n v="88"/>
    <x v="2"/>
    <x v="0"/>
    <x v="2"/>
    <x v="2"/>
    <n v="1560.54"/>
    <x v="0"/>
    <n v="2440.2966694490838"/>
    <n v="1716.59"/>
    <n v="1716.6"/>
    <n v="1716.59"/>
    <s v="July 2023"/>
  </r>
  <r>
    <d v="2023-07-11T00:00:00"/>
    <x v="3808"/>
    <n v="42"/>
    <x v="1"/>
    <x v="7"/>
    <x v="2"/>
    <x v="4"/>
    <n v="2814.49"/>
    <x v="1"/>
    <n v="2440.2966694490838"/>
    <n v="3095.93"/>
    <n v="3095.94"/>
    <n v="3095.94"/>
    <s v="July 2023"/>
  </r>
  <r>
    <d v="2023-07-12T00:00:00"/>
    <x v="3809"/>
    <n v="53"/>
    <x v="2"/>
    <x v="7"/>
    <x v="0"/>
    <x v="2"/>
    <n v="3284.34"/>
    <x v="1"/>
    <n v="2503.6022787783854"/>
    <n v="3612.77"/>
    <n v="3612.78"/>
    <n v="3612.77"/>
    <s v="July 2023"/>
  </r>
  <r>
    <d v="2023-07-12T00:00:00"/>
    <x v="3810"/>
    <n v="30"/>
    <x v="2"/>
    <x v="5"/>
    <x v="2"/>
    <x v="4"/>
    <n v="479.95"/>
    <x v="1"/>
    <n v="2440.2966694490838"/>
    <n v="527.94000000000005"/>
    <n v="527.95000000000005"/>
    <n v="527.95000000000005"/>
    <s v="July 2023"/>
  </r>
  <r>
    <d v="2023-07-12T00:00:00"/>
    <x v="3811"/>
    <n v="59"/>
    <x v="2"/>
    <x v="3"/>
    <x v="3"/>
    <x v="2"/>
    <n v="2364.2600000000002"/>
    <x v="1"/>
    <n v="2496.7676064256989"/>
    <n v="2600.6799999999998"/>
    <n v="2600.69"/>
    <n v="2600.69"/>
    <s v="July 2023"/>
  </r>
  <r>
    <d v="2023-07-12T00:00:00"/>
    <x v="3812"/>
    <n v="37"/>
    <x v="2"/>
    <x v="4"/>
    <x v="1"/>
    <x v="4"/>
    <n v="1222.1600000000001"/>
    <x v="1"/>
    <n v="2509.1716796874912"/>
    <n v="1344.37"/>
    <n v="1344.3799999999999"/>
    <n v="1344.38"/>
    <s v="July 2023"/>
  </r>
  <r>
    <d v="2023-07-12T00:00:00"/>
    <x v="3813"/>
    <n v="39"/>
    <x v="1"/>
    <x v="6"/>
    <x v="1"/>
    <x v="3"/>
    <n v="883.42"/>
    <x v="1"/>
    <n v="2509.1716796874912"/>
    <n v="971.76"/>
    <n v="971.77"/>
    <n v="971.76"/>
    <s v="July 2023"/>
  </r>
  <r>
    <d v="2023-07-12T00:00:00"/>
    <x v="3814"/>
    <n v="42"/>
    <x v="1"/>
    <x v="3"/>
    <x v="2"/>
    <x v="0"/>
    <n v="1681.68"/>
    <x v="1"/>
    <n v="2440.2966694490838"/>
    <n v="1849.84"/>
    <n v="1849.85"/>
    <n v="1849.85"/>
    <s v="July 2023"/>
  </r>
  <r>
    <d v="2023-07-12T00:00:00"/>
    <x v="3815"/>
    <n v="89"/>
    <x v="0"/>
    <x v="3"/>
    <x v="3"/>
    <x v="0"/>
    <n v="4184.6099999999997"/>
    <x v="0"/>
    <n v="2496.7676064256989"/>
    <n v="4603.07"/>
    <n v="4603.08"/>
    <n v="4603.07"/>
    <s v="July 2023"/>
  </r>
  <r>
    <d v="2023-07-12T00:00:00"/>
    <x v="3816"/>
    <n v="68"/>
    <x v="0"/>
    <x v="2"/>
    <x v="3"/>
    <x v="3"/>
    <n v="2167.98"/>
    <x v="0"/>
    <n v="2496.7676064256989"/>
    <n v="2384.77"/>
    <n v="2384.7800000000002"/>
    <n v="2384.7800000000002"/>
    <s v="July 2023"/>
  </r>
  <r>
    <d v="2023-07-13T00:00:00"/>
    <x v="3817"/>
    <n v="13"/>
    <x v="1"/>
    <x v="1"/>
    <x v="0"/>
    <x v="2"/>
    <n v="2292.5100000000002"/>
    <x v="2"/>
    <n v="2503.6022787783854"/>
    <n v="2521.7600000000002"/>
    <n v="2521.7700000000004"/>
    <n v="2521.7600000000002"/>
    <s v="July 2023"/>
  </r>
  <r>
    <d v="2023-07-13T00:00:00"/>
    <x v="3818"/>
    <n v="37"/>
    <x v="1"/>
    <x v="0"/>
    <x v="1"/>
    <x v="3"/>
    <n v="992.57"/>
    <x v="1"/>
    <n v="2509.1716796874912"/>
    <n v="1091.82"/>
    <n v="1091.83"/>
    <n v="1091.83"/>
    <s v="July 2023"/>
  </r>
  <r>
    <d v="2023-07-13T00:00:00"/>
    <x v="3819"/>
    <n v="89"/>
    <x v="0"/>
    <x v="2"/>
    <x v="3"/>
    <x v="2"/>
    <n v="1316.55"/>
    <x v="0"/>
    <n v="2496.7676064256989"/>
    <n v="1448.2"/>
    <n v="1448.21"/>
    <n v="1448.21"/>
    <s v="July 2023"/>
  </r>
  <r>
    <d v="2023-07-13T00:00:00"/>
    <x v="3820"/>
    <n v="81"/>
    <x v="0"/>
    <x v="4"/>
    <x v="0"/>
    <x v="3"/>
    <n v="1296.3399999999999"/>
    <x v="0"/>
    <n v="2503.6022787783854"/>
    <n v="1425.97"/>
    <n v="1425.98"/>
    <n v="1425.97"/>
    <s v="July 2023"/>
  </r>
  <r>
    <d v="2023-07-13T00:00:00"/>
    <x v="3821"/>
    <n v="99"/>
    <x v="2"/>
    <x v="5"/>
    <x v="1"/>
    <x v="4"/>
    <n v="2626.19"/>
    <x v="0"/>
    <n v="2509.1716796874912"/>
    <n v="2888.8"/>
    <n v="2888.8100000000004"/>
    <n v="2888.81"/>
    <s v="July 2023"/>
  </r>
  <r>
    <d v="2023-07-13T00:00:00"/>
    <x v="3822"/>
    <n v="96"/>
    <x v="2"/>
    <x v="0"/>
    <x v="3"/>
    <x v="1"/>
    <n v="1181.6600000000001"/>
    <x v="0"/>
    <n v="2496.7676064256989"/>
    <n v="1299.82"/>
    <n v="1299.83"/>
    <n v="1299.83"/>
    <s v="July 2023"/>
  </r>
  <r>
    <d v="2023-07-13T00:00:00"/>
    <x v="3823"/>
    <n v="61"/>
    <x v="0"/>
    <x v="5"/>
    <x v="2"/>
    <x v="0"/>
    <n v="76.63"/>
    <x v="1"/>
    <n v="2440.2966694490838"/>
    <n v="84.29"/>
    <n v="84.300000000000011"/>
    <n v="84.29"/>
    <s v="July 2023"/>
  </r>
  <r>
    <d v="2023-07-14T00:00:00"/>
    <x v="3824"/>
    <n v="10"/>
    <x v="2"/>
    <x v="3"/>
    <x v="1"/>
    <x v="1"/>
    <n v="835.14"/>
    <x v="2"/>
    <n v="2509.1716796874912"/>
    <n v="918.65"/>
    <n v="918.66"/>
    <n v="918.65"/>
    <s v="July 2023"/>
  </r>
  <r>
    <d v="2023-07-14T00:00:00"/>
    <x v="3825"/>
    <n v="26"/>
    <x v="1"/>
    <x v="4"/>
    <x v="0"/>
    <x v="0"/>
    <n v="3090.48"/>
    <x v="1"/>
    <n v="2503.6022787783854"/>
    <n v="3399.52"/>
    <n v="3399.53"/>
    <n v="3399.53"/>
    <s v="July 2023"/>
  </r>
  <r>
    <d v="2023-07-14T00:00:00"/>
    <x v="3826"/>
    <n v="42"/>
    <x v="2"/>
    <x v="3"/>
    <x v="2"/>
    <x v="0"/>
    <n v="749.52"/>
    <x v="1"/>
    <n v="2440.2966694490838"/>
    <n v="824.47"/>
    <n v="824.48"/>
    <n v="824.47"/>
    <s v="July 2023"/>
  </r>
  <r>
    <d v="2023-07-14T00:00:00"/>
    <x v="3827"/>
    <n v="95"/>
    <x v="2"/>
    <x v="1"/>
    <x v="1"/>
    <x v="0"/>
    <n v="1354.82"/>
    <x v="0"/>
    <n v="2509.1716796874912"/>
    <n v="1490.3"/>
    <n v="1490.31"/>
    <n v="1490.3"/>
    <s v="July 2023"/>
  </r>
  <r>
    <d v="2023-07-14T00:00:00"/>
    <x v="3828"/>
    <n v="95"/>
    <x v="1"/>
    <x v="1"/>
    <x v="3"/>
    <x v="1"/>
    <n v="3014.36"/>
    <x v="0"/>
    <n v="2496.7676064256989"/>
    <n v="3315.79"/>
    <n v="3315.8"/>
    <n v="3315.8"/>
    <s v="July 2023"/>
  </r>
  <r>
    <d v="2023-07-14T00:00:00"/>
    <x v="3829"/>
    <n v="56"/>
    <x v="2"/>
    <x v="3"/>
    <x v="0"/>
    <x v="2"/>
    <n v="1728.65"/>
    <x v="1"/>
    <n v="2503.6022787783854"/>
    <n v="1901.51"/>
    <n v="1901.52"/>
    <n v="1901.52"/>
    <s v="July 2023"/>
  </r>
  <r>
    <d v="2023-07-14T00:00:00"/>
    <x v="3830"/>
    <n v="64"/>
    <x v="1"/>
    <x v="5"/>
    <x v="3"/>
    <x v="3"/>
    <n v="1367.24"/>
    <x v="1"/>
    <n v="2496.7676064256989"/>
    <n v="1503.96"/>
    <n v="1503.97"/>
    <n v="1503.96"/>
    <s v="July 2023"/>
  </r>
  <r>
    <d v="2023-07-15T00:00:00"/>
    <x v="3831"/>
    <n v="53"/>
    <x v="1"/>
    <x v="2"/>
    <x v="2"/>
    <x v="4"/>
    <n v="2702.7"/>
    <x v="1"/>
    <n v="2440.2966694490838"/>
    <n v="2972.97"/>
    <n v="2972.97"/>
    <n v="2972.97"/>
    <s v="July 2023"/>
  </r>
  <r>
    <d v="2023-07-15T00:00:00"/>
    <x v="3832"/>
    <n v="29"/>
    <x v="0"/>
    <x v="1"/>
    <x v="3"/>
    <x v="0"/>
    <n v="1497.02"/>
    <x v="1"/>
    <n v="2496.7676064256989"/>
    <n v="1646.72"/>
    <n v="1646.73"/>
    <n v="1646.72"/>
    <s v="July 2023"/>
  </r>
  <r>
    <d v="2023-07-15T00:00:00"/>
    <x v="3833"/>
    <n v="98"/>
    <x v="2"/>
    <x v="7"/>
    <x v="1"/>
    <x v="3"/>
    <n v="3386.76"/>
    <x v="0"/>
    <n v="2509.1716796874912"/>
    <n v="3725.43"/>
    <n v="3725.44"/>
    <n v="3725.44"/>
    <s v="July 2023"/>
  </r>
  <r>
    <d v="2023-07-15T00:00:00"/>
    <x v="3834"/>
    <n v="8"/>
    <x v="1"/>
    <x v="7"/>
    <x v="0"/>
    <x v="3"/>
    <n v="3712.41"/>
    <x v="2"/>
    <n v="2503.6022787783854"/>
    <n v="4083.65"/>
    <n v="4083.6600000000003"/>
    <n v="4083.65"/>
    <s v="July 2023"/>
  </r>
  <r>
    <d v="2023-07-15T00:00:00"/>
    <x v="3835"/>
    <n v="33"/>
    <x v="0"/>
    <x v="6"/>
    <x v="2"/>
    <x v="0"/>
    <n v="3036.22"/>
    <x v="1"/>
    <n v="2440.2966694490838"/>
    <n v="3339.84"/>
    <n v="3339.8500000000004"/>
    <n v="3339.84"/>
    <s v="July 2023"/>
  </r>
  <r>
    <d v="2023-07-15T00:00:00"/>
    <x v="3836"/>
    <n v="72"/>
    <x v="1"/>
    <x v="6"/>
    <x v="3"/>
    <x v="1"/>
    <n v="126.36"/>
    <x v="0"/>
    <n v="2496.7676064256989"/>
    <n v="138.99"/>
    <n v="139"/>
    <n v="139"/>
    <s v="July 2023"/>
  </r>
  <r>
    <d v="2023-07-15T00:00:00"/>
    <x v="3837"/>
    <n v="17"/>
    <x v="1"/>
    <x v="2"/>
    <x v="1"/>
    <x v="4"/>
    <n v="4358.1899999999996"/>
    <x v="1"/>
    <n v="2509.1716796874912"/>
    <n v="4794"/>
    <n v="4794.01"/>
    <n v="4794.01"/>
    <s v="July 2023"/>
  </r>
  <r>
    <d v="2023-07-15T00:00:00"/>
    <x v="3838"/>
    <n v="32"/>
    <x v="1"/>
    <x v="7"/>
    <x v="2"/>
    <x v="4"/>
    <n v="2545.0500000000002"/>
    <x v="1"/>
    <n v="2440.2966694490838"/>
    <n v="2799.55"/>
    <n v="2799.5600000000004"/>
    <n v="2799.56"/>
    <s v="July 2023"/>
  </r>
  <r>
    <d v="2023-07-15T00:00:00"/>
    <x v="3839"/>
    <n v="48"/>
    <x v="1"/>
    <x v="5"/>
    <x v="2"/>
    <x v="0"/>
    <n v="2093.9499999999998"/>
    <x v="1"/>
    <n v="2440.2966694490838"/>
    <n v="2303.34"/>
    <n v="2303.3500000000004"/>
    <n v="2303.35"/>
    <s v="July 2023"/>
  </r>
  <r>
    <d v="2023-07-16T00:00:00"/>
    <x v="3840"/>
    <n v="10"/>
    <x v="0"/>
    <x v="7"/>
    <x v="3"/>
    <x v="3"/>
    <n v="2046.67"/>
    <x v="2"/>
    <n v="2496.7676064256989"/>
    <n v="2251.33"/>
    <n v="2251.34"/>
    <n v="2251.34"/>
    <s v="July 2023"/>
  </r>
  <r>
    <d v="2023-07-16T00:00:00"/>
    <x v="3841"/>
    <n v="24"/>
    <x v="1"/>
    <x v="3"/>
    <x v="0"/>
    <x v="0"/>
    <n v="1029.93"/>
    <x v="1"/>
    <n v="2503.6022787783854"/>
    <n v="1132.92"/>
    <n v="1132.93"/>
    <n v="1132.92"/>
    <s v="July 2023"/>
  </r>
  <r>
    <d v="2023-07-16T00:00:00"/>
    <x v="3842"/>
    <n v="31"/>
    <x v="0"/>
    <x v="5"/>
    <x v="0"/>
    <x v="2"/>
    <n v="1599.17"/>
    <x v="1"/>
    <n v="2503.6022787783854"/>
    <n v="1759.08"/>
    <n v="1759.09"/>
    <n v="1759.09"/>
    <s v="July 2023"/>
  </r>
  <r>
    <d v="2023-07-16T00:00:00"/>
    <x v="3843"/>
    <n v="25"/>
    <x v="2"/>
    <x v="3"/>
    <x v="2"/>
    <x v="1"/>
    <n v="1623.23"/>
    <x v="1"/>
    <n v="2440.2966694490838"/>
    <n v="1785.55"/>
    <n v="1785.56"/>
    <n v="1785.55"/>
    <s v="July 2023"/>
  </r>
  <r>
    <d v="2023-07-16T00:00:00"/>
    <x v="3844"/>
    <n v="39"/>
    <x v="2"/>
    <x v="3"/>
    <x v="1"/>
    <x v="4"/>
    <n v="1818.4"/>
    <x v="1"/>
    <n v="2509.1716796874912"/>
    <n v="2000.24"/>
    <n v="2000.24"/>
    <n v="2000.24"/>
    <s v="July 2023"/>
  </r>
  <r>
    <d v="2023-07-16T00:00:00"/>
    <x v="3845"/>
    <n v="10"/>
    <x v="2"/>
    <x v="1"/>
    <x v="3"/>
    <x v="5"/>
    <n v="4000.32"/>
    <x v="2"/>
    <n v="2496.7676064256989"/>
    <n v="4400.3500000000004"/>
    <n v="4400.3600000000006"/>
    <n v="4400.3500000000004"/>
    <s v="July 2023"/>
  </r>
  <r>
    <d v="2023-07-16T00:00:00"/>
    <x v="3846"/>
    <n v="61"/>
    <x v="0"/>
    <x v="1"/>
    <x v="1"/>
    <x v="0"/>
    <n v="131.43"/>
    <x v="1"/>
    <n v="2509.1716796874912"/>
    <n v="144.57"/>
    <n v="144.57999999999998"/>
    <n v="144.57"/>
    <s v="July 2023"/>
  </r>
  <r>
    <d v="2023-07-16T00:00:00"/>
    <x v="3847"/>
    <n v="78"/>
    <x v="1"/>
    <x v="3"/>
    <x v="2"/>
    <x v="3"/>
    <n v="2518.31"/>
    <x v="0"/>
    <n v="2440.2966694490838"/>
    <n v="2770.14"/>
    <n v="2770.15"/>
    <n v="2770.14"/>
    <s v="July 2023"/>
  </r>
  <r>
    <d v="2023-07-16T00:00:00"/>
    <x v="3848"/>
    <n v="29"/>
    <x v="1"/>
    <x v="7"/>
    <x v="3"/>
    <x v="4"/>
    <n v="858.49"/>
    <x v="1"/>
    <n v="2496.7676064256989"/>
    <n v="944.33"/>
    <n v="944.34"/>
    <n v="944.34"/>
    <s v="July 2023"/>
  </r>
  <r>
    <d v="2023-07-17T00:00:00"/>
    <x v="3849"/>
    <n v="56"/>
    <x v="0"/>
    <x v="4"/>
    <x v="0"/>
    <x v="1"/>
    <n v="3519.01"/>
    <x v="1"/>
    <n v="2503.6022787783854"/>
    <n v="3870.91"/>
    <n v="3870.92"/>
    <n v="3870.91"/>
    <s v="July 2023"/>
  </r>
  <r>
    <d v="2023-07-17T00:00:00"/>
    <x v="3850"/>
    <n v="66"/>
    <x v="0"/>
    <x v="4"/>
    <x v="2"/>
    <x v="1"/>
    <n v="2273.96"/>
    <x v="0"/>
    <n v="2440.2966694490838"/>
    <n v="2501.35"/>
    <n v="2501.36"/>
    <n v="2501.36"/>
    <s v="July 2023"/>
  </r>
  <r>
    <d v="2023-07-17T00:00:00"/>
    <x v="3851"/>
    <n v="61"/>
    <x v="2"/>
    <x v="1"/>
    <x v="3"/>
    <x v="0"/>
    <n v="1931.44"/>
    <x v="1"/>
    <n v="2496.7676064256989"/>
    <n v="2124.58"/>
    <n v="2124.59"/>
    <n v="2124.58"/>
    <s v="July 2023"/>
  </r>
  <r>
    <d v="2023-07-17T00:00:00"/>
    <x v="3852"/>
    <n v="21"/>
    <x v="2"/>
    <x v="7"/>
    <x v="2"/>
    <x v="1"/>
    <n v="346.66"/>
    <x v="1"/>
    <n v="2440.2966694490838"/>
    <n v="381.32"/>
    <n v="381.33"/>
    <n v="381.33"/>
    <s v="July 2023"/>
  </r>
  <r>
    <d v="2023-07-17T00:00:00"/>
    <x v="3853"/>
    <n v="71"/>
    <x v="0"/>
    <x v="7"/>
    <x v="3"/>
    <x v="5"/>
    <n v="4194.37"/>
    <x v="0"/>
    <n v="2496.7676064256989"/>
    <n v="4613.8"/>
    <n v="4613.8100000000004"/>
    <n v="4613.8100000000004"/>
    <s v="July 2023"/>
  </r>
  <r>
    <d v="2023-07-17T00:00:00"/>
    <x v="3854"/>
    <n v="25"/>
    <x v="2"/>
    <x v="2"/>
    <x v="1"/>
    <x v="3"/>
    <n v="3086.13"/>
    <x v="1"/>
    <n v="2509.1716796874912"/>
    <n v="3394.74"/>
    <n v="3394.75"/>
    <n v="3394.74"/>
    <s v="July 2023"/>
  </r>
  <r>
    <d v="2023-07-17T00:00:00"/>
    <x v="3855"/>
    <n v="14"/>
    <x v="0"/>
    <x v="6"/>
    <x v="2"/>
    <x v="4"/>
    <n v="4971.42"/>
    <x v="2"/>
    <n v="2440.2966694490838"/>
    <n v="5468.56"/>
    <n v="5468.5700000000006"/>
    <n v="5468.56"/>
    <s v="July 2023"/>
  </r>
  <r>
    <d v="2023-07-17T00:00:00"/>
    <x v="3856"/>
    <n v="60"/>
    <x v="1"/>
    <x v="4"/>
    <x v="1"/>
    <x v="4"/>
    <n v="2398.06"/>
    <x v="1"/>
    <n v="2509.1716796874912"/>
    <n v="2637.86"/>
    <n v="2637.8700000000003"/>
    <n v="2637.87"/>
    <s v="July 2023"/>
  </r>
  <r>
    <d v="2023-07-17T00:00:00"/>
    <x v="3857"/>
    <n v="27"/>
    <x v="1"/>
    <x v="1"/>
    <x v="1"/>
    <x v="0"/>
    <n v="3163.34"/>
    <x v="1"/>
    <n v="2509.1716796874912"/>
    <n v="3479.67"/>
    <n v="3479.6800000000003"/>
    <n v="3479.67"/>
    <s v="July 2023"/>
  </r>
  <r>
    <d v="2023-07-17T00:00:00"/>
    <x v="3858"/>
    <n v="21"/>
    <x v="2"/>
    <x v="6"/>
    <x v="3"/>
    <x v="3"/>
    <n v="4266.09"/>
    <x v="1"/>
    <n v="2496.7676064256989"/>
    <n v="4692.6899999999996"/>
    <n v="4692.7"/>
    <n v="4692.7"/>
    <s v="July 2023"/>
  </r>
  <r>
    <d v="2023-07-17T00:00:00"/>
    <x v="3859"/>
    <n v="86"/>
    <x v="2"/>
    <x v="5"/>
    <x v="0"/>
    <x v="3"/>
    <n v="4236.01"/>
    <x v="0"/>
    <n v="2503.6022787783854"/>
    <n v="4659.6099999999997"/>
    <n v="4659.62"/>
    <n v="4659.6099999999997"/>
    <s v="July 2023"/>
  </r>
  <r>
    <d v="2023-07-17T00:00:00"/>
    <x v="3860"/>
    <n v="45"/>
    <x v="0"/>
    <x v="7"/>
    <x v="0"/>
    <x v="1"/>
    <n v="205.33"/>
    <x v="1"/>
    <n v="2503.6022787783854"/>
    <n v="225.86"/>
    <n v="225.87"/>
    <n v="225.86"/>
    <s v="July 2023"/>
  </r>
  <r>
    <d v="2023-07-18T00:00:00"/>
    <x v="3861"/>
    <n v="58"/>
    <x v="0"/>
    <x v="7"/>
    <x v="3"/>
    <x v="0"/>
    <n v="4085.11"/>
    <x v="1"/>
    <n v="2496.7676064256989"/>
    <n v="4493.62"/>
    <n v="4493.63"/>
    <n v="4493.62"/>
    <s v="July 2023"/>
  </r>
  <r>
    <d v="2023-07-18T00:00:00"/>
    <x v="3862"/>
    <n v="46"/>
    <x v="1"/>
    <x v="5"/>
    <x v="3"/>
    <x v="3"/>
    <n v="3767.85"/>
    <x v="1"/>
    <n v="2496.7676064256989"/>
    <n v="4144.63"/>
    <n v="4144.6400000000003"/>
    <n v="4144.6400000000003"/>
    <s v="July 2023"/>
  </r>
  <r>
    <d v="2023-07-18T00:00:00"/>
    <x v="3863"/>
    <n v="59"/>
    <x v="1"/>
    <x v="2"/>
    <x v="2"/>
    <x v="1"/>
    <n v="2943.77"/>
    <x v="1"/>
    <n v="2440.2966694490838"/>
    <n v="3238.14"/>
    <n v="3238.15"/>
    <n v="3238.15"/>
    <s v="July 2023"/>
  </r>
  <r>
    <d v="2023-07-18T00:00:00"/>
    <x v="3864"/>
    <n v="36"/>
    <x v="1"/>
    <x v="4"/>
    <x v="1"/>
    <x v="3"/>
    <n v="3399.77"/>
    <x v="1"/>
    <n v="2509.1716796874912"/>
    <n v="3739.74"/>
    <n v="3739.75"/>
    <n v="3739.75"/>
    <s v="July 2023"/>
  </r>
  <r>
    <d v="2023-07-18T00:00:00"/>
    <x v="3865"/>
    <n v="80"/>
    <x v="0"/>
    <x v="3"/>
    <x v="0"/>
    <x v="4"/>
    <n v="1225.08"/>
    <x v="0"/>
    <n v="2503.6022787783854"/>
    <n v="1347.58"/>
    <n v="1347.59"/>
    <n v="1347.59"/>
    <s v="July 2023"/>
  </r>
  <r>
    <d v="2023-07-18T00:00:00"/>
    <x v="3866"/>
    <n v="98"/>
    <x v="1"/>
    <x v="4"/>
    <x v="1"/>
    <x v="5"/>
    <n v="184.21"/>
    <x v="0"/>
    <n v="2509.1716796874912"/>
    <n v="202.63"/>
    <n v="202.64"/>
    <n v="202.63"/>
    <s v="July 2023"/>
  </r>
  <r>
    <d v="2023-07-18T00:00:00"/>
    <x v="3867"/>
    <n v="89"/>
    <x v="2"/>
    <x v="0"/>
    <x v="2"/>
    <x v="2"/>
    <n v="88.88"/>
    <x v="0"/>
    <n v="2440.2966694490838"/>
    <n v="97.76"/>
    <n v="97.77000000000001"/>
    <n v="97.77"/>
    <s v="July 2023"/>
  </r>
  <r>
    <d v="2023-07-18T00:00:00"/>
    <x v="3868"/>
    <n v="23"/>
    <x v="1"/>
    <x v="3"/>
    <x v="2"/>
    <x v="4"/>
    <n v="2213.67"/>
    <x v="1"/>
    <n v="2440.2966694490838"/>
    <n v="2435.0300000000002"/>
    <n v="2435.0400000000004"/>
    <n v="2435.04"/>
    <s v="July 2023"/>
  </r>
  <r>
    <d v="2023-07-18T00:00:00"/>
    <x v="3869"/>
    <n v="2"/>
    <x v="1"/>
    <x v="2"/>
    <x v="0"/>
    <x v="4"/>
    <n v="4711.76"/>
    <x v="2"/>
    <n v="2503.6022787783854"/>
    <n v="5182.93"/>
    <n v="5182.9400000000005"/>
    <n v="5182.9399999999996"/>
    <s v="July 2023"/>
  </r>
  <r>
    <d v="2023-07-18T00:00:00"/>
    <x v="3870"/>
    <n v="40"/>
    <x v="1"/>
    <x v="7"/>
    <x v="1"/>
    <x v="4"/>
    <n v="1585.6"/>
    <x v="1"/>
    <n v="2509.1716796874912"/>
    <n v="1744.16"/>
    <n v="1744.16"/>
    <n v="1744.16"/>
    <s v="July 2023"/>
  </r>
  <r>
    <d v="2023-07-19T00:00:00"/>
    <x v="3871"/>
    <n v="38"/>
    <x v="0"/>
    <x v="7"/>
    <x v="1"/>
    <x v="2"/>
    <n v="784.52"/>
    <x v="1"/>
    <n v="2509.1716796874912"/>
    <n v="862.97"/>
    <n v="862.98"/>
    <n v="862.97"/>
    <s v="July 2023"/>
  </r>
  <r>
    <d v="2023-07-19T00:00:00"/>
    <x v="3872"/>
    <n v="17"/>
    <x v="0"/>
    <x v="4"/>
    <x v="1"/>
    <x v="3"/>
    <n v="2248.29"/>
    <x v="1"/>
    <n v="2509.1716796874912"/>
    <n v="2473.11"/>
    <n v="2473.1200000000003"/>
    <n v="2473.12"/>
    <s v="July 2023"/>
  </r>
  <r>
    <d v="2023-07-19T00:00:00"/>
    <x v="3873"/>
    <n v="69"/>
    <x v="0"/>
    <x v="5"/>
    <x v="3"/>
    <x v="4"/>
    <n v="1328.63"/>
    <x v="0"/>
    <n v="2496.7676064256989"/>
    <n v="1461.49"/>
    <n v="1461.5"/>
    <n v="1461.49"/>
    <s v="July 2023"/>
  </r>
  <r>
    <d v="2023-07-19T00:00:00"/>
    <x v="3874"/>
    <n v="12"/>
    <x v="2"/>
    <x v="2"/>
    <x v="2"/>
    <x v="3"/>
    <n v="2893.38"/>
    <x v="2"/>
    <n v="2440.2966694490838"/>
    <n v="3182.71"/>
    <n v="3182.7200000000003"/>
    <n v="3182.72"/>
    <s v="July 2023"/>
  </r>
  <r>
    <d v="2023-07-19T00:00:00"/>
    <x v="3875"/>
    <n v="52"/>
    <x v="2"/>
    <x v="4"/>
    <x v="0"/>
    <x v="2"/>
    <n v="435.89"/>
    <x v="1"/>
    <n v="2503.6022787783854"/>
    <n v="479.47"/>
    <n v="479.48"/>
    <n v="479.48"/>
    <s v="July 2023"/>
  </r>
  <r>
    <d v="2023-07-19T00:00:00"/>
    <x v="3876"/>
    <n v="75"/>
    <x v="1"/>
    <x v="2"/>
    <x v="2"/>
    <x v="1"/>
    <n v="1746.93"/>
    <x v="0"/>
    <n v="2440.2966694490838"/>
    <n v="1921.62"/>
    <n v="1921.6299999999999"/>
    <n v="1921.62"/>
    <s v="July 2023"/>
  </r>
  <r>
    <d v="2023-07-19T00:00:00"/>
    <x v="3877"/>
    <n v="36"/>
    <x v="2"/>
    <x v="2"/>
    <x v="1"/>
    <x v="0"/>
    <n v="4113.7"/>
    <x v="1"/>
    <n v="2509.1716796874912"/>
    <n v="4525.07"/>
    <n v="4525.07"/>
    <n v="4525.07"/>
    <s v="July 2023"/>
  </r>
  <r>
    <d v="2023-07-19T00:00:00"/>
    <x v="3878"/>
    <n v="25"/>
    <x v="1"/>
    <x v="1"/>
    <x v="2"/>
    <x v="2"/>
    <n v="2059.16"/>
    <x v="1"/>
    <n v="2440.2966694490838"/>
    <n v="2265.0700000000002"/>
    <n v="2265.0800000000004"/>
    <n v="2265.08"/>
    <s v="July 2023"/>
  </r>
  <r>
    <d v="2023-07-19T00:00:00"/>
    <x v="3879"/>
    <n v="34"/>
    <x v="1"/>
    <x v="4"/>
    <x v="2"/>
    <x v="0"/>
    <n v="3109.55"/>
    <x v="1"/>
    <n v="2440.2966694490838"/>
    <n v="3420.5"/>
    <n v="3420.51"/>
    <n v="3420.51"/>
    <s v="July 2023"/>
  </r>
  <r>
    <d v="2023-07-19T00:00:00"/>
    <x v="3880"/>
    <n v="47"/>
    <x v="1"/>
    <x v="0"/>
    <x v="3"/>
    <x v="3"/>
    <n v="4607.72"/>
    <x v="1"/>
    <n v="2496.7676064256989"/>
    <n v="5068.49"/>
    <n v="5068.5"/>
    <n v="5068.49"/>
    <s v="July 2023"/>
  </r>
  <r>
    <d v="2023-07-19T00:00:00"/>
    <x v="3881"/>
    <n v="26"/>
    <x v="2"/>
    <x v="4"/>
    <x v="0"/>
    <x v="1"/>
    <n v="4755.84"/>
    <x v="1"/>
    <n v="2503.6022787783854"/>
    <n v="5231.42"/>
    <n v="5231.43"/>
    <n v="5231.42"/>
    <s v="July 2023"/>
  </r>
  <r>
    <d v="2023-07-20T00:00:00"/>
    <x v="3882"/>
    <n v="53"/>
    <x v="1"/>
    <x v="5"/>
    <x v="3"/>
    <x v="2"/>
    <n v="3031.89"/>
    <x v="1"/>
    <n v="2496.7676064256989"/>
    <n v="3335.07"/>
    <n v="3335.0800000000004"/>
    <n v="3335.08"/>
    <s v="July 2023"/>
  </r>
  <r>
    <d v="2023-07-20T00:00:00"/>
    <x v="3883"/>
    <n v="49"/>
    <x v="1"/>
    <x v="7"/>
    <x v="3"/>
    <x v="2"/>
    <n v="1060.4100000000001"/>
    <x v="1"/>
    <n v="2496.7676064256989"/>
    <n v="1166.45"/>
    <n v="1166.46"/>
    <n v="1166.45"/>
    <s v="July 2023"/>
  </r>
  <r>
    <d v="2023-07-20T00:00:00"/>
    <x v="3884"/>
    <n v="52"/>
    <x v="2"/>
    <x v="1"/>
    <x v="1"/>
    <x v="3"/>
    <n v="2393.21"/>
    <x v="1"/>
    <n v="2509.1716796874912"/>
    <n v="2632.53"/>
    <n v="2632.5400000000004"/>
    <n v="2632.53"/>
    <s v="July 2023"/>
  </r>
  <r>
    <d v="2023-07-21T00:00:00"/>
    <x v="3885"/>
    <n v="52"/>
    <x v="1"/>
    <x v="6"/>
    <x v="1"/>
    <x v="1"/>
    <n v="3023.65"/>
    <x v="1"/>
    <n v="2509.1716796874912"/>
    <n v="3326.01"/>
    <n v="3326.0200000000004"/>
    <n v="3326.02"/>
    <s v="July 2023"/>
  </r>
  <r>
    <d v="2023-07-21T00:00:00"/>
    <x v="3886"/>
    <n v="94"/>
    <x v="1"/>
    <x v="1"/>
    <x v="3"/>
    <x v="3"/>
    <n v="449.1"/>
    <x v="0"/>
    <n v="2496.7676064256989"/>
    <n v="494.01"/>
    <n v="494.01"/>
    <n v="494.01"/>
    <s v="July 2023"/>
  </r>
  <r>
    <d v="2023-07-21T00:00:00"/>
    <x v="3887"/>
    <n v="19"/>
    <x v="2"/>
    <x v="2"/>
    <x v="0"/>
    <x v="1"/>
    <n v="909.7"/>
    <x v="1"/>
    <n v="2503.6022787783854"/>
    <n v="1000.67"/>
    <n v="1000.67"/>
    <n v="1000.67"/>
    <s v="July 2023"/>
  </r>
  <r>
    <d v="2023-07-21T00:00:00"/>
    <x v="3888"/>
    <n v="44"/>
    <x v="0"/>
    <x v="0"/>
    <x v="0"/>
    <x v="2"/>
    <n v="425.37"/>
    <x v="1"/>
    <n v="2503.6022787783854"/>
    <n v="467.9"/>
    <n v="467.90999999999997"/>
    <n v="467.91"/>
    <s v="July 2023"/>
  </r>
  <r>
    <d v="2023-07-21T00:00:00"/>
    <x v="3889"/>
    <n v="78"/>
    <x v="0"/>
    <x v="7"/>
    <x v="1"/>
    <x v="2"/>
    <n v="1893.61"/>
    <x v="0"/>
    <n v="2509.1716796874912"/>
    <n v="2082.9699999999998"/>
    <n v="2082.98"/>
    <n v="2082.9699999999998"/>
    <s v="July 2023"/>
  </r>
  <r>
    <d v="2023-07-21T00:00:00"/>
    <x v="3890"/>
    <n v="77"/>
    <x v="1"/>
    <x v="0"/>
    <x v="0"/>
    <x v="4"/>
    <n v="697.52"/>
    <x v="0"/>
    <n v="2503.6022787783854"/>
    <n v="767.27"/>
    <n v="767.28"/>
    <n v="767.27"/>
    <s v="July 2023"/>
  </r>
  <r>
    <d v="2023-07-22T00:00:00"/>
    <x v="3891"/>
    <n v="99"/>
    <x v="2"/>
    <x v="1"/>
    <x v="1"/>
    <x v="1"/>
    <n v="2880.71"/>
    <x v="0"/>
    <n v="2509.1716796874912"/>
    <n v="3168.78"/>
    <n v="3168.7900000000004"/>
    <n v="3168.78"/>
    <s v="July 2023"/>
  </r>
  <r>
    <d v="2023-07-22T00:00:00"/>
    <x v="3892"/>
    <n v="26"/>
    <x v="0"/>
    <x v="4"/>
    <x v="1"/>
    <x v="0"/>
    <n v="2756.05"/>
    <x v="1"/>
    <n v="2509.1716796874912"/>
    <n v="3031.65"/>
    <n v="3031.6600000000003"/>
    <n v="3031.66"/>
    <s v="July 2023"/>
  </r>
  <r>
    <d v="2023-07-22T00:00:00"/>
    <x v="3893"/>
    <n v="38"/>
    <x v="0"/>
    <x v="5"/>
    <x v="2"/>
    <x v="3"/>
    <n v="426.53"/>
    <x v="1"/>
    <n v="2440.2966694490838"/>
    <n v="469.18"/>
    <n v="469.19"/>
    <n v="469.18"/>
    <s v="July 2023"/>
  </r>
  <r>
    <d v="2023-07-22T00:00:00"/>
    <x v="3894"/>
    <n v="18"/>
    <x v="1"/>
    <x v="2"/>
    <x v="0"/>
    <x v="2"/>
    <n v="1055.8399999999999"/>
    <x v="1"/>
    <n v="2503.6022787783854"/>
    <n v="1161.42"/>
    <n v="1161.43"/>
    <n v="1161.42"/>
    <s v="July 2023"/>
  </r>
  <r>
    <d v="2023-07-22T00:00:00"/>
    <x v="3895"/>
    <n v="2"/>
    <x v="1"/>
    <x v="5"/>
    <x v="1"/>
    <x v="0"/>
    <n v="4195.72"/>
    <x v="2"/>
    <n v="2509.1716796874912"/>
    <n v="4615.29"/>
    <n v="4615.3"/>
    <n v="4615.29"/>
    <s v="July 2023"/>
  </r>
  <r>
    <d v="2023-07-22T00:00:00"/>
    <x v="3896"/>
    <n v="63"/>
    <x v="2"/>
    <x v="4"/>
    <x v="2"/>
    <x v="1"/>
    <n v="4233.1000000000004"/>
    <x v="1"/>
    <n v="2440.2966694490838"/>
    <n v="4656.41"/>
    <n v="4656.41"/>
    <n v="4656.41"/>
    <s v="July 2023"/>
  </r>
  <r>
    <d v="2023-07-22T00:00:00"/>
    <x v="3897"/>
    <n v="56"/>
    <x v="1"/>
    <x v="3"/>
    <x v="2"/>
    <x v="2"/>
    <n v="3546.38"/>
    <x v="1"/>
    <n v="2440.2966694490838"/>
    <n v="3901.01"/>
    <n v="3901.0200000000004"/>
    <n v="3901.02"/>
    <s v="July 2023"/>
  </r>
  <r>
    <d v="2023-07-22T00:00:00"/>
    <x v="3898"/>
    <n v="53"/>
    <x v="0"/>
    <x v="7"/>
    <x v="0"/>
    <x v="2"/>
    <n v="3205.52"/>
    <x v="1"/>
    <n v="2503.6022787783854"/>
    <n v="3526.07"/>
    <n v="3526.0800000000004"/>
    <n v="3526.07"/>
    <s v="July 2023"/>
  </r>
  <r>
    <d v="2023-07-22T00:00:00"/>
    <x v="3899"/>
    <n v="57"/>
    <x v="1"/>
    <x v="4"/>
    <x v="2"/>
    <x v="0"/>
    <n v="3054.42"/>
    <x v="1"/>
    <n v="2440.2966694490838"/>
    <n v="3359.86"/>
    <n v="3359.8700000000003"/>
    <n v="3359.86"/>
    <s v="July 2023"/>
  </r>
  <r>
    <d v="2023-07-22T00:00:00"/>
    <x v="3900"/>
    <n v="59"/>
    <x v="0"/>
    <x v="4"/>
    <x v="0"/>
    <x v="0"/>
    <n v="625.19000000000005"/>
    <x v="1"/>
    <n v="2503.6022787783854"/>
    <n v="687.7"/>
    <n v="687.71"/>
    <n v="687.71"/>
    <s v="July 2023"/>
  </r>
  <r>
    <d v="2023-07-22T00:00:00"/>
    <x v="3901"/>
    <n v="34"/>
    <x v="1"/>
    <x v="5"/>
    <x v="0"/>
    <x v="2"/>
    <n v="3592.63"/>
    <x v="1"/>
    <n v="2503.6022787783854"/>
    <n v="3951.89"/>
    <n v="3951.9"/>
    <n v="3951.89"/>
    <s v="July 2023"/>
  </r>
  <r>
    <d v="2023-07-23T00:00:00"/>
    <x v="3902"/>
    <n v="16"/>
    <x v="0"/>
    <x v="4"/>
    <x v="2"/>
    <x v="0"/>
    <n v="4362.32"/>
    <x v="1"/>
    <n v="2440.2966694490838"/>
    <n v="4798.55"/>
    <n v="4798.5600000000004"/>
    <n v="4798.55"/>
    <s v="July 2023"/>
  </r>
  <r>
    <d v="2023-07-23T00:00:00"/>
    <x v="3903"/>
    <n v="66"/>
    <x v="2"/>
    <x v="1"/>
    <x v="2"/>
    <x v="1"/>
    <n v="1372.42"/>
    <x v="0"/>
    <n v="2440.2966694490838"/>
    <n v="1509.66"/>
    <n v="1509.67"/>
    <n v="1509.66"/>
    <s v="July 2023"/>
  </r>
  <r>
    <d v="2023-07-23T00:00:00"/>
    <x v="3904"/>
    <n v="10"/>
    <x v="1"/>
    <x v="0"/>
    <x v="0"/>
    <x v="2"/>
    <n v="3473.56"/>
    <x v="2"/>
    <n v="2503.6022787783854"/>
    <n v="3820.91"/>
    <n v="3820.92"/>
    <n v="3820.92"/>
    <s v="July 2023"/>
  </r>
  <r>
    <d v="2023-07-24T00:00:00"/>
    <x v="3905"/>
    <n v="36"/>
    <x v="0"/>
    <x v="2"/>
    <x v="0"/>
    <x v="2"/>
    <n v="2476.2600000000002"/>
    <x v="1"/>
    <n v="2503.6022787783854"/>
    <n v="2723.88"/>
    <n v="2723.8900000000003"/>
    <n v="2723.89"/>
    <s v="July 2023"/>
  </r>
  <r>
    <d v="2023-07-24T00:00:00"/>
    <x v="3906"/>
    <n v="15"/>
    <x v="1"/>
    <x v="1"/>
    <x v="2"/>
    <x v="0"/>
    <n v="3239.47"/>
    <x v="2"/>
    <n v="2440.2966694490838"/>
    <n v="3563.41"/>
    <n v="3563.42"/>
    <n v="3563.42"/>
    <s v="July 2023"/>
  </r>
  <r>
    <d v="2023-07-24T00:00:00"/>
    <x v="3907"/>
    <n v="57"/>
    <x v="1"/>
    <x v="5"/>
    <x v="2"/>
    <x v="1"/>
    <n v="1728.5"/>
    <x v="1"/>
    <n v="2440.2966694490838"/>
    <n v="1901.35"/>
    <n v="1901.35"/>
    <n v="1901.35"/>
    <s v="July 2023"/>
  </r>
  <r>
    <d v="2023-07-24T00:00:00"/>
    <x v="3908"/>
    <n v="0"/>
    <x v="0"/>
    <x v="3"/>
    <x v="3"/>
    <x v="3"/>
    <n v="2140.91"/>
    <x v="2"/>
    <n v="2496.7676064256989"/>
    <n v="2355"/>
    <n v="2355.0100000000002"/>
    <n v="2355"/>
    <s v="July 2023"/>
  </r>
  <r>
    <d v="2023-07-24T00:00:00"/>
    <x v="3909"/>
    <n v="90"/>
    <x v="0"/>
    <x v="0"/>
    <x v="2"/>
    <x v="4"/>
    <n v="718.77"/>
    <x v="0"/>
    <n v="2440.2966694490838"/>
    <n v="790.64"/>
    <n v="790.65"/>
    <n v="790.65"/>
    <s v="July 2023"/>
  </r>
  <r>
    <d v="2023-07-25T00:00:00"/>
    <x v="3910"/>
    <n v="4"/>
    <x v="2"/>
    <x v="5"/>
    <x v="0"/>
    <x v="4"/>
    <n v="2563.06"/>
    <x v="2"/>
    <n v="2503.6022787783854"/>
    <n v="2819.36"/>
    <n v="2819.3700000000003"/>
    <n v="2819.37"/>
    <s v="July 2023"/>
  </r>
  <r>
    <d v="2023-07-25T00:00:00"/>
    <x v="3911"/>
    <n v="45"/>
    <x v="0"/>
    <x v="5"/>
    <x v="3"/>
    <x v="3"/>
    <n v="1699.57"/>
    <x v="1"/>
    <n v="2496.7676064256989"/>
    <n v="1869.52"/>
    <n v="1869.53"/>
    <n v="1869.53"/>
    <s v="July 2023"/>
  </r>
  <r>
    <d v="2023-07-25T00:00:00"/>
    <x v="3912"/>
    <n v="53"/>
    <x v="1"/>
    <x v="1"/>
    <x v="3"/>
    <x v="0"/>
    <n v="4149.75"/>
    <x v="1"/>
    <n v="2496.7676064256989"/>
    <n v="4564.72"/>
    <n v="4564.7300000000005"/>
    <n v="4564.7299999999996"/>
    <s v="July 2023"/>
  </r>
  <r>
    <d v="2023-07-25T00:00:00"/>
    <x v="3913"/>
    <n v="76"/>
    <x v="0"/>
    <x v="6"/>
    <x v="3"/>
    <x v="0"/>
    <n v="3858.04"/>
    <x v="0"/>
    <n v="2496.7676064256989"/>
    <n v="4243.84"/>
    <n v="4243.8500000000004"/>
    <n v="4243.84"/>
    <s v="July 2023"/>
  </r>
  <r>
    <d v="2023-07-26T00:00:00"/>
    <x v="3914"/>
    <n v="85"/>
    <x v="0"/>
    <x v="0"/>
    <x v="0"/>
    <x v="3"/>
    <n v="2348.84"/>
    <x v="0"/>
    <n v="2503.6022787783854"/>
    <n v="2583.7199999999998"/>
    <n v="2583.73"/>
    <n v="2583.7199999999998"/>
    <s v="July 2023"/>
  </r>
  <r>
    <d v="2023-07-26T00:00:00"/>
    <x v="3915"/>
    <n v="12"/>
    <x v="2"/>
    <x v="6"/>
    <x v="0"/>
    <x v="4"/>
    <n v="3578.24"/>
    <x v="2"/>
    <n v="2503.6022787783854"/>
    <n v="3936.06"/>
    <n v="3936.07"/>
    <n v="3936.06"/>
    <s v="July 2023"/>
  </r>
  <r>
    <d v="2023-07-26T00:00:00"/>
    <x v="3916"/>
    <n v="88"/>
    <x v="2"/>
    <x v="4"/>
    <x v="2"/>
    <x v="1"/>
    <n v="963.96"/>
    <x v="0"/>
    <n v="2440.2966694490838"/>
    <n v="1060.3499999999999"/>
    <n v="1060.3599999999999"/>
    <n v="1060.3599999999999"/>
    <s v="July 2023"/>
  </r>
  <r>
    <d v="2023-07-26T00:00:00"/>
    <x v="3917"/>
    <n v="55"/>
    <x v="2"/>
    <x v="1"/>
    <x v="2"/>
    <x v="2"/>
    <n v="3670.86"/>
    <x v="1"/>
    <n v="2440.2966694490838"/>
    <n v="4037.94"/>
    <n v="4037.9500000000003"/>
    <n v="4037.95"/>
    <s v="July 2023"/>
  </r>
  <r>
    <d v="2023-07-26T00:00:00"/>
    <x v="3918"/>
    <n v="80"/>
    <x v="2"/>
    <x v="7"/>
    <x v="0"/>
    <x v="1"/>
    <n v="4246.42"/>
    <x v="0"/>
    <n v="2503.6022787783854"/>
    <n v="4671.0600000000004"/>
    <n v="4671.0700000000006"/>
    <n v="4671.0600000000004"/>
    <s v="July 2023"/>
  </r>
  <r>
    <d v="2023-07-26T00:00:00"/>
    <x v="3919"/>
    <n v="30"/>
    <x v="2"/>
    <x v="1"/>
    <x v="0"/>
    <x v="0"/>
    <n v="1314.77"/>
    <x v="1"/>
    <n v="2503.6022787783854"/>
    <n v="1446.24"/>
    <n v="1446.25"/>
    <n v="1446.25"/>
    <s v="July 2023"/>
  </r>
  <r>
    <d v="2023-07-26T00:00:00"/>
    <x v="3920"/>
    <n v="77"/>
    <x v="2"/>
    <x v="3"/>
    <x v="1"/>
    <x v="1"/>
    <n v="4855.3500000000004"/>
    <x v="0"/>
    <n v="2509.1716796874912"/>
    <n v="5340.88"/>
    <n v="5340.89"/>
    <n v="5340.89"/>
    <s v="July 2023"/>
  </r>
  <r>
    <d v="2023-07-27T00:00:00"/>
    <x v="3921"/>
    <n v="79"/>
    <x v="1"/>
    <x v="7"/>
    <x v="1"/>
    <x v="1"/>
    <n v="4937.0200000000004"/>
    <x v="0"/>
    <n v="2509.1716796874912"/>
    <n v="5430.72"/>
    <n v="5430.7300000000005"/>
    <n v="5430.72"/>
    <s v="July 2023"/>
  </r>
  <r>
    <d v="2023-07-27T00:00:00"/>
    <x v="3922"/>
    <n v="65"/>
    <x v="2"/>
    <x v="3"/>
    <x v="1"/>
    <x v="2"/>
    <n v="3909.73"/>
    <x v="0"/>
    <n v="2509.1716796874912"/>
    <n v="4300.7"/>
    <n v="4300.71"/>
    <n v="4300.7"/>
    <s v="July 2023"/>
  </r>
  <r>
    <d v="2023-07-27T00:00:00"/>
    <x v="3923"/>
    <n v="81"/>
    <x v="1"/>
    <x v="3"/>
    <x v="0"/>
    <x v="3"/>
    <n v="314.95"/>
    <x v="0"/>
    <n v="2503.6022787783854"/>
    <n v="346.44"/>
    <n v="346.45"/>
    <n v="346.45"/>
    <s v="July 2023"/>
  </r>
  <r>
    <d v="2023-07-27T00:00:00"/>
    <x v="3924"/>
    <n v="69"/>
    <x v="2"/>
    <x v="5"/>
    <x v="3"/>
    <x v="3"/>
    <n v="4388.88"/>
    <x v="0"/>
    <n v="2496.7676064256989"/>
    <n v="4827.76"/>
    <n v="4827.7700000000004"/>
    <n v="4827.7700000000004"/>
    <s v="July 2023"/>
  </r>
  <r>
    <d v="2023-07-28T00:00:00"/>
    <x v="3925"/>
    <n v="92"/>
    <x v="1"/>
    <x v="4"/>
    <x v="2"/>
    <x v="0"/>
    <n v="183.58"/>
    <x v="0"/>
    <n v="2440.2966694490838"/>
    <n v="201.93"/>
    <n v="201.94"/>
    <n v="201.94"/>
    <s v="July 2023"/>
  </r>
  <r>
    <d v="2023-07-28T00:00:00"/>
    <x v="3926"/>
    <n v="73"/>
    <x v="1"/>
    <x v="4"/>
    <x v="3"/>
    <x v="3"/>
    <n v="622.21"/>
    <x v="0"/>
    <n v="2496.7676064256989"/>
    <n v="684.43"/>
    <n v="684.43999999999994"/>
    <n v="684.43"/>
    <s v="July 2023"/>
  </r>
  <r>
    <d v="2023-07-28T00:00:00"/>
    <x v="3927"/>
    <n v="43"/>
    <x v="1"/>
    <x v="4"/>
    <x v="0"/>
    <x v="4"/>
    <n v="160.88999999999999"/>
    <x v="1"/>
    <n v="2503.6022787783854"/>
    <n v="176.97"/>
    <n v="176.98"/>
    <n v="176.98"/>
    <s v="July 2023"/>
  </r>
  <r>
    <d v="2023-07-28T00:00:00"/>
    <x v="3928"/>
    <n v="7"/>
    <x v="0"/>
    <x v="6"/>
    <x v="3"/>
    <x v="5"/>
    <n v="1865.92"/>
    <x v="2"/>
    <n v="2496.7676064256989"/>
    <n v="2052.5100000000002"/>
    <n v="2052.5200000000004"/>
    <n v="2052.5100000000002"/>
    <s v="July 2023"/>
  </r>
  <r>
    <d v="2023-07-28T00:00:00"/>
    <x v="3929"/>
    <n v="11"/>
    <x v="1"/>
    <x v="6"/>
    <x v="1"/>
    <x v="2"/>
    <n v="4945.3599999999997"/>
    <x v="2"/>
    <n v="2509.1716796874912"/>
    <n v="5439.89"/>
    <n v="5439.9000000000005"/>
    <n v="5439.9"/>
    <s v="July 2023"/>
  </r>
  <r>
    <d v="2023-07-28T00:00:00"/>
    <x v="3930"/>
    <n v="98"/>
    <x v="1"/>
    <x v="7"/>
    <x v="3"/>
    <x v="0"/>
    <n v="2635.79"/>
    <x v="0"/>
    <n v="2496.7676064256989"/>
    <n v="2899.36"/>
    <n v="2899.3700000000003"/>
    <n v="2899.37"/>
    <s v="July 2023"/>
  </r>
  <r>
    <d v="2023-07-28T00:00:00"/>
    <x v="3931"/>
    <n v="84"/>
    <x v="1"/>
    <x v="2"/>
    <x v="2"/>
    <x v="1"/>
    <n v="1846.66"/>
    <x v="0"/>
    <n v="2440.2966694490838"/>
    <n v="2031.32"/>
    <n v="2031.33"/>
    <n v="2031.33"/>
    <s v="July 2023"/>
  </r>
  <r>
    <d v="2023-07-29T00:00:00"/>
    <x v="3932"/>
    <n v="63"/>
    <x v="2"/>
    <x v="1"/>
    <x v="1"/>
    <x v="3"/>
    <n v="2627.6"/>
    <x v="1"/>
    <n v="2509.1716796874912"/>
    <n v="2890.36"/>
    <n v="2890.36"/>
    <n v="2890.36"/>
    <s v="July 2023"/>
  </r>
  <r>
    <d v="2023-07-29T00:00:00"/>
    <x v="3933"/>
    <n v="47"/>
    <x v="1"/>
    <x v="0"/>
    <x v="2"/>
    <x v="4"/>
    <n v="4175.5200000000004"/>
    <x v="1"/>
    <n v="2440.2966694490838"/>
    <n v="4593.07"/>
    <n v="4593.08"/>
    <n v="4593.07"/>
    <s v="July 2023"/>
  </r>
  <r>
    <d v="2023-07-29T00:00:00"/>
    <x v="3934"/>
    <n v="86"/>
    <x v="2"/>
    <x v="7"/>
    <x v="2"/>
    <x v="1"/>
    <n v="342.59"/>
    <x v="0"/>
    <n v="2440.2966694490838"/>
    <n v="376.84"/>
    <n v="376.84999999999997"/>
    <n v="376.85"/>
    <s v="July 2023"/>
  </r>
  <r>
    <d v="2023-07-29T00:00:00"/>
    <x v="3935"/>
    <n v="55"/>
    <x v="2"/>
    <x v="5"/>
    <x v="3"/>
    <x v="3"/>
    <n v="2343.48"/>
    <x v="1"/>
    <n v="2496.7676064256989"/>
    <n v="2577.8200000000002"/>
    <n v="2577.8300000000004"/>
    <n v="2577.83"/>
    <s v="July 2023"/>
  </r>
  <r>
    <d v="2023-07-29T00:00:00"/>
    <x v="3936"/>
    <n v="81"/>
    <x v="0"/>
    <x v="3"/>
    <x v="2"/>
    <x v="1"/>
    <n v="2958.71"/>
    <x v="0"/>
    <n v="2440.2966694490838"/>
    <n v="3254.58"/>
    <n v="3254.59"/>
    <n v="3254.58"/>
    <s v="July 2023"/>
  </r>
  <r>
    <d v="2023-07-29T00:00:00"/>
    <x v="3937"/>
    <n v="50"/>
    <x v="0"/>
    <x v="3"/>
    <x v="3"/>
    <x v="3"/>
    <n v="814.09"/>
    <x v="1"/>
    <n v="2496.7676064256989"/>
    <n v="895.49"/>
    <n v="895.5"/>
    <n v="895.5"/>
    <s v="July 2023"/>
  </r>
  <r>
    <d v="2023-07-29T00:00:00"/>
    <x v="3938"/>
    <n v="28"/>
    <x v="1"/>
    <x v="4"/>
    <x v="2"/>
    <x v="1"/>
    <n v="2842.39"/>
    <x v="1"/>
    <n v="2440.2966694490838"/>
    <n v="3126.62"/>
    <n v="3126.63"/>
    <n v="3126.63"/>
    <s v="July 2023"/>
  </r>
  <r>
    <d v="2023-07-29T00:00:00"/>
    <x v="3939"/>
    <n v="42"/>
    <x v="1"/>
    <x v="5"/>
    <x v="2"/>
    <x v="3"/>
    <n v="1987.02"/>
    <x v="1"/>
    <n v="2440.2966694490838"/>
    <n v="2185.7199999999998"/>
    <n v="2185.73"/>
    <n v="2185.7199999999998"/>
    <s v="July 2023"/>
  </r>
  <r>
    <d v="2023-07-30T00:00:00"/>
    <x v="3940"/>
    <n v="90"/>
    <x v="0"/>
    <x v="4"/>
    <x v="3"/>
    <x v="1"/>
    <n v="3885.7"/>
    <x v="0"/>
    <n v="2496.7676064256989"/>
    <n v="4274.2700000000004"/>
    <n v="4274.2700000000004"/>
    <n v="4274.2700000000004"/>
    <s v="July 2023"/>
  </r>
  <r>
    <d v="2023-07-30T00:00:00"/>
    <x v="3941"/>
    <n v="36"/>
    <x v="0"/>
    <x v="2"/>
    <x v="3"/>
    <x v="4"/>
    <n v="2737.41"/>
    <x v="1"/>
    <n v="2496.7676064256989"/>
    <n v="3011.15"/>
    <n v="3011.1600000000003"/>
    <n v="3011.15"/>
    <s v="July 2023"/>
  </r>
  <r>
    <d v="2023-07-30T00:00:00"/>
    <x v="3942"/>
    <n v="83"/>
    <x v="1"/>
    <x v="4"/>
    <x v="0"/>
    <x v="0"/>
    <n v="3165.83"/>
    <x v="0"/>
    <n v="2503.6022787783854"/>
    <n v="3482.41"/>
    <n v="3482.42"/>
    <n v="3482.41"/>
    <s v="July 2023"/>
  </r>
  <r>
    <d v="2023-07-30T00:00:00"/>
    <x v="3943"/>
    <n v="73"/>
    <x v="1"/>
    <x v="4"/>
    <x v="1"/>
    <x v="4"/>
    <n v="1332.03"/>
    <x v="0"/>
    <n v="2509.1716796874912"/>
    <n v="1465.23"/>
    <n v="1465.24"/>
    <n v="1465.23"/>
    <s v="July 2023"/>
  </r>
  <r>
    <d v="2023-07-30T00:00:00"/>
    <x v="3944"/>
    <n v="16"/>
    <x v="1"/>
    <x v="7"/>
    <x v="1"/>
    <x v="4"/>
    <n v="1286.21"/>
    <x v="1"/>
    <n v="2509.1716796874912"/>
    <n v="1414.83"/>
    <n v="1414.84"/>
    <n v="1414.83"/>
    <s v="July 2023"/>
  </r>
  <r>
    <d v="2023-07-30T00:00:00"/>
    <x v="3945"/>
    <n v="12"/>
    <x v="1"/>
    <x v="6"/>
    <x v="1"/>
    <x v="1"/>
    <n v="3078.98"/>
    <x v="2"/>
    <n v="2509.1716796874912"/>
    <n v="3386.87"/>
    <n v="3386.88"/>
    <n v="3386.88"/>
    <s v="July 2023"/>
  </r>
  <r>
    <d v="2023-07-31T00:00:00"/>
    <x v="3946"/>
    <n v="24"/>
    <x v="1"/>
    <x v="1"/>
    <x v="1"/>
    <x v="1"/>
    <n v="889.07"/>
    <x v="1"/>
    <n v="2509.1716796874912"/>
    <n v="977.97"/>
    <n v="977.98"/>
    <n v="977.98"/>
    <s v="July 2023"/>
  </r>
  <r>
    <d v="2023-07-31T00:00:00"/>
    <x v="3947"/>
    <n v="3"/>
    <x v="1"/>
    <x v="2"/>
    <x v="0"/>
    <x v="0"/>
    <n v="1382.27"/>
    <x v="2"/>
    <n v="2503.6022787783854"/>
    <n v="1520.49"/>
    <n v="1520.5"/>
    <n v="1520.5"/>
    <s v="July 2023"/>
  </r>
  <r>
    <d v="2023-07-31T00:00:00"/>
    <x v="3948"/>
    <n v="5"/>
    <x v="2"/>
    <x v="2"/>
    <x v="1"/>
    <x v="4"/>
    <n v="4469.8"/>
    <x v="2"/>
    <n v="2509.1716796874912"/>
    <n v="4916.78"/>
    <n v="4916.78"/>
    <n v="4916.78"/>
    <s v="July 2023"/>
  </r>
  <r>
    <d v="2023-07-31T00:00:00"/>
    <x v="3949"/>
    <n v="1"/>
    <x v="1"/>
    <x v="7"/>
    <x v="0"/>
    <x v="3"/>
    <n v="3956.81"/>
    <x v="2"/>
    <n v="2503.6022787783854"/>
    <n v="4352.49"/>
    <n v="4352.5"/>
    <n v="4352.49"/>
    <s v="July 2023"/>
  </r>
  <r>
    <d v="2023-07-31T00:00:00"/>
    <x v="3950"/>
    <n v="18"/>
    <x v="1"/>
    <x v="5"/>
    <x v="0"/>
    <x v="2"/>
    <n v="268.02999999999997"/>
    <x v="1"/>
    <n v="2503.6022787783854"/>
    <n v="294.83"/>
    <n v="294.83999999999997"/>
    <n v="294.83"/>
    <s v="July 2023"/>
  </r>
  <r>
    <d v="2023-07-31T00:00:00"/>
    <x v="3951"/>
    <n v="4"/>
    <x v="1"/>
    <x v="0"/>
    <x v="1"/>
    <x v="0"/>
    <n v="3278.51"/>
    <x v="2"/>
    <n v="2509.1716796874912"/>
    <n v="3606.36"/>
    <n v="3606.3700000000003"/>
    <n v="3606.36"/>
    <s v="July 2023"/>
  </r>
  <r>
    <d v="2023-07-31T00:00:00"/>
    <x v="3952"/>
    <n v="67"/>
    <x v="0"/>
    <x v="0"/>
    <x v="1"/>
    <x v="4"/>
    <n v="1121.55"/>
    <x v="0"/>
    <n v="2509.1716796874912"/>
    <n v="1233.7"/>
    <n v="1233.71"/>
    <n v="1233.71"/>
    <s v="July 2023"/>
  </r>
  <r>
    <d v="2023-07-31T00:00:00"/>
    <x v="3953"/>
    <n v="5"/>
    <x v="1"/>
    <x v="7"/>
    <x v="3"/>
    <x v="5"/>
    <n v="3910.86"/>
    <x v="2"/>
    <n v="2496.7676064256989"/>
    <n v="4301.9399999999996"/>
    <n v="4301.95"/>
    <n v="4301.95"/>
    <s v="July 2023"/>
  </r>
  <r>
    <d v="2023-07-31T00:00:00"/>
    <x v="3954"/>
    <n v="76"/>
    <x v="0"/>
    <x v="1"/>
    <x v="3"/>
    <x v="2"/>
    <n v="3887.5"/>
    <x v="0"/>
    <n v="2496.7676064256989"/>
    <n v="4276.25"/>
    <n v="4276.25"/>
    <n v="4276.25"/>
    <s v="July 2023"/>
  </r>
  <r>
    <d v="2023-08-01T00:00:00"/>
    <x v="3955"/>
    <n v="59"/>
    <x v="0"/>
    <x v="0"/>
    <x v="3"/>
    <x v="1"/>
    <n v="1315.1"/>
    <x v="1"/>
    <n v="2496.7676064256989"/>
    <n v="1446.61"/>
    <n v="1446.61"/>
    <n v="1446.61"/>
    <s v="August 2023"/>
  </r>
  <r>
    <d v="2023-08-01T00:00:00"/>
    <x v="3956"/>
    <n v="32"/>
    <x v="0"/>
    <x v="4"/>
    <x v="3"/>
    <x v="3"/>
    <n v="936.67"/>
    <x v="1"/>
    <n v="2496.7676064256989"/>
    <n v="1030.33"/>
    <n v="1030.3399999999999"/>
    <n v="1030.3399999999999"/>
    <s v="August 2023"/>
  </r>
  <r>
    <d v="2023-08-01T00:00:00"/>
    <x v="3957"/>
    <n v="27"/>
    <x v="0"/>
    <x v="7"/>
    <x v="1"/>
    <x v="4"/>
    <n v="4081.64"/>
    <x v="1"/>
    <n v="2509.1716796874912"/>
    <n v="4489.8"/>
    <n v="4489.8100000000004"/>
    <n v="4489.8"/>
    <s v="August 2023"/>
  </r>
  <r>
    <d v="2023-08-01T00:00:00"/>
    <x v="3958"/>
    <n v="89"/>
    <x v="2"/>
    <x v="3"/>
    <x v="2"/>
    <x v="0"/>
    <n v="3517.51"/>
    <x v="0"/>
    <n v="2440.2966694490838"/>
    <n v="3869.26"/>
    <n v="3869.2700000000004"/>
    <n v="3869.26"/>
    <s v="August 2023"/>
  </r>
  <r>
    <d v="2023-08-02T00:00:00"/>
    <x v="3959"/>
    <n v="61"/>
    <x v="0"/>
    <x v="7"/>
    <x v="3"/>
    <x v="1"/>
    <n v="3028.41"/>
    <x v="1"/>
    <n v="2496.7676064256989"/>
    <n v="3331.25"/>
    <n v="3331.26"/>
    <n v="3331.25"/>
    <s v="August 2023"/>
  </r>
  <r>
    <d v="2023-08-02T00:00:00"/>
    <x v="3960"/>
    <n v="97"/>
    <x v="2"/>
    <x v="0"/>
    <x v="0"/>
    <x v="0"/>
    <n v="4639.3900000000003"/>
    <x v="0"/>
    <n v="2503.6022787783854"/>
    <n v="5103.32"/>
    <n v="5103.33"/>
    <n v="5103.33"/>
    <s v="August 2023"/>
  </r>
  <r>
    <d v="2023-08-02T00:00:00"/>
    <x v="3961"/>
    <n v="51"/>
    <x v="2"/>
    <x v="7"/>
    <x v="2"/>
    <x v="1"/>
    <n v="1203.93"/>
    <x v="1"/>
    <n v="2440.2966694490838"/>
    <n v="1324.32"/>
    <n v="1324.33"/>
    <n v="1324.32"/>
    <s v="August 2023"/>
  </r>
  <r>
    <d v="2023-08-02T00:00:00"/>
    <x v="3962"/>
    <n v="82"/>
    <x v="1"/>
    <x v="7"/>
    <x v="0"/>
    <x v="0"/>
    <n v="2649.6"/>
    <x v="0"/>
    <n v="2503.6022787783854"/>
    <n v="2914.56"/>
    <n v="2914.56"/>
    <n v="2914.56"/>
    <s v="August 2023"/>
  </r>
  <r>
    <d v="2023-08-02T00:00:00"/>
    <x v="3963"/>
    <n v="70"/>
    <x v="1"/>
    <x v="3"/>
    <x v="2"/>
    <x v="0"/>
    <n v="3458.85"/>
    <x v="0"/>
    <n v="2440.2966694490838"/>
    <n v="3804.73"/>
    <n v="3804.7400000000002"/>
    <n v="3804.74"/>
    <s v="August 2023"/>
  </r>
  <r>
    <d v="2023-08-03T00:00:00"/>
    <x v="3964"/>
    <n v="51"/>
    <x v="1"/>
    <x v="2"/>
    <x v="3"/>
    <x v="4"/>
    <n v="213.32"/>
    <x v="1"/>
    <n v="2496.7676064256989"/>
    <n v="234.65"/>
    <n v="234.66"/>
    <n v="234.65"/>
    <s v="August 2023"/>
  </r>
  <r>
    <d v="2023-08-03T00:00:00"/>
    <x v="3965"/>
    <n v="59"/>
    <x v="2"/>
    <x v="4"/>
    <x v="3"/>
    <x v="0"/>
    <n v="4202.76"/>
    <x v="1"/>
    <n v="2496.7676064256989"/>
    <n v="4623.03"/>
    <n v="4623.04"/>
    <n v="4623.04"/>
    <s v="August 2023"/>
  </r>
  <r>
    <d v="2023-08-03T00:00:00"/>
    <x v="3966"/>
    <n v="79"/>
    <x v="0"/>
    <x v="7"/>
    <x v="3"/>
    <x v="3"/>
    <n v="1994.65"/>
    <x v="0"/>
    <n v="2496.7676064256989"/>
    <n v="2194.11"/>
    <n v="2194.1200000000003"/>
    <n v="2194.12"/>
    <s v="August 2023"/>
  </r>
  <r>
    <d v="2023-08-03T00:00:00"/>
    <x v="3967"/>
    <n v="7"/>
    <x v="2"/>
    <x v="6"/>
    <x v="2"/>
    <x v="5"/>
    <n v="1196.5899999999999"/>
    <x v="2"/>
    <n v="2440.2966694490838"/>
    <n v="1316.24"/>
    <n v="1316.25"/>
    <n v="1316.25"/>
    <s v="August 2023"/>
  </r>
  <r>
    <d v="2023-08-03T00:00:00"/>
    <x v="3968"/>
    <n v="25"/>
    <x v="1"/>
    <x v="0"/>
    <x v="0"/>
    <x v="5"/>
    <n v="2562.8200000000002"/>
    <x v="1"/>
    <n v="2503.6022787783854"/>
    <n v="2819.1"/>
    <n v="2819.11"/>
    <n v="2819.1"/>
    <s v="August 2023"/>
  </r>
  <r>
    <d v="2023-08-03T00:00:00"/>
    <x v="3969"/>
    <n v="92"/>
    <x v="2"/>
    <x v="2"/>
    <x v="2"/>
    <x v="3"/>
    <n v="3410.97"/>
    <x v="0"/>
    <n v="2440.2966694490838"/>
    <n v="3752.06"/>
    <n v="3752.07"/>
    <n v="3752.07"/>
    <s v="August 2023"/>
  </r>
  <r>
    <d v="2023-08-03T00:00:00"/>
    <x v="3970"/>
    <n v="13"/>
    <x v="0"/>
    <x v="5"/>
    <x v="1"/>
    <x v="3"/>
    <n v="2800"/>
    <x v="2"/>
    <n v="2509.1716796874912"/>
    <n v="3080"/>
    <n v="3080"/>
    <n v="3080"/>
    <s v="August 2023"/>
  </r>
  <r>
    <d v="2023-08-03T00:00:00"/>
    <x v="3971"/>
    <n v="20"/>
    <x v="1"/>
    <x v="5"/>
    <x v="3"/>
    <x v="1"/>
    <n v="486.61"/>
    <x v="1"/>
    <n v="2496.7676064256989"/>
    <n v="535.27"/>
    <n v="535.28"/>
    <n v="535.27"/>
    <s v="August 2023"/>
  </r>
  <r>
    <d v="2023-08-03T00:00:00"/>
    <x v="3972"/>
    <n v="3"/>
    <x v="0"/>
    <x v="4"/>
    <x v="1"/>
    <x v="1"/>
    <n v="4008.73"/>
    <x v="2"/>
    <n v="2509.1716796874912"/>
    <n v="4409.6000000000004"/>
    <n v="4409.6100000000006"/>
    <n v="4409.6000000000004"/>
    <s v="August 2023"/>
  </r>
  <r>
    <d v="2023-08-03T00:00:00"/>
    <x v="3973"/>
    <n v="34"/>
    <x v="2"/>
    <x v="2"/>
    <x v="3"/>
    <x v="3"/>
    <n v="4125.22"/>
    <x v="1"/>
    <n v="2496.7676064256989"/>
    <n v="4537.74"/>
    <n v="4537.75"/>
    <n v="4537.74"/>
    <s v="August 2023"/>
  </r>
  <r>
    <d v="2023-08-03T00:00:00"/>
    <x v="3974"/>
    <n v="26"/>
    <x v="1"/>
    <x v="1"/>
    <x v="3"/>
    <x v="4"/>
    <n v="1864.71"/>
    <x v="1"/>
    <n v="2496.7676064256989"/>
    <n v="2051.1799999999998"/>
    <n v="2051.19"/>
    <n v="2051.1799999999998"/>
    <s v="August 2023"/>
  </r>
  <r>
    <d v="2023-08-04T00:00:00"/>
    <x v="3975"/>
    <n v="61"/>
    <x v="2"/>
    <x v="3"/>
    <x v="3"/>
    <x v="4"/>
    <n v="740.31"/>
    <x v="1"/>
    <n v="2496.7676064256989"/>
    <n v="814.34"/>
    <n v="814.35"/>
    <n v="814.34"/>
    <s v="August 2023"/>
  </r>
  <r>
    <d v="2023-08-04T00:00:00"/>
    <x v="3976"/>
    <n v="6"/>
    <x v="1"/>
    <x v="3"/>
    <x v="2"/>
    <x v="1"/>
    <n v="538.9"/>
    <x v="2"/>
    <n v="2440.2966694490838"/>
    <n v="592.79"/>
    <n v="592.79"/>
    <n v="592.79"/>
    <s v="August 2023"/>
  </r>
  <r>
    <d v="2023-08-04T00:00:00"/>
    <x v="3977"/>
    <n v="57"/>
    <x v="2"/>
    <x v="4"/>
    <x v="1"/>
    <x v="0"/>
    <n v="4090.59"/>
    <x v="1"/>
    <n v="2509.1716796874912"/>
    <n v="4499.6400000000003"/>
    <n v="4499.6500000000005"/>
    <n v="4499.6499999999996"/>
    <s v="August 2023"/>
  </r>
  <r>
    <d v="2023-08-04T00:00:00"/>
    <x v="3978"/>
    <n v="66"/>
    <x v="1"/>
    <x v="3"/>
    <x v="0"/>
    <x v="5"/>
    <n v="3367.13"/>
    <x v="0"/>
    <n v="2503.6022787783854"/>
    <n v="3703.84"/>
    <n v="3703.8500000000004"/>
    <n v="3703.84"/>
    <s v="August 2023"/>
  </r>
  <r>
    <d v="2023-08-04T00:00:00"/>
    <x v="3979"/>
    <n v="98"/>
    <x v="0"/>
    <x v="3"/>
    <x v="1"/>
    <x v="2"/>
    <n v="3111.39"/>
    <x v="0"/>
    <n v="2509.1716796874912"/>
    <n v="3422.52"/>
    <n v="3422.53"/>
    <n v="3422.53"/>
    <s v="August 2023"/>
  </r>
  <r>
    <d v="2023-08-04T00:00:00"/>
    <x v="3980"/>
    <n v="1"/>
    <x v="1"/>
    <x v="5"/>
    <x v="1"/>
    <x v="1"/>
    <n v="378.87"/>
    <x v="2"/>
    <n v="2509.1716796874912"/>
    <n v="416.75"/>
    <n v="416.76"/>
    <n v="416.76"/>
    <s v="August 2023"/>
  </r>
  <r>
    <d v="2023-08-05T00:00:00"/>
    <x v="3981"/>
    <n v="6"/>
    <x v="1"/>
    <x v="1"/>
    <x v="1"/>
    <x v="4"/>
    <n v="3398.46"/>
    <x v="2"/>
    <n v="2509.1716796874912"/>
    <n v="3738.3"/>
    <n v="3738.3100000000004"/>
    <n v="3738.31"/>
    <s v="August 2023"/>
  </r>
  <r>
    <d v="2023-08-05T00:00:00"/>
    <x v="3982"/>
    <n v="99"/>
    <x v="0"/>
    <x v="2"/>
    <x v="3"/>
    <x v="0"/>
    <n v="3286.18"/>
    <x v="0"/>
    <n v="2496.7676064256989"/>
    <n v="3614.79"/>
    <n v="3614.8"/>
    <n v="3614.8"/>
    <s v="August 2023"/>
  </r>
  <r>
    <d v="2023-08-05T00:00:00"/>
    <x v="3983"/>
    <n v="17"/>
    <x v="1"/>
    <x v="1"/>
    <x v="1"/>
    <x v="1"/>
    <n v="2317.79"/>
    <x v="1"/>
    <n v="2509.1716796874912"/>
    <n v="2549.56"/>
    <n v="2549.5700000000002"/>
    <n v="2549.5700000000002"/>
    <s v="August 2023"/>
  </r>
  <r>
    <d v="2023-08-05T00:00:00"/>
    <x v="3984"/>
    <n v="39"/>
    <x v="0"/>
    <x v="7"/>
    <x v="1"/>
    <x v="3"/>
    <n v="3854.94"/>
    <x v="1"/>
    <n v="2509.1716796874912"/>
    <n v="4240.43"/>
    <n v="4240.4400000000005"/>
    <n v="4240.43"/>
    <s v="August 2023"/>
  </r>
  <r>
    <d v="2023-08-05T00:00:00"/>
    <x v="3985"/>
    <n v="94"/>
    <x v="0"/>
    <x v="0"/>
    <x v="3"/>
    <x v="4"/>
    <n v="2107.56"/>
    <x v="0"/>
    <n v="2496.7676064256989"/>
    <n v="2318.31"/>
    <n v="2318.3200000000002"/>
    <n v="2318.3200000000002"/>
    <s v="August 2023"/>
  </r>
  <r>
    <d v="2023-08-05T00:00:00"/>
    <x v="3986"/>
    <n v="74"/>
    <x v="2"/>
    <x v="1"/>
    <x v="0"/>
    <x v="1"/>
    <n v="1941.51"/>
    <x v="0"/>
    <n v="2503.6022787783854"/>
    <n v="2135.66"/>
    <n v="2135.67"/>
    <n v="2135.66"/>
    <s v="August 2023"/>
  </r>
  <r>
    <d v="2023-08-05T00:00:00"/>
    <x v="3987"/>
    <n v="82"/>
    <x v="1"/>
    <x v="1"/>
    <x v="2"/>
    <x v="4"/>
    <n v="1771.23"/>
    <x v="0"/>
    <n v="2440.2966694490838"/>
    <n v="1948.35"/>
    <n v="1948.36"/>
    <n v="1948.35"/>
    <s v="August 2023"/>
  </r>
  <r>
    <d v="2023-08-05T00:00:00"/>
    <x v="3988"/>
    <n v="96"/>
    <x v="0"/>
    <x v="3"/>
    <x v="3"/>
    <x v="1"/>
    <n v="1147.24"/>
    <x v="0"/>
    <n v="2496.7676064256989"/>
    <n v="1261.96"/>
    <n v="1261.97"/>
    <n v="1261.96"/>
    <s v="August 2023"/>
  </r>
  <r>
    <d v="2023-08-05T00:00:00"/>
    <x v="3989"/>
    <n v="61"/>
    <x v="2"/>
    <x v="3"/>
    <x v="2"/>
    <x v="1"/>
    <n v="2250.96"/>
    <x v="1"/>
    <n v="2440.2966694490838"/>
    <n v="2476.0500000000002"/>
    <n v="2476.0600000000004"/>
    <n v="2476.06"/>
    <s v="August 2023"/>
  </r>
  <r>
    <d v="2023-08-05T00:00:00"/>
    <x v="3990"/>
    <n v="82"/>
    <x v="0"/>
    <x v="3"/>
    <x v="3"/>
    <x v="1"/>
    <n v="4379.83"/>
    <x v="0"/>
    <n v="2496.7676064256989"/>
    <n v="4817.8100000000004"/>
    <n v="4817.8200000000006"/>
    <n v="4817.8100000000004"/>
    <s v="August 2023"/>
  </r>
  <r>
    <d v="2023-08-05T00:00:00"/>
    <x v="3991"/>
    <n v="99"/>
    <x v="0"/>
    <x v="2"/>
    <x v="1"/>
    <x v="3"/>
    <n v="356.29"/>
    <x v="0"/>
    <n v="2509.1716796874912"/>
    <n v="391.91"/>
    <n v="391.92"/>
    <n v="391.92"/>
    <s v="August 2023"/>
  </r>
  <r>
    <d v="2023-08-05T00:00:00"/>
    <x v="3992"/>
    <n v="62"/>
    <x v="2"/>
    <x v="2"/>
    <x v="2"/>
    <x v="2"/>
    <n v="748.08"/>
    <x v="1"/>
    <n v="2440.2966694490838"/>
    <n v="822.88"/>
    <n v="822.89"/>
    <n v="822.89"/>
    <s v="August 2023"/>
  </r>
  <r>
    <d v="2023-08-06T00:00:00"/>
    <x v="3993"/>
    <n v="53"/>
    <x v="0"/>
    <x v="3"/>
    <x v="1"/>
    <x v="0"/>
    <n v="4449.01"/>
    <x v="1"/>
    <n v="2509.1716796874912"/>
    <n v="4893.91"/>
    <n v="4893.92"/>
    <n v="4893.91"/>
    <s v="August 2023"/>
  </r>
  <r>
    <d v="2023-08-06T00:00:00"/>
    <x v="3994"/>
    <n v="47"/>
    <x v="2"/>
    <x v="3"/>
    <x v="2"/>
    <x v="2"/>
    <n v="1898.95"/>
    <x v="1"/>
    <n v="2440.2966694490838"/>
    <n v="2088.84"/>
    <n v="2088.8500000000004"/>
    <n v="2088.85"/>
    <s v="August 2023"/>
  </r>
  <r>
    <d v="2023-08-06T00:00:00"/>
    <x v="3995"/>
    <n v="65"/>
    <x v="2"/>
    <x v="5"/>
    <x v="3"/>
    <x v="5"/>
    <n v="4787.6099999999997"/>
    <x v="0"/>
    <n v="2496.7676064256989"/>
    <n v="5266.37"/>
    <n v="5266.38"/>
    <n v="5266.37"/>
    <s v="August 2023"/>
  </r>
  <r>
    <d v="2023-08-06T00:00:00"/>
    <x v="3996"/>
    <n v="29"/>
    <x v="0"/>
    <x v="7"/>
    <x v="0"/>
    <x v="0"/>
    <n v="4784.1099999999997"/>
    <x v="1"/>
    <n v="2503.6022787783854"/>
    <n v="5262.52"/>
    <n v="5262.5300000000007"/>
    <n v="5262.52"/>
    <s v="August 2023"/>
  </r>
  <r>
    <d v="2023-08-06T00:00:00"/>
    <x v="3997"/>
    <n v="97"/>
    <x v="0"/>
    <x v="2"/>
    <x v="2"/>
    <x v="4"/>
    <n v="701.15"/>
    <x v="0"/>
    <n v="2440.2966694490838"/>
    <n v="771.26"/>
    <n v="771.27"/>
    <n v="771.27"/>
    <s v="August 2023"/>
  </r>
  <r>
    <d v="2023-08-06T00:00:00"/>
    <x v="3998"/>
    <n v="78"/>
    <x v="2"/>
    <x v="7"/>
    <x v="1"/>
    <x v="0"/>
    <n v="654.41999999999996"/>
    <x v="0"/>
    <n v="2509.1716796874912"/>
    <n v="719.86"/>
    <n v="719.87"/>
    <n v="719.86"/>
    <s v="August 2023"/>
  </r>
  <r>
    <d v="2023-08-06T00:00:00"/>
    <x v="3999"/>
    <n v="65"/>
    <x v="0"/>
    <x v="0"/>
    <x v="3"/>
    <x v="3"/>
    <n v="3243.25"/>
    <x v="0"/>
    <n v="2496.7676064256989"/>
    <n v="3567.57"/>
    <n v="3567.5800000000004"/>
    <n v="3567.58"/>
    <s v="August 2023"/>
  </r>
  <r>
    <d v="2023-08-07T00:00:00"/>
    <x v="4000"/>
    <n v="72"/>
    <x v="0"/>
    <x v="1"/>
    <x v="1"/>
    <x v="3"/>
    <n v="2135.64"/>
    <x v="0"/>
    <n v="2509.1716796874912"/>
    <n v="2349.1999999999998"/>
    <n v="2349.21"/>
    <n v="2349.1999999999998"/>
    <s v="August 2023"/>
  </r>
  <r>
    <d v="2023-08-07T00:00:00"/>
    <x v="4001"/>
    <n v="19"/>
    <x v="2"/>
    <x v="6"/>
    <x v="3"/>
    <x v="0"/>
    <n v="3004.67"/>
    <x v="1"/>
    <n v="2496.7676064256989"/>
    <n v="3305.13"/>
    <n v="3305.1400000000003"/>
    <n v="3305.14"/>
    <s v="August 2023"/>
  </r>
  <r>
    <d v="2023-08-07T00:00:00"/>
    <x v="4002"/>
    <n v="72"/>
    <x v="0"/>
    <x v="7"/>
    <x v="1"/>
    <x v="2"/>
    <n v="2183.31"/>
    <x v="0"/>
    <n v="2509.1716796874912"/>
    <n v="2401.64"/>
    <n v="2401.65"/>
    <n v="2401.64"/>
    <s v="August 2023"/>
  </r>
  <r>
    <d v="2023-08-07T00:00:00"/>
    <x v="4003"/>
    <n v="89"/>
    <x v="1"/>
    <x v="2"/>
    <x v="0"/>
    <x v="3"/>
    <n v="3987.41"/>
    <x v="0"/>
    <n v="2503.6022787783854"/>
    <n v="4386.1499999999996"/>
    <n v="4386.16"/>
    <n v="4386.1499999999996"/>
    <s v="August 2023"/>
  </r>
  <r>
    <d v="2023-08-07T00:00:00"/>
    <x v="4004"/>
    <n v="43"/>
    <x v="0"/>
    <x v="7"/>
    <x v="0"/>
    <x v="4"/>
    <n v="4588.24"/>
    <x v="1"/>
    <n v="2503.6022787783854"/>
    <n v="5047.0600000000004"/>
    <n v="5047.0700000000006"/>
    <n v="5047.0600000000004"/>
    <s v="August 2023"/>
  </r>
  <r>
    <d v="2023-08-07T00:00:00"/>
    <x v="4005"/>
    <n v="31"/>
    <x v="2"/>
    <x v="6"/>
    <x v="0"/>
    <x v="1"/>
    <n v="747.73"/>
    <x v="1"/>
    <n v="2503.6022787783854"/>
    <n v="822.5"/>
    <n v="822.51"/>
    <n v="822.5"/>
    <s v="August 2023"/>
  </r>
  <r>
    <d v="2023-08-07T00:00:00"/>
    <x v="4006"/>
    <n v="32"/>
    <x v="2"/>
    <x v="1"/>
    <x v="1"/>
    <x v="0"/>
    <n v="3659.5"/>
    <x v="1"/>
    <n v="2509.1716796874912"/>
    <n v="4025.45"/>
    <n v="4025.45"/>
    <n v="4025.45"/>
    <s v="August 2023"/>
  </r>
  <r>
    <d v="2023-08-07T00:00:00"/>
    <x v="4007"/>
    <n v="66"/>
    <x v="2"/>
    <x v="4"/>
    <x v="1"/>
    <x v="1"/>
    <n v="2807.8"/>
    <x v="0"/>
    <n v="2509.1716796874912"/>
    <n v="3088.58"/>
    <n v="3088.58"/>
    <n v="3088.58"/>
    <s v="August 2023"/>
  </r>
  <r>
    <d v="2023-08-07T00:00:00"/>
    <x v="4008"/>
    <n v="31"/>
    <x v="1"/>
    <x v="6"/>
    <x v="2"/>
    <x v="4"/>
    <n v="411.32"/>
    <x v="1"/>
    <n v="2440.2966694490838"/>
    <n v="452.45"/>
    <n v="452.46"/>
    <n v="452.45"/>
    <s v="August 2023"/>
  </r>
  <r>
    <d v="2023-08-07T00:00:00"/>
    <x v="4009"/>
    <n v="30"/>
    <x v="2"/>
    <x v="6"/>
    <x v="0"/>
    <x v="1"/>
    <n v="2861.83"/>
    <x v="1"/>
    <n v="2503.6022787783854"/>
    <n v="3148.01"/>
    <n v="3148.0200000000004"/>
    <n v="3148.01"/>
    <s v="August 2023"/>
  </r>
  <r>
    <d v="2023-08-07T00:00:00"/>
    <x v="4010"/>
    <n v="70"/>
    <x v="1"/>
    <x v="0"/>
    <x v="1"/>
    <x v="4"/>
    <n v="188.23"/>
    <x v="0"/>
    <n v="2509.1716796874912"/>
    <n v="207.05"/>
    <n v="207.06"/>
    <n v="207.05"/>
    <s v="August 2023"/>
  </r>
  <r>
    <d v="2023-08-07T00:00:00"/>
    <x v="4011"/>
    <n v="74"/>
    <x v="0"/>
    <x v="5"/>
    <x v="0"/>
    <x v="1"/>
    <n v="2429.04"/>
    <x v="0"/>
    <n v="2503.6022787783854"/>
    <n v="2671.94"/>
    <n v="2671.9500000000003"/>
    <n v="2671.94"/>
    <s v="August 2023"/>
  </r>
  <r>
    <d v="2023-08-08T00:00:00"/>
    <x v="4012"/>
    <n v="56"/>
    <x v="0"/>
    <x v="3"/>
    <x v="2"/>
    <x v="0"/>
    <n v="415.13"/>
    <x v="1"/>
    <n v="2440.2966694490838"/>
    <n v="456.64"/>
    <n v="456.65"/>
    <n v="456.64"/>
    <s v="August 2023"/>
  </r>
  <r>
    <d v="2023-08-08T00:00:00"/>
    <x v="4013"/>
    <n v="57"/>
    <x v="2"/>
    <x v="7"/>
    <x v="1"/>
    <x v="1"/>
    <n v="120.06"/>
    <x v="1"/>
    <n v="2509.1716796874912"/>
    <n v="132.06"/>
    <n v="132.07"/>
    <n v="132.07"/>
    <s v="August 2023"/>
  </r>
  <r>
    <d v="2023-08-08T00:00:00"/>
    <x v="4014"/>
    <n v="64"/>
    <x v="1"/>
    <x v="3"/>
    <x v="1"/>
    <x v="2"/>
    <n v="1828.35"/>
    <x v="1"/>
    <n v="2509.1716796874912"/>
    <n v="2011.18"/>
    <n v="2011.19"/>
    <n v="2011.19"/>
    <s v="August 2023"/>
  </r>
  <r>
    <d v="2023-08-08T00:00:00"/>
    <x v="4015"/>
    <n v="12"/>
    <x v="0"/>
    <x v="1"/>
    <x v="1"/>
    <x v="2"/>
    <n v="3561.59"/>
    <x v="2"/>
    <n v="2509.1716796874912"/>
    <n v="3917.74"/>
    <n v="3917.75"/>
    <n v="3917.75"/>
    <s v="August 2023"/>
  </r>
  <r>
    <d v="2023-08-08T00:00:00"/>
    <x v="4016"/>
    <n v="22"/>
    <x v="2"/>
    <x v="1"/>
    <x v="0"/>
    <x v="0"/>
    <n v="1141.0899999999999"/>
    <x v="1"/>
    <n v="2503.6022787783854"/>
    <n v="1255.19"/>
    <n v="1255.2"/>
    <n v="1255.2"/>
    <s v="August 2023"/>
  </r>
  <r>
    <d v="2023-08-08T00:00:00"/>
    <x v="4017"/>
    <n v="11"/>
    <x v="2"/>
    <x v="6"/>
    <x v="2"/>
    <x v="2"/>
    <n v="2955.54"/>
    <x v="2"/>
    <n v="2440.2966694490838"/>
    <n v="3251.09"/>
    <n v="3251.1000000000004"/>
    <n v="3251.09"/>
    <s v="August 2023"/>
  </r>
  <r>
    <d v="2023-08-08T00:00:00"/>
    <x v="4018"/>
    <n v="32"/>
    <x v="0"/>
    <x v="5"/>
    <x v="1"/>
    <x v="3"/>
    <n v="799.02"/>
    <x v="1"/>
    <n v="2509.1716796874912"/>
    <n v="878.92"/>
    <n v="878.93"/>
    <n v="878.92"/>
    <s v="August 2023"/>
  </r>
  <r>
    <d v="2023-08-08T00:00:00"/>
    <x v="4019"/>
    <n v="10"/>
    <x v="0"/>
    <x v="2"/>
    <x v="2"/>
    <x v="2"/>
    <n v="1821.93"/>
    <x v="2"/>
    <n v="2440.2966694490838"/>
    <n v="2004.12"/>
    <n v="2004.1299999999999"/>
    <n v="2004.12"/>
    <s v="August 2023"/>
  </r>
  <r>
    <d v="2023-08-08T00:00:00"/>
    <x v="4020"/>
    <n v="20"/>
    <x v="2"/>
    <x v="5"/>
    <x v="2"/>
    <x v="0"/>
    <n v="799.13"/>
    <x v="1"/>
    <n v="2440.2966694490838"/>
    <n v="879.04"/>
    <n v="879.05"/>
    <n v="879.04"/>
    <s v="August 2023"/>
  </r>
  <r>
    <d v="2023-08-08T00:00:00"/>
    <x v="4021"/>
    <n v="19"/>
    <x v="0"/>
    <x v="7"/>
    <x v="2"/>
    <x v="1"/>
    <n v="4978.53"/>
    <x v="1"/>
    <n v="2440.2966694490838"/>
    <n v="5476.38"/>
    <n v="5476.39"/>
    <n v="5476.38"/>
    <s v="August 2023"/>
  </r>
  <r>
    <d v="2023-08-08T00:00:00"/>
    <x v="4022"/>
    <n v="72"/>
    <x v="0"/>
    <x v="0"/>
    <x v="3"/>
    <x v="1"/>
    <n v="3015.96"/>
    <x v="0"/>
    <n v="2496.7676064256989"/>
    <n v="3317.55"/>
    <n v="3317.5600000000004"/>
    <n v="3317.56"/>
    <s v="August 2023"/>
  </r>
  <r>
    <d v="2023-08-08T00:00:00"/>
    <x v="4023"/>
    <n v="36"/>
    <x v="0"/>
    <x v="3"/>
    <x v="1"/>
    <x v="0"/>
    <n v="4060.08"/>
    <x v="1"/>
    <n v="2509.1716796874912"/>
    <n v="4466.08"/>
    <n v="4466.09"/>
    <n v="4466.09"/>
    <s v="August 2023"/>
  </r>
  <r>
    <d v="2023-08-08T00:00:00"/>
    <x v="4024"/>
    <n v="9"/>
    <x v="1"/>
    <x v="0"/>
    <x v="0"/>
    <x v="0"/>
    <n v="266.27"/>
    <x v="2"/>
    <n v="2503.6022787783854"/>
    <n v="292.89"/>
    <n v="292.89999999999998"/>
    <n v="292.89999999999998"/>
    <s v="August 2023"/>
  </r>
  <r>
    <d v="2023-08-08T00:00:00"/>
    <x v="4025"/>
    <n v="25"/>
    <x v="2"/>
    <x v="2"/>
    <x v="1"/>
    <x v="0"/>
    <n v="2903.02"/>
    <x v="1"/>
    <n v="2509.1716796874912"/>
    <n v="3193.32"/>
    <n v="3193.3300000000004"/>
    <n v="3193.32"/>
    <s v="August 2023"/>
  </r>
  <r>
    <d v="2023-08-09T00:00:00"/>
    <x v="4026"/>
    <n v="3"/>
    <x v="2"/>
    <x v="3"/>
    <x v="0"/>
    <x v="1"/>
    <n v="640.51"/>
    <x v="2"/>
    <n v="2503.6022787783854"/>
    <n v="704.56"/>
    <n v="704.56999999999994"/>
    <n v="704.56"/>
    <s v="August 2023"/>
  </r>
  <r>
    <d v="2023-08-09T00:00:00"/>
    <x v="4027"/>
    <n v="74"/>
    <x v="2"/>
    <x v="0"/>
    <x v="1"/>
    <x v="4"/>
    <n v="908.51"/>
    <x v="0"/>
    <n v="2509.1716796874912"/>
    <n v="999.36"/>
    <n v="999.37"/>
    <n v="999.36"/>
    <s v="August 2023"/>
  </r>
  <r>
    <d v="2023-08-09T00:00:00"/>
    <x v="4028"/>
    <n v="46"/>
    <x v="0"/>
    <x v="3"/>
    <x v="0"/>
    <x v="0"/>
    <n v="3740.42"/>
    <x v="1"/>
    <n v="2503.6022787783854"/>
    <n v="4114.46"/>
    <n v="4114.47"/>
    <n v="4114.46"/>
    <s v="August 2023"/>
  </r>
  <r>
    <d v="2023-08-09T00:00:00"/>
    <x v="4029"/>
    <n v="33"/>
    <x v="0"/>
    <x v="4"/>
    <x v="3"/>
    <x v="4"/>
    <n v="2286.79"/>
    <x v="1"/>
    <n v="2496.7676064256989"/>
    <n v="2515.46"/>
    <n v="2515.4700000000003"/>
    <n v="2515.4699999999998"/>
    <s v="August 2023"/>
  </r>
  <r>
    <d v="2023-08-09T00:00:00"/>
    <x v="4030"/>
    <n v="16"/>
    <x v="0"/>
    <x v="2"/>
    <x v="2"/>
    <x v="3"/>
    <n v="4303.1099999999997"/>
    <x v="1"/>
    <n v="2440.2966694490838"/>
    <n v="4733.42"/>
    <n v="4733.43"/>
    <n v="4733.42"/>
    <s v="August 2023"/>
  </r>
  <r>
    <d v="2023-08-09T00:00:00"/>
    <x v="4031"/>
    <n v="19"/>
    <x v="0"/>
    <x v="7"/>
    <x v="1"/>
    <x v="0"/>
    <n v="1247.32"/>
    <x v="1"/>
    <n v="2509.1716796874912"/>
    <n v="1372.05"/>
    <n v="1372.06"/>
    <n v="1372.05"/>
    <s v="August 2023"/>
  </r>
  <r>
    <d v="2023-08-09T00:00:00"/>
    <x v="4032"/>
    <n v="86"/>
    <x v="0"/>
    <x v="2"/>
    <x v="2"/>
    <x v="4"/>
    <n v="4561.01"/>
    <x v="0"/>
    <n v="2440.2966694490838"/>
    <n v="5017.1099999999997"/>
    <n v="5017.12"/>
    <n v="5017.1099999999997"/>
    <s v="August 2023"/>
  </r>
  <r>
    <d v="2023-08-09T00:00:00"/>
    <x v="4033"/>
    <n v="37"/>
    <x v="1"/>
    <x v="3"/>
    <x v="2"/>
    <x v="3"/>
    <n v="4406.17"/>
    <x v="1"/>
    <n v="2440.2966694490838"/>
    <n v="4846.78"/>
    <n v="4846.79"/>
    <n v="4846.79"/>
    <s v="August 2023"/>
  </r>
  <r>
    <d v="2023-08-09T00:00:00"/>
    <x v="4034"/>
    <n v="21"/>
    <x v="2"/>
    <x v="7"/>
    <x v="3"/>
    <x v="1"/>
    <n v="704.75"/>
    <x v="1"/>
    <n v="2496.7676064256989"/>
    <n v="775.22"/>
    <n v="775.23"/>
    <n v="775.23"/>
    <s v="August 2023"/>
  </r>
  <r>
    <d v="2023-08-10T00:00:00"/>
    <x v="4035"/>
    <n v="88"/>
    <x v="1"/>
    <x v="5"/>
    <x v="2"/>
    <x v="1"/>
    <n v="2188.62"/>
    <x v="0"/>
    <n v="2440.2966694490838"/>
    <n v="2407.48"/>
    <n v="2407.4900000000002"/>
    <n v="2407.48"/>
    <s v="August 2023"/>
  </r>
  <r>
    <d v="2023-08-10T00:00:00"/>
    <x v="4036"/>
    <n v="80"/>
    <x v="0"/>
    <x v="3"/>
    <x v="3"/>
    <x v="3"/>
    <n v="205.93"/>
    <x v="0"/>
    <n v="2496.7676064256989"/>
    <n v="226.52"/>
    <n v="226.53"/>
    <n v="226.52"/>
    <s v="August 2023"/>
  </r>
  <r>
    <d v="2023-08-10T00:00:00"/>
    <x v="4037"/>
    <n v="30"/>
    <x v="2"/>
    <x v="2"/>
    <x v="1"/>
    <x v="3"/>
    <n v="146.63"/>
    <x v="1"/>
    <n v="2509.1716796874912"/>
    <n v="161.29"/>
    <n v="161.29999999999998"/>
    <n v="161.29"/>
    <s v="August 2023"/>
  </r>
  <r>
    <d v="2023-08-10T00:00:00"/>
    <x v="4038"/>
    <n v="24"/>
    <x v="0"/>
    <x v="2"/>
    <x v="0"/>
    <x v="1"/>
    <n v="2202.29"/>
    <x v="1"/>
    <n v="2503.6022787783854"/>
    <n v="2422.5100000000002"/>
    <n v="2422.5200000000004"/>
    <n v="2422.52"/>
    <s v="August 2023"/>
  </r>
  <r>
    <d v="2023-08-10T00:00:00"/>
    <x v="4039"/>
    <n v="18"/>
    <x v="2"/>
    <x v="7"/>
    <x v="3"/>
    <x v="3"/>
    <n v="4075.59"/>
    <x v="1"/>
    <n v="2496.7676064256989"/>
    <n v="4483.1400000000003"/>
    <n v="4483.1500000000005"/>
    <n v="4483.1499999999996"/>
    <s v="August 2023"/>
  </r>
  <r>
    <d v="2023-08-11T00:00:00"/>
    <x v="4040"/>
    <n v="1"/>
    <x v="1"/>
    <x v="1"/>
    <x v="3"/>
    <x v="4"/>
    <n v="3252.41"/>
    <x v="2"/>
    <n v="2496.7676064256989"/>
    <n v="3577.65"/>
    <n v="3577.6600000000003"/>
    <n v="3577.65"/>
    <s v="August 2023"/>
  </r>
  <r>
    <d v="2023-08-11T00:00:00"/>
    <x v="4041"/>
    <n v="30"/>
    <x v="1"/>
    <x v="5"/>
    <x v="1"/>
    <x v="1"/>
    <n v="2767.11"/>
    <x v="1"/>
    <n v="2509.1716796874912"/>
    <n v="3043.82"/>
    <n v="3043.8300000000004"/>
    <n v="3043.82"/>
    <s v="August 2023"/>
  </r>
  <r>
    <d v="2023-08-11T00:00:00"/>
    <x v="4042"/>
    <n v="9"/>
    <x v="0"/>
    <x v="6"/>
    <x v="1"/>
    <x v="5"/>
    <n v="40.42"/>
    <x v="2"/>
    <n v="2509.1716796874912"/>
    <n v="44.46"/>
    <n v="44.47"/>
    <n v="44.46"/>
    <s v="August 2023"/>
  </r>
  <r>
    <d v="2023-08-11T00:00:00"/>
    <x v="4043"/>
    <n v="99"/>
    <x v="2"/>
    <x v="4"/>
    <x v="0"/>
    <x v="4"/>
    <n v="1090.77"/>
    <x v="0"/>
    <n v="2503.6022787783854"/>
    <n v="1199.8399999999999"/>
    <n v="1199.8499999999999"/>
    <n v="1199.8499999999999"/>
    <s v="August 2023"/>
  </r>
  <r>
    <d v="2023-08-11T00:00:00"/>
    <x v="4044"/>
    <n v="0"/>
    <x v="1"/>
    <x v="7"/>
    <x v="0"/>
    <x v="0"/>
    <n v="1699.18"/>
    <x v="2"/>
    <n v="2503.6022787783854"/>
    <n v="1869.09"/>
    <n v="1869.1"/>
    <n v="1869.1"/>
    <s v="August 2023"/>
  </r>
  <r>
    <d v="2023-08-11T00:00:00"/>
    <x v="4045"/>
    <n v="91"/>
    <x v="0"/>
    <x v="4"/>
    <x v="0"/>
    <x v="2"/>
    <n v="4523.01"/>
    <x v="0"/>
    <n v="2503.6022787783854"/>
    <n v="4975.3100000000004"/>
    <n v="4975.3200000000006"/>
    <n v="4975.3100000000004"/>
    <s v="August 2023"/>
  </r>
  <r>
    <d v="2023-08-11T00:00:00"/>
    <x v="4046"/>
    <n v="81"/>
    <x v="2"/>
    <x v="6"/>
    <x v="3"/>
    <x v="1"/>
    <n v="2212.63"/>
    <x v="0"/>
    <n v="2496.7676064256989"/>
    <n v="2433.89"/>
    <n v="2433.9"/>
    <n v="2433.89"/>
    <s v="August 2023"/>
  </r>
  <r>
    <d v="2023-08-11T00:00:00"/>
    <x v="4047"/>
    <n v="52"/>
    <x v="0"/>
    <x v="0"/>
    <x v="0"/>
    <x v="1"/>
    <n v="2129.08"/>
    <x v="1"/>
    <n v="2503.6022787783854"/>
    <n v="2341.98"/>
    <n v="2341.9900000000002"/>
    <n v="2341.9899999999998"/>
    <s v="August 2023"/>
  </r>
  <r>
    <d v="2023-08-11T00:00:00"/>
    <x v="4048"/>
    <n v="87"/>
    <x v="2"/>
    <x v="6"/>
    <x v="1"/>
    <x v="2"/>
    <n v="2662.07"/>
    <x v="0"/>
    <n v="2509.1716796874912"/>
    <n v="2928.27"/>
    <n v="2928.28"/>
    <n v="2928.28"/>
    <s v="August 2023"/>
  </r>
  <r>
    <d v="2023-08-12T00:00:00"/>
    <x v="4049"/>
    <n v="4"/>
    <x v="2"/>
    <x v="4"/>
    <x v="0"/>
    <x v="3"/>
    <n v="3097.63"/>
    <x v="2"/>
    <n v="2503.6022787783854"/>
    <n v="3407.39"/>
    <n v="3407.4"/>
    <n v="3407.39"/>
    <s v="August 2023"/>
  </r>
  <r>
    <d v="2023-08-12T00:00:00"/>
    <x v="4050"/>
    <n v="46"/>
    <x v="0"/>
    <x v="5"/>
    <x v="2"/>
    <x v="3"/>
    <n v="3462.37"/>
    <x v="1"/>
    <n v="2440.2966694490838"/>
    <n v="3808.6"/>
    <n v="3808.61"/>
    <n v="3808.61"/>
    <s v="August 2023"/>
  </r>
  <r>
    <d v="2023-08-12T00:00:00"/>
    <x v="4051"/>
    <n v="26"/>
    <x v="0"/>
    <x v="7"/>
    <x v="0"/>
    <x v="3"/>
    <n v="145.4"/>
    <x v="1"/>
    <n v="2503.6022787783854"/>
    <n v="159.94"/>
    <n v="159.94"/>
    <n v="159.94"/>
    <s v="August 2023"/>
  </r>
  <r>
    <d v="2023-08-12T00:00:00"/>
    <x v="4052"/>
    <n v="71"/>
    <x v="2"/>
    <x v="6"/>
    <x v="2"/>
    <x v="3"/>
    <n v="4115.6899999999996"/>
    <x v="0"/>
    <n v="2440.2966694490838"/>
    <n v="4527.25"/>
    <n v="4527.26"/>
    <n v="4527.26"/>
    <s v="August 2023"/>
  </r>
  <r>
    <d v="2023-08-12T00:00:00"/>
    <x v="4053"/>
    <n v="14"/>
    <x v="1"/>
    <x v="4"/>
    <x v="0"/>
    <x v="1"/>
    <n v="4100.3900000000003"/>
    <x v="2"/>
    <n v="2503.6022787783854"/>
    <n v="4510.42"/>
    <n v="4510.43"/>
    <n v="4510.43"/>
    <s v="August 2023"/>
  </r>
  <r>
    <d v="2023-08-13T00:00:00"/>
    <x v="4054"/>
    <n v="7"/>
    <x v="1"/>
    <x v="5"/>
    <x v="3"/>
    <x v="1"/>
    <n v="3218.47"/>
    <x v="2"/>
    <n v="2496.7676064256989"/>
    <n v="3540.31"/>
    <n v="3540.32"/>
    <n v="3540.32"/>
    <s v="August 2023"/>
  </r>
  <r>
    <d v="2023-08-13T00:00:00"/>
    <x v="4055"/>
    <n v="13"/>
    <x v="1"/>
    <x v="2"/>
    <x v="1"/>
    <x v="0"/>
    <n v="1100.8599999999999"/>
    <x v="2"/>
    <n v="2509.1716796874912"/>
    <n v="1210.94"/>
    <n v="1210.95"/>
    <n v="1210.95"/>
    <s v="August 2023"/>
  </r>
  <r>
    <d v="2023-08-13T00:00:00"/>
    <x v="4056"/>
    <n v="6"/>
    <x v="0"/>
    <x v="5"/>
    <x v="2"/>
    <x v="4"/>
    <n v="1006.53"/>
    <x v="2"/>
    <n v="2440.2966694490838"/>
    <n v="1107.18"/>
    <n v="1107.19"/>
    <n v="1107.18"/>
    <s v="August 2023"/>
  </r>
  <r>
    <d v="2023-08-13T00:00:00"/>
    <x v="4057"/>
    <n v="56"/>
    <x v="0"/>
    <x v="4"/>
    <x v="1"/>
    <x v="2"/>
    <n v="1291.0899999999999"/>
    <x v="1"/>
    <n v="2509.1716796874912"/>
    <n v="1420.19"/>
    <n v="1420.2"/>
    <n v="1420.2"/>
    <s v="August 2023"/>
  </r>
  <r>
    <d v="2023-08-13T00:00:00"/>
    <x v="4058"/>
    <n v="97"/>
    <x v="1"/>
    <x v="2"/>
    <x v="0"/>
    <x v="1"/>
    <n v="1608.04"/>
    <x v="0"/>
    <n v="2503.6022787783854"/>
    <n v="1768.84"/>
    <n v="1768.85"/>
    <n v="1768.84"/>
    <s v="August 2023"/>
  </r>
  <r>
    <d v="2023-08-13T00:00:00"/>
    <x v="4059"/>
    <n v="2"/>
    <x v="0"/>
    <x v="1"/>
    <x v="2"/>
    <x v="4"/>
    <n v="2484.44"/>
    <x v="2"/>
    <n v="2440.2966694490838"/>
    <n v="2732.88"/>
    <n v="2732.8900000000003"/>
    <n v="2732.88"/>
    <s v="August 2023"/>
  </r>
  <r>
    <d v="2023-08-13T00:00:00"/>
    <x v="4060"/>
    <n v="64"/>
    <x v="2"/>
    <x v="7"/>
    <x v="2"/>
    <x v="3"/>
    <n v="286.51"/>
    <x v="1"/>
    <n v="2440.2966694490838"/>
    <n v="315.16000000000003"/>
    <n v="315.17"/>
    <n v="315.16000000000003"/>
    <s v="August 2023"/>
  </r>
  <r>
    <d v="2023-08-13T00:00:00"/>
    <x v="4061"/>
    <n v="71"/>
    <x v="1"/>
    <x v="3"/>
    <x v="0"/>
    <x v="0"/>
    <n v="4570.2700000000004"/>
    <x v="0"/>
    <n v="2503.6022787783854"/>
    <n v="5027.29"/>
    <n v="5027.3"/>
    <n v="5027.3"/>
    <s v="August 2023"/>
  </r>
  <r>
    <d v="2023-08-13T00:00:00"/>
    <x v="4062"/>
    <n v="39"/>
    <x v="0"/>
    <x v="0"/>
    <x v="3"/>
    <x v="0"/>
    <n v="1974.03"/>
    <x v="1"/>
    <n v="2496.7676064256989"/>
    <n v="2171.4299999999998"/>
    <n v="2171.44"/>
    <n v="2171.4299999999998"/>
    <s v="August 2023"/>
  </r>
  <r>
    <d v="2023-08-13T00:00:00"/>
    <x v="4063"/>
    <n v="31"/>
    <x v="2"/>
    <x v="0"/>
    <x v="2"/>
    <x v="0"/>
    <n v="92.59"/>
    <x v="1"/>
    <n v="2440.2966694490838"/>
    <n v="101.84"/>
    <n v="101.85000000000001"/>
    <n v="101.85"/>
    <s v="August 2023"/>
  </r>
  <r>
    <d v="2023-08-14T00:00:00"/>
    <x v="4064"/>
    <n v="90"/>
    <x v="0"/>
    <x v="6"/>
    <x v="3"/>
    <x v="5"/>
    <n v="4134.97"/>
    <x v="0"/>
    <n v="2496.7676064256989"/>
    <n v="4548.46"/>
    <n v="4548.47"/>
    <n v="4548.47"/>
    <s v="August 2023"/>
  </r>
  <r>
    <d v="2023-08-14T00:00:00"/>
    <x v="4065"/>
    <n v="24"/>
    <x v="1"/>
    <x v="4"/>
    <x v="3"/>
    <x v="0"/>
    <n v="2327.81"/>
    <x v="1"/>
    <n v="2496.7676064256989"/>
    <n v="2560.59"/>
    <n v="2560.6000000000004"/>
    <n v="2560.59"/>
    <s v="August 2023"/>
  </r>
  <r>
    <d v="2023-08-14T00:00:00"/>
    <x v="4066"/>
    <n v="0"/>
    <x v="1"/>
    <x v="3"/>
    <x v="3"/>
    <x v="2"/>
    <n v="3449.92"/>
    <x v="2"/>
    <n v="2496.7676064256989"/>
    <n v="3794.91"/>
    <n v="3794.92"/>
    <n v="3794.91"/>
    <s v="August 2023"/>
  </r>
  <r>
    <d v="2023-08-14T00:00:00"/>
    <x v="4067"/>
    <n v="52"/>
    <x v="2"/>
    <x v="2"/>
    <x v="0"/>
    <x v="4"/>
    <n v="4143.3599999999997"/>
    <x v="1"/>
    <n v="2503.6022787783854"/>
    <n v="4557.6899999999996"/>
    <n v="4557.7"/>
    <n v="4557.7"/>
    <s v="August 2023"/>
  </r>
  <r>
    <d v="2023-08-14T00:00:00"/>
    <x v="4068"/>
    <n v="73"/>
    <x v="1"/>
    <x v="1"/>
    <x v="0"/>
    <x v="4"/>
    <n v="3445.21"/>
    <x v="0"/>
    <n v="2503.6022787783854"/>
    <n v="3789.73"/>
    <n v="3789.7400000000002"/>
    <n v="3789.73"/>
    <s v="August 2023"/>
  </r>
  <r>
    <d v="2023-08-14T00:00:00"/>
    <x v="4069"/>
    <n v="39"/>
    <x v="0"/>
    <x v="0"/>
    <x v="1"/>
    <x v="1"/>
    <n v="4932.2"/>
    <x v="1"/>
    <n v="2509.1716796874912"/>
    <n v="5425.42"/>
    <n v="5425.42"/>
    <n v="5425.42"/>
    <s v="August 2023"/>
  </r>
  <r>
    <d v="2023-08-14T00:00:00"/>
    <x v="4070"/>
    <n v="69"/>
    <x v="0"/>
    <x v="1"/>
    <x v="3"/>
    <x v="1"/>
    <n v="804.3"/>
    <x v="0"/>
    <n v="2496.7676064256989"/>
    <n v="884.73"/>
    <n v="884.73"/>
    <n v="884.73"/>
    <s v="August 2023"/>
  </r>
  <r>
    <d v="2023-08-15T00:00:00"/>
    <x v="4071"/>
    <n v="43"/>
    <x v="1"/>
    <x v="1"/>
    <x v="0"/>
    <x v="2"/>
    <n v="3501.53"/>
    <x v="1"/>
    <n v="2503.6022787783854"/>
    <n v="3851.68"/>
    <n v="3851.69"/>
    <n v="3851.68"/>
    <s v="August 2023"/>
  </r>
  <r>
    <d v="2023-08-15T00:00:00"/>
    <x v="4072"/>
    <n v="26"/>
    <x v="0"/>
    <x v="0"/>
    <x v="1"/>
    <x v="4"/>
    <n v="584.79"/>
    <x v="1"/>
    <n v="2509.1716796874912"/>
    <n v="643.26"/>
    <n v="643.27"/>
    <n v="643.27"/>
    <s v="August 2023"/>
  </r>
  <r>
    <d v="2023-08-15T00:00:00"/>
    <x v="4073"/>
    <n v="74"/>
    <x v="2"/>
    <x v="0"/>
    <x v="0"/>
    <x v="2"/>
    <n v="1442.46"/>
    <x v="0"/>
    <n v="2503.6022787783854"/>
    <n v="1586.7"/>
    <n v="1586.71"/>
    <n v="1586.71"/>
    <s v="August 2023"/>
  </r>
  <r>
    <d v="2023-08-15T00:00:00"/>
    <x v="4074"/>
    <n v="32"/>
    <x v="0"/>
    <x v="3"/>
    <x v="0"/>
    <x v="2"/>
    <n v="2774.13"/>
    <x v="1"/>
    <n v="2503.6022787783854"/>
    <n v="3051.54"/>
    <n v="3051.55"/>
    <n v="3051.54"/>
    <s v="August 2023"/>
  </r>
  <r>
    <d v="2023-08-15T00:00:00"/>
    <x v="4075"/>
    <n v="56"/>
    <x v="2"/>
    <x v="7"/>
    <x v="0"/>
    <x v="0"/>
    <n v="1212.42"/>
    <x v="1"/>
    <n v="2503.6022787783854"/>
    <n v="1333.66"/>
    <n v="1333.67"/>
    <n v="1333.66"/>
    <s v="August 2023"/>
  </r>
  <r>
    <d v="2023-08-15T00:00:00"/>
    <x v="4076"/>
    <n v="90"/>
    <x v="0"/>
    <x v="6"/>
    <x v="1"/>
    <x v="3"/>
    <n v="4995.8"/>
    <x v="0"/>
    <n v="2509.1716796874912"/>
    <n v="5495.38"/>
    <n v="5495.38"/>
    <n v="5495.38"/>
    <s v="August 2023"/>
  </r>
  <r>
    <d v="2023-08-15T00:00:00"/>
    <x v="4077"/>
    <n v="70"/>
    <x v="0"/>
    <x v="0"/>
    <x v="0"/>
    <x v="2"/>
    <n v="785.38"/>
    <x v="0"/>
    <n v="2503.6022787783854"/>
    <n v="863.91"/>
    <n v="863.92"/>
    <n v="863.92"/>
    <s v="August 2023"/>
  </r>
  <r>
    <d v="2023-08-16T00:00:00"/>
    <x v="4078"/>
    <n v="65"/>
    <x v="0"/>
    <x v="5"/>
    <x v="0"/>
    <x v="2"/>
    <n v="240.86"/>
    <x v="0"/>
    <n v="2503.6022787783854"/>
    <n v="264.94"/>
    <n v="264.95"/>
    <n v="264.95"/>
    <s v="August 2023"/>
  </r>
  <r>
    <d v="2023-08-16T00:00:00"/>
    <x v="4079"/>
    <n v="64"/>
    <x v="1"/>
    <x v="0"/>
    <x v="0"/>
    <x v="4"/>
    <n v="4256.6899999999996"/>
    <x v="1"/>
    <n v="2503.6022787783854"/>
    <n v="4682.3500000000004"/>
    <n v="4682.3600000000006"/>
    <n v="4682.3599999999997"/>
    <s v="August 2023"/>
  </r>
  <r>
    <d v="2023-08-16T00:00:00"/>
    <x v="4080"/>
    <n v="93"/>
    <x v="1"/>
    <x v="3"/>
    <x v="1"/>
    <x v="1"/>
    <n v="1517.69"/>
    <x v="0"/>
    <n v="2509.1716796874912"/>
    <n v="1669.45"/>
    <n v="1669.46"/>
    <n v="1669.46"/>
    <s v="August 2023"/>
  </r>
  <r>
    <d v="2023-08-16T00:00:00"/>
    <x v="4081"/>
    <n v="35"/>
    <x v="1"/>
    <x v="7"/>
    <x v="1"/>
    <x v="2"/>
    <n v="4738.09"/>
    <x v="1"/>
    <n v="2509.1716796874912"/>
    <n v="5211.8900000000003"/>
    <n v="5211.9000000000005"/>
    <n v="5211.8999999999996"/>
    <s v="August 2023"/>
  </r>
  <r>
    <d v="2023-08-16T00:00:00"/>
    <x v="4082"/>
    <n v="82"/>
    <x v="1"/>
    <x v="5"/>
    <x v="1"/>
    <x v="1"/>
    <n v="1721.57"/>
    <x v="0"/>
    <n v="2509.1716796874912"/>
    <n v="1893.72"/>
    <n v="1893.73"/>
    <n v="1893.73"/>
    <s v="August 2023"/>
  </r>
  <r>
    <d v="2023-08-16T00:00:00"/>
    <x v="4083"/>
    <n v="6"/>
    <x v="2"/>
    <x v="5"/>
    <x v="0"/>
    <x v="4"/>
    <n v="991.45"/>
    <x v="2"/>
    <n v="2503.6022787783854"/>
    <n v="1090.5899999999999"/>
    <n v="1090.5999999999999"/>
    <n v="1090.5999999999999"/>
    <s v="August 2023"/>
  </r>
  <r>
    <d v="2023-08-16T00:00:00"/>
    <x v="4084"/>
    <n v="79"/>
    <x v="2"/>
    <x v="4"/>
    <x v="3"/>
    <x v="3"/>
    <n v="1614.51"/>
    <x v="0"/>
    <n v="2496.7676064256989"/>
    <n v="1775.96"/>
    <n v="1775.97"/>
    <n v="1775.96"/>
    <s v="August 2023"/>
  </r>
  <r>
    <d v="2023-08-16T00:00:00"/>
    <x v="4085"/>
    <n v="90"/>
    <x v="0"/>
    <x v="2"/>
    <x v="2"/>
    <x v="1"/>
    <n v="3414.37"/>
    <x v="0"/>
    <n v="2440.2966694490838"/>
    <n v="3755.8"/>
    <n v="3755.8100000000004"/>
    <n v="3755.81"/>
    <s v="August 2023"/>
  </r>
  <r>
    <d v="2023-08-17T00:00:00"/>
    <x v="4086"/>
    <n v="7"/>
    <x v="0"/>
    <x v="6"/>
    <x v="2"/>
    <x v="0"/>
    <n v="878.71"/>
    <x v="2"/>
    <n v="2440.2966694490838"/>
    <n v="966.58"/>
    <n v="966.59"/>
    <n v="966.58"/>
    <s v="August 2023"/>
  </r>
  <r>
    <d v="2023-08-17T00:00:00"/>
    <x v="4087"/>
    <n v="86"/>
    <x v="2"/>
    <x v="5"/>
    <x v="2"/>
    <x v="5"/>
    <n v="4231.08"/>
    <x v="0"/>
    <n v="2440.2966694490838"/>
    <n v="4654.18"/>
    <n v="4654.1900000000005"/>
    <n v="4654.1899999999996"/>
    <s v="August 2023"/>
  </r>
  <r>
    <d v="2023-08-17T00:00:00"/>
    <x v="4088"/>
    <n v="10"/>
    <x v="0"/>
    <x v="7"/>
    <x v="3"/>
    <x v="0"/>
    <n v="290.44"/>
    <x v="2"/>
    <n v="2496.7676064256989"/>
    <n v="319.48"/>
    <n v="319.49"/>
    <n v="319.48"/>
    <s v="August 2023"/>
  </r>
  <r>
    <d v="2023-08-17T00:00:00"/>
    <x v="4089"/>
    <n v="36"/>
    <x v="0"/>
    <x v="3"/>
    <x v="3"/>
    <x v="1"/>
    <n v="4981.22"/>
    <x v="1"/>
    <n v="2496.7676064256989"/>
    <n v="5479.34"/>
    <n v="5479.35"/>
    <n v="5479.34"/>
    <s v="August 2023"/>
  </r>
  <r>
    <d v="2023-08-17T00:00:00"/>
    <x v="4090"/>
    <n v="23"/>
    <x v="0"/>
    <x v="7"/>
    <x v="0"/>
    <x v="1"/>
    <n v="4753.3500000000004"/>
    <x v="1"/>
    <n v="2503.6022787783854"/>
    <n v="5228.68"/>
    <n v="5228.6900000000005"/>
    <n v="5228.6899999999996"/>
    <s v="August 2023"/>
  </r>
  <r>
    <d v="2023-08-17T00:00:00"/>
    <x v="4091"/>
    <n v="38"/>
    <x v="2"/>
    <x v="3"/>
    <x v="3"/>
    <x v="1"/>
    <n v="588.14"/>
    <x v="1"/>
    <n v="2496.7676064256989"/>
    <n v="646.95000000000005"/>
    <n v="646.96"/>
    <n v="646.95000000000005"/>
    <s v="August 2023"/>
  </r>
  <r>
    <d v="2023-08-17T00:00:00"/>
    <x v="4092"/>
    <n v="93"/>
    <x v="1"/>
    <x v="2"/>
    <x v="0"/>
    <x v="3"/>
    <n v="2395.96"/>
    <x v="0"/>
    <n v="2503.6022787783854"/>
    <n v="2635.55"/>
    <n v="2635.5600000000004"/>
    <n v="2635.56"/>
    <s v="August 2023"/>
  </r>
  <r>
    <d v="2023-08-17T00:00:00"/>
    <x v="4093"/>
    <n v="83"/>
    <x v="1"/>
    <x v="7"/>
    <x v="2"/>
    <x v="3"/>
    <n v="1859.69"/>
    <x v="0"/>
    <n v="2440.2966694490838"/>
    <n v="2045.65"/>
    <n v="2045.66"/>
    <n v="2045.66"/>
    <s v="August 2023"/>
  </r>
  <r>
    <d v="2023-08-18T00:00:00"/>
    <x v="4094"/>
    <n v="37"/>
    <x v="2"/>
    <x v="4"/>
    <x v="0"/>
    <x v="0"/>
    <n v="3919.8"/>
    <x v="1"/>
    <n v="2503.6022787783854"/>
    <n v="4311.78"/>
    <n v="4311.78"/>
    <n v="4311.78"/>
    <s v="August 2023"/>
  </r>
  <r>
    <d v="2023-08-18T00:00:00"/>
    <x v="4095"/>
    <n v="92"/>
    <x v="0"/>
    <x v="5"/>
    <x v="1"/>
    <x v="0"/>
    <n v="4023.05"/>
    <x v="0"/>
    <n v="2509.1716796874912"/>
    <n v="4425.3500000000004"/>
    <n v="4425.3600000000006"/>
    <n v="4425.3599999999997"/>
    <s v="August 2023"/>
  </r>
  <r>
    <d v="2023-08-18T00:00:00"/>
    <x v="4096"/>
    <n v="94"/>
    <x v="0"/>
    <x v="4"/>
    <x v="1"/>
    <x v="3"/>
    <n v="3956.42"/>
    <x v="0"/>
    <n v="2509.1716796874912"/>
    <n v="4352.0600000000004"/>
    <n v="4352.0700000000006"/>
    <n v="4352.0600000000004"/>
    <s v="August 2023"/>
  </r>
  <r>
    <d v="2023-08-18T00:00:00"/>
    <x v="4097"/>
    <n v="38"/>
    <x v="0"/>
    <x v="0"/>
    <x v="3"/>
    <x v="3"/>
    <n v="1068.5899999999999"/>
    <x v="1"/>
    <n v="2496.7676064256989"/>
    <n v="1175.44"/>
    <n v="1175.45"/>
    <n v="1175.45"/>
    <s v="August 2023"/>
  </r>
  <r>
    <d v="2023-08-18T00:00:00"/>
    <x v="4098"/>
    <n v="46"/>
    <x v="1"/>
    <x v="2"/>
    <x v="2"/>
    <x v="3"/>
    <n v="4305.01"/>
    <x v="1"/>
    <n v="2440.2966694490838"/>
    <n v="4735.51"/>
    <n v="4735.5200000000004"/>
    <n v="4735.51"/>
    <s v="August 2023"/>
  </r>
  <r>
    <d v="2023-08-19T00:00:00"/>
    <x v="4099"/>
    <n v="10"/>
    <x v="0"/>
    <x v="0"/>
    <x v="0"/>
    <x v="3"/>
    <n v="3247.17"/>
    <x v="2"/>
    <n v="2503.6022787783854"/>
    <n v="3571.88"/>
    <n v="3571.8900000000003"/>
    <n v="3571.89"/>
    <s v="August 2023"/>
  </r>
  <r>
    <d v="2023-08-19T00:00:00"/>
    <x v="4100"/>
    <n v="77"/>
    <x v="2"/>
    <x v="2"/>
    <x v="2"/>
    <x v="4"/>
    <n v="452.73"/>
    <x v="0"/>
    <n v="2440.2966694490838"/>
    <n v="498"/>
    <n v="498.01"/>
    <n v="498"/>
    <s v="August 2023"/>
  </r>
  <r>
    <d v="2023-08-19T00:00:00"/>
    <x v="4101"/>
    <n v="1"/>
    <x v="1"/>
    <x v="2"/>
    <x v="1"/>
    <x v="1"/>
    <n v="1815.17"/>
    <x v="2"/>
    <n v="2509.1716796874912"/>
    <n v="1996.68"/>
    <n v="1996.69"/>
    <n v="1996.69"/>
    <s v="August 2023"/>
  </r>
  <r>
    <d v="2023-08-19T00:00:00"/>
    <x v="4102"/>
    <n v="63"/>
    <x v="2"/>
    <x v="3"/>
    <x v="2"/>
    <x v="1"/>
    <n v="4157.3500000000004"/>
    <x v="1"/>
    <n v="2440.2966694490838"/>
    <n v="4573.08"/>
    <n v="4573.09"/>
    <n v="4573.09"/>
    <s v="August 2023"/>
  </r>
  <r>
    <d v="2023-08-19T00:00:00"/>
    <x v="4103"/>
    <n v="30"/>
    <x v="0"/>
    <x v="5"/>
    <x v="0"/>
    <x v="1"/>
    <n v="184.4"/>
    <x v="1"/>
    <n v="2503.6022787783854"/>
    <n v="202.84"/>
    <n v="202.84"/>
    <n v="202.84"/>
    <s v="August 2023"/>
  </r>
  <r>
    <d v="2023-08-19T00:00:00"/>
    <x v="4104"/>
    <n v="60"/>
    <x v="2"/>
    <x v="0"/>
    <x v="3"/>
    <x v="1"/>
    <n v="2992.17"/>
    <x v="1"/>
    <n v="2496.7676064256989"/>
    <n v="3291.38"/>
    <n v="3291.3900000000003"/>
    <n v="3291.39"/>
    <s v="August 2023"/>
  </r>
  <r>
    <d v="2023-08-20T00:00:00"/>
    <x v="4105"/>
    <n v="33"/>
    <x v="1"/>
    <x v="3"/>
    <x v="0"/>
    <x v="3"/>
    <n v="818.18"/>
    <x v="1"/>
    <n v="2503.6022787783854"/>
    <n v="899.99"/>
    <n v="900"/>
    <n v="900"/>
    <s v="August 2023"/>
  </r>
  <r>
    <d v="2023-08-20T00:00:00"/>
    <x v="4106"/>
    <n v="65"/>
    <x v="1"/>
    <x v="3"/>
    <x v="3"/>
    <x v="0"/>
    <n v="3486.03"/>
    <x v="0"/>
    <n v="2496.7676064256989"/>
    <n v="3834.63"/>
    <n v="3834.6400000000003"/>
    <n v="3834.63"/>
    <s v="August 2023"/>
  </r>
  <r>
    <d v="2023-08-20T00:00:00"/>
    <x v="4107"/>
    <n v="8"/>
    <x v="1"/>
    <x v="0"/>
    <x v="3"/>
    <x v="1"/>
    <n v="2506.0500000000002"/>
    <x v="2"/>
    <n v="2496.7676064256989"/>
    <n v="2756.65"/>
    <n v="2756.6600000000003"/>
    <n v="2756.66"/>
    <s v="August 2023"/>
  </r>
  <r>
    <d v="2023-08-20T00:00:00"/>
    <x v="4108"/>
    <n v="51"/>
    <x v="1"/>
    <x v="1"/>
    <x v="0"/>
    <x v="0"/>
    <n v="636.91999999999996"/>
    <x v="1"/>
    <n v="2503.6022787783854"/>
    <n v="700.61"/>
    <n v="700.62"/>
    <n v="700.61"/>
    <s v="August 2023"/>
  </r>
  <r>
    <d v="2023-08-20T00:00:00"/>
    <x v="4109"/>
    <n v="69"/>
    <x v="0"/>
    <x v="1"/>
    <x v="2"/>
    <x v="1"/>
    <n v="962.31"/>
    <x v="0"/>
    <n v="2440.2966694490838"/>
    <n v="1058.54"/>
    <n v="1058.55"/>
    <n v="1058.54"/>
    <s v="August 2023"/>
  </r>
  <r>
    <d v="2023-08-21T00:00:00"/>
    <x v="4110"/>
    <n v="35"/>
    <x v="1"/>
    <x v="6"/>
    <x v="1"/>
    <x v="2"/>
    <n v="960.31"/>
    <x v="1"/>
    <n v="2509.1716796874912"/>
    <n v="1056.3399999999999"/>
    <n v="1056.3499999999999"/>
    <n v="1056.3399999999999"/>
    <s v="August 2023"/>
  </r>
  <r>
    <d v="2023-08-21T00:00:00"/>
    <x v="4111"/>
    <n v="59"/>
    <x v="2"/>
    <x v="1"/>
    <x v="0"/>
    <x v="4"/>
    <n v="3544.69"/>
    <x v="1"/>
    <n v="2503.6022787783854"/>
    <n v="3899.15"/>
    <n v="3899.1600000000003"/>
    <n v="3899.16"/>
    <s v="August 2023"/>
  </r>
  <r>
    <d v="2023-08-21T00:00:00"/>
    <x v="4112"/>
    <n v="95"/>
    <x v="1"/>
    <x v="3"/>
    <x v="2"/>
    <x v="3"/>
    <n v="4049.49"/>
    <x v="0"/>
    <n v="2440.2966694490838"/>
    <n v="4454.43"/>
    <n v="4454.4400000000005"/>
    <n v="4454.4399999999996"/>
    <s v="August 2023"/>
  </r>
  <r>
    <d v="2023-08-21T00:00:00"/>
    <x v="4113"/>
    <n v="55"/>
    <x v="0"/>
    <x v="2"/>
    <x v="2"/>
    <x v="4"/>
    <n v="4013.73"/>
    <x v="1"/>
    <n v="2440.2966694490838"/>
    <n v="4415.1000000000004"/>
    <n v="4415.1100000000006"/>
    <n v="4415.1000000000004"/>
    <s v="August 2023"/>
  </r>
  <r>
    <d v="2023-08-21T00:00:00"/>
    <x v="4114"/>
    <n v="16"/>
    <x v="0"/>
    <x v="2"/>
    <x v="3"/>
    <x v="2"/>
    <n v="3323.6"/>
    <x v="1"/>
    <n v="2496.7676064256989"/>
    <n v="3655.96"/>
    <n v="3655.96"/>
    <n v="3655.96"/>
    <s v="August 2023"/>
  </r>
  <r>
    <d v="2023-08-22T00:00:00"/>
    <x v="4115"/>
    <n v="94"/>
    <x v="1"/>
    <x v="3"/>
    <x v="3"/>
    <x v="2"/>
    <n v="761.83"/>
    <x v="0"/>
    <n v="2496.7676064256989"/>
    <n v="838.01"/>
    <n v="838.02"/>
    <n v="838.01"/>
    <s v="August 2023"/>
  </r>
  <r>
    <d v="2023-08-22T00:00:00"/>
    <x v="4116"/>
    <n v="89"/>
    <x v="0"/>
    <x v="1"/>
    <x v="3"/>
    <x v="2"/>
    <n v="578.89"/>
    <x v="0"/>
    <n v="2496.7676064256989"/>
    <n v="636.77"/>
    <n v="636.78"/>
    <n v="636.78"/>
    <s v="August 2023"/>
  </r>
  <r>
    <d v="2023-08-22T00:00:00"/>
    <x v="4117"/>
    <n v="57"/>
    <x v="1"/>
    <x v="7"/>
    <x v="3"/>
    <x v="0"/>
    <n v="2215.64"/>
    <x v="1"/>
    <n v="2496.7676064256989"/>
    <n v="2437.1999999999998"/>
    <n v="2437.21"/>
    <n v="2437.1999999999998"/>
    <s v="August 2023"/>
  </r>
  <r>
    <d v="2023-08-22T00:00:00"/>
    <x v="4118"/>
    <n v="36"/>
    <x v="2"/>
    <x v="3"/>
    <x v="0"/>
    <x v="1"/>
    <n v="2618.13"/>
    <x v="1"/>
    <n v="2503.6022787783854"/>
    <n v="2879.94"/>
    <n v="2879.9500000000003"/>
    <n v="2879.94"/>
    <s v="August 2023"/>
  </r>
  <r>
    <d v="2023-08-22T00:00:00"/>
    <x v="4119"/>
    <n v="74"/>
    <x v="1"/>
    <x v="0"/>
    <x v="1"/>
    <x v="2"/>
    <n v="770.86"/>
    <x v="0"/>
    <n v="2509.1716796874912"/>
    <n v="847.94"/>
    <n v="847.95"/>
    <n v="847.95"/>
    <s v="August 2023"/>
  </r>
  <r>
    <d v="2023-08-23T00:00:00"/>
    <x v="4120"/>
    <n v="36"/>
    <x v="1"/>
    <x v="0"/>
    <x v="0"/>
    <x v="1"/>
    <n v="2962.61"/>
    <x v="1"/>
    <n v="2503.6022787783854"/>
    <n v="3258.87"/>
    <n v="3258.88"/>
    <n v="3258.87"/>
    <s v="August 2023"/>
  </r>
  <r>
    <d v="2023-08-23T00:00:00"/>
    <x v="4121"/>
    <n v="30"/>
    <x v="2"/>
    <x v="6"/>
    <x v="3"/>
    <x v="0"/>
    <n v="3036.75"/>
    <x v="1"/>
    <n v="2496.7676064256989"/>
    <n v="3340.42"/>
    <n v="3340.4300000000003"/>
    <n v="3340.43"/>
    <s v="August 2023"/>
  </r>
  <r>
    <d v="2023-08-23T00:00:00"/>
    <x v="4122"/>
    <n v="68"/>
    <x v="0"/>
    <x v="4"/>
    <x v="2"/>
    <x v="2"/>
    <n v="1703.25"/>
    <x v="0"/>
    <n v="2440.2966694490838"/>
    <n v="1873.57"/>
    <n v="1873.58"/>
    <n v="1873.58"/>
    <s v="August 2023"/>
  </r>
  <r>
    <d v="2023-08-23T00:00:00"/>
    <x v="4123"/>
    <n v="17"/>
    <x v="2"/>
    <x v="1"/>
    <x v="0"/>
    <x v="1"/>
    <n v="1014.73"/>
    <x v="1"/>
    <n v="2503.6022787783854"/>
    <n v="1116.2"/>
    <n v="1116.21"/>
    <n v="1116.2"/>
    <s v="August 2023"/>
  </r>
  <r>
    <d v="2023-08-23T00:00:00"/>
    <x v="4124"/>
    <n v="83"/>
    <x v="2"/>
    <x v="0"/>
    <x v="3"/>
    <x v="4"/>
    <n v="1211.1500000000001"/>
    <x v="0"/>
    <n v="2496.7676064256989"/>
    <n v="1332.26"/>
    <n v="1332.27"/>
    <n v="1332.27"/>
    <s v="August 2023"/>
  </r>
  <r>
    <d v="2023-08-23T00:00:00"/>
    <x v="4125"/>
    <n v="6"/>
    <x v="1"/>
    <x v="1"/>
    <x v="0"/>
    <x v="0"/>
    <n v="4949.1400000000003"/>
    <x v="2"/>
    <n v="2503.6022787783854"/>
    <n v="5444.05"/>
    <n v="5444.06"/>
    <n v="5444.05"/>
    <s v="August 2023"/>
  </r>
  <r>
    <d v="2023-08-24T00:00:00"/>
    <x v="4126"/>
    <n v="68"/>
    <x v="2"/>
    <x v="6"/>
    <x v="3"/>
    <x v="1"/>
    <n v="4808.7299999999996"/>
    <x v="0"/>
    <n v="2496.7676064256989"/>
    <n v="5289.6"/>
    <n v="5289.6100000000006"/>
    <n v="5289.6"/>
    <s v="August 2023"/>
  </r>
  <r>
    <d v="2023-08-24T00:00:00"/>
    <x v="4127"/>
    <n v="2"/>
    <x v="0"/>
    <x v="7"/>
    <x v="3"/>
    <x v="3"/>
    <n v="2416.85"/>
    <x v="2"/>
    <n v="2496.7676064256989"/>
    <n v="2658.53"/>
    <n v="2658.5400000000004"/>
    <n v="2658.54"/>
    <s v="August 2023"/>
  </r>
  <r>
    <d v="2023-08-24T00:00:00"/>
    <x v="4128"/>
    <n v="31"/>
    <x v="0"/>
    <x v="0"/>
    <x v="0"/>
    <x v="0"/>
    <n v="3064.48"/>
    <x v="1"/>
    <n v="2503.6022787783854"/>
    <n v="3370.92"/>
    <n v="3370.9300000000003"/>
    <n v="3370.93"/>
    <s v="August 2023"/>
  </r>
  <r>
    <d v="2023-08-24T00:00:00"/>
    <x v="4129"/>
    <n v="2"/>
    <x v="1"/>
    <x v="1"/>
    <x v="0"/>
    <x v="2"/>
    <n v="2052.64"/>
    <x v="2"/>
    <n v="2503.6022787783854"/>
    <n v="2257.9"/>
    <n v="2257.9100000000003"/>
    <n v="2257.9"/>
    <s v="August 2023"/>
  </r>
  <r>
    <d v="2023-08-24T00:00:00"/>
    <x v="4130"/>
    <n v="35"/>
    <x v="1"/>
    <x v="0"/>
    <x v="2"/>
    <x v="3"/>
    <n v="712.55"/>
    <x v="1"/>
    <n v="2440.2966694490838"/>
    <n v="783.8"/>
    <n v="783.81"/>
    <n v="783.81"/>
    <s v="August 2023"/>
  </r>
  <r>
    <d v="2023-08-24T00:00:00"/>
    <x v="4131"/>
    <n v="5"/>
    <x v="0"/>
    <x v="2"/>
    <x v="1"/>
    <x v="0"/>
    <n v="3639.91"/>
    <x v="2"/>
    <n v="2509.1716796874912"/>
    <n v="4003.9"/>
    <n v="4003.9100000000003"/>
    <n v="4003.9"/>
    <s v="August 2023"/>
  </r>
  <r>
    <d v="2023-08-25T00:00:00"/>
    <x v="4132"/>
    <n v="79"/>
    <x v="1"/>
    <x v="1"/>
    <x v="0"/>
    <x v="3"/>
    <n v="3132.47"/>
    <x v="0"/>
    <n v="2503.6022787783854"/>
    <n v="3445.71"/>
    <n v="3445.7200000000003"/>
    <n v="3445.72"/>
    <s v="August 2023"/>
  </r>
  <r>
    <d v="2023-08-25T00:00:00"/>
    <x v="4133"/>
    <n v="77"/>
    <x v="2"/>
    <x v="7"/>
    <x v="1"/>
    <x v="0"/>
    <n v="3191.32"/>
    <x v="0"/>
    <n v="2509.1716796874912"/>
    <n v="3510.45"/>
    <n v="3510.46"/>
    <n v="3510.45"/>
    <s v="August 2023"/>
  </r>
  <r>
    <d v="2023-08-25T00:00:00"/>
    <x v="4134"/>
    <n v="31"/>
    <x v="1"/>
    <x v="2"/>
    <x v="0"/>
    <x v="1"/>
    <n v="1806.13"/>
    <x v="1"/>
    <n v="2503.6022787783854"/>
    <n v="1986.74"/>
    <n v="1986.75"/>
    <n v="1986.74"/>
    <s v="August 2023"/>
  </r>
  <r>
    <d v="2023-08-25T00:00:00"/>
    <x v="4135"/>
    <n v="81"/>
    <x v="2"/>
    <x v="0"/>
    <x v="1"/>
    <x v="2"/>
    <n v="1041.8399999999999"/>
    <x v="0"/>
    <n v="2509.1716796874912"/>
    <n v="1146.02"/>
    <n v="1146.03"/>
    <n v="1146.02"/>
    <s v="August 2023"/>
  </r>
  <r>
    <d v="2023-08-25T00:00:00"/>
    <x v="4136"/>
    <n v="91"/>
    <x v="2"/>
    <x v="5"/>
    <x v="3"/>
    <x v="4"/>
    <n v="585.82000000000005"/>
    <x v="0"/>
    <n v="2496.7676064256989"/>
    <n v="644.4"/>
    <n v="644.41"/>
    <n v="644.4"/>
    <s v="August 2023"/>
  </r>
  <r>
    <d v="2023-08-25T00:00:00"/>
    <x v="4137"/>
    <n v="99"/>
    <x v="1"/>
    <x v="2"/>
    <x v="2"/>
    <x v="3"/>
    <n v="3640.99"/>
    <x v="0"/>
    <n v="2440.2966694490838"/>
    <n v="4005.08"/>
    <n v="4005.09"/>
    <n v="4005.09"/>
    <s v="August 2023"/>
  </r>
  <r>
    <d v="2023-08-25T00:00:00"/>
    <x v="4138"/>
    <n v="29"/>
    <x v="0"/>
    <x v="3"/>
    <x v="1"/>
    <x v="1"/>
    <n v="2473.62"/>
    <x v="1"/>
    <n v="2509.1716796874912"/>
    <n v="2720.98"/>
    <n v="2720.9900000000002"/>
    <n v="2720.98"/>
    <s v="August 2023"/>
  </r>
  <r>
    <d v="2023-08-25T00:00:00"/>
    <x v="4139"/>
    <n v="51"/>
    <x v="2"/>
    <x v="3"/>
    <x v="2"/>
    <x v="1"/>
    <n v="2234.62"/>
    <x v="1"/>
    <n v="2440.2966694490838"/>
    <n v="2458.08"/>
    <n v="2458.09"/>
    <n v="2458.08"/>
    <s v="August 2023"/>
  </r>
  <r>
    <d v="2023-08-26T00:00:00"/>
    <x v="4140"/>
    <n v="43"/>
    <x v="1"/>
    <x v="3"/>
    <x v="0"/>
    <x v="3"/>
    <n v="3267.37"/>
    <x v="1"/>
    <n v="2503.6022787783854"/>
    <n v="3594.1"/>
    <n v="3594.11"/>
    <n v="3594.11"/>
    <s v="August 2023"/>
  </r>
  <r>
    <d v="2023-08-26T00:00:00"/>
    <x v="4141"/>
    <n v="50"/>
    <x v="2"/>
    <x v="1"/>
    <x v="3"/>
    <x v="1"/>
    <n v="4811.46"/>
    <x v="1"/>
    <n v="2496.7676064256989"/>
    <n v="5292.6"/>
    <n v="5292.6100000000006"/>
    <n v="5292.61"/>
    <s v="August 2023"/>
  </r>
  <r>
    <d v="2023-08-26T00:00:00"/>
    <x v="4142"/>
    <n v="3"/>
    <x v="1"/>
    <x v="6"/>
    <x v="1"/>
    <x v="4"/>
    <n v="3228.01"/>
    <x v="2"/>
    <n v="2509.1716796874912"/>
    <n v="3550.81"/>
    <n v="3550.82"/>
    <n v="3550.81"/>
    <s v="August 2023"/>
  </r>
  <r>
    <d v="2023-08-26T00:00:00"/>
    <x v="4143"/>
    <n v="15"/>
    <x v="0"/>
    <x v="4"/>
    <x v="1"/>
    <x v="4"/>
    <n v="4149.6499999999996"/>
    <x v="2"/>
    <n v="2509.1716796874912"/>
    <n v="4564.6099999999997"/>
    <n v="4564.62"/>
    <n v="4564.62"/>
    <s v="August 2023"/>
  </r>
  <r>
    <d v="2023-08-26T00:00:00"/>
    <x v="4144"/>
    <n v="62"/>
    <x v="1"/>
    <x v="3"/>
    <x v="3"/>
    <x v="2"/>
    <n v="2338.8200000000002"/>
    <x v="1"/>
    <n v="2496.7676064256989"/>
    <n v="2572.6999999999998"/>
    <n v="2572.71"/>
    <n v="2572.6999999999998"/>
    <s v="August 2023"/>
  </r>
  <r>
    <d v="2023-08-27T00:00:00"/>
    <x v="4145"/>
    <n v="53"/>
    <x v="1"/>
    <x v="1"/>
    <x v="1"/>
    <x v="0"/>
    <n v="707.31"/>
    <x v="1"/>
    <n v="2509.1716796874912"/>
    <n v="778.04"/>
    <n v="778.05"/>
    <n v="778.04"/>
    <s v="August 2023"/>
  </r>
  <r>
    <d v="2023-08-27T00:00:00"/>
    <x v="4146"/>
    <n v="72"/>
    <x v="0"/>
    <x v="3"/>
    <x v="3"/>
    <x v="2"/>
    <n v="776.37"/>
    <x v="0"/>
    <n v="2496.7676064256989"/>
    <n v="854"/>
    <n v="854.01"/>
    <n v="854.01"/>
    <s v="August 2023"/>
  </r>
  <r>
    <d v="2023-08-27T00:00:00"/>
    <x v="4147"/>
    <n v="16"/>
    <x v="1"/>
    <x v="0"/>
    <x v="2"/>
    <x v="2"/>
    <n v="2065.5100000000002"/>
    <x v="1"/>
    <n v="2440.2966694490838"/>
    <n v="2272.06"/>
    <n v="2272.0700000000002"/>
    <n v="2272.06"/>
    <s v="August 2023"/>
  </r>
  <r>
    <d v="2023-08-27T00:00:00"/>
    <x v="4148"/>
    <n v="16"/>
    <x v="0"/>
    <x v="2"/>
    <x v="0"/>
    <x v="0"/>
    <n v="2065.73"/>
    <x v="1"/>
    <n v="2503.6022787783854"/>
    <n v="2272.3000000000002"/>
    <n v="2272.3100000000004"/>
    <n v="2272.3000000000002"/>
    <s v="August 2023"/>
  </r>
  <r>
    <d v="2023-08-27T00:00:00"/>
    <x v="4149"/>
    <n v="84"/>
    <x v="0"/>
    <x v="3"/>
    <x v="3"/>
    <x v="4"/>
    <n v="1057.45"/>
    <x v="0"/>
    <n v="2496.7676064256989"/>
    <n v="1163.19"/>
    <n v="1163.2"/>
    <n v="1163.2"/>
    <s v="August 2023"/>
  </r>
  <r>
    <d v="2023-08-27T00:00:00"/>
    <x v="4150"/>
    <n v="96"/>
    <x v="0"/>
    <x v="5"/>
    <x v="3"/>
    <x v="0"/>
    <n v="1490.69"/>
    <x v="0"/>
    <n v="2496.7676064256989"/>
    <n v="1639.75"/>
    <n v="1639.76"/>
    <n v="1639.76"/>
    <s v="August 2023"/>
  </r>
  <r>
    <d v="2023-08-28T00:00:00"/>
    <x v="4151"/>
    <n v="89"/>
    <x v="1"/>
    <x v="3"/>
    <x v="2"/>
    <x v="4"/>
    <n v="902.14"/>
    <x v="0"/>
    <n v="2440.2966694490838"/>
    <n v="992.35"/>
    <n v="992.36"/>
    <n v="992.35"/>
    <s v="August 2023"/>
  </r>
  <r>
    <d v="2023-08-28T00:00:00"/>
    <x v="4152"/>
    <n v="7"/>
    <x v="1"/>
    <x v="3"/>
    <x v="1"/>
    <x v="2"/>
    <n v="4272.1099999999997"/>
    <x v="2"/>
    <n v="2509.1716796874912"/>
    <n v="4699.32"/>
    <n v="4699.33"/>
    <n v="4699.32"/>
    <s v="August 2023"/>
  </r>
  <r>
    <d v="2023-08-28T00:00:00"/>
    <x v="4153"/>
    <n v="93"/>
    <x v="1"/>
    <x v="5"/>
    <x v="0"/>
    <x v="2"/>
    <n v="3880.03"/>
    <x v="0"/>
    <n v="2503.6022787783854"/>
    <n v="4268.03"/>
    <n v="4268.04"/>
    <n v="4268.03"/>
    <s v="August 2023"/>
  </r>
  <r>
    <d v="2023-08-28T00:00:00"/>
    <x v="4154"/>
    <n v="2"/>
    <x v="2"/>
    <x v="4"/>
    <x v="0"/>
    <x v="2"/>
    <n v="3441.05"/>
    <x v="2"/>
    <n v="2503.6022787783854"/>
    <n v="3785.15"/>
    <n v="3785.1600000000003"/>
    <n v="3785.16"/>
    <s v="August 2023"/>
  </r>
  <r>
    <d v="2023-08-28T00:00:00"/>
    <x v="4155"/>
    <n v="71"/>
    <x v="2"/>
    <x v="2"/>
    <x v="2"/>
    <x v="3"/>
    <n v="4187.4399999999996"/>
    <x v="0"/>
    <n v="2440.2966694490838"/>
    <n v="4606.18"/>
    <n v="4606.1900000000005"/>
    <n v="4606.18"/>
    <s v="August 2023"/>
  </r>
  <r>
    <d v="2023-08-28T00:00:00"/>
    <x v="4156"/>
    <n v="51"/>
    <x v="0"/>
    <x v="7"/>
    <x v="2"/>
    <x v="0"/>
    <n v="676.97"/>
    <x v="1"/>
    <n v="2440.2966694490838"/>
    <n v="744.66"/>
    <n v="744.67"/>
    <n v="744.67"/>
    <s v="August 2023"/>
  </r>
  <r>
    <d v="2023-08-29T00:00:00"/>
    <x v="4157"/>
    <n v="49"/>
    <x v="1"/>
    <x v="7"/>
    <x v="3"/>
    <x v="4"/>
    <n v="3485.08"/>
    <x v="1"/>
    <n v="2496.7676064256989"/>
    <n v="3833.58"/>
    <n v="3833.59"/>
    <n v="3833.59"/>
    <s v="August 2023"/>
  </r>
  <r>
    <d v="2023-08-29T00:00:00"/>
    <x v="4158"/>
    <n v="13"/>
    <x v="1"/>
    <x v="7"/>
    <x v="1"/>
    <x v="2"/>
    <n v="3553.92"/>
    <x v="2"/>
    <n v="2509.1716796874912"/>
    <n v="3909.31"/>
    <n v="3909.32"/>
    <n v="3909.31"/>
    <s v="August 2023"/>
  </r>
  <r>
    <d v="2023-08-29T00:00:00"/>
    <x v="4159"/>
    <n v="2"/>
    <x v="0"/>
    <x v="4"/>
    <x v="2"/>
    <x v="3"/>
    <n v="2252.0100000000002"/>
    <x v="2"/>
    <n v="2440.2966694490838"/>
    <n v="2477.21"/>
    <n v="2477.2200000000003"/>
    <n v="2477.21"/>
    <s v="August 2023"/>
  </r>
  <r>
    <d v="2023-08-29T00:00:00"/>
    <x v="4160"/>
    <n v="0"/>
    <x v="1"/>
    <x v="6"/>
    <x v="0"/>
    <x v="0"/>
    <n v="1351.32"/>
    <x v="2"/>
    <n v="2503.6022787783854"/>
    <n v="1486.45"/>
    <n v="1486.46"/>
    <n v="1486.45"/>
    <s v="August 2023"/>
  </r>
  <r>
    <d v="2023-08-29T00:00:00"/>
    <x v="4161"/>
    <n v="88"/>
    <x v="0"/>
    <x v="4"/>
    <x v="3"/>
    <x v="3"/>
    <n v="1827.29"/>
    <x v="0"/>
    <n v="2496.7676064256989"/>
    <n v="2010.01"/>
    <n v="2010.02"/>
    <n v="2010.02"/>
    <s v="August 2023"/>
  </r>
  <r>
    <d v="2023-08-29T00:00:00"/>
    <x v="4162"/>
    <n v="9"/>
    <x v="0"/>
    <x v="0"/>
    <x v="0"/>
    <x v="3"/>
    <n v="3432.81"/>
    <x v="2"/>
    <n v="2503.6022787783854"/>
    <n v="3776.09"/>
    <n v="3776.1000000000004"/>
    <n v="3776.09"/>
    <s v="August 2023"/>
  </r>
  <r>
    <d v="2023-08-29T00:00:00"/>
    <x v="4163"/>
    <n v="38"/>
    <x v="0"/>
    <x v="4"/>
    <x v="0"/>
    <x v="2"/>
    <n v="262.06"/>
    <x v="1"/>
    <n v="2503.6022787783854"/>
    <n v="288.26"/>
    <n v="288.27"/>
    <n v="288.27"/>
    <s v="August 2023"/>
  </r>
  <r>
    <d v="2023-08-29T00:00:00"/>
    <x v="4164"/>
    <n v="58"/>
    <x v="0"/>
    <x v="0"/>
    <x v="3"/>
    <x v="2"/>
    <n v="281.88"/>
    <x v="1"/>
    <n v="2496.7676064256989"/>
    <n v="310.06"/>
    <n v="310.07"/>
    <n v="310.07"/>
    <s v="August 2023"/>
  </r>
  <r>
    <d v="2023-08-29T00:00:00"/>
    <x v="4165"/>
    <n v="93"/>
    <x v="1"/>
    <x v="1"/>
    <x v="0"/>
    <x v="1"/>
    <n v="2778.81"/>
    <x v="0"/>
    <n v="2503.6022787783854"/>
    <n v="3056.69"/>
    <n v="3056.7000000000003"/>
    <n v="3056.69"/>
    <s v="August 2023"/>
  </r>
  <r>
    <d v="2023-08-29T00:00:00"/>
    <x v="4166"/>
    <n v="14"/>
    <x v="1"/>
    <x v="3"/>
    <x v="3"/>
    <x v="4"/>
    <n v="1602.11"/>
    <x v="2"/>
    <n v="2496.7676064256989"/>
    <n v="1762.32"/>
    <n v="1762.33"/>
    <n v="1762.32"/>
    <s v="August 2023"/>
  </r>
  <r>
    <d v="2023-08-29T00:00:00"/>
    <x v="4167"/>
    <n v="88"/>
    <x v="0"/>
    <x v="2"/>
    <x v="2"/>
    <x v="2"/>
    <n v="4065.85"/>
    <x v="0"/>
    <n v="2440.2966694490838"/>
    <n v="4472.43"/>
    <n v="4472.4400000000005"/>
    <n v="4472.4399999999996"/>
    <s v="August 2023"/>
  </r>
  <r>
    <d v="2023-08-30T00:00:00"/>
    <x v="4168"/>
    <n v="47"/>
    <x v="2"/>
    <x v="0"/>
    <x v="0"/>
    <x v="5"/>
    <n v="1668.03"/>
    <x v="1"/>
    <n v="2503.6022787783854"/>
    <n v="1834.83"/>
    <n v="1834.84"/>
    <n v="1834.83"/>
    <s v="August 2023"/>
  </r>
  <r>
    <d v="2023-08-30T00:00:00"/>
    <x v="4169"/>
    <n v="90"/>
    <x v="1"/>
    <x v="1"/>
    <x v="3"/>
    <x v="3"/>
    <n v="3473.46"/>
    <x v="0"/>
    <n v="2496.7676064256989"/>
    <n v="3820.8"/>
    <n v="3820.8100000000004"/>
    <n v="3820.81"/>
    <s v="August 2023"/>
  </r>
  <r>
    <d v="2023-08-30T00:00:00"/>
    <x v="4170"/>
    <n v="32"/>
    <x v="2"/>
    <x v="2"/>
    <x v="0"/>
    <x v="4"/>
    <n v="2453.7399999999998"/>
    <x v="1"/>
    <n v="2503.6022787783854"/>
    <n v="2699.11"/>
    <n v="2699.1200000000003"/>
    <n v="2699.11"/>
    <s v="August 2023"/>
  </r>
  <r>
    <d v="2023-08-30T00:00:00"/>
    <x v="4171"/>
    <n v="68"/>
    <x v="2"/>
    <x v="2"/>
    <x v="1"/>
    <x v="5"/>
    <n v="1164.97"/>
    <x v="0"/>
    <n v="2509.1716796874912"/>
    <n v="1281.46"/>
    <n v="1281.47"/>
    <n v="1281.47"/>
    <s v="August 2023"/>
  </r>
  <r>
    <d v="2023-08-30T00:00:00"/>
    <x v="4172"/>
    <n v="77"/>
    <x v="0"/>
    <x v="7"/>
    <x v="0"/>
    <x v="4"/>
    <n v="1284.19"/>
    <x v="0"/>
    <n v="2503.6022787783854"/>
    <n v="1412.6"/>
    <n v="1412.61"/>
    <n v="1412.61"/>
    <s v="August 2023"/>
  </r>
  <r>
    <d v="2023-08-30T00:00:00"/>
    <x v="4173"/>
    <n v="69"/>
    <x v="1"/>
    <x v="4"/>
    <x v="3"/>
    <x v="4"/>
    <n v="3245.34"/>
    <x v="0"/>
    <n v="2496.7676064256989"/>
    <n v="3569.87"/>
    <n v="3569.88"/>
    <n v="3569.87"/>
    <s v="August 2023"/>
  </r>
  <r>
    <d v="2023-08-31T00:00:00"/>
    <x v="4174"/>
    <n v="6"/>
    <x v="1"/>
    <x v="4"/>
    <x v="1"/>
    <x v="0"/>
    <n v="1336.43"/>
    <x v="2"/>
    <n v="2509.1716796874912"/>
    <n v="1470.07"/>
    <n v="1470.08"/>
    <n v="1470.07"/>
    <s v="August 2023"/>
  </r>
  <r>
    <d v="2023-08-31T00:00:00"/>
    <x v="4175"/>
    <n v="31"/>
    <x v="2"/>
    <x v="0"/>
    <x v="2"/>
    <x v="2"/>
    <n v="2025.12"/>
    <x v="1"/>
    <n v="2440.2966694490838"/>
    <n v="2227.63"/>
    <n v="2227.6400000000003"/>
    <n v="2227.63"/>
    <s v="August 2023"/>
  </r>
  <r>
    <d v="2023-08-31T00:00:00"/>
    <x v="4176"/>
    <n v="46"/>
    <x v="1"/>
    <x v="5"/>
    <x v="1"/>
    <x v="5"/>
    <n v="2421.37"/>
    <x v="1"/>
    <n v="2509.1716796874912"/>
    <n v="2663.5"/>
    <n v="2663.51"/>
    <n v="2663.51"/>
    <s v="August 2023"/>
  </r>
  <r>
    <d v="2023-08-31T00:00:00"/>
    <x v="4177"/>
    <n v="36"/>
    <x v="0"/>
    <x v="3"/>
    <x v="3"/>
    <x v="3"/>
    <n v="939.37"/>
    <x v="1"/>
    <n v="2496.7676064256989"/>
    <n v="1033.3"/>
    <n v="1033.31"/>
    <n v="1033.31"/>
    <s v="August 2023"/>
  </r>
  <r>
    <d v="2023-08-31T00:00:00"/>
    <x v="4178"/>
    <n v="67"/>
    <x v="2"/>
    <x v="5"/>
    <x v="2"/>
    <x v="4"/>
    <n v="4351.55"/>
    <x v="0"/>
    <n v="2440.2966694490838"/>
    <n v="4786.7"/>
    <n v="4786.71"/>
    <n v="4786.71"/>
    <s v="August 2023"/>
  </r>
  <r>
    <d v="2023-09-01T00:00:00"/>
    <x v="4179"/>
    <n v="65"/>
    <x v="0"/>
    <x v="3"/>
    <x v="2"/>
    <x v="1"/>
    <n v="945.95"/>
    <x v="0"/>
    <n v="2440.2966694490838"/>
    <n v="1040.54"/>
    <n v="1040.55"/>
    <n v="1040.55"/>
    <s v="September 2023"/>
  </r>
  <r>
    <d v="2023-09-01T00:00:00"/>
    <x v="4180"/>
    <n v="84"/>
    <x v="2"/>
    <x v="7"/>
    <x v="0"/>
    <x v="5"/>
    <n v="3419.94"/>
    <x v="0"/>
    <n v="2503.6022787783854"/>
    <n v="3761.93"/>
    <n v="3761.94"/>
    <n v="3761.93"/>
    <s v="September 2023"/>
  </r>
  <r>
    <d v="2023-09-01T00:00:00"/>
    <x v="4181"/>
    <n v="80"/>
    <x v="2"/>
    <x v="7"/>
    <x v="3"/>
    <x v="2"/>
    <n v="1820.3"/>
    <x v="0"/>
    <n v="2496.7676064256989"/>
    <n v="2002.33"/>
    <n v="2002.33"/>
    <n v="2002.33"/>
    <s v="September 2023"/>
  </r>
  <r>
    <d v="2023-09-01T00:00:00"/>
    <x v="4182"/>
    <n v="12"/>
    <x v="0"/>
    <x v="0"/>
    <x v="1"/>
    <x v="1"/>
    <n v="4211.0200000000004"/>
    <x v="2"/>
    <n v="2509.1716796874912"/>
    <n v="4632.12"/>
    <n v="4632.13"/>
    <n v="4632.12"/>
    <s v="September 2023"/>
  </r>
  <r>
    <d v="2023-09-01T00:00:00"/>
    <x v="4183"/>
    <n v="57"/>
    <x v="1"/>
    <x v="4"/>
    <x v="0"/>
    <x v="0"/>
    <n v="1660.8"/>
    <x v="1"/>
    <n v="2503.6022787783854"/>
    <n v="1826.88"/>
    <n v="1826.88"/>
    <n v="1826.88"/>
    <s v="September 2023"/>
  </r>
  <r>
    <d v="2023-09-01T00:00:00"/>
    <x v="4184"/>
    <n v="17"/>
    <x v="2"/>
    <x v="3"/>
    <x v="2"/>
    <x v="0"/>
    <n v="4059.45"/>
    <x v="1"/>
    <n v="2440.2966694490838"/>
    <n v="4465.3900000000003"/>
    <n v="4465.4000000000005"/>
    <n v="4465.3999999999996"/>
    <s v="September 2023"/>
  </r>
  <r>
    <d v="2023-09-01T00:00:00"/>
    <x v="4185"/>
    <n v="76"/>
    <x v="1"/>
    <x v="2"/>
    <x v="1"/>
    <x v="4"/>
    <n v="522.61"/>
    <x v="0"/>
    <n v="2509.1716796874912"/>
    <n v="574.87"/>
    <n v="574.88"/>
    <n v="574.87"/>
    <s v="September 2023"/>
  </r>
  <r>
    <d v="2023-09-01T00:00:00"/>
    <x v="4186"/>
    <n v="49"/>
    <x v="0"/>
    <x v="3"/>
    <x v="2"/>
    <x v="2"/>
    <n v="4634.6400000000003"/>
    <x v="1"/>
    <n v="2440.2966694490838"/>
    <n v="5098.1000000000004"/>
    <n v="5098.1100000000006"/>
    <n v="5098.1000000000004"/>
    <s v="September 2023"/>
  </r>
  <r>
    <d v="2023-09-01T00:00:00"/>
    <x v="4187"/>
    <n v="80"/>
    <x v="2"/>
    <x v="7"/>
    <x v="1"/>
    <x v="3"/>
    <n v="4681.34"/>
    <x v="0"/>
    <n v="2509.1716796874912"/>
    <n v="5149.47"/>
    <n v="5149.4800000000005"/>
    <n v="5149.47"/>
    <s v="September 2023"/>
  </r>
  <r>
    <d v="2023-09-02T00:00:00"/>
    <x v="4188"/>
    <n v="96"/>
    <x v="2"/>
    <x v="7"/>
    <x v="1"/>
    <x v="1"/>
    <n v="2141.69"/>
    <x v="0"/>
    <n v="2509.1716796874912"/>
    <n v="2355.85"/>
    <n v="2355.86"/>
    <n v="2355.86"/>
    <s v="September 2023"/>
  </r>
  <r>
    <d v="2023-09-02T00:00:00"/>
    <x v="4189"/>
    <n v="13"/>
    <x v="2"/>
    <x v="7"/>
    <x v="1"/>
    <x v="3"/>
    <n v="1978.06"/>
    <x v="2"/>
    <n v="2509.1716796874912"/>
    <n v="2175.86"/>
    <n v="2175.8700000000003"/>
    <n v="2175.87"/>
    <s v="September 2023"/>
  </r>
  <r>
    <d v="2023-09-02T00:00:00"/>
    <x v="4190"/>
    <n v="99"/>
    <x v="0"/>
    <x v="0"/>
    <x v="3"/>
    <x v="2"/>
    <n v="996.34"/>
    <x v="0"/>
    <n v="2496.7676064256989"/>
    <n v="1095.97"/>
    <n v="1095.98"/>
    <n v="1095.97"/>
    <s v="September 2023"/>
  </r>
  <r>
    <d v="2023-09-02T00:00:00"/>
    <x v="4191"/>
    <n v="42"/>
    <x v="2"/>
    <x v="0"/>
    <x v="3"/>
    <x v="0"/>
    <n v="2030.32"/>
    <x v="1"/>
    <n v="2496.7676064256989"/>
    <n v="2233.35"/>
    <n v="2233.36"/>
    <n v="2233.35"/>
    <s v="September 2023"/>
  </r>
  <r>
    <d v="2023-09-02T00:00:00"/>
    <x v="4192"/>
    <n v="26"/>
    <x v="1"/>
    <x v="2"/>
    <x v="1"/>
    <x v="4"/>
    <n v="3695.61"/>
    <x v="1"/>
    <n v="2509.1716796874912"/>
    <n v="4065.17"/>
    <n v="4065.1800000000003"/>
    <n v="4065.17"/>
    <s v="September 2023"/>
  </r>
  <r>
    <d v="2023-09-02T00:00:00"/>
    <x v="4193"/>
    <n v="84"/>
    <x v="0"/>
    <x v="3"/>
    <x v="0"/>
    <x v="0"/>
    <n v="4521.8100000000004"/>
    <x v="0"/>
    <n v="2503.6022787783854"/>
    <n v="4973.99"/>
    <n v="4974"/>
    <n v="4973.99"/>
    <s v="September 2023"/>
  </r>
  <r>
    <d v="2023-09-02T00:00:00"/>
    <x v="4194"/>
    <n v="83"/>
    <x v="0"/>
    <x v="0"/>
    <x v="1"/>
    <x v="5"/>
    <n v="2315.6799999999998"/>
    <x v="0"/>
    <n v="2509.1716796874912"/>
    <n v="2547.2399999999998"/>
    <n v="2547.25"/>
    <n v="2547.25"/>
    <s v="September 2023"/>
  </r>
  <r>
    <d v="2023-09-02T00:00:00"/>
    <x v="4195"/>
    <n v="24"/>
    <x v="1"/>
    <x v="7"/>
    <x v="0"/>
    <x v="0"/>
    <n v="4290.03"/>
    <x v="1"/>
    <n v="2503.6022787783854"/>
    <n v="4719.03"/>
    <n v="4719.04"/>
    <n v="4719.03"/>
    <s v="September 2023"/>
  </r>
  <r>
    <d v="2023-09-02T00:00:00"/>
    <x v="4196"/>
    <n v="48"/>
    <x v="2"/>
    <x v="2"/>
    <x v="2"/>
    <x v="4"/>
    <n v="1127.01"/>
    <x v="1"/>
    <n v="2440.2966694490838"/>
    <n v="1239.71"/>
    <n v="1239.72"/>
    <n v="1239.71"/>
    <s v="September 2023"/>
  </r>
  <r>
    <d v="2023-09-02T00:00:00"/>
    <x v="4197"/>
    <n v="30"/>
    <x v="2"/>
    <x v="2"/>
    <x v="1"/>
    <x v="1"/>
    <n v="3072.63"/>
    <x v="1"/>
    <n v="2509.1716796874912"/>
    <n v="3379.89"/>
    <n v="3379.9"/>
    <n v="3379.89"/>
    <s v="September 2023"/>
  </r>
  <r>
    <d v="2023-09-03T00:00:00"/>
    <x v="4198"/>
    <n v="15"/>
    <x v="0"/>
    <x v="5"/>
    <x v="3"/>
    <x v="2"/>
    <n v="2689.88"/>
    <x v="2"/>
    <n v="2496.7676064256989"/>
    <n v="2958.86"/>
    <n v="2958.8700000000003"/>
    <n v="2958.87"/>
    <s v="September 2023"/>
  </r>
  <r>
    <d v="2023-09-03T00:00:00"/>
    <x v="4199"/>
    <n v="29"/>
    <x v="2"/>
    <x v="3"/>
    <x v="2"/>
    <x v="2"/>
    <n v="589.37"/>
    <x v="1"/>
    <n v="2440.2966694490838"/>
    <n v="648.29999999999995"/>
    <n v="648.30999999999995"/>
    <n v="648.30999999999995"/>
    <s v="September 2023"/>
  </r>
  <r>
    <d v="2023-09-04T00:00:00"/>
    <x v="4200"/>
    <n v="35"/>
    <x v="1"/>
    <x v="4"/>
    <x v="0"/>
    <x v="3"/>
    <n v="1398.84"/>
    <x v="1"/>
    <n v="2503.6022787783854"/>
    <n v="1538.72"/>
    <n v="1538.73"/>
    <n v="1538.72"/>
    <s v="September 2023"/>
  </r>
  <r>
    <d v="2023-09-04T00:00:00"/>
    <x v="4201"/>
    <n v="63"/>
    <x v="1"/>
    <x v="3"/>
    <x v="1"/>
    <x v="2"/>
    <n v="3989.54"/>
    <x v="1"/>
    <n v="2509.1716796874912"/>
    <n v="4388.49"/>
    <n v="4388.5"/>
    <n v="4388.49"/>
    <s v="September 2023"/>
  </r>
  <r>
    <d v="2023-09-04T00:00:00"/>
    <x v="4202"/>
    <n v="33"/>
    <x v="2"/>
    <x v="1"/>
    <x v="3"/>
    <x v="3"/>
    <n v="1755.98"/>
    <x v="1"/>
    <n v="2496.7676064256989"/>
    <n v="1931.57"/>
    <n v="1931.58"/>
    <n v="1931.58"/>
    <s v="September 2023"/>
  </r>
  <r>
    <d v="2023-09-04T00:00:00"/>
    <x v="4203"/>
    <n v="34"/>
    <x v="0"/>
    <x v="6"/>
    <x v="2"/>
    <x v="2"/>
    <n v="4521.2"/>
    <x v="1"/>
    <n v="2440.2966694490838"/>
    <n v="4973.32"/>
    <n v="4973.32"/>
    <n v="4973.32"/>
    <s v="September 2023"/>
  </r>
  <r>
    <d v="2023-09-04T00:00:00"/>
    <x v="4204"/>
    <n v="71"/>
    <x v="0"/>
    <x v="7"/>
    <x v="2"/>
    <x v="2"/>
    <n v="952.63"/>
    <x v="0"/>
    <n v="2440.2966694490838"/>
    <n v="1047.8900000000001"/>
    <n v="1047.9000000000001"/>
    <n v="1047.8900000000001"/>
    <s v="September 2023"/>
  </r>
  <r>
    <d v="2023-09-04T00:00:00"/>
    <x v="4205"/>
    <n v="9"/>
    <x v="0"/>
    <x v="7"/>
    <x v="2"/>
    <x v="0"/>
    <n v="1386.43"/>
    <x v="2"/>
    <n v="2440.2966694490838"/>
    <n v="1525.07"/>
    <n v="1525.08"/>
    <n v="1525.07"/>
    <s v="September 2023"/>
  </r>
  <r>
    <d v="2023-09-04T00:00:00"/>
    <x v="4206"/>
    <n v="34"/>
    <x v="0"/>
    <x v="6"/>
    <x v="3"/>
    <x v="4"/>
    <n v="4277.5"/>
    <x v="1"/>
    <n v="2496.7676064256989"/>
    <n v="4705.25"/>
    <n v="4705.25"/>
    <n v="4705.25"/>
    <s v="September 2023"/>
  </r>
  <r>
    <d v="2023-09-04T00:00:00"/>
    <x v="4207"/>
    <n v="7"/>
    <x v="0"/>
    <x v="3"/>
    <x v="3"/>
    <x v="4"/>
    <n v="2496.58"/>
    <x v="2"/>
    <n v="2496.7676064256989"/>
    <n v="2746.23"/>
    <n v="2746.2400000000002"/>
    <n v="2746.24"/>
    <s v="September 2023"/>
  </r>
  <r>
    <d v="2023-09-05T00:00:00"/>
    <x v="4208"/>
    <n v="21"/>
    <x v="2"/>
    <x v="1"/>
    <x v="2"/>
    <x v="0"/>
    <n v="557.03"/>
    <x v="1"/>
    <n v="2440.2966694490838"/>
    <n v="612.73"/>
    <n v="612.74"/>
    <n v="612.73"/>
    <s v="September 2023"/>
  </r>
  <r>
    <d v="2023-09-05T00:00:00"/>
    <x v="4209"/>
    <n v="7"/>
    <x v="1"/>
    <x v="1"/>
    <x v="3"/>
    <x v="4"/>
    <n v="2861.66"/>
    <x v="2"/>
    <n v="2496.7676064256989"/>
    <n v="3147.82"/>
    <n v="3147.8300000000004"/>
    <n v="3147.83"/>
    <s v="September 2023"/>
  </r>
  <r>
    <d v="2023-09-05T00:00:00"/>
    <x v="4210"/>
    <n v="80"/>
    <x v="2"/>
    <x v="5"/>
    <x v="3"/>
    <x v="2"/>
    <n v="2147.0300000000002"/>
    <x v="0"/>
    <n v="2496.7676064256989"/>
    <n v="2361.73"/>
    <n v="2361.7400000000002"/>
    <n v="2361.73"/>
    <s v="September 2023"/>
  </r>
  <r>
    <d v="2023-09-05T00:00:00"/>
    <x v="4211"/>
    <n v="80"/>
    <x v="2"/>
    <x v="7"/>
    <x v="2"/>
    <x v="5"/>
    <n v="3138.35"/>
    <x v="0"/>
    <n v="2440.2966694490838"/>
    <n v="3452.18"/>
    <n v="3452.19"/>
    <n v="3452.19"/>
    <s v="September 2023"/>
  </r>
  <r>
    <d v="2023-09-05T00:00:00"/>
    <x v="4212"/>
    <n v="78"/>
    <x v="2"/>
    <x v="4"/>
    <x v="0"/>
    <x v="2"/>
    <n v="4339.96"/>
    <x v="0"/>
    <n v="2503.6022787783854"/>
    <n v="4773.95"/>
    <n v="4773.96"/>
    <n v="4773.96"/>
    <s v="September 2023"/>
  </r>
  <r>
    <d v="2023-09-06T00:00:00"/>
    <x v="4213"/>
    <n v="36"/>
    <x v="1"/>
    <x v="7"/>
    <x v="1"/>
    <x v="2"/>
    <n v="989.79"/>
    <x v="1"/>
    <n v="2509.1716796874912"/>
    <n v="1088.76"/>
    <n v="1088.77"/>
    <n v="1088.77"/>
    <s v="September 2023"/>
  </r>
  <r>
    <d v="2023-09-06T00:00:00"/>
    <x v="4214"/>
    <n v="91"/>
    <x v="1"/>
    <x v="0"/>
    <x v="1"/>
    <x v="0"/>
    <n v="4504.24"/>
    <x v="0"/>
    <n v="2509.1716796874912"/>
    <n v="4954.66"/>
    <n v="4954.67"/>
    <n v="4954.66"/>
    <s v="September 2023"/>
  </r>
  <r>
    <d v="2023-09-06T00:00:00"/>
    <x v="4215"/>
    <n v="86"/>
    <x v="1"/>
    <x v="0"/>
    <x v="0"/>
    <x v="2"/>
    <n v="362.13"/>
    <x v="0"/>
    <n v="2503.6022787783854"/>
    <n v="398.34"/>
    <n v="398.34999999999997"/>
    <n v="398.34"/>
    <s v="September 2023"/>
  </r>
  <r>
    <d v="2023-09-06T00:00:00"/>
    <x v="4216"/>
    <n v="61"/>
    <x v="0"/>
    <x v="5"/>
    <x v="0"/>
    <x v="0"/>
    <n v="3196.43"/>
    <x v="1"/>
    <n v="2503.6022787783854"/>
    <n v="3516.07"/>
    <n v="3516.0800000000004"/>
    <n v="3516.07"/>
    <s v="September 2023"/>
  </r>
  <r>
    <d v="2023-09-06T00:00:00"/>
    <x v="4217"/>
    <n v="49"/>
    <x v="2"/>
    <x v="3"/>
    <x v="3"/>
    <x v="2"/>
    <n v="3904.82"/>
    <x v="1"/>
    <n v="2496.7676064256989"/>
    <n v="4295.3"/>
    <n v="4295.3100000000004"/>
    <n v="4295.3"/>
    <s v="September 2023"/>
  </r>
  <r>
    <d v="2023-09-06T00:00:00"/>
    <x v="4218"/>
    <n v="92"/>
    <x v="2"/>
    <x v="5"/>
    <x v="3"/>
    <x v="3"/>
    <n v="1130.76"/>
    <x v="0"/>
    <n v="2496.7676064256989"/>
    <n v="1243.83"/>
    <n v="1243.8399999999999"/>
    <n v="1243.8399999999999"/>
    <s v="September 2023"/>
  </r>
  <r>
    <d v="2023-09-07T00:00:00"/>
    <x v="4219"/>
    <n v="6"/>
    <x v="2"/>
    <x v="6"/>
    <x v="3"/>
    <x v="2"/>
    <n v="743.67"/>
    <x v="2"/>
    <n v="2496.7676064256989"/>
    <n v="818.03"/>
    <n v="818.04"/>
    <n v="818.04"/>
    <s v="September 2023"/>
  </r>
  <r>
    <d v="2023-09-07T00:00:00"/>
    <x v="4220"/>
    <n v="93"/>
    <x v="0"/>
    <x v="4"/>
    <x v="2"/>
    <x v="4"/>
    <n v="1220.4000000000001"/>
    <x v="0"/>
    <n v="2440.2966694490838"/>
    <n v="1342.44"/>
    <n v="1342.44"/>
    <n v="1342.44"/>
    <s v="September 2023"/>
  </r>
  <r>
    <d v="2023-09-07T00:00:00"/>
    <x v="4221"/>
    <n v="15"/>
    <x v="0"/>
    <x v="2"/>
    <x v="2"/>
    <x v="3"/>
    <n v="2174.64"/>
    <x v="2"/>
    <n v="2440.2966694490838"/>
    <n v="2392.1"/>
    <n v="2392.11"/>
    <n v="2392.1"/>
    <s v="September 2023"/>
  </r>
  <r>
    <d v="2023-09-07T00:00:00"/>
    <x v="4222"/>
    <n v="7"/>
    <x v="2"/>
    <x v="5"/>
    <x v="0"/>
    <x v="0"/>
    <n v="2755.45"/>
    <x v="2"/>
    <n v="2503.6022787783854"/>
    <n v="3030.99"/>
    <n v="3031"/>
    <n v="3031"/>
    <s v="September 2023"/>
  </r>
  <r>
    <d v="2023-09-07T00:00:00"/>
    <x v="4223"/>
    <n v="97"/>
    <x v="2"/>
    <x v="5"/>
    <x v="0"/>
    <x v="4"/>
    <n v="65.48"/>
    <x v="0"/>
    <n v="2503.6022787783854"/>
    <n v="72.02"/>
    <n v="72.03"/>
    <n v="72.03"/>
    <s v="September 2023"/>
  </r>
  <r>
    <d v="2023-09-08T00:00:00"/>
    <x v="4224"/>
    <n v="15"/>
    <x v="1"/>
    <x v="7"/>
    <x v="0"/>
    <x v="0"/>
    <n v="917.92"/>
    <x v="2"/>
    <n v="2503.6022787783854"/>
    <n v="1009.71"/>
    <n v="1009.72"/>
    <n v="1009.71"/>
    <s v="September 2023"/>
  </r>
  <r>
    <d v="2023-09-08T00:00:00"/>
    <x v="4225"/>
    <n v="16"/>
    <x v="0"/>
    <x v="5"/>
    <x v="0"/>
    <x v="0"/>
    <n v="3029.02"/>
    <x v="1"/>
    <n v="2503.6022787783854"/>
    <n v="3331.92"/>
    <n v="3331.9300000000003"/>
    <n v="3331.92"/>
    <s v="September 2023"/>
  </r>
  <r>
    <d v="2023-09-08T00:00:00"/>
    <x v="4226"/>
    <n v="93"/>
    <x v="0"/>
    <x v="1"/>
    <x v="2"/>
    <x v="4"/>
    <n v="130.77000000000001"/>
    <x v="0"/>
    <n v="2440.2966694490838"/>
    <n v="143.84"/>
    <n v="143.85"/>
    <n v="143.85"/>
    <s v="September 2023"/>
  </r>
  <r>
    <d v="2023-09-08T00:00:00"/>
    <x v="4227"/>
    <n v="43"/>
    <x v="0"/>
    <x v="4"/>
    <x v="2"/>
    <x v="1"/>
    <n v="799.19"/>
    <x v="1"/>
    <n v="2440.2966694490838"/>
    <n v="879.1"/>
    <n v="879.11"/>
    <n v="879.11"/>
    <s v="September 2023"/>
  </r>
  <r>
    <d v="2023-09-08T00:00:00"/>
    <x v="4228"/>
    <n v="44"/>
    <x v="0"/>
    <x v="1"/>
    <x v="2"/>
    <x v="2"/>
    <n v="4059.99"/>
    <x v="1"/>
    <n v="2440.2966694490838"/>
    <n v="4465.9799999999996"/>
    <n v="4465.99"/>
    <n v="4465.99"/>
    <s v="September 2023"/>
  </r>
  <r>
    <d v="2023-09-08T00:00:00"/>
    <x v="4229"/>
    <n v="0"/>
    <x v="1"/>
    <x v="0"/>
    <x v="0"/>
    <x v="4"/>
    <n v="1868.57"/>
    <x v="2"/>
    <n v="2503.6022787783854"/>
    <n v="2055.42"/>
    <n v="2055.4300000000003"/>
    <n v="2055.4299999999998"/>
    <s v="September 2023"/>
  </r>
  <r>
    <d v="2023-09-09T00:00:00"/>
    <x v="4230"/>
    <n v="48"/>
    <x v="0"/>
    <x v="4"/>
    <x v="3"/>
    <x v="1"/>
    <n v="4732.6400000000003"/>
    <x v="1"/>
    <n v="2496.7676064256989"/>
    <n v="5205.8999999999996"/>
    <n v="5205.91"/>
    <n v="5205.8999999999996"/>
    <s v="September 2023"/>
  </r>
  <r>
    <d v="2023-09-09T00:00:00"/>
    <x v="4231"/>
    <n v="36"/>
    <x v="0"/>
    <x v="5"/>
    <x v="0"/>
    <x v="1"/>
    <n v="1478.77"/>
    <x v="1"/>
    <n v="2503.6022787783854"/>
    <n v="1626.64"/>
    <n v="1626.65"/>
    <n v="1626.65"/>
    <s v="September 2023"/>
  </r>
  <r>
    <d v="2023-09-09T00:00:00"/>
    <x v="4232"/>
    <n v="21"/>
    <x v="2"/>
    <x v="5"/>
    <x v="2"/>
    <x v="1"/>
    <n v="4292.9399999999996"/>
    <x v="1"/>
    <n v="2440.2966694490838"/>
    <n v="4722.2299999999996"/>
    <n v="4722.24"/>
    <n v="4722.2299999999996"/>
    <s v="September 2023"/>
  </r>
  <r>
    <d v="2023-09-09T00:00:00"/>
    <x v="4233"/>
    <n v="32"/>
    <x v="2"/>
    <x v="4"/>
    <x v="2"/>
    <x v="0"/>
    <n v="1540.12"/>
    <x v="1"/>
    <n v="2440.2966694490838"/>
    <n v="1694.13"/>
    <n v="1694.14"/>
    <n v="1694.13"/>
    <s v="September 2023"/>
  </r>
  <r>
    <d v="2023-09-09T00:00:00"/>
    <x v="4234"/>
    <n v="37"/>
    <x v="0"/>
    <x v="0"/>
    <x v="1"/>
    <x v="3"/>
    <n v="4488.92"/>
    <x v="1"/>
    <n v="2509.1716796874912"/>
    <n v="4937.8100000000004"/>
    <n v="4937.8200000000006"/>
    <n v="4937.8100000000004"/>
    <s v="September 2023"/>
  </r>
  <r>
    <d v="2023-09-09T00:00:00"/>
    <x v="4235"/>
    <n v="56"/>
    <x v="0"/>
    <x v="4"/>
    <x v="3"/>
    <x v="0"/>
    <n v="4861.33"/>
    <x v="1"/>
    <n v="2496.7676064256989"/>
    <n v="5347.46"/>
    <n v="5347.47"/>
    <n v="5347.46"/>
    <s v="September 2023"/>
  </r>
  <r>
    <d v="2023-09-09T00:00:00"/>
    <x v="4236"/>
    <n v="27"/>
    <x v="1"/>
    <x v="0"/>
    <x v="2"/>
    <x v="3"/>
    <n v="3664.16"/>
    <x v="1"/>
    <n v="2440.2966694490838"/>
    <n v="4030.57"/>
    <n v="4030.5800000000004"/>
    <n v="4030.58"/>
    <s v="September 2023"/>
  </r>
  <r>
    <d v="2023-09-09T00:00:00"/>
    <x v="4237"/>
    <n v="28"/>
    <x v="0"/>
    <x v="2"/>
    <x v="0"/>
    <x v="0"/>
    <n v="198.73"/>
    <x v="1"/>
    <n v="2503.6022787783854"/>
    <n v="218.6"/>
    <n v="218.60999999999999"/>
    <n v="218.6"/>
    <s v="September 2023"/>
  </r>
  <r>
    <d v="2023-09-11T00:00:00"/>
    <x v="4238"/>
    <n v="93"/>
    <x v="0"/>
    <x v="7"/>
    <x v="2"/>
    <x v="2"/>
    <n v="4071.53"/>
    <x v="0"/>
    <n v="2440.2966694490838"/>
    <n v="4478.68"/>
    <n v="4478.6900000000005"/>
    <n v="4478.68"/>
    <s v="September 2023"/>
  </r>
  <r>
    <d v="2023-09-11T00:00:00"/>
    <x v="4239"/>
    <n v="57"/>
    <x v="1"/>
    <x v="5"/>
    <x v="0"/>
    <x v="0"/>
    <n v="2012.67"/>
    <x v="1"/>
    <n v="2503.6022787783854"/>
    <n v="2213.9299999999998"/>
    <n v="2213.94"/>
    <n v="2213.94"/>
    <s v="September 2023"/>
  </r>
  <r>
    <d v="2023-09-11T00:00:00"/>
    <x v="4240"/>
    <n v="77"/>
    <x v="1"/>
    <x v="0"/>
    <x v="0"/>
    <x v="2"/>
    <n v="4202.07"/>
    <x v="0"/>
    <n v="2503.6022787783854"/>
    <n v="4622.2700000000004"/>
    <n v="4622.2800000000007"/>
    <n v="4622.28"/>
    <s v="September 2023"/>
  </r>
  <r>
    <d v="2023-09-11T00:00:00"/>
    <x v="4241"/>
    <n v="43"/>
    <x v="1"/>
    <x v="0"/>
    <x v="2"/>
    <x v="0"/>
    <n v="3588.98"/>
    <x v="1"/>
    <n v="2440.2966694490838"/>
    <n v="3947.87"/>
    <n v="3947.88"/>
    <n v="3947.88"/>
    <s v="September 2023"/>
  </r>
  <r>
    <d v="2023-09-11T00:00:00"/>
    <x v="4242"/>
    <n v="19"/>
    <x v="2"/>
    <x v="1"/>
    <x v="1"/>
    <x v="2"/>
    <n v="492.84"/>
    <x v="1"/>
    <n v="2509.1716796874912"/>
    <n v="542.12"/>
    <n v="542.13"/>
    <n v="542.12"/>
    <s v="September 2023"/>
  </r>
  <r>
    <d v="2023-09-11T00:00:00"/>
    <x v="4243"/>
    <n v="78"/>
    <x v="2"/>
    <x v="2"/>
    <x v="1"/>
    <x v="3"/>
    <n v="3327.55"/>
    <x v="0"/>
    <n v="2509.1716796874912"/>
    <n v="3660.3"/>
    <n v="3660.3100000000004"/>
    <n v="3660.31"/>
    <s v="September 2023"/>
  </r>
  <r>
    <d v="2023-09-12T00:00:00"/>
    <x v="4244"/>
    <n v="89"/>
    <x v="0"/>
    <x v="4"/>
    <x v="3"/>
    <x v="2"/>
    <n v="4311.38"/>
    <x v="0"/>
    <n v="2496.7676064256989"/>
    <n v="4742.51"/>
    <n v="4742.5200000000004"/>
    <n v="4742.5200000000004"/>
    <s v="September 2023"/>
  </r>
  <r>
    <d v="2023-09-12T00:00:00"/>
    <x v="4245"/>
    <n v="74"/>
    <x v="1"/>
    <x v="2"/>
    <x v="0"/>
    <x v="3"/>
    <n v="2924.88"/>
    <x v="0"/>
    <n v="2503.6022787783854"/>
    <n v="3217.36"/>
    <n v="3217.3700000000003"/>
    <n v="3217.37"/>
    <s v="September 2023"/>
  </r>
  <r>
    <d v="2023-09-12T00:00:00"/>
    <x v="4246"/>
    <n v="80"/>
    <x v="1"/>
    <x v="7"/>
    <x v="1"/>
    <x v="0"/>
    <n v="4183.6400000000003"/>
    <x v="0"/>
    <n v="2509.1716796874912"/>
    <n v="4602"/>
    <n v="4602.01"/>
    <n v="4602"/>
    <s v="September 2023"/>
  </r>
  <r>
    <d v="2023-09-13T00:00:00"/>
    <x v="4247"/>
    <n v="7"/>
    <x v="0"/>
    <x v="5"/>
    <x v="1"/>
    <x v="4"/>
    <n v="3980.82"/>
    <x v="2"/>
    <n v="2509.1716796874912"/>
    <n v="4378.8999999999996"/>
    <n v="4378.91"/>
    <n v="4378.8999999999996"/>
    <s v="September 2023"/>
  </r>
  <r>
    <d v="2023-09-13T00:00:00"/>
    <x v="4248"/>
    <n v="59"/>
    <x v="0"/>
    <x v="2"/>
    <x v="0"/>
    <x v="2"/>
    <n v="368.1"/>
    <x v="1"/>
    <n v="2503.6022787783854"/>
    <n v="404.91"/>
    <n v="404.91"/>
    <n v="404.91"/>
    <s v="September 2023"/>
  </r>
  <r>
    <d v="2023-09-13T00:00:00"/>
    <x v="4249"/>
    <n v="18"/>
    <x v="0"/>
    <x v="7"/>
    <x v="1"/>
    <x v="1"/>
    <n v="2764.75"/>
    <x v="1"/>
    <n v="2509.1716796874912"/>
    <n v="3041.22"/>
    <n v="3041.23"/>
    <n v="3041.23"/>
    <s v="September 2023"/>
  </r>
  <r>
    <d v="2023-09-13T00:00:00"/>
    <x v="4250"/>
    <n v="27"/>
    <x v="0"/>
    <x v="2"/>
    <x v="0"/>
    <x v="0"/>
    <n v="892.6"/>
    <x v="1"/>
    <n v="2503.6022787783854"/>
    <n v="981.86"/>
    <n v="981.86"/>
    <n v="981.86"/>
    <s v="September 2023"/>
  </r>
  <r>
    <d v="2023-09-13T00:00:00"/>
    <x v="4251"/>
    <n v="28"/>
    <x v="1"/>
    <x v="5"/>
    <x v="0"/>
    <x v="3"/>
    <n v="3933.85"/>
    <x v="1"/>
    <n v="2503.6022787783854"/>
    <n v="4327.2299999999996"/>
    <n v="4327.24"/>
    <n v="4327.24"/>
    <s v="September 2023"/>
  </r>
  <r>
    <d v="2023-09-13T00:00:00"/>
    <x v="4252"/>
    <n v="83"/>
    <x v="2"/>
    <x v="3"/>
    <x v="1"/>
    <x v="4"/>
    <n v="1357.33"/>
    <x v="0"/>
    <n v="2509.1716796874912"/>
    <n v="1493.06"/>
    <n v="1493.07"/>
    <n v="1493.06"/>
    <s v="September 2023"/>
  </r>
  <r>
    <d v="2023-09-13T00:00:00"/>
    <x v="4253"/>
    <n v="72"/>
    <x v="0"/>
    <x v="3"/>
    <x v="1"/>
    <x v="0"/>
    <n v="3184.32"/>
    <x v="0"/>
    <n v="2509.1716796874912"/>
    <n v="3502.75"/>
    <n v="3502.76"/>
    <n v="3502.75"/>
    <s v="September 2023"/>
  </r>
  <r>
    <d v="2023-09-13T00:00:00"/>
    <x v="4254"/>
    <n v="15"/>
    <x v="2"/>
    <x v="3"/>
    <x v="0"/>
    <x v="3"/>
    <n v="2997.33"/>
    <x v="2"/>
    <n v="2503.6022787783854"/>
    <n v="3297.06"/>
    <n v="3297.07"/>
    <n v="3297.06"/>
    <s v="September 2023"/>
  </r>
  <r>
    <d v="2023-09-14T00:00:00"/>
    <x v="4255"/>
    <n v="37"/>
    <x v="0"/>
    <x v="3"/>
    <x v="1"/>
    <x v="1"/>
    <n v="3654.72"/>
    <x v="1"/>
    <n v="2509.1716796874912"/>
    <n v="4020.19"/>
    <n v="4020.2000000000003"/>
    <n v="4020.19"/>
    <s v="September 2023"/>
  </r>
  <r>
    <d v="2023-09-14T00:00:00"/>
    <x v="4256"/>
    <n v="59"/>
    <x v="1"/>
    <x v="7"/>
    <x v="3"/>
    <x v="4"/>
    <n v="4934.67"/>
    <x v="1"/>
    <n v="2496.7676064256989"/>
    <n v="5428.13"/>
    <n v="5428.14"/>
    <n v="5428.14"/>
    <s v="September 2023"/>
  </r>
  <r>
    <d v="2023-09-14T00:00:00"/>
    <x v="4257"/>
    <n v="93"/>
    <x v="0"/>
    <x v="6"/>
    <x v="3"/>
    <x v="0"/>
    <n v="262.58999999999997"/>
    <x v="0"/>
    <n v="2496.7676064256989"/>
    <n v="288.83999999999997"/>
    <n v="288.84999999999997"/>
    <n v="288.85000000000002"/>
    <s v="September 2023"/>
  </r>
  <r>
    <d v="2023-09-14T00:00:00"/>
    <x v="4258"/>
    <n v="86"/>
    <x v="0"/>
    <x v="1"/>
    <x v="0"/>
    <x v="4"/>
    <n v="705.32"/>
    <x v="0"/>
    <n v="2503.6022787783854"/>
    <n v="775.85"/>
    <n v="775.86"/>
    <n v="775.85"/>
    <s v="September 2023"/>
  </r>
  <r>
    <d v="2023-09-14T00:00:00"/>
    <x v="4259"/>
    <n v="17"/>
    <x v="2"/>
    <x v="5"/>
    <x v="2"/>
    <x v="0"/>
    <n v="3046.37"/>
    <x v="1"/>
    <n v="2440.2966694490838"/>
    <n v="3351"/>
    <n v="3351.01"/>
    <n v="3351.01"/>
    <s v="September 2023"/>
  </r>
  <r>
    <d v="2023-09-14T00:00:00"/>
    <x v="4260"/>
    <n v="17"/>
    <x v="0"/>
    <x v="5"/>
    <x v="3"/>
    <x v="0"/>
    <n v="4818.54"/>
    <x v="1"/>
    <n v="2496.7676064256989"/>
    <n v="5300.39"/>
    <n v="5300.4000000000005"/>
    <n v="5300.39"/>
    <s v="September 2023"/>
  </r>
  <r>
    <d v="2023-09-14T00:00:00"/>
    <x v="4261"/>
    <n v="30"/>
    <x v="0"/>
    <x v="7"/>
    <x v="1"/>
    <x v="2"/>
    <n v="425.32"/>
    <x v="1"/>
    <n v="2509.1716796874912"/>
    <n v="467.85"/>
    <n v="467.86"/>
    <n v="467.85"/>
    <s v="September 2023"/>
  </r>
  <r>
    <d v="2023-09-15T00:00:00"/>
    <x v="4262"/>
    <n v="61"/>
    <x v="2"/>
    <x v="0"/>
    <x v="1"/>
    <x v="1"/>
    <n v="3694.23"/>
    <x v="1"/>
    <n v="2509.1716796874912"/>
    <n v="4063.65"/>
    <n v="4063.6600000000003"/>
    <n v="4063.65"/>
    <s v="September 2023"/>
  </r>
  <r>
    <d v="2023-09-15T00:00:00"/>
    <x v="4263"/>
    <n v="84"/>
    <x v="1"/>
    <x v="7"/>
    <x v="3"/>
    <x v="1"/>
    <n v="3521.16"/>
    <x v="0"/>
    <n v="2496.7676064256989"/>
    <n v="3873.27"/>
    <n v="3873.28"/>
    <n v="3873.28"/>
    <s v="September 2023"/>
  </r>
  <r>
    <d v="2023-09-15T00:00:00"/>
    <x v="4264"/>
    <n v="38"/>
    <x v="0"/>
    <x v="6"/>
    <x v="2"/>
    <x v="3"/>
    <n v="3803.54"/>
    <x v="1"/>
    <n v="2440.2966694490838"/>
    <n v="4183.8900000000003"/>
    <n v="4183.9000000000005"/>
    <n v="4183.8900000000003"/>
    <s v="September 2023"/>
  </r>
  <r>
    <d v="2023-09-16T00:00:00"/>
    <x v="4265"/>
    <n v="97"/>
    <x v="2"/>
    <x v="7"/>
    <x v="0"/>
    <x v="4"/>
    <n v="3658.69"/>
    <x v="0"/>
    <n v="2503.6022787783854"/>
    <n v="4024.55"/>
    <n v="4024.5600000000004"/>
    <n v="4024.56"/>
    <s v="September 2023"/>
  </r>
  <r>
    <d v="2023-09-16T00:00:00"/>
    <x v="4266"/>
    <n v="58"/>
    <x v="2"/>
    <x v="5"/>
    <x v="0"/>
    <x v="0"/>
    <n v="2923.87"/>
    <x v="1"/>
    <n v="2503.6022787783854"/>
    <n v="3216.25"/>
    <n v="3216.26"/>
    <n v="3216.26"/>
    <s v="September 2023"/>
  </r>
  <r>
    <d v="2023-09-16T00:00:00"/>
    <x v="4267"/>
    <n v="33"/>
    <x v="0"/>
    <x v="2"/>
    <x v="0"/>
    <x v="3"/>
    <n v="729.02"/>
    <x v="1"/>
    <n v="2503.6022787783854"/>
    <n v="801.92"/>
    <n v="801.93"/>
    <n v="801.92"/>
    <s v="September 2023"/>
  </r>
  <r>
    <d v="2023-09-16T00:00:00"/>
    <x v="4268"/>
    <n v="76"/>
    <x v="2"/>
    <x v="6"/>
    <x v="1"/>
    <x v="4"/>
    <n v="2785.8"/>
    <x v="0"/>
    <n v="2509.1716796874912"/>
    <n v="3064.38"/>
    <n v="3064.38"/>
    <n v="3064.38"/>
    <s v="September 2023"/>
  </r>
  <r>
    <d v="2023-09-16T00:00:00"/>
    <x v="4269"/>
    <n v="29"/>
    <x v="0"/>
    <x v="0"/>
    <x v="2"/>
    <x v="3"/>
    <n v="1711.9"/>
    <x v="1"/>
    <n v="2440.2966694490838"/>
    <n v="1883.09"/>
    <n v="1883.09"/>
    <n v="1883.09"/>
    <s v="September 2023"/>
  </r>
  <r>
    <d v="2023-09-16T00:00:00"/>
    <x v="4270"/>
    <n v="94"/>
    <x v="0"/>
    <x v="5"/>
    <x v="3"/>
    <x v="1"/>
    <n v="2731.15"/>
    <x v="0"/>
    <n v="2496.7676064256989"/>
    <n v="3004.26"/>
    <n v="3004.2700000000004"/>
    <n v="3004.27"/>
    <s v="September 2023"/>
  </r>
  <r>
    <d v="2023-09-17T00:00:00"/>
    <x v="4271"/>
    <n v="38"/>
    <x v="1"/>
    <x v="5"/>
    <x v="1"/>
    <x v="1"/>
    <n v="313.7"/>
    <x v="1"/>
    <n v="2509.1716796874912"/>
    <n v="345.07"/>
    <n v="345.07"/>
    <n v="345.07"/>
    <s v="September 2023"/>
  </r>
  <r>
    <d v="2023-09-17T00:00:00"/>
    <x v="4272"/>
    <n v="68"/>
    <x v="1"/>
    <x v="4"/>
    <x v="3"/>
    <x v="1"/>
    <n v="3209.22"/>
    <x v="0"/>
    <n v="2496.7676064256989"/>
    <n v="3530.14"/>
    <n v="3530.15"/>
    <n v="3530.14"/>
    <s v="September 2023"/>
  </r>
  <r>
    <d v="2023-09-17T00:00:00"/>
    <x v="4273"/>
    <n v="38"/>
    <x v="2"/>
    <x v="3"/>
    <x v="3"/>
    <x v="4"/>
    <n v="3684.1"/>
    <x v="1"/>
    <n v="2496.7676064256989"/>
    <n v="4052.51"/>
    <n v="4052.51"/>
    <n v="4052.51"/>
    <s v="September 2023"/>
  </r>
  <r>
    <d v="2023-09-17T00:00:00"/>
    <x v="4274"/>
    <n v="19"/>
    <x v="0"/>
    <x v="3"/>
    <x v="2"/>
    <x v="2"/>
    <n v="1644.46"/>
    <x v="1"/>
    <n v="2440.2966694490838"/>
    <n v="1808.9"/>
    <n v="1808.91"/>
    <n v="1808.91"/>
    <s v="September 2023"/>
  </r>
  <r>
    <d v="2023-09-17T00:00:00"/>
    <x v="4275"/>
    <n v="11"/>
    <x v="2"/>
    <x v="7"/>
    <x v="0"/>
    <x v="1"/>
    <n v="2247.94"/>
    <x v="2"/>
    <n v="2503.6022787783854"/>
    <n v="2472.73"/>
    <n v="2472.7400000000002"/>
    <n v="2472.73"/>
    <s v="September 2023"/>
  </r>
  <r>
    <d v="2023-09-17T00:00:00"/>
    <x v="4276"/>
    <n v="95"/>
    <x v="1"/>
    <x v="6"/>
    <x v="0"/>
    <x v="4"/>
    <n v="1262.8800000000001"/>
    <x v="0"/>
    <n v="2503.6022787783854"/>
    <n v="1389.16"/>
    <n v="1389.17"/>
    <n v="1389.17"/>
    <s v="September 2023"/>
  </r>
  <r>
    <d v="2023-09-17T00:00:00"/>
    <x v="4277"/>
    <n v="84"/>
    <x v="1"/>
    <x v="4"/>
    <x v="3"/>
    <x v="1"/>
    <n v="1524.01"/>
    <x v="0"/>
    <n v="2496.7676064256989"/>
    <n v="1676.41"/>
    <n v="1676.42"/>
    <n v="1676.41"/>
    <s v="September 2023"/>
  </r>
  <r>
    <d v="2023-09-17T00:00:00"/>
    <x v="4278"/>
    <n v="6"/>
    <x v="2"/>
    <x v="1"/>
    <x v="2"/>
    <x v="3"/>
    <n v="3581.31"/>
    <x v="2"/>
    <n v="2440.2966694490838"/>
    <n v="3939.44"/>
    <n v="3939.4500000000003"/>
    <n v="3939.44"/>
    <s v="September 2023"/>
  </r>
  <r>
    <d v="2023-09-17T00:00:00"/>
    <x v="4279"/>
    <n v="3"/>
    <x v="2"/>
    <x v="2"/>
    <x v="1"/>
    <x v="2"/>
    <n v="586.28"/>
    <x v="2"/>
    <n v="2509.1716796874912"/>
    <n v="644.9"/>
    <n v="644.91"/>
    <n v="644.91"/>
    <s v="September 2023"/>
  </r>
  <r>
    <d v="2023-09-18T00:00:00"/>
    <x v="4280"/>
    <n v="42"/>
    <x v="1"/>
    <x v="1"/>
    <x v="0"/>
    <x v="3"/>
    <n v="3416.75"/>
    <x v="1"/>
    <n v="2503.6022787783854"/>
    <n v="3758.42"/>
    <n v="3758.4300000000003"/>
    <n v="3758.43"/>
    <s v="September 2023"/>
  </r>
  <r>
    <d v="2023-09-18T00:00:00"/>
    <x v="4281"/>
    <n v="74"/>
    <x v="2"/>
    <x v="1"/>
    <x v="1"/>
    <x v="0"/>
    <n v="2276.4299999999998"/>
    <x v="0"/>
    <n v="2509.1716796874912"/>
    <n v="2504.0700000000002"/>
    <n v="2504.0800000000004"/>
    <n v="2504.0700000000002"/>
    <s v="September 2023"/>
  </r>
  <r>
    <d v="2023-09-19T00:00:00"/>
    <x v="4282"/>
    <n v="80"/>
    <x v="2"/>
    <x v="4"/>
    <x v="2"/>
    <x v="0"/>
    <n v="1987.46"/>
    <x v="0"/>
    <n v="2440.2966694490838"/>
    <n v="2186.1999999999998"/>
    <n v="2186.21"/>
    <n v="2186.21"/>
    <s v="September 2023"/>
  </r>
  <r>
    <d v="2023-09-19T00:00:00"/>
    <x v="4283"/>
    <n v="20"/>
    <x v="1"/>
    <x v="4"/>
    <x v="0"/>
    <x v="0"/>
    <n v="1337.1"/>
    <x v="1"/>
    <n v="2503.6022787783854"/>
    <n v="1470.81"/>
    <n v="1470.81"/>
    <n v="1470.81"/>
    <s v="September 2023"/>
  </r>
  <r>
    <d v="2023-09-19T00:00:00"/>
    <x v="4284"/>
    <n v="73"/>
    <x v="2"/>
    <x v="0"/>
    <x v="1"/>
    <x v="4"/>
    <n v="474.99"/>
    <x v="0"/>
    <n v="2509.1716796874912"/>
    <n v="522.48"/>
    <n v="522.49"/>
    <n v="522.49"/>
    <s v="September 2023"/>
  </r>
  <r>
    <d v="2023-09-19T00:00:00"/>
    <x v="4285"/>
    <n v="77"/>
    <x v="0"/>
    <x v="0"/>
    <x v="1"/>
    <x v="2"/>
    <n v="794.08"/>
    <x v="0"/>
    <n v="2509.1716796874912"/>
    <n v="873.48"/>
    <n v="873.49"/>
    <n v="873.49"/>
    <s v="September 2023"/>
  </r>
  <r>
    <d v="2023-09-19T00:00:00"/>
    <x v="4286"/>
    <n v="43"/>
    <x v="1"/>
    <x v="5"/>
    <x v="3"/>
    <x v="2"/>
    <n v="4202.18"/>
    <x v="1"/>
    <n v="2496.7676064256989"/>
    <n v="4622.3900000000003"/>
    <n v="4622.4000000000005"/>
    <n v="4622.3999999999996"/>
    <s v="September 2023"/>
  </r>
  <r>
    <d v="2023-09-19T00:00:00"/>
    <x v="4287"/>
    <n v="13"/>
    <x v="1"/>
    <x v="5"/>
    <x v="2"/>
    <x v="2"/>
    <n v="180.3"/>
    <x v="2"/>
    <n v="2440.2966694490838"/>
    <n v="198.33"/>
    <n v="198.33"/>
    <n v="198.33"/>
    <s v="September 2023"/>
  </r>
  <r>
    <d v="2023-09-19T00:00:00"/>
    <x v="4288"/>
    <n v="28"/>
    <x v="0"/>
    <x v="4"/>
    <x v="3"/>
    <x v="0"/>
    <n v="1233.9000000000001"/>
    <x v="1"/>
    <n v="2496.7676064256989"/>
    <n v="1357.29"/>
    <n v="1357.29"/>
    <n v="1357.29"/>
    <s v="September 2023"/>
  </r>
  <r>
    <d v="2023-09-19T00:00:00"/>
    <x v="4289"/>
    <n v="76"/>
    <x v="1"/>
    <x v="4"/>
    <x v="0"/>
    <x v="4"/>
    <n v="4622.6099999999997"/>
    <x v="0"/>
    <n v="2503.6022787783854"/>
    <n v="5084.87"/>
    <n v="5084.88"/>
    <n v="5084.87"/>
    <s v="September 2023"/>
  </r>
  <r>
    <d v="2023-09-20T00:00:00"/>
    <x v="4290"/>
    <n v="15"/>
    <x v="0"/>
    <x v="4"/>
    <x v="1"/>
    <x v="1"/>
    <n v="1267.82"/>
    <x v="2"/>
    <n v="2509.1716796874912"/>
    <n v="1394.6"/>
    <n v="1394.61"/>
    <n v="1394.6"/>
    <s v="September 2023"/>
  </r>
  <r>
    <d v="2023-09-20T00:00:00"/>
    <x v="4291"/>
    <n v="87"/>
    <x v="2"/>
    <x v="4"/>
    <x v="0"/>
    <x v="2"/>
    <n v="452.19"/>
    <x v="0"/>
    <n v="2503.6022787783854"/>
    <n v="497.4"/>
    <n v="497.40999999999997"/>
    <n v="497.41"/>
    <s v="September 2023"/>
  </r>
  <r>
    <d v="2023-09-20T00:00:00"/>
    <x v="4292"/>
    <n v="84"/>
    <x v="1"/>
    <x v="3"/>
    <x v="0"/>
    <x v="0"/>
    <n v="683.39"/>
    <x v="0"/>
    <n v="2503.6022787783854"/>
    <n v="751.72"/>
    <n v="751.73"/>
    <n v="751.73"/>
    <s v="September 2023"/>
  </r>
  <r>
    <d v="2023-09-20T00:00:00"/>
    <x v="4293"/>
    <n v="94"/>
    <x v="1"/>
    <x v="4"/>
    <x v="0"/>
    <x v="2"/>
    <n v="4368.37"/>
    <x v="0"/>
    <n v="2503.6022787783854"/>
    <n v="4805.2"/>
    <n v="4805.21"/>
    <n v="4805.21"/>
    <s v="September 2023"/>
  </r>
  <r>
    <d v="2023-09-20T00:00:00"/>
    <x v="4294"/>
    <n v="77"/>
    <x v="2"/>
    <x v="4"/>
    <x v="2"/>
    <x v="2"/>
    <n v="1475.01"/>
    <x v="0"/>
    <n v="2440.2966694490838"/>
    <n v="1622.51"/>
    <n v="1622.52"/>
    <n v="1622.51"/>
    <s v="September 2023"/>
  </r>
  <r>
    <d v="2023-09-20T00:00:00"/>
    <x v="4295"/>
    <n v="8"/>
    <x v="2"/>
    <x v="7"/>
    <x v="2"/>
    <x v="2"/>
    <n v="153.31"/>
    <x v="2"/>
    <n v="2440.2966694490838"/>
    <n v="168.64"/>
    <n v="168.64999999999998"/>
    <n v="168.64"/>
    <s v="September 2023"/>
  </r>
  <r>
    <d v="2023-09-20T00:00:00"/>
    <x v="4296"/>
    <n v="56"/>
    <x v="2"/>
    <x v="7"/>
    <x v="3"/>
    <x v="4"/>
    <n v="3107.97"/>
    <x v="1"/>
    <n v="2496.7676064256989"/>
    <n v="3418.76"/>
    <n v="3418.7700000000004"/>
    <n v="3418.77"/>
    <s v="September 2023"/>
  </r>
  <r>
    <d v="2023-09-20T00:00:00"/>
    <x v="4297"/>
    <n v="62"/>
    <x v="1"/>
    <x v="0"/>
    <x v="0"/>
    <x v="3"/>
    <n v="2208.9699999999998"/>
    <x v="1"/>
    <n v="2503.6022787783854"/>
    <n v="2429.86"/>
    <n v="2429.8700000000003"/>
    <n v="2429.87"/>
    <s v="September 2023"/>
  </r>
  <r>
    <d v="2023-09-20T00:00:00"/>
    <x v="4298"/>
    <n v="86"/>
    <x v="2"/>
    <x v="1"/>
    <x v="3"/>
    <x v="0"/>
    <n v="4773.34"/>
    <x v="0"/>
    <n v="2496.7676064256989"/>
    <n v="5250.67"/>
    <n v="5250.68"/>
    <n v="5250.67"/>
    <s v="September 2023"/>
  </r>
  <r>
    <d v="2023-09-20T00:00:00"/>
    <x v="4299"/>
    <n v="40"/>
    <x v="0"/>
    <x v="2"/>
    <x v="3"/>
    <x v="4"/>
    <n v="170.24"/>
    <x v="1"/>
    <n v="2496.7676064256989"/>
    <n v="187.26"/>
    <n v="187.26999999999998"/>
    <n v="187.26"/>
    <s v="September 2023"/>
  </r>
  <r>
    <d v="2023-09-21T00:00:00"/>
    <x v="4300"/>
    <n v="81"/>
    <x v="1"/>
    <x v="0"/>
    <x v="0"/>
    <x v="1"/>
    <n v="71.239999999999995"/>
    <x v="0"/>
    <n v="2503.6022787783854"/>
    <n v="78.36"/>
    <n v="78.37"/>
    <n v="78.36"/>
    <s v="September 2023"/>
  </r>
  <r>
    <d v="2023-09-21T00:00:00"/>
    <x v="4301"/>
    <n v="24"/>
    <x v="0"/>
    <x v="0"/>
    <x v="2"/>
    <x v="4"/>
    <n v="670.04"/>
    <x v="1"/>
    <n v="2440.2966694490838"/>
    <n v="737.04"/>
    <n v="737.05"/>
    <n v="737.04"/>
    <s v="September 2023"/>
  </r>
  <r>
    <d v="2023-09-21T00:00:00"/>
    <x v="4302"/>
    <n v="7"/>
    <x v="1"/>
    <x v="1"/>
    <x v="2"/>
    <x v="0"/>
    <n v="2232.5500000000002"/>
    <x v="2"/>
    <n v="2440.2966694490838"/>
    <n v="2455.8000000000002"/>
    <n v="2455.8100000000004"/>
    <n v="2455.81"/>
    <s v="September 2023"/>
  </r>
  <r>
    <d v="2023-09-21T00:00:00"/>
    <x v="4303"/>
    <n v="46"/>
    <x v="1"/>
    <x v="3"/>
    <x v="2"/>
    <x v="0"/>
    <n v="4183.67"/>
    <x v="1"/>
    <n v="2440.2966694490838"/>
    <n v="4602.03"/>
    <n v="4602.04"/>
    <n v="4602.04"/>
    <s v="September 2023"/>
  </r>
  <r>
    <d v="2023-09-21T00:00:00"/>
    <x v="4304"/>
    <n v="53"/>
    <x v="2"/>
    <x v="3"/>
    <x v="1"/>
    <x v="1"/>
    <n v="3324"/>
    <x v="1"/>
    <n v="2509.1716796874912"/>
    <n v="3656.4"/>
    <n v="3656.4"/>
    <n v="3656.4"/>
    <s v="September 2023"/>
  </r>
  <r>
    <d v="2023-09-21T00:00:00"/>
    <x v="4305"/>
    <n v="23"/>
    <x v="1"/>
    <x v="2"/>
    <x v="3"/>
    <x v="1"/>
    <n v="1495.06"/>
    <x v="1"/>
    <n v="2496.7676064256989"/>
    <n v="1644.56"/>
    <n v="1644.57"/>
    <n v="1644.57"/>
    <s v="September 2023"/>
  </r>
  <r>
    <d v="2023-09-21T00:00:00"/>
    <x v="4306"/>
    <n v="36"/>
    <x v="1"/>
    <x v="6"/>
    <x v="3"/>
    <x v="0"/>
    <n v="4393.87"/>
    <x v="1"/>
    <n v="2496.7676064256989"/>
    <n v="4833.25"/>
    <n v="4833.26"/>
    <n v="4833.26"/>
    <s v="September 2023"/>
  </r>
  <r>
    <d v="2023-09-22T00:00:00"/>
    <x v="4307"/>
    <n v="28"/>
    <x v="0"/>
    <x v="2"/>
    <x v="0"/>
    <x v="4"/>
    <n v="2816.06"/>
    <x v="1"/>
    <n v="2503.6022787783854"/>
    <n v="3097.66"/>
    <n v="3097.67"/>
    <n v="3097.67"/>
    <s v="September 2023"/>
  </r>
  <r>
    <d v="2023-09-22T00:00:00"/>
    <x v="4308"/>
    <n v="7"/>
    <x v="1"/>
    <x v="4"/>
    <x v="1"/>
    <x v="1"/>
    <n v="2784.08"/>
    <x v="2"/>
    <n v="2509.1716796874912"/>
    <n v="3062.48"/>
    <n v="3062.4900000000002"/>
    <n v="3062.49"/>
    <s v="September 2023"/>
  </r>
  <r>
    <d v="2023-09-22T00:00:00"/>
    <x v="4309"/>
    <n v="92"/>
    <x v="2"/>
    <x v="0"/>
    <x v="2"/>
    <x v="0"/>
    <n v="4600.01"/>
    <x v="0"/>
    <n v="2440.2966694490838"/>
    <n v="5060.01"/>
    <n v="5060.0200000000004"/>
    <n v="5060.01"/>
    <s v="September 2023"/>
  </r>
  <r>
    <d v="2023-09-22T00:00:00"/>
    <x v="4310"/>
    <n v="1"/>
    <x v="0"/>
    <x v="4"/>
    <x v="2"/>
    <x v="2"/>
    <n v="2184.0100000000002"/>
    <x v="2"/>
    <n v="2440.2966694490838"/>
    <n v="2402.41"/>
    <n v="2402.42"/>
    <n v="2402.41"/>
    <s v="September 2023"/>
  </r>
  <r>
    <d v="2023-09-22T00:00:00"/>
    <x v="4311"/>
    <n v="54"/>
    <x v="0"/>
    <x v="2"/>
    <x v="1"/>
    <x v="4"/>
    <n v="4898.03"/>
    <x v="1"/>
    <n v="2509.1716796874912"/>
    <n v="5387.83"/>
    <n v="5387.84"/>
    <n v="5387.83"/>
    <s v="September 2023"/>
  </r>
  <r>
    <d v="2023-09-23T00:00:00"/>
    <x v="4312"/>
    <n v="20"/>
    <x v="2"/>
    <x v="1"/>
    <x v="0"/>
    <x v="1"/>
    <n v="1276.47"/>
    <x v="1"/>
    <n v="2503.6022787783854"/>
    <n v="1404.11"/>
    <n v="1404.12"/>
    <n v="1404.12"/>
    <s v="September 2023"/>
  </r>
  <r>
    <d v="2023-09-23T00:00:00"/>
    <x v="4313"/>
    <n v="64"/>
    <x v="0"/>
    <x v="7"/>
    <x v="2"/>
    <x v="4"/>
    <n v="3814.16"/>
    <x v="1"/>
    <n v="2440.2966694490838"/>
    <n v="4195.57"/>
    <n v="4195.58"/>
    <n v="4195.58"/>
    <s v="September 2023"/>
  </r>
  <r>
    <d v="2023-09-23T00:00:00"/>
    <x v="4314"/>
    <n v="95"/>
    <x v="1"/>
    <x v="6"/>
    <x v="1"/>
    <x v="3"/>
    <n v="2993.15"/>
    <x v="0"/>
    <n v="2509.1716796874912"/>
    <n v="3292.46"/>
    <n v="3292.4700000000003"/>
    <n v="3292.47"/>
    <s v="September 2023"/>
  </r>
  <r>
    <d v="2023-09-23T00:00:00"/>
    <x v="4315"/>
    <n v="83"/>
    <x v="1"/>
    <x v="5"/>
    <x v="0"/>
    <x v="4"/>
    <n v="1699.52"/>
    <x v="0"/>
    <n v="2503.6022787783854"/>
    <n v="1869.47"/>
    <n v="1869.48"/>
    <n v="1869.47"/>
    <s v="September 2023"/>
  </r>
  <r>
    <d v="2023-09-23T00:00:00"/>
    <x v="4316"/>
    <n v="66"/>
    <x v="0"/>
    <x v="5"/>
    <x v="2"/>
    <x v="2"/>
    <n v="3172.68"/>
    <x v="0"/>
    <n v="2440.2966694490838"/>
    <n v="3489.94"/>
    <n v="3489.9500000000003"/>
    <n v="3489.95"/>
    <s v="September 2023"/>
  </r>
  <r>
    <d v="2023-09-23T00:00:00"/>
    <x v="4317"/>
    <n v="70"/>
    <x v="0"/>
    <x v="3"/>
    <x v="0"/>
    <x v="4"/>
    <n v="1005.88"/>
    <x v="0"/>
    <n v="2503.6022787783854"/>
    <n v="1106.46"/>
    <n v="1106.47"/>
    <n v="1106.47"/>
    <s v="September 2023"/>
  </r>
  <r>
    <d v="2023-09-23T00:00:00"/>
    <x v="4318"/>
    <n v="85"/>
    <x v="0"/>
    <x v="1"/>
    <x v="3"/>
    <x v="2"/>
    <n v="4651.09"/>
    <x v="0"/>
    <n v="2496.7676064256989"/>
    <n v="5116.1899999999996"/>
    <n v="5116.2"/>
    <n v="5116.2"/>
    <s v="September 2023"/>
  </r>
  <r>
    <d v="2023-09-23T00:00:00"/>
    <x v="4319"/>
    <n v="66"/>
    <x v="2"/>
    <x v="0"/>
    <x v="2"/>
    <x v="3"/>
    <n v="3289.42"/>
    <x v="0"/>
    <n v="2440.2966694490838"/>
    <n v="3618.36"/>
    <n v="3618.3700000000003"/>
    <n v="3618.36"/>
    <s v="September 2023"/>
  </r>
  <r>
    <d v="2023-09-24T00:00:00"/>
    <x v="4320"/>
    <n v="65"/>
    <x v="0"/>
    <x v="1"/>
    <x v="0"/>
    <x v="1"/>
    <n v="782.26"/>
    <x v="0"/>
    <n v="2503.6022787783854"/>
    <n v="860.48"/>
    <n v="860.49"/>
    <n v="860.49"/>
    <s v="September 2023"/>
  </r>
  <r>
    <d v="2023-09-24T00:00:00"/>
    <x v="4321"/>
    <n v="94"/>
    <x v="1"/>
    <x v="3"/>
    <x v="0"/>
    <x v="2"/>
    <n v="109.42"/>
    <x v="0"/>
    <n v="2503.6022787783854"/>
    <n v="120.36"/>
    <n v="120.37"/>
    <n v="120.36"/>
    <s v="September 2023"/>
  </r>
  <r>
    <d v="2023-09-24T00:00:00"/>
    <x v="4322"/>
    <n v="45"/>
    <x v="0"/>
    <x v="7"/>
    <x v="2"/>
    <x v="4"/>
    <n v="4818.9399999999996"/>
    <x v="1"/>
    <n v="2440.2966694490838"/>
    <n v="5300.83"/>
    <n v="5300.84"/>
    <n v="5300.83"/>
    <s v="September 2023"/>
  </r>
  <r>
    <d v="2023-09-24T00:00:00"/>
    <x v="4323"/>
    <n v="54"/>
    <x v="1"/>
    <x v="1"/>
    <x v="1"/>
    <x v="2"/>
    <n v="1122.3699999999999"/>
    <x v="1"/>
    <n v="2509.1716796874912"/>
    <n v="1234.5999999999999"/>
    <n v="1234.6099999999999"/>
    <n v="1234.6099999999999"/>
    <s v="September 2023"/>
  </r>
  <r>
    <d v="2023-09-24T00:00:00"/>
    <x v="4324"/>
    <n v="15"/>
    <x v="1"/>
    <x v="4"/>
    <x v="1"/>
    <x v="0"/>
    <n v="3819"/>
    <x v="2"/>
    <n v="2509.1716796874912"/>
    <n v="4200.8999999999996"/>
    <n v="4200.8999999999996"/>
    <n v="4200.8999999999996"/>
    <s v="September 2023"/>
  </r>
  <r>
    <d v="2023-09-25T00:00:00"/>
    <x v="4325"/>
    <n v="2"/>
    <x v="1"/>
    <x v="3"/>
    <x v="0"/>
    <x v="2"/>
    <n v="258.85000000000002"/>
    <x v="2"/>
    <n v="2503.6022787783854"/>
    <n v="284.73"/>
    <n v="284.74"/>
    <n v="284.74"/>
    <s v="September 2023"/>
  </r>
  <r>
    <d v="2023-09-25T00:00:00"/>
    <x v="4326"/>
    <n v="99"/>
    <x v="1"/>
    <x v="0"/>
    <x v="3"/>
    <x v="1"/>
    <n v="2178.62"/>
    <x v="0"/>
    <n v="2496.7676064256989"/>
    <n v="2396.48"/>
    <n v="2396.4900000000002"/>
    <n v="2396.48"/>
    <s v="September 2023"/>
  </r>
  <r>
    <d v="2023-09-25T00:00:00"/>
    <x v="4327"/>
    <n v="52"/>
    <x v="1"/>
    <x v="1"/>
    <x v="2"/>
    <x v="0"/>
    <n v="2790.51"/>
    <x v="1"/>
    <n v="2440.2966694490838"/>
    <n v="3069.56"/>
    <n v="3069.57"/>
    <n v="3069.56"/>
    <s v="September 2023"/>
  </r>
  <r>
    <d v="2023-09-25T00:00:00"/>
    <x v="4328"/>
    <n v="26"/>
    <x v="0"/>
    <x v="2"/>
    <x v="3"/>
    <x v="2"/>
    <n v="4517.82"/>
    <x v="1"/>
    <n v="2496.7676064256989"/>
    <n v="4969.6000000000004"/>
    <n v="4969.6100000000006"/>
    <n v="4969.6000000000004"/>
    <s v="September 2023"/>
  </r>
  <r>
    <d v="2023-09-25T00:00:00"/>
    <x v="4329"/>
    <n v="12"/>
    <x v="0"/>
    <x v="1"/>
    <x v="1"/>
    <x v="3"/>
    <n v="352.29"/>
    <x v="2"/>
    <n v="2509.1716796874912"/>
    <n v="387.51"/>
    <n v="387.52"/>
    <n v="387.52"/>
    <s v="September 2023"/>
  </r>
  <r>
    <d v="2023-09-25T00:00:00"/>
    <x v="4330"/>
    <n v="25"/>
    <x v="0"/>
    <x v="0"/>
    <x v="1"/>
    <x v="5"/>
    <n v="1899.19"/>
    <x v="1"/>
    <n v="2509.1716796874912"/>
    <n v="2089.1"/>
    <n v="2089.11"/>
    <n v="2089.11"/>
    <s v="September 2023"/>
  </r>
  <r>
    <d v="2023-09-26T00:00:00"/>
    <x v="4331"/>
    <n v="99"/>
    <x v="2"/>
    <x v="5"/>
    <x v="0"/>
    <x v="3"/>
    <n v="322.04000000000002"/>
    <x v="0"/>
    <n v="2503.6022787783854"/>
    <n v="354.24"/>
    <n v="354.25"/>
    <n v="354.24"/>
    <s v="September 2023"/>
  </r>
  <r>
    <d v="2023-09-26T00:00:00"/>
    <x v="4332"/>
    <n v="30"/>
    <x v="0"/>
    <x v="1"/>
    <x v="3"/>
    <x v="1"/>
    <n v="4588.8999999999996"/>
    <x v="1"/>
    <n v="2496.7676064256989"/>
    <n v="5047.79"/>
    <n v="5047.79"/>
    <n v="5047.79"/>
    <s v="September 2023"/>
  </r>
  <r>
    <d v="2023-09-26T00:00:00"/>
    <x v="4333"/>
    <n v="72"/>
    <x v="2"/>
    <x v="5"/>
    <x v="1"/>
    <x v="1"/>
    <n v="4516.26"/>
    <x v="0"/>
    <n v="2509.1716796874912"/>
    <n v="4967.88"/>
    <n v="4967.8900000000003"/>
    <n v="4967.8900000000003"/>
    <s v="September 2023"/>
  </r>
  <r>
    <d v="2023-09-26T00:00:00"/>
    <x v="4334"/>
    <n v="79"/>
    <x v="1"/>
    <x v="7"/>
    <x v="3"/>
    <x v="0"/>
    <n v="1522.95"/>
    <x v="0"/>
    <n v="2496.7676064256989"/>
    <n v="1675.24"/>
    <n v="1675.25"/>
    <n v="1675.25"/>
    <s v="September 2023"/>
  </r>
  <r>
    <d v="2023-09-26T00:00:00"/>
    <x v="4335"/>
    <n v="92"/>
    <x v="1"/>
    <x v="1"/>
    <x v="1"/>
    <x v="3"/>
    <n v="3490.25"/>
    <x v="0"/>
    <n v="2509.1716796874912"/>
    <n v="3839.27"/>
    <n v="3839.28"/>
    <n v="3839.28"/>
    <s v="September 2023"/>
  </r>
  <r>
    <d v="2023-09-26T00:00:00"/>
    <x v="4336"/>
    <n v="50"/>
    <x v="0"/>
    <x v="2"/>
    <x v="3"/>
    <x v="1"/>
    <n v="1038.01"/>
    <x v="1"/>
    <n v="2496.7676064256989"/>
    <n v="1141.81"/>
    <n v="1141.82"/>
    <n v="1141.81"/>
    <s v="September 2023"/>
  </r>
  <r>
    <d v="2023-09-27T00:00:00"/>
    <x v="4337"/>
    <n v="60"/>
    <x v="1"/>
    <x v="0"/>
    <x v="1"/>
    <x v="4"/>
    <n v="4308.5"/>
    <x v="1"/>
    <n v="2509.1716796874912"/>
    <n v="4739.3500000000004"/>
    <n v="4739.3500000000004"/>
    <n v="4739.3500000000004"/>
    <s v="September 2023"/>
  </r>
  <r>
    <d v="2023-09-27T00:00:00"/>
    <x v="4338"/>
    <n v="15"/>
    <x v="2"/>
    <x v="6"/>
    <x v="1"/>
    <x v="1"/>
    <n v="2331.4899999999998"/>
    <x v="2"/>
    <n v="2509.1716796874912"/>
    <n v="2564.63"/>
    <n v="2564.6400000000003"/>
    <n v="2564.64"/>
    <s v="September 2023"/>
  </r>
  <r>
    <d v="2023-09-27T00:00:00"/>
    <x v="4339"/>
    <n v="19"/>
    <x v="1"/>
    <x v="0"/>
    <x v="0"/>
    <x v="4"/>
    <n v="4503.42"/>
    <x v="1"/>
    <n v="2503.6022787783854"/>
    <n v="4953.76"/>
    <n v="4953.7700000000004"/>
    <n v="4953.76"/>
    <s v="September 2023"/>
  </r>
  <r>
    <d v="2023-09-27T00:00:00"/>
    <x v="4340"/>
    <n v="32"/>
    <x v="0"/>
    <x v="0"/>
    <x v="0"/>
    <x v="5"/>
    <n v="2126.1799999999998"/>
    <x v="1"/>
    <n v="2503.6022787783854"/>
    <n v="2338.79"/>
    <n v="2338.8000000000002"/>
    <n v="2338.8000000000002"/>
    <s v="September 2023"/>
  </r>
  <r>
    <d v="2023-09-27T00:00:00"/>
    <x v="4341"/>
    <n v="14"/>
    <x v="0"/>
    <x v="7"/>
    <x v="0"/>
    <x v="1"/>
    <n v="2283.69"/>
    <x v="2"/>
    <n v="2503.6022787783854"/>
    <n v="2512.0500000000002"/>
    <n v="2512.0600000000004"/>
    <n v="2512.06"/>
    <s v="September 2023"/>
  </r>
  <r>
    <d v="2023-09-27T00:00:00"/>
    <x v="4342"/>
    <n v="7"/>
    <x v="0"/>
    <x v="5"/>
    <x v="3"/>
    <x v="1"/>
    <n v="4548.2"/>
    <x v="2"/>
    <n v="2496.7676064256989"/>
    <n v="5003.0200000000004"/>
    <n v="5003.0200000000004"/>
    <n v="5003.0200000000004"/>
    <s v="September 2023"/>
  </r>
  <r>
    <d v="2023-09-27T00:00:00"/>
    <x v="4343"/>
    <n v="9"/>
    <x v="0"/>
    <x v="7"/>
    <x v="3"/>
    <x v="0"/>
    <n v="3618.36"/>
    <x v="2"/>
    <n v="2496.7676064256989"/>
    <n v="3980.19"/>
    <n v="3980.2000000000003"/>
    <n v="3980.2"/>
    <s v="September 2023"/>
  </r>
  <r>
    <d v="2023-09-27T00:00:00"/>
    <x v="4344"/>
    <n v="2"/>
    <x v="2"/>
    <x v="0"/>
    <x v="3"/>
    <x v="1"/>
    <n v="3651.56"/>
    <x v="2"/>
    <n v="2496.7676064256989"/>
    <n v="4016.71"/>
    <n v="4016.7200000000003"/>
    <n v="4016.72"/>
    <s v="September 2023"/>
  </r>
  <r>
    <d v="2023-09-27T00:00:00"/>
    <x v="4345"/>
    <n v="54"/>
    <x v="0"/>
    <x v="6"/>
    <x v="1"/>
    <x v="0"/>
    <n v="4242.24"/>
    <x v="1"/>
    <n v="2509.1716796874912"/>
    <n v="4666.46"/>
    <n v="4666.47"/>
    <n v="4666.46"/>
    <s v="September 2023"/>
  </r>
  <r>
    <d v="2023-09-27T00:00:00"/>
    <x v="4346"/>
    <n v="13"/>
    <x v="1"/>
    <x v="5"/>
    <x v="0"/>
    <x v="1"/>
    <n v="158.28"/>
    <x v="2"/>
    <n v="2503.6022787783854"/>
    <n v="174.1"/>
    <n v="174.10999999999999"/>
    <n v="174.11"/>
    <s v="September 2023"/>
  </r>
  <r>
    <d v="2023-09-28T00:00:00"/>
    <x v="4347"/>
    <n v="4"/>
    <x v="1"/>
    <x v="7"/>
    <x v="2"/>
    <x v="3"/>
    <n v="1415.94"/>
    <x v="2"/>
    <n v="2440.2966694490838"/>
    <n v="1557.53"/>
    <n v="1557.54"/>
    <n v="1557.53"/>
    <s v="September 2023"/>
  </r>
  <r>
    <d v="2023-09-28T00:00:00"/>
    <x v="4348"/>
    <n v="87"/>
    <x v="1"/>
    <x v="3"/>
    <x v="2"/>
    <x v="2"/>
    <n v="4699.88"/>
    <x v="0"/>
    <n v="2440.2966694490838"/>
    <n v="5169.8599999999997"/>
    <n v="5169.87"/>
    <n v="5169.87"/>
    <s v="September 2023"/>
  </r>
  <r>
    <d v="2023-09-28T00:00:00"/>
    <x v="4349"/>
    <n v="44"/>
    <x v="0"/>
    <x v="1"/>
    <x v="1"/>
    <x v="4"/>
    <n v="178.46"/>
    <x v="1"/>
    <n v="2509.1716796874912"/>
    <n v="196.3"/>
    <n v="196.31"/>
    <n v="196.31"/>
    <s v="September 2023"/>
  </r>
  <r>
    <d v="2023-09-28T00:00:00"/>
    <x v="4350"/>
    <n v="94"/>
    <x v="1"/>
    <x v="2"/>
    <x v="3"/>
    <x v="1"/>
    <n v="4637.4799999999996"/>
    <x v="0"/>
    <n v="2496.7676064256989"/>
    <n v="5101.22"/>
    <n v="5101.2300000000005"/>
    <n v="5101.2299999999996"/>
    <s v="September 2023"/>
  </r>
  <r>
    <d v="2023-09-28T00:00:00"/>
    <x v="4351"/>
    <n v="31"/>
    <x v="2"/>
    <x v="2"/>
    <x v="3"/>
    <x v="4"/>
    <n v="217.27"/>
    <x v="1"/>
    <n v="2496.7676064256989"/>
    <n v="238.99"/>
    <n v="239"/>
    <n v="239"/>
    <s v="September 2023"/>
  </r>
  <r>
    <d v="2023-09-28T00:00:00"/>
    <x v="4352"/>
    <n v="88"/>
    <x v="2"/>
    <x v="3"/>
    <x v="3"/>
    <x v="4"/>
    <n v="483.3"/>
    <x v="0"/>
    <n v="2496.7676064256989"/>
    <n v="531.63"/>
    <n v="531.63"/>
    <n v="531.63"/>
    <s v="September 2023"/>
  </r>
  <r>
    <d v="2023-09-29T00:00:00"/>
    <x v="4353"/>
    <n v="8"/>
    <x v="2"/>
    <x v="5"/>
    <x v="1"/>
    <x v="4"/>
    <n v="4362.84"/>
    <x v="2"/>
    <n v="2509.1716796874912"/>
    <n v="4799.12"/>
    <n v="4799.13"/>
    <n v="4799.12"/>
    <s v="September 2023"/>
  </r>
  <r>
    <d v="2023-09-29T00:00:00"/>
    <x v="4354"/>
    <n v="76"/>
    <x v="2"/>
    <x v="5"/>
    <x v="1"/>
    <x v="3"/>
    <n v="21.05"/>
    <x v="0"/>
    <n v="2509.1716796874912"/>
    <n v="23.15"/>
    <n v="23.16"/>
    <n v="23.16"/>
    <s v="September 2023"/>
  </r>
  <r>
    <d v="2023-09-29T00:00:00"/>
    <x v="4355"/>
    <n v="60"/>
    <x v="2"/>
    <x v="0"/>
    <x v="0"/>
    <x v="0"/>
    <n v="3705.51"/>
    <x v="1"/>
    <n v="2503.6022787783854"/>
    <n v="4076.06"/>
    <n v="4076.07"/>
    <n v="4076.06"/>
    <s v="September 2023"/>
  </r>
  <r>
    <d v="2023-09-29T00:00:00"/>
    <x v="4356"/>
    <n v="88"/>
    <x v="1"/>
    <x v="0"/>
    <x v="3"/>
    <x v="3"/>
    <n v="2364.27"/>
    <x v="0"/>
    <n v="2496.7676064256989"/>
    <n v="2600.69"/>
    <n v="2600.7000000000003"/>
    <n v="2600.6999999999998"/>
    <s v="September 2023"/>
  </r>
  <r>
    <d v="2023-09-29T00:00:00"/>
    <x v="4357"/>
    <n v="96"/>
    <x v="1"/>
    <x v="5"/>
    <x v="0"/>
    <x v="2"/>
    <n v="1312.94"/>
    <x v="0"/>
    <n v="2503.6022787783854"/>
    <n v="1444.23"/>
    <n v="1444.24"/>
    <n v="1444.23"/>
    <s v="September 2023"/>
  </r>
  <r>
    <d v="2023-09-29T00:00:00"/>
    <x v="4358"/>
    <n v="37"/>
    <x v="0"/>
    <x v="5"/>
    <x v="2"/>
    <x v="0"/>
    <n v="576"/>
    <x v="1"/>
    <n v="2440.2966694490838"/>
    <n v="633.6"/>
    <n v="633.6"/>
    <n v="633.6"/>
    <s v="September 2023"/>
  </r>
  <r>
    <d v="2023-09-29T00:00:00"/>
    <x v="4359"/>
    <n v="91"/>
    <x v="0"/>
    <x v="4"/>
    <x v="1"/>
    <x v="3"/>
    <n v="2064.69"/>
    <x v="0"/>
    <n v="2509.1716796874912"/>
    <n v="2271.15"/>
    <n v="2271.1600000000003"/>
    <n v="2271.16"/>
    <s v="September 2023"/>
  </r>
  <r>
    <d v="2023-09-30T00:00:00"/>
    <x v="4360"/>
    <n v="21"/>
    <x v="1"/>
    <x v="0"/>
    <x v="1"/>
    <x v="1"/>
    <n v="579.82000000000005"/>
    <x v="1"/>
    <n v="2509.1716796874912"/>
    <n v="637.79999999999995"/>
    <n v="637.80999999999995"/>
    <n v="637.79999999999995"/>
    <s v="September 2023"/>
  </r>
  <r>
    <d v="2023-09-30T00:00:00"/>
    <x v="4361"/>
    <n v="14"/>
    <x v="2"/>
    <x v="3"/>
    <x v="1"/>
    <x v="0"/>
    <n v="1860.32"/>
    <x v="2"/>
    <n v="2509.1716796874912"/>
    <n v="2046.35"/>
    <n v="2046.36"/>
    <n v="2046.35"/>
    <s v="September 2023"/>
  </r>
  <r>
    <d v="2023-09-30T00:00:00"/>
    <x v="4362"/>
    <n v="13"/>
    <x v="0"/>
    <x v="5"/>
    <x v="0"/>
    <x v="2"/>
    <n v="840.4"/>
    <x v="2"/>
    <n v="2503.6022787783854"/>
    <n v="924.44"/>
    <n v="924.44"/>
    <n v="924.44"/>
    <s v="September 2023"/>
  </r>
  <r>
    <d v="2023-09-30T00:00:00"/>
    <x v="4363"/>
    <n v="32"/>
    <x v="2"/>
    <x v="4"/>
    <x v="2"/>
    <x v="0"/>
    <n v="451.14"/>
    <x v="1"/>
    <n v="2440.2966694490838"/>
    <n v="496.25"/>
    <n v="496.26"/>
    <n v="496.25"/>
    <s v="September 2023"/>
  </r>
  <r>
    <d v="2023-09-30T00:00:00"/>
    <x v="4364"/>
    <n v="68"/>
    <x v="0"/>
    <x v="4"/>
    <x v="3"/>
    <x v="2"/>
    <n v="4610.97"/>
    <x v="0"/>
    <n v="2496.7676064256989"/>
    <n v="5072.0600000000004"/>
    <n v="5072.0700000000006"/>
    <n v="5072.07"/>
    <s v="September 2023"/>
  </r>
  <r>
    <d v="2023-09-30T00:00:00"/>
    <x v="4365"/>
    <n v="40"/>
    <x v="2"/>
    <x v="1"/>
    <x v="1"/>
    <x v="1"/>
    <n v="4130.92"/>
    <x v="1"/>
    <n v="2509.1716796874912"/>
    <n v="4544.01"/>
    <n v="4544.0200000000004"/>
    <n v="4544.01"/>
    <s v="September 2023"/>
  </r>
  <r>
    <d v="2023-09-30T00:00:00"/>
    <x v="4366"/>
    <n v="37"/>
    <x v="0"/>
    <x v="4"/>
    <x v="3"/>
    <x v="0"/>
    <n v="4303.57"/>
    <x v="1"/>
    <n v="2496.7676064256989"/>
    <n v="4733.92"/>
    <n v="4733.93"/>
    <n v="4733.93"/>
    <s v="September 2023"/>
  </r>
  <r>
    <d v="2023-09-30T00:00:00"/>
    <x v="4367"/>
    <n v="83"/>
    <x v="1"/>
    <x v="1"/>
    <x v="0"/>
    <x v="4"/>
    <n v="1280.82"/>
    <x v="0"/>
    <n v="2503.6022787783854"/>
    <n v="1408.9"/>
    <n v="1408.91"/>
    <n v="1408.9"/>
    <s v="September 2023"/>
  </r>
  <r>
    <d v="2023-09-30T00:00:00"/>
    <x v="4368"/>
    <n v="42"/>
    <x v="1"/>
    <x v="7"/>
    <x v="2"/>
    <x v="0"/>
    <n v="2753.23"/>
    <x v="1"/>
    <n v="2440.2966694490838"/>
    <n v="3028.55"/>
    <n v="3028.5600000000004"/>
    <n v="3028.55"/>
    <s v="September 2023"/>
  </r>
  <r>
    <d v="2023-09-30T00:00:00"/>
    <x v="4369"/>
    <n v="20"/>
    <x v="1"/>
    <x v="4"/>
    <x v="0"/>
    <x v="1"/>
    <n v="3044.43"/>
    <x v="1"/>
    <n v="2503.6022787783854"/>
    <n v="3348.87"/>
    <n v="3348.88"/>
    <n v="3348.87"/>
    <s v="September 2023"/>
  </r>
  <r>
    <d v="2023-09-30T00:00:00"/>
    <x v="4370"/>
    <n v="23"/>
    <x v="2"/>
    <x v="4"/>
    <x v="2"/>
    <x v="5"/>
    <n v="2992.14"/>
    <x v="1"/>
    <n v="2440.2966694490838"/>
    <n v="3291.35"/>
    <n v="3291.36"/>
    <n v="3291.35"/>
    <s v="September 2023"/>
  </r>
  <r>
    <d v="2023-10-01T00:00:00"/>
    <x v="4371"/>
    <n v="30"/>
    <x v="2"/>
    <x v="0"/>
    <x v="0"/>
    <x v="1"/>
    <n v="3483.94"/>
    <x v="1"/>
    <n v="2503.6022787783854"/>
    <n v="3832.33"/>
    <n v="3832.34"/>
    <n v="3832.33"/>
    <s v="October 2023"/>
  </r>
  <r>
    <d v="2023-10-01T00:00:00"/>
    <x v="4372"/>
    <n v="53"/>
    <x v="2"/>
    <x v="7"/>
    <x v="2"/>
    <x v="0"/>
    <n v="490.33"/>
    <x v="1"/>
    <n v="2440.2966694490838"/>
    <n v="539.36"/>
    <n v="539.37"/>
    <n v="539.36"/>
    <s v="October 2023"/>
  </r>
  <r>
    <d v="2023-10-01T00:00:00"/>
    <x v="4373"/>
    <n v="95"/>
    <x v="0"/>
    <x v="5"/>
    <x v="1"/>
    <x v="3"/>
    <n v="3646.65"/>
    <x v="0"/>
    <n v="2509.1716796874912"/>
    <n v="4011.31"/>
    <n v="4011.32"/>
    <n v="4011.32"/>
    <s v="October 2023"/>
  </r>
  <r>
    <d v="2023-10-01T00:00:00"/>
    <x v="4374"/>
    <n v="2"/>
    <x v="2"/>
    <x v="4"/>
    <x v="2"/>
    <x v="1"/>
    <n v="4228.24"/>
    <x v="2"/>
    <n v="2440.2966694490838"/>
    <n v="4651.0600000000004"/>
    <n v="4651.0700000000006"/>
    <n v="4651.0600000000004"/>
    <s v="October 2023"/>
  </r>
  <r>
    <d v="2023-10-01T00:00:00"/>
    <x v="4375"/>
    <n v="3"/>
    <x v="1"/>
    <x v="4"/>
    <x v="3"/>
    <x v="4"/>
    <n v="2773.86"/>
    <x v="2"/>
    <n v="2496.7676064256989"/>
    <n v="3051.24"/>
    <n v="3051.25"/>
    <n v="3051.25"/>
    <s v="October 2023"/>
  </r>
  <r>
    <d v="2023-10-01T00:00:00"/>
    <x v="4376"/>
    <n v="48"/>
    <x v="0"/>
    <x v="3"/>
    <x v="1"/>
    <x v="4"/>
    <n v="4904.28"/>
    <x v="1"/>
    <n v="2509.1716796874912"/>
    <n v="5394.7"/>
    <n v="5394.71"/>
    <n v="5394.71"/>
    <s v="October 2023"/>
  </r>
  <r>
    <d v="2023-10-01T00:00:00"/>
    <x v="4377"/>
    <n v="54"/>
    <x v="1"/>
    <x v="0"/>
    <x v="1"/>
    <x v="0"/>
    <n v="364.27"/>
    <x v="1"/>
    <n v="2509.1716796874912"/>
    <n v="400.69"/>
    <n v="400.7"/>
    <n v="400.7"/>
    <s v="October 2023"/>
  </r>
  <r>
    <d v="2023-10-02T00:00:00"/>
    <x v="4378"/>
    <n v="76"/>
    <x v="2"/>
    <x v="1"/>
    <x v="2"/>
    <x v="2"/>
    <n v="4290.8100000000004"/>
    <x v="0"/>
    <n v="2440.2966694490838"/>
    <n v="4719.8900000000003"/>
    <n v="4719.9000000000005"/>
    <n v="4719.8900000000003"/>
    <s v="October 2023"/>
  </r>
  <r>
    <d v="2023-10-02T00:00:00"/>
    <x v="4379"/>
    <n v="33"/>
    <x v="0"/>
    <x v="0"/>
    <x v="3"/>
    <x v="2"/>
    <n v="780.57"/>
    <x v="1"/>
    <n v="2496.7676064256989"/>
    <n v="858.62"/>
    <n v="858.63"/>
    <n v="858.63"/>
    <s v="October 2023"/>
  </r>
  <r>
    <d v="2023-10-02T00:00:00"/>
    <x v="4380"/>
    <n v="83"/>
    <x v="2"/>
    <x v="3"/>
    <x v="2"/>
    <x v="0"/>
    <n v="4399.09"/>
    <x v="0"/>
    <n v="2440.2966694490838"/>
    <n v="4838.99"/>
    <n v="4839"/>
    <n v="4839"/>
    <s v="October 2023"/>
  </r>
  <r>
    <d v="2023-10-02T00:00:00"/>
    <x v="4381"/>
    <n v="34"/>
    <x v="0"/>
    <x v="5"/>
    <x v="1"/>
    <x v="2"/>
    <n v="545.11"/>
    <x v="1"/>
    <n v="2509.1716796874912"/>
    <n v="599.62"/>
    <n v="599.63"/>
    <n v="599.62"/>
    <s v="October 2023"/>
  </r>
  <r>
    <d v="2023-10-02T00:00:00"/>
    <x v="4382"/>
    <n v="29"/>
    <x v="1"/>
    <x v="2"/>
    <x v="2"/>
    <x v="2"/>
    <n v="4230.87"/>
    <x v="1"/>
    <n v="2440.2966694490838"/>
    <n v="4653.95"/>
    <n v="4653.96"/>
    <n v="4653.96"/>
    <s v="October 2023"/>
  </r>
  <r>
    <d v="2023-10-02T00:00:00"/>
    <x v="4383"/>
    <n v="87"/>
    <x v="2"/>
    <x v="0"/>
    <x v="0"/>
    <x v="1"/>
    <n v="2124.92"/>
    <x v="0"/>
    <n v="2503.6022787783854"/>
    <n v="2337.41"/>
    <n v="2337.42"/>
    <n v="2337.41"/>
    <s v="October 2023"/>
  </r>
  <r>
    <d v="2023-10-02T00:00:00"/>
    <x v="4384"/>
    <n v="86"/>
    <x v="0"/>
    <x v="3"/>
    <x v="1"/>
    <x v="4"/>
    <n v="2740.49"/>
    <x v="0"/>
    <n v="2509.1716796874912"/>
    <n v="3014.53"/>
    <n v="3014.5400000000004"/>
    <n v="3014.54"/>
    <s v="October 2023"/>
  </r>
  <r>
    <d v="2023-10-02T00:00:00"/>
    <x v="4385"/>
    <n v="14"/>
    <x v="2"/>
    <x v="3"/>
    <x v="0"/>
    <x v="2"/>
    <n v="256.33"/>
    <x v="2"/>
    <n v="2503.6022787783854"/>
    <n v="281.95999999999998"/>
    <n v="281.96999999999997"/>
    <n v="281.95999999999998"/>
    <s v="October 2023"/>
  </r>
  <r>
    <d v="2023-10-03T00:00:00"/>
    <x v="4386"/>
    <n v="54"/>
    <x v="2"/>
    <x v="1"/>
    <x v="3"/>
    <x v="0"/>
    <n v="1156.04"/>
    <x v="1"/>
    <n v="2496.7676064256989"/>
    <n v="1271.6400000000001"/>
    <n v="1271.6500000000001"/>
    <n v="1271.6400000000001"/>
    <s v="October 2023"/>
  </r>
  <r>
    <d v="2023-10-03T00:00:00"/>
    <x v="4387"/>
    <n v="54"/>
    <x v="2"/>
    <x v="3"/>
    <x v="0"/>
    <x v="3"/>
    <n v="3289.53"/>
    <x v="1"/>
    <n v="2503.6022787783854"/>
    <n v="3618.48"/>
    <n v="3618.4900000000002"/>
    <n v="3618.48"/>
    <s v="October 2023"/>
  </r>
  <r>
    <d v="2023-10-03T00:00:00"/>
    <x v="4388"/>
    <n v="31"/>
    <x v="0"/>
    <x v="6"/>
    <x v="3"/>
    <x v="2"/>
    <n v="4644.7299999999996"/>
    <x v="1"/>
    <n v="2496.7676064256989"/>
    <n v="5109.2"/>
    <n v="5109.21"/>
    <n v="5109.2"/>
    <s v="October 2023"/>
  </r>
  <r>
    <d v="2023-10-03T00:00:00"/>
    <x v="4389"/>
    <n v="49"/>
    <x v="2"/>
    <x v="2"/>
    <x v="3"/>
    <x v="3"/>
    <n v="2412.36"/>
    <x v="1"/>
    <n v="2496.7676064256989"/>
    <n v="2653.59"/>
    <n v="2653.6000000000004"/>
    <n v="2653.6"/>
    <s v="October 2023"/>
  </r>
  <r>
    <d v="2023-10-03T00:00:00"/>
    <x v="4390"/>
    <n v="65"/>
    <x v="0"/>
    <x v="0"/>
    <x v="0"/>
    <x v="3"/>
    <n v="646.36"/>
    <x v="0"/>
    <n v="2503.6022787783854"/>
    <n v="710.99"/>
    <n v="711"/>
    <n v="711"/>
    <s v="October 2023"/>
  </r>
  <r>
    <d v="2023-10-03T00:00:00"/>
    <x v="4391"/>
    <n v="45"/>
    <x v="1"/>
    <x v="5"/>
    <x v="0"/>
    <x v="3"/>
    <n v="646.70000000000005"/>
    <x v="1"/>
    <n v="2503.6022787783854"/>
    <n v="711.37"/>
    <n v="711.37"/>
    <n v="711.37"/>
    <s v="October 2023"/>
  </r>
  <r>
    <d v="2023-10-03T00:00:00"/>
    <x v="4392"/>
    <n v="69"/>
    <x v="2"/>
    <x v="3"/>
    <x v="3"/>
    <x v="3"/>
    <n v="4874.75"/>
    <x v="0"/>
    <n v="2496.7676064256989"/>
    <n v="5362.22"/>
    <n v="5362.2300000000005"/>
    <n v="5362.23"/>
    <s v="October 2023"/>
  </r>
  <r>
    <d v="2023-10-04T00:00:00"/>
    <x v="4393"/>
    <n v="9"/>
    <x v="0"/>
    <x v="4"/>
    <x v="1"/>
    <x v="4"/>
    <n v="794.96"/>
    <x v="2"/>
    <n v="2509.1716796874912"/>
    <n v="874.45"/>
    <n v="874.46"/>
    <n v="874.46"/>
    <s v="October 2023"/>
  </r>
  <r>
    <d v="2023-10-04T00:00:00"/>
    <x v="4394"/>
    <n v="21"/>
    <x v="2"/>
    <x v="5"/>
    <x v="3"/>
    <x v="4"/>
    <n v="1124.08"/>
    <x v="1"/>
    <n v="2496.7676064256989"/>
    <n v="1236.48"/>
    <n v="1236.49"/>
    <n v="1236.49"/>
    <s v="October 2023"/>
  </r>
  <r>
    <d v="2023-10-04T00:00:00"/>
    <x v="4395"/>
    <n v="89"/>
    <x v="2"/>
    <x v="6"/>
    <x v="0"/>
    <x v="3"/>
    <n v="230.35"/>
    <x v="0"/>
    <n v="2503.6022787783854"/>
    <n v="253.38"/>
    <n v="253.39"/>
    <n v="253.39"/>
    <s v="October 2023"/>
  </r>
  <r>
    <d v="2023-10-04T00:00:00"/>
    <x v="4396"/>
    <n v="44"/>
    <x v="2"/>
    <x v="4"/>
    <x v="0"/>
    <x v="2"/>
    <n v="1122.5999999999999"/>
    <x v="1"/>
    <n v="2503.6022787783854"/>
    <n v="1234.8599999999999"/>
    <n v="1234.8599999999999"/>
    <n v="1234.8599999999999"/>
    <s v="October 2023"/>
  </r>
  <r>
    <d v="2023-10-04T00:00:00"/>
    <x v="4397"/>
    <n v="60"/>
    <x v="2"/>
    <x v="0"/>
    <x v="2"/>
    <x v="1"/>
    <n v="347.62"/>
    <x v="1"/>
    <n v="2440.2966694490838"/>
    <n v="382.38"/>
    <n v="382.39"/>
    <n v="382.38"/>
    <s v="October 2023"/>
  </r>
  <r>
    <d v="2023-10-04T00:00:00"/>
    <x v="4398"/>
    <n v="8"/>
    <x v="2"/>
    <x v="6"/>
    <x v="1"/>
    <x v="4"/>
    <n v="449.88"/>
    <x v="2"/>
    <n v="2509.1716796874912"/>
    <n v="494.86"/>
    <n v="494.87"/>
    <n v="494.87"/>
    <s v="October 2023"/>
  </r>
  <r>
    <d v="2023-10-04T00:00:00"/>
    <x v="4399"/>
    <n v="28"/>
    <x v="1"/>
    <x v="1"/>
    <x v="1"/>
    <x v="4"/>
    <n v="3636.81"/>
    <x v="1"/>
    <n v="2509.1716796874912"/>
    <n v="4000.49"/>
    <n v="4000.5"/>
    <n v="4000.49"/>
    <s v="October 2023"/>
  </r>
  <r>
    <d v="2023-10-04T00:00:00"/>
    <x v="4400"/>
    <n v="72"/>
    <x v="2"/>
    <x v="7"/>
    <x v="3"/>
    <x v="1"/>
    <n v="4356.66"/>
    <x v="0"/>
    <n v="2496.7676064256989"/>
    <n v="4792.32"/>
    <n v="4792.33"/>
    <n v="4792.33"/>
    <s v="October 2023"/>
  </r>
  <r>
    <d v="2023-10-04T00:00:00"/>
    <x v="4401"/>
    <n v="29"/>
    <x v="1"/>
    <x v="0"/>
    <x v="3"/>
    <x v="4"/>
    <n v="699.92"/>
    <x v="1"/>
    <n v="2496.7676064256989"/>
    <n v="769.91"/>
    <n v="769.92"/>
    <n v="769.91"/>
    <s v="October 2023"/>
  </r>
  <r>
    <d v="2023-10-05T00:00:00"/>
    <x v="4402"/>
    <n v="97"/>
    <x v="1"/>
    <x v="0"/>
    <x v="2"/>
    <x v="0"/>
    <n v="2221.69"/>
    <x v="0"/>
    <n v="2440.2966694490838"/>
    <n v="2443.85"/>
    <n v="2443.86"/>
    <n v="2443.86"/>
    <s v="October 2023"/>
  </r>
  <r>
    <d v="2023-10-05T00:00:00"/>
    <x v="4403"/>
    <n v="6"/>
    <x v="2"/>
    <x v="2"/>
    <x v="3"/>
    <x v="2"/>
    <n v="1757.96"/>
    <x v="2"/>
    <n v="2496.7676064256989"/>
    <n v="1933.75"/>
    <n v="1933.76"/>
    <n v="1933.76"/>
    <s v="October 2023"/>
  </r>
  <r>
    <d v="2023-10-05T00:00:00"/>
    <x v="4404"/>
    <n v="36"/>
    <x v="0"/>
    <x v="1"/>
    <x v="0"/>
    <x v="4"/>
    <n v="4263.96"/>
    <x v="1"/>
    <n v="2503.6022787783854"/>
    <n v="4690.3500000000004"/>
    <n v="4690.3600000000006"/>
    <n v="4690.3599999999997"/>
    <s v="October 2023"/>
  </r>
  <r>
    <d v="2023-10-05T00:00:00"/>
    <x v="4405"/>
    <n v="8"/>
    <x v="1"/>
    <x v="0"/>
    <x v="3"/>
    <x v="1"/>
    <n v="3632.59"/>
    <x v="2"/>
    <n v="2496.7676064256989"/>
    <n v="3995.84"/>
    <n v="3995.8500000000004"/>
    <n v="3995.85"/>
    <s v="October 2023"/>
  </r>
  <r>
    <d v="2023-10-05T00:00:00"/>
    <x v="4406"/>
    <n v="10"/>
    <x v="1"/>
    <x v="3"/>
    <x v="1"/>
    <x v="3"/>
    <n v="501.21"/>
    <x v="2"/>
    <n v="2509.1716796874912"/>
    <n v="551.33000000000004"/>
    <n v="551.34"/>
    <n v="551.33000000000004"/>
    <s v="October 2023"/>
  </r>
  <r>
    <d v="2023-10-05T00:00:00"/>
    <x v="4407"/>
    <n v="8"/>
    <x v="0"/>
    <x v="0"/>
    <x v="3"/>
    <x v="4"/>
    <n v="4545.54"/>
    <x v="2"/>
    <n v="2496.7676064256989"/>
    <n v="5000.09"/>
    <n v="5000.1000000000004"/>
    <n v="5000.09"/>
    <s v="October 2023"/>
  </r>
  <r>
    <d v="2023-10-05T00:00:00"/>
    <x v="4408"/>
    <n v="87"/>
    <x v="0"/>
    <x v="0"/>
    <x v="3"/>
    <x v="0"/>
    <n v="4719.03"/>
    <x v="0"/>
    <n v="2496.7676064256989"/>
    <n v="5190.93"/>
    <n v="5190.9400000000005"/>
    <n v="5190.93"/>
    <s v="October 2023"/>
  </r>
  <r>
    <d v="2023-10-06T00:00:00"/>
    <x v="4409"/>
    <n v="37"/>
    <x v="0"/>
    <x v="2"/>
    <x v="3"/>
    <x v="1"/>
    <n v="2909.23"/>
    <x v="1"/>
    <n v="2496.7676064256989"/>
    <n v="3200.15"/>
    <n v="3200.1600000000003"/>
    <n v="3200.15"/>
    <s v="October 2023"/>
  </r>
  <r>
    <d v="2023-10-06T00:00:00"/>
    <x v="4410"/>
    <n v="52"/>
    <x v="0"/>
    <x v="5"/>
    <x v="0"/>
    <x v="2"/>
    <n v="4354.82"/>
    <x v="1"/>
    <n v="2503.6022787783854"/>
    <n v="4790.3"/>
    <n v="4790.3100000000004"/>
    <n v="4790.3"/>
    <s v="October 2023"/>
  </r>
  <r>
    <d v="2023-10-06T00:00:00"/>
    <x v="4411"/>
    <n v="29"/>
    <x v="1"/>
    <x v="1"/>
    <x v="0"/>
    <x v="2"/>
    <n v="1718.05"/>
    <x v="1"/>
    <n v="2503.6022787783854"/>
    <n v="1889.85"/>
    <n v="1889.86"/>
    <n v="1889.86"/>
    <s v="October 2023"/>
  </r>
  <r>
    <d v="2023-10-06T00:00:00"/>
    <x v="4412"/>
    <n v="97"/>
    <x v="1"/>
    <x v="3"/>
    <x v="1"/>
    <x v="4"/>
    <n v="1088.17"/>
    <x v="0"/>
    <n v="2509.1716796874912"/>
    <n v="1196.98"/>
    <n v="1196.99"/>
    <n v="1196.99"/>
    <s v="October 2023"/>
  </r>
  <r>
    <d v="2023-10-06T00:00:00"/>
    <x v="4413"/>
    <n v="20"/>
    <x v="2"/>
    <x v="5"/>
    <x v="1"/>
    <x v="2"/>
    <n v="3762.16"/>
    <x v="1"/>
    <n v="2509.1716796874912"/>
    <n v="4138.37"/>
    <n v="4138.38"/>
    <n v="4138.38"/>
    <s v="October 2023"/>
  </r>
  <r>
    <d v="2023-10-06T00:00:00"/>
    <x v="4414"/>
    <n v="37"/>
    <x v="2"/>
    <x v="5"/>
    <x v="0"/>
    <x v="2"/>
    <n v="3521.13"/>
    <x v="1"/>
    <n v="2503.6022787783854"/>
    <n v="3873.24"/>
    <n v="3873.25"/>
    <n v="3873.24"/>
    <s v="October 2023"/>
  </r>
  <r>
    <d v="2023-10-06T00:00:00"/>
    <x v="4415"/>
    <n v="26"/>
    <x v="2"/>
    <x v="4"/>
    <x v="2"/>
    <x v="4"/>
    <n v="3503.58"/>
    <x v="1"/>
    <n v="2440.2966694490838"/>
    <n v="3853.93"/>
    <n v="3853.94"/>
    <n v="3853.94"/>
    <s v="October 2023"/>
  </r>
  <r>
    <d v="2023-10-06T00:00:00"/>
    <x v="4416"/>
    <n v="36"/>
    <x v="0"/>
    <x v="4"/>
    <x v="3"/>
    <x v="3"/>
    <n v="1610.77"/>
    <x v="1"/>
    <n v="2496.7676064256989"/>
    <n v="1771.84"/>
    <n v="1771.85"/>
    <n v="1771.85"/>
    <s v="October 2023"/>
  </r>
  <r>
    <d v="2023-10-07T00:00:00"/>
    <x v="4417"/>
    <n v="37"/>
    <x v="1"/>
    <x v="1"/>
    <x v="2"/>
    <x v="1"/>
    <n v="2448.8000000000002"/>
    <x v="1"/>
    <n v="2440.2966694490838"/>
    <n v="2693.68"/>
    <n v="2693.68"/>
    <n v="2693.68"/>
    <s v="October 2023"/>
  </r>
  <r>
    <d v="2023-10-07T00:00:00"/>
    <x v="4418"/>
    <n v="2"/>
    <x v="2"/>
    <x v="2"/>
    <x v="0"/>
    <x v="3"/>
    <n v="2633.92"/>
    <x v="2"/>
    <n v="2503.6022787783854"/>
    <n v="2897.31"/>
    <n v="2897.32"/>
    <n v="2897.31"/>
    <s v="October 2023"/>
  </r>
  <r>
    <d v="2023-10-07T00:00:00"/>
    <x v="4419"/>
    <n v="82"/>
    <x v="1"/>
    <x v="5"/>
    <x v="1"/>
    <x v="2"/>
    <n v="1012.96"/>
    <x v="0"/>
    <n v="2509.1716796874912"/>
    <n v="1114.25"/>
    <n v="1114.26"/>
    <n v="1114.26"/>
    <s v="October 2023"/>
  </r>
  <r>
    <d v="2023-10-07T00:00:00"/>
    <x v="4420"/>
    <n v="45"/>
    <x v="2"/>
    <x v="0"/>
    <x v="0"/>
    <x v="2"/>
    <n v="1000.35"/>
    <x v="1"/>
    <n v="2503.6022787783854"/>
    <n v="1100.3800000000001"/>
    <n v="1100.3900000000001"/>
    <n v="1100.3900000000001"/>
    <s v="October 2023"/>
  </r>
  <r>
    <d v="2023-10-07T00:00:00"/>
    <x v="4421"/>
    <n v="82"/>
    <x v="0"/>
    <x v="3"/>
    <x v="1"/>
    <x v="2"/>
    <n v="1754.32"/>
    <x v="0"/>
    <n v="2509.1716796874912"/>
    <n v="1929.75"/>
    <n v="1929.76"/>
    <n v="1929.75"/>
    <s v="October 2023"/>
  </r>
  <r>
    <d v="2023-10-07T00:00:00"/>
    <x v="4422"/>
    <n v="19"/>
    <x v="0"/>
    <x v="7"/>
    <x v="1"/>
    <x v="3"/>
    <n v="1494.13"/>
    <x v="1"/>
    <n v="2509.1716796874912"/>
    <n v="1643.54"/>
    <n v="1643.55"/>
    <n v="1643.54"/>
    <s v="October 2023"/>
  </r>
  <r>
    <d v="2023-10-07T00:00:00"/>
    <x v="4423"/>
    <n v="70"/>
    <x v="0"/>
    <x v="0"/>
    <x v="3"/>
    <x v="1"/>
    <n v="3894.1"/>
    <x v="0"/>
    <n v="2496.7676064256989"/>
    <n v="4283.51"/>
    <n v="4283.51"/>
    <n v="4283.51"/>
    <s v="October 2023"/>
  </r>
  <r>
    <d v="2023-10-07T00:00:00"/>
    <x v="4424"/>
    <n v="11"/>
    <x v="0"/>
    <x v="1"/>
    <x v="2"/>
    <x v="0"/>
    <n v="715.42"/>
    <x v="2"/>
    <n v="2440.2966694490838"/>
    <n v="786.96"/>
    <n v="786.97"/>
    <n v="786.96"/>
    <s v="October 2023"/>
  </r>
  <r>
    <d v="2023-10-07T00:00:00"/>
    <x v="4425"/>
    <n v="80"/>
    <x v="2"/>
    <x v="7"/>
    <x v="3"/>
    <x v="3"/>
    <n v="3441.45"/>
    <x v="0"/>
    <n v="2496.7676064256989"/>
    <n v="3785.59"/>
    <n v="3785.6000000000004"/>
    <n v="3785.6"/>
    <s v="October 2023"/>
  </r>
  <r>
    <d v="2023-10-08T00:00:00"/>
    <x v="4426"/>
    <n v="6"/>
    <x v="1"/>
    <x v="4"/>
    <x v="2"/>
    <x v="3"/>
    <n v="4076.51"/>
    <x v="2"/>
    <n v="2440.2966694490838"/>
    <n v="4484.16"/>
    <n v="4484.17"/>
    <n v="4484.16"/>
    <s v="October 2023"/>
  </r>
  <r>
    <d v="2023-10-08T00:00:00"/>
    <x v="4427"/>
    <n v="74"/>
    <x v="0"/>
    <x v="2"/>
    <x v="0"/>
    <x v="4"/>
    <n v="4561.4399999999996"/>
    <x v="0"/>
    <n v="2503.6022787783854"/>
    <n v="5017.58"/>
    <n v="5017.59"/>
    <n v="5017.58"/>
    <s v="October 2023"/>
  </r>
  <r>
    <d v="2023-10-08T00:00:00"/>
    <x v="4428"/>
    <n v="71"/>
    <x v="1"/>
    <x v="7"/>
    <x v="0"/>
    <x v="4"/>
    <n v="2766.65"/>
    <x v="0"/>
    <n v="2503.6022787783854"/>
    <n v="3043.31"/>
    <n v="3043.32"/>
    <n v="3043.32"/>
    <s v="October 2023"/>
  </r>
  <r>
    <d v="2023-10-08T00:00:00"/>
    <x v="4429"/>
    <n v="89"/>
    <x v="2"/>
    <x v="7"/>
    <x v="2"/>
    <x v="2"/>
    <n v="3444.43"/>
    <x v="0"/>
    <n v="2440.2966694490838"/>
    <n v="3788.87"/>
    <n v="3788.88"/>
    <n v="3788.87"/>
    <s v="October 2023"/>
  </r>
  <r>
    <d v="2023-10-08T00:00:00"/>
    <x v="4430"/>
    <n v="16"/>
    <x v="0"/>
    <x v="1"/>
    <x v="3"/>
    <x v="1"/>
    <n v="1305.06"/>
    <x v="1"/>
    <n v="2496.7676064256989"/>
    <n v="1435.56"/>
    <n v="1435.57"/>
    <n v="1435.57"/>
    <s v="October 2023"/>
  </r>
  <r>
    <d v="2023-10-08T00:00:00"/>
    <x v="4431"/>
    <n v="32"/>
    <x v="0"/>
    <x v="4"/>
    <x v="1"/>
    <x v="1"/>
    <n v="3902.91"/>
    <x v="1"/>
    <n v="2509.1716796874912"/>
    <n v="4293.2"/>
    <n v="4293.21"/>
    <n v="4293.2"/>
    <s v="October 2023"/>
  </r>
  <r>
    <d v="2023-10-08T00:00:00"/>
    <x v="4432"/>
    <n v="96"/>
    <x v="0"/>
    <x v="4"/>
    <x v="0"/>
    <x v="4"/>
    <n v="935.45"/>
    <x v="0"/>
    <n v="2503.6022787783854"/>
    <n v="1028.99"/>
    <n v="1029"/>
    <n v="1029"/>
    <s v="October 2023"/>
  </r>
  <r>
    <d v="2023-10-08T00:00:00"/>
    <x v="4433"/>
    <n v="55"/>
    <x v="0"/>
    <x v="3"/>
    <x v="3"/>
    <x v="2"/>
    <n v="1220.83"/>
    <x v="1"/>
    <n v="2496.7676064256989"/>
    <n v="1342.91"/>
    <n v="1342.92"/>
    <n v="1342.91"/>
    <s v="October 2023"/>
  </r>
  <r>
    <d v="2023-10-08T00:00:00"/>
    <x v="4434"/>
    <n v="76"/>
    <x v="1"/>
    <x v="3"/>
    <x v="3"/>
    <x v="1"/>
    <n v="2962.1"/>
    <x v="0"/>
    <n v="2496.7676064256989"/>
    <n v="3258.31"/>
    <n v="3258.31"/>
    <n v="3258.31"/>
    <s v="October 2023"/>
  </r>
  <r>
    <d v="2023-10-09T00:00:00"/>
    <x v="4435"/>
    <n v="79"/>
    <x v="0"/>
    <x v="0"/>
    <x v="2"/>
    <x v="1"/>
    <n v="2760.26"/>
    <x v="0"/>
    <n v="2440.2966694490838"/>
    <n v="3036.28"/>
    <n v="3036.2900000000004"/>
    <n v="3036.29"/>
    <s v="October 2023"/>
  </r>
  <r>
    <d v="2023-10-09T00:00:00"/>
    <x v="4436"/>
    <n v="83"/>
    <x v="1"/>
    <x v="3"/>
    <x v="1"/>
    <x v="4"/>
    <n v="2985"/>
    <x v="0"/>
    <n v="2509.1716796874912"/>
    <n v="3283.5"/>
    <n v="3283.5"/>
    <n v="3283.5"/>
    <s v="October 2023"/>
  </r>
  <r>
    <d v="2023-10-10T00:00:00"/>
    <x v="4437"/>
    <n v="75"/>
    <x v="1"/>
    <x v="3"/>
    <x v="1"/>
    <x v="4"/>
    <n v="4328.9399999999996"/>
    <x v="0"/>
    <n v="2509.1716796874912"/>
    <n v="4761.83"/>
    <n v="4761.84"/>
    <n v="4761.83"/>
    <s v="October 2023"/>
  </r>
  <r>
    <d v="2023-10-10T00:00:00"/>
    <x v="4438"/>
    <n v="21"/>
    <x v="1"/>
    <x v="4"/>
    <x v="2"/>
    <x v="3"/>
    <n v="1387.59"/>
    <x v="1"/>
    <n v="2440.2966694490838"/>
    <n v="1526.34"/>
    <n v="1526.35"/>
    <n v="1526.35"/>
    <s v="October 2023"/>
  </r>
  <r>
    <d v="2023-10-10T00:00:00"/>
    <x v="4439"/>
    <n v="78"/>
    <x v="2"/>
    <x v="2"/>
    <x v="3"/>
    <x v="2"/>
    <n v="3753.54"/>
    <x v="0"/>
    <n v="2496.7676064256989"/>
    <n v="4128.8900000000003"/>
    <n v="4128.9000000000005"/>
    <n v="4128.8900000000003"/>
    <s v="October 2023"/>
  </r>
  <r>
    <d v="2023-10-10T00:00:00"/>
    <x v="4440"/>
    <n v="48"/>
    <x v="2"/>
    <x v="2"/>
    <x v="0"/>
    <x v="1"/>
    <n v="20.23"/>
    <x v="1"/>
    <n v="2503.6022787783854"/>
    <n v="22.25"/>
    <n v="22.26"/>
    <n v="22.25"/>
    <s v="October 2023"/>
  </r>
  <r>
    <d v="2023-10-10T00:00:00"/>
    <x v="4441"/>
    <n v="65"/>
    <x v="1"/>
    <x v="0"/>
    <x v="1"/>
    <x v="4"/>
    <n v="1165.82"/>
    <x v="0"/>
    <n v="2509.1716796874912"/>
    <n v="1282.4000000000001"/>
    <n v="1282.4100000000001"/>
    <n v="1282.4000000000001"/>
    <s v="October 2023"/>
  </r>
  <r>
    <d v="2023-10-10T00:00:00"/>
    <x v="4442"/>
    <n v="54"/>
    <x v="0"/>
    <x v="2"/>
    <x v="2"/>
    <x v="0"/>
    <n v="990.77"/>
    <x v="1"/>
    <n v="2440.2966694490838"/>
    <n v="1089.8399999999999"/>
    <n v="1089.8499999999999"/>
    <n v="1089.8499999999999"/>
    <s v="October 2023"/>
  </r>
  <r>
    <d v="2023-10-10T00:00:00"/>
    <x v="4443"/>
    <n v="5"/>
    <x v="1"/>
    <x v="2"/>
    <x v="1"/>
    <x v="0"/>
    <n v="881.05"/>
    <x v="2"/>
    <n v="2509.1716796874912"/>
    <n v="969.15"/>
    <n v="969.16"/>
    <n v="969.16"/>
    <s v="October 2023"/>
  </r>
  <r>
    <d v="2023-10-10T00:00:00"/>
    <x v="4444"/>
    <n v="84"/>
    <x v="1"/>
    <x v="6"/>
    <x v="3"/>
    <x v="4"/>
    <n v="329.68"/>
    <x v="0"/>
    <n v="2496.7676064256989"/>
    <n v="362.64"/>
    <n v="362.65"/>
    <n v="362.65"/>
    <s v="October 2023"/>
  </r>
  <r>
    <d v="2023-10-10T00:00:00"/>
    <x v="4445"/>
    <n v="35"/>
    <x v="1"/>
    <x v="1"/>
    <x v="2"/>
    <x v="0"/>
    <n v="4627.1499999999996"/>
    <x v="1"/>
    <n v="2440.2966694490838"/>
    <n v="5089.8599999999997"/>
    <n v="5089.87"/>
    <n v="5089.87"/>
    <s v="October 2023"/>
  </r>
  <r>
    <d v="2023-10-10T00:00:00"/>
    <x v="4446"/>
    <n v="98"/>
    <x v="2"/>
    <x v="5"/>
    <x v="3"/>
    <x v="3"/>
    <n v="2145.64"/>
    <x v="0"/>
    <n v="2496.7676064256989"/>
    <n v="2360.1999999999998"/>
    <n v="2360.21"/>
    <n v="2360.1999999999998"/>
    <s v="October 2023"/>
  </r>
  <r>
    <d v="2023-10-10T00:00:00"/>
    <x v="4447"/>
    <n v="7"/>
    <x v="0"/>
    <x v="1"/>
    <x v="3"/>
    <x v="1"/>
    <n v="519.03"/>
    <x v="2"/>
    <n v="2496.7676064256989"/>
    <n v="570.92999999999995"/>
    <n v="570.93999999999994"/>
    <n v="570.92999999999995"/>
    <s v="October 2023"/>
  </r>
  <r>
    <d v="2023-10-11T00:00:00"/>
    <x v="4448"/>
    <n v="87"/>
    <x v="1"/>
    <x v="0"/>
    <x v="2"/>
    <x v="4"/>
    <n v="2091.23"/>
    <x v="0"/>
    <n v="2440.2966694490838"/>
    <n v="2300.35"/>
    <n v="2300.36"/>
    <n v="2300.35"/>
    <s v="October 2023"/>
  </r>
  <r>
    <d v="2023-10-11T00:00:00"/>
    <x v="4449"/>
    <n v="13"/>
    <x v="1"/>
    <x v="6"/>
    <x v="3"/>
    <x v="0"/>
    <n v="776.95"/>
    <x v="2"/>
    <n v="2496.7676064256989"/>
    <n v="854.64"/>
    <n v="854.65"/>
    <n v="854.65"/>
    <s v="October 2023"/>
  </r>
  <r>
    <d v="2023-10-11T00:00:00"/>
    <x v="4450"/>
    <n v="85"/>
    <x v="0"/>
    <x v="5"/>
    <x v="0"/>
    <x v="3"/>
    <n v="1269.1199999999999"/>
    <x v="0"/>
    <n v="2503.6022787783854"/>
    <n v="1396.03"/>
    <n v="1396.04"/>
    <n v="1396.03"/>
    <s v="October 2023"/>
  </r>
  <r>
    <d v="2023-10-12T00:00:00"/>
    <x v="4451"/>
    <n v="5"/>
    <x v="2"/>
    <x v="3"/>
    <x v="3"/>
    <x v="4"/>
    <n v="3191.03"/>
    <x v="2"/>
    <n v="2496.7676064256989"/>
    <n v="3510.13"/>
    <n v="3510.1400000000003"/>
    <n v="3510.13"/>
    <s v="October 2023"/>
  </r>
  <r>
    <d v="2023-10-12T00:00:00"/>
    <x v="4452"/>
    <n v="7"/>
    <x v="2"/>
    <x v="0"/>
    <x v="3"/>
    <x v="3"/>
    <n v="2121.5300000000002"/>
    <x v="2"/>
    <n v="2496.7676064256989"/>
    <n v="2333.6799999999998"/>
    <n v="2333.69"/>
    <n v="2333.6799999999998"/>
    <s v="October 2023"/>
  </r>
  <r>
    <d v="2023-10-12T00:00:00"/>
    <x v="4453"/>
    <n v="59"/>
    <x v="1"/>
    <x v="2"/>
    <x v="3"/>
    <x v="0"/>
    <n v="2544.75"/>
    <x v="1"/>
    <n v="2496.7676064256989"/>
    <n v="2799.22"/>
    <n v="2799.23"/>
    <n v="2799.23"/>
    <s v="October 2023"/>
  </r>
  <r>
    <d v="2023-10-12T00:00:00"/>
    <x v="4454"/>
    <n v="24"/>
    <x v="2"/>
    <x v="7"/>
    <x v="3"/>
    <x v="2"/>
    <n v="3334.5"/>
    <x v="1"/>
    <n v="2496.7676064256989"/>
    <n v="3667.95"/>
    <n v="3667.95"/>
    <n v="3667.95"/>
    <s v="October 2023"/>
  </r>
  <r>
    <d v="2023-10-13T00:00:00"/>
    <x v="4455"/>
    <n v="21"/>
    <x v="1"/>
    <x v="1"/>
    <x v="1"/>
    <x v="1"/>
    <n v="2205.33"/>
    <x v="1"/>
    <n v="2509.1716796874912"/>
    <n v="2425.86"/>
    <n v="2425.8700000000003"/>
    <n v="2425.86"/>
    <s v="October 2023"/>
  </r>
  <r>
    <d v="2023-10-13T00:00:00"/>
    <x v="4456"/>
    <n v="11"/>
    <x v="2"/>
    <x v="7"/>
    <x v="3"/>
    <x v="2"/>
    <n v="2155.33"/>
    <x v="2"/>
    <n v="2496.7676064256989"/>
    <n v="2370.86"/>
    <n v="2370.8700000000003"/>
    <n v="2370.86"/>
    <s v="October 2023"/>
  </r>
  <r>
    <d v="2023-10-13T00:00:00"/>
    <x v="4457"/>
    <n v="91"/>
    <x v="0"/>
    <x v="3"/>
    <x v="1"/>
    <x v="3"/>
    <n v="4721.43"/>
    <x v="0"/>
    <n v="2509.1716796874912"/>
    <n v="5193.57"/>
    <n v="5193.58"/>
    <n v="5193.57"/>
    <s v="October 2023"/>
  </r>
  <r>
    <d v="2023-10-13T00:00:00"/>
    <x v="4458"/>
    <n v="14"/>
    <x v="2"/>
    <x v="5"/>
    <x v="3"/>
    <x v="4"/>
    <n v="3863.77"/>
    <x v="2"/>
    <n v="2496.7676064256989"/>
    <n v="4250.1400000000003"/>
    <n v="4250.1500000000005"/>
    <n v="4250.1499999999996"/>
    <s v="October 2023"/>
  </r>
  <r>
    <d v="2023-10-13T00:00:00"/>
    <x v="4459"/>
    <n v="44"/>
    <x v="0"/>
    <x v="7"/>
    <x v="3"/>
    <x v="2"/>
    <n v="1045.78"/>
    <x v="1"/>
    <n v="2496.7676064256989"/>
    <n v="1150.3499999999999"/>
    <n v="1150.3599999999999"/>
    <n v="1150.3599999999999"/>
    <s v="October 2023"/>
  </r>
  <r>
    <d v="2023-10-14T00:00:00"/>
    <x v="4460"/>
    <n v="67"/>
    <x v="0"/>
    <x v="5"/>
    <x v="1"/>
    <x v="2"/>
    <n v="169.28"/>
    <x v="0"/>
    <n v="2509.1716796874912"/>
    <n v="186.2"/>
    <n v="186.20999999999998"/>
    <n v="186.21"/>
    <s v="October 2023"/>
  </r>
  <r>
    <d v="2023-10-14T00:00:00"/>
    <x v="4461"/>
    <n v="2"/>
    <x v="1"/>
    <x v="7"/>
    <x v="3"/>
    <x v="1"/>
    <n v="4561.97"/>
    <x v="2"/>
    <n v="2496.7676064256989"/>
    <n v="5018.16"/>
    <n v="5018.17"/>
    <n v="5018.17"/>
    <s v="October 2023"/>
  </r>
  <r>
    <d v="2023-10-14T00:00:00"/>
    <x v="4462"/>
    <n v="21"/>
    <x v="1"/>
    <x v="1"/>
    <x v="2"/>
    <x v="0"/>
    <n v="4243.01"/>
    <x v="1"/>
    <n v="2440.2966694490838"/>
    <n v="4667.3100000000004"/>
    <n v="4667.3200000000006"/>
    <n v="4667.3100000000004"/>
    <s v="October 2023"/>
  </r>
  <r>
    <d v="2023-10-14T00:00:00"/>
    <x v="4463"/>
    <n v="91"/>
    <x v="0"/>
    <x v="6"/>
    <x v="2"/>
    <x v="3"/>
    <n v="4681.84"/>
    <x v="0"/>
    <n v="2440.2966694490838"/>
    <n v="5150.0200000000004"/>
    <n v="5150.0300000000007"/>
    <n v="5150.0200000000004"/>
    <s v="October 2023"/>
  </r>
  <r>
    <d v="2023-10-14T00:00:00"/>
    <x v="4464"/>
    <n v="45"/>
    <x v="1"/>
    <x v="3"/>
    <x v="1"/>
    <x v="3"/>
    <n v="82.86"/>
    <x v="1"/>
    <n v="2509.1716796874912"/>
    <n v="91.14"/>
    <n v="91.15"/>
    <n v="91.15"/>
    <s v="October 2023"/>
  </r>
  <r>
    <d v="2023-10-14T00:00:00"/>
    <x v="4465"/>
    <n v="80"/>
    <x v="1"/>
    <x v="5"/>
    <x v="1"/>
    <x v="0"/>
    <n v="4897.8"/>
    <x v="0"/>
    <n v="2509.1716796874912"/>
    <n v="5387.58"/>
    <n v="5387.58"/>
    <n v="5387.58"/>
    <s v="October 2023"/>
  </r>
  <r>
    <d v="2023-10-14T00:00:00"/>
    <x v="4466"/>
    <n v="39"/>
    <x v="1"/>
    <x v="3"/>
    <x v="1"/>
    <x v="0"/>
    <n v="1520.13"/>
    <x v="1"/>
    <n v="2509.1716796874912"/>
    <n v="1672.14"/>
    <n v="1672.15"/>
    <n v="1672.14"/>
    <s v="October 2023"/>
  </r>
  <r>
    <d v="2023-10-15T00:00:00"/>
    <x v="4467"/>
    <n v="16"/>
    <x v="1"/>
    <x v="5"/>
    <x v="2"/>
    <x v="3"/>
    <n v="1778.07"/>
    <x v="1"/>
    <n v="2440.2966694490838"/>
    <n v="1955.87"/>
    <n v="1955.8799999999999"/>
    <n v="1955.88"/>
    <s v="October 2023"/>
  </r>
  <r>
    <d v="2023-10-15T00:00:00"/>
    <x v="4468"/>
    <n v="69"/>
    <x v="2"/>
    <x v="3"/>
    <x v="2"/>
    <x v="5"/>
    <n v="4061.32"/>
    <x v="0"/>
    <n v="2440.2966694490838"/>
    <n v="4467.45"/>
    <n v="4467.46"/>
    <n v="4467.45"/>
    <s v="October 2023"/>
  </r>
  <r>
    <d v="2023-10-15T00:00:00"/>
    <x v="4469"/>
    <n v="87"/>
    <x v="1"/>
    <x v="7"/>
    <x v="0"/>
    <x v="2"/>
    <n v="4181.63"/>
    <x v="0"/>
    <n v="2503.6022787783854"/>
    <n v="4599.79"/>
    <n v="4599.8"/>
    <n v="4599.79"/>
    <s v="October 2023"/>
  </r>
  <r>
    <d v="2023-10-15T00:00:00"/>
    <x v="4470"/>
    <n v="89"/>
    <x v="2"/>
    <x v="7"/>
    <x v="3"/>
    <x v="4"/>
    <n v="1379"/>
    <x v="0"/>
    <n v="2496.7676064256989"/>
    <n v="1516.9"/>
    <n v="1516.9"/>
    <n v="1516.9"/>
    <s v="October 2023"/>
  </r>
  <r>
    <d v="2023-10-15T00:00:00"/>
    <x v="4471"/>
    <n v="95"/>
    <x v="0"/>
    <x v="0"/>
    <x v="3"/>
    <x v="3"/>
    <n v="3789.76"/>
    <x v="0"/>
    <n v="2496.7676064256989"/>
    <n v="4168.7299999999996"/>
    <n v="4168.74"/>
    <n v="4168.74"/>
    <s v="October 2023"/>
  </r>
  <r>
    <d v="2023-10-16T00:00:00"/>
    <x v="4472"/>
    <n v="59"/>
    <x v="1"/>
    <x v="0"/>
    <x v="0"/>
    <x v="4"/>
    <n v="3868.31"/>
    <x v="1"/>
    <n v="2503.6022787783854"/>
    <n v="4255.1400000000003"/>
    <n v="4255.1500000000005"/>
    <n v="4255.1400000000003"/>
    <s v="October 2023"/>
  </r>
  <r>
    <d v="2023-10-16T00:00:00"/>
    <x v="4473"/>
    <n v="85"/>
    <x v="2"/>
    <x v="7"/>
    <x v="1"/>
    <x v="2"/>
    <n v="1142.7"/>
    <x v="0"/>
    <n v="2509.1716796874912"/>
    <n v="1256.97"/>
    <n v="1256.97"/>
    <n v="1256.97"/>
    <s v="October 2023"/>
  </r>
  <r>
    <d v="2023-10-16T00:00:00"/>
    <x v="4474"/>
    <n v="56"/>
    <x v="1"/>
    <x v="1"/>
    <x v="3"/>
    <x v="4"/>
    <n v="2145.38"/>
    <x v="1"/>
    <n v="2496.7676064256989"/>
    <n v="2359.91"/>
    <n v="2359.92"/>
    <n v="2359.92"/>
    <s v="October 2023"/>
  </r>
  <r>
    <d v="2023-10-16T00:00:00"/>
    <x v="4475"/>
    <n v="7"/>
    <x v="2"/>
    <x v="1"/>
    <x v="3"/>
    <x v="4"/>
    <n v="1607.79"/>
    <x v="2"/>
    <n v="2496.7676064256989"/>
    <n v="1768.56"/>
    <n v="1768.57"/>
    <n v="1768.57"/>
    <s v="October 2023"/>
  </r>
  <r>
    <d v="2023-10-16T00:00:00"/>
    <x v="4476"/>
    <n v="82"/>
    <x v="0"/>
    <x v="2"/>
    <x v="1"/>
    <x v="2"/>
    <n v="3331.44"/>
    <x v="0"/>
    <n v="2509.1716796874912"/>
    <n v="3664.58"/>
    <n v="3664.59"/>
    <n v="3664.58"/>
    <s v="October 2023"/>
  </r>
  <r>
    <d v="2023-10-17T00:00:00"/>
    <x v="4477"/>
    <n v="83"/>
    <x v="0"/>
    <x v="3"/>
    <x v="1"/>
    <x v="1"/>
    <n v="4991.76"/>
    <x v="0"/>
    <n v="2509.1716796874912"/>
    <n v="5490.93"/>
    <n v="5490.9400000000005"/>
    <n v="5490.94"/>
    <s v="October 2023"/>
  </r>
  <r>
    <d v="2023-10-17T00:00:00"/>
    <x v="4478"/>
    <n v="48"/>
    <x v="0"/>
    <x v="2"/>
    <x v="3"/>
    <x v="2"/>
    <n v="3712.85"/>
    <x v="1"/>
    <n v="2496.7676064256989"/>
    <n v="4084.13"/>
    <n v="4084.1400000000003"/>
    <n v="4084.14"/>
    <s v="October 2023"/>
  </r>
  <r>
    <d v="2023-10-17T00:00:00"/>
    <x v="4479"/>
    <n v="25"/>
    <x v="2"/>
    <x v="1"/>
    <x v="3"/>
    <x v="3"/>
    <n v="584.48"/>
    <x v="1"/>
    <n v="2496.7676064256989"/>
    <n v="642.91999999999996"/>
    <n v="642.92999999999995"/>
    <n v="642.92999999999995"/>
    <s v="October 2023"/>
  </r>
  <r>
    <d v="2023-10-17T00:00:00"/>
    <x v="4480"/>
    <n v="80"/>
    <x v="1"/>
    <x v="2"/>
    <x v="2"/>
    <x v="2"/>
    <n v="2205.31"/>
    <x v="0"/>
    <n v="2440.2966694490838"/>
    <n v="2425.84"/>
    <n v="2425.8500000000004"/>
    <n v="2425.84"/>
    <s v="October 2023"/>
  </r>
  <r>
    <d v="2023-10-17T00:00:00"/>
    <x v="4481"/>
    <n v="65"/>
    <x v="1"/>
    <x v="4"/>
    <x v="3"/>
    <x v="3"/>
    <n v="4523.17"/>
    <x v="0"/>
    <n v="2496.7676064256989"/>
    <n v="4975.4799999999996"/>
    <n v="4975.49"/>
    <n v="4975.49"/>
    <s v="October 2023"/>
  </r>
  <r>
    <d v="2023-10-17T00:00:00"/>
    <x v="4482"/>
    <n v="2"/>
    <x v="2"/>
    <x v="0"/>
    <x v="2"/>
    <x v="3"/>
    <n v="4135.1000000000004"/>
    <x v="2"/>
    <n v="2440.2966694490838"/>
    <n v="4548.6099999999997"/>
    <n v="4548.6099999999997"/>
    <n v="4548.6099999999997"/>
    <s v="October 2023"/>
  </r>
  <r>
    <d v="2023-10-17T00:00:00"/>
    <x v="4483"/>
    <n v="54"/>
    <x v="0"/>
    <x v="7"/>
    <x v="3"/>
    <x v="2"/>
    <n v="1031.0899999999999"/>
    <x v="1"/>
    <n v="2496.7676064256989"/>
    <n v="1134.19"/>
    <n v="1134.2"/>
    <n v="1134.2"/>
    <s v="October 2023"/>
  </r>
  <r>
    <d v="2023-10-17T00:00:00"/>
    <x v="4484"/>
    <n v="34"/>
    <x v="1"/>
    <x v="2"/>
    <x v="1"/>
    <x v="2"/>
    <n v="3680.07"/>
    <x v="1"/>
    <n v="2509.1716796874912"/>
    <n v="4048.07"/>
    <n v="4048.0800000000004"/>
    <n v="4048.08"/>
    <s v="October 2023"/>
  </r>
  <r>
    <d v="2023-10-17T00:00:00"/>
    <x v="4485"/>
    <n v="13"/>
    <x v="2"/>
    <x v="0"/>
    <x v="1"/>
    <x v="4"/>
    <n v="3075.28"/>
    <x v="2"/>
    <n v="2509.1716796874912"/>
    <n v="3382.8"/>
    <n v="3382.8100000000004"/>
    <n v="3382.81"/>
    <s v="October 2023"/>
  </r>
  <r>
    <d v="2023-10-17T00:00:00"/>
    <x v="4486"/>
    <n v="97"/>
    <x v="0"/>
    <x v="5"/>
    <x v="3"/>
    <x v="3"/>
    <n v="740.6"/>
    <x v="0"/>
    <n v="2496.7676064256989"/>
    <n v="814.66"/>
    <n v="814.66"/>
    <n v="814.66"/>
    <s v="October 2023"/>
  </r>
  <r>
    <d v="2023-10-18T00:00:00"/>
    <x v="4487"/>
    <n v="57"/>
    <x v="0"/>
    <x v="0"/>
    <x v="0"/>
    <x v="2"/>
    <n v="4896.51"/>
    <x v="1"/>
    <n v="2503.6022787783854"/>
    <n v="5386.16"/>
    <n v="5386.17"/>
    <n v="5386.16"/>
    <s v="October 2023"/>
  </r>
  <r>
    <d v="2023-10-18T00:00:00"/>
    <x v="4488"/>
    <n v="36"/>
    <x v="2"/>
    <x v="3"/>
    <x v="2"/>
    <x v="2"/>
    <n v="287.77"/>
    <x v="1"/>
    <n v="2440.2966694490838"/>
    <n v="316.54000000000002"/>
    <n v="316.55"/>
    <n v="316.55"/>
    <s v="October 2023"/>
  </r>
  <r>
    <d v="2023-10-18T00:00:00"/>
    <x v="4489"/>
    <n v="16"/>
    <x v="0"/>
    <x v="7"/>
    <x v="2"/>
    <x v="2"/>
    <n v="3311.69"/>
    <x v="1"/>
    <n v="2440.2966694490838"/>
    <n v="3642.85"/>
    <n v="3642.86"/>
    <n v="3642.86"/>
    <s v="October 2023"/>
  </r>
  <r>
    <d v="2023-10-18T00:00:00"/>
    <x v="4490"/>
    <n v="96"/>
    <x v="2"/>
    <x v="0"/>
    <x v="0"/>
    <x v="1"/>
    <n v="3656"/>
    <x v="0"/>
    <n v="2503.6022787783854"/>
    <n v="4021.6"/>
    <n v="4021.6"/>
    <n v="4021.6"/>
    <s v="October 2023"/>
  </r>
  <r>
    <d v="2023-10-18T00:00:00"/>
    <x v="4491"/>
    <n v="78"/>
    <x v="2"/>
    <x v="2"/>
    <x v="3"/>
    <x v="0"/>
    <n v="3944.54"/>
    <x v="0"/>
    <n v="2496.7676064256989"/>
    <n v="4338.99"/>
    <n v="4339"/>
    <n v="4338.99"/>
    <s v="October 2023"/>
  </r>
  <r>
    <d v="2023-10-18T00:00:00"/>
    <x v="4492"/>
    <n v="19"/>
    <x v="2"/>
    <x v="7"/>
    <x v="0"/>
    <x v="0"/>
    <n v="3124.21"/>
    <x v="1"/>
    <n v="2503.6022787783854"/>
    <n v="3436.63"/>
    <n v="3436.6400000000003"/>
    <n v="3436.63"/>
    <s v="October 2023"/>
  </r>
  <r>
    <d v="2023-10-18T00:00:00"/>
    <x v="4493"/>
    <n v="37"/>
    <x v="1"/>
    <x v="2"/>
    <x v="2"/>
    <x v="4"/>
    <n v="928.37"/>
    <x v="1"/>
    <n v="2440.2966694490838"/>
    <n v="1021.2"/>
    <n v="1021.21"/>
    <n v="1021.21"/>
    <s v="October 2023"/>
  </r>
  <r>
    <d v="2023-10-19T00:00:00"/>
    <x v="4494"/>
    <n v="29"/>
    <x v="2"/>
    <x v="0"/>
    <x v="3"/>
    <x v="1"/>
    <n v="1440.99"/>
    <x v="1"/>
    <n v="2496.7676064256989"/>
    <n v="1585.08"/>
    <n v="1585.09"/>
    <n v="1585.09"/>
    <s v="October 2023"/>
  </r>
  <r>
    <d v="2023-10-19T00:00:00"/>
    <x v="4495"/>
    <n v="68"/>
    <x v="0"/>
    <x v="1"/>
    <x v="2"/>
    <x v="2"/>
    <n v="4838.29"/>
    <x v="0"/>
    <n v="2440.2966694490838"/>
    <n v="5322.11"/>
    <n v="5322.12"/>
    <n v="5322.12"/>
    <s v="October 2023"/>
  </r>
  <r>
    <d v="2023-10-19T00:00:00"/>
    <x v="4496"/>
    <n v="45"/>
    <x v="1"/>
    <x v="3"/>
    <x v="3"/>
    <x v="1"/>
    <n v="3819.84"/>
    <x v="1"/>
    <n v="2496.7676064256989"/>
    <n v="4201.82"/>
    <n v="4201.83"/>
    <n v="4201.82"/>
    <s v="October 2023"/>
  </r>
  <r>
    <d v="2023-10-19T00:00:00"/>
    <x v="4497"/>
    <n v="92"/>
    <x v="2"/>
    <x v="4"/>
    <x v="3"/>
    <x v="2"/>
    <n v="4608.54"/>
    <x v="0"/>
    <n v="2496.7676064256989"/>
    <n v="5069.3900000000003"/>
    <n v="5069.4000000000005"/>
    <n v="5069.3900000000003"/>
    <s v="October 2023"/>
  </r>
  <r>
    <d v="2023-10-19T00:00:00"/>
    <x v="4498"/>
    <n v="34"/>
    <x v="1"/>
    <x v="5"/>
    <x v="0"/>
    <x v="1"/>
    <n v="126.05"/>
    <x v="1"/>
    <n v="2503.6022787783854"/>
    <n v="138.65"/>
    <n v="138.66"/>
    <n v="138.66"/>
    <s v="October 2023"/>
  </r>
  <r>
    <d v="2023-10-19T00:00:00"/>
    <x v="4499"/>
    <n v="71"/>
    <x v="1"/>
    <x v="5"/>
    <x v="1"/>
    <x v="2"/>
    <n v="4752.21"/>
    <x v="0"/>
    <n v="2509.1716796874912"/>
    <n v="5227.43"/>
    <n v="5227.4400000000005"/>
    <n v="5227.43"/>
    <s v="October 2023"/>
  </r>
  <r>
    <d v="2023-10-19T00:00:00"/>
    <x v="4500"/>
    <n v="70"/>
    <x v="1"/>
    <x v="7"/>
    <x v="0"/>
    <x v="2"/>
    <n v="2882.7"/>
    <x v="0"/>
    <n v="2503.6022787783854"/>
    <n v="3170.97"/>
    <n v="3170.97"/>
    <n v="3170.97"/>
    <s v="October 2023"/>
  </r>
  <r>
    <d v="2023-10-20T00:00:00"/>
    <x v="4501"/>
    <n v="7"/>
    <x v="0"/>
    <x v="4"/>
    <x v="1"/>
    <x v="0"/>
    <n v="3135.57"/>
    <x v="2"/>
    <n v="2509.1716796874912"/>
    <n v="3449.12"/>
    <n v="3449.13"/>
    <n v="3449.13"/>
    <s v="October 2023"/>
  </r>
  <r>
    <d v="2023-10-20T00:00:00"/>
    <x v="4502"/>
    <n v="91"/>
    <x v="2"/>
    <x v="5"/>
    <x v="0"/>
    <x v="3"/>
    <n v="2172.25"/>
    <x v="0"/>
    <n v="2503.6022787783854"/>
    <n v="2389.4699999999998"/>
    <n v="2389.48"/>
    <n v="2389.48"/>
    <s v="October 2023"/>
  </r>
  <r>
    <d v="2023-10-20T00:00:00"/>
    <x v="4503"/>
    <n v="54"/>
    <x v="0"/>
    <x v="0"/>
    <x v="2"/>
    <x v="2"/>
    <n v="3198.38"/>
    <x v="1"/>
    <n v="2440.2966694490838"/>
    <n v="3518.21"/>
    <n v="3518.2200000000003"/>
    <n v="3518.22"/>
    <s v="October 2023"/>
  </r>
  <r>
    <d v="2023-10-20T00:00:00"/>
    <x v="4504"/>
    <n v="6"/>
    <x v="1"/>
    <x v="2"/>
    <x v="0"/>
    <x v="4"/>
    <n v="2559.79"/>
    <x v="2"/>
    <n v="2503.6022787783854"/>
    <n v="2815.76"/>
    <n v="2815.7700000000004"/>
    <n v="2815.77"/>
    <s v="October 2023"/>
  </r>
  <r>
    <d v="2023-10-20T00:00:00"/>
    <x v="4505"/>
    <n v="27"/>
    <x v="2"/>
    <x v="7"/>
    <x v="2"/>
    <x v="4"/>
    <n v="1661.66"/>
    <x v="1"/>
    <n v="2440.2966694490838"/>
    <n v="1827.82"/>
    <n v="1827.83"/>
    <n v="1827.83"/>
    <s v="October 2023"/>
  </r>
  <r>
    <d v="2023-10-21T00:00:00"/>
    <x v="4506"/>
    <n v="3"/>
    <x v="2"/>
    <x v="1"/>
    <x v="1"/>
    <x v="4"/>
    <n v="1486.55"/>
    <x v="2"/>
    <n v="2509.1716796874912"/>
    <n v="1635.2"/>
    <n v="1635.21"/>
    <n v="1635.21"/>
    <s v="October 2023"/>
  </r>
  <r>
    <d v="2023-10-21T00:00:00"/>
    <x v="4507"/>
    <n v="53"/>
    <x v="2"/>
    <x v="1"/>
    <x v="0"/>
    <x v="4"/>
    <n v="3925.11"/>
    <x v="1"/>
    <n v="2503.6022787783854"/>
    <n v="4317.62"/>
    <n v="4317.63"/>
    <n v="4317.62"/>
    <s v="October 2023"/>
  </r>
  <r>
    <d v="2023-10-21T00:00:00"/>
    <x v="4508"/>
    <n v="17"/>
    <x v="1"/>
    <x v="0"/>
    <x v="2"/>
    <x v="2"/>
    <n v="3874.82"/>
    <x v="1"/>
    <n v="2440.2966694490838"/>
    <n v="4262.3"/>
    <n v="4262.3100000000004"/>
    <n v="4262.3"/>
    <s v="October 2023"/>
  </r>
  <r>
    <d v="2023-10-21T00:00:00"/>
    <x v="4509"/>
    <n v="5"/>
    <x v="0"/>
    <x v="6"/>
    <x v="1"/>
    <x v="2"/>
    <n v="4669.18"/>
    <x v="2"/>
    <n v="2509.1716796874912"/>
    <n v="5136.09"/>
    <n v="5136.1000000000004"/>
    <n v="5136.1000000000004"/>
    <s v="October 2023"/>
  </r>
  <r>
    <d v="2023-10-21T00:00:00"/>
    <x v="4510"/>
    <n v="2"/>
    <x v="1"/>
    <x v="4"/>
    <x v="0"/>
    <x v="0"/>
    <n v="3072.07"/>
    <x v="2"/>
    <n v="2503.6022787783854"/>
    <n v="3379.27"/>
    <n v="3379.28"/>
    <n v="3379.28"/>
    <s v="October 2023"/>
  </r>
  <r>
    <d v="2023-10-21T00:00:00"/>
    <x v="4511"/>
    <n v="83"/>
    <x v="0"/>
    <x v="4"/>
    <x v="2"/>
    <x v="3"/>
    <n v="289.27999999999997"/>
    <x v="0"/>
    <n v="2440.2966694490838"/>
    <n v="318.2"/>
    <n v="318.20999999999998"/>
    <n v="318.20999999999998"/>
    <s v="October 2023"/>
  </r>
  <r>
    <d v="2023-10-21T00:00:00"/>
    <x v="4512"/>
    <n v="72"/>
    <x v="0"/>
    <x v="2"/>
    <x v="1"/>
    <x v="2"/>
    <n v="2482.44"/>
    <x v="0"/>
    <n v="2509.1716796874912"/>
    <n v="2730.68"/>
    <n v="2730.69"/>
    <n v="2730.68"/>
    <s v="October 2023"/>
  </r>
  <r>
    <d v="2023-10-22T00:00:00"/>
    <x v="4513"/>
    <n v="54"/>
    <x v="0"/>
    <x v="1"/>
    <x v="3"/>
    <x v="0"/>
    <n v="2001.66"/>
    <x v="1"/>
    <n v="2496.7676064256989"/>
    <n v="2201.8200000000002"/>
    <n v="2201.8300000000004"/>
    <n v="2201.83"/>
    <s v="October 2023"/>
  </r>
  <r>
    <d v="2023-10-22T00:00:00"/>
    <x v="4514"/>
    <n v="78"/>
    <x v="0"/>
    <x v="4"/>
    <x v="3"/>
    <x v="1"/>
    <n v="2209.21"/>
    <x v="0"/>
    <n v="2496.7676064256989"/>
    <n v="2430.13"/>
    <n v="2430.1400000000003"/>
    <n v="2430.13"/>
    <s v="October 2023"/>
  </r>
  <r>
    <d v="2023-10-22T00:00:00"/>
    <x v="4515"/>
    <n v="67"/>
    <x v="0"/>
    <x v="6"/>
    <x v="1"/>
    <x v="5"/>
    <n v="3457.06"/>
    <x v="0"/>
    <n v="2509.1716796874912"/>
    <n v="3802.76"/>
    <n v="3802.7700000000004"/>
    <n v="3802.77"/>
    <s v="October 2023"/>
  </r>
  <r>
    <d v="2023-10-22T00:00:00"/>
    <x v="4516"/>
    <n v="73"/>
    <x v="1"/>
    <x v="7"/>
    <x v="3"/>
    <x v="1"/>
    <n v="1986.22"/>
    <x v="0"/>
    <n v="2496.7676064256989"/>
    <n v="2184.84"/>
    <n v="2184.8500000000004"/>
    <n v="2184.84"/>
    <s v="October 2023"/>
  </r>
  <r>
    <d v="2023-10-22T00:00:00"/>
    <x v="4517"/>
    <n v="41"/>
    <x v="0"/>
    <x v="5"/>
    <x v="0"/>
    <x v="3"/>
    <n v="4785.22"/>
    <x v="1"/>
    <n v="2503.6022787783854"/>
    <n v="5263.74"/>
    <n v="5263.75"/>
    <n v="5263.74"/>
    <s v="October 2023"/>
  </r>
  <r>
    <d v="2023-10-22T00:00:00"/>
    <x v="4518"/>
    <n v="21"/>
    <x v="0"/>
    <x v="5"/>
    <x v="0"/>
    <x v="2"/>
    <n v="3565.01"/>
    <x v="1"/>
    <n v="2503.6022787783854"/>
    <n v="3921.51"/>
    <n v="3921.5200000000004"/>
    <n v="3921.51"/>
    <s v="October 2023"/>
  </r>
  <r>
    <d v="2023-10-22T00:00:00"/>
    <x v="4519"/>
    <n v="55"/>
    <x v="1"/>
    <x v="5"/>
    <x v="2"/>
    <x v="3"/>
    <n v="1732.08"/>
    <x v="1"/>
    <n v="2440.2966694490838"/>
    <n v="1905.28"/>
    <n v="1905.29"/>
    <n v="1905.29"/>
    <s v="October 2023"/>
  </r>
  <r>
    <d v="2023-10-22T00:00:00"/>
    <x v="4520"/>
    <n v="14"/>
    <x v="1"/>
    <x v="6"/>
    <x v="3"/>
    <x v="4"/>
    <n v="823.75"/>
    <x v="2"/>
    <n v="2496.7676064256989"/>
    <n v="906.12"/>
    <n v="906.13"/>
    <n v="906.13"/>
    <s v="October 2023"/>
  </r>
  <r>
    <d v="2023-10-22T00:00:00"/>
    <x v="4521"/>
    <n v="38"/>
    <x v="2"/>
    <x v="0"/>
    <x v="2"/>
    <x v="2"/>
    <n v="4732.28"/>
    <x v="1"/>
    <n v="2440.2966694490838"/>
    <n v="5205.5"/>
    <n v="5205.51"/>
    <n v="5205.51"/>
    <s v="October 2023"/>
  </r>
  <r>
    <d v="2023-10-22T00:00:00"/>
    <x v="4522"/>
    <n v="98"/>
    <x v="2"/>
    <x v="1"/>
    <x v="1"/>
    <x v="0"/>
    <n v="4243.9399999999996"/>
    <x v="0"/>
    <n v="2509.1716796874912"/>
    <n v="4668.33"/>
    <n v="4668.34"/>
    <n v="4668.33"/>
    <s v="October 2023"/>
  </r>
  <r>
    <d v="2023-10-23T00:00:00"/>
    <x v="4523"/>
    <n v="60"/>
    <x v="2"/>
    <x v="4"/>
    <x v="2"/>
    <x v="5"/>
    <n v="3971.49"/>
    <x v="1"/>
    <n v="2440.2966694490838"/>
    <n v="4368.63"/>
    <n v="4368.6400000000003"/>
    <n v="4368.6400000000003"/>
    <s v="October 2023"/>
  </r>
  <r>
    <d v="2023-10-23T00:00:00"/>
    <x v="4524"/>
    <n v="94"/>
    <x v="2"/>
    <x v="7"/>
    <x v="2"/>
    <x v="0"/>
    <n v="4248.21"/>
    <x v="0"/>
    <n v="2440.2966694490838"/>
    <n v="4673.03"/>
    <n v="4673.04"/>
    <n v="4673.03"/>
    <s v="October 2023"/>
  </r>
  <r>
    <d v="2023-10-23T00:00:00"/>
    <x v="4525"/>
    <n v="21"/>
    <x v="2"/>
    <x v="7"/>
    <x v="0"/>
    <x v="4"/>
    <n v="3693.89"/>
    <x v="1"/>
    <n v="2503.6022787783854"/>
    <n v="4063.27"/>
    <n v="4063.28"/>
    <n v="4063.28"/>
    <s v="October 2023"/>
  </r>
  <r>
    <d v="2023-10-23T00:00:00"/>
    <x v="4526"/>
    <n v="54"/>
    <x v="1"/>
    <x v="1"/>
    <x v="1"/>
    <x v="2"/>
    <n v="549.54"/>
    <x v="1"/>
    <n v="2509.1716796874912"/>
    <n v="604.49"/>
    <n v="604.5"/>
    <n v="604.49"/>
    <s v="October 2023"/>
  </r>
  <r>
    <d v="2023-10-23T00:00:00"/>
    <x v="4527"/>
    <n v="4"/>
    <x v="0"/>
    <x v="4"/>
    <x v="0"/>
    <x v="4"/>
    <n v="781.35"/>
    <x v="2"/>
    <n v="2503.6022787783854"/>
    <n v="859.48"/>
    <n v="859.49"/>
    <n v="859.49"/>
    <s v="October 2023"/>
  </r>
  <r>
    <d v="2023-10-23T00:00:00"/>
    <x v="4528"/>
    <n v="83"/>
    <x v="2"/>
    <x v="5"/>
    <x v="0"/>
    <x v="2"/>
    <n v="890.35"/>
    <x v="0"/>
    <n v="2503.6022787783854"/>
    <n v="979.38"/>
    <n v="979.39"/>
    <n v="979.39"/>
    <s v="October 2023"/>
  </r>
  <r>
    <d v="2023-10-23T00:00:00"/>
    <x v="4529"/>
    <n v="23"/>
    <x v="2"/>
    <x v="0"/>
    <x v="1"/>
    <x v="2"/>
    <n v="995.75"/>
    <x v="1"/>
    <n v="2509.1716796874912"/>
    <n v="1095.32"/>
    <n v="1095.33"/>
    <n v="1095.33"/>
    <s v="October 2023"/>
  </r>
  <r>
    <d v="2023-10-23T00:00:00"/>
    <x v="4530"/>
    <n v="17"/>
    <x v="2"/>
    <x v="5"/>
    <x v="2"/>
    <x v="0"/>
    <n v="4499.71"/>
    <x v="1"/>
    <n v="2440.2966694490838"/>
    <n v="4949.68"/>
    <n v="4949.6900000000005"/>
    <n v="4949.68"/>
    <s v="October 2023"/>
  </r>
  <r>
    <d v="2023-10-24T00:00:00"/>
    <x v="4531"/>
    <n v="42"/>
    <x v="0"/>
    <x v="1"/>
    <x v="1"/>
    <x v="2"/>
    <n v="2986.79"/>
    <x v="1"/>
    <n v="2509.1716796874912"/>
    <n v="3285.46"/>
    <n v="3285.4700000000003"/>
    <n v="3285.47"/>
    <s v="October 2023"/>
  </r>
  <r>
    <d v="2023-10-24T00:00:00"/>
    <x v="4532"/>
    <n v="30"/>
    <x v="0"/>
    <x v="3"/>
    <x v="0"/>
    <x v="0"/>
    <n v="4122.33"/>
    <x v="1"/>
    <n v="2503.6022787783854"/>
    <n v="4534.5600000000004"/>
    <n v="4534.5700000000006"/>
    <n v="4534.5600000000004"/>
    <s v="October 2023"/>
  </r>
  <r>
    <d v="2023-10-24T00:00:00"/>
    <x v="4533"/>
    <n v="18"/>
    <x v="2"/>
    <x v="3"/>
    <x v="2"/>
    <x v="4"/>
    <n v="358.71"/>
    <x v="1"/>
    <n v="2440.2966694490838"/>
    <n v="394.58"/>
    <n v="394.59"/>
    <n v="394.58"/>
    <s v="October 2023"/>
  </r>
  <r>
    <d v="2023-10-24T00:00:00"/>
    <x v="4534"/>
    <n v="23"/>
    <x v="2"/>
    <x v="4"/>
    <x v="3"/>
    <x v="0"/>
    <n v="1644.75"/>
    <x v="1"/>
    <n v="2496.7676064256989"/>
    <n v="1809.22"/>
    <n v="1809.23"/>
    <n v="1809.23"/>
    <s v="October 2023"/>
  </r>
  <r>
    <d v="2023-10-24T00:00:00"/>
    <x v="4535"/>
    <n v="84"/>
    <x v="2"/>
    <x v="7"/>
    <x v="1"/>
    <x v="0"/>
    <n v="1319.77"/>
    <x v="0"/>
    <n v="2509.1716796874912"/>
    <n v="1451.74"/>
    <n v="1451.75"/>
    <n v="1451.75"/>
    <s v="October 2023"/>
  </r>
  <r>
    <d v="2023-10-24T00:00:00"/>
    <x v="4536"/>
    <n v="73"/>
    <x v="2"/>
    <x v="1"/>
    <x v="0"/>
    <x v="1"/>
    <n v="1324.04"/>
    <x v="0"/>
    <n v="2503.6022787783854"/>
    <n v="1456.44"/>
    <n v="1456.45"/>
    <n v="1456.44"/>
    <s v="October 2023"/>
  </r>
  <r>
    <d v="2023-10-24T00:00:00"/>
    <x v="4537"/>
    <n v="16"/>
    <x v="2"/>
    <x v="1"/>
    <x v="3"/>
    <x v="4"/>
    <n v="2437.5300000000002"/>
    <x v="1"/>
    <n v="2496.7676064256989"/>
    <n v="2681.28"/>
    <n v="2681.2900000000004"/>
    <n v="2681.28"/>
    <s v="October 2023"/>
  </r>
  <r>
    <d v="2023-10-25T00:00:00"/>
    <x v="4538"/>
    <n v="75"/>
    <x v="0"/>
    <x v="3"/>
    <x v="0"/>
    <x v="4"/>
    <n v="132.02000000000001"/>
    <x v="0"/>
    <n v="2503.6022787783854"/>
    <n v="145.22"/>
    <n v="145.22999999999999"/>
    <n v="145.22"/>
    <s v="October 2023"/>
  </r>
  <r>
    <d v="2023-10-25T00:00:00"/>
    <x v="4539"/>
    <n v="2"/>
    <x v="2"/>
    <x v="6"/>
    <x v="1"/>
    <x v="0"/>
    <n v="2175.6"/>
    <x v="2"/>
    <n v="2509.1716796874912"/>
    <n v="2393.16"/>
    <n v="2393.16"/>
    <n v="2393.16"/>
    <s v="October 2023"/>
  </r>
  <r>
    <d v="2023-10-25T00:00:00"/>
    <x v="4540"/>
    <n v="85"/>
    <x v="1"/>
    <x v="1"/>
    <x v="3"/>
    <x v="2"/>
    <n v="1144.3"/>
    <x v="0"/>
    <n v="2496.7676064256989"/>
    <n v="1258.73"/>
    <n v="1258.73"/>
    <n v="1258.73"/>
    <s v="October 2023"/>
  </r>
  <r>
    <d v="2023-10-25T00:00:00"/>
    <x v="4541"/>
    <n v="96"/>
    <x v="1"/>
    <x v="4"/>
    <x v="0"/>
    <x v="2"/>
    <n v="1466.25"/>
    <x v="0"/>
    <n v="2503.6022787783854"/>
    <n v="1612.87"/>
    <n v="1612.8799999999999"/>
    <n v="1612.88"/>
    <s v="October 2023"/>
  </r>
  <r>
    <d v="2023-10-25T00:00:00"/>
    <x v="4542"/>
    <n v="19"/>
    <x v="0"/>
    <x v="4"/>
    <x v="0"/>
    <x v="4"/>
    <n v="3309.36"/>
    <x v="1"/>
    <n v="2503.6022787783854"/>
    <n v="3640.29"/>
    <n v="3640.3"/>
    <n v="3640.3"/>
    <s v="October 2023"/>
  </r>
  <r>
    <d v="2023-10-25T00:00:00"/>
    <x v="4543"/>
    <n v="6"/>
    <x v="2"/>
    <x v="5"/>
    <x v="2"/>
    <x v="2"/>
    <n v="872.89"/>
    <x v="2"/>
    <n v="2440.2966694490838"/>
    <n v="960.17"/>
    <n v="960.18"/>
    <n v="960.18"/>
    <s v="October 2023"/>
  </r>
  <r>
    <d v="2023-10-25T00:00:00"/>
    <x v="4544"/>
    <n v="40"/>
    <x v="1"/>
    <x v="3"/>
    <x v="2"/>
    <x v="3"/>
    <n v="2172.58"/>
    <x v="1"/>
    <n v="2440.2966694490838"/>
    <n v="2389.83"/>
    <n v="2389.84"/>
    <n v="2389.84"/>
    <s v="October 2023"/>
  </r>
  <r>
    <d v="2023-10-25T00:00:00"/>
    <x v="4545"/>
    <n v="16"/>
    <x v="2"/>
    <x v="6"/>
    <x v="3"/>
    <x v="4"/>
    <n v="3704.19"/>
    <x v="1"/>
    <n v="2496.7676064256989"/>
    <n v="4074.6"/>
    <n v="4074.61"/>
    <n v="4074.61"/>
    <s v="October 2023"/>
  </r>
  <r>
    <d v="2023-10-25T00:00:00"/>
    <x v="4546"/>
    <n v="84"/>
    <x v="0"/>
    <x v="2"/>
    <x v="0"/>
    <x v="3"/>
    <n v="3563.35"/>
    <x v="0"/>
    <n v="2503.6022787783854"/>
    <n v="3919.68"/>
    <n v="3919.69"/>
    <n v="3919.69"/>
    <s v="October 2023"/>
  </r>
  <r>
    <d v="2023-10-26T00:00:00"/>
    <x v="4547"/>
    <n v="89"/>
    <x v="0"/>
    <x v="5"/>
    <x v="2"/>
    <x v="1"/>
    <n v="366.83"/>
    <x v="0"/>
    <n v="2440.2966694490838"/>
    <n v="403.51"/>
    <n v="403.52"/>
    <n v="403.51"/>
    <s v="October 2023"/>
  </r>
  <r>
    <d v="2023-10-26T00:00:00"/>
    <x v="4548"/>
    <n v="51"/>
    <x v="1"/>
    <x v="1"/>
    <x v="1"/>
    <x v="1"/>
    <n v="3150.65"/>
    <x v="1"/>
    <n v="2509.1716796874912"/>
    <n v="3465.71"/>
    <n v="3465.7200000000003"/>
    <n v="3465.72"/>
    <s v="October 2023"/>
  </r>
  <r>
    <d v="2023-10-26T00:00:00"/>
    <x v="4549"/>
    <n v="57"/>
    <x v="0"/>
    <x v="5"/>
    <x v="0"/>
    <x v="2"/>
    <n v="4962.59"/>
    <x v="1"/>
    <n v="2503.6022787783854"/>
    <n v="5458.84"/>
    <n v="5458.85"/>
    <n v="5458.85"/>
    <s v="October 2023"/>
  </r>
  <r>
    <d v="2023-10-27T00:00:00"/>
    <x v="4550"/>
    <n v="77"/>
    <x v="0"/>
    <x v="4"/>
    <x v="1"/>
    <x v="2"/>
    <n v="2235.83"/>
    <x v="0"/>
    <n v="2509.1716796874912"/>
    <n v="2459.41"/>
    <n v="2459.42"/>
    <n v="2459.41"/>
    <s v="October 2023"/>
  </r>
  <r>
    <d v="2023-10-27T00:00:00"/>
    <x v="4551"/>
    <n v="46"/>
    <x v="1"/>
    <x v="7"/>
    <x v="3"/>
    <x v="4"/>
    <n v="3566.7"/>
    <x v="1"/>
    <n v="2496.7676064256989"/>
    <n v="3923.37"/>
    <n v="3923.37"/>
    <n v="3923.37"/>
    <s v="October 2023"/>
  </r>
  <r>
    <d v="2023-10-27T00:00:00"/>
    <x v="4552"/>
    <n v="83"/>
    <x v="0"/>
    <x v="2"/>
    <x v="0"/>
    <x v="1"/>
    <n v="1449.74"/>
    <x v="0"/>
    <n v="2503.6022787783854"/>
    <n v="1594.71"/>
    <n v="1594.72"/>
    <n v="1594.71"/>
    <s v="October 2023"/>
  </r>
  <r>
    <d v="2023-10-27T00:00:00"/>
    <x v="4553"/>
    <n v="1"/>
    <x v="1"/>
    <x v="5"/>
    <x v="0"/>
    <x v="0"/>
    <n v="1521.15"/>
    <x v="2"/>
    <n v="2503.6022787783854"/>
    <n v="1673.26"/>
    <n v="1673.27"/>
    <n v="1673.27"/>
    <s v="October 2023"/>
  </r>
  <r>
    <d v="2023-10-27T00:00:00"/>
    <x v="4554"/>
    <n v="95"/>
    <x v="1"/>
    <x v="5"/>
    <x v="2"/>
    <x v="2"/>
    <n v="1727.49"/>
    <x v="0"/>
    <n v="2440.2966694490838"/>
    <n v="1900.23"/>
    <n v="1900.24"/>
    <n v="1900.24"/>
    <s v="October 2023"/>
  </r>
  <r>
    <d v="2023-10-27T00:00:00"/>
    <x v="4555"/>
    <n v="69"/>
    <x v="0"/>
    <x v="7"/>
    <x v="2"/>
    <x v="3"/>
    <n v="3113.31"/>
    <x v="0"/>
    <n v="2440.2966694490838"/>
    <n v="3424.64"/>
    <n v="3424.65"/>
    <n v="3424.64"/>
    <s v="October 2023"/>
  </r>
  <r>
    <d v="2023-10-27T00:00:00"/>
    <x v="4556"/>
    <n v="7"/>
    <x v="2"/>
    <x v="2"/>
    <x v="0"/>
    <x v="4"/>
    <n v="1640.29"/>
    <x v="2"/>
    <n v="2503.6022787783854"/>
    <n v="1804.31"/>
    <n v="1804.32"/>
    <n v="1804.32"/>
    <s v="October 2023"/>
  </r>
  <r>
    <d v="2023-10-27T00:00:00"/>
    <x v="4557"/>
    <n v="13"/>
    <x v="2"/>
    <x v="1"/>
    <x v="0"/>
    <x v="4"/>
    <n v="4775.3500000000004"/>
    <x v="2"/>
    <n v="2503.6022787783854"/>
    <n v="5252.88"/>
    <n v="5252.89"/>
    <n v="5252.89"/>
    <s v="October 2023"/>
  </r>
  <r>
    <d v="2023-10-27T00:00:00"/>
    <x v="4558"/>
    <n v="77"/>
    <x v="1"/>
    <x v="7"/>
    <x v="2"/>
    <x v="1"/>
    <n v="1549.89"/>
    <x v="0"/>
    <n v="2440.2966694490838"/>
    <n v="1704.87"/>
    <n v="1704.8799999999999"/>
    <n v="1704.88"/>
    <s v="October 2023"/>
  </r>
  <r>
    <d v="2023-10-28T00:00:00"/>
    <x v="4559"/>
    <n v="42"/>
    <x v="1"/>
    <x v="1"/>
    <x v="2"/>
    <x v="4"/>
    <n v="686.28"/>
    <x v="1"/>
    <n v="2440.2966694490838"/>
    <n v="754.9"/>
    <n v="754.91"/>
    <n v="754.91"/>
    <s v="October 2023"/>
  </r>
  <r>
    <d v="2023-10-28T00:00:00"/>
    <x v="4560"/>
    <n v="32"/>
    <x v="0"/>
    <x v="6"/>
    <x v="2"/>
    <x v="0"/>
    <n v="238.51"/>
    <x v="1"/>
    <n v="2440.2966694490838"/>
    <n v="262.36"/>
    <n v="262.37"/>
    <n v="262.36"/>
    <s v="October 2023"/>
  </r>
  <r>
    <d v="2023-10-28T00:00:00"/>
    <x v="4561"/>
    <n v="6"/>
    <x v="1"/>
    <x v="3"/>
    <x v="2"/>
    <x v="3"/>
    <n v="4978.25"/>
    <x v="2"/>
    <n v="2440.2966694490838"/>
    <n v="5476.07"/>
    <n v="5476.08"/>
    <n v="5476.08"/>
    <s v="October 2023"/>
  </r>
  <r>
    <d v="2023-10-28T00:00:00"/>
    <x v="4562"/>
    <n v="62"/>
    <x v="1"/>
    <x v="3"/>
    <x v="0"/>
    <x v="3"/>
    <n v="509.47"/>
    <x v="1"/>
    <n v="2503.6022787783854"/>
    <n v="560.41"/>
    <n v="560.41999999999996"/>
    <n v="560.41999999999996"/>
    <s v="October 2023"/>
  </r>
  <r>
    <d v="2023-10-28T00:00:00"/>
    <x v="4563"/>
    <n v="88"/>
    <x v="1"/>
    <x v="3"/>
    <x v="1"/>
    <x v="2"/>
    <n v="1625.91"/>
    <x v="0"/>
    <n v="2509.1716796874912"/>
    <n v="1788.5"/>
    <n v="1788.51"/>
    <n v="1788.5"/>
    <s v="October 2023"/>
  </r>
  <r>
    <d v="2023-10-28T00:00:00"/>
    <x v="4564"/>
    <n v="71"/>
    <x v="0"/>
    <x v="5"/>
    <x v="0"/>
    <x v="1"/>
    <n v="4863.96"/>
    <x v="0"/>
    <n v="2503.6022787783854"/>
    <n v="5350.35"/>
    <n v="5350.3600000000006"/>
    <n v="5350.36"/>
    <s v="October 2023"/>
  </r>
  <r>
    <d v="2023-10-28T00:00:00"/>
    <x v="4565"/>
    <n v="48"/>
    <x v="1"/>
    <x v="6"/>
    <x v="3"/>
    <x v="3"/>
    <n v="1538.41"/>
    <x v="1"/>
    <n v="2496.7676064256989"/>
    <n v="1692.25"/>
    <n v="1692.26"/>
    <n v="1692.25"/>
    <s v="October 2023"/>
  </r>
  <r>
    <d v="2023-10-28T00:00:00"/>
    <x v="4566"/>
    <n v="70"/>
    <x v="1"/>
    <x v="0"/>
    <x v="0"/>
    <x v="3"/>
    <n v="1111.8599999999999"/>
    <x v="0"/>
    <n v="2503.6022787783854"/>
    <n v="1223.04"/>
    <n v="1223.05"/>
    <n v="1223.05"/>
    <s v="October 2023"/>
  </r>
  <r>
    <d v="2023-10-28T00:00:00"/>
    <x v="4567"/>
    <n v="2"/>
    <x v="2"/>
    <x v="1"/>
    <x v="0"/>
    <x v="0"/>
    <n v="1883.59"/>
    <x v="2"/>
    <n v="2503.6022787783854"/>
    <n v="2071.94"/>
    <n v="2071.9500000000003"/>
    <n v="2071.9499999999998"/>
    <s v="October 2023"/>
  </r>
  <r>
    <d v="2023-10-29T00:00:00"/>
    <x v="4568"/>
    <n v="19"/>
    <x v="2"/>
    <x v="6"/>
    <x v="1"/>
    <x v="4"/>
    <n v="1263.68"/>
    <x v="1"/>
    <n v="2509.1716796874912"/>
    <n v="1390.04"/>
    <n v="1390.05"/>
    <n v="1390.05"/>
    <s v="October 2023"/>
  </r>
  <r>
    <d v="2023-10-29T00:00:00"/>
    <x v="4569"/>
    <n v="37"/>
    <x v="0"/>
    <x v="2"/>
    <x v="2"/>
    <x v="5"/>
    <n v="4954.49"/>
    <x v="1"/>
    <n v="2440.2966694490838"/>
    <n v="5449.93"/>
    <n v="5449.9400000000005"/>
    <n v="5449.94"/>
    <s v="October 2023"/>
  </r>
  <r>
    <d v="2023-10-29T00:00:00"/>
    <x v="4570"/>
    <n v="56"/>
    <x v="1"/>
    <x v="4"/>
    <x v="1"/>
    <x v="2"/>
    <n v="2742.41"/>
    <x v="1"/>
    <n v="2509.1716796874912"/>
    <n v="3016.65"/>
    <n v="3016.6600000000003"/>
    <n v="3016.65"/>
    <s v="October 2023"/>
  </r>
  <r>
    <d v="2023-10-30T00:00:00"/>
    <x v="4571"/>
    <n v="50"/>
    <x v="2"/>
    <x v="5"/>
    <x v="2"/>
    <x v="3"/>
    <n v="4480.67"/>
    <x v="1"/>
    <n v="2440.2966694490838"/>
    <n v="4928.7299999999996"/>
    <n v="4928.74"/>
    <n v="4928.74"/>
    <s v="October 2023"/>
  </r>
  <r>
    <d v="2023-10-30T00:00:00"/>
    <x v="4572"/>
    <n v="8"/>
    <x v="1"/>
    <x v="6"/>
    <x v="1"/>
    <x v="0"/>
    <n v="2462.58"/>
    <x v="2"/>
    <n v="2509.1716796874912"/>
    <n v="2708.83"/>
    <n v="2708.84"/>
    <n v="2708.84"/>
    <s v="October 2023"/>
  </r>
  <r>
    <d v="2023-10-30T00:00:00"/>
    <x v="4573"/>
    <n v="53"/>
    <x v="0"/>
    <x v="7"/>
    <x v="0"/>
    <x v="4"/>
    <n v="4344.3"/>
    <x v="1"/>
    <n v="2503.6022787783854"/>
    <n v="4778.7299999999996"/>
    <n v="4778.7299999999996"/>
    <n v="4778.7299999999996"/>
    <s v="October 2023"/>
  </r>
  <r>
    <d v="2023-10-30T00:00:00"/>
    <x v="4574"/>
    <n v="69"/>
    <x v="0"/>
    <x v="7"/>
    <x v="0"/>
    <x v="3"/>
    <n v="3878.88"/>
    <x v="0"/>
    <n v="2503.6022787783854"/>
    <n v="4266.76"/>
    <n v="4266.7700000000004"/>
    <n v="4266.7700000000004"/>
    <s v="October 2023"/>
  </r>
  <r>
    <d v="2023-10-30T00:00:00"/>
    <x v="4575"/>
    <n v="89"/>
    <x v="1"/>
    <x v="7"/>
    <x v="0"/>
    <x v="0"/>
    <n v="2024.36"/>
    <x v="0"/>
    <n v="2503.6022787783854"/>
    <n v="2226.79"/>
    <n v="2226.8000000000002"/>
    <n v="2226.8000000000002"/>
    <s v="October 2023"/>
  </r>
  <r>
    <d v="2023-10-30T00:00:00"/>
    <x v="4576"/>
    <n v="10"/>
    <x v="0"/>
    <x v="4"/>
    <x v="2"/>
    <x v="4"/>
    <n v="4066.28"/>
    <x v="2"/>
    <n v="2440.2966694490838"/>
    <n v="4472.8999999999996"/>
    <n v="4472.91"/>
    <n v="4472.91"/>
    <s v="October 2023"/>
  </r>
  <r>
    <d v="2023-10-30T00:00:00"/>
    <x v="4577"/>
    <n v="69"/>
    <x v="1"/>
    <x v="2"/>
    <x v="1"/>
    <x v="4"/>
    <n v="159.25"/>
    <x v="0"/>
    <n v="2509.1716796874912"/>
    <n v="175.17"/>
    <n v="175.17999999999998"/>
    <n v="175.18"/>
    <s v="October 2023"/>
  </r>
  <r>
    <d v="2023-10-30T00:00:00"/>
    <x v="4578"/>
    <n v="52"/>
    <x v="0"/>
    <x v="3"/>
    <x v="2"/>
    <x v="4"/>
    <n v="25.99"/>
    <x v="1"/>
    <n v="2440.2966694490838"/>
    <n v="28.58"/>
    <n v="28.59"/>
    <n v="28.59"/>
    <s v="October 2023"/>
  </r>
  <r>
    <d v="2023-10-30T00:00:00"/>
    <x v="4579"/>
    <n v="54"/>
    <x v="2"/>
    <x v="1"/>
    <x v="1"/>
    <x v="3"/>
    <n v="1577.52"/>
    <x v="1"/>
    <n v="2509.1716796874912"/>
    <n v="1735.27"/>
    <n v="1735.28"/>
    <n v="1735.27"/>
    <s v="October 2023"/>
  </r>
  <r>
    <d v="2023-10-30T00:00:00"/>
    <x v="4580"/>
    <n v="38"/>
    <x v="1"/>
    <x v="7"/>
    <x v="1"/>
    <x v="4"/>
    <n v="2050.79"/>
    <x v="1"/>
    <n v="2509.1716796874912"/>
    <n v="2255.86"/>
    <n v="2255.8700000000003"/>
    <n v="2255.87"/>
    <s v="October 2023"/>
  </r>
  <r>
    <d v="2023-10-30T00:00:00"/>
    <x v="4581"/>
    <n v="52"/>
    <x v="1"/>
    <x v="4"/>
    <x v="2"/>
    <x v="4"/>
    <n v="4573.08"/>
    <x v="1"/>
    <n v="2440.2966694490838"/>
    <n v="5030.38"/>
    <n v="5030.3900000000003"/>
    <n v="5030.3900000000003"/>
    <s v="October 2023"/>
  </r>
  <r>
    <d v="2023-10-30T00:00:00"/>
    <x v="4582"/>
    <n v="67"/>
    <x v="2"/>
    <x v="1"/>
    <x v="2"/>
    <x v="4"/>
    <n v="3549.07"/>
    <x v="0"/>
    <n v="2440.2966694490838"/>
    <n v="3903.97"/>
    <n v="3903.98"/>
    <n v="3903.98"/>
    <s v="October 2023"/>
  </r>
  <r>
    <d v="2023-10-31T00:00:00"/>
    <x v="4583"/>
    <n v="41"/>
    <x v="1"/>
    <x v="7"/>
    <x v="0"/>
    <x v="3"/>
    <n v="129.32"/>
    <x v="1"/>
    <n v="2503.6022787783854"/>
    <n v="142.25"/>
    <n v="142.26"/>
    <n v="142.25"/>
    <s v="October 2023"/>
  </r>
  <r>
    <d v="2023-10-31T00:00:00"/>
    <x v="4584"/>
    <n v="51"/>
    <x v="2"/>
    <x v="4"/>
    <x v="3"/>
    <x v="2"/>
    <n v="3421.72"/>
    <x v="1"/>
    <n v="2496.7676064256989"/>
    <n v="3763.89"/>
    <n v="3763.9"/>
    <n v="3763.89"/>
    <s v="October 2023"/>
  </r>
  <r>
    <d v="2023-10-31T00:00:00"/>
    <x v="4585"/>
    <n v="49"/>
    <x v="0"/>
    <x v="1"/>
    <x v="3"/>
    <x v="2"/>
    <n v="1222.6500000000001"/>
    <x v="1"/>
    <n v="2496.7676064256989"/>
    <n v="1344.91"/>
    <n v="1344.92"/>
    <n v="1344.92"/>
    <s v="October 2023"/>
  </r>
  <r>
    <d v="2023-10-31T00:00:00"/>
    <x v="4586"/>
    <n v="33"/>
    <x v="2"/>
    <x v="2"/>
    <x v="0"/>
    <x v="3"/>
    <n v="1592.73"/>
    <x v="1"/>
    <n v="2503.6022787783854"/>
    <n v="1752"/>
    <n v="1752.01"/>
    <n v="1752"/>
    <s v="October 2023"/>
  </r>
  <r>
    <d v="2023-10-31T00:00:00"/>
    <x v="4587"/>
    <n v="25"/>
    <x v="2"/>
    <x v="3"/>
    <x v="1"/>
    <x v="2"/>
    <n v="3742.38"/>
    <x v="1"/>
    <n v="2509.1716796874912"/>
    <n v="4116.6099999999997"/>
    <n v="4116.62"/>
    <n v="4116.62"/>
    <s v="October 2023"/>
  </r>
  <r>
    <d v="2023-10-31T00:00:00"/>
    <x v="4588"/>
    <n v="7"/>
    <x v="1"/>
    <x v="5"/>
    <x v="2"/>
    <x v="5"/>
    <n v="2097.9899999999998"/>
    <x v="2"/>
    <n v="2440.2966694490838"/>
    <n v="2307.7800000000002"/>
    <n v="2307.7900000000004"/>
    <n v="2307.79"/>
    <s v="October 2023"/>
  </r>
  <r>
    <d v="2023-10-31T00:00:00"/>
    <x v="4589"/>
    <n v="80"/>
    <x v="0"/>
    <x v="2"/>
    <x v="1"/>
    <x v="3"/>
    <n v="1021.43"/>
    <x v="0"/>
    <n v="2509.1716796874912"/>
    <n v="1123.57"/>
    <n v="1123.58"/>
    <n v="1123.57"/>
    <s v="October 2023"/>
  </r>
  <r>
    <d v="2023-10-31T00:00:00"/>
    <x v="4590"/>
    <n v="6"/>
    <x v="2"/>
    <x v="4"/>
    <x v="0"/>
    <x v="1"/>
    <n v="4623.54"/>
    <x v="2"/>
    <n v="2503.6022787783854"/>
    <n v="5085.8900000000003"/>
    <n v="5085.9000000000005"/>
    <n v="5085.8900000000003"/>
    <s v="October 2023"/>
  </r>
  <r>
    <d v="2023-10-31T00:00:00"/>
    <x v="4591"/>
    <n v="65"/>
    <x v="2"/>
    <x v="1"/>
    <x v="1"/>
    <x v="0"/>
    <n v="4221.68"/>
    <x v="0"/>
    <n v="2509.1716796874912"/>
    <n v="4643.84"/>
    <n v="4643.8500000000004"/>
    <n v="4643.8500000000004"/>
    <s v="October 2023"/>
  </r>
  <r>
    <d v="2023-10-31T00:00:00"/>
    <x v="4592"/>
    <n v="25"/>
    <x v="2"/>
    <x v="1"/>
    <x v="0"/>
    <x v="5"/>
    <n v="3586.15"/>
    <x v="1"/>
    <n v="2503.6022787783854"/>
    <n v="3944.76"/>
    <n v="3944.7700000000004"/>
    <n v="3944.77"/>
    <s v="October 2023"/>
  </r>
  <r>
    <d v="2023-10-31T00:00:00"/>
    <x v="4593"/>
    <n v="8"/>
    <x v="2"/>
    <x v="1"/>
    <x v="1"/>
    <x v="3"/>
    <n v="3014.54"/>
    <x v="2"/>
    <n v="2509.1716796874912"/>
    <n v="3315.99"/>
    <n v="3316"/>
    <n v="3315.99"/>
    <s v="October 2023"/>
  </r>
  <r>
    <d v="2023-11-01T00:00:00"/>
    <x v="4594"/>
    <n v="21"/>
    <x v="1"/>
    <x v="7"/>
    <x v="1"/>
    <x v="0"/>
    <n v="3404.87"/>
    <x v="1"/>
    <n v="2509.1716796874912"/>
    <n v="3745.35"/>
    <n v="3745.36"/>
    <n v="3745.36"/>
    <s v="November 2023"/>
  </r>
  <r>
    <d v="2023-11-01T00:00:00"/>
    <x v="4595"/>
    <n v="96"/>
    <x v="0"/>
    <x v="7"/>
    <x v="2"/>
    <x v="4"/>
    <n v="1147.27"/>
    <x v="0"/>
    <n v="2440.2966694490838"/>
    <n v="1261.99"/>
    <n v="1262"/>
    <n v="1262"/>
    <s v="November 2023"/>
  </r>
  <r>
    <d v="2023-11-01T00:00:00"/>
    <x v="4596"/>
    <n v="69"/>
    <x v="0"/>
    <x v="7"/>
    <x v="2"/>
    <x v="4"/>
    <n v="2748.25"/>
    <x v="0"/>
    <n v="2440.2966694490838"/>
    <n v="3023.07"/>
    <n v="3023.0800000000004"/>
    <n v="3023.08"/>
    <s v="November 2023"/>
  </r>
  <r>
    <d v="2023-11-01T00:00:00"/>
    <x v="4597"/>
    <n v="52"/>
    <x v="2"/>
    <x v="0"/>
    <x v="3"/>
    <x v="3"/>
    <n v="3622.96"/>
    <x v="1"/>
    <n v="2496.7676064256989"/>
    <n v="3985.25"/>
    <n v="3985.26"/>
    <n v="3985.26"/>
    <s v="November 2023"/>
  </r>
  <r>
    <d v="2023-11-01T00:00:00"/>
    <x v="4598"/>
    <n v="36"/>
    <x v="1"/>
    <x v="5"/>
    <x v="1"/>
    <x v="0"/>
    <n v="1196.44"/>
    <x v="1"/>
    <n v="2509.1716796874912"/>
    <n v="1316.08"/>
    <n v="1316.09"/>
    <n v="1316.08"/>
    <s v="November 2023"/>
  </r>
  <r>
    <d v="2023-11-01T00:00:00"/>
    <x v="4599"/>
    <n v="40"/>
    <x v="1"/>
    <x v="1"/>
    <x v="2"/>
    <x v="1"/>
    <n v="2824.86"/>
    <x v="1"/>
    <n v="2440.2966694490838"/>
    <n v="3107.34"/>
    <n v="3107.3500000000004"/>
    <n v="3107.35"/>
    <s v="November 2023"/>
  </r>
  <r>
    <d v="2023-11-02T00:00:00"/>
    <x v="4600"/>
    <n v="92"/>
    <x v="0"/>
    <x v="0"/>
    <x v="3"/>
    <x v="3"/>
    <n v="1969.92"/>
    <x v="0"/>
    <n v="2496.7676064256989"/>
    <n v="2166.91"/>
    <n v="2166.92"/>
    <n v="2166.91"/>
    <s v="November 2023"/>
  </r>
  <r>
    <d v="2023-11-02T00:00:00"/>
    <x v="4601"/>
    <n v="60"/>
    <x v="0"/>
    <x v="5"/>
    <x v="1"/>
    <x v="4"/>
    <n v="607.96"/>
    <x v="1"/>
    <n v="2509.1716796874912"/>
    <n v="668.75"/>
    <n v="668.76"/>
    <n v="668.76"/>
    <s v="November 2023"/>
  </r>
  <r>
    <d v="2023-11-02T00:00:00"/>
    <x v="4602"/>
    <n v="99"/>
    <x v="2"/>
    <x v="7"/>
    <x v="0"/>
    <x v="1"/>
    <n v="3378.68"/>
    <x v="0"/>
    <n v="2503.6022787783854"/>
    <n v="3716.54"/>
    <n v="3716.55"/>
    <n v="3716.55"/>
    <s v="November 2023"/>
  </r>
  <r>
    <d v="2023-11-02T00:00:00"/>
    <x v="4603"/>
    <n v="56"/>
    <x v="0"/>
    <x v="0"/>
    <x v="2"/>
    <x v="3"/>
    <n v="2022.01"/>
    <x v="1"/>
    <n v="2440.2966694490838"/>
    <n v="2224.21"/>
    <n v="2224.2200000000003"/>
    <n v="2224.21"/>
    <s v="November 2023"/>
  </r>
  <r>
    <d v="2023-11-02T00:00:00"/>
    <x v="4604"/>
    <n v="37"/>
    <x v="2"/>
    <x v="0"/>
    <x v="0"/>
    <x v="1"/>
    <n v="1401.35"/>
    <x v="1"/>
    <n v="2503.6022787783854"/>
    <n v="1541.48"/>
    <n v="1541.49"/>
    <n v="1541.49"/>
    <s v="November 2023"/>
  </r>
  <r>
    <d v="2023-11-02T00:00:00"/>
    <x v="4605"/>
    <n v="60"/>
    <x v="2"/>
    <x v="1"/>
    <x v="2"/>
    <x v="4"/>
    <n v="4985.1899999999996"/>
    <x v="1"/>
    <n v="2440.2966694490838"/>
    <n v="5483.7"/>
    <n v="5483.71"/>
    <n v="5483.71"/>
    <s v="November 2023"/>
  </r>
  <r>
    <d v="2023-11-02T00:00:00"/>
    <x v="4606"/>
    <n v="92"/>
    <x v="0"/>
    <x v="5"/>
    <x v="2"/>
    <x v="5"/>
    <n v="4465.67"/>
    <x v="0"/>
    <n v="2440.2966694490838"/>
    <n v="4912.2299999999996"/>
    <n v="4912.24"/>
    <n v="4912.24"/>
    <s v="November 2023"/>
  </r>
  <r>
    <d v="2023-11-03T00:00:00"/>
    <x v="4607"/>
    <n v="47"/>
    <x v="0"/>
    <x v="7"/>
    <x v="1"/>
    <x v="2"/>
    <n v="476.76"/>
    <x v="1"/>
    <n v="2509.1716796874912"/>
    <n v="524.42999999999995"/>
    <n v="524.43999999999994"/>
    <n v="524.44000000000005"/>
    <s v="November 2023"/>
  </r>
  <r>
    <d v="2023-11-03T00:00:00"/>
    <x v="4608"/>
    <n v="71"/>
    <x v="2"/>
    <x v="6"/>
    <x v="3"/>
    <x v="3"/>
    <n v="896.56"/>
    <x v="0"/>
    <n v="2496.7676064256989"/>
    <n v="986.21"/>
    <n v="986.22"/>
    <n v="986.22"/>
    <s v="November 2023"/>
  </r>
  <r>
    <d v="2023-11-03T00:00:00"/>
    <x v="4609"/>
    <n v="85"/>
    <x v="1"/>
    <x v="4"/>
    <x v="2"/>
    <x v="3"/>
    <n v="398.39"/>
    <x v="0"/>
    <n v="2440.2966694490838"/>
    <n v="438.22"/>
    <n v="438.23"/>
    <n v="438.23"/>
    <s v="November 2023"/>
  </r>
  <r>
    <d v="2023-11-03T00:00:00"/>
    <x v="4610"/>
    <n v="47"/>
    <x v="2"/>
    <x v="0"/>
    <x v="2"/>
    <x v="0"/>
    <n v="2622.2"/>
    <x v="1"/>
    <n v="2440.2966694490838"/>
    <n v="2884.42"/>
    <n v="2884.42"/>
    <n v="2884.42"/>
    <s v="November 2023"/>
  </r>
  <r>
    <d v="2023-11-03T00:00:00"/>
    <x v="4611"/>
    <n v="74"/>
    <x v="0"/>
    <x v="4"/>
    <x v="1"/>
    <x v="0"/>
    <n v="4292.68"/>
    <x v="0"/>
    <n v="2509.1716796874912"/>
    <n v="4721.9399999999996"/>
    <n v="4721.95"/>
    <n v="4721.95"/>
    <s v="November 2023"/>
  </r>
  <r>
    <d v="2023-11-03T00:00:00"/>
    <x v="4612"/>
    <n v="25"/>
    <x v="2"/>
    <x v="5"/>
    <x v="2"/>
    <x v="3"/>
    <n v="2546.66"/>
    <x v="1"/>
    <n v="2440.2966694490838"/>
    <n v="2801.32"/>
    <n v="2801.3300000000004"/>
    <n v="2801.33"/>
    <s v="November 2023"/>
  </r>
  <r>
    <d v="2023-11-04T00:00:00"/>
    <x v="4613"/>
    <n v="55"/>
    <x v="1"/>
    <x v="1"/>
    <x v="2"/>
    <x v="1"/>
    <n v="3204.59"/>
    <x v="1"/>
    <n v="2440.2966694490838"/>
    <n v="3525.04"/>
    <n v="3525.05"/>
    <n v="3525.05"/>
    <s v="November 2023"/>
  </r>
  <r>
    <d v="2023-11-04T00:00:00"/>
    <x v="4614"/>
    <n v="20"/>
    <x v="2"/>
    <x v="0"/>
    <x v="2"/>
    <x v="0"/>
    <n v="4130.28"/>
    <x v="1"/>
    <n v="2440.2966694490838"/>
    <n v="4543.3"/>
    <n v="4543.3100000000004"/>
    <n v="4543.3100000000004"/>
    <s v="November 2023"/>
  </r>
  <r>
    <d v="2023-11-04T00:00:00"/>
    <x v="4615"/>
    <n v="25"/>
    <x v="2"/>
    <x v="5"/>
    <x v="3"/>
    <x v="3"/>
    <n v="3941.34"/>
    <x v="1"/>
    <n v="2496.7676064256989"/>
    <n v="4335.47"/>
    <n v="4335.4800000000005"/>
    <n v="4335.47"/>
    <s v="November 2023"/>
  </r>
  <r>
    <d v="2023-11-04T00:00:00"/>
    <x v="4616"/>
    <n v="62"/>
    <x v="0"/>
    <x v="6"/>
    <x v="3"/>
    <x v="3"/>
    <n v="3755.6"/>
    <x v="1"/>
    <n v="2496.7676064256989"/>
    <n v="4131.16"/>
    <n v="4131.16"/>
    <n v="4131.16"/>
    <s v="November 2023"/>
  </r>
  <r>
    <d v="2023-11-04T00:00:00"/>
    <x v="4617"/>
    <n v="85"/>
    <x v="2"/>
    <x v="2"/>
    <x v="0"/>
    <x v="4"/>
    <n v="1610.9"/>
    <x v="0"/>
    <n v="2503.6022787783854"/>
    <n v="1771.99"/>
    <n v="1771.99"/>
    <n v="1771.99"/>
    <s v="November 2023"/>
  </r>
  <r>
    <d v="2023-11-04T00:00:00"/>
    <x v="4618"/>
    <n v="73"/>
    <x v="1"/>
    <x v="3"/>
    <x v="3"/>
    <x v="4"/>
    <n v="1043.1300000000001"/>
    <x v="0"/>
    <n v="2496.7676064256989"/>
    <n v="1147.44"/>
    <n v="1147.45"/>
    <n v="1147.44"/>
    <s v="November 2023"/>
  </r>
  <r>
    <d v="2023-11-04T00:00:00"/>
    <x v="4619"/>
    <n v="93"/>
    <x v="2"/>
    <x v="5"/>
    <x v="3"/>
    <x v="0"/>
    <n v="785.57"/>
    <x v="0"/>
    <n v="2496.7676064256989"/>
    <n v="864.12"/>
    <n v="864.13"/>
    <n v="864.13"/>
    <s v="November 2023"/>
  </r>
  <r>
    <d v="2023-11-04T00:00:00"/>
    <x v="4620"/>
    <n v="10"/>
    <x v="0"/>
    <x v="3"/>
    <x v="2"/>
    <x v="3"/>
    <n v="1949.91"/>
    <x v="2"/>
    <n v="2440.2966694490838"/>
    <n v="2144.9"/>
    <n v="2144.9100000000003"/>
    <n v="2144.9"/>
    <s v="November 2023"/>
  </r>
  <r>
    <d v="2023-11-04T00:00:00"/>
    <x v="4621"/>
    <n v="96"/>
    <x v="1"/>
    <x v="5"/>
    <x v="2"/>
    <x v="2"/>
    <n v="4119.62"/>
    <x v="0"/>
    <n v="2440.2966694490838"/>
    <n v="4531.58"/>
    <n v="4531.59"/>
    <n v="4531.58"/>
    <s v="November 2023"/>
  </r>
  <r>
    <d v="2023-11-05T00:00:00"/>
    <x v="4622"/>
    <n v="88"/>
    <x v="2"/>
    <x v="1"/>
    <x v="2"/>
    <x v="1"/>
    <n v="4823.8500000000004"/>
    <x v="0"/>
    <n v="2440.2966694490838"/>
    <n v="5306.23"/>
    <n v="5306.24"/>
    <n v="5306.24"/>
    <s v="November 2023"/>
  </r>
  <r>
    <d v="2023-11-05T00:00:00"/>
    <x v="4623"/>
    <n v="11"/>
    <x v="0"/>
    <x v="3"/>
    <x v="3"/>
    <x v="3"/>
    <n v="4504.8999999999996"/>
    <x v="2"/>
    <n v="2496.7676064256989"/>
    <n v="4955.3900000000003"/>
    <n v="4955.3900000000003"/>
    <n v="4955.3900000000003"/>
    <s v="November 2023"/>
  </r>
  <r>
    <d v="2023-11-05T00:00:00"/>
    <x v="4624"/>
    <n v="49"/>
    <x v="1"/>
    <x v="2"/>
    <x v="2"/>
    <x v="4"/>
    <n v="1174.75"/>
    <x v="1"/>
    <n v="2440.2966694490838"/>
    <n v="1292.22"/>
    <n v="1292.23"/>
    <n v="1292.23"/>
    <s v="November 2023"/>
  </r>
  <r>
    <d v="2023-11-05T00:00:00"/>
    <x v="4625"/>
    <n v="46"/>
    <x v="2"/>
    <x v="2"/>
    <x v="3"/>
    <x v="4"/>
    <n v="2960.27"/>
    <x v="1"/>
    <n v="2496.7676064256989"/>
    <n v="3256.29"/>
    <n v="3256.3"/>
    <n v="3256.3"/>
    <s v="November 2023"/>
  </r>
  <r>
    <d v="2023-11-05T00:00:00"/>
    <x v="4626"/>
    <n v="32"/>
    <x v="2"/>
    <x v="7"/>
    <x v="1"/>
    <x v="1"/>
    <n v="1537.32"/>
    <x v="1"/>
    <n v="2509.1716796874912"/>
    <n v="1691.05"/>
    <n v="1691.06"/>
    <n v="1691.05"/>
    <s v="November 2023"/>
  </r>
  <r>
    <d v="2023-11-05T00:00:00"/>
    <x v="4627"/>
    <n v="93"/>
    <x v="2"/>
    <x v="5"/>
    <x v="2"/>
    <x v="4"/>
    <n v="4473.03"/>
    <x v="0"/>
    <n v="2440.2966694490838"/>
    <n v="4920.33"/>
    <n v="4920.34"/>
    <n v="4920.33"/>
    <s v="November 2023"/>
  </r>
  <r>
    <d v="2023-11-05T00:00:00"/>
    <x v="4628"/>
    <n v="98"/>
    <x v="2"/>
    <x v="3"/>
    <x v="1"/>
    <x v="3"/>
    <n v="2060.94"/>
    <x v="0"/>
    <n v="2509.1716796874912"/>
    <n v="2267.0300000000002"/>
    <n v="2267.0400000000004"/>
    <n v="2267.0300000000002"/>
    <s v="November 2023"/>
  </r>
  <r>
    <d v="2023-11-05T00:00:00"/>
    <x v="4629"/>
    <n v="6"/>
    <x v="1"/>
    <x v="7"/>
    <x v="0"/>
    <x v="2"/>
    <n v="1903.42"/>
    <x v="2"/>
    <n v="2503.6022787783854"/>
    <n v="2093.7600000000002"/>
    <n v="2093.7700000000004"/>
    <n v="2093.7600000000002"/>
    <s v="November 2023"/>
  </r>
  <r>
    <d v="2023-11-05T00:00:00"/>
    <x v="4630"/>
    <n v="31"/>
    <x v="0"/>
    <x v="3"/>
    <x v="1"/>
    <x v="0"/>
    <n v="2010.87"/>
    <x v="1"/>
    <n v="2509.1716796874912"/>
    <n v="2211.9499999999998"/>
    <n v="2211.96"/>
    <n v="2211.96"/>
    <s v="November 2023"/>
  </r>
  <r>
    <d v="2023-11-06T00:00:00"/>
    <x v="4631"/>
    <n v="94"/>
    <x v="2"/>
    <x v="1"/>
    <x v="0"/>
    <x v="3"/>
    <n v="3954.41"/>
    <x v="0"/>
    <n v="2503.6022787783854"/>
    <n v="4349.8500000000004"/>
    <n v="4349.8600000000006"/>
    <n v="4349.8500000000004"/>
    <s v="November 2023"/>
  </r>
  <r>
    <d v="2023-11-06T00:00:00"/>
    <x v="4632"/>
    <n v="37"/>
    <x v="2"/>
    <x v="1"/>
    <x v="1"/>
    <x v="1"/>
    <n v="559.46"/>
    <x v="1"/>
    <n v="2509.1716796874912"/>
    <n v="615.4"/>
    <n v="615.41"/>
    <n v="615.41"/>
    <s v="November 2023"/>
  </r>
  <r>
    <d v="2023-11-06T00:00:00"/>
    <x v="4633"/>
    <n v="43"/>
    <x v="0"/>
    <x v="2"/>
    <x v="3"/>
    <x v="2"/>
    <n v="4235.99"/>
    <x v="1"/>
    <n v="2496.7676064256989"/>
    <n v="4659.58"/>
    <n v="4659.59"/>
    <n v="4659.59"/>
    <s v="November 2023"/>
  </r>
  <r>
    <d v="2023-11-06T00:00:00"/>
    <x v="4634"/>
    <n v="45"/>
    <x v="0"/>
    <x v="1"/>
    <x v="1"/>
    <x v="0"/>
    <n v="1653.1"/>
    <x v="1"/>
    <n v="2509.1716796874912"/>
    <n v="1818.41"/>
    <n v="1818.41"/>
    <n v="1818.41"/>
    <s v="November 2023"/>
  </r>
  <r>
    <d v="2023-11-06T00:00:00"/>
    <x v="4635"/>
    <n v="82"/>
    <x v="1"/>
    <x v="5"/>
    <x v="0"/>
    <x v="1"/>
    <n v="1222.01"/>
    <x v="0"/>
    <n v="2503.6022787783854"/>
    <n v="1344.21"/>
    <n v="1344.22"/>
    <n v="1344.21"/>
    <s v="November 2023"/>
  </r>
  <r>
    <d v="2023-11-06T00:00:00"/>
    <x v="4636"/>
    <n v="18"/>
    <x v="2"/>
    <x v="7"/>
    <x v="1"/>
    <x v="0"/>
    <n v="2490.8200000000002"/>
    <x v="1"/>
    <n v="2509.1716796874912"/>
    <n v="2739.9"/>
    <n v="2739.9100000000003"/>
    <n v="2739.9"/>
    <s v="November 2023"/>
  </r>
  <r>
    <d v="2023-11-07T00:00:00"/>
    <x v="4637"/>
    <n v="57"/>
    <x v="0"/>
    <x v="0"/>
    <x v="2"/>
    <x v="3"/>
    <n v="2428.91"/>
    <x v="1"/>
    <n v="2440.2966694490838"/>
    <n v="2671.8"/>
    <n v="2671.8100000000004"/>
    <n v="2671.8"/>
    <s v="November 2023"/>
  </r>
  <r>
    <d v="2023-11-07T00:00:00"/>
    <x v="4638"/>
    <n v="80"/>
    <x v="1"/>
    <x v="1"/>
    <x v="3"/>
    <x v="4"/>
    <n v="1196.6400000000001"/>
    <x v="0"/>
    <n v="2496.7676064256989"/>
    <n v="1316.3"/>
    <n v="1316.31"/>
    <n v="1316.3"/>
    <s v="November 2023"/>
  </r>
  <r>
    <d v="2023-11-07T00:00:00"/>
    <x v="4639"/>
    <n v="78"/>
    <x v="1"/>
    <x v="7"/>
    <x v="2"/>
    <x v="4"/>
    <n v="1594.74"/>
    <x v="0"/>
    <n v="2440.2966694490838"/>
    <n v="1754.21"/>
    <n v="1754.22"/>
    <n v="1754.21"/>
    <s v="November 2023"/>
  </r>
  <r>
    <d v="2023-11-07T00:00:00"/>
    <x v="4640"/>
    <n v="3"/>
    <x v="0"/>
    <x v="4"/>
    <x v="1"/>
    <x v="2"/>
    <n v="1693.86"/>
    <x v="2"/>
    <n v="2509.1716796874912"/>
    <n v="1863.24"/>
    <n v="1863.25"/>
    <n v="1863.25"/>
    <s v="November 2023"/>
  </r>
  <r>
    <d v="2023-11-07T00:00:00"/>
    <x v="4641"/>
    <n v="76"/>
    <x v="0"/>
    <x v="0"/>
    <x v="3"/>
    <x v="1"/>
    <n v="2431.15"/>
    <x v="0"/>
    <n v="2496.7676064256989"/>
    <n v="2674.26"/>
    <n v="2674.2700000000004"/>
    <n v="2674.27"/>
    <s v="November 2023"/>
  </r>
  <r>
    <d v="2023-11-07T00:00:00"/>
    <x v="4642"/>
    <n v="78"/>
    <x v="0"/>
    <x v="5"/>
    <x v="2"/>
    <x v="3"/>
    <n v="3728.42"/>
    <x v="0"/>
    <n v="2440.2966694490838"/>
    <n v="4101.26"/>
    <n v="4101.2700000000004"/>
    <n v="4101.26"/>
    <s v="November 2023"/>
  </r>
  <r>
    <d v="2023-11-07T00:00:00"/>
    <x v="4643"/>
    <n v="80"/>
    <x v="2"/>
    <x v="7"/>
    <x v="2"/>
    <x v="1"/>
    <n v="807.51"/>
    <x v="0"/>
    <n v="2440.2966694490838"/>
    <n v="888.26"/>
    <n v="888.27"/>
    <n v="888.26"/>
    <s v="November 2023"/>
  </r>
  <r>
    <d v="2023-11-07T00:00:00"/>
    <x v="4644"/>
    <n v="23"/>
    <x v="2"/>
    <x v="0"/>
    <x v="2"/>
    <x v="2"/>
    <n v="291.69"/>
    <x v="1"/>
    <n v="2440.2966694490838"/>
    <n v="320.85000000000002"/>
    <n v="320.86"/>
    <n v="320.86"/>
    <s v="November 2023"/>
  </r>
  <r>
    <d v="2023-11-08T00:00:00"/>
    <x v="4645"/>
    <n v="22"/>
    <x v="2"/>
    <x v="1"/>
    <x v="3"/>
    <x v="2"/>
    <n v="1307.98"/>
    <x v="1"/>
    <n v="2496.7676064256989"/>
    <n v="1438.77"/>
    <n v="1438.78"/>
    <n v="1438.78"/>
    <s v="November 2023"/>
  </r>
  <r>
    <d v="2023-11-08T00:00:00"/>
    <x v="4646"/>
    <n v="71"/>
    <x v="2"/>
    <x v="2"/>
    <x v="0"/>
    <x v="0"/>
    <n v="4479.28"/>
    <x v="0"/>
    <n v="2503.6022787783854"/>
    <n v="4927.2"/>
    <n v="4927.21"/>
    <n v="4927.21"/>
    <s v="November 2023"/>
  </r>
  <r>
    <d v="2023-11-08T00:00:00"/>
    <x v="4647"/>
    <n v="88"/>
    <x v="2"/>
    <x v="4"/>
    <x v="3"/>
    <x v="4"/>
    <n v="2595.56"/>
    <x v="0"/>
    <n v="2496.7676064256989"/>
    <n v="2855.11"/>
    <n v="2855.1200000000003"/>
    <n v="2855.12"/>
    <s v="November 2023"/>
  </r>
  <r>
    <d v="2023-11-08T00:00:00"/>
    <x v="4648"/>
    <n v="45"/>
    <x v="0"/>
    <x v="2"/>
    <x v="2"/>
    <x v="2"/>
    <n v="1956.67"/>
    <x v="1"/>
    <n v="2440.2966694490838"/>
    <n v="2152.33"/>
    <n v="2152.34"/>
    <n v="2152.34"/>
    <s v="November 2023"/>
  </r>
  <r>
    <d v="2023-11-08T00:00:00"/>
    <x v="4649"/>
    <n v="72"/>
    <x v="0"/>
    <x v="4"/>
    <x v="1"/>
    <x v="4"/>
    <n v="1449.75"/>
    <x v="0"/>
    <n v="2509.1716796874912"/>
    <n v="1594.72"/>
    <n v="1594.73"/>
    <n v="1594.73"/>
    <s v="November 2023"/>
  </r>
  <r>
    <d v="2023-11-08T00:00:00"/>
    <x v="4650"/>
    <n v="27"/>
    <x v="0"/>
    <x v="4"/>
    <x v="0"/>
    <x v="1"/>
    <n v="4611.92"/>
    <x v="1"/>
    <n v="2503.6022787783854"/>
    <n v="5073.1099999999997"/>
    <n v="5073.12"/>
    <n v="5073.1099999999997"/>
    <s v="November 2023"/>
  </r>
  <r>
    <d v="2023-11-09T00:00:00"/>
    <x v="4651"/>
    <n v="87"/>
    <x v="1"/>
    <x v="3"/>
    <x v="2"/>
    <x v="1"/>
    <n v="4833.55"/>
    <x v="0"/>
    <n v="2440.2966694490838"/>
    <n v="5316.9"/>
    <n v="5316.91"/>
    <n v="5316.91"/>
    <s v="November 2023"/>
  </r>
  <r>
    <d v="2023-11-09T00:00:00"/>
    <x v="4652"/>
    <n v="61"/>
    <x v="2"/>
    <x v="7"/>
    <x v="3"/>
    <x v="0"/>
    <n v="3720.48"/>
    <x v="1"/>
    <n v="2496.7676064256989"/>
    <n v="4092.52"/>
    <n v="4092.53"/>
    <n v="4092.53"/>
    <s v="November 2023"/>
  </r>
  <r>
    <d v="2023-11-09T00:00:00"/>
    <x v="4653"/>
    <n v="62"/>
    <x v="2"/>
    <x v="1"/>
    <x v="1"/>
    <x v="0"/>
    <n v="3781.38"/>
    <x v="1"/>
    <n v="2509.1716796874912"/>
    <n v="4159.51"/>
    <n v="4159.5200000000004"/>
    <n v="4159.5200000000004"/>
    <s v="November 2023"/>
  </r>
  <r>
    <d v="2023-11-09T00:00:00"/>
    <x v="4654"/>
    <n v="42"/>
    <x v="0"/>
    <x v="2"/>
    <x v="3"/>
    <x v="0"/>
    <n v="1548.04"/>
    <x v="1"/>
    <n v="2496.7676064256989"/>
    <n v="1702.84"/>
    <n v="1702.85"/>
    <n v="1702.84"/>
    <s v="November 2023"/>
  </r>
  <r>
    <d v="2023-11-09T00:00:00"/>
    <x v="4655"/>
    <n v="18"/>
    <x v="2"/>
    <x v="2"/>
    <x v="1"/>
    <x v="2"/>
    <n v="2515.2800000000002"/>
    <x v="1"/>
    <n v="2509.1716796874912"/>
    <n v="2766.8"/>
    <n v="2766.8100000000004"/>
    <n v="2766.81"/>
    <s v="November 2023"/>
  </r>
  <r>
    <d v="2023-11-10T00:00:00"/>
    <x v="4656"/>
    <n v="76"/>
    <x v="1"/>
    <x v="7"/>
    <x v="1"/>
    <x v="1"/>
    <n v="2249.27"/>
    <x v="0"/>
    <n v="2509.1716796874912"/>
    <n v="2474.19"/>
    <n v="2474.2000000000003"/>
    <n v="2474.1999999999998"/>
    <s v="November 2023"/>
  </r>
  <r>
    <d v="2023-11-10T00:00:00"/>
    <x v="4657"/>
    <n v="41"/>
    <x v="2"/>
    <x v="4"/>
    <x v="3"/>
    <x v="0"/>
    <n v="1211.54"/>
    <x v="1"/>
    <n v="2496.7676064256989"/>
    <n v="1332.69"/>
    <n v="1332.7"/>
    <n v="1332.69"/>
    <s v="November 2023"/>
  </r>
  <r>
    <d v="2023-11-10T00:00:00"/>
    <x v="4658"/>
    <n v="67"/>
    <x v="0"/>
    <x v="7"/>
    <x v="2"/>
    <x v="3"/>
    <n v="2604.3200000000002"/>
    <x v="0"/>
    <n v="2440.2966694490838"/>
    <n v="2864.75"/>
    <n v="2864.76"/>
    <n v="2864.75"/>
    <s v="November 2023"/>
  </r>
  <r>
    <d v="2023-11-10T00:00:00"/>
    <x v="4659"/>
    <n v="24"/>
    <x v="0"/>
    <x v="4"/>
    <x v="3"/>
    <x v="4"/>
    <n v="168.38"/>
    <x v="1"/>
    <n v="2496.7676064256989"/>
    <n v="185.21"/>
    <n v="185.22"/>
    <n v="185.22"/>
    <s v="November 2023"/>
  </r>
  <r>
    <d v="2023-11-10T00:00:00"/>
    <x v="4660"/>
    <n v="32"/>
    <x v="0"/>
    <x v="6"/>
    <x v="0"/>
    <x v="5"/>
    <n v="129.46"/>
    <x v="1"/>
    <n v="2503.6022787783854"/>
    <n v="142.4"/>
    <n v="142.41"/>
    <n v="142.41"/>
    <s v="November 2023"/>
  </r>
  <r>
    <d v="2023-11-11T00:00:00"/>
    <x v="4661"/>
    <n v="73"/>
    <x v="0"/>
    <x v="4"/>
    <x v="0"/>
    <x v="2"/>
    <n v="4316.45"/>
    <x v="0"/>
    <n v="2503.6022787783854"/>
    <n v="4748.09"/>
    <n v="4748.1000000000004"/>
    <n v="4748.1000000000004"/>
    <s v="November 2023"/>
  </r>
  <r>
    <d v="2023-11-11T00:00:00"/>
    <x v="4662"/>
    <n v="63"/>
    <x v="0"/>
    <x v="5"/>
    <x v="0"/>
    <x v="0"/>
    <n v="1086.96"/>
    <x v="1"/>
    <n v="2503.6022787783854"/>
    <n v="1195.6500000000001"/>
    <n v="1195.6600000000001"/>
    <n v="1195.6600000000001"/>
    <s v="November 2023"/>
  </r>
  <r>
    <d v="2023-11-11T00:00:00"/>
    <x v="4663"/>
    <n v="77"/>
    <x v="2"/>
    <x v="7"/>
    <x v="3"/>
    <x v="2"/>
    <n v="4635.62"/>
    <x v="0"/>
    <n v="2496.7676064256989"/>
    <n v="5099.18"/>
    <n v="5099.1900000000005"/>
    <n v="5099.18"/>
    <s v="November 2023"/>
  </r>
  <r>
    <d v="2023-11-11T00:00:00"/>
    <x v="4664"/>
    <n v="38"/>
    <x v="1"/>
    <x v="0"/>
    <x v="2"/>
    <x v="4"/>
    <n v="4983.24"/>
    <x v="1"/>
    <n v="2440.2966694490838"/>
    <n v="5481.56"/>
    <n v="5481.5700000000006"/>
    <n v="5481.56"/>
    <s v="November 2023"/>
  </r>
  <r>
    <d v="2023-11-11T00:00:00"/>
    <x v="4665"/>
    <n v="51"/>
    <x v="1"/>
    <x v="1"/>
    <x v="3"/>
    <x v="4"/>
    <n v="849.59"/>
    <x v="1"/>
    <n v="2496.7676064256989"/>
    <n v="934.54"/>
    <n v="934.55"/>
    <n v="934.55"/>
    <s v="November 2023"/>
  </r>
  <r>
    <d v="2023-11-11T00:00:00"/>
    <x v="4666"/>
    <n v="51"/>
    <x v="2"/>
    <x v="1"/>
    <x v="1"/>
    <x v="0"/>
    <n v="3914.92"/>
    <x v="1"/>
    <n v="2509.1716796874912"/>
    <n v="4306.41"/>
    <n v="4306.42"/>
    <n v="4306.41"/>
    <s v="November 2023"/>
  </r>
  <r>
    <d v="2023-11-11T00:00:00"/>
    <x v="4667"/>
    <n v="80"/>
    <x v="1"/>
    <x v="2"/>
    <x v="2"/>
    <x v="1"/>
    <n v="1795.11"/>
    <x v="0"/>
    <n v="2440.2966694490838"/>
    <n v="1974.62"/>
    <n v="1974.6299999999999"/>
    <n v="1974.62"/>
    <s v="November 2023"/>
  </r>
  <r>
    <d v="2023-11-11T00:00:00"/>
    <x v="4668"/>
    <n v="28"/>
    <x v="1"/>
    <x v="2"/>
    <x v="2"/>
    <x v="1"/>
    <n v="3536.41"/>
    <x v="1"/>
    <n v="2440.2966694490838"/>
    <n v="3890.05"/>
    <n v="3890.0600000000004"/>
    <n v="3890.05"/>
    <s v="November 2023"/>
  </r>
  <r>
    <d v="2023-11-11T00:00:00"/>
    <x v="4669"/>
    <n v="41"/>
    <x v="1"/>
    <x v="4"/>
    <x v="1"/>
    <x v="2"/>
    <n v="3964.81"/>
    <x v="1"/>
    <n v="2509.1716796874912"/>
    <n v="4361.29"/>
    <n v="4361.3"/>
    <n v="4361.29"/>
    <s v="November 2023"/>
  </r>
  <r>
    <d v="2023-11-11T00:00:00"/>
    <x v="4670"/>
    <n v="20"/>
    <x v="2"/>
    <x v="5"/>
    <x v="0"/>
    <x v="1"/>
    <n v="1632.76"/>
    <x v="1"/>
    <n v="2503.6022787783854"/>
    <n v="1796.03"/>
    <n v="1796.04"/>
    <n v="1796.04"/>
    <s v="November 2023"/>
  </r>
  <r>
    <d v="2023-11-12T00:00:00"/>
    <x v="4671"/>
    <n v="1"/>
    <x v="0"/>
    <x v="5"/>
    <x v="1"/>
    <x v="3"/>
    <n v="1233.97"/>
    <x v="2"/>
    <n v="2509.1716796874912"/>
    <n v="1357.36"/>
    <n v="1357.37"/>
    <n v="1357.37"/>
    <s v="November 2023"/>
  </r>
  <r>
    <d v="2023-11-12T00:00:00"/>
    <x v="4672"/>
    <n v="39"/>
    <x v="2"/>
    <x v="0"/>
    <x v="3"/>
    <x v="1"/>
    <n v="4686.8599999999997"/>
    <x v="1"/>
    <n v="2496.7676064256989"/>
    <n v="5155.54"/>
    <n v="5155.55"/>
    <n v="5155.55"/>
    <s v="November 2023"/>
  </r>
  <r>
    <d v="2023-11-12T00:00:00"/>
    <x v="4673"/>
    <n v="32"/>
    <x v="1"/>
    <x v="4"/>
    <x v="0"/>
    <x v="1"/>
    <n v="1819.88"/>
    <x v="1"/>
    <n v="2503.6022787783854"/>
    <n v="2001.86"/>
    <n v="2001.87"/>
    <n v="2001.87"/>
    <s v="November 2023"/>
  </r>
  <r>
    <d v="2023-11-12T00:00:00"/>
    <x v="4674"/>
    <n v="35"/>
    <x v="1"/>
    <x v="2"/>
    <x v="3"/>
    <x v="1"/>
    <n v="3957.42"/>
    <x v="1"/>
    <n v="2496.7676064256989"/>
    <n v="4353.16"/>
    <n v="4353.17"/>
    <n v="4353.16"/>
    <s v="November 2023"/>
  </r>
  <r>
    <d v="2023-11-12T00:00:00"/>
    <x v="4675"/>
    <n v="82"/>
    <x v="1"/>
    <x v="3"/>
    <x v="1"/>
    <x v="2"/>
    <n v="1690.5"/>
    <x v="0"/>
    <n v="2509.1716796874912"/>
    <n v="1859.55"/>
    <n v="1859.55"/>
    <n v="1859.55"/>
    <s v="November 2023"/>
  </r>
  <r>
    <d v="2023-11-12T00:00:00"/>
    <x v="4676"/>
    <n v="44"/>
    <x v="2"/>
    <x v="7"/>
    <x v="2"/>
    <x v="2"/>
    <n v="1972.4"/>
    <x v="1"/>
    <n v="2440.2966694490838"/>
    <n v="2169.64"/>
    <n v="2169.64"/>
    <n v="2169.64"/>
    <s v="November 2023"/>
  </r>
  <r>
    <d v="2023-11-12T00:00:00"/>
    <x v="4677"/>
    <n v="52"/>
    <x v="0"/>
    <x v="5"/>
    <x v="1"/>
    <x v="1"/>
    <n v="4690.3"/>
    <x v="1"/>
    <n v="2509.1716796874912"/>
    <n v="5159.33"/>
    <n v="5159.33"/>
    <n v="5159.33"/>
    <s v="November 2023"/>
  </r>
  <r>
    <d v="2023-11-13T00:00:00"/>
    <x v="4678"/>
    <n v="28"/>
    <x v="1"/>
    <x v="0"/>
    <x v="2"/>
    <x v="3"/>
    <n v="2452.7399999999998"/>
    <x v="1"/>
    <n v="2440.2966694490838"/>
    <n v="2698.01"/>
    <n v="2698.0200000000004"/>
    <n v="2698.01"/>
    <s v="November 2023"/>
  </r>
  <r>
    <d v="2023-11-13T00:00:00"/>
    <x v="4679"/>
    <n v="16"/>
    <x v="1"/>
    <x v="0"/>
    <x v="3"/>
    <x v="4"/>
    <n v="4052.34"/>
    <x v="1"/>
    <n v="2496.7676064256989"/>
    <n v="4457.57"/>
    <n v="4457.58"/>
    <n v="4457.57"/>
    <s v="November 2023"/>
  </r>
  <r>
    <d v="2023-11-13T00:00:00"/>
    <x v="4680"/>
    <n v="18"/>
    <x v="0"/>
    <x v="0"/>
    <x v="0"/>
    <x v="0"/>
    <n v="1662.08"/>
    <x v="1"/>
    <n v="2503.6022787783854"/>
    <n v="1828.28"/>
    <n v="1828.29"/>
    <n v="1828.29"/>
    <s v="November 2023"/>
  </r>
  <r>
    <d v="2023-11-13T00:00:00"/>
    <x v="4681"/>
    <n v="21"/>
    <x v="0"/>
    <x v="4"/>
    <x v="3"/>
    <x v="2"/>
    <n v="1714.69"/>
    <x v="1"/>
    <n v="2496.7676064256989"/>
    <n v="1886.15"/>
    <n v="1886.16"/>
    <n v="1886.16"/>
    <s v="November 2023"/>
  </r>
  <r>
    <d v="2023-11-13T00:00:00"/>
    <x v="4682"/>
    <n v="95"/>
    <x v="0"/>
    <x v="7"/>
    <x v="1"/>
    <x v="4"/>
    <n v="1409.34"/>
    <x v="0"/>
    <n v="2509.1716796874912"/>
    <n v="1550.27"/>
    <n v="1550.28"/>
    <n v="1550.27"/>
    <s v="November 2023"/>
  </r>
  <r>
    <d v="2023-11-14T00:00:00"/>
    <x v="4683"/>
    <n v="4"/>
    <x v="1"/>
    <x v="0"/>
    <x v="2"/>
    <x v="3"/>
    <n v="4539.63"/>
    <x v="2"/>
    <n v="2440.2966694490838"/>
    <n v="4993.59"/>
    <n v="4993.6000000000004"/>
    <n v="4993.59"/>
    <s v="November 2023"/>
  </r>
  <r>
    <d v="2023-11-14T00:00:00"/>
    <x v="4684"/>
    <n v="46"/>
    <x v="1"/>
    <x v="0"/>
    <x v="2"/>
    <x v="4"/>
    <n v="2643.52"/>
    <x v="1"/>
    <n v="2440.2966694490838"/>
    <n v="2907.87"/>
    <n v="2907.88"/>
    <n v="2907.87"/>
    <s v="November 2023"/>
  </r>
  <r>
    <d v="2023-11-14T00:00:00"/>
    <x v="4685"/>
    <n v="17"/>
    <x v="0"/>
    <x v="4"/>
    <x v="0"/>
    <x v="0"/>
    <n v="484.03"/>
    <x v="1"/>
    <n v="2503.6022787783854"/>
    <n v="532.42999999999995"/>
    <n v="532.43999999999994"/>
    <n v="532.42999999999995"/>
    <s v="November 2023"/>
  </r>
  <r>
    <d v="2023-11-14T00:00:00"/>
    <x v="4686"/>
    <n v="4"/>
    <x v="1"/>
    <x v="6"/>
    <x v="3"/>
    <x v="3"/>
    <n v="2915.86"/>
    <x v="2"/>
    <n v="2496.7676064256989"/>
    <n v="3207.44"/>
    <n v="3207.4500000000003"/>
    <n v="3207.45"/>
    <s v="November 2023"/>
  </r>
  <r>
    <d v="2023-11-14T00:00:00"/>
    <x v="4687"/>
    <n v="1"/>
    <x v="2"/>
    <x v="4"/>
    <x v="1"/>
    <x v="0"/>
    <n v="4173.68"/>
    <x v="2"/>
    <n v="2509.1716796874912"/>
    <n v="4591.04"/>
    <n v="4591.05"/>
    <n v="4591.05"/>
    <s v="November 2023"/>
  </r>
  <r>
    <d v="2023-11-14T00:00:00"/>
    <x v="4688"/>
    <n v="33"/>
    <x v="0"/>
    <x v="5"/>
    <x v="2"/>
    <x v="3"/>
    <n v="389.68"/>
    <x v="1"/>
    <n v="2440.2966694490838"/>
    <n v="428.64"/>
    <n v="428.65"/>
    <n v="428.65"/>
    <s v="November 2023"/>
  </r>
  <r>
    <d v="2023-11-14T00:00:00"/>
    <x v="4689"/>
    <n v="47"/>
    <x v="1"/>
    <x v="1"/>
    <x v="0"/>
    <x v="3"/>
    <n v="3656.75"/>
    <x v="1"/>
    <n v="2503.6022787783854"/>
    <n v="4022.42"/>
    <n v="4022.4300000000003"/>
    <n v="4022.43"/>
    <s v="November 2023"/>
  </r>
  <r>
    <d v="2023-11-14T00:00:00"/>
    <x v="4690"/>
    <n v="6"/>
    <x v="2"/>
    <x v="1"/>
    <x v="2"/>
    <x v="3"/>
    <n v="2056"/>
    <x v="2"/>
    <n v="2440.2966694490838"/>
    <n v="2261.6"/>
    <n v="2261.6"/>
    <n v="2261.6"/>
    <s v="November 2023"/>
  </r>
  <r>
    <d v="2023-11-14T00:00:00"/>
    <x v="4691"/>
    <n v="46"/>
    <x v="1"/>
    <x v="3"/>
    <x v="0"/>
    <x v="3"/>
    <n v="691.8"/>
    <x v="1"/>
    <n v="2503.6022787783854"/>
    <n v="760.98"/>
    <n v="760.98"/>
    <n v="760.98"/>
    <s v="November 2023"/>
  </r>
  <r>
    <d v="2023-11-14T00:00:00"/>
    <x v="4692"/>
    <n v="97"/>
    <x v="1"/>
    <x v="0"/>
    <x v="2"/>
    <x v="4"/>
    <n v="4343.45"/>
    <x v="0"/>
    <n v="2440.2966694490838"/>
    <n v="4777.79"/>
    <n v="4777.8"/>
    <n v="4777.8"/>
    <s v="November 2023"/>
  </r>
  <r>
    <d v="2023-11-14T00:00:00"/>
    <x v="4693"/>
    <n v="58"/>
    <x v="2"/>
    <x v="3"/>
    <x v="1"/>
    <x v="2"/>
    <n v="1313.38"/>
    <x v="1"/>
    <n v="2509.1716796874912"/>
    <n v="1444.71"/>
    <n v="1444.72"/>
    <n v="1444.72"/>
    <s v="November 2023"/>
  </r>
  <r>
    <d v="2023-11-14T00:00:00"/>
    <x v="4694"/>
    <n v="28"/>
    <x v="2"/>
    <x v="6"/>
    <x v="0"/>
    <x v="2"/>
    <n v="466.09"/>
    <x v="1"/>
    <n v="2503.6022787783854"/>
    <n v="512.69000000000005"/>
    <n v="512.70000000000005"/>
    <n v="512.70000000000005"/>
    <s v="November 2023"/>
  </r>
  <r>
    <d v="2023-11-14T00:00:00"/>
    <x v="4695"/>
    <n v="50"/>
    <x v="1"/>
    <x v="0"/>
    <x v="3"/>
    <x v="4"/>
    <n v="992.61"/>
    <x v="1"/>
    <n v="2496.7676064256989"/>
    <n v="1091.8699999999999"/>
    <n v="1091.8799999999999"/>
    <n v="1091.8699999999999"/>
    <s v="November 2023"/>
  </r>
  <r>
    <d v="2023-11-15T00:00:00"/>
    <x v="4696"/>
    <n v="68"/>
    <x v="2"/>
    <x v="1"/>
    <x v="1"/>
    <x v="4"/>
    <n v="1990.37"/>
    <x v="0"/>
    <n v="2509.1716796874912"/>
    <n v="2189.4"/>
    <n v="2189.4100000000003"/>
    <n v="2189.41"/>
    <s v="November 2023"/>
  </r>
  <r>
    <d v="2023-11-15T00:00:00"/>
    <x v="4697"/>
    <n v="95"/>
    <x v="0"/>
    <x v="5"/>
    <x v="2"/>
    <x v="2"/>
    <n v="1698.54"/>
    <x v="0"/>
    <n v="2440.2966694490838"/>
    <n v="1868.39"/>
    <n v="1868.4"/>
    <n v="1868.39"/>
    <s v="November 2023"/>
  </r>
  <r>
    <d v="2023-11-15T00:00:00"/>
    <x v="4698"/>
    <n v="39"/>
    <x v="1"/>
    <x v="5"/>
    <x v="2"/>
    <x v="5"/>
    <n v="1256.68"/>
    <x v="1"/>
    <n v="2440.2966694490838"/>
    <n v="1382.34"/>
    <n v="1382.35"/>
    <n v="1382.35"/>
    <s v="November 2023"/>
  </r>
  <r>
    <d v="2023-11-15T00:00:00"/>
    <x v="4699"/>
    <n v="80"/>
    <x v="0"/>
    <x v="6"/>
    <x v="2"/>
    <x v="4"/>
    <n v="2051.96"/>
    <x v="0"/>
    <n v="2440.2966694490838"/>
    <n v="2257.15"/>
    <n v="2257.1600000000003"/>
    <n v="2257.16"/>
    <s v="November 2023"/>
  </r>
  <r>
    <d v="2023-11-15T00:00:00"/>
    <x v="4700"/>
    <n v="73"/>
    <x v="2"/>
    <x v="1"/>
    <x v="1"/>
    <x v="2"/>
    <n v="4743.1099999999997"/>
    <x v="0"/>
    <n v="2509.1716796874912"/>
    <n v="5217.42"/>
    <n v="5217.43"/>
    <n v="5217.42"/>
    <s v="November 2023"/>
  </r>
  <r>
    <d v="2023-11-16T00:00:00"/>
    <x v="4701"/>
    <n v="6"/>
    <x v="0"/>
    <x v="0"/>
    <x v="2"/>
    <x v="1"/>
    <n v="4279.3599999999997"/>
    <x v="2"/>
    <n v="2440.2966694490838"/>
    <n v="4707.29"/>
    <n v="4707.3"/>
    <n v="4707.3"/>
    <s v="November 2023"/>
  </r>
  <r>
    <d v="2023-11-16T00:00:00"/>
    <x v="4702"/>
    <n v="45"/>
    <x v="1"/>
    <x v="3"/>
    <x v="1"/>
    <x v="3"/>
    <n v="1660.05"/>
    <x v="1"/>
    <n v="2509.1716796874912"/>
    <n v="1826.05"/>
    <n v="1826.06"/>
    <n v="1826.06"/>
    <s v="November 2023"/>
  </r>
  <r>
    <d v="2023-11-17T00:00:00"/>
    <x v="4703"/>
    <n v="80"/>
    <x v="2"/>
    <x v="4"/>
    <x v="2"/>
    <x v="4"/>
    <n v="639.9"/>
    <x v="0"/>
    <n v="2440.2966694490838"/>
    <n v="703.89"/>
    <n v="703.89"/>
    <n v="703.89"/>
    <s v="November 2023"/>
  </r>
  <r>
    <d v="2023-11-17T00:00:00"/>
    <x v="4704"/>
    <n v="96"/>
    <x v="0"/>
    <x v="0"/>
    <x v="1"/>
    <x v="0"/>
    <n v="736.2"/>
    <x v="0"/>
    <n v="2509.1716796874912"/>
    <n v="809.82"/>
    <n v="809.82"/>
    <n v="809.82"/>
    <s v="November 2023"/>
  </r>
  <r>
    <d v="2023-11-18T00:00:00"/>
    <x v="4705"/>
    <n v="48"/>
    <x v="1"/>
    <x v="2"/>
    <x v="2"/>
    <x v="0"/>
    <n v="1135.69"/>
    <x v="1"/>
    <n v="2440.2966694490838"/>
    <n v="1249.25"/>
    <n v="1249.26"/>
    <n v="1249.26"/>
    <s v="November 2023"/>
  </r>
  <r>
    <d v="2023-11-18T00:00:00"/>
    <x v="4706"/>
    <n v="97"/>
    <x v="0"/>
    <x v="3"/>
    <x v="3"/>
    <x v="3"/>
    <n v="1168.8499999999999"/>
    <x v="0"/>
    <n v="2496.7676064256989"/>
    <n v="1285.73"/>
    <n v="1285.74"/>
    <n v="1285.74"/>
    <s v="November 2023"/>
  </r>
  <r>
    <d v="2023-11-18T00:00:00"/>
    <x v="4707"/>
    <n v="0"/>
    <x v="1"/>
    <x v="3"/>
    <x v="2"/>
    <x v="0"/>
    <n v="1659.97"/>
    <x v="2"/>
    <n v="2440.2966694490838"/>
    <n v="1825.96"/>
    <n v="1825.97"/>
    <n v="1825.97"/>
    <s v="November 2023"/>
  </r>
  <r>
    <d v="2023-11-18T00:00:00"/>
    <x v="4708"/>
    <n v="1"/>
    <x v="1"/>
    <x v="4"/>
    <x v="3"/>
    <x v="1"/>
    <n v="2875.22"/>
    <x v="2"/>
    <n v="2496.7676064256989"/>
    <n v="3162.74"/>
    <n v="3162.75"/>
    <n v="3162.74"/>
    <s v="November 2023"/>
  </r>
  <r>
    <d v="2023-11-18T00:00:00"/>
    <x v="4709"/>
    <n v="9"/>
    <x v="2"/>
    <x v="2"/>
    <x v="1"/>
    <x v="3"/>
    <n v="3315.31"/>
    <x v="2"/>
    <n v="2509.1716796874912"/>
    <n v="3646.84"/>
    <n v="3646.8500000000004"/>
    <n v="3646.84"/>
    <s v="November 2023"/>
  </r>
  <r>
    <d v="2023-11-19T00:00:00"/>
    <x v="4710"/>
    <n v="78"/>
    <x v="2"/>
    <x v="6"/>
    <x v="2"/>
    <x v="3"/>
    <n v="1061.21"/>
    <x v="0"/>
    <n v="2440.2966694490838"/>
    <n v="1167.33"/>
    <n v="1167.3399999999999"/>
    <n v="1167.33"/>
    <s v="November 2023"/>
  </r>
  <r>
    <d v="2023-11-19T00:00:00"/>
    <x v="4711"/>
    <n v="99"/>
    <x v="2"/>
    <x v="6"/>
    <x v="1"/>
    <x v="4"/>
    <n v="2008.63"/>
    <x v="0"/>
    <n v="2509.1716796874912"/>
    <n v="2209.4899999999998"/>
    <n v="2209.5"/>
    <n v="2209.4899999999998"/>
    <s v="November 2023"/>
  </r>
  <r>
    <d v="2023-11-19T00:00:00"/>
    <x v="4712"/>
    <n v="85"/>
    <x v="1"/>
    <x v="1"/>
    <x v="1"/>
    <x v="4"/>
    <n v="4866.6099999999997"/>
    <x v="0"/>
    <n v="2509.1716796874912"/>
    <n v="5353.27"/>
    <n v="5353.2800000000007"/>
    <n v="5353.27"/>
    <s v="November 2023"/>
  </r>
  <r>
    <d v="2023-11-19T00:00:00"/>
    <x v="4713"/>
    <n v="7"/>
    <x v="0"/>
    <x v="3"/>
    <x v="3"/>
    <x v="1"/>
    <n v="4331.88"/>
    <x v="2"/>
    <n v="2496.7676064256989"/>
    <n v="4765.0600000000004"/>
    <n v="4765.0700000000006"/>
    <n v="4765.07"/>
    <s v="November 2023"/>
  </r>
  <r>
    <d v="2023-11-20T00:00:00"/>
    <x v="4714"/>
    <n v="23"/>
    <x v="1"/>
    <x v="2"/>
    <x v="0"/>
    <x v="4"/>
    <n v="2165.5100000000002"/>
    <x v="1"/>
    <n v="2503.6022787783854"/>
    <n v="2382.06"/>
    <n v="2382.0700000000002"/>
    <n v="2382.06"/>
    <s v="November 2023"/>
  </r>
  <r>
    <d v="2023-11-20T00:00:00"/>
    <x v="4715"/>
    <n v="35"/>
    <x v="1"/>
    <x v="1"/>
    <x v="0"/>
    <x v="2"/>
    <n v="859.35"/>
    <x v="1"/>
    <n v="2503.6022787783854"/>
    <n v="945.28"/>
    <n v="945.29"/>
    <n v="945.29"/>
    <s v="November 2023"/>
  </r>
  <r>
    <d v="2023-11-20T00:00:00"/>
    <x v="4716"/>
    <n v="14"/>
    <x v="2"/>
    <x v="6"/>
    <x v="3"/>
    <x v="3"/>
    <n v="817.34"/>
    <x v="2"/>
    <n v="2496.7676064256989"/>
    <n v="899.07"/>
    <n v="899.08"/>
    <n v="899.07"/>
    <s v="November 2023"/>
  </r>
  <r>
    <d v="2023-11-20T00:00:00"/>
    <x v="4717"/>
    <n v="48"/>
    <x v="2"/>
    <x v="5"/>
    <x v="3"/>
    <x v="3"/>
    <n v="2846.99"/>
    <x v="1"/>
    <n v="2496.7676064256989"/>
    <n v="3131.68"/>
    <n v="3131.69"/>
    <n v="3131.69"/>
    <s v="November 2023"/>
  </r>
  <r>
    <d v="2023-11-21T00:00:00"/>
    <x v="4718"/>
    <n v="67"/>
    <x v="2"/>
    <x v="0"/>
    <x v="2"/>
    <x v="4"/>
    <n v="1275.02"/>
    <x v="0"/>
    <n v="2440.2966694490838"/>
    <n v="1402.52"/>
    <n v="1402.53"/>
    <n v="1402.52"/>
    <s v="November 2023"/>
  </r>
  <r>
    <d v="2023-11-21T00:00:00"/>
    <x v="4719"/>
    <n v="35"/>
    <x v="2"/>
    <x v="7"/>
    <x v="3"/>
    <x v="2"/>
    <n v="2098.27"/>
    <x v="1"/>
    <n v="2496.7676064256989"/>
    <n v="2308.09"/>
    <n v="2308.1000000000004"/>
    <n v="2308.1"/>
    <s v="November 2023"/>
  </r>
  <r>
    <d v="2023-11-21T00:00:00"/>
    <x v="4720"/>
    <n v="93"/>
    <x v="0"/>
    <x v="2"/>
    <x v="1"/>
    <x v="1"/>
    <n v="3594.56"/>
    <x v="0"/>
    <n v="2509.1716796874912"/>
    <n v="3954.01"/>
    <n v="3954.0200000000004"/>
    <n v="3954.02"/>
    <s v="November 2023"/>
  </r>
  <r>
    <d v="2023-11-21T00:00:00"/>
    <x v="4721"/>
    <n v="57"/>
    <x v="2"/>
    <x v="3"/>
    <x v="3"/>
    <x v="1"/>
    <n v="2098.46"/>
    <x v="1"/>
    <n v="2496.7676064256989"/>
    <n v="2308.3000000000002"/>
    <n v="2308.3100000000004"/>
    <n v="2308.31"/>
    <s v="November 2023"/>
  </r>
  <r>
    <d v="2023-11-22T00:00:00"/>
    <x v="4722"/>
    <n v="7"/>
    <x v="0"/>
    <x v="3"/>
    <x v="0"/>
    <x v="0"/>
    <n v="2513.62"/>
    <x v="2"/>
    <n v="2503.6022787783854"/>
    <n v="2764.98"/>
    <n v="2764.9900000000002"/>
    <n v="2764.98"/>
    <s v="November 2023"/>
  </r>
  <r>
    <d v="2023-11-22T00:00:00"/>
    <x v="4723"/>
    <n v="41"/>
    <x v="1"/>
    <x v="7"/>
    <x v="0"/>
    <x v="5"/>
    <n v="4020.5"/>
    <x v="1"/>
    <n v="2503.6022787783854"/>
    <n v="4422.55"/>
    <n v="4422.55"/>
    <n v="4422.55"/>
    <s v="November 2023"/>
  </r>
  <r>
    <d v="2023-11-22T00:00:00"/>
    <x v="4724"/>
    <n v="37"/>
    <x v="2"/>
    <x v="2"/>
    <x v="3"/>
    <x v="0"/>
    <n v="159.58000000000001"/>
    <x v="1"/>
    <n v="2496.7676064256989"/>
    <n v="175.53"/>
    <n v="175.54"/>
    <n v="175.54"/>
    <s v="November 2023"/>
  </r>
  <r>
    <d v="2023-11-22T00:00:00"/>
    <x v="4725"/>
    <n v="4"/>
    <x v="0"/>
    <x v="1"/>
    <x v="0"/>
    <x v="3"/>
    <n v="1274.8800000000001"/>
    <x v="2"/>
    <n v="2503.6022787783854"/>
    <n v="1402.36"/>
    <n v="1402.37"/>
    <n v="1402.37"/>
    <s v="November 2023"/>
  </r>
  <r>
    <d v="2023-11-22T00:00:00"/>
    <x v="4726"/>
    <n v="54"/>
    <x v="0"/>
    <x v="4"/>
    <x v="1"/>
    <x v="2"/>
    <n v="3108.13"/>
    <x v="1"/>
    <n v="2509.1716796874912"/>
    <n v="3418.94"/>
    <n v="3418.9500000000003"/>
    <n v="3418.94"/>
    <s v="November 2023"/>
  </r>
  <r>
    <d v="2023-11-22T00:00:00"/>
    <x v="4727"/>
    <n v="28"/>
    <x v="0"/>
    <x v="3"/>
    <x v="2"/>
    <x v="3"/>
    <n v="3539.83"/>
    <x v="1"/>
    <n v="2440.2966694490838"/>
    <n v="3893.81"/>
    <n v="3893.82"/>
    <n v="3893.81"/>
    <s v="November 2023"/>
  </r>
  <r>
    <d v="2023-11-22T00:00:00"/>
    <x v="4728"/>
    <n v="83"/>
    <x v="0"/>
    <x v="7"/>
    <x v="3"/>
    <x v="1"/>
    <n v="3975.76"/>
    <x v="0"/>
    <n v="2496.7676064256989"/>
    <n v="4373.33"/>
    <n v="4373.34"/>
    <n v="4373.34"/>
    <s v="November 2023"/>
  </r>
  <r>
    <d v="2023-11-22T00:00:00"/>
    <x v="4729"/>
    <n v="41"/>
    <x v="2"/>
    <x v="5"/>
    <x v="0"/>
    <x v="4"/>
    <n v="2826.12"/>
    <x v="1"/>
    <n v="2503.6022787783854"/>
    <n v="3108.73"/>
    <n v="3108.7400000000002"/>
    <n v="3108.73"/>
    <s v="November 2023"/>
  </r>
  <r>
    <d v="2023-11-22T00:00:00"/>
    <x v="4730"/>
    <n v="59"/>
    <x v="1"/>
    <x v="6"/>
    <x v="2"/>
    <x v="4"/>
    <n v="3552.19"/>
    <x v="1"/>
    <n v="2440.2966694490838"/>
    <n v="3907.4"/>
    <n v="3907.4100000000003"/>
    <n v="3907.41"/>
    <s v="November 2023"/>
  </r>
  <r>
    <d v="2023-11-22T00:00:00"/>
    <x v="4731"/>
    <n v="81"/>
    <x v="1"/>
    <x v="1"/>
    <x v="0"/>
    <x v="0"/>
    <n v="1585.07"/>
    <x v="0"/>
    <n v="2503.6022787783854"/>
    <n v="1743.57"/>
    <n v="1743.58"/>
    <n v="1743.58"/>
    <s v="November 2023"/>
  </r>
  <r>
    <d v="2023-11-23T00:00:00"/>
    <x v="4732"/>
    <n v="78"/>
    <x v="2"/>
    <x v="5"/>
    <x v="3"/>
    <x v="2"/>
    <n v="3294.67"/>
    <x v="0"/>
    <n v="2496.7676064256989"/>
    <n v="3624.13"/>
    <n v="3624.1400000000003"/>
    <n v="3624.14"/>
    <s v="November 2023"/>
  </r>
  <r>
    <d v="2023-11-23T00:00:00"/>
    <x v="4733"/>
    <n v="98"/>
    <x v="2"/>
    <x v="3"/>
    <x v="0"/>
    <x v="3"/>
    <n v="1333.82"/>
    <x v="0"/>
    <n v="2503.6022787783854"/>
    <n v="1467.2"/>
    <n v="1467.21"/>
    <n v="1467.2"/>
    <s v="November 2023"/>
  </r>
  <r>
    <d v="2023-11-23T00:00:00"/>
    <x v="4734"/>
    <n v="3"/>
    <x v="0"/>
    <x v="6"/>
    <x v="3"/>
    <x v="0"/>
    <n v="3614.59"/>
    <x v="2"/>
    <n v="2496.7676064256989"/>
    <n v="3976.04"/>
    <n v="3976.05"/>
    <n v="3976.05"/>
    <s v="November 2023"/>
  </r>
  <r>
    <d v="2023-11-23T00:00:00"/>
    <x v="4735"/>
    <n v="11"/>
    <x v="0"/>
    <x v="3"/>
    <x v="3"/>
    <x v="4"/>
    <n v="3517.51"/>
    <x v="2"/>
    <n v="2496.7676064256989"/>
    <n v="3869.26"/>
    <n v="3869.2700000000004"/>
    <n v="3869.26"/>
    <s v="November 2023"/>
  </r>
  <r>
    <d v="2023-11-23T00:00:00"/>
    <x v="4736"/>
    <n v="38"/>
    <x v="1"/>
    <x v="2"/>
    <x v="3"/>
    <x v="4"/>
    <n v="3809.53"/>
    <x v="1"/>
    <n v="2496.7676064256989"/>
    <n v="4190.4799999999996"/>
    <n v="4190.49"/>
    <n v="4190.4799999999996"/>
    <s v="November 2023"/>
  </r>
  <r>
    <d v="2023-11-24T00:00:00"/>
    <x v="4737"/>
    <n v="93"/>
    <x v="0"/>
    <x v="7"/>
    <x v="2"/>
    <x v="0"/>
    <n v="2337.92"/>
    <x v="0"/>
    <n v="2440.2966694490838"/>
    <n v="2571.71"/>
    <n v="2571.7200000000003"/>
    <n v="2571.71"/>
    <s v="November 2023"/>
  </r>
  <r>
    <d v="2023-11-24T00:00:00"/>
    <x v="4738"/>
    <n v="75"/>
    <x v="1"/>
    <x v="0"/>
    <x v="3"/>
    <x v="1"/>
    <n v="519.74"/>
    <x v="0"/>
    <n v="2496.7676064256989"/>
    <n v="571.71"/>
    <n v="571.72"/>
    <n v="571.71"/>
    <s v="November 2023"/>
  </r>
  <r>
    <d v="2023-11-24T00:00:00"/>
    <x v="4739"/>
    <n v="10"/>
    <x v="2"/>
    <x v="5"/>
    <x v="3"/>
    <x v="2"/>
    <n v="2056.6"/>
    <x v="2"/>
    <n v="2496.7676064256989"/>
    <n v="2262.2600000000002"/>
    <n v="2262.2600000000002"/>
    <n v="2262.2600000000002"/>
    <s v="November 2023"/>
  </r>
  <r>
    <d v="2023-11-24T00:00:00"/>
    <x v="4740"/>
    <n v="28"/>
    <x v="0"/>
    <x v="4"/>
    <x v="1"/>
    <x v="3"/>
    <n v="2836.06"/>
    <x v="1"/>
    <n v="2509.1716796874912"/>
    <n v="3119.66"/>
    <n v="3119.67"/>
    <n v="3119.67"/>
    <s v="November 2023"/>
  </r>
  <r>
    <d v="2023-11-24T00:00:00"/>
    <x v="4741"/>
    <n v="72"/>
    <x v="2"/>
    <x v="5"/>
    <x v="1"/>
    <x v="4"/>
    <n v="41.05"/>
    <x v="0"/>
    <n v="2509.1716796874912"/>
    <n v="45.15"/>
    <n v="45.16"/>
    <n v="45.16"/>
    <s v="November 2023"/>
  </r>
  <r>
    <d v="2023-11-24T00:00:00"/>
    <x v="4742"/>
    <n v="59"/>
    <x v="1"/>
    <x v="7"/>
    <x v="0"/>
    <x v="3"/>
    <n v="3211.64"/>
    <x v="1"/>
    <n v="2503.6022787783854"/>
    <n v="3532.8"/>
    <n v="3532.8100000000004"/>
    <n v="3532.8"/>
    <s v="November 2023"/>
  </r>
  <r>
    <d v="2023-11-24T00:00:00"/>
    <x v="4743"/>
    <n v="95"/>
    <x v="0"/>
    <x v="4"/>
    <x v="1"/>
    <x v="3"/>
    <n v="2674.86"/>
    <x v="0"/>
    <n v="2509.1716796874912"/>
    <n v="2942.34"/>
    <n v="2942.3500000000004"/>
    <n v="2942.35"/>
    <s v="November 2023"/>
  </r>
  <r>
    <d v="2023-11-24T00:00:00"/>
    <x v="4744"/>
    <n v="10"/>
    <x v="1"/>
    <x v="3"/>
    <x v="3"/>
    <x v="1"/>
    <n v="4590.12"/>
    <x v="2"/>
    <n v="2496.7676064256989"/>
    <n v="5049.13"/>
    <n v="5049.1400000000003"/>
    <n v="5049.13"/>
    <s v="November 2023"/>
  </r>
  <r>
    <d v="2023-11-25T00:00:00"/>
    <x v="4745"/>
    <n v="76"/>
    <x v="2"/>
    <x v="2"/>
    <x v="0"/>
    <x v="2"/>
    <n v="581.16"/>
    <x v="0"/>
    <n v="2503.6022787783854"/>
    <n v="639.27"/>
    <n v="639.28"/>
    <n v="639.28"/>
    <s v="November 2023"/>
  </r>
  <r>
    <d v="2023-11-25T00:00:00"/>
    <x v="4746"/>
    <n v="42"/>
    <x v="1"/>
    <x v="3"/>
    <x v="2"/>
    <x v="3"/>
    <n v="2762.14"/>
    <x v="1"/>
    <n v="2440.2966694490838"/>
    <n v="3038.35"/>
    <n v="3038.36"/>
    <n v="3038.35"/>
    <s v="November 2023"/>
  </r>
  <r>
    <d v="2023-11-25T00:00:00"/>
    <x v="4747"/>
    <n v="32"/>
    <x v="1"/>
    <x v="3"/>
    <x v="3"/>
    <x v="0"/>
    <n v="2895.64"/>
    <x v="1"/>
    <n v="2496.7676064256989"/>
    <n v="3185.2"/>
    <n v="3185.21"/>
    <n v="3185.2"/>
    <s v="November 2023"/>
  </r>
  <r>
    <d v="2023-11-25T00:00:00"/>
    <x v="4748"/>
    <n v="81"/>
    <x v="1"/>
    <x v="3"/>
    <x v="3"/>
    <x v="1"/>
    <n v="2338.41"/>
    <x v="0"/>
    <n v="2496.7676064256989"/>
    <n v="2572.25"/>
    <n v="2572.2600000000002"/>
    <n v="2572.25"/>
    <s v="November 2023"/>
  </r>
  <r>
    <d v="2023-11-25T00:00:00"/>
    <x v="4749"/>
    <n v="10"/>
    <x v="2"/>
    <x v="3"/>
    <x v="2"/>
    <x v="4"/>
    <n v="466.72"/>
    <x v="2"/>
    <n v="2440.2966694490838"/>
    <n v="513.39"/>
    <n v="513.4"/>
    <n v="513.39"/>
    <s v="November 2023"/>
  </r>
  <r>
    <d v="2023-11-26T00:00:00"/>
    <x v="4750"/>
    <n v="23"/>
    <x v="2"/>
    <x v="0"/>
    <x v="3"/>
    <x v="4"/>
    <n v="445.36"/>
    <x v="1"/>
    <n v="2496.7676064256989"/>
    <n v="489.89"/>
    <n v="489.9"/>
    <n v="489.9"/>
    <s v="November 2023"/>
  </r>
  <r>
    <d v="2023-11-26T00:00:00"/>
    <x v="4751"/>
    <n v="74"/>
    <x v="0"/>
    <x v="6"/>
    <x v="1"/>
    <x v="2"/>
    <n v="4375.3500000000004"/>
    <x v="0"/>
    <n v="2509.1716796874912"/>
    <n v="4812.88"/>
    <n v="4812.8900000000003"/>
    <n v="4812.8900000000003"/>
    <s v="November 2023"/>
  </r>
  <r>
    <d v="2023-11-26T00:00:00"/>
    <x v="4752"/>
    <n v="40"/>
    <x v="2"/>
    <x v="0"/>
    <x v="1"/>
    <x v="4"/>
    <n v="2191.21"/>
    <x v="1"/>
    <n v="2509.1716796874912"/>
    <n v="2410.33"/>
    <n v="2410.34"/>
    <n v="2410.33"/>
    <s v="November 2023"/>
  </r>
  <r>
    <d v="2023-11-26T00:00:00"/>
    <x v="4753"/>
    <n v="49"/>
    <x v="0"/>
    <x v="4"/>
    <x v="3"/>
    <x v="0"/>
    <n v="2662.4"/>
    <x v="1"/>
    <n v="2496.7676064256989"/>
    <n v="2928.64"/>
    <n v="2928.64"/>
    <n v="2928.64"/>
    <s v="November 2023"/>
  </r>
  <r>
    <d v="2023-11-26T00:00:00"/>
    <x v="4754"/>
    <n v="31"/>
    <x v="1"/>
    <x v="1"/>
    <x v="3"/>
    <x v="0"/>
    <n v="199.62"/>
    <x v="1"/>
    <n v="2496.7676064256989"/>
    <n v="219.58"/>
    <n v="219.59"/>
    <n v="219.58"/>
    <s v="November 2023"/>
  </r>
  <r>
    <d v="2023-11-26T00:00:00"/>
    <x v="4755"/>
    <n v="50"/>
    <x v="1"/>
    <x v="3"/>
    <x v="0"/>
    <x v="0"/>
    <n v="964.26"/>
    <x v="1"/>
    <n v="2503.6022787783854"/>
    <n v="1060.68"/>
    <n v="1060.69"/>
    <n v="1060.69"/>
    <s v="November 2023"/>
  </r>
  <r>
    <d v="2023-11-26T00:00:00"/>
    <x v="4756"/>
    <n v="82"/>
    <x v="1"/>
    <x v="0"/>
    <x v="3"/>
    <x v="4"/>
    <n v="4377.05"/>
    <x v="0"/>
    <n v="2496.7676064256989"/>
    <n v="4814.75"/>
    <n v="4814.76"/>
    <n v="4814.76"/>
    <s v="November 2023"/>
  </r>
  <r>
    <d v="2023-11-26T00:00:00"/>
    <x v="4757"/>
    <n v="68"/>
    <x v="1"/>
    <x v="7"/>
    <x v="2"/>
    <x v="3"/>
    <n v="1359"/>
    <x v="0"/>
    <n v="2440.2966694490838"/>
    <n v="1494.9"/>
    <n v="1494.9"/>
    <n v="1494.9"/>
    <s v="November 2023"/>
  </r>
  <r>
    <d v="2023-11-27T00:00:00"/>
    <x v="4758"/>
    <n v="92"/>
    <x v="0"/>
    <x v="1"/>
    <x v="0"/>
    <x v="4"/>
    <n v="1436.99"/>
    <x v="0"/>
    <n v="2503.6022787783854"/>
    <n v="1580.68"/>
    <n v="1580.69"/>
    <n v="1580.69"/>
    <s v="November 2023"/>
  </r>
  <r>
    <d v="2023-11-27T00:00:00"/>
    <x v="4759"/>
    <n v="52"/>
    <x v="2"/>
    <x v="2"/>
    <x v="3"/>
    <x v="2"/>
    <n v="1516.01"/>
    <x v="1"/>
    <n v="2496.7676064256989"/>
    <n v="1667.61"/>
    <n v="1667.62"/>
    <n v="1667.61"/>
    <s v="November 2023"/>
  </r>
  <r>
    <d v="2023-11-27T00:00:00"/>
    <x v="4760"/>
    <n v="49"/>
    <x v="1"/>
    <x v="0"/>
    <x v="2"/>
    <x v="0"/>
    <n v="2829.96"/>
    <x v="1"/>
    <n v="2440.2966694490838"/>
    <n v="3112.95"/>
    <n v="3112.96"/>
    <n v="3112.96"/>
    <s v="November 2023"/>
  </r>
  <r>
    <d v="2023-11-27T00:00:00"/>
    <x v="4761"/>
    <n v="85"/>
    <x v="0"/>
    <x v="7"/>
    <x v="3"/>
    <x v="4"/>
    <n v="630.07000000000005"/>
    <x v="0"/>
    <n v="2496.7676064256989"/>
    <n v="693.07"/>
    <n v="693.08"/>
    <n v="693.08"/>
    <s v="November 2023"/>
  </r>
  <r>
    <d v="2023-11-27T00:00:00"/>
    <x v="4762"/>
    <n v="9"/>
    <x v="2"/>
    <x v="5"/>
    <x v="1"/>
    <x v="1"/>
    <n v="2513.84"/>
    <x v="2"/>
    <n v="2509.1716796874912"/>
    <n v="2765.22"/>
    <n v="2765.23"/>
    <n v="2765.22"/>
    <s v="November 2023"/>
  </r>
  <r>
    <d v="2023-11-27T00:00:00"/>
    <x v="4763"/>
    <n v="67"/>
    <x v="0"/>
    <x v="1"/>
    <x v="2"/>
    <x v="0"/>
    <n v="2076.06"/>
    <x v="0"/>
    <n v="2440.2966694490838"/>
    <n v="2283.66"/>
    <n v="2283.67"/>
    <n v="2283.67"/>
    <s v="November 2023"/>
  </r>
  <r>
    <d v="2023-11-28T00:00:00"/>
    <x v="4764"/>
    <n v="94"/>
    <x v="1"/>
    <x v="7"/>
    <x v="1"/>
    <x v="0"/>
    <n v="2691.38"/>
    <x v="0"/>
    <n v="2509.1716796874912"/>
    <n v="2960.51"/>
    <n v="2960.5200000000004"/>
    <n v="2960.52"/>
    <s v="November 2023"/>
  </r>
  <r>
    <d v="2023-11-28T00:00:00"/>
    <x v="4765"/>
    <n v="16"/>
    <x v="1"/>
    <x v="5"/>
    <x v="3"/>
    <x v="3"/>
    <n v="3106.16"/>
    <x v="1"/>
    <n v="2496.7676064256989"/>
    <n v="3416.77"/>
    <n v="3416.78"/>
    <n v="3416.78"/>
    <s v="November 2023"/>
  </r>
  <r>
    <d v="2023-11-28T00:00:00"/>
    <x v="4766"/>
    <n v="26"/>
    <x v="1"/>
    <x v="5"/>
    <x v="0"/>
    <x v="3"/>
    <n v="4278.13"/>
    <x v="1"/>
    <n v="2503.6022787783854"/>
    <n v="4705.9399999999996"/>
    <n v="4705.95"/>
    <n v="4705.9399999999996"/>
    <s v="November 2023"/>
  </r>
  <r>
    <d v="2023-11-28T00:00:00"/>
    <x v="4767"/>
    <n v="96"/>
    <x v="0"/>
    <x v="0"/>
    <x v="1"/>
    <x v="4"/>
    <n v="3469.78"/>
    <x v="0"/>
    <n v="2509.1716796874912"/>
    <n v="3816.75"/>
    <n v="3816.76"/>
    <n v="3816.76"/>
    <s v="November 2023"/>
  </r>
  <r>
    <d v="2023-11-28T00:00:00"/>
    <x v="4768"/>
    <n v="50"/>
    <x v="0"/>
    <x v="2"/>
    <x v="3"/>
    <x v="3"/>
    <n v="1922.11"/>
    <x v="1"/>
    <n v="2496.7676064256989"/>
    <n v="2114.3200000000002"/>
    <n v="2114.3300000000004"/>
    <n v="2114.3200000000002"/>
    <s v="November 2023"/>
  </r>
  <r>
    <d v="2023-11-28T00:00:00"/>
    <x v="4769"/>
    <n v="89"/>
    <x v="1"/>
    <x v="5"/>
    <x v="2"/>
    <x v="2"/>
    <n v="4061.99"/>
    <x v="0"/>
    <n v="2440.2966694490838"/>
    <n v="4468.18"/>
    <n v="4468.1900000000005"/>
    <n v="4468.1899999999996"/>
    <s v="November 2023"/>
  </r>
  <r>
    <d v="2023-11-28T00:00:00"/>
    <x v="4770"/>
    <n v="72"/>
    <x v="1"/>
    <x v="7"/>
    <x v="0"/>
    <x v="3"/>
    <n v="4216.22"/>
    <x v="0"/>
    <n v="2503.6022787783854"/>
    <n v="4637.84"/>
    <n v="4637.8500000000004"/>
    <n v="4637.84"/>
    <s v="November 2023"/>
  </r>
  <r>
    <d v="2023-11-28T00:00:00"/>
    <x v="4771"/>
    <n v="61"/>
    <x v="2"/>
    <x v="4"/>
    <x v="2"/>
    <x v="1"/>
    <n v="2817.94"/>
    <x v="1"/>
    <n v="2440.2966694490838"/>
    <n v="3099.73"/>
    <n v="3099.7400000000002"/>
    <n v="3099.73"/>
    <s v="November 2023"/>
  </r>
  <r>
    <d v="2023-11-28T00:00:00"/>
    <x v="4772"/>
    <n v="90"/>
    <x v="1"/>
    <x v="1"/>
    <x v="1"/>
    <x v="0"/>
    <n v="3098"/>
    <x v="0"/>
    <n v="2509.1716796874912"/>
    <n v="3407.8"/>
    <n v="3407.8"/>
    <n v="3407.8"/>
    <s v="November 2023"/>
  </r>
  <r>
    <d v="2023-11-28T00:00:00"/>
    <x v="4773"/>
    <n v="20"/>
    <x v="1"/>
    <x v="4"/>
    <x v="0"/>
    <x v="2"/>
    <n v="3722.34"/>
    <x v="1"/>
    <n v="2503.6022787783854"/>
    <n v="4094.57"/>
    <n v="4094.5800000000004"/>
    <n v="4094.57"/>
    <s v="November 2023"/>
  </r>
  <r>
    <d v="2023-11-28T00:00:00"/>
    <x v="4774"/>
    <n v="47"/>
    <x v="0"/>
    <x v="2"/>
    <x v="2"/>
    <x v="1"/>
    <n v="3407.78"/>
    <x v="1"/>
    <n v="2440.2966694490838"/>
    <n v="3748.55"/>
    <n v="3748.5600000000004"/>
    <n v="3748.56"/>
    <s v="November 2023"/>
  </r>
  <r>
    <d v="2023-11-28T00:00:00"/>
    <x v="4775"/>
    <n v="40"/>
    <x v="2"/>
    <x v="0"/>
    <x v="1"/>
    <x v="5"/>
    <n v="551.1"/>
    <x v="1"/>
    <n v="2509.1716796874912"/>
    <n v="606.21"/>
    <n v="606.21"/>
    <n v="606.21"/>
    <s v="November 2023"/>
  </r>
  <r>
    <d v="2023-11-29T00:00:00"/>
    <x v="4776"/>
    <n v="33"/>
    <x v="1"/>
    <x v="3"/>
    <x v="1"/>
    <x v="3"/>
    <n v="3433.54"/>
    <x v="1"/>
    <n v="2509.1716796874912"/>
    <n v="3776.89"/>
    <n v="3776.9"/>
    <n v="3776.89"/>
    <s v="November 2023"/>
  </r>
  <r>
    <d v="2023-11-29T00:00:00"/>
    <x v="4777"/>
    <n v="90"/>
    <x v="2"/>
    <x v="4"/>
    <x v="3"/>
    <x v="3"/>
    <n v="814.27"/>
    <x v="0"/>
    <n v="2496.7676064256989"/>
    <n v="895.69"/>
    <n v="895.7"/>
    <n v="895.7"/>
    <s v="November 2023"/>
  </r>
  <r>
    <d v="2023-11-29T00:00:00"/>
    <x v="4778"/>
    <n v="16"/>
    <x v="1"/>
    <x v="2"/>
    <x v="1"/>
    <x v="1"/>
    <n v="3580.04"/>
    <x v="1"/>
    <n v="2509.1716796874912"/>
    <n v="3938.04"/>
    <n v="3938.05"/>
    <n v="3938.04"/>
    <s v="November 2023"/>
  </r>
  <r>
    <d v="2023-11-29T00:00:00"/>
    <x v="4779"/>
    <n v="28"/>
    <x v="2"/>
    <x v="0"/>
    <x v="0"/>
    <x v="1"/>
    <n v="3460.49"/>
    <x v="1"/>
    <n v="2503.6022787783854"/>
    <n v="3806.53"/>
    <n v="3806.5400000000004"/>
    <n v="3806.54"/>
    <s v="November 2023"/>
  </r>
  <r>
    <d v="2023-11-29T00:00:00"/>
    <x v="4780"/>
    <n v="73"/>
    <x v="0"/>
    <x v="7"/>
    <x v="1"/>
    <x v="1"/>
    <n v="966.27"/>
    <x v="0"/>
    <n v="2509.1716796874912"/>
    <n v="1062.8900000000001"/>
    <n v="1062.9000000000001"/>
    <n v="1062.9000000000001"/>
    <s v="November 2023"/>
  </r>
  <r>
    <d v="2023-11-29T00:00:00"/>
    <x v="4781"/>
    <n v="41"/>
    <x v="0"/>
    <x v="0"/>
    <x v="0"/>
    <x v="1"/>
    <n v="1622.96"/>
    <x v="1"/>
    <n v="2503.6022787783854"/>
    <n v="1785.25"/>
    <n v="1785.26"/>
    <n v="1785.26"/>
    <s v="November 2023"/>
  </r>
  <r>
    <d v="2023-11-29T00:00:00"/>
    <x v="4782"/>
    <n v="45"/>
    <x v="0"/>
    <x v="7"/>
    <x v="0"/>
    <x v="4"/>
    <n v="4493.32"/>
    <x v="1"/>
    <n v="2503.6022787783854"/>
    <n v="4942.6499999999996"/>
    <n v="4942.66"/>
    <n v="4942.6499999999996"/>
    <s v="November 2023"/>
  </r>
  <r>
    <d v="2023-11-29T00:00:00"/>
    <x v="4783"/>
    <n v="78"/>
    <x v="1"/>
    <x v="0"/>
    <x v="0"/>
    <x v="2"/>
    <n v="3601.76"/>
    <x v="0"/>
    <n v="2503.6022787783854"/>
    <n v="3961.93"/>
    <n v="3961.94"/>
    <n v="3961.94"/>
    <s v="November 2023"/>
  </r>
  <r>
    <d v="2023-11-30T00:00:00"/>
    <x v="4784"/>
    <n v="44"/>
    <x v="1"/>
    <x v="0"/>
    <x v="2"/>
    <x v="2"/>
    <n v="3630.9"/>
    <x v="1"/>
    <n v="2440.2966694490838"/>
    <n v="3993.99"/>
    <n v="3993.99"/>
    <n v="3993.99"/>
    <s v="November 2023"/>
  </r>
  <r>
    <d v="2023-11-30T00:00:00"/>
    <x v="4785"/>
    <n v="98"/>
    <x v="0"/>
    <x v="1"/>
    <x v="2"/>
    <x v="3"/>
    <n v="492.47"/>
    <x v="0"/>
    <n v="2440.2966694490838"/>
    <n v="541.71"/>
    <n v="541.72"/>
    <n v="541.72"/>
    <s v="November 2023"/>
  </r>
  <r>
    <d v="2023-11-30T00:00:00"/>
    <x v="4786"/>
    <n v="71"/>
    <x v="1"/>
    <x v="5"/>
    <x v="2"/>
    <x v="3"/>
    <n v="1975.74"/>
    <x v="0"/>
    <n v="2440.2966694490838"/>
    <n v="2173.31"/>
    <n v="2173.3200000000002"/>
    <n v="2173.31"/>
    <s v="November 2023"/>
  </r>
  <r>
    <d v="2023-11-30T00:00:00"/>
    <x v="4787"/>
    <n v="81"/>
    <x v="0"/>
    <x v="1"/>
    <x v="0"/>
    <x v="1"/>
    <n v="4211.8999999999996"/>
    <x v="0"/>
    <n v="2503.6022787783854"/>
    <n v="4633.09"/>
    <n v="4633.09"/>
    <n v="4633.09"/>
    <s v="November 2023"/>
  </r>
  <r>
    <d v="2023-11-30T00:00:00"/>
    <x v="4788"/>
    <n v="46"/>
    <x v="2"/>
    <x v="7"/>
    <x v="0"/>
    <x v="1"/>
    <n v="822.2"/>
    <x v="1"/>
    <n v="2503.6022787783854"/>
    <n v="904.42"/>
    <n v="904.42"/>
    <n v="904.42"/>
    <s v="November 2023"/>
  </r>
  <r>
    <d v="2023-11-30T00:00:00"/>
    <x v="4789"/>
    <n v="32"/>
    <x v="0"/>
    <x v="5"/>
    <x v="0"/>
    <x v="0"/>
    <n v="3869.82"/>
    <x v="1"/>
    <n v="2503.6022787783854"/>
    <n v="4256.8"/>
    <n v="4256.8100000000004"/>
    <n v="4256.8"/>
    <s v="November 2023"/>
  </r>
  <r>
    <d v="2023-12-01T00:00:00"/>
    <x v="4790"/>
    <n v="86"/>
    <x v="2"/>
    <x v="5"/>
    <x v="0"/>
    <x v="2"/>
    <n v="3860.03"/>
    <x v="0"/>
    <n v="2503.6022787783854"/>
    <n v="4246.03"/>
    <n v="4246.04"/>
    <n v="4246.03"/>
    <s v="December 2023"/>
  </r>
  <r>
    <d v="2023-12-01T00:00:00"/>
    <x v="4791"/>
    <n v="16"/>
    <x v="0"/>
    <x v="2"/>
    <x v="2"/>
    <x v="0"/>
    <n v="3973.8"/>
    <x v="1"/>
    <n v="2440.2966694490838"/>
    <n v="4371.18"/>
    <n v="4371.18"/>
    <n v="4371.18"/>
    <s v="December 2023"/>
  </r>
  <r>
    <d v="2023-12-01T00:00:00"/>
    <x v="4792"/>
    <n v="80"/>
    <x v="1"/>
    <x v="7"/>
    <x v="3"/>
    <x v="3"/>
    <n v="3697.67"/>
    <x v="0"/>
    <n v="2496.7676064256989"/>
    <n v="4067.43"/>
    <n v="4067.44"/>
    <n v="4067.44"/>
    <s v="December 2023"/>
  </r>
  <r>
    <d v="2023-12-01T00:00:00"/>
    <x v="4793"/>
    <n v="71"/>
    <x v="1"/>
    <x v="5"/>
    <x v="1"/>
    <x v="4"/>
    <n v="4139.76"/>
    <x v="0"/>
    <n v="2509.1716796874912"/>
    <n v="4553.7299999999996"/>
    <n v="4553.74"/>
    <n v="4553.74"/>
    <s v="December 2023"/>
  </r>
  <r>
    <d v="2023-12-01T00:00:00"/>
    <x v="4794"/>
    <n v="53"/>
    <x v="2"/>
    <x v="1"/>
    <x v="1"/>
    <x v="3"/>
    <n v="4902.0200000000004"/>
    <x v="1"/>
    <n v="2509.1716796874912"/>
    <n v="5392.22"/>
    <n v="5392.2300000000005"/>
    <n v="5392.22"/>
    <s v="December 2023"/>
  </r>
  <r>
    <d v="2023-12-01T00:00:00"/>
    <x v="4795"/>
    <n v="68"/>
    <x v="1"/>
    <x v="5"/>
    <x v="0"/>
    <x v="0"/>
    <n v="1292.77"/>
    <x v="0"/>
    <n v="2503.6022787783854"/>
    <n v="1422.04"/>
    <n v="1422.05"/>
    <n v="1422.05"/>
    <s v="December 2023"/>
  </r>
  <r>
    <d v="2023-12-01T00:00:00"/>
    <x v="4796"/>
    <n v="71"/>
    <x v="1"/>
    <x v="3"/>
    <x v="1"/>
    <x v="3"/>
    <n v="4751.6400000000003"/>
    <x v="0"/>
    <n v="2509.1716796874912"/>
    <n v="5226.8"/>
    <n v="5226.8100000000004"/>
    <n v="5226.8"/>
    <s v="December 2023"/>
  </r>
  <r>
    <d v="2023-12-01T00:00:00"/>
    <x v="4797"/>
    <n v="87"/>
    <x v="1"/>
    <x v="0"/>
    <x v="0"/>
    <x v="2"/>
    <n v="915.99"/>
    <x v="0"/>
    <n v="2503.6022787783854"/>
    <n v="1007.58"/>
    <n v="1007.59"/>
    <n v="1007.59"/>
    <s v="December 2023"/>
  </r>
  <r>
    <d v="2023-12-01T00:00:00"/>
    <x v="4798"/>
    <n v="82"/>
    <x v="2"/>
    <x v="6"/>
    <x v="3"/>
    <x v="1"/>
    <n v="1757.94"/>
    <x v="0"/>
    <n v="2496.7676064256989"/>
    <n v="1933.73"/>
    <n v="1933.74"/>
    <n v="1933.73"/>
    <s v="December 2023"/>
  </r>
  <r>
    <d v="2023-12-01T00:00:00"/>
    <x v="4799"/>
    <n v="5"/>
    <x v="1"/>
    <x v="1"/>
    <x v="2"/>
    <x v="2"/>
    <n v="2538.92"/>
    <x v="2"/>
    <n v="2440.2966694490838"/>
    <n v="2792.81"/>
    <n v="2792.82"/>
    <n v="2792.81"/>
    <s v="December 2023"/>
  </r>
  <r>
    <d v="2023-12-02T00:00:00"/>
    <x v="4800"/>
    <n v="31"/>
    <x v="0"/>
    <x v="3"/>
    <x v="0"/>
    <x v="2"/>
    <n v="2878.87"/>
    <x v="1"/>
    <n v="2503.6022787783854"/>
    <n v="3166.75"/>
    <n v="3166.76"/>
    <n v="3166.76"/>
    <s v="December 2023"/>
  </r>
  <r>
    <d v="2023-12-02T00:00:00"/>
    <x v="4801"/>
    <n v="99"/>
    <x v="1"/>
    <x v="2"/>
    <x v="3"/>
    <x v="3"/>
    <n v="1641.45"/>
    <x v="0"/>
    <n v="2496.7676064256989"/>
    <n v="1805.59"/>
    <n v="1805.6"/>
    <n v="1805.6"/>
    <s v="December 2023"/>
  </r>
  <r>
    <d v="2023-12-02T00:00:00"/>
    <x v="4802"/>
    <n v="65"/>
    <x v="1"/>
    <x v="7"/>
    <x v="1"/>
    <x v="0"/>
    <n v="405.29"/>
    <x v="0"/>
    <n v="2509.1716796874912"/>
    <n v="445.81"/>
    <n v="445.82"/>
    <n v="445.82"/>
    <s v="December 2023"/>
  </r>
  <r>
    <d v="2023-12-02T00:00:00"/>
    <x v="4803"/>
    <n v="78"/>
    <x v="2"/>
    <x v="5"/>
    <x v="2"/>
    <x v="3"/>
    <n v="155.74"/>
    <x v="0"/>
    <n v="2440.2966694490838"/>
    <n v="171.31"/>
    <n v="171.32"/>
    <n v="171.31"/>
    <s v="December 2023"/>
  </r>
  <r>
    <d v="2023-12-02T00:00:00"/>
    <x v="4804"/>
    <n v="57"/>
    <x v="2"/>
    <x v="5"/>
    <x v="3"/>
    <x v="3"/>
    <n v="3621.04"/>
    <x v="1"/>
    <n v="2496.7676064256989"/>
    <n v="3983.14"/>
    <n v="3983.15"/>
    <n v="3983.14"/>
    <s v="December 2023"/>
  </r>
  <r>
    <d v="2023-12-02T00:00:00"/>
    <x v="4805"/>
    <n v="34"/>
    <x v="1"/>
    <x v="3"/>
    <x v="0"/>
    <x v="0"/>
    <n v="1934.5"/>
    <x v="1"/>
    <n v="2503.6022787783854"/>
    <n v="2127.9499999999998"/>
    <n v="2127.9499999999998"/>
    <n v="2127.9499999999998"/>
    <s v="December 2023"/>
  </r>
  <r>
    <d v="2023-12-03T00:00:00"/>
    <x v="4806"/>
    <n v="74"/>
    <x v="2"/>
    <x v="5"/>
    <x v="1"/>
    <x v="0"/>
    <n v="4081.17"/>
    <x v="0"/>
    <n v="2509.1716796874912"/>
    <n v="4489.28"/>
    <n v="4489.29"/>
    <n v="4489.29"/>
    <s v="December 2023"/>
  </r>
  <r>
    <d v="2023-12-03T00:00:00"/>
    <x v="4807"/>
    <n v="81"/>
    <x v="0"/>
    <x v="3"/>
    <x v="0"/>
    <x v="0"/>
    <n v="3499.08"/>
    <x v="0"/>
    <n v="2503.6022787783854"/>
    <n v="3848.98"/>
    <n v="3848.9900000000002"/>
    <n v="3848.99"/>
    <s v="December 2023"/>
  </r>
  <r>
    <d v="2023-12-03T00:00:00"/>
    <x v="4808"/>
    <n v="55"/>
    <x v="0"/>
    <x v="0"/>
    <x v="2"/>
    <x v="3"/>
    <n v="3592.49"/>
    <x v="1"/>
    <n v="2440.2966694490838"/>
    <n v="3951.73"/>
    <n v="3951.7400000000002"/>
    <n v="3951.74"/>
    <s v="December 2023"/>
  </r>
  <r>
    <d v="2023-12-03T00:00:00"/>
    <x v="4809"/>
    <n v="43"/>
    <x v="2"/>
    <x v="5"/>
    <x v="3"/>
    <x v="1"/>
    <n v="4233.34"/>
    <x v="1"/>
    <n v="2496.7676064256989"/>
    <n v="4656.67"/>
    <n v="4656.68"/>
    <n v="4656.67"/>
    <s v="December 2023"/>
  </r>
  <r>
    <d v="2023-12-03T00:00:00"/>
    <x v="4810"/>
    <n v="50"/>
    <x v="2"/>
    <x v="1"/>
    <x v="3"/>
    <x v="1"/>
    <n v="4487.6099999999997"/>
    <x v="1"/>
    <n v="2496.7676064256989"/>
    <n v="4936.37"/>
    <n v="4936.38"/>
    <n v="4936.37"/>
    <s v="December 2023"/>
  </r>
  <r>
    <d v="2023-12-03T00:00:00"/>
    <x v="4811"/>
    <n v="59"/>
    <x v="0"/>
    <x v="0"/>
    <x v="3"/>
    <x v="0"/>
    <n v="1160.55"/>
    <x v="1"/>
    <n v="2496.7676064256989"/>
    <n v="1276.5999999999999"/>
    <n v="1276.6099999999999"/>
    <n v="1276.6099999999999"/>
    <s v="December 2023"/>
  </r>
  <r>
    <d v="2023-12-04T00:00:00"/>
    <x v="4812"/>
    <n v="44"/>
    <x v="2"/>
    <x v="5"/>
    <x v="3"/>
    <x v="4"/>
    <n v="3870.86"/>
    <x v="1"/>
    <n v="2496.7676064256989"/>
    <n v="4257.9399999999996"/>
    <n v="4257.95"/>
    <n v="4257.95"/>
    <s v="December 2023"/>
  </r>
  <r>
    <d v="2023-12-05T00:00:00"/>
    <x v="4813"/>
    <n v="24"/>
    <x v="2"/>
    <x v="0"/>
    <x v="2"/>
    <x v="4"/>
    <n v="4740.4399999999996"/>
    <x v="1"/>
    <n v="2440.2966694490838"/>
    <n v="5214.4799999999996"/>
    <n v="5214.49"/>
    <n v="5214.4799999999996"/>
    <s v="December 2023"/>
  </r>
  <r>
    <d v="2023-12-05T00:00:00"/>
    <x v="4814"/>
    <n v="22"/>
    <x v="0"/>
    <x v="1"/>
    <x v="0"/>
    <x v="2"/>
    <n v="561.84"/>
    <x v="1"/>
    <n v="2503.6022787783854"/>
    <n v="618.02"/>
    <n v="618.03"/>
    <n v="618.02"/>
    <s v="December 2023"/>
  </r>
  <r>
    <d v="2023-12-05T00:00:00"/>
    <x v="4815"/>
    <n v="2"/>
    <x v="0"/>
    <x v="0"/>
    <x v="1"/>
    <x v="0"/>
    <n v="2150.5300000000002"/>
    <x v="2"/>
    <n v="2509.1716796874912"/>
    <n v="2365.58"/>
    <n v="2365.59"/>
    <n v="2365.58"/>
    <s v="December 2023"/>
  </r>
  <r>
    <d v="2023-12-05T00:00:00"/>
    <x v="4816"/>
    <n v="87"/>
    <x v="1"/>
    <x v="5"/>
    <x v="0"/>
    <x v="0"/>
    <n v="27.08"/>
    <x v="0"/>
    <n v="2503.6022787783854"/>
    <n v="29.78"/>
    <n v="29.790000000000003"/>
    <n v="29.79"/>
    <s v="December 2023"/>
  </r>
  <r>
    <d v="2023-12-05T00:00:00"/>
    <x v="4817"/>
    <n v="98"/>
    <x v="2"/>
    <x v="7"/>
    <x v="0"/>
    <x v="4"/>
    <n v="2462.7800000000002"/>
    <x v="0"/>
    <n v="2503.6022787783854"/>
    <n v="2709.05"/>
    <n v="2709.0600000000004"/>
    <n v="2709.06"/>
    <s v="December 2023"/>
  </r>
  <r>
    <d v="2023-12-05T00:00:00"/>
    <x v="4818"/>
    <n v="67"/>
    <x v="2"/>
    <x v="5"/>
    <x v="2"/>
    <x v="5"/>
    <n v="2730.67"/>
    <x v="0"/>
    <n v="2440.2966694490838"/>
    <n v="3003.73"/>
    <n v="3003.7400000000002"/>
    <n v="3003.74"/>
    <s v="December 2023"/>
  </r>
  <r>
    <d v="2023-12-05T00:00:00"/>
    <x v="4819"/>
    <n v="11"/>
    <x v="0"/>
    <x v="1"/>
    <x v="1"/>
    <x v="1"/>
    <n v="850.9"/>
    <x v="2"/>
    <n v="2509.1716796874912"/>
    <n v="935.99"/>
    <n v="935.99"/>
    <n v="935.99"/>
    <s v="December 2023"/>
  </r>
  <r>
    <d v="2023-12-05T00:00:00"/>
    <x v="4820"/>
    <n v="11"/>
    <x v="1"/>
    <x v="0"/>
    <x v="3"/>
    <x v="4"/>
    <n v="3922.89"/>
    <x v="2"/>
    <n v="2496.7676064256989"/>
    <n v="4315.17"/>
    <n v="4315.18"/>
    <n v="4315.18"/>
    <s v="December 2023"/>
  </r>
  <r>
    <d v="2023-12-06T00:00:00"/>
    <x v="4821"/>
    <n v="67"/>
    <x v="2"/>
    <x v="6"/>
    <x v="3"/>
    <x v="1"/>
    <n v="1324.65"/>
    <x v="0"/>
    <n v="2496.7676064256989"/>
    <n v="1457.11"/>
    <n v="1457.12"/>
    <n v="1457.12"/>
    <s v="December 2023"/>
  </r>
  <r>
    <d v="2023-12-06T00:00:00"/>
    <x v="4822"/>
    <n v="89"/>
    <x v="1"/>
    <x v="4"/>
    <x v="1"/>
    <x v="3"/>
    <n v="4374.58"/>
    <x v="0"/>
    <n v="2509.1716796874912"/>
    <n v="4812.03"/>
    <n v="4812.04"/>
    <n v="4812.04"/>
    <s v="December 2023"/>
  </r>
  <r>
    <d v="2023-12-06T00:00:00"/>
    <x v="4823"/>
    <n v="25"/>
    <x v="1"/>
    <x v="1"/>
    <x v="1"/>
    <x v="1"/>
    <n v="1467.07"/>
    <x v="1"/>
    <n v="2509.1716796874912"/>
    <n v="1613.77"/>
    <n v="1613.78"/>
    <n v="1613.78"/>
    <s v="December 2023"/>
  </r>
  <r>
    <d v="2023-12-06T00:00:00"/>
    <x v="4824"/>
    <n v="48"/>
    <x v="1"/>
    <x v="6"/>
    <x v="0"/>
    <x v="3"/>
    <n v="2530.36"/>
    <x v="1"/>
    <n v="2503.6022787783854"/>
    <n v="2783.39"/>
    <n v="2783.4"/>
    <n v="2783.4"/>
    <s v="December 2023"/>
  </r>
  <r>
    <d v="2023-12-06T00:00:00"/>
    <x v="4825"/>
    <n v="19"/>
    <x v="1"/>
    <x v="0"/>
    <x v="0"/>
    <x v="1"/>
    <n v="4356.95"/>
    <x v="1"/>
    <n v="2503.6022787783854"/>
    <n v="4792.6400000000003"/>
    <n v="4792.6500000000005"/>
    <n v="4792.6499999999996"/>
    <s v="December 2023"/>
  </r>
  <r>
    <d v="2023-12-06T00:00:00"/>
    <x v="4826"/>
    <n v="97"/>
    <x v="2"/>
    <x v="1"/>
    <x v="3"/>
    <x v="4"/>
    <n v="1149.8900000000001"/>
    <x v="0"/>
    <n v="2496.7676064256989"/>
    <n v="1264.8699999999999"/>
    <n v="1264.8799999999999"/>
    <n v="1264.8800000000001"/>
    <s v="December 2023"/>
  </r>
  <r>
    <d v="2023-12-07T00:00:00"/>
    <x v="4827"/>
    <n v="19"/>
    <x v="0"/>
    <x v="5"/>
    <x v="3"/>
    <x v="4"/>
    <n v="4759.4399999999996"/>
    <x v="1"/>
    <n v="2496.7676064256989"/>
    <n v="5235.38"/>
    <n v="5235.3900000000003"/>
    <n v="5235.38"/>
    <s v="December 2023"/>
  </r>
  <r>
    <d v="2023-12-07T00:00:00"/>
    <x v="4828"/>
    <n v="35"/>
    <x v="0"/>
    <x v="5"/>
    <x v="0"/>
    <x v="0"/>
    <n v="3570.39"/>
    <x v="1"/>
    <n v="2503.6022787783854"/>
    <n v="3927.42"/>
    <n v="3927.4300000000003"/>
    <n v="3927.43"/>
    <s v="December 2023"/>
  </r>
  <r>
    <d v="2023-12-07T00:00:00"/>
    <x v="4829"/>
    <n v="21"/>
    <x v="2"/>
    <x v="2"/>
    <x v="1"/>
    <x v="4"/>
    <n v="3907.96"/>
    <x v="1"/>
    <n v="2509.1716796874912"/>
    <n v="4298.75"/>
    <n v="4298.76"/>
    <n v="4298.76"/>
    <s v="December 2023"/>
  </r>
  <r>
    <d v="2023-12-07T00:00:00"/>
    <x v="4830"/>
    <n v="1"/>
    <x v="0"/>
    <x v="2"/>
    <x v="0"/>
    <x v="4"/>
    <n v="4649.42"/>
    <x v="2"/>
    <n v="2503.6022787783854"/>
    <n v="5114.3599999999997"/>
    <n v="5114.37"/>
    <n v="5114.3599999999997"/>
    <s v="December 2023"/>
  </r>
  <r>
    <d v="2023-12-07T00:00:00"/>
    <x v="4831"/>
    <n v="32"/>
    <x v="0"/>
    <x v="2"/>
    <x v="0"/>
    <x v="4"/>
    <n v="222.97"/>
    <x v="1"/>
    <n v="2503.6022787783854"/>
    <n v="245.26"/>
    <n v="245.26999999999998"/>
    <n v="245.27"/>
    <s v="December 2023"/>
  </r>
  <r>
    <d v="2023-12-08T00:00:00"/>
    <x v="4832"/>
    <n v="65"/>
    <x v="1"/>
    <x v="1"/>
    <x v="3"/>
    <x v="2"/>
    <n v="3063.24"/>
    <x v="0"/>
    <n v="2496.7676064256989"/>
    <n v="3369.56"/>
    <n v="3369.57"/>
    <n v="3369.56"/>
    <s v="December 2023"/>
  </r>
  <r>
    <d v="2023-12-08T00:00:00"/>
    <x v="4833"/>
    <n v="7"/>
    <x v="0"/>
    <x v="5"/>
    <x v="1"/>
    <x v="4"/>
    <n v="4566.1400000000003"/>
    <x v="2"/>
    <n v="2509.1716796874912"/>
    <n v="5022.75"/>
    <n v="5022.76"/>
    <n v="5022.75"/>
    <s v="December 2023"/>
  </r>
  <r>
    <d v="2023-12-08T00:00:00"/>
    <x v="4834"/>
    <n v="11"/>
    <x v="1"/>
    <x v="7"/>
    <x v="1"/>
    <x v="2"/>
    <n v="975.53"/>
    <x v="2"/>
    <n v="2509.1716796874912"/>
    <n v="1073.08"/>
    <n v="1073.0899999999999"/>
    <n v="1073.08"/>
    <s v="December 2023"/>
  </r>
  <r>
    <d v="2023-12-08T00:00:00"/>
    <x v="4835"/>
    <n v="50"/>
    <x v="1"/>
    <x v="2"/>
    <x v="3"/>
    <x v="3"/>
    <n v="3115.16"/>
    <x v="1"/>
    <n v="2496.7676064256989"/>
    <n v="3426.67"/>
    <n v="3426.6800000000003"/>
    <n v="3426.68"/>
    <s v="December 2023"/>
  </r>
  <r>
    <d v="2023-12-08T00:00:00"/>
    <x v="4836"/>
    <n v="72"/>
    <x v="1"/>
    <x v="4"/>
    <x v="3"/>
    <x v="0"/>
    <n v="104.66"/>
    <x v="0"/>
    <n v="2496.7676064256989"/>
    <n v="115.12"/>
    <n v="115.13000000000001"/>
    <n v="115.13"/>
    <s v="December 2023"/>
  </r>
  <r>
    <d v="2023-12-08T00:00:00"/>
    <x v="4837"/>
    <n v="2"/>
    <x v="0"/>
    <x v="1"/>
    <x v="0"/>
    <x v="0"/>
    <n v="2110.27"/>
    <x v="2"/>
    <n v="2503.6022787783854"/>
    <n v="2321.29"/>
    <n v="2321.3000000000002"/>
    <n v="2321.3000000000002"/>
    <s v="December 2023"/>
  </r>
  <r>
    <d v="2023-12-08T00:00:00"/>
    <x v="4838"/>
    <n v="21"/>
    <x v="0"/>
    <x v="2"/>
    <x v="3"/>
    <x v="5"/>
    <n v="3680.73"/>
    <x v="1"/>
    <n v="2496.7676064256989"/>
    <n v="4048.8"/>
    <n v="4048.8100000000004"/>
    <n v="4048.8"/>
    <s v="December 2023"/>
  </r>
  <r>
    <d v="2023-12-08T00:00:00"/>
    <x v="4839"/>
    <n v="11"/>
    <x v="1"/>
    <x v="6"/>
    <x v="0"/>
    <x v="1"/>
    <n v="4333.47"/>
    <x v="2"/>
    <n v="2503.6022787783854"/>
    <n v="4766.8100000000004"/>
    <n v="4766.8200000000006"/>
    <n v="4766.82"/>
    <s v="December 2023"/>
  </r>
  <r>
    <d v="2023-12-08T00:00:00"/>
    <x v="4840"/>
    <n v="16"/>
    <x v="2"/>
    <x v="0"/>
    <x v="2"/>
    <x v="1"/>
    <n v="3686.02"/>
    <x v="1"/>
    <n v="2440.2966694490838"/>
    <n v="4054.62"/>
    <n v="4054.63"/>
    <n v="4054.62"/>
    <s v="December 2023"/>
  </r>
  <r>
    <d v="2023-12-09T00:00:00"/>
    <x v="4841"/>
    <n v="48"/>
    <x v="0"/>
    <x v="3"/>
    <x v="3"/>
    <x v="5"/>
    <n v="1476.63"/>
    <x v="1"/>
    <n v="2496.7676064256989"/>
    <n v="1624.29"/>
    <n v="1624.3"/>
    <n v="1624.29"/>
    <s v="December 2023"/>
  </r>
  <r>
    <d v="2023-12-09T00:00:00"/>
    <x v="4842"/>
    <n v="51"/>
    <x v="0"/>
    <x v="2"/>
    <x v="0"/>
    <x v="1"/>
    <n v="4491.12"/>
    <x v="1"/>
    <n v="2503.6022787783854"/>
    <n v="4940.2299999999996"/>
    <n v="4940.24"/>
    <n v="4940.2299999999996"/>
    <s v="December 2023"/>
  </r>
  <r>
    <d v="2023-12-09T00:00:00"/>
    <x v="4843"/>
    <n v="68"/>
    <x v="1"/>
    <x v="5"/>
    <x v="0"/>
    <x v="3"/>
    <n v="741.35"/>
    <x v="0"/>
    <n v="2503.6022787783854"/>
    <n v="815.48"/>
    <n v="815.49"/>
    <n v="815.49"/>
    <s v="December 2023"/>
  </r>
  <r>
    <d v="2023-12-09T00:00:00"/>
    <x v="4844"/>
    <n v="37"/>
    <x v="0"/>
    <x v="3"/>
    <x v="2"/>
    <x v="2"/>
    <n v="2121.27"/>
    <x v="1"/>
    <n v="2440.2966694490838"/>
    <n v="2333.39"/>
    <n v="2333.4"/>
    <n v="2333.4"/>
    <s v="December 2023"/>
  </r>
  <r>
    <d v="2023-12-09T00:00:00"/>
    <x v="4845"/>
    <n v="4"/>
    <x v="0"/>
    <x v="7"/>
    <x v="0"/>
    <x v="2"/>
    <n v="2177.37"/>
    <x v="2"/>
    <n v="2503.6022787783854"/>
    <n v="2395.1"/>
    <n v="2395.11"/>
    <n v="2395.11"/>
    <s v="December 2023"/>
  </r>
  <r>
    <d v="2023-12-09T00:00:00"/>
    <x v="4846"/>
    <n v="68"/>
    <x v="2"/>
    <x v="6"/>
    <x v="3"/>
    <x v="1"/>
    <n v="2028.39"/>
    <x v="0"/>
    <n v="2496.7676064256989"/>
    <n v="2231.2199999999998"/>
    <n v="2231.23"/>
    <n v="2231.23"/>
    <s v="December 2023"/>
  </r>
  <r>
    <d v="2023-12-09T00:00:00"/>
    <x v="4847"/>
    <n v="92"/>
    <x v="1"/>
    <x v="1"/>
    <x v="0"/>
    <x v="0"/>
    <n v="1293.3599999999999"/>
    <x v="0"/>
    <n v="2503.6022787783854"/>
    <n v="1422.69"/>
    <n v="1422.7"/>
    <n v="1422.7"/>
    <s v="December 2023"/>
  </r>
  <r>
    <d v="2023-12-09T00:00:00"/>
    <x v="4848"/>
    <n v="25"/>
    <x v="1"/>
    <x v="0"/>
    <x v="0"/>
    <x v="4"/>
    <n v="1607.79"/>
    <x v="1"/>
    <n v="2503.6022787783854"/>
    <n v="1768.56"/>
    <n v="1768.57"/>
    <n v="1768.57"/>
    <s v="December 2023"/>
  </r>
  <r>
    <d v="2023-12-09T00:00:00"/>
    <x v="4849"/>
    <n v="79"/>
    <x v="2"/>
    <x v="3"/>
    <x v="1"/>
    <x v="0"/>
    <n v="1256.18"/>
    <x v="0"/>
    <n v="2509.1716796874912"/>
    <n v="1381.79"/>
    <n v="1381.8"/>
    <n v="1381.8"/>
    <s v="December 2023"/>
  </r>
  <r>
    <d v="2023-12-09T00:00:00"/>
    <x v="4850"/>
    <n v="0"/>
    <x v="0"/>
    <x v="4"/>
    <x v="0"/>
    <x v="1"/>
    <n v="1619.05"/>
    <x v="2"/>
    <n v="2503.6022787783854"/>
    <n v="1780.95"/>
    <n v="1780.96"/>
    <n v="1780.96"/>
    <s v="December 2023"/>
  </r>
  <r>
    <d v="2023-12-09T00:00:00"/>
    <x v="4851"/>
    <n v="25"/>
    <x v="2"/>
    <x v="6"/>
    <x v="2"/>
    <x v="0"/>
    <n v="1125.6400000000001"/>
    <x v="1"/>
    <n v="2440.2966694490838"/>
    <n v="1238.2"/>
    <n v="1238.21"/>
    <n v="1238.2"/>
    <s v="December 2023"/>
  </r>
  <r>
    <d v="2023-12-09T00:00:00"/>
    <x v="4852"/>
    <n v="97"/>
    <x v="0"/>
    <x v="1"/>
    <x v="1"/>
    <x v="2"/>
    <n v="1740.46"/>
    <x v="0"/>
    <n v="2509.1716796874912"/>
    <n v="1914.5"/>
    <n v="1914.51"/>
    <n v="1914.51"/>
    <s v="December 2023"/>
  </r>
  <r>
    <d v="2023-12-09T00:00:00"/>
    <x v="4853"/>
    <n v="45"/>
    <x v="1"/>
    <x v="3"/>
    <x v="0"/>
    <x v="1"/>
    <n v="2497.4499999999998"/>
    <x v="1"/>
    <n v="2503.6022787783854"/>
    <n v="2747.19"/>
    <n v="2747.2000000000003"/>
    <n v="2747.2"/>
    <s v="December 2023"/>
  </r>
  <r>
    <d v="2023-12-09T00:00:00"/>
    <x v="4854"/>
    <n v="80"/>
    <x v="2"/>
    <x v="2"/>
    <x v="0"/>
    <x v="3"/>
    <n v="591.65"/>
    <x v="0"/>
    <n v="2503.6022787783854"/>
    <n v="650.80999999999995"/>
    <n v="650.81999999999994"/>
    <n v="650.82000000000005"/>
    <s v="December 2023"/>
  </r>
  <r>
    <d v="2023-12-10T00:00:00"/>
    <x v="4855"/>
    <n v="49"/>
    <x v="2"/>
    <x v="3"/>
    <x v="0"/>
    <x v="1"/>
    <n v="2551.19"/>
    <x v="1"/>
    <n v="2503.6022787783854"/>
    <n v="2806.3"/>
    <n v="2806.3100000000004"/>
    <n v="2806.31"/>
    <s v="December 2023"/>
  </r>
  <r>
    <d v="2023-12-10T00:00:00"/>
    <x v="4856"/>
    <n v="49"/>
    <x v="1"/>
    <x v="4"/>
    <x v="2"/>
    <x v="3"/>
    <n v="1078.1500000000001"/>
    <x v="1"/>
    <n v="2440.2966694490838"/>
    <n v="1185.96"/>
    <n v="1185.97"/>
    <n v="1185.97"/>
    <s v="December 2023"/>
  </r>
  <r>
    <d v="2023-12-10T00:00:00"/>
    <x v="4857"/>
    <n v="62"/>
    <x v="0"/>
    <x v="0"/>
    <x v="0"/>
    <x v="1"/>
    <n v="4114.62"/>
    <x v="1"/>
    <n v="2503.6022787783854"/>
    <n v="4526.08"/>
    <n v="4526.09"/>
    <n v="4526.08"/>
    <s v="December 2023"/>
  </r>
  <r>
    <d v="2023-12-10T00:00:00"/>
    <x v="4858"/>
    <n v="6"/>
    <x v="0"/>
    <x v="7"/>
    <x v="3"/>
    <x v="0"/>
    <n v="1496.57"/>
    <x v="2"/>
    <n v="2496.7676064256989"/>
    <n v="1646.22"/>
    <n v="1646.23"/>
    <n v="1646.23"/>
    <s v="December 2023"/>
  </r>
  <r>
    <d v="2023-12-10T00:00:00"/>
    <x v="4859"/>
    <n v="61"/>
    <x v="0"/>
    <x v="4"/>
    <x v="0"/>
    <x v="3"/>
    <n v="3387.49"/>
    <x v="1"/>
    <n v="2503.6022787783854"/>
    <n v="3726.23"/>
    <n v="3726.2400000000002"/>
    <n v="3726.24"/>
    <s v="December 2023"/>
  </r>
  <r>
    <d v="2023-12-10T00:00:00"/>
    <x v="4860"/>
    <n v="70"/>
    <x v="0"/>
    <x v="3"/>
    <x v="3"/>
    <x v="4"/>
    <n v="3077.72"/>
    <x v="0"/>
    <n v="2496.7676064256989"/>
    <n v="3385.49"/>
    <n v="3385.5"/>
    <n v="3385.49"/>
    <s v="December 2023"/>
  </r>
  <r>
    <d v="2023-12-10T00:00:00"/>
    <x v="4861"/>
    <n v="50"/>
    <x v="2"/>
    <x v="5"/>
    <x v="3"/>
    <x v="2"/>
    <n v="1910.04"/>
    <x v="1"/>
    <n v="2496.7676064256989"/>
    <n v="2101.04"/>
    <n v="2101.0500000000002"/>
    <n v="2101.04"/>
    <s v="December 2023"/>
  </r>
  <r>
    <d v="2023-12-10T00:00:00"/>
    <x v="4862"/>
    <n v="60"/>
    <x v="0"/>
    <x v="4"/>
    <x v="2"/>
    <x v="4"/>
    <n v="3661.97"/>
    <x v="1"/>
    <n v="2440.2966694490838"/>
    <n v="4028.16"/>
    <n v="4028.17"/>
    <n v="4028.17"/>
    <s v="December 2023"/>
  </r>
  <r>
    <d v="2023-12-11T00:00:00"/>
    <x v="4863"/>
    <n v="80"/>
    <x v="2"/>
    <x v="4"/>
    <x v="3"/>
    <x v="1"/>
    <n v="981.09"/>
    <x v="0"/>
    <n v="2496.7676064256989"/>
    <n v="1079.19"/>
    <n v="1079.2"/>
    <n v="1079.2"/>
    <s v="December 2023"/>
  </r>
  <r>
    <d v="2023-12-11T00:00:00"/>
    <x v="4864"/>
    <n v="79"/>
    <x v="2"/>
    <x v="4"/>
    <x v="0"/>
    <x v="0"/>
    <n v="737.4"/>
    <x v="0"/>
    <n v="2503.6022787783854"/>
    <n v="811.14"/>
    <n v="811.14"/>
    <n v="811.14"/>
    <s v="December 2023"/>
  </r>
  <r>
    <d v="2023-12-11T00:00:00"/>
    <x v="4865"/>
    <n v="64"/>
    <x v="1"/>
    <x v="5"/>
    <x v="1"/>
    <x v="4"/>
    <n v="3060.8"/>
    <x v="1"/>
    <n v="2509.1716796874912"/>
    <n v="3366.88"/>
    <n v="3366.88"/>
    <n v="3366.88"/>
    <s v="December 2023"/>
  </r>
  <r>
    <d v="2023-12-11T00:00:00"/>
    <x v="4866"/>
    <n v="38"/>
    <x v="2"/>
    <x v="2"/>
    <x v="1"/>
    <x v="4"/>
    <n v="422.5"/>
    <x v="1"/>
    <n v="2509.1716796874912"/>
    <n v="464.75"/>
    <n v="464.75"/>
    <n v="464.75"/>
    <s v="December 2023"/>
  </r>
  <r>
    <d v="2023-12-11T00:00:00"/>
    <x v="4867"/>
    <n v="86"/>
    <x v="0"/>
    <x v="0"/>
    <x v="3"/>
    <x v="0"/>
    <n v="4322.8900000000003"/>
    <x v="0"/>
    <n v="2496.7676064256989"/>
    <n v="4755.17"/>
    <n v="4755.18"/>
    <n v="4755.18"/>
    <s v="December 2023"/>
  </r>
  <r>
    <d v="2023-12-11T00:00:00"/>
    <x v="4868"/>
    <n v="33"/>
    <x v="1"/>
    <x v="1"/>
    <x v="3"/>
    <x v="3"/>
    <n v="3154.92"/>
    <x v="1"/>
    <n v="2496.7676064256989"/>
    <n v="3470.41"/>
    <n v="3470.42"/>
    <n v="3470.41"/>
    <s v="December 2023"/>
  </r>
  <r>
    <d v="2023-12-11T00:00:00"/>
    <x v="4869"/>
    <n v="46"/>
    <x v="2"/>
    <x v="7"/>
    <x v="0"/>
    <x v="0"/>
    <n v="1193.98"/>
    <x v="1"/>
    <n v="2503.6022787783854"/>
    <n v="1313.37"/>
    <n v="1313.3799999999999"/>
    <n v="1313.38"/>
    <s v="December 2023"/>
  </r>
  <r>
    <d v="2023-12-11T00:00:00"/>
    <x v="4870"/>
    <n v="63"/>
    <x v="0"/>
    <x v="5"/>
    <x v="2"/>
    <x v="3"/>
    <n v="609.71"/>
    <x v="1"/>
    <n v="2440.2966694490838"/>
    <n v="670.68"/>
    <n v="670.68999999999994"/>
    <n v="670.68"/>
    <s v="December 2023"/>
  </r>
  <r>
    <d v="2023-12-11T00:00:00"/>
    <x v="4871"/>
    <n v="39"/>
    <x v="2"/>
    <x v="0"/>
    <x v="3"/>
    <x v="4"/>
    <n v="1202.48"/>
    <x v="1"/>
    <n v="2496.7676064256989"/>
    <n v="1322.72"/>
    <n v="1322.73"/>
    <n v="1322.73"/>
    <s v="December 2023"/>
  </r>
  <r>
    <d v="2023-12-11T00:00:00"/>
    <x v="4872"/>
    <n v="58"/>
    <x v="0"/>
    <x v="3"/>
    <x v="0"/>
    <x v="2"/>
    <n v="4497.28"/>
    <x v="1"/>
    <n v="2503.6022787783854"/>
    <n v="4947"/>
    <n v="4947.01"/>
    <n v="4947.01"/>
    <s v="December 2023"/>
  </r>
  <r>
    <d v="2023-12-11T00:00:00"/>
    <x v="4873"/>
    <n v="53"/>
    <x v="0"/>
    <x v="1"/>
    <x v="3"/>
    <x v="3"/>
    <n v="3607.43"/>
    <x v="1"/>
    <n v="2496.7676064256989"/>
    <n v="3968.17"/>
    <n v="3968.1800000000003"/>
    <n v="3968.17"/>
    <s v="December 2023"/>
  </r>
  <r>
    <d v="2023-12-11T00:00:00"/>
    <x v="4874"/>
    <n v="88"/>
    <x v="0"/>
    <x v="7"/>
    <x v="0"/>
    <x v="1"/>
    <n v="4740.37"/>
    <x v="0"/>
    <n v="2503.6022787783854"/>
    <n v="5214.3999999999996"/>
    <n v="5214.41"/>
    <n v="5214.41"/>
    <s v="December 2023"/>
  </r>
  <r>
    <d v="2023-12-11T00:00:00"/>
    <x v="4875"/>
    <n v="73"/>
    <x v="1"/>
    <x v="0"/>
    <x v="3"/>
    <x v="3"/>
    <n v="3482.96"/>
    <x v="0"/>
    <n v="2496.7676064256989"/>
    <n v="3831.25"/>
    <n v="3831.26"/>
    <n v="3831.26"/>
    <s v="December 2023"/>
  </r>
  <r>
    <d v="2023-12-11T00:00:00"/>
    <x v="4876"/>
    <n v="56"/>
    <x v="2"/>
    <x v="5"/>
    <x v="3"/>
    <x v="0"/>
    <n v="527.55999999999995"/>
    <x v="1"/>
    <n v="2496.7676064256989"/>
    <n v="580.30999999999995"/>
    <n v="580.31999999999994"/>
    <n v="580.32000000000005"/>
    <s v="December 2023"/>
  </r>
  <r>
    <d v="2023-12-11T00:00:00"/>
    <x v="4877"/>
    <n v="80"/>
    <x v="1"/>
    <x v="5"/>
    <x v="0"/>
    <x v="0"/>
    <n v="4925.21"/>
    <x v="0"/>
    <n v="2503.6022787783854"/>
    <n v="5417.73"/>
    <n v="5417.74"/>
    <n v="5417.73"/>
    <s v="December 2023"/>
  </r>
  <r>
    <d v="2023-12-11T00:00:00"/>
    <x v="4878"/>
    <n v="98"/>
    <x v="2"/>
    <x v="1"/>
    <x v="3"/>
    <x v="0"/>
    <n v="3847.94"/>
    <x v="0"/>
    <n v="2496.7676064256989"/>
    <n v="4232.7299999999996"/>
    <n v="4232.74"/>
    <n v="4232.7299999999996"/>
    <s v="December 2023"/>
  </r>
  <r>
    <d v="2023-12-11T00:00:00"/>
    <x v="4879"/>
    <n v="29"/>
    <x v="2"/>
    <x v="5"/>
    <x v="0"/>
    <x v="4"/>
    <n v="4088.6"/>
    <x v="1"/>
    <n v="2503.6022787783854"/>
    <n v="4497.46"/>
    <n v="4497.46"/>
    <n v="4497.46"/>
    <s v="December 2023"/>
  </r>
  <r>
    <d v="2023-12-11T00:00:00"/>
    <x v="4880"/>
    <n v="76"/>
    <x v="0"/>
    <x v="5"/>
    <x v="0"/>
    <x v="1"/>
    <n v="2870.42"/>
    <x v="0"/>
    <n v="2503.6022787783854"/>
    <n v="3157.46"/>
    <n v="3157.4700000000003"/>
    <n v="3157.46"/>
    <s v="December 2023"/>
  </r>
  <r>
    <d v="2023-12-12T00:00:00"/>
    <x v="4881"/>
    <n v="39"/>
    <x v="0"/>
    <x v="1"/>
    <x v="2"/>
    <x v="0"/>
    <n v="1312.71"/>
    <x v="1"/>
    <n v="2440.2966694490838"/>
    <n v="1443.98"/>
    <n v="1443.99"/>
    <n v="1443.98"/>
    <s v="December 2023"/>
  </r>
  <r>
    <d v="2023-12-12T00:00:00"/>
    <x v="4882"/>
    <n v="8"/>
    <x v="0"/>
    <x v="3"/>
    <x v="3"/>
    <x v="0"/>
    <n v="3483.57"/>
    <x v="2"/>
    <n v="2496.7676064256989"/>
    <n v="3831.92"/>
    <n v="3831.9300000000003"/>
    <n v="3831.93"/>
    <s v="December 2023"/>
  </r>
  <r>
    <d v="2023-12-12T00:00:00"/>
    <x v="4883"/>
    <n v="32"/>
    <x v="1"/>
    <x v="1"/>
    <x v="3"/>
    <x v="2"/>
    <n v="4361.5600000000004"/>
    <x v="1"/>
    <n v="2496.7676064256989"/>
    <n v="4797.71"/>
    <n v="4797.72"/>
    <n v="4797.72"/>
    <s v="December 2023"/>
  </r>
  <r>
    <d v="2023-12-12T00:00:00"/>
    <x v="4884"/>
    <n v="15"/>
    <x v="2"/>
    <x v="7"/>
    <x v="1"/>
    <x v="2"/>
    <n v="1098.44"/>
    <x v="2"/>
    <n v="2509.1716796874912"/>
    <n v="1208.28"/>
    <n v="1208.29"/>
    <n v="1208.28"/>
    <s v="December 2023"/>
  </r>
  <r>
    <d v="2023-12-12T00:00:00"/>
    <x v="4885"/>
    <n v="39"/>
    <x v="1"/>
    <x v="3"/>
    <x v="2"/>
    <x v="1"/>
    <n v="3303.5"/>
    <x v="1"/>
    <n v="2440.2966694490838"/>
    <n v="3633.85"/>
    <n v="3633.85"/>
    <n v="3633.85"/>
    <s v="December 2023"/>
  </r>
  <r>
    <d v="2023-12-13T00:00:00"/>
    <x v="4886"/>
    <n v="59"/>
    <x v="0"/>
    <x v="4"/>
    <x v="2"/>
    <x v="1"/>
    <n v="2155.88"/>
    <x v="1"/>
    <n v="2440.2966694490838"/>
    <n v="2371.46"/>
    <n v="2371.4700000000003"/>
    <n v="2371.4699999999998"/>
    <s v="December 2023"/>
  </r>
  <r>
    <d v="2023-12-13T00:00:00"/>
    <x v="4887"/>
    <n v="87"/>
    <x v="0"/>
    <x v="3"/>
    <x v="3"/>
    <x v="5"/>
    <n v="3323.19"/>
    <x v="0"/>
    <n v="2496.7676064256989"/>
    <n v="3655.5"/>
    <n v="3655.51"/>
    <n v="3655.51"/>
    <s v="December 2023"/>
  </r>
  <r>
    <d v="2023-12-14T00:00:00"/>
    <x v="4888"/>
    <n v="17"/>
    <x v="0"/>
    <x v="3"/>
    <x v="3"/>
    <x v="0"/>
    <n v="927.92"/>
    <x v="1"/>
    <n v="2496.7676064256989"/>
    <n v="1020.71"/>
    <n v="1020.72"/>
    <n v="1020.71"/>
    <s v="December 2023"/>
  </r>
  <r>
    <d v="2023-12-15T00:00:00"/>
    <x v="4889"/>
    <n v="94"/>
    <x v="2"/>
    <x v="7"/>
    <x v="0"/>
    <x v="4"/>
    <n v="594.91"/>
    <x v="0"/>
    <n v="2503.6022787783854"/>
    <n v="654.4"/>
    <n v="654.41"/>
    <n v="654.4"/>
    <s v="December 2023"/>
  </r>
  <r>
    <d v="2023-12-15T00:00:00"/>
    <x v="4890"/>
    <n v="67"/>
    <x v="1"/>
    <x v="4"/>
    <x v="2"/>
    <x v="2"/>
    <n v="2770.71"/>
    <x v="0"/>
    <n v="2440.2966694490838"/>
    <n v="3047.78"/>
    <n v="3047.7900000000004"/>
    <n v="3047.78"/>
    <s v="December 2023"/>
  </r>
  <r>
    <d v="2023-12-15T00:00:00"/>
    <x v="4891"/>
    <n v="6"/>
    <x v="0"/>
    <x v="7"/>
    <x v="3"/>
    <x v="4"/>
    <n v="1246.07"/>
    <x v="2"/>
    <n v="2496.7676064256989"/>
    <n v="1370.67"/>
    <n v="1370.68"/>
    <n v="1370.68"/>
    <s v="December 2023"/>
  </r>
  <r>
    <d v="2023-12-15T00:00:00"/>
    <x v="4892"/>
    <n v="77"/>
    <x v="2"/>
    <x v="3"/>
    <x v="0"/>
    <x v="4"/>
    <n v="4596.21"/>
    <x v="0"/>
    <n v="2503.6022787783854"/>
    <n v="5055.83"/>
    <n v="5055.84"/>
    <n v="5055.83"/>
    <s v="December 2023"/>
  </r>
  <r>
    <d v="2023-12-15T00:00:00"/>
    <x v="4893"/>
    <n v="99"/>
    <x v="1"/>
    <x v="0"/>
    <x v="0"/>
    <x v="1"/>
    <n v="779.37"/>
    <x v="0"/>
    <n v="2503.6022787783854"/>
    <n v="857.3"/>
    <n v="857.31"/>
    <n v="857.31"/>
    <s v="December 2023"/>
  </r>
  <r>
    <d v="2023-12-15T00:00:00"/>
    <x v="4894"/>
    <n v="76"/>
    <x v="1"/>
    <x v="7"/>
    <x v="3"/>
    <x v="2"/>
    <n v="1272.2"/>
    <x v="0"/>
    <n v="2496.7676064256989"/>
    <n v="1399.42"/>
    <n v="1399.42"/>
    <n v="1399.42"/>
    <s v="December 2023"/>
  </r>
  <r>
    <d v="2023-12-15T00:00:00"/>
    <x v="4895"/>
    <n v="74"/>
    <x v="1"/>
    <x v="4"/>
    <x v="2"/>
    <x v="4"/>
    <n v="1421.35"/>
    <x v="0"/>
    <n v="2440.2966694490838"/>
    <n v="1563.48"/>
    <n v="1563.49"/>
    <n v="1563.49"/>
    <s v="December 2023"/>
  </r>
  <r>
    <d v="2023-12-15T00:00:00"/>
    <x v="4896"/>
    <n v="95"/>
    <x v="0"/>
    <x v="5"/>
    <x v="0"/>
    <x v="1"/>
    <n v="610.08000000000004"/>
    <x v="0"/>
    <n v="2503.6022787783854"/>
    <n v="671.08"/>
    <n v="671.09"/>
    <n v="671.09"/>
    <s v="December 2023"/>
  </r>
  <r>
    <d v="2023-12-15T00:00:00"/>
    <x v="4897"/>
    <n v="28"/>
    <x v="1"/>
    <x v="6"/>
    <x v="3"/>
    <x v="1"/>
    <n v="2539.73"/>
    <x v="1"/>
    <n v="2496.7676064256989"/>
    <n v="2793.7"/>
    <n v="2793.71"/>
    <n v="2793.7"/>
    <s v="December 2023"/>
  </r>
  <r>
    <d v="2023-12-15T00:00:00"/>
    <x v="4898"/>
    <n v="39"/>
    <x v="2"/>
    <x v="0"/>
    <x v="1"/>
    <x v="1"/>
    <n v="2193.21"/>
    <x v="1"/>
    <n v="2509.1716796874912"/>
    <n v="2412.5300000000002"/>
    <n v="2412.5400000000004"/>
    <n v="2412.5300000000002"/>
    <s v="December 2023"/>
  </r>
  <r>
    <d v="2023-12-16T00:00:00"/>
    <x v="4899"/>
    <n v="59"/>
    <x v="0"/>
    <x v="5"/>
    <x v="0"/>
    <x v="0"/>
    <n v="3634.21"/>
    <x v="1"/>
    <n v="2503.6022787783854"/>
    <n v="3997.63"/>
    <n v="3997.6400000000003"/>
    <n v="3997.63"/>
    <s v="December 2023"/>
  </r>
  <r>
    <d v="2023-12-17T00:00:00"/>
    <x v="4900"/>
    <n v="45"/>
    <x v="1"/>
    <x v="0"/>
    <x v="2"/>
    <x v="4"/>
    <n v="970.68"/>
    <x v="1"/>
    <n v="2440.2966694490838"/>
    <n v="1067.74"/>
    <n v="1067.75"/>
    <n v="1067.75"/>
    <s v="December 2023"/>
  </r>
  <r>
    <d v="2023-12-17T00:00:00"/>
    <x v="4901"/>
    <n v="16"/>
    <x v="1"/>
    <x v="4"/>
    <x v="0"/>
    <x v="3"/>
    <n v="731.61"/>
    <x v="1"/>
    <n v="2503.6022787783854"/>
    <n v="804.77"/>
    <n v="804.78"/>
    <n v="804.77"/>
    <s v="December 2023"/>
  </r>
  <r>
    <d v="2023-12-17T00:00:00"/>
    <x v="4902"/>
    <n v="87"/>
    <x v="0"/>
    <x v="3"/>
    <x v="2"/>
    <x v="1"/>
    <n v="1070.97"/>
    <x v="0"/>
    <n v="2440.2966694490838"/>
    <n v="1178.06"/>
    <n v="1178.07"/>
    <n v="1178.07"/>
    <s v="December 2023"/>
  </r>
  <r>
    <d v="2023-12-17T00:00:00"/>
    <x v="4903"/>
    <n v="46"/>
    <x v="1"/>
    <x v="5"/>
    <x v="0"/>
    <x v="3"/>
    <n v="3378.9"/>
    <x v="1"/>
    <n v="2503.6022787783854"/>
    <n v="3716.79"/>
    <n v="3716.79"/>
    <n v="3716.79"/>
    <s v="December 2023"/>
  </r>
  <r>
    <d v="2023-12-17T00:00:00"/>
    <x v="4904"/>
    <n v="52"/>
    <x v="1"/>
    <x v="5"/>
    <x v="3"/>
    <x v="3"/>
    <n v="2685.94"/>
    <x v="1"/>
    <n v="2496.7676064256989"/>
    <n v="2954.53"/>
    <n v="2954.5400000000004"/>
    <n v="2954.53"/>
    <s v="December 2023"/>
  </r>
  <r>
    <d v="2023-12-17T00:00:00"/>
    <x v="4905"/>
    <n v="91"/>
    <x v="2"/>
    <x v="1"/>
    <x v="3"/>
    <x v="0"/>
    <n v="3908.49"/>
    <x v="0"/>
    <n v="2496.7676064256989"/>
    <n v="4299.33"/>
    <n v="4299.34"/>
    <n v="4299.34"/>
    <s v="December 2023"/>
  </r>
  <r>
    <d v="2023-12-17T00:00:00"/>
    <x v="4906"/>
    <n v="80"/>
    <x v="2"/>
    <x v="6"/>
    <x v="2"/>
    <x v="0"/>
    <n v="4447.45"/>
    <x v="0"/>
    <n v="2440.2966694490838"/>
    <n v="4892.1899999999996"/>
    <n v="4892.2"/>
    <n v="4892.2"/>
    <s v="December 2023"/>
  </r>
  <r>
    <d v="2023-12-17T00:00:00"/>
    <x v="4907"/>
    <n v="3"/>
    <x v="1"/>
    <x v="7"/>
    <x v="0"/>
    <x v="0"/>
    <n v="3401.67"/>
    <x v="2"/>
    <n v="2503.6022787783854"/>
    <n v="3741.83"/>
    <n v="3741.84"/>
    <n v="3741.84"/>
    <s v="December 2023"/>
  </r>
  <r>
    <d v="2023-12-17T00:00:00"/>
    <x v="4908"/>
    <n v="22"/>
    <x v="1"/>
    <x v="3"/>
    <x v="0"/>
    <x v="0"/>
    <n v="3205.77"/>
    <x v="1"/>
    <n v="2503.6022787783854"/>
    <n v="3526.34"/>
    <n v="3526.3500000000004"/>
    <n v="3526.35"/>
    <s v="December 2023"/>
  </r>
  <r>
    <d v="2023-12-18T00:00:00"/>
    <x v="4909"/>
    <n v="17"/>
    <x v="0"/>
    <x v="5"/>
    <x v="3"/>
    <x v="2"/>
    <n v="3663.43"/>
    <x v="1"/>
    <n v="2496.7676064256989"/>
    <n v="4029.77"/>
    <n v="4029.78"/>
    <n v="4029.77"/>
    <s v="December 2023"/>
  </r>
  <r>
    <d v="2023-12-18T00:00:00"/>
    <x v="4910"/>
    <n v="44"/>
    <x v="2"/>
    <x v="0"/>
    <x v="2"/>
    <x v="3"/>
    <n v="389.54"/>
    <x v="1"/>
    <n v="2440.2966694490838"/>
    <n v="428.49"/>
    <n v="428.5"/>
    <n v="428.49"/>
    <s v="December 2023"/>
  </r>
  <r>
    <d v="2023-12-18T00:00:00"/>
    <x v="4911"/>
    <n v="52"/>
    <x v="2"/>
    <x v="0"/>
    <x v="1"/>
    <x v="2"/>
    <n v="3560.01"/>
    <x v="1"/>
    <n v="2509.1716796874912"/>
    <n v="3916.01"/>
    <n v="3916.0200000000004"/>
    <n v="3916.01"/>
    <s v="December 2023"/>
  </r>
  <r>
    <d v="2023-12-18T00:00:00"/>
    <x v="4912"/>
    <n v="45"/>
    <x v="2"/>
    <x v="7"/>
    <x v="1"/>
    <x v="0"/>
    <n v="379.78"/>
    <x v="1"/>
    <n v="2509.1716796874912"/>
    <n v="417.75"/>
    <n v="417.76"/>
    <n v="417.76"/>
    <s v="December 2023"/>
  </r>
  <r>
    <d v="2023-12-18T00:00:00"/>
    <x v="4913"/>
    <n v="86"/>
    <x v="2"/>
    <x v="7"/>
    <x v="3"/>
    <x v="4"/>
    <n v="4573.6000000000004"/>
    <x v="0"/>
    <n v="2496.7676064256989"/>
    <n v="5030.96"/>
    <n v="5030.96"/>
    <n v="5030.96"/>
    <s v="December 2023"/>
  </r>
  <r>
    <d v="2023-12-18T00:00:00"/>
    <x v="4914"/>
    <n v="31"/>
    <x v="2"/>
    <x v="0"/>
    <x v="3"/>
    <x v="2"/>
    <n v="2902.58"/>
    <x v="1"/>
    <n v="2496.7676064256989"/>
    <n v="3192.83"/>
    <n v="3192.84"/>
    <n v="3192.84"/>
    <s v="December 2023"/>
  </r>
  <r>
    <d v="2023-12-18T00:00:00"/>
    <x v="4915"/>
    <n v="60"/>
    <x v="1"/>
    <x v="4"/>
    <x v="0"/>
    <x v="1"/>
    <n v="1236.75"/>
    <x v="1"/>
    <n v="2503.6022787783854"/>
    <n v="1360.42"/>
    <n v="1360.43"/>
    <n v="1360.43"/>
    <s v="December 2023"/>
  </r>
  <r>
    <d v="2023-12-19T00:00:00"/>
    <x v="4916"/>
    <n v="83"/>
    <x v="1"/>
    <x v="1"/>
    <x v="0"/>
    <x v="4"/>
    <n v="4313.41"/>
    <x v="0"/>
    <n v="2503.6022787783854"/>
    <n v="4744.75"/>
    <n v="4744.76"/>
    <n v="4744.75"/>
    <s v="December 2023"/>
  </r>
  <r>
    <d v="2023-12-19T00:00:00"/>
    <x v="4917"/>
    <n v="45"/>
    <x v="0"/>
    <x v="0"/>
    <x v="3"/>
    <x v="4"/>
    <n v="76.75"/>
    <x v="1"/>
    <n v="2496.7676064256989"/>
    <n v="84.42"/>
    <n v="84.43"/>
    <n v="84.43"/>
    <s v="December 2023"/>
  </r>
  <r>
    <d v="2023-12-19T00:00:00"/>
    <x v="4918"/>
    <n v="76"/>
    <x v="1"/>
    <x v="3"/>
    <x v="3"/>
    <x v="4"/>
    <n v="2976.86"/>
    <x v="0"/>
    <n v="2496.7676064256989"/>
    <n v="3274.54"/>
    <n v="3274.55"/>
    <n v="3274.55"/>
    <s v="December 2023"/>
  </r>
  <r>
    <d v="2023-12-19T00:00:00"/>
    <x v="4919"/>
    <n v="68"/>
    <x v="1"/>
    <x v="7"/>
    <x v="0"/>
    <x v="4"/>
    <n v="4868.6400000000003"/>
    <x v="0"/>
    <n v="2503.6022787783854"/>
    <n v="5355.5"/>
    <n v="5355.51"/>
    <n v="5355.5"/>
    <s v="December 2023"/>
  </r>
  <r>
    <d v="2023-12-19T00:00:00"/>
    <x v="4920"/>
    <n v="11"/>
    <x v="1"/>
    <x v="2"/>
    <x v="2"/>
    <x v="0"/>
    <n v="4357.54"/>
    <x v="2"/>
    <n v="2440.2966694490838"/>
    <n v="4793.29"/>
    <n v="4793.3"/>
    <n v="4793.29"/>
    <s v="December 2023"/>
  </r>
  <r>
    <d v="2023-12-19T00:00:00"/>
    <x v="4921"/>
    <n v="4"/>
    <x v="2"/>
    <x v="0"/>
    <x v="2"/>
    <x v="1"/>
    <n v="411.59"/>
    <x v="2"/>
    <n v="2440.2966694490838"/>
    <n v="452.74"/>
    <n v="452.75"/>
    <n v="452.75"/>
    <s v="December 2023"/>
  </r>
  <r>
    <d v="2023-12-19T00:00:00"/>
    <x v="4922"/>
    <n v="59"/>
    <x v="0"/>
    <x v="5"/>
    <x v="0"/>
    <x v="3"/>
    <n v="1031.6300000000001"/>
    <x v="1"/>
    <n v="2503.6022787783854"/>
    <n v="1134.79"/>
    <n v="1134.8"/>
    <n v="1134.79"/>
    <s v="December 2023"/>
  </r>
  <r>
    <d v="2023-12-19T00:00:00"/>
    <x v="4923"/>
    <n v="36"/>
    <x v="0"/>
    <x v="5"/>
    <x v="2"/>
    <x v="2"/>
    <n v="2418.61"/>
    <x v="1"/>
    <n v="2440.2966694490838"/>
    <n v="2660.47"/>
    <n v="2660.48"/>
    <n v="2660.47"/>
    <s v="December 2023"/>
  </r>
  <r>
    <d v="2023-12-19T00:00:00"/>
    <x v="4924"/>
    <n v="50"/>
    <x v="2"/>
    <x v="4"/>
    <x v="0"/>
    <x v="1"/>
    <n v="3215.98"/>
    <x v="1"/>
    <n v="2503.6022787783854"/>
    <n v="3537.57"/>
    <n v="3537.5800000000004"/>
    <n v="3537.58"/>
    <s v="December 2023"/>
  </r>
  <r>
    <d v="2023-12-20T00:00:00"/>
    <x v="4925"/>
    <n v="37"/>
    <x v="1"/>
    <x v="1"/>
    <x v="1"/>
    <x v="4"/>
    <n v="291.72000000000003"/>
    <x v="1"/>
    <n v="2509.1716796874912"/>
    <n v="320.89"/>
    <n v="320.89999999999998"/>
    <n v="320.89"/>
    <s v="December 2023"/>
  </r>
  <r>
    <d v="2023-12-20T00:00:00"/>
    <x v="4926"/>
    <n v="57"/>
    <x v="0"/>
    <x v="7"/>
    <x v="3"/>
    <x v="4"/>
    <n v="3798.83"/>
    <x v="1"/>
    <n v="2496.7676064256989"/>
    <n v="4178.71"/>
    <n v="4178.72"/>
    <n v="4178.71"/>
    <s v="December 2023"/>
  </r>
  <r>
    <d v="2023-12-20T00:00:00"/>
    <x v="4927"/>
    <n v="15"/>
    <x v="0"/>
    <x v="1"/>
    <x v="3"/>
    <x v="1"/>
    <n v="832.39"/>
    <x v="2"/>
    <n v="2496.7676064256989"/>
    <n v="915.62"/>
    <n v="915.63"/>
    <n v="915.63"/>
    <s v="December 2023"/>
  </r>
  <r>
    <d v="2023-12-20T00:00:00"/>
    <x v="4928"/>
    <n v="54"/>
    <x v="2"/>
    <x v="7"/>
    <x v="2"/>
    <x v="2"/>
    <n v="1203.83"/>
    <x v="1"/>
    <n v="2440.2966694490838"/>
    <n v="1324.21"/>
    <n v="1324.22"/>
    <n v="1324.21"/>
    <s v="December 2023"/>
  </r>
  <r>
    <d v="2023-12-20T00:00:00"/>
    <x v="4929"/>
    <n v="18"/>
    <x v="1"/>
    <x v="7"/>
    <x v="3"/>
    <x v="5"/>
    <n v="3946.51"/>
    <x v="1"/>
    <n v="2496.7676064256989"/>
    <n v="4341.16"/>
    <n v="4341.17"/>
    <n v="4341.16"/>
    <s v="December 2023"/>
  </r>
  <r>
    <d v="2023-12-20T00:00:00"/>
    <x v="4930"/>
    <n v="38"/>
    <x v="1"/>
    <x v="4"/>
    <x v="2"/>
    <x v="2"/>
    <n v="71.75"/>
    <x v="1"/>
    <n v="2440.2966694490838"/>
    <n v="78.92"/>
    <n v="78.930000000000007"/>
    <n v="78.930000000000007"/>
    <s v="December 2023"/>
  </r>
  <r>
    <d v="2023-12-20T00:00:00"/>
    <x v="4931"/>
    <n v="95"/>
    <x v="0"/>
    <x v="4"/>
    <x v="0"/>
    <x v="1"/>
    <n v="1276.07"/>
    <x v="0"/>
    <n v="2503.6022787783854"/>
    <n v="1403.67"/>
    <n v="1403.68"/>
    <n v="1403.68"/>
    <s v="December 2023"/>
  </r>
  <r>
    <d v="2023-12-20T00:00:00"/>
    <x v="4932"/>
    <n v="5"/>
    <x v="1"/>
    <x v="4"/>
    <x v="2"/>
    <x v="3"/>
    <n v="3271.64"/>
    <x v="2"/>
    <n v="2440.2966694490838"/>
    <n v="3598.8"/>
    <n v="3598.8100000000004"/>
    <n v="3598.8"/>
    <s v="December 2023"/>
  </r>
  <r>
    <d v="2023-12-21T00:00:00"/>
    <x v="4933"/>
    <n v="92"/>
    <x v="1"/>
    <x v="0"/>
    <x v="1"/>
    <x v="0"/>
    <n v="4354.53"/>
    <x v="0"/>
    <n v="2509.1716796874912"/>
    <n v="4789.9799999999996"/>
    <n v="4789.99"/>
    <n v="4789.9799999999996"/>
    <s v="December 2023"/>
  </r>
  <r>
    <d v="2023-12-21T00:00:00"/>
    <x v="4934"/>
    <n v="42"/>
    <x v="1"/>
    <x v="2"/>
    <x v="1"/>
    <x v="0"/>
    <n v="794.69"/>
    <x v="1"/>
    <n v="2509.1716796874912"/>
    <n v="874.15"/>
    <n v="874.16"/>
    <n v="874.16"/>
    <s v="December 2023"/>
  </r>
  <r>
    <d v="2023-12-21T00:00:00"/>
    <x v="4935"/>
    <n v="42"/>
    <x v="2"/>
    <x v="1"/>
    <x v="2"/>
    <x v="3"/>
    <n v="385.73"/>
    <x v="1"/>
    <n v="2440.2966694490838"/>
    <n v="424.3"/>
    <n v="424.31"/>
    <n v="424.3"/>
    <s v="December 2023"/>
  </r>
  <r>
    <d v="2023-12-21T00:00:00"/>
    <x v="4936"/>
    <n v="56"/>
    <x v="0"/>
    <x v="5"/>
    <x v="3"/>
    <x v="3"/>
    <n v="3802.09"/>
    <x v="1"/>
    <n v="2496.7676064256989"/>
    <n v="4182.29"/>
    <n v="4182.3"/>
    <n v="4182.3"/>
    <s v="December 2023"/>
  </r>
  <r>
    <d v="2023-12-21T00:00:00"/>
    <x v="4937"/>
    <n v="7"/>
    <x v="2"/>
    <x v="4"/>
    <x v="1"/>
    <x v="1"/>
    <n v="2426.61"/>
    <x v="2"/>
    <n v="2509.1716796874912"/>
    <n v="2669.27"/>
    <n v="2669.28"/>
    <n v="2669.27"/>
    <s v="December 2023"/>
  </r>
  <r>
    <d v="2023-12-21T00:00:00"/>
    <x v="4938"/>
    <n v="67"/>
    <x v="1"/>
    <x v="5"/>
    <x v="2"/>
    <x v="2"/>
    <n v="313.56"/>
    <x v="0"/>
    <n v="2440.2966694490838"/>
    <n v="344.91"/>
    <n v="344.92"/>
    <n v="344.92"/>
    <s v="December 2023"/>
  </r>
  <r>
    <d v="2023-12-21T00:00:00"/>
    <x v="4939"/>
    <n v="1"/>
    <x v="1"/>
    <x v="5"/>
    <x v="2"/>
    <x v="3"/>
    <n v="1198.78"/>
    <x v="2"/>
    <n v="2440.2966694490838"/>
    <n v="1318.65"/>
    <n v="1318.66"/>
    <n v="1318.66"/>
    <s v="December 2023"/>
  </r>
  <r>
    <d v="2023-12-21T00:00:00"/>
    <x v="4940"/>
    <n v="97"/>
    <x v="2"/>
    <x v="1"/>
    <x v="3"/>
    <x v="4"/>
    <n v="244.53"/>
    <x v="0"/>
    <n v="2496.7676064256989"/>
    <n v="268.98"/>
    <n v="268.99"/>
    <n v="268.98"/>
    <s v="December 2023"/>
  </r>
  <r>
    <d v="2023-12-21T00:00:00"/>
    <x v="4941"/>
    <n v="31"/>
    <x v="2"/>
    <x v="1"/>
    <x v="2"/>
    <x v="3"/>
    <n v="4203.08"/>
    <x v="1"/>
    <n v="2440.2966694490838"/>
    <n v="4623.38"/>
    <n v="4623.3900000000003"/>
    <n v="4623.3900000000003"/>
    <s v="December 2023"/>
  </r>
  <r>
    <d v="2023-12-21T00:00:00"/>
    <x v="4942"/>
    <n v="83"/>
    <x v="0"/>
    <x v="7"/>
    <x v="3"/>
    <x v="0"/>
    <n v="337.62"/>
    <x v="0"/>
    <n v="2496.7676064256989"/>
    <n v="371.38"/>
    <n v="371.39"/>
    <n v="371.38"/>
    <s v="December 2023"/>
  </r>
  <r>
    <d v="2023-12-22T00:00:00"/>
    <x v="4943"/>
    <n v="84"/>
    <x v="2"/>
    <x v="6"/>
    <x v="3"/>
    <x v="1"/>
    <n v="4103.62"/>
    <x v="0"/>
    <n v="2496.7676064256989"/>
    <n v="4513.9799999999996"/>
    <n v="4513.99"/>
    <n v="4513.9799999999996"/>
    <s v="December 2023"/>
  </r>
  <r>
    <d v="2023-12-22T00:00:00"/>
    <x v="4944"/>
    <n v="67"/>
    <x v="0"/>
    <x v="2"/>
    <x v="1"/>
    <x v="0"/>
    <n v="392.8"/>
    <x v="0"/>
    <n v="2509.1716796874912"/>
    <n v="432.08"/>
    <n v="432.08"/>
    <n v="432.08"/>
    <s v="December 2023"/>
  </r>
  <r>
    <d v="2023-12-22T00:00:00"/>
    <x v="4945"/>
    <n v="77"/>
    <x v="2"/>
    <x v="3"/>
    <x v="2"/>
    <x v="4"/>
    <n v="3391.84"/>
    <x v="0"/>
    <n v="2440.2966694490838"/>
    <n v="3731.02"/>
    <n v="3731.03"/>
    <n v="3731.02"/>
    <s v="December 2023"/>
  </r>
  <r>
    <d v="2023-12-23T00:00:00"/>
    <x v="4946"/>
    <n v="51"/>
    <x v="2"/>
    <x v="3"/>
    <x v="0"/>
    <x v="3"/>
    <n v="1257.78"/>
    <x v="1"/>
    <n v="2503.6022787783854"/>
    <n v="1383.55"/>
    <n v="1383.56"/>
    <n v="1383.56"/>
    <s v="December 2023"/>
  </r>
  <r>
    <d v="2023-12-23T00:00:00"/>
    <x v="4947"/>
    <n v="85"/>
    <x v="1"/>
    <x v="2"/>
    <x v="3"/>
    <x v="4"/>
    <n v="1021.43"/>
    <x v="0"/>
    <n v="2496.7676064256989"/>
    <n v="1123.57"/>
    <n v="1123.58"/>
    <n v="1123.57"/>
    <s v="December 2023"/>
  </r>
  <r>
    <d v="2023-12-23T00:00:00"/>
    <x v="4948"/>
    <n v="39"/>
    <x v="0"/>
    <x v="0"/>
    <x v="3"/>
    <x v="2"/>
    <n v="3115.58"/>
    <x v="1"/>
    <n v="2496.7676064256989"/>
    <n v="3427.13"/>
    <n v="3427.1400000000003"/>
    <n v="3427.14"/>
    <s v="December 2023"/>
  </r>
  <r>
    <d v="2023-12-23T00:00:00"/>
    <x v="4949"/>
    <n v="73"/>
    <x v="2"/>
    <x v="2"/>
    <x v="1"/>
    <x v="2"/>
    <n v="4491.41"/>
    <x v="0"/>
    <n v="2509.1716796874912"/>
    <n v="4940.55"/>
    <n v="4940.5600000000004"/>
    <n v="4940.55"/>
    <s v="December 2023"/>
  </r>
  <r>
    <d v="2023-12-23T00:00:00"/>
    <x v="4950"/>
    <n v="64"/>
    <x v="0"/>
    <x v="6"/>
    <x v="3"/>
    <x v="4"/>
    <n v="2879.42"/>
    <x v="1"/>
    <n v="2496.7676064256989"/>
    <n v="3167.36"/>
    <n v="3167.3700000000003"/>
    <n v="3167.36"/>
    <s v="December 2023"/>
  </r>
  <r>
    <d v="2023-12-23T00:00:00"/>
    <x v="4951"/>
    <n v="92"/>
    <x v="0"/>
    <x v="2"/>
    <x v="3"/>
    <x v="2"/>
    <n v="3430.62"/>
    <x v="0"/>
    <n v="2496.7676064256989"/>
    <n v="3773.68"/>
    <n v="3773.69"/>
    <n v="3773.68"/>
    <s v="December 2023"/>
  </r>
  <r>
    <d v="2023-12-23T00:00:00"/>
    <x v="4952"/>
    <n v="9"/>
    <x v="1"/>
    <x v="5"/>
    <x v="1"/>
    <x v="5"/>
    <n v="3282.61"/>
    <x v="2"/>
    <n v="2509.1716796874912"/>
    <n v="3610.87"/>
    <n v="3610.88"/>
    <n v="3610.87"/>
    <s v="December 2023"/>
  </r>
  <r>
    <d v="2023-12-23T00:00:00"/>
    <x v="4953"/>
    <n v="18"/>
    <x v="2"/>
    <x v="4"/>
    <x v="0"/>
    <x v="3"/>
    <n v="193.79"/>
    <x v="1"/>
    <n v="2503.6022787783854"/>
    <n v="213.16"/>
    <n v="213.17"/>
    <n v="213.17"/>
    <s v="December 2023"/>
  </r>
  <r>
    <d v="2023-12-24T00:00:00"/>
    <x v="4954"/>
    <n v="89"/>
    <x v="1"/>
    <x v="0"/>
    <x v="3"/>
    <x v="5"/>
    <n v="2241.34"/>
    <x v="0"/>
    <n v="2496.7676064256989"/>
    <n v="2465.4699999999998"/>
    <n v="2465.48"/>
    <n v="2465.4699999999998"/>
    <s v="December 2023"/>
  </r>
  <r>
    <d v="2023-12-24T00:00:00"/>
    <x v="4955"/>
    <n v="26"/>
    <x v="2"/>
    <x v="0"/>
    <x v="3"/>
    <x v="0"/>
    <n v="2119.5100000000002"/>
    <x v="1"/>
    <n v="2496.7676064256989"/>
    <n v="2331.46"/>
    <n v="2331.4700000000003"/>
    <n v="2331.46"/>
    <s v="December 2023"/>
  </r>
  <r>
    <d v="2023-12-24T00:00:00"/>
    <x v="4956"/>
    <n v="18"/>
    <x v="2"/>
    <x v="3"/>
    <x v="3"/>
    <x v="4"/>
    <n v="4272.46"/>
    <x v="1"/>
    <n v="2496.7676064256989"/>
    <n v="4699.7"/>
    <n v="4699.71"/>
    <n v="4699.71"/>
    <s v="December 2023"/>
  </r>
  <r>
    <d v="2023-12-24T00:00:00"/>
    <x v="4957"/>
    <n v="85"/>
    <x v="2"/>
    <x v="0"/>
    <x v="2"/>
    <x v="4"/>
    <n v="2908.2"/>
    <x v="0"/>
    <n v="2440.2966694490838"/>
    <n v="3199.02"/>
    <n v="3199.02"/>
    <n v="3199.02"/>
    <s v="December 2023"/>
  </r>
  <r>
    <d v="2023-12-24T00:00:00"/>
    <x v="4958"/>
    <n v="87"/>
    <x v="0"/>
    <x v="0"/>
    <x v="3"/>
    <x v="0"/>
    <n v="2886.35"/>
    <x v="0"/>
    <n v="2496.7676064256989"/>
    <n v="3174.98"/>
    <n v="3174.9900000000002"/>
    <n v="3174.99"/>
    <s v="December 2023"/>
  </r>
  <r>
    <d v="2023-12-24T00:00:00"/>
    <x v="4959"/>
    <n v="86"/>
    <x v="0"/>
    <x v="7"/>
    <x v="0"/>
    <x v="2"/>
    <n v="141.08000000000001"/>
    <x v="0"/>
    <n v="2503.6022787783854"/>
    <n v="155.18"/>
    <n v="155.19"/>
    <n v="155.19"/>
    <s v="December 2023"/>
  </r>
  <r>
    <d v="2023-12-25T00:00:00"/>
    <x v="4960"/>
    <n v="66"/>
    <x v="2"/>
    <x v="2"/>
    <x v="2"/>
    <x v="3"/>
    <n v="4695.3999999999996"/>
    <x v="0"/>
    <n v="2440.2966694490838"/>
    <n v="5164.9399999999996"/>
    <n v="5164.9399999999996"/>
    <n v="5164.9399999999996"/>
    <s v="December 2023"/>
  </r>
  <r>
    <d v="2023-12-25T00:00:00"/>
    <x v="4961"/>
    <n v="68"/>
    <x v="2"/>
    <x v="7"/>
    <x v="0"/>
    <x v="1"/>
    <n v="4280.42"/>
    <x v="0"/>
    <n v="2503.6022787783854"/>
    <n v="4708.46"/>
    <n v="4708.47"/>
    <n v="4708.46"/>
    <s v="December 2023"/>
  </r>
  <r>
    <d v="2023-12-25T00:00:00"/>
    <x v="4962"/>
    <n v="12"/>
    <x v="1"/>
    <x v="6"/>
    <x v="2"/>
    <x v="0"/>
    <n v="2502.1799999999998"/>
    <x v="2"/>
    <n v="2440.2966694490838"/>
    <n v="2752.39"/>
    <n v="2752.4"/>
    <n v="2752.4"/>
    <s v="December 2023"/>
  </r>
  <r>
    <d v="2023-12-26T00:00:00"/>
    <x v="4963"/>
    <n v="84"/>
    <x v="1"/>
    <x v="1"/>
    <x v="3"/>
    <x v="2"/>
    <n v="1388.67"/>
    <x v="0"/>
    <n v="2496.7676064256989"/>
    <n v="1527.53"/>
    <n v="1527.54"/>
    <n v="1527.54"/>
    <s v="December 2023"/>
  </r>
  <r>
    <d v="2023-12-26T00:00:00"/>
    <x v="4964"/>
    <n v="98"/>
    <x v="2"/>
    <x v="5"/>
    <x v="1"/>
    <x v="2"/>
    <n v="2327.23"/>
    <x v="0"/>
    <n v="2509.1716796874912"/>
    <n v="2559.9499999999998"/>
    <n v="2559.96"/>
    <n v="2559.9499999999998"/>
    <s v="December 2023"/>
  </r>
  <r>
    <d v="2023-12-26T00:00:00"/>
    <x v="4965"/>
    <n v="68"/>
    <x v="1"/>
    <x v="5"/>
    <x v="3"/>
    <x v="2"/>
    <n v="2587.58"/>
    <x v="0"/>
    <n v="2496.7676064256989"/>
    <n v="2846.33"/>
    <n v="2846.34"/>
    <n v="2846.34"/>
    <s v="December 2023"/>
  </r>
  <r>
    <d v="2023-12-26T00:00:00"/>
    <x v="4966"/>
    <n v="42"/>
    <x v="0"/>
    <x v="2"/>
    <x v="2"/>
    <x v="3"/>
    <n v="31.96"/>
    <x v="1"/>
    <n v="2440.2966694490838"/>
    <n v="35.15"/>
    <n v="35.159999999999997"/>
    <n v="35.159999999999997"/>
    <s v="December 2023"/>
  </r>
  <r>
    <d v="2023-12-26T00:00:00"/>
    <x v="4967"/>
    <n v="71"/>
    <x v="0"/>
    <x v="4"/>
    <x v="0"/>
    <x v="2"/>
    <n v="3090.97"/>
    <x v="0"/>
    <n v="2503.6022787783854"/>
    <n v="3400.06"/>
    <n v="3400.07"/>
    <n v="3400.07"/>
    <s v="December 2023"/>
  </r>
  <r>
    <d v="2023-12-26T00:00:00"/>
    <x v="4968"/>
    <n v="84"/>
    <x v="1"/>
    <x v="5"/>
    <x v="0"/>
    <x v="3"/>
    <n v="2582.81"/>
    <x v="0"/>
    <n v="2503.6022787783854"/>
    <n v="2841.09"/>
    <n v="2841.1000000000004"/>
    <n v="2841.09"/>
    <s v="December 2023"/>
  </r>
  <r>
    <d v="2023-12-26T00:00:00"/>
    <x v="4969"/>
    <n v="37"/>
    <x v="1"/>
    <x v="1"/>
    <x v="0"/>
    <x v="0"/>
    <n v="2145.2399999999998"/>
    <x v="1"/>
    <n v="2503.6022787783854"/>
    <n v="2359.7600000000002"/>
    <n v="2359.7700000000004"/>
    <n v="2359.7600000000002"/>
    <s v="December 2023"/>
  </r>
  <r>
    <d v="2023-12-26T00:00:00"/>
    <x v="4970"/>
    <n v="81"/>
    <x v="1"/>
    <x v="0"/>
    <x v="2"/>
    <x v="0"/>
    <n v="3722.87"/>
    <x v="0"/>
    <n v="2440.2966694490838"/>
    <n v="4095.15"/>
    <n v="4095.1600000000003"/>
    <n v="4095.16"/>
    <s v="December 2023"/>
  </r>
  <r>
    <d v="2023-12-26T00:00:00"/>
    <x v="4971"/>
    <n v="86"/>
    <x v="2"/>
    <x v="3"/>
    <x v="2"/>
    <x v="2"/>
    <n v="4772.83"/>
    <x v="0"/>
    <n v="2440.2966694490838"/>
    <n v="5250.11"/>
    <n v="5250.12"/>
    <n v="5250.11"/>
    <s v="December 2023"/>
  </r>
  <r>
    <d v="2023-12-27T00:00:00"/>
    <x v="4972"/>
    <n v="48"/>
    <x v="1"/>
    <x v="0"/>
    <x v="0"/>
    <x v="2"/>
    <n v="4965.5600000000004"/>
    <x v="1"/>
    <n v="2503.6022787783854"/>
    <n v="5462.11"/>
    <n v="5462.12"/>
    <n v="5462.12"/>
    <s v="December 2023"/>
  </r>
  <r>
    <d v="2023-12-27T00:00:00"/>
    <x v="4973"/>
    <n v="85"/>
    <x v="0"/>
    <x v="0"/>
    <x v="2"/>
    <x v="0"/>
    <n v="4297.28"/>
    <x v="0"/>
    <n v="2440.2966694490838"/>
    <n v="4727"/>
    <n v="4727.01"/>
    <n v="4727.01"/>
    <s v="December 2023"/>
  </r>
  <r>
    <d v="2023-12-27T00:00:00"/>
    <x v="4974"/>
    <n v="34"/>
    <x v="2"/>
    <x v="6"/>
    <x v="1"/>
    <x v="3"/>
    <n v="408.22"/>
    <x v="1"/>
    <n v="2509.1716796874912"/>
    <n v="449.04"/>
    <n v="449.05"/>
    <n v="449.04"/>
    <s v="December 2023"/>
  </r>
  <r>
    <d v="2023-12-27T00:00:00"/>
    <x v="4975"/>
    <n v="81"/>
    <x v="1"/>
    <x v="1"/>
    <x v="0"/>
    <x v="2"/>
    <n v="3716.07"/>
    <x v="0"/>
    <n v="2503.6022787783854"/>
    <n v="4087.67"/>
    <n v="4087.6800000000003"/>
    <n v="4087.68"/>
    <s v="December 2023"/>
  </r>
  <r>
    <d v="2023-12-27T00:00:00"/>
    <x v="4976"/>
    <n v="37"/>
    <x v="0"/>
    <x v="1"/>
    <x v="3"/>
    <x v="1"/>
    <n v="2802.51"/>
    <x v="1"/>
    <n v="2496.7676064256989"/>
    <n v="3082.76"/>
    <n v="3082.7700000000004"/>
    <n v="3082.76"/>
    <s v="December 2023"/>
  </r>
  <r>
    <d v="2023-12-27T00:00:00"/>
    <x v="4977"/>
    <n v="58"/>
    <x v="2"/>
    <x v="0"/>
    <x v="3"/>
    <x v="3"/>
    <n v="4440.95"/>
    <x v="1"/>
    <n v="2496.7676064256989"/>
    <n v="4885.04"/>
    <n v="4885.05"/>
    <n v="4885.05"/>
    <s v="December 2023"/>
  </r>
  <r>
    <d v="2023-12-27T00:00:00"/>
    <x v="4978"/>
    <n v="32"/>
    <x v="2"/>
    <x v="3"/>
    <x v="0"/>
    <x v="2"/>
    <n v="3632.36"/>
    <x v="1"/>
    <n v="2503.6022787783854"/>
    <n v="3995.59"/>
    <n v="3995.6000000000004"/>
    <n v="3995.6"/>
    <s v="December 2023"/>
  </r>
  <r>
    <d v="2023-12-27T00:00:00"/>
    <x v="4979"/>
    <n v="46"/>
    <x v="2"/>
    <x v="7"/>
    <x v="1"/>
    <x v="4"/>
    <n v="1371.9"/>
    <x v="1"/>
    <n v="2509.1716796874912"/>
    <n v="1509.09"/>
    <n v="1509.09"/>
    <n v="1509.09"/>
    <s v="December 2023"/>
  </r>
  <r>
    <d v="2023-12-27T00:00:00"/>
    <x v="4980"/>
    <n v="85"/>
    <x v="0"/>
    <x v="0"/>
    <x v="3"/>
    <x v="4"/>
    <n v="4295.47"/>
    <x v="0"/>
    <n v="2496.7676064256989"/>
    <n v="4725.01"/>
    <n v="4725.0200000000004"/>
    <n v="4725.0200000000004"/>
    <s v="December 2023"/>
  </r>
  <r>
    <d v="2023-12-28T00:00:00"/>
    <x v="4981"/>
    <n v="39"/>
    <x v="0"/>
    <x v="7"/>
    <x v="2"/>
    <x v="3"/>
    <n v="2467.5500000000002"/>
    <x v="1"/>
    <n v="2440.2966694490838"/>
    <n v="2714.3"/>
    <n v="2714.3100000000004"/>
    <n v="2714.31"/>
    <s v="December 2023"/>
  </r>
  <r>
    <d v="2023-12-28T00:00:00"/>
    <x v="4982"/>
    <n v="83"/>
    <x v="2"/>
    <x v="1"/>
    <x v="0"/>
    <x v="3"/>
    <n v="718.68"/>
    <x v="0"/>
    <n v="2503.6022787783854"/>
    <n v="790.54"/>
    <n v="790.55"/>
    <n v="790.55"/>
    <s v="December 2023"/>
  </r>
  <r>
    <d v="2023-12-28T00:00:00"/>
    <x v="4983"/>
    <n v="11"/>
    <x v="0"/>
    <x v="0"/>
    <x v="3"/>
    <x v="0"/>
    <n v="1386.66"/>
    <x v="2"/>
    <n v="2496.7676064256989"/>
    <n v="1525.32"/>
    <n v="1525.33"/>
    <n v="1525.33"/>
    <s v="December 2023"/>
  </r>
  <r>
    <d v="2023-12-29T00:00:00"/>
    <x v="4984"/>
    <n v="9"/>
    <x v="2"/>
    <x v="7"/>
    <x v="3"/>
    <x v="3"/>
    <n v="1239.27"/>
    <x v="2"/>
    <n v="2496.7676064256989"/>
    <n v="1363.19"/>
    <n v="1363.2"/>
    <n v="1363.2"/>
    <s v="December 2023"/>
  </r>
  <r>
    <d v="2023-12-29T00:00:00"/>
    <x v="4985"/>
    <n v="67"/>
    <x v="0"/>
    <x v="6"/>
    <x v="3"/>
    <x v="4"/>
    <n v="4961.82"/>
    <x v="0"/>
    <n v="2496.7676064256989"/>
    <n v="5458"/>
    <n v="5458.01"/>
    <n v="5458"/>
    <s v="December 2023"/>
  </r>
  <r>
    <d v="2023-12-29T00:00:00"/>
    <x v="4986"/>
    <n v="55"/>
    <x v="0"/>
    <x v="2"/>
    <x v="3"/>
    <x v="2"/>
    <n v="4403.34"/>
    <x v="1"/>
    <n v="2496.7676064256989"/>
    <n v="4843.67"/>
    <n v="4843.68"/>
    <n v="4843.67"/>
    <s v="December 2023"/>
  </r>
  <r>
    <d v="2023-12-29T00:00:00"/>
    <x v="4987"/>
    <n v="95"/>
    <x v="1"/>
    <x v="3"/>
    <x v="1"/>
    <x v="2"/>
    <n v="4512.3500000000004"/>
    <x v="0"/>
    <n v="2509.1716796874912"/>
    <n v="4963.58"/>
    <n v="4963.59"/>
    <n v="4963.59"/>
    <s v="December 2023"/>
  </r>
  <r>
    <d v="2023-12-29T00:00:00"/>
    <x v="4988"/>
    <n v="42"/>
    <x v="2"/>
    <x v="5"/>
    <x v="3"/>
    <x v="3"/>
    <n v="3187.94"/>
    <x v="1"/>
    <n v="2496.7676064256989"/>
    <n v="3506.73"/>
    <n v="3506.7400000000002"/>
    <n v="3506.73"/>
    <s v="December 2023"/>
  </r>
  <r>
    <d v="2023-12-29T00:00:00"/>
    <x v="4989"/>
    <n v="22"/>
    <x v="2"/>
    <x v="2"/>
    <x v="2"/>
    <x v="4"/>
    <n v="1788.81"/>
    <x v="1"/>
    <n v="2440.2966694490838"/>
    <n v="1967.69"/>
    <n v="1967.7"/>
    <n v="1967.69"/>
    <s v="December 2023"/>
  </r>
  <r>
    <d v="2023-12-29T00:00:00"/>
    <x v="4990"/>
    <n v="40"/>
    <x v="2"/>
    <x v="4"/>
    <x v="2"/>
    <x v="1"/>
    <n v="668.11"/>
    <x v="1"/>
    <n v="2440.2966694490838"/>
    <n v="734.92"/>
    <n v="734.93"/>
    <n v="734.92"/>
    <s v="December 2023"/>
  </r>
  <r>
    <d v="2023-12-30T00:00:00"/>
    <x v="4991"/>
    <n v="35"/>
    <x v="1"/>
    <x v="4"/>
    <x v="1"/>
    <x v="1"/>
    <n v="4477.12"/>
    <x v="1"/>
    <n v="2509.1716796874912"/>
    <n v="4924.83"/>
    <n v="4924.84"/>
    <n v="4924.83"/>
    <s v="December 2023"/>
  </r>
  <r>
    <d v="2023-12-30T00:00:00"/>
    <x v="4992"/>
    <n v="96"/>
    <x v="1"/>
    <x v="1"/>
    <x v="2"/>
    <x v="1"/>
    <n v="198.28"/>
    <x v="0"/>
    <n v="2440.2966694490838"/>
    <n v="218.1"/>
    <n v="218.10999999999999"/>
    <n v="218.11"/>
    <s v="December 2023"/>
  </r>
  <r>
    <d v="2023-12-30T00:00:00"/>
    <x v="4993"/>
    <n v="66"/>
    <x v="1"/>
    <x v="5"/>
    <x v="1"/>
    <x v="2"/>
    <n v="228.38"/>
    <x v="0"/>
    <n v="2509.1716796874912"/>
    <n v="251.21"/>
    <n v="251.22"/>
    <n v="251.22"/>
    <s v="December 2023"/>
  </r>
  <r>
    <d v="2023-12-30T00:00:00"/>
    <x v="4994"/>
    <n v="88"/>
    <x v="1"/>
    <x v="0"/>
    <x v="1"/>
    <x v="1"/>
    <n v="3446.25"/>
    <x v="0"/>
    <n v="2509.1716796874912"/>
    <n v="3790.87"/>
    <n v="3790.88"/>
    <n v="3790.88"/>
    <s v="December 2023"/>
  </r>
  <r>
    <d v="2023-12-30T00:00:00"/>
    <x v="4995"/>
    <n v="22"/>
    <x v="1"/>
    <x v="6"/>
    <x v="0"/>
    <x v="3"/>
    <n v="1094.21"/>
    <x v="1"/>
    <n v="2503.6022787783854"/>
    <n v="1203.6300000000001"/>
    <n v="1203.6400000000001"/>
    <n v="1203.6300000000001"/>
    <s v="December 2023"/>
  </r>
  <r>
    <d v="2023-12-31T00:00:00"/>
    <x v="4996"/>
    <n v="69"/>
    <x v="0"/>
    <x v="7"/>
    <x v="1"/>
    <x v="0"/>
    <n v="2100.08"/>
    <x v="0"/>
    <n v="2509.1716796874912"/>
    <n v="2310.08"/>
    <n v="2310.09"/>
    <n v="2310.09"/>
    <s v="December 2023"/>
  </r>
  <r>
    <d v="2023-12-31T00:00:00"/>
    <x v="4997"/>
    <n v="77"/>
    <x v="1"/>
    <x v="6"/>
    <x v="0"/>
    <x v="3"/>
    <n v="64.040000000000006"/>
    <x v="0"/>
    <n v="2503.6022787783854"/>
    <n v="70.44"/>
    <n v="70.45"/>
    <n v="70.44"/>
    <s v="December 2023"/>
  </r>
  <r>
    <d v="2023-12-31T00:00:00"/>
    <x v="4998"/>
    <n v="75"/>
    <x v="1"/>
    <x v="0"/>
    <x v="3"/>
    <x v="4"/>
    <n v="1645.35"/>
    <x v="0"/>
    <n v="2496.7676064256989"/>
    <n v="1809.88"/>
    <n v="1809.89"/>
    <n v="1809.89"/>
    <s v="December 2023"/>
  </r>
  <r>
    <d v="2023-12-31T00:00:00"/>
    <x v="4999"/>
    <n v="80"/>
    <x v="0"/>
    <x v="1"/>
    <x v="2"/>
    <x v="1"/>
    <n v="4515.5600000000004"/>
    <x v="0"/>
    <n v="2440.2966694490838"/>
    <n v="4967.1099999999997"/>
    <n v="4967.12"/>
    <n v="4967.12"/>
    <s v="December 2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896212-A6F6-4967-AD18-84322B4EE98D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AB10" firstHeaderRow="1" firstDataRow="3" firstDataCol="1" rowPageCount="1" colPageCount="1"/>
  <pivotFields count="14">
    <pivotField numFmtId="14" showAll="0"/>
    <pivotField dataField="1" showAll="0">
      <items count="5001">
        <item x="1776"/>
        <item x="3099"/>
        <item x="2348"/>
        <item x="1732"/>
        <item x="483"/>
        <item x="4538"/>
        <item x="3547"/>
        <item x="4151"/>
        <item x="4120"/>
        <item x="4325"/>
        <item x="3663"/>
        <item x="677"/>
        <item x="3683"/>
        <item x="4827"/>
        <item x="2801"/>
        <item x="1615"/>
        <item x="4776"/>
        <item x="1315"/>
        <item x="552"/>
        <item x="4745"/>
        <item x="1915"/>
        <item x="3241"/>
        <item x="2924"/>
        <item x="1670"/>
        <item x="81"/>
        <item x="2114"/>
        <item x="504"/>
        <item x="4523"/>
        <item x="3518"/>
        <item x="3408"/>
        <item x="118"/>
        <item x="3765"/>
        <item x="4219"/>
        <item x="3338"/>
        <item x="3306"/>
        <item x="4790"/>
        <item x="542"/>
        <item x="4946"/>
        <item x="806"/>
        <item x="2193"/>
        <item x="2234"/>
        <item x="715"/>
        <item x="1504"/>
        <item x="1143"/>
        <item x="2649"/>
        <item x="3861"/>
        <item x="792"/>
        <item x="2209"/>
        <item x="3268"/>
        <item x="3104"/>
        <item x="1324"/>
        <item x="1230"/>
        <item x="3242"/>
        <item x="1370"/>
        <item x="1992"/>
        <item x="4437"/>
        <item x="2640"/>
        <item x="1803"/>
        <item x="918"/>
        <item x="2337"/>
        <item x="1929"/>
        <item x="1759"/>
        <item x="1579"/>
        <item x="4916"/>
        <item x="3370"/>
        <item x="4438"/>
        <item x="2282"/>
        <item x="3588"/>
        <item x="4439"/>
        <item x="4271"/>
        <item x="1306"/>
        <item x="3114"/>
        <item x="1163"/>
        <item x="4230"/>
        <item x="3735"/>
        <item x="521"/>
        <item x="3693"/>
        <item x="1279"/>
        <item x="3840"/>
        <item x="267"/>
        <item x="3710"/>
        <item x="2823"/>
        <item x="678"/>
        <item x="1379"/>
        <item x="4841"/>
        <item x="3409"/>
        <item x="4255"/>
        <item x="119"/>
        <item x="889"/>
        <item x="3932"/>
        <item x="491"/>
        <item x="221"/>
        <item x="3817"/>
        <item x="1451"/>
        <item x="3975"/>
        <item x="2689"/>
        <item x="1651"/>
        <item x="1596"/>
        <item x="3756"/>
        <item x="3981"/>
        <item x="2435"/>
        <item x="417"/>
        <item x="3243"/>
        <item x="4272"/>
        <item x="2880"/>
        <item x="658"/>
        <item x="4040"/>
        <item x="1835"/>
        <item x="101"/>
        <item x="3672"/>
        <item x="4791"/>
        <item x="4360"/>
        <item x="4889"/>
        <item x="4494"/>
        <item x="1597"/>
        <item x="2106"/>
        <item x="1943"/>
        <item x="1307"/>
        <item x="4078"/>
        <item x="702"/>
        <item x="3042"/>
        <item x="3940"/>
        <item x="382"/>
        <item x="51"/>
        <item x="3490"/>
        <item x="1560"/>
        <item x="1179"/>
        <item x="2810"/>
        <item x="1528"/>
        <item x="2038"/>
        <item x="585"/>
        <item x="2789"/>
        <item x="4900"/>
        <item x="2407"/>
        <item x="2939"/>
        <item x="3067"/>
        <item x="3371"/>
        <item x="1468"/>
        <item x="83"/>
        <item x="1671"/>
        <item x="1723"/>
        <item x="2522"/>
        <item x="4064"/>
        <item x="925"/>
        <item x="1133"/>
        <item x="3417"/>
        <item x="1555"/>
        <item x="3269"/>
        <item x="559"/>
        <item x="692"/>
        <item x="471"/>
        <item x="2360"/>
        <item x="3589"/>
        <item x="3711"/>
        <item x="4282"/>
        <item x="4402"/>
        <item x="3614"/>
        <item x="716"/>
        <item x="4933"/>
        <item x="3629"/>
        <item x="2324"/>
        <item x="570"/>
        <item x="1770"/>
        <item x="2107"/>
        <item x="4361"/>
        <item x="1316"/>
        <item x="3513"/>
        <item x="2316"/>
        <item x="628"/>
        <item x="2496"/>
        <item x="1407"/>
        <item x="777"/>
        <item x="1351"/>
        <item x="1248"/>
        <item x="4145"/>
        <item x="1302"/>
        <item x="2032"/>
        <item x="4035"/>
        <item x="1786"/>
        <item x="4732"/>
        <item x="4960"/>
        <item x="4656"/>
        <item x="4972"/>
        <item x="4963"/>
        <item x="4353"/>
        <item x="3608"/>
        <item x="3964"/>
        <item x="4409"/>
        <item x="703"/>
        <item x="2235"/>
        <item x="4140"/>
        <item x="1804"/>
        <item x="1960"/>
        <item x="4513"/>
        <item x="3032"/>
        <item x="3529"/>
        <item x="4661"/>
        <item x="377"/>
        <item x="2913"/>
        <item x="17"/>
        <item x="3658"/>
        <item x="1680"/>
        <item x="4426"/>
        <item x="604"/>
        <item x="1434"/>
        <item x="4750"/>
        <item x="2940"/>
        <item x="860"/>
        <item x="3500"/>
        <item x="4168"/>
        <item x="1231"/>
        <item x="4613"/>
        <item x="4079"/>
        <item x="4671"/>
        <item x="4925"/>
        <item x="1771"/>
        <item x="4146"/>
        <item x="2515"/>
        <item x="2613"/>
        <item x="2275"/>
        <item x="899"/>
        <item x="4722"/>
        <item x="1511"/>
        <item x="4440"/>
        <item x="4777"/>
        <item x="1868"/>
        <item x="818"/>
        <item x="452"/>
        <item x="4460"/>
        <item x="4550"/>
        <item x="2210"/>
        <item x="4354"/>
        <item x="2614"/>
        <item x="3068"/>
        <item x="1565"/>
        <item x="1529"/>
        <item x="3463"/>
        <item x="3115"/>
        <item x="2565"/>
        <item x="336"/>
        <item x="1384"/>
        <item x="3017"/>
        <item x="216"/>
        <item x="3630"/>
        <item x="3552"/>
        <item x="819"/>
        <item x="3781"/>
        <item x="2152"/>
        <item x="3152"/>
        <item x="1371"/>
        <item x="2371"/>
        <item x="2941"/>
        <item x="4393"/>
        <item x="1044"/>
        <item x="2573"/>
        <item x="2436"/>
        <item x="2527"/>
        <item x="704"/>
        <item x="835"/>
        <item x="1292"/>
        <item x="1795"/>
        <item x="3786"/>
        <item x="2174"/>
        <item x="4583"/>
        <item x="756"/>
        <item x="4451"/>
        <item x="3116"/>
        <item x="4651"/>
        <item x="4273"/>
        <item x="408"/>
        <item x="4751"/>
        <item x="847"/>
        <item x="268"/>
        <item x="975"/>
        <item x="4280"/>
        <item x="304"/>
        <item x="874"/>
        <item x="3724"/>
        <item x="4012"/>
        <item x="1810"/>
        <item x="1421"/>
        <item x="425"/>
        <item x="4312"/>
        <item x="4672"/>
        <item x="2960"/>
        <item x="2766"/>
        <item x="1672"/>
        <item x="3719"/>
        <item x="3562"/>
        <item x="1687"/>
        <item x="3018"/>
        <item x="3801"/>
        <item x="1930"/>
        <item x="2091"/>
        <item x="1993"/>
        <item x="3236"/>
        <item x="2549"/>
        <item x="1007"/>
        <item x="4752"/>
        <item x="2286"/>
        <item x="778"/>
        <item x="3514"/>
        <item x="4049"/>
        <item x="4179"/>
        <item x="3946"/>
        <item x="2744"/>
        <item x="3349"/>
        <item x="2816"/>
        <item x="3885"/>
        <item x="4231"/>
        <item x="4169"/>
        <item x="4514"/>
        <item x="3905"/>
        <item x="725"/>
        <item x="941"/>
        <item x="4180"/>
        <item x="2367"/>
        <item x="3642"/>
        <item x="2385"/>
        <item x="2933"/>
        <item x="685"/>
        <item x="1025"/>
        <item x="2896"/>
        <item x="1134"/>
        <item x="2084"/>
        <item x="263"/>
        <item x="1347"/>
        <item x="3796"/>
        <item x="432"/>
        <item x="3372"/>
        <item x="2241"/>
        <item x="4337"/>
        <item x="4224"/>
        <item x="3582"/>
        <item x="3162"/>
        <item x="2934"/>
        <item x="4622"/>
        <item x="1262"/>
        <item x="1850"/>
        <item x="2456"/>
        <item x="3270"/>
        <item x="1056"/>
        <item x="3320"/>
        <item x="1280"/>
        <item x="3712"/>
        <item x="2242"/>
        <item x="202"/>
        <item x="4394"/>
        <item x="4623"/>
        <item x="3379"/>
        <item x="4338"/>
        <item x="2566"/>
        <item x="4863"/>
        <item x="2480"/>
        <item x="1818"/>
        <item x="4371"/>
        <item x="3136"/>
        <item x="3862"/>
        <item x="2417"/>
        <item x="4501"/>
        <item x="2461"/>
        <item x="4283"/>
        <item x="732"/>
        <item x="1944"/>
        <item x="2194"/>
        <item x="1475"/>
        <item x="0"/>
        <item x="679"/>
        <item x="1090"/>
        <item x="359"/>
        <item x="4954"/>
        <item x="4864"/>
        <item x="2211"/>
        <item x="667"/>
        <item x="2175"/>
        <item x="1994"/>
        <item x="2140"/>
        <item x="686"/>
        <item x="3982"/>
        <item x="3043"/>
        <item x="3824"/>
        <item x="3841"/>
        <item x="1598"/>
        <item x="908"/>
        <item x="3364"/>
        <item x="269"/>
        <item x="4362"/>
        <item x="1566"/>
        <item x="1241"/>
        <item x="4378"/>
        <item x="3044"/>
        <item x="2176"/>
        <item x="396"/>
        <item x="484"/>
        <item x="1002"/>
        <item x="2942"/>
        <item x="397"/>
        <item x="8"/>
        <item x="1385"/>
        <item x="3312"/>
        <item x="4964"/>
        <item x="1452"/>
        <item x="2782"/>
        <item x="1084"/>
        <item x="2599"/>
        <item x="4041"/>
        <item x="3809"/>
        <item x="4832"/>
        <item x="909"/>
        <item x="1760"/>
        <item x="409"/>
        <item x="1430"/>
        <item x="3501"/>
        <item x="4036"/>
        <item x="161"/>
        <item x="4395"/>
        <item x="2727"/>
        <item x="3767"/>
        <item x="1164"/>
        <item x="1995"/>
        <item x="1920"/>
        <item x="3787"/>
        <item x="751"/>
        <item x="1541"/>
        <item x="440"/>
        <item x="2558"/>
        <item x="1969"/>
        <item x="4372"/>
        <item x="1057"/>
        <item x="586"/>
        <item x="2702"/>
        <item x="2064"/>
        <item x="2177"/>
        <item x="2623"/>
        <item x="3694"/>
        <item x="3782"/>
        <item x="3275"/>
        <item x="1634"/>
        <item x="1987"/>
        <item x="3810"/>
        <item x="3631"/>
        <item x="1435"/>
        <item x="2338"/>
        <item x="2121"/>
        <item x="2248"/>
        <item x="141"/>
        <item x="1058"/>
        <item x="4417"/>
        <item x="2085"/>
        <item x="2721"/>
        <item x="2122"/>
        <item x="1887"/>
        <item x="1035"/>
        <item x="3425"/>
        <item x="4320"/>
        <item x="764"/>
        <item x="2185"/>
        <item x="3802"/>
        <item x="3105"/>
        <item x="2283"/>
        <item x="1364"/>
        <item x="2996"/>
        <item x="1752"/>
        <item x="4441"/>
        <item x="1978"/>
        <item x="1580"/>
        <item x="1688"/>
        <item x="4955"/>
        <item x="383"/>
        <item x="4313"/>
        <item x="3197"/>
        <item x="948"/>
        <item x="3891"/>
        <item x="2798"/>
        <item x="2368"/>
        <item x="1945"/>
        <item x="2903"/>
        <item x="2115"/>
        <item x="2847"/>
        <item x="1605"/>
        <item x="4842"/>
        <item x="2424"/>
        <item x="3276"/>
        <item x="3831"/>
        <item x="1811"/>
        <item x="2925"/>
        <item x="71"/>
        <item x="4427"/>
        <item x="4290"/>
        <item x="2690"/>
        <item x="4806"/>
        <item x="3106"/>
        <item x="3736"/>
        <item x="2372"/>
        <item x="2462"/>
        <item x="2550"/>
        <item x="1827"/>
        <item x="826"/>
        <item x="120"/>
        <item x="4314"/>
        <item x="102"/>
        <item x="4265"/>
        <item x="982"/>
        <item x="4934"/>
        <item x="3019"/>
        <item x="1836"/>
        <item x="4256"/>
        <item x="187"/>
        <item x="1191"/>
        <item x="256"/>
        <item x="1204"/>
        <item x="3485"/>
        <item x="4843"/>
        <item x="1480"/>
        <item x="1646"/>
        <item x="418"/>
        <item x="949"/>
        <item x="4764"/>
        <item x="4657"/>
        <item x="3832"/>
        <item x="93"/>
        <item x="765"/>
        <item x="322"/>
        <item x="2802"/>
        <item x="94"/>
        <item x="4965"/>
        <item x="3673"/>
        <item x="1988"/>
        <item x="3871"/>
        <item x="3833"/>
        <item x="1979"/>
        <item x="4110"/>
        <item x="843"/>
        <item x="193"/>
        <item x="2443"/>
        <item x="961"/>
        <item x="3725"/>
        <item x="2099"/>
        <item x="344"/>
        <item x="1205"/>
        <item x="1139"/>
        <item x="2305"/>
        <item x="1460"/>
        <item x="3664"/>
        <item x="1165"/>
        <item x="560"/>
        <item x="1796"/>
        <item x="533"/>
        <item x="4157"/>
        <item x="786"/>
        <item x="462"/>
        <item x="1777"/>
        <item x="2195"/>
        <item x="3380"/>
        <item x="512"/>
        <item x="726"/>
        <item x="1622"/>
        <item x="1505"/>
        <item x="1772"/>
        <item x="2196"/>
        <item x="1575"/>
        <item x="4396"/>
        <item x="4208"/>
        <item x="1805"/>
        <item x="4086"/>
        <item x="337"/>
        <item x="3117"/>
        <item x="4132"/>
        <item x="3394"/>
        <item x="3834"/>
        <item x="2236"/>
        <item x="1003"/>
        <item x="2276"/>
        <item x="248"/>
        <item x="1902"/>
        <item x="3026"/>
        <item x="2667"/>
        <item x="47"/>
        <item x="477"/>
        <item x="3444"/>
        <item x="1469"/>
        <item x="2574"/>
        <item x="4477"/>
        <item x="4758"/>
        <item x="4714"/>
        <item x="323"/>
        <item x="3365"/>
        <item x="1461"/>
        <item x="2722"/>
        <item x="711"/>
        <item x="264"/>
        <item x="4326"/>
        <item x="844"/>
        <item x="2249"/>
        <item x="2888"/>
        <item x="3464"/>
        <item x="4209"/>
        <item x="1548"/>
        <item x="4262"/>
        <item x="376"/>
        <item x="2055"/>
        <item x="147"/>
        <item x="976"/>
        <item x="4631"/>
        <item x="1787"/>
        <item x="3726"/>
        <item x="3198"/>
        <item x="2437"/>
        <item x="4568"/>
        <item x="4315"/>
        <item x="3426"/>
        <item x="4571"/>
        <item x="129"/>
        <item x="779"/>
        <item x="4723"/>
        <item x="2624"/>
        <item x="3892"/>
        <item x="4899"/>
        <item x="3401"/>
        <item x="3427"/>
        <item x="297"/>
        <item x="1415"/>
        <item x="1616"/>
        <item x="3211"/>
        <item x="48"/>
        <item x="4966"/>
        <item x="2982"/>
        <item x="2123"/>
        <item x="1970"/>
        <item x="2961"/>
        <item x="4327"/>
        <item x="2735"/>
        <item x="4461"/>
        <item x="900"/>
        <item x="1837"/>
        <item x="2072"/>
        <item x="3925"/>
        <item x="4600"/>
        <item x="1242"/>
        <item x="923"/>
        <item x="668"/>
        <item x="1408"/>
        <item x="3143"/>
        <item x="1121"/>
        <item x="1219"/>
        <item x="1491"/>
        <item x="861"/>
        <item x="279"/>
        <item x="290"/>
        <item x="3842"/>
        <item x="1098"/>
        <item x="2178"/>
        <item x="766"/>
        <item x="1936"/>
        <item x="3583"/>
        <item x="910"/>
        <item x="194"/>
        <item x="553"/>
        <item x="787"/>
        <item x="687"/>
        <item x="3599"/>
        <item x="1114"/>
        <item x="3525"/>
        <item x="4865"/>
        <item x="4844"/>
        <item x="2145"/>
        <item x="561"/>
        <item x="2394"/>
        <item x="2086"/>
        <item x="1126"/>
        <item x="1099"/>
        <item x="2516"/>
        <item x="956"/>
        <item x="1372"/>
        <item x="3849"/>
        <item x="242"/>
        <item x="4792"/>
        <item x="1512"/>
        <item x="4000"/>
        <item x="2284"/>
        <item x="1931"/>
        <item x="2507"/>
        <item x="1513"/>
        <item x="4662"/>
        <item x="3659"/>
        <item x="1861"/>
        <item x="2848"/>
        <item x="4881"/>
        <item x="1737"/>
        <item x="767"/>
        <item x="991"/>
        <item x="2492"/>
        <item x="4111"/>
        <item x="3350"/>
        <item x="2897"/>
        <item x="4188"/>
        <item x="168"/>
        <item x="1778"/>
        <item x="1862"/>
        <item x="2783"/>
        <item x="3437"/>
        <item x="4890"/>
        <item x="4724"/>
        <item x="3568"/>
        <item x="3160"/>
        <item x="3502"/>
        <item x="1492"/>
        <item x="2615"/>
        <item x="2803"/>
        <item x="3395"/>
        <item x="3530"/>
        <item x="3465"/>
        <item x="605"/>
        <item x="513"/>
        <item x="2790"/>
        <item x="3248"/>
        <item x="3609"/>
        <item x="1237"/>
        <item x="4584"/>
        <item x="4054"/>
        <item x="971"/>
        <item x="203"/>
        <item x="2258"/>
        <item x="1045"/>
        <item x="4339"/>
        <item x="308"/>
        <item x="4715"/>
        <item x="733"/>
        <item x="2141"/>
        <item x="534"/>
        <item x="3914"/>
        <item x="1753"/>
        <item x="2463"/>
        <item x="4112"/>
        <item x="4506"/>
        <item x="3373"/>
        <item x="1359"/>
        <item x="4935"/>
        <item x="901"/>
        <item x="3331"/>
        <item x="3843"/>
        <item x="1148"/>
        <item x="693"/>
        <item x="4291"/>
        <item x="599"/>
        <item x="2714"/>
        <item x="2045"/>
        <item x="4813"/>
        <item x="1268"/>
        <item x="246"/>
        <item x="977"/>
        <item x="535"/>
        <item x="1069"/>
        <item x="4845"/>
        <item x="4410"/>
        <item x="3428"/>
        <item x="3893"/>
        <item x="3615"/>
        <item x="2772"/>
        <item x="2585"/>
        <item x="1222"/>
        <item x="4386"/>
        <item x="13"/>
        <item x="4710"/>
        <item x="3959"/>
        <item x="1281"/>
        <item x="3402"/>
        <item x="1535"/>
        <item x="3569"/>
        <item x="1881"/>
        <item x="1989"/>
        <item x="3757"/>
        <item x="4765"/>
        <item x="2849"/>
        <item x="1921"/>
        <item x="800"/>
        <item x="629"/>
        <item x="2243"/>
        <item x="3263"/>
        <item x="694"/>
        <item x="249"/>
        <item x="2762"/>
        <item x="72"/>
        <item x="630"/>
        <item x="4996"/>
        <item x="1712"/>
        <item x="2328"/>
        <item x="4766"/>
        <item x="2349"/>
        <item x="4331"/>
        <item x="669"/>
        <item x="1107"/>
        <item x="2773"/>
        <item x="4866"/>
        <item x="1135"/>
        <item x="514"/>
        <item x="4013"/>
        <item x="3292"/>
        <item x="768"/>
        <item x="222"/>
        <item x="2317"/>
        <item x="4014"/>
        <item x="4071"/>
        <item x="195"/>
        <item x="4403"/>
        <item x="2341"/>
        <item x="659"/>
        <item x="1312"/>
        <item x="705"/>
        <item x="788"/>
        <item x="1070"/>
        <item x="4099"/>
        <item x="2679"/>
        <item x="4050"/>
        <item x="4257"/>
        <item x="2400"/>
        <item x="4515"/>
        <item x="1863"/>
        <item x="1223"/>
        <item x="2024"/>
        <item x="3933"/>
        <item x="4956"/>
        <item x="1521"/>
        <item x="695"/>
        <item x="739"/>
        <item x="3277"/>
        <item x="1180"/>
        <item x="3321"/>
        <item x="4065"/>
        <item x="4559"/>
        <item x="896"/>
        <item x="3706"/>
        <item x="4572"/>
        <item x="935"/>
        <item x="1971"/>
        <item x="2693"/>
        <item x="2728"/>
        <item x="1812"/>
        <item x="3872"/>
        <item x="4428"/>
        <item x="4917"/>
        <item x="4042"/>
        <item x="3049"/>
        <item x="324"/>
        <item x="1078"/>
        <item x="2600"/>
        <item x="3457"/>
        <item x="345"/>
        <item x="848"/>
        <item x="1046"/>
        <item x="4909"/>
        <item x="3660"/>
        <item x="1100"/>
        <item x="3703"/>
        <item x="2470"/>
        <item x="1530"/>
        <item x="398"/>
        <item x="1493"/>
        <item x="1514"/>
        <item x="3491"/>
        <item x="1040"/>
        <item x="2497"/>
        <item x="4814"/>
        <item x="1747"/>
        <item x="2536"/>
        <item x="60"/>
        <item x="4759"/>
        <item x="4442"/>
        <item x="3445"/>
        <item x="4901"/>
        <item x="4891"/>
        <item x="3466"/>
        <item x="3256"/>
        <item x="548"/>
        <item x="577"/>
        <item x="1393"/>
        <item x="2117"/>
        <item x="688"/>
        <item x="135"/>
        <item x="2277"/>
        <item x="4467"/>
        <item x="121"/>
        <item x="2567"/>
        <item x="680"/>
        <item x="3886"/>
        <item x="2244"/>
        <item x="1019"/>
        <item x="4718"/>
        <item x="309"/>
        <item x="2528"/>
        <item x="4539"/>
        <item x="4502"/>
        <item x="3458"/>
        <item x="760"/>
        <item x="2616"/>
        <item x="4072"/>
        <item x="4991"/>
        <item x="2375"/>
        <item x="4448"/>
        <item x="3045"/>
        <item x="1140"/>
        <item x="3713"/>
        <item x="95"/>
        <item x="485"/>
        <item x="1773"/>
        <item x="1922"/>
        <item x="4015"/>
        <item x="3366"/>
        <item x="1946"/>
        <item x="4300"/>
        <item x="3185"/>
        <item x="4210"/>
        <item x="793"/>
        <item x="4973"/>
        <item x="3737"/>
        <item x="3850"/>
        <item x="4418"/>
        <item x="3229"/>
        <item x="4833"/>
        <item x="1282"/>
        <item x="4174"/>
        <item x="1269"/>
        <item x="4683"/>
        <item x="2329"/>
        <item x="1115"/>
        <item x="204"/>
        <item x="4355"/>
        <item x="3403"/>
        <item x="1232"/>
        <item x="4867"/>
        <item x="4495"/>
        <item x="4037"/>
        <item x="522"/>
        <item x="4321"/>
        <item x="4175"/>
        <item x="2962"/>
        <item x="2197"/>
        <item x="1567"/>
        <item x="3446"/>
        <item x="3610"/>
        <item x="1923"/>
        <item x="1206"/>
        <item x="2325"/>
        <item x="2529"/>
        <item x="4152"/>
        <item x="3738"/>
        <item x="4936"/>
        <item x="3873"/>
        <item x="3203"/>
        <item x="3915"/>
        <item x="1689"/>
        <item x="1172"/>
        <item x="2854"/>
        <item x="4614"/>
        <item x="2153"/>
        <item x="855"/>
        <item x="4189"/>
        <item x="2481"/>
        <item x="173"/>
        <item x="4800"/>
        <item x="1153"/>
        <item x="2025"/>
        <item x="4200"/>
        <item x="3531"/>
        <item x="881"/>
        <item x="3600"/>
        <item x="3611"/>
        <item x="3739"/>
        <item x="571"/>
        <item x="217"/>
        <item x="2530"/>
        <item x="2186"/>
        <item x="670"/>
        <item x="2531"/>
        <item x="3947"/>
        <item x="1026"/>
        <item x="3579"/>
        <item x="3249"/>
        <item x="631"/>
        <item x="3107"/>
        <item x="2831"/>
        <item x="4147"/>
        <item x="2575"/>
        <item x="1819"/>
        <item x="4170"/>
        <item x="1961"/>
        <item x="4443"/>
        <item x="4181"/>
        <item x="3648"/>
        <item x="2729"/>
        <item x="1639"/>
        <item x="2904"/>
        <item x="3137"/>
        <item x="902"/>
        <item x="1333"/>
        <item x="882"/>
        <item x="4462"/>
        <item x="3803"/>
        <item x="196"/>
        <item x="2617"/>
        <item x="2997"/>
        <item x="4292"/>
        <item x="2632"/>
        <item x="1325"/>
        <item x="4868"/>
        <item x="1700"/>
        <item x="1326"/>
        <item x="1894"/>
        <item x="3074"/>
        <item x="4632"/>
        <item x="4244"/>
        <item x="3960"/>
        <item x="2425"/>
        <item x="1249"/>
        <item x="4624"/>
        <item x="1820"/>
        <item x="3351"/>
        <item x="88"/>
        <item x="3623"/>
        <item x="1352"/>
        <item x="4926"/>
        <item x="2969"/>
        <item x="2576"/>
        <item x="4607"/>
        <item x="2361"/>
        <item x="972"/>
        <item x="1416"/>
        <item x="712"/>
        <item x="4232"/>
        <item x="2056"/>
        <item x="2694"/>
        <item x="3740"/>
        <item x="3280"/>
        <item x="1224"/>
        <item x="2508"/>
        <item x="1813"/>
        <item x="3352"/>
        <item x="4266"/>
        <item x="4637"/>
        <item x="653"/>
        <item x="329"/>
        <item x="1404"/>
        <item x="3447"/>
        <item x="2267"/>
        <item x="523"/>
        <item x="1036"/>
        <item x="122"/>
        <item x="1166"/>
        <item x="827"/>
        <item x="2073"/>
        <item x="1522"/>
        <item x="2824"/>
        <item x="3532"/>
        <item x="2010"/>
        <item x="3020"/>
        <item x="1895"/>
        <item x="1738"/>
        <item x="1576"/>
        <item x="828"/>
        <item x="3438"/>
        <item x="2537"/>
        <item x="3768"/>
        <item x="1962"/>
        <item x="4087"/>
        <item x="3204"/>
        <item x="370"/>
        <item x="419"/>
        <item x="4725"/>
        <item x="2449"/>
        <item x="2074"/>
        <item x="2118"/>
        <item x="453"/>
        <item x="1417"/>
        <item x="4678"/>
        <item x="4551"/>
        <item x="1937"/>
        <item x="1701"/>
        <item x="3381"/>
        <item x="3612"/>
        <item x="621"/>
        <item x="1293"/>
        <item x="2970"/>
        <item x="4472"/>
        <item x="3293"/>
        <item x="4301"/>
        <item x="2268"/>
        <item x="384"/>
        <item x="3205"/>
        <item x="291"/>
        <item x="3384"/>
        <item x="3467"/>
        <item x="2695"/>
        <item x="4815"/>
        <item x="2429"/>
        <item x="1299"/>
        <item x="1788"/>
        <item x="2001"/>
        <item x="2668"/>
        <item x="3835"/>
        <item x="284"/>
        <item x="3590"/>
        <item x="4233"/>
        <item x="794"/>
        <item x="3086"/>
        <item x="3863"/>
        <item x="2100"/>
        <item x="3388"/>
        <item x="142"/>
        <item x="1270"/>
        <item x="1004"/>
        <item x="2498"/>
        <item x="3758"/>
        <item x="1806"/>
        <item x="4601"/>
        <item x="4234"/>
        <item x="3921"/>
        <item x="1702"/>
        <item x="4274"/>
        <item x="1652"/>
        <item x="4363"/>
        <item x="2057"/>
        <item x="1101"/>
        <item x="4043"/>
        <item x="2869"/>
        <item x="4055"/>
        <item x="2580"/>
        <item x="346"/>
        <item x="646"/>
        <item x="3934"/>
        <item x="1617"/>
        <item x="1869"/>
        <item x="3281"/>
        <item x="2736"/>
        <item x="1181"/>
        <item x="4645"/>
        <item x="3358"/>
        <item x="1947"/>
        <item x="4201"/>
        <item x="2791"/>
        <item x="1422"/>
        <item x="3492"/>
        <item x="769"/>
        <item x="1523"/>
        <item x="4115"/>
        <item x="4141"/>
        <item x="4121"/>
        <item x="4778"/>
        <item x="632"/>
        <item x="1828"/>
        <item x="2523"/>
        <item x="849"/>
        <item x="3282"/>
        <item x="4316"/>
        <item x="1423"/>
        <item x="3727"/>
        <item x="4957"/>
        <item x="1398"/>
        <item x="4247"/>
        <item x="4882"/>
        <item x="4892"/>
        <item x="3684"/>
        <item x="2870"/>
        <item x="992"/>
        <item x="2745"/>
        <item x="3219"/>
        <item x="2013"/>
        <item x="2130"/>
        <item x="2165"/>
        <item x="2998"/>
        <item x="1486"/>
        <item x="578"/>
        <item x="2881"/>
        <item x="554"/>
        <item x="1724"/>
        <item x="4869"/>
        <item x="2146"/>
        <item x="4478"/>
        <item x="1167"/>
        <item x="2033"/>
        <item x="647"/>
        <item x="1271"/>
        <item x="2426"/>
        <item x="1681"/>
        <item x="2262"/>
        <item x="4190"/>
        <item x="492"/>
        <item x="1854"/>
        <item x="1568"/>
        <item x="1690"/>
        <item x="1635"/>
        <item x="1348"/>
        <item x="3515"/>
        <item x="4573"/>
        <item x="3087"/>
        <item x="493"/>
        <item x="3439"/>
        <item x="4198"/>
        <item x="3167"/>
        <item x="3788"/>
        <item x="4171"/>
        <item x="2092"/>
        <item x="294"/>
        <item x="14"/>
        <item x="3374"/>
        <item x="338"/>
        <item x="2882"/>
        <item x="555"/>
        <item x="836"/>
        <item x="3674"/>
        <item x="2551"/>
        <item x="1531"/>
        <item x="3138"/>
        <item x="347"/>
        <item x="2607"/>
        <item x="390"/>
        <item x="3789"/>
        <item x="2039"/>
        <item x="2237"/>
        <item x="2218"/>
        <item x="1618"/>
        <item x="3075"/>
        <item x="2124"/>
        <item x="2179"/>
        <item x="3046"/>
        <item x="2203"/>
        <item x="3076"/>
        <item x="3653"/>
        <item x="2950"/>
        <item x="4122"/>
        <item x="2517"/>
        <item x="1144"/>
        <item x="3088"/>
        <item x="556"/>
        <item x="2836"/>
        <item x="3548"/>
        <item x="4258"/>
        <item x="1424"/>
        <item x="1623"/>
        <item x="524"/>
        <item x="2245"/>
        <item x="3533"/>
        <item x="3186"/>
        <item x="3220"/>
        <item x="2883"/>
        <item x="3818"/>
        <item x="3825"/>
        <item x="3173"/>
        <item x="1418"/>
        <item x="924"/>
        <item x="648"/>
        <item x="2518"/>
        <item x="1409"/>
        <item x="1515"/>
        <item x="3396"/>
        <item x="4943"/>
        <item x="734"/>
        <item x="2065"/>
        <item x="4992"/>
        <item x="4126"/>
        <item x="4993"/>
        <item x="1020"/>
        <item x="2066"/>
        <item x="3299"/>
        <item x="1225"/>
        <item x="2198"/>
        <item x="3534"/>
        <item x="4767"/>
        <item x="4088"/>
        <item x="654"/>
        <item x="1173"/>
        <item x="4026"/>
        <item x="3353"/>
        <item x="3454"/>
        <item x="2101"/>
        <item x="813"/>
        <item x="4918"/>
        <item x="4496"/>
        <item x="638"/>
        <item x="2669"/>
        <item x="2278"/>
        <item x="1829"/>
        <item x="4711"/>
        <item x="3864"/>
        <item x="4463"/>
        <item x="4828"/>
        <item x="3418"/>
        <item x="4182"/>
        <item x="3685"/>
        <item x="2075"/>
        <item x="2746"/>
        <item x="2011"/>
        <item x="2263"/>
        <item x="4332"/>
        <item x="3448"/>
        <item x="3126"/>
        <item x="2703"/>
        <item x="3077"/>
        <item x="2067"/>
        <item x="2538"/>
        <item x="2539"/>
        <item x="1243"/>
        <item x="3707"/>
        <item x="1192"/>
        <item x="2935"/>
        <item x="1916"/>
        <item x="2963"/>
        <item x="310"/>
        <item x="4585"/>
        <item x="1864"/>
        <item x="1556"/>
        <item x="1425"/>
        <item x="1174"/>
        <item x="109"/>
        <item x="820"/>
        <item x="1021"/>
        <item x="4927"/>
        <item x="3811"/>
        <item x="2499"/>
        <item x="1360"/>
        <item x="1334"/>
        <item x="292"/>
        <item x="4317"/>
        <item x="433"/>
        <item x="877"/>
        <item x="2408"/>
        <item x="3632"/>
        <item x="4870"/>
        <item x="1636"/>
        <item x="4284"/>
        <item x="2409"/>
        <item x="2102"/>
        <item x="4646"/>
        <item x="2318"/>
        <item x="230"/>
        <item x="1250"/>
        <item x="1193"/>
        <item x="4419"/>
        <item x="274"/>
        <item x="4883"/>
        <item x="2715"/>
        <item x="1462"/>
        <item x="1127"/>
        <item x="1888"/>
        <item x="3322"/>
        <item x="3050"/>
        <item x="1996"/>
        <item x="3429"/>
        <item x="174"/>
        <item x="4191"/>
        <item x="73"/>
        <item x="655"/>
        <item x="2989"/>
        <item x="472"/>
        <item x="298"/>
        <item x="2471"/>
        <item x="399"/>
        <item x="454"/>
        <item x="3728"/>
        <item x="505"/>
        <item x="9"/>
        <item x="4497"/>
        <item x="2767"/>
        <item x="3359"/>
        <item x="2287"/>
        <item x="1419"/>
        <item x="3563"/>
        <item x="1436"/>
        <item x="1476"/>
        <item x="3367"/>
        <item x="3591"/>
        <item x="2264"/>
        <item x="4516"/>
        <item x="2696"/>
        <item x="2577"/>
        <item x="587"/>
        <item x="494"/>
        <item x="2855"/>
        <item x="4487"/>
        <item x="4829"/>
        <item x="2212"/>
        <item x="3993"/>
        <item x="4871"/>
        <item x="3375"/>
        <item x="1532"/>
        <item x="1855"/>
        <item x="4608"/>
        <item x="515"/>
        <item x="3187"/>
        <item x="1008"/>
        <item x="821"/>
        <item x="543"/>
        <item x="2871"/>
        <item x="4684"/>
        <item x="1463"/>
        <item x="4158"/>
        <item x="2147"/>
        <item x="1876"/>
        <item x="4397"/>
        <item x="2594"/>
        <item x="2453"/>
        <item x="1128"/>
        <item x="1102"/>
        <item x="2131"/>
        <item x="4259"/>
        <item x="4488"/>
        <item x="1647"/>
        <item x="2540"/>
        <item x="1506"/>
        <item x="4105"/>
        <item x="3130"/>
        <item x="807"/>
        <item x="1821"/>
        <item x="2430"/>
        <item x="1814"/>
        <item x="588"/>
        <item x="2670"/>
        <item x="614"/>
        <item x="110"/>
        <item x="2353"/>
        <item x="84"/>
        <item x="3926"/>
        <item x="1085"/>
        <item x="4793"/>
        <item x="3772"/>
        <item x="3089"/>
        <item x="1394"/>
        <item x="4322"/>
        <item x="3360"/>
        <item x="2386"/>
        <item x="1903"/>
        <item x="2087"/>
        <item x="1194"/>
        <item x="4696"/>
        <item x="4947"/>
        <item x="4016"/>
        <item x="1648"/>
        <item x="3654"/>
        <item x="223"/>
        <item x="2116"/>
        <item x="926"/>
        <item x="4235"/>
        <item x="4768"/>
        <item x="1027"/>
        <item x="3459"/>
        <item x="3790"/>
        <item x="3038"/>
        <item x="2595"/>
        <item x="1341"/>
        <item x="1896"/>
        <item x="2914"/>
        <item x="3174"/>
        <item x="4716"/>
        <item x="4801"/>
        <item x="4663"/>
        <item x="3346"/>
        <item x="3983"/>
        <item x="1789"/>
        <item x="4080"/>
        <item x="2410"/>
        <item x="1145"/>
        <item x="1963"/>
        <item x="4183"/>
        <item x="927"/>
        <item x="3503"/>
        <item x="3564"/>
        <item x="3271"/>
        <item x="1606"/>
        <item x="2148"/>
        <item x="311"/>
        <item x="2026"/>
        <item x="3961"/>
        <item x="1327"/>
        <item x="495"/>
        <item x="2199"/>
        <item x="3976"/>
        <item x="2759"/>
        <item x="155"/>
        <item x="3477"/>
        <item x="4479"/>
        <item x="38"/>
        <item x="1091"/>
        <item x="2330"/>
        <item x="3686"/>
        <item x="3244"/>
        <item x="962"/>
        <item x="1822"/>
        <item x="1175"/>
        <item x="1599"/>
        <item x="1481"/>
        <item x="2279"/>
        <item x="2238"/>
        <item x="3636"/>
        <item x="1948"/>
        <item x="2354"/>
        <item x="2438"/>
        <item x="2096"/>
        <item x="3078"/>
        <item x="4333"/>
        <item x="1263"/>
        <item x="434"/>
        <item x="963"/>
        <item x="562"/>
        <item x="4429"/>
        <item x="3478"/>
        <item x="1815"/>
        <item x="1437"/>
        <item x="1012"/>
        <item x="4531"/>
        <item x="3984"/>
        <item x="3059"/>
        <item x="1122"/>
        <item x="353"/>
        <item x="3455"/>
        <item x="1182"/>
        <item x="4679"/>
        <item x="837"/>
        <item x="2657"/>
        <item x="4373"/>
        <item x="4705"/>
        <item x="3504"/>
        <item x="3300"/>
        <item x="814"/>
        <item x="1136"/>
        <item x="3245"/>
        <item x="2046"/>
        <item x="4846"/>
        <item x="2269"/>
        <item x="1713"/>
        <item x="815"/>
        <item x="4547"/>
        <item x="10"/>
        <item x="3323"/>
        <item x="795"/>
        <item x="3902"/>
        <item x="4285"/>
        <item x="1990"/>
        <item x="957"/>
        <item x="130"/>
        <item x="1673"/>
        <item x="4430"/>
        <item x="1980"/>
        <item x="4094"/>
        <item x="525"/>
        <item x="770"/>
        <item x="928"/>
        <item x="681"/>
        <item x="4116"/>
        <item x="1917"/>
        <item x="3616"/>
        <item x="3264"/>
        <item x="950"/>
        <item x="4902"/>
        <item x="1889"/>
        <item x="549"/>
        <item x="2225"/>
        <item x="1041"/>
        <item x="2559"/>
        <item x="2825"/>
        <item x="2625"/>
        <item x="1431"/>
        <item x="4540"/>
        <item x="2418"/>
        <item x="1696"/>
        <item x="1674"/>
        <item x="1542"/>
        <item x="1981"/>
        <item x="4489"/>
        <item x="218"/>
        <item x="3278"/>
        <item x="2898"/>
        <item x="4602"/>
        <item x="1754"/>
        <item x="2270"/>
        <item x="2342"/>
        <item x="3649"/>
        <item x="1251"/>
        <item x="942"/>
        <item x="4701"/>
        <item x="4903"/>
        <item x="2510"/>
        <item x="2419"/>
        <item x="3774"/>
        <item x="3553"/>
        <item x="169"/>
        <item x="1028"/>
        <item x="312"/>
        <item x="1047"/>
        <item x="862"/>
        <item x="4468"/>
        <item x="2187"/>
        <item x="4872"/>
        <item x="2792"/>
        <item x="1733"/>
        <item x="1549"/>
        <item x="1129"/>
        <item x="4664"/>
        <item x="4673"/>
        <item x="3549"/>
        <item x="61"/>
        <item x="3505"/>
        <item x="4127"/>
        <item x="1909"/>
        <item x="420"/>
        <item x="2837"/>
        <item x="4347"/>
        <item x="1294"/>
        <item x="3283"/>
        <item x="752"/>
        <item x="4834"/>
        <item x="2002"/>
        <item x="2427"/>
        <item x="25"/>
        <item x="455"/>
        <item x="305"/>
        <item x="4928"/>
        <item x="1086"/>
        <item x="4737"/>
        <item x="3540"/>
        <item x="3729"/>
        <item x="4017"/>
        <item x="2373"/>
        <item x="2343"/>
        <item x="3826"/>
        <item x="682"/>
        <item x="82"/>
        <item x="4609"/>
        <item x="1195"/>
        <item x="3313"/>
        <item x="2034"/>
        <item x="1761"/>
        <item x="1543"/>
        <item x="958"/>
        <item x="4056"/>
        <item x="1507"/>
        <item x="156"/>
        <item x="2161"/>
        <item x="1444"/>
        <item x="890"/>
        <item x="74"/>
        <item x="1949"/>
        <item x="3584"/>
        <item x="2658"/>
        <item x="3486"/>
        <item x="2319"/>
        <item x="4364"/>
        <item x="3033"/>
        <item x="3519"/>
        <item x="2951"/>
        <item x="4937"/>
        <item x="3212"/>
        <item x="660"/>
        <item x="3617"/>
        <item x="3570"/>
        <item x="1640"/>
        <item x="2723"/>
        <item x="856"/>
        <item x="4469"/>
        <item x="838"/>
        <item x="2472"/>
        <item x="3535"/>
        <item x="3206"/>
        <item x="816"/>
        <item x="1071"/>
        <item x="2320"/>
        <item x="4574"/>
        <item x="4958"/>
        <item x="2905"/>
        <item x="4044"/>
        <item x="1005"/>
        <item x="4802"/>
        <item x="3246"/>
        <item x="1059"/>
        <item x="3887"/>
        <item x="231"/>
        <item x="3804"/>
        <item x="2420"/>
        <item x="2374"/>
        <item x="4835"/>
        <item x="4910"/>
        <item x="2641"/>
        <item x="1950"/>
        <item x="2838"/>
        <item x="3131"/>
        <item x="622"/>
        <item x="275"/>
        <item x="4507"/>
        <item x="1550"/>
        <item x="32"/>
        <item x="1233"/>
        <item x="863"/>
        <item x="3994"/>
        <item x="4159"/>
        <item x="1283"/>
        <item x="4018"/>
        <item x="1704"/>
        <item x="2999"/>
        <item x="3948"/>
        <item x="2906"/>
        <item x="3079"/>
        <item x="3497"/>
        <item x="3332"/>
        <item x="75"/>
        <item x="1641"/>
        <item x="1705"/>
        <item x="1551"/>
        <item x="3812"/>
        <item x="3051"/>
        <item x="1972"/>
        <item x="717"/>
        <item x="2355"/>
        <item x="2983"/>
        <item x="3851"/>
        <item x="1516"/>
        <item x="951"/>
        <item x="4213"/>
        <item x="1234"/>
        <item x="3665"/>
        <item x="1487"/>
        <item x="2920"/>
        <item x="3536"/>
        <item x="4267"/>
        <item x="270"/>
        <item x="4142"/>
        <item x="2928"/>
        <item x="1675"/>
        <item x="883"/>
        <item x="2856"/>
        <item x="3769"/>
        <item x="589"/>
        <item x="3585"/>
        <item x="3108"/>
        <item x="3836"/>
        <item x="4769"/>
        <item x="103"/>
        <item x="1682"/>
        <item x="1739"/>
        <item x="1349"/>
        <item x="1779"/>
        <item x="1607"/>
        <item x="4560"/>
        <item x="2784"/>
        <item x="2785"/>
        <item x="1581"/>
        <item x="4455"/>
        <item x="3819"/>
        <item x="4929"/>
        <item x="2411"/>
        <item x="2889"/>
        <item x="2239"/>
        <item x="2058"/>
        <item x="85"/>
        <item x="400"/>
        <item x="3144"/>
        <item x="2552"/>
        <item x="1410"/>
        <item x="1013"/>
        <item x="2035"/>
        <item x="4794"/>
        <item x="4997"/>
        <item x="2697"/>
        <item x="4847"/>
        <item x="3791"/>
        <item x="713"/>
        <item x="285"/>
        <item x="286"/>
        <item x="1108"/>
        <item x="3080"/>
        <item x="1797"/>
        <item x="2730"/>
        <item x="3060"/>
        <item x="590"/>
        <item x="2716"/>
        <item x="2601"/>
        <item x="1426"/>
        <item x="4143"/>
        <item x="4615"/>
        <item x="2659"/>
        <item x="3339"/>
        <item x="1600"/>
        <item x="1703"/>
        <item x="1399"/>
        <item x="761"/>
        <item x="1653"/>
        <item x="4726"/>
        <item x="52"/>
        <item x="1740"/>
        <item x="4452"/>
        <item x="3601"/>
        <item x="1365"/>
        <item x="1748"/>
        <item x="671"/>
        <item x="1557"/>
        <item x="2162"/>
        <item x="4019"/>
        <item x="4665"/>
        <item x="4647"/>
        <item x="2929"/>
        <item x="2226"/>
        <item x="1146"/>
        <item x="986"/>
        <item x="3340"/>
        <item x="1924"/>
        <item x="2943"/>
        <item x="2826"/>
        <item x="1212"/>
        <item x="1624"/>
        <item x="3708"/>
        <item x="3109"/>
        <item x="2704"/>
        <item x="2246"/>
        <item x="2166"/>
        <item x="516"/>
        <item x="1006"/>
        <item x="2331"/>
        <item x="148"/>
        <item x="3666"/>
        <item x="306"/>
        <item x="2180"/>
        <item x="1498"/>
        <item x="1577"/>
        <item x="1842"/>
        <item x="4176"/>
        <item x="1453"/>
        <item x="2747"/>
        <item x="371"/>
        <item x="3637"/>
        <item x="188"/>
        <item x="348"/>
        <item x="1303"/>
        <item x="1582"/>
        <item x="4387"/>
        <item x="3730"/>
        <item x="123"/>
        <item x="993"/>
        <item x="2059"/>
        <item x="4712"/>
        <item x="4948"/>
        <item x="3061"/>
        <item x="4532"/>
        <item x="1366"/>
        <item x="897"/>
        <item x="3027"/>
        <item x="3034"/>
        <item x="1373"/>
        <item x="62"/>
        <item x="2142"/>
        <item x="496"/>
        <item x="1109"/>
        <item x="1389"/>
        <item x="1335"/>
        <item x="4001"/>
        <item x="43"/>
        <item x="2839"/>
        <item x="4307"/>
        <item x="2344"/>
        <item x="4904"/>
        <item x="205"/>
        <item x="2944"/>
        <item x="3122"/>
        <item x="4911"/>
        <item x="1714"/>
        <item x="1072"/>
        <item x="2699"/>
        <item x="1260"/>
        <item x="2675"/>
        <item x="2132"/>
        <item x="1951"/>
        <item x="1524"/>
        <item x="4374"/>
        <item x="839"/>
        <item x="49"/>
        <item x="2737"/>
        <item x="473"/>
        <item x="2097"/>
        <item x="4919"/>
        <item x="2309"/>
        <item x="4490"/>
        <item x="3153"/>
        <item x="2786"/>
        <item x="2047"/>
        <item x="744"/>
        <item x="2339"/>
        <item x="4517"/>
        <item x="4821"/>
        <item x="1964"/>
        <item x="1973"/>
        <item x="1938"/>
        <item x="237"/>
        <item x="2975"/>
        <item x="4192"/>
        <item x="4822"/>
        <item x="1591"/>
        <item x="4133"/>
        <item x="401"/>
        <item x="1918"/>
        <item x="402"/>
        <item x="1974"/>
        <item x="2560"/>
        <item x="3498"/>
        <item x="2181"/>
        <item x="633"/>
        <item x="3541"/>
        <item x="1952"/>
        <item x="4727"/>
        <item x="197"/>
        <item x="2296"/>
        <item x="4974"/>
        <item x="4575"/>
        <item x="2482"/>
        <item x="2362"/>
        <item x="224"/>
        <item x="2553"/>
        <item x="2660"/>
        <item x="3565"/>
        <item x="3750"/>
        <item x="3294"/>
        <item x="2003"/>
        <item x="2840"/>
        <item x="3542"/>
        <item x="2857"/>
        <item x="2500"/>
        <item x="563"/>
        <item x="1149"/>
        <item x="2774"/>
        <item x="796"/>
        <item x="3295"/>
        <item x="2519"/>
        <item x="4603"/>
        <item x="3882"/>
        <item x="735"/>
        <item x="1284"/>
        <item x="4533"/>
        <item x="4666"/>
        <item x="198"/>
        <item x="2133"/>
        <item x="829"/>
        <item x="1103"/>
        <item x="4738"/>
        <item x="2213"/>
        <item x="830"/>
        <item x="936"/>
        <item x="696"/>
        <item x="4959"/>
        <item x="4404"/>
        <item x="1154"/>
        <item x="2088"/>
        <item x="1014"/>
        <item x="4586"/>
        <item x="136"/>
        <item x="2589"/>
        <item x="1328"/>
        <item x="943"/>
        <item x="1691"/>
        <item x="391"/>
        <item x="2532"/>
        <item x="2356"/>
        <item x="2602"/>
        <item x="3127"/>
        <item x="1196"/>
        <item x="2306"/>
        <item x="1321"/>
        <item x="3168"/>
        <item x="2858"/>
        <item x="606"/>
        <item x="4498"/>
        <item x="4286"/>
        <item x="1317"/>
        <item x="1150"/>
        <item x="1464"/>
        <item x="3844"/>
        <item x="3090"/>
        <item x="1235"/>
        <item x="206"/>
        <item x="3237"/>
        <item x="2125"/>
        <item x="89"/>
        <item x="3021"/>
        <item x="1411"/>
        <item x="3714"/>
        <item x="1213"/>
        <item x="1116"/>
        <item x="4134"/>
        <item x="3977"/>
        <item x="1925"/>
        <item x="3827"/>
        <item x="4855"/>
        <item x="325"/>
        <item x="435"/>
        <item x="4616"/>
        <item x="3618"/>
        <item x="4587"/>
        <item x="4588"/>
        <item x="929"/>
        <item x="456"/>
        <item x="1508"/>
        <item x="3675"/>
        <item x="2680"/>
        <item x="3333"/>
        <item x="3874"/>
        <item x="257"/>
        <item x="3334"/>
        <item x="1608"/>
        <item x="3592"/>
        <item x="4057"/>
        <item x="4106"/>
        <item x="4193"/>
        <item x="349"/>
        <item x="4836"/>
        <item x="672"/>
        <item x="4202"/>
        <item x="4508"/>
        <item x="2561"/>
        <item x="1790"/>
        <item x="2661"/>
        <item x="771"/>
        <item x="4388"/>
        <item x="3797"/>
        <item x="3404"/>
        <item x="4697"/>
        <item x="3775"/>
        <item x="1882"/>
        <item x="4594"/>
        <item x="1168"/>
        <item x="3047"/>
        <item x="18"/>
        <item x="3199"/>
        <item x="3906"/>
        <item x="1092"/>
        <item x="4595"/>
        <item x="360"/>
        <item x="3820"/>
        <item x="2608"/>
        <item x="2541"/>
        <item x="1336"/>
        <item x="1890"/>
        <item x="3731"/>
        <item x="4172"/>
        <item x="1060"/>
        <item x="3154"/>
        <item x="3091"/>
        <item x="1552"/>
        <item x="2182"/>
        <item x="1741"/>
        <item x="4552"/>
        <item x="2568"/>
        <item x="4713"/>
        <item x="3284"/>
        <item x="3746"/>
        <item x="4275"/>
        <item x="4225"/>
        <item x="3092"/>
        <item x="238"/>
        <item x="1664"/>
        <item x="1625"/>
        <item x="3307"/>
        <item x="2872"/>
        <item x="2227"/>
        <item x="3941"/>
        <item x="4905"/>
        <item x="3593"/>
        <item x="3985"/>
        <item x="3221"/>
        <item x="3139"/>
        <item x="1725"/>
        <item x="313"/>
        <item x="4625"/>
        <item x="2763"/>
        <item x="3389"/>
        <item x="3910"/>
        <item x="1910"/>
        <item x="2671"/>
        <item x="572"/>
        <item x="1353"/>
        <item x="463"/>
        <item x="1029"/>
        <item x="445"/>
        <item x="2143"/>
        <item x="1354"/>
        <item x="4760"/>
        <item x="4128"/>
        <item x="3265"/>
        <item x="1073"/>
        <item x="4129"/>
        <item x="959"/>
        <item x="2321"/>
        <item x="464"/>
        <item x="4975"/>
        <item x="2915"/>
        <item x="3410"/>
        <item x="1412"/>
        <item x="3052"/>
        <item x="1264"/>
        <item x="1932"/>
        <item x="53"/>
        <item x="497"/>
        <item x="1061"/>
        <item x="1997"/>
        <item x="2964"/>
        <item x="3272"/>
        <item x="3949"/>
        <item x="2633"/>
        <item x="2483"/>
        <item x="3213"/>
        <item x="2457"/>
        <item x="718"/>
        <item x="987"/>
        <item x="952"/>
        <item x="1197"/>
        <item x="162"/>
        <item x="517"/>
        <item x="2473"/>
        <item x="3962"/>
        <item x="1087"/>
        <item x="1329"/>
        <item x="2804"/>
        <item x="2254"/>
        <item x="189"/>
        <item x="2474"/>
        <item x="944"/>
        <item x="706"/>
        <item x="4652"/>
        <item x="3715"/>
        <item x="3554"/>
        <item x="1706"/>
        <item x="1742"/>
        <item x="1877"/>
        <item x="745"/>
        <item x="3883"/>
        <item x="1851"/>
        <item x="1982"/>
        <item x="2310"/>
        <item x="426"/>
        <item x="727"/>
        <item x="271"/>
        <item x="111"/>
        <item x="1583"/>
        <item x="3238"/>
        <item x="2060"/>
        <item x="4058"/>
        <item x="1285"/>
        <item x="4856"/>
        <item x="3741"/>
        <item x="3506"/>
        <item x="4524"/>
        <item x="163"/>
        <item x="2040"/>
        <item x="579"/>
        <item x="3493"/>
        <item x="314"/>
        <item x="4938"/>
        <item x="1037"/>
        <item x="2965"/>
        <item x="421"/>
        <item x="2542"/>
        <item x="1295"/>
        <item x="2311"/>
        <item x="4816"/>
        <item x="4248"/>
        <item x="2650"/>
        <item x="3288"/>
        <item x="3911"/>
        <item x="850"/>
        <item x="3922"/>
        <item x="801"/>
        <item x="1169"/>
        <item x="1286"/>
        <item x="96"/>
        <item x="361"/>
        <item x="4886"/>
        <item x="3566"/>
        <item x="4260"/>
        <item x="1062"/>
        <item x="736"/>
        <item x="797"/>
        <item x="3473"/>
        <item x="973"/>
        <item x="3742"/>
        <item x="2990"/>
        <item x="4803"/>
        <item x="280"/>
        <item x="1265"/>
        <item x="243"/>
        <item x="1852"/>
        <item x="4589"/>
        <item x="1038"/>
        <item x="2748"/>
        <item x="3852"/>
        <item x="1856"/>
        <item x="3385"/>
        <item x="580"/>
        <item x="617"/>
        <item x="4308"/>
        <item x="3301"/>
        <item x="4509"/>
        <item x="1659"/>
        <item x="4045"/>
        <item x="4220"/>
        <item x="4795"/>
        <item x="831"/>
        <item x="2376"/>
        <item x="3537"/>
        <item x="1743"/>
        <item x="757"/>
        <item x="2466"/>
        <item x="623"/>
        <item x="124"/>
        <item x="3239"/>
        <item x="4194"/>
        <item x="3347"/>
        <item x="851"/>
        <item x="564"/>
        <item x="4177"/>
        <item x="2377"/>
        <item x="3285"/>
        <item x="2764"/>
        <item x="983"/>
        <item x="3845"/>
        <item x="199"/>
        <item x="3828"/>
        <item x="4848"/>
        <item x="903"/>
        <item x="2421"/>
        <item x="3526"/>
        <item x="436"/>
        <item x="2167"/>
        <item x="661"/>
        <item x="4949"/>
        <item x="857"/>
        <item x="3759"/>
        <item x="465"/>
        <item x="506"/>
        <item x="3028"/>
        <item x="2676"/>
        <item x="4435"/>
        <item x="607"/>
        <item x="244"/>
        <item x="2188"/>
        <item x="2004"/>
        <item x="550"/>
        <item x="410"/>
        <item x="2817"/>
        <item x="2634"/>
        <item x="2005"/>
        <item x="1926"/>
        <item x="2288"/>
        <item x="2312"/>
        <item x="639"/>
        <item x="1445"/>
        <item x="4617"/>
        <item x="2134"/>
        <item x="3751"/>
        <item x="1470"/>
        <item x="441"/>
        <item x="1287"/>
        <item x="1244"/>
        <item x="3286"/>
        <item x="4893"/>
        <item x="2681"/>
        <item x="1637"/>
        <item x="1692"/>
        <item x="354"/>
        <item x="4541"/>
        <item x="149"/>
        <item x="3942"/>
        <item x="3927"/>
        <item x="4518"/>
        <item x="2027"/>
        <item x="1904"/>
        <item x="822"/>
        <item x="3752"/>
        <item x="3010"/>
        <item x="3624"/>
        <item x="239"/>
        <item x="1525"/>
        <item x="2511"/>
        <item x="3753"/>
        <item x="258"/>
        <item x="1762"/>
        <item x="3230"/>
        <item x="2865"/>
        <item x="3903"/>
        <item x="4610"/>
        <item x="1654"/>
        <item x="1137"/>
        <item x="1198"/>
        <item x="2603"/>
        <item x="4073"/>
        <item x="4510"/>
        <item x="4268"/>
        <item x="2250"/>
        <item x="3029"/>
        <item x="54"/>
        <item x="2098"/>
        <item x="823"/>
        <item x="4618"/>
        <item x="1927"/>
        <item x="1"/>
        <item x="864"/>
        <item x="1266"/>
        <item x="2945"/>
        <item x="536"/>
        <item x="4753"/>
        <item x="2149"/>
        <item x="2749"/>
        <item x="662"/>
        <item x="772"/>
        <item x="3361"/>
        <item x="1609"/>
        <item x="1558"/>
        <item x="437"/>
        <item x="90"/>
        <item x="4770"/>
        <item x="2189"/>
        <item x="3214"/>
        <item x="1626"/>
        <item x="3081"/>
        <item x="852"/>
        <item x="945"/>
        <item x="2395"/>
        <item x="1755"/>
        <item x="3557"/>
        <item x="3053"/>
        <item x="808"/>
        <item x="3062"/>
        <item x="3805"/>
        <item x="608"/>
        <item x="2285"/>
        <item x="2041"/>
        <item x="1991"/>
        <item x="4569"/>
        <item x="780"/>
        <item x="2076"/>
        <item x="3069"/>
        <item x="3132"/>
        <item x="4906"/>
        <item x="2454"/>
        <item x="1569"/>
        <item x="1843"/>
        <item x="276"/>
        <item x="565"/>
        <item x="1707"/>
        <item x="446"/>
        <item x="1939"/>
        <item x="3193"/>
        <item x="4576"/>
        <item x="1367"/>
        <item x="2946"/>
        <item x="4411"/>
        <item x="4519"/>
        <item x="4389"/>
        <item x="3894"/>
        <item x="1183"/>
        <item x="2818"/>
        <item x="131"/>
        <item x="1870"/>
        <item x="112"/>
        <item x="91"/>
        <item x="2119"/>
        <item x="392"/>
        <item x="11"/>
        <item x="746"/>
        <item x="4281"/>
        <item x="4480"/>
        <item x="4287"/>
        <item x="919"/>
        <item x="3884"/>
        <item x="1226"/>
        <item x="2873"/>
        <item x="4920"/>
        <item x="362"/>
        <item x="1763"/>
        <item x="2642"/>
        <item x="3760"/>
        <item x="1117"/>
        <item x="2926"/>
        <item x="250"/>
        <item x="2841"/>
        <item x="1998"/>
        <item x="157"/>
        <item x="350"/>
        <item x="994"/>
        <item x="3039"/>
        <item x="2068"/>
        <item x="2228"/>
        <item x="995"/>
        <item x="2827"/>
        <item x="2229"/>
        <item x="3419"/>
        <item x="3935"/>
        <item x="259"/>
        <item x="3986"/>
        <item x="4020"/>
        <item x="2439"/>
        <item x="385"/>
        <item x="1627"/>
        <item x="4680"/>
        <item x="4728"/>
        <item x="2204"/>
        <item x="3895"/>
        <item x="4203"/>
        <item x="1438"/>
        <item x="2345"/>
        <item x="3704"/>
        <item x="1592"/>
        <item x="996"/>
        <item x="1683"/>
        <item x="3231"/>
        <item x="1252"/>
        <item x="3421"/>
        <item x="1199"/>
        <item x="326"/>
        <item x="4674"/>
        <item x="1048"/>
        <item x="4021"/>
        <item x="4390"/>
        <item x="591"/>
        <item x="3188"/>
        <item x="3257"/>
        <item x="4173"/>
        <item x="3965"/>
        <item x="753"/>
        <item x="4022"/>
        <item x="4153"/>
        <item x="2842"/>
        <item x="4633"/>
        <item x="4907"/>
        <item x="2543"/>
        <item x="624"/>
        <item x="277"/>
        <item x="3287"/>
        <item x="946"/>
        <item x="3354"/>
        <item x="1176"/>
        <item x="104"/>
        <item x="3507"/>
        <item x="4717"/>
        <item x="4520"/>
        <item x="1330"/>
        <item x="3296"/>
        <item x="4542"/>
        <item x="1905"/>
        <item x="251"/>
        <item x="2952"/>
        <item x="1726"/>
        <item x="1517"/>
        <item x="3460"/>
        <item x="4746"/>
        <item x="4543"/>
        <item x="526"/>
        <item x="2544"/>
        <item x="2819"/>
        <item x="2971"/>
        <item x="1655"/>
        <item x="3853"/>
        <item x="673"/>
        <item x="175"/>
        <item x="527"/>
        <item x="1477"/>
        <item x="2724"/>
        <item x="4089"/>
        <item x="3508"/>
        <item x="3175"/>
        <item x="1304"/>
        <item x="33"/>
        <item x="781"/>
        <item x="4653"/>
        <item x="3854"/>
        <item x="3468"/>
        <item x="2921"/>
        <item x="2183"/>
        <item x="372"/>
        <item x="3978"/>
        <item x="4771"/>
        <item x="2378"/>
        <item x="3987"/>
        <item x="3070"/>
        <item x="3232"/>
        <item x="3955"/>
        <item x="3440"/>
        <item x="618"/>
        <item x="3422"/>
        <item x="3950"/>
        <item x="4309"/>
        <item x="1628"/>
        <item x="1227"/>
        <item x="2219"/>
        <item x="3324"/>
        <item x="1079"/>
        <item x="537"/>
        <item x="2953"/>
        <item x="1509"/>
        <item x="1342"/>
        <item x="1214"/>
        <item x="4525"/>
        <item x="3449"/>
        <item x="4090"/>
        <item x="4226"/>
        <item x="2991"/>
        <item x="3479"/>
        <item x="2984"/>
        <item x="2682"/>
        <item x="4967"/>
        <item x="3620"/>
        <item x="2346"/>
        <item x="4658"/>
        <item x="1715"/>
        <item x="2220"/>
        <item x="3093"/>
        <item x="1454"/>
        <item x="4027"/>
        <item x="2289"/>
        <item x="113"/>
        <item x="2313"/>
        <item x="4444"/>
        <item x="4779"/>
        <item x="1857"/>
        <item x="4028"/>
        <item x="3555"/>
        <item x="4066"/>
        <item x="76"/>
        <item x="1093"/>
        <item x="386"/>
        <item x="1455"/>
        <item x="2635"/>
        <item x="1853"/>
        <item x="1933"/>
        <item x="1446"/>
        <item x="2775"/>
        <item x="1858"/>
        <item x="3163"/>
        <item x="3821"/>
        <item x="2413"/>
        <item x="4521"/>
        <item x="4784"/>
        <item x="403"/>
        <item x="2850"/>
        <item x="714"/>
        <item x="3054"/>
        <item x="3633"/>
        <item x="427"/>
        <item x="2976"/>
        <item x="1749"/>
        <item x="1343"/>
        <item x="3063"/>
        <item x="740"/>
        <item x="4249"/>
        <item x="3520"/>
        <item x="817"/>
        <item x="158"/>
        <item x="3411"/>
        <item x="1439"/>
        <item x="4544"/>
        <item x="3169"/>
        <item x="339"/>
        <item x="4236"/>
        <item x="3667"/>
        <item x="315"/>
        <item x="2768"/>
        <item x="1965"/>
        <item x="4100"/>
        <item x="869"/>
        <item x="1440"/>
        <item x="4067"/>
        <item x="891"/>
        <item x="2878"/>
        <item x="4984"/>
        <item x="3386"/>
        <item x="4739"/>
        <item x="984"/>
        <item x="447"/>
        <item x="1570"/>
        <item x="1184"/>
        <item x="287"/>
        <item x="544"/>
        <item x="1897"/>
        <item x="3747"/>
        <item x="840"/>
        <item x="1386"/>
        <item x="2290"/>
        <item x="486"/>
        <item x="2705"/>
        <item x="1780"/>
        <item x="884"/>
        <item x="4293"/>
        <item x="2545"/>
        <item x="737"/>
        <item x="317"/>
        <item x="2108"/>
        <item x="4930"/>
        <item x="4184"/>
        <item x="824"/>
        <item x="3951"/>
        <item x="159"/>
        <item x="3720"/>
        <item x="3250"/>
        <item x="3316"/>
        <item x="1919"/>
        <item x="77"/>
        <item x="663"/>
        <item x="1177"/>
        <item x="3966"/>
        <item x="1642"/>
        <item x="2609"/>
        <item x="2930"/>
        <item x="2014"/>
        <item x="809"/>
        <item x="3754"/>
        <item x="4245"/>
        <item x="1911"/>
        <item x="2700"/>
        <item x="1308"/>
        <item x="2396"/>
        <item x="3273"/>
        <item x="3094"/>
        <item x="2776"/>
        <item x="674"/>
        <item x="3594"/>
        <item x="373"/>
        <item x="3896"/>
        <item x="3928"/>
        <item x="1390"/>
        <item x="3956"/>
        <item x="1898"/>
        <item x="2985"/>
        <item x="1756"/>
        <item x="1488"/>
        <item x="1716"/>
        <item x="2061"/>
        <item x="545"/>
        <item x="1561"/>
        <item x="3390"/>
        <item x="1118"/>
        <item x="2280"/>
        <item x="2247"/>
        <item x="3543"/>
        <item x="3100"/>
        <item x="3655"/>
        <item x="4837"/>
        <item x="2332"/>
        <item x="528"/>
        <item x="4733"/>
        <item x="4526"/>
        <item x="2077"/>
        <item x="747"/>
        <item x="3215"/>
        <item x="4534"/>
        <item x="3897"/>
        <item x="1272"/>
        <item x="3289"/>
        <item x="1405"/>
        <item x="4823"/>
        <item x="4780"/>
        <item x="4796"/>
        <item x="3095"/>
        <item x="4227"/>
        <item x="92"/>
        <item x="3988"/>
        <item x="3290"/>
        <item x="4154"/>
        <item x="4638"/>
        <item x="1601"/>
        <item x="1273"/>
        <item x="728"/>
        <item x="4379"/>
        <item x="719"/>
        <item x="3967"/>
        <item x="1697"/>
        <item x="697"/>
        <item x="1912"/>
        <item x="97"/>
        <item x="3855"/>
        <item x="448"/>
        <item x="1447"/>
        <item x="2493"/>
        <item x="2777"/>
        <item x="378"/>
        <item x="3456"/>
        <item x="3055"/>
        <item x="3480"/>
        <item x="2297"/>
        <item x="2450"/>
        <item x="1094"/>
        <item x="3776"/>
        <item x="4228"/>
        <item x="1337"/>
        <item x="3412"/>
        <item x="1318"/>
        <item x="2750"/>
        <item x="3274"/>
        <item x="4380"/>
        <item x="1074"/>
        <item x="2662"/>
        <item x="978"/>
        <item x="4074"/>
        <item x="1578"/>
        <item x="898"/>
        <item x="3898"/>
        <item x="1571"/>
        <item x="4091"/>
        <item x="1185"/>
        <item x="1215"/>
        <item x="498"/>
        <item x="1288"/>
        <item x="698"/>
        <item x="4211"/>
        <item x="299"/>
        <item x="4976"/>
        <item x="499"/>
        <item x="1656"/>
        <item x="4123"/>
        <item x="2350"/>
        <item x="2333"/>
        <item x="449"/>
        <item x="2636"/>
        <item x="3325"/>
        <item x="2799"/>
        <item x="2586"/>
        <item x="3405"/>
        <item x="387"/>
        <item x="997"/>
        <item x="2"/>
        <item x="4051"/>
        <item x="3773"/>
        <item x="281"/>
        <item x="2805"/>
        <item x="2444"/>
        <item x="600"/>
        <item x="4398"/>
        <item x="1030"/>
        <item x="1338"/>
        <item x="4160"/>
        <item x="1891"/>
        <item x="3602"/>
        <item x="3916"/>
        <item x="1734"/>
        <item x="1220"/>
        <item x="1374"/>
        <item x="2298"/>
        <item x="176"/>
        <item x="3326"/>
        <item x="3266"/>
        <item x="1380"/>
        <item x="1643"/>
        <item x="3317"/>
        <item x="964"/>
        <item x="4412"/>
        <item x="3"/>
        <item x="4075"/>
        <item x="649"/>
        <item x="4921"/>
        <item x="1865"/>
        <item x="2581"/>
        <item x="3222"/>
        <item x="2401"/>
        <item x="3743"/>
        <item x="841"/>
        <item x="650"/>
        <item x="3829"/>
        <item x="78"/>
        <item x="1975"/>
        <item x="3155"/>
        <item x="3979"/>
        <item x="1665"/>
        <item x="2015"/>
        <item x="1015"/>
        <item x="4436"/>
        <item x="1708"/>
        <item x="4185"/>
        <item x="609"/>
        <item x="3101"/>
        <item x="67"/>
        <item x="3846"/>
        <item x="1016"/>
        <item x="295"/>
        <item x="1155"/>
        <item x="4294"/>
        <item x="1666"/>
        <item x="4838"/>
        <item x="3963"/>
        <item x="3189"/>
        <item x="4453"/>
        <item x="2154"/>
        <item x="4703"/>
        <item x="3441"/>
        <item x="2546"/>
        <item x="953"/>
        <item x="2357"/>
        <item x="3695"/>
        <item x="4604"/>
        <item x="2307"/>
        <item x="1395"/>
        <item x="4405"/>
        <item x="2484"/>
        <item x="98"/>
        <item x="2501"/>
        <item x="1798"/>
        <item x="1572"/>
        <item x="39"/>
        <item x="3888"/>
        <item x="2793"/>
        <item x="1667"/>
        <item x="3251"/>
        <item x="998"/>
        <item x="1305"/>
        <item x="1649"/>
        <item x="1427"/>
        <item x="3544"/>
        <item x="4095"/>
        <item x="4685"/>
        <item x="2890"/>
        <item x="3643"/>
        <item x="1883"/>
        <item x="363"/>
        <item x="1966"/>
        <item x="1088"/>
        <item x="1791"/>
        <item x="474"/>
        <item x="3064"/>
        <item x="3000"/>
        <item x="26"/>
        <item x="4857"/>
        <item x="2859"/>
        <item x="4681"/>
        <item x="865"/>
        <item x="4849"/>
        <item x="1290"/>
        <item x="3164"/>
        <item x="3556"/>
        <item x="2135"/>
        <item x="3022"/>
        <item x="1727"/>
        <item x="3110"/>
        <item x="3001"/>
        <item x="1017"/>
        <item x="2230"/>
        <item x="2618"/>
        <item x="729"/>
        <item x="3936"/>
        <item x="4968"/>
        <item x="1482"/>
        <item x="4456"/>
        <item x="2231"/>
        <item x="4381"/>
        <item x="1080"/>
        <item x="2832"/>
        <item x="1830"/>
        <item x="55"/>
        <item x="3382"/>
        <item x="466"/>
        <item x="1533"/>
        <item x="4124"/>
        <item x="2683"/>
        <item x="1668"/>
        <item x="4654"/>
        <item x="1289"/>
        <item x="2520"/>
        <item x="2698"/>
        <item x="1238"/>
        <item x="581"/>
        <item x="3761"/>
        <item x="2643"/>
        <item x="2947"/>
        <item x="1717"/>
        <item x="1660"/>
        <item x="866"/>
        <item x="232"/>
        <item x="209"/>
        <item x="1368"/>
        <item x="2150"/>
        <item x="2751"/>
        <item x="252"/>
        <item x="3297"/>
        <item x="411"/>
        <item x="3656"/>
        <item x="988"/>
        <item x="2966"/>
        <item x="1245"/>
        <item x="4626"/>
        <item x="364"/>
        <item x="4"/>
        <item x="3952"/>
        <item x="1063"/>
        <item x="1657"/>
        <item x="1104"/>
        <item x="2458"/>
        <item x="1735"/>
        <item x="4639"/>
        <item x="1709"/>
        <item x="573"/>
        <item x="3030"/>
        <item x="1610"/>
        <item x="689"/>
        <item x="1186"/>
        <item x="2402"/>
        <item x="1387"/>
        <item x="518"/>
        <item x="4817"/>
        <item x="640"/>
        <item x="3111"/>
        <item x="2089"/>
        <item x="3145"/>
        <item x="1253"/>
        <item x="3558"/>
        <item x="3995"/>
        <item x="1009"/>
        <item x="3096"/>
        <item x="507"/>
        <item x="1728"/>
        <item x="79"/>
        <item x="1906"/>
        <item x="4356"/>
        <item x="1562"/>
        <item x="4807"/>
        <item x="3929"/>
        <item x="4977"/>
        <item x="3327"/>
        <item x="4068"/>
        <item x="1355"/>
        <item x="592"/>
        <item x="1494"/>
        <item x="1483"/>
        <item x="2587"/>
        <item x="2828"/>
        <item x="2109"/>
        <item x="3943"/>
        <item x="2168"/>
        <item x="1629"/>
        <item x="1757"/>
        <item x="3957"/>
        <item x="4214"/>
        <item x="2475"/>
        <item x="40"/>
        <item x="3545"/>
        <item x="4038"/>
        <item x="2502"/>
        <item x="4135"/>
        <item x="832"/>
        <item x="3223"/>
        <item x="4481"/>
        <item x="833"/>
        <item x="4961"/>
        <item x="1999"/>
        <item x="2752"/>
        <item x="3368"/>
        <item x="551"/>
        <item x="1274"/>
        <item x="4023"/>
        <item x="3798"/>
        <item x="2936"/>
        <item x="2351"/>
        <item x="3430"/>
        <item x="985"/>
        <item x="143"/>
        <item x="3755"/>
        <item x="1584"/>
        <item x="4212"/>
        <item x="2048"/>
        <item x="4310"/>
        <item x="114"/>
        <item x="2012"/>
        <item x="2787"/>
        <item x="3958"/>
        <item x="3035"/>
        <item x="3856"/>
        <item x="1544"/>
        <item x="56"/>
        <item x="3538"/>
        <item x="4482"/>
        <item x="3644"/>
        <item x="3744"/>
        <item x="4939"/>
        <item x="4204"/>
        <item x="2016"/>
        <item x="2155"/>
        <item x="4328"/>
        <item x="132"/>
        <item x="904"/>
        <item x="2806"/>
        <item x="4302"/>
        <item x="3762"/>
        <item x="3146"/>
        <item x="15"/>
        <item x="125"/>
        <item x="4605"/>
        <item x="1331"/>
        <item x="3335"/>
        <item x="4269"/>
        <item x="601"/>
        <item x="3857"/>
        <item x="885"/>
        <item x="4873"/>
        <item x="1573"/>
        <item x="2988"/>
        <item x="2006"/>
        <item x="1553"/>
        <item x="4994"/>
        <item x="4839"/>
        <item x="4797"/>
        <item x="4874"/>
        <item x="177"/>
        <item x="2093"/>
        <item x="190"/>
        <item x="3799"/>
        <item x="334"/>
        <item x="4704"/>
        <item x="3233"/>
        <item x="1859"/>
        <item x="1489"/>
        <item x="1187"/>
        <item x="2922"/>
        <item x="3676"/>
        <item x="4719"/>
        <item x="892"/>
        <item x="2205"/>
        <item x="3865"/>
        <item x="4781"/>
        <item x="3763"/>
        <item x="4978"/>
        <item x="1792"/>
        <item x="1585"/>
        <item x="845"/>
        <item x="4596"/>
        <item x="1983"/>
        <item x="1838"/>
        <item x="3917"/>
        <item x="2184"/>
        <item x="1774"/>
        <item x="1729"/>
        <item x="4754"/>
        <item x="1984"/>
        <item x="914"/>
        <item x="4130"/>
        <item x="2291"/>
        <item x="393"/>
        <item x="2937"/>
        <item x="4740"/>
        <item x="12"/>
        <item x="4107"/>
        <item x="2948"/>
        <item x="2445"/>
        <item x="1871"/>
        <item x="4818"/>
        <item x="699"/>
        <item x="858"/>
        <item x="2214"/>
        <item x="2992"/>
        <item x="3521"/>
        <item x="3522"/>
        <item x="4634"/>
        <item x="754"/>
        <item x="2494"/>
        <item x="2049"/>
        <item x="4195"/>
        <item x="3040"/>
        <item x="602"/>
        <item x="2954"/>
        <item x="4561"/>
        <item x="3709"/>
        <item x="2794"/>
        <item x="3937"/>
        <item x="442"/>
        <item x="1892"/>
        <item x="1545"/>
        <item x="105"/>
        <item x="911"/>
        <item x="4772"/>
        <item x="2706"/>
        <item x="1839"/>
        <item x="2485"/>
        <item x="3907"/>
        <item x="2619"/>
        <item x="4024"/>
        <item x="3875"/>
        <item x="4348"/>
        <item x="3097"/>
        <item x="3668"/>
        <item x="4887"/>
        <item x="2428"/>
        <item x="2069"/>
        <item x="1574"/>
        <item x="34"/>
        <item x="3165"/>
        <item x="720"/>
        <item x="4830"/>
        <item x="4912"/>
        <item x="27"/>
        <item x="3968"/>
        <item x="2588"/>
        <item x="233"/>
        <item x="4985"/>
        <item x="4931"/>
        <item x="272"/>
        <item x="3336"/>
        <item x="4995"/>
        <item x="1764"/>
        <item x="1391"/>
        <item x="1216"/>
        <item x="2866"/>
        <item x="2596"/>
        <item x="3002"/>
        <item x="3677"/>
        <item x="664"/>
        <item x="1119"/>
        <item x="3523"/>
        <item x="4535"/>
        <item x="307"/>
        <item x="4334"/>
        <item x="619"/>
        <item x="2340"/>
        <item x="3645"/>
        <item x="4913"/>
        <item x="1638"/>
        <item x="1471"/>
        <item x="4161"/>
        <item x="2651"/>
        <item x="721"/>
        <item x="3200"/>
        <item x="2451"/>
        <item x="3308"/>
        <item x="4092"/>
        <item x="3889"/>
        <item x="3423"/>
        <item x="2590"/>
        <item x="2322"/>
        <item x="4131"/>
        <item x="1375"/>
        <item x="4914"/>
        <item x="1878"/>
        <item x="1619"/>
        <item x="4093"/>
        <item x="318"/>
        <item x="1207"/>
        <item x="3194"/>
        <item x="2299"/>
        <item x="2486"/>
        <item x="675"/>
        <item x="1661"/>
        <item x="2820"/>
        <item x="1141"/>
        <item x="2949"/>
        <item x="3837"/>
        <item x="1934"/>
        <item x="3071"/>
        <item x="2412"/>
        <item x="3216"/>
        <item x="4318"/>
        <item x="2765"/>
        <item x="404"/>
        <item x="979"/>
        <item x="870"/>
        <item x="1611"/>
        <item x="1200"/>
        <item x="3806"/>
        <item x="2215"/>
        <item x="965"/>
        <item x="867"/>
        <item x="50"/>
        <item x="810"/>
        <item x="3661"/>
        <item x="4096"/>
        <item x="582"/>
        <item x="4406"/>
        <item x="500"/>
        <item x="3646"/>
        <item x="1448"/>
        <item x="3800"/>
        <item x="1031"/>
        <item x="2358"/>
        <item x="1049"/>
        <item x="2156"/>
        <item x="915"/>
        <item x="2731"/>
        <item x="4108"/>
        <item x="4155"/>
        <item x="2334"/>
        <item x="2017"/>
        <item x="2070"/>
        <item x="3176"/>
        <item x="1693"/>
        <item x="351"/>
        <item x="1536"/>
        <item x="1339"/>
        <item x="4025"/>
        <item x="1831"/>
        <item x="478"/>
        <item x="4215"/>
        <item x="4329"/>
        <item x="4288"/>
        <item x="3450"/>
        <item x="2062"/>
        <item x="1526"/>
        <item x="2753"/>
        <item x="2899"/>
        <item x="1844"/>
        <item x="4979"/>
        <item x="3559"/>
        <item x="3969"/>
        <item x="4944"/>
        <item x="1413"/>
        <item x="615"/>
        <item x="2018"/>
        <item x="2738"/>
        <item x="3298"/>
        <item x="4323"/>
        <item x="1499"/>
        <item x="1537"/>
        <item x="4162"/>
        <item x="219"/>
        <item x="3376"/>
        <item x="178"/>
        <item x="1319"/>
        <item x="1022"/>
        <item x="4706"/>
        <item x="4527"/>
        <item x="4511"/>
        <item x="4059"/>
        <item x="4303"/>
        <item x="2778"/>
        <item x="2851"/>
        <item x="2265"/>
        <item x="3102"/>
        <item x="4148"/>
        <item x="4420"/>
        <item x="707"/>
        <item x="2578"/>
        <item x="2271"/>
        <item x="4117"/>
        <item x="3745"/>
        <item x="3586"/>
        <item x="4330"/>
        <item x="1538"/>
        <item x="1236"/>
        <item x="4250"/>
        <item x="3420"/>
        <item x="930"/>
        <item x="4761"/>
        <item x="4545"/>
        <item x="2292"/>
        <item x="4270"/>
        <item x="405"/>
        <item x="3147"/>
        <item x="4686"/>
        <item x="3207"/>
        <item x="3156"/>
        <item x="2397"/>
        <item x="1775"/>
        <item x="4304"/>
        <item x="2464"/>
        <item x="164"/>
        <item x="3899"/>
        <item x="4113"/>
        <item x="1050"/>
        <item x="3567"/>
        <item x="1420"/>
        <item x="4421"/>
        <item x="4950"/>
        <item x="2811"/>
        <item x="2221"/>
        <item x="99"/>
        <item x="2891"/>
        <item x="3970"/>
        <item x="3355"/>
        <item x="960"/>
        <item x="1449"/>
        <item x="2007"/>
        <item x="3705"/>
        <item x="4136"/>
        <item x="2379"/>
        <item x="802"/>
        <item x="4773"/>
        <item x="3240"/>
        <item x="144"/>
        <item x="3783"/>
        <item x="2363"/>
        <item x="4076"/>
        <item x="2110"/>
        <item x="2512"/>
        <item x="1089"/>
        <item x="1744"/>
        <item x="980"/>
        <item x="2754"/>
        <item x="1322"/>
        <item x="4137"/>
        <item x="3224"/>
        <item x="1612"/>
        <item x="4687"/>
        <item x="2993"/>
        <item x="4590"/>
        <item x="1718"/>
        <item x="330"/>
        <item x="4562"/>
        <item x="1376"/>
        <item x="3247"/>
        <item x="1563"/>
        <item x="3314"/>
        <item x="3770"/>
        <item x="1296"/>
        <item x="4611"/>
        <item x="225"/>
        <item x="1781"/>
        <item x="4755"/>
        <item x="1356"/>
        <item x="3732"/>
        <item x="4046"/>
        <item x="3876"/>
        <item x="538"/>
        <item x="2955"/>
        <item x="4546"/>
        <item x="327"/>
        <item x="4536"/>
        <item x="2843"/>
        <item x="3487"/>
        <item x="3580"/>
        <item x="282"/>
        <item x="4295"/>
        <item x="1032"/>
        <item x="4431"/>
        <item x="501"/>
        <item x="3481"/>
        <item x="1613"/>
        <item x="1840"/>
        <item x="625"/>
        <item x="3696"/>
        <item x="4850"/>
        <item x="3822"/>
        <item x="4537"/>
        <item x="1432"/>
        <item x="846"/>
        <item x="4808"/>
        <item x="2293"/>
        <item x="1866"/>
        <item x="2717"/>
        <item x="4101"/>
        <item x="3118"/>
        <item x="3157"/>
        <item x="3908"/>
        <item x="2314"/>
        <item x="3792"/>
        <item x="3048"/>
        <item x="2844"/>
        <item x="3072"/>
        <item x="406"/>
        <item x="4445"/>
        <item x="2300"/>
        <item x="3003"/>
        <item x="4627"/>
        <item x="3391"/>
        <item x="1010"/>
        <item x="3252"/>
        <item x="1719"/>
        <item x="665"/>
        <item x="2547"/>
        <item x="3431"/>
        <item x="1267"/>
        <item x="773"/>
        <item x="2524"/>
        <item x="4688"/>
        <item x="593"/>
        <item x="1710"/>
        <item x="4528"/>
        <item x="4707"/>
        <item x="2050"/>
        <item x="4553"/>
        <item x="3461"/>
        <item x="3771"/>
        <item x="4002"/>
        <item x="1793"/>
        <item x="3004"/>
        <item x="1201"/>
        <item x="4097"/>
        <item x="4163"/>
        <item x="502"/>
        <item x="450"/>
        <item x="2725"/>
        <item x="1782"/>
        <item x="2019"/>
        <item x="722"/>
        <item x="457"/>
        <item x="487"/>
        <item x="3595"/>
        <item x="2071"/>
        <item x="240"/>
        <item x="3170"/>
        <item x="3516"/>
        <item x="931"/>
        <item x="3509"/>
        <item x="1042"/>
        <item x="4276"/>
        <item x="2637"/>
        <item x="5"/>
        <item x="3195"/>
        <item x="2157"/>
        <item x="1953"/>
        <item x="2691"/>
        <item x="4422"/>
        <item x="467"/>
        <item x="468"/>
        <item x="1130"/>
        <item x="4597"/>
        <item x="3112"/>
        <item x="1694"/>
        <item x="999"/>
        <item x="1500"/>
        <item x="741"/>
        <item x="893"/>
        <item x="557"/>
        <item x="2644"/>
        <item x="762"/>
        <item x="4423"/>
        <item x="3482"/>
        <item x="207"/>
        <item x="4457"/>
        <item x="4785"/>
        <item x="2807"/>
        <item x="365"/>
        <item x="1899"/>
        <item x="748"/>
        <item x="340"/>
        <item x="3291"/>
        <item x="4221"/>
        <item x="1807"/>
        <item x="2380"/>
        <item x="4305"/>
        <item x="3560"/>
        <item x="28"/>
        <item x="4251"/>
        <item x="2707"/>
        <item x="3469"/>
        <item x="300"/>
        <item x="366"/>
        <item x="1156"/>
        <item x="3625"/>
        <item x="170"/>
        <item x="3813"/>
        <item x="1228"/>
        <item x="443"/>
        <item x="4741"/>
        <item x="2381"/>
        <item x="4424"/>
        <item x="3777"/>
        <item x="2158"/>
        <item x="4029"/>
        <item x="2403"/>
        <item x="1472"/>
        <item x="2610"/>
        <item x="2465"/>
        <item x="3697"/>
        <item x="1684"/>
        <item x="106"/>
        <item x="1884"/>
        <item x="4708"/>
        <item x="4981"/>
        <item x="3474"/>
        <item x="3647"/>
        <item x="1297"/>
        <item x="2364"/>
        <item x="1893"/>
        <item x="3023"/>
        <item x="1095"/>
        <item x="920"/>
        <item x="265"/>
        <item x="1051"/>
        <item x="2833"/>
        <item x="2369"/>
        <item x="3148"/>
        <item x="3971"/>
        <item x="1845"/>
        <item x="2795"/>
        <item x="2760"/>
        <item x="4365"/>
        <item x="3149"/>
        <item x="4709"/>
        <item x="2251"/>
        <item x="2554"/>
        <item x="2404"/>
        <item x="894"/>
        <item x="1913"/>
        <item x="3550"/>
        <item x="2829"/>
        <item x="2335"/>
        <item x="1546"/>
        <item x="610"/>
        <item x="3716"/>
        <item x="3494"/>
        <item x="4951"/>
        <item x="3475"/>
        <item x="3866"/>
        <item x="1907"/>
        <item x="1300"/>
        <item x="539"/>
        <item x="1547"/>
        <item x="3024"/>
        <item x="3717"/>
        <item x="574"/>
        <item x="4357"/>
        <item x="2591"/>
        <item x="4812"/>
        <item x="2972"/>
        <item x="355"/>
        <item x="2994"/>
        <item x="3687"/>
        <item x="989"/>
        <item x="1586"/>
        <item x="2562"/>
        <item x="3011"/>
        <item x="2663"/>
        <item x="871"/>
        <item x="4875"/>
        <item x="2446"/>
        <item x="1823"/>
        <item x="583"/>
        <item x="2788"/>
        <item x="356"/>
        <item x="3972"/>
        <item x="1298"/>
        <item x="2755"/>
        <item x="1377"/>
        <item x="503"/>
        <item x="4762"/>
        <item x="4060"/>
        <item x="253"/>
        <item x="4252"/>
        <item x="1484"/>
        <item x="469"/>
        <item x="3383"/>
        <item x="2169"/>
        <item x="479"/>
        <item x="2569"/>
        <item x="3442"/>
        <item x="2708"/>
        <item x="641"/>
        <item x="2892"/>
        <item x="1396"/>
        <item x="2222"/>
        <item x="3309"/>
        <item x="35"/>
        <item x="3669"/>
        <item x="3225"/>
        <item x="2301"/>
        <item x="1765"/>
        <item x="4598"/>
        <item x="1872"/>
        <item x="4003"/>
        <item x="412"/>
        <item x="2582"/>
        <item x="2812"/>
        <item x="1799"/>
        <item x="3065"/>
        <item x="4382"/>
        <item x="921"/>
        <item x="905"/>
        <item x="4734"/>
        <item x="966"/>
        <item x="444"/>
        <item x="2779"/>
        <item x="4358"/>
        <item x="3877"/>
        <item x="1064"/>
        <item x="1832"/>
        <item x="1202"/>
        <item x="3603"/>
        <item x="2986"/>
        <item x="2597"/>
        <item x="2645"/>
        <item x="1043"/>
        <item x="1954"/>
        <item x="3267"/>
        <item x="1940"/>
        <item x="3524"/>
        <item x="2563"/>
        <item x="540"/>
        <item x="2620"/>
        <item x="2646"/>
        <item x="1309"/>
        <item x="2051"/>
        <item x="2308"/>
        <item x="2459"/>
        <item x="3082"/>
        <item x="4577"/>
        <item x="3302"/>
        <item x="2020"/>
        <item x="115"/>
        <item x="4952"/>
        <item x="4628"/>
        <item x="4039"/>
        <item x="2677"/>
        <item x="4689"/>
        <item x="3571"/>
        <item x="1275"/>
        <item x="2103"/>
        <item x="1075"/>
        <item x="3989"/>
        <item x="4030"/>
        <item x="4031"/>
        <item x="872"/>
        <item x="4782"/>
        <item x="1808"/>
        <item x="254"/>
        <item x="4491"/>
        <item x="1392"/>
        <item x="774"/>
        <item x="293"/>
        <item x="3678"/>
        <item x="2170"/>
        <item x="3432"/>
        <item x="3208"/>
        <item x="529"/>
        <item x="1914"/>
        <item x="3406"/>
        <item x="328"/>
        <item x="165"/>
        <item x="1900"/>
        <item x="1065"/>
        <item x="1816"/>
        <item x="44"/>
        <item x="1495"/>
        <item x="2272"/>
        <item x="2621"/>
        <item x="4819"/>
        <item x="3973"/>
        <item x="2487"/>
        <item x="2200"/>
        <item x="4004"/>
        <item x="4399"/>
        <item x="2028"/>
        <item x="3397"/>
        <item x="3177"/>
        <item x="422"/>
        <item x="1501"/>
        <item x="2995"/>
        <item x="4277"/>
        <item x="2255"/>
        <item x="57"/>
        <item x="4998"/>
        <item x="3938"/>
        <item x="4851"/>
        <item x="1602"/>
        <item x="19"/>
        <item x="2987"/>
        <item x="594"/>
        <item x="1527"/>
        <item x="4335"/>
        <item x="1456"/>
        <item x="1332"/>
        <item x="1254"/>
        <item x="3721"/>
        <item x="2126"/>
        <item x="4222"/>
        <item x="2709"/>
        <item x="200"/>
        <item x="1033"/>
        <item x="4969"/>
        <item x="394"/>
        <item x="3036"/>
        <item x="1066"/>
        <item x="2710"/>
        <item x="1110"/>
        <item x="6"/>
        <item x="2347"/>
        <item x="1698"/>
        <item x="2460"/>
        <item x="266"/>
        <item x="859"/>
        <item x="1699"/>
        <item x="2692"/>
        <item x="4138"/>
        <item x="2387"/>
        <item x="4578"/>
        <item x="4858"/>
        <item x="4164"/>
        <item x="3621"/>
        <item x="3369"/>
        <item x="708"/>
        <item x="1720"/>
        <item x="4216"/>
        <item x="4804"/>
        <item x="3451"/>
        <item x="4940"/>
        <item x="1658"/>
        <item x="423"/>
        <item x="2780"/>
        <item x="4747"/>
        <item x="4296"/>
        <item x="3793"/>
        <item x="2273"/>
        <item x="2732"/>
        <item x="4962"/>
        <item x="4503"/>
        <item x="1478"/>
        <item x="3171"/>
        <item x="2252"/>
        <item x="4786"/>
        <item x="126"/>
        <item x="508"/>
        <item x="4391"/>
        <item x="3318"/>
        <item x="3858"/>
        <item x="1833"/>
        <item x="458"/>
        <item x="1147"/>
        <item x="4366"/>
        <item x="1758"/>
        <item x="2852"/>
        <item x="2665"/>
        <item x="283"/>
        <item x="2111"/>
        <item x="1603"/>
        <item x="1105"/>
        <item x="150"/>
        <item x="3341"/>
        <item x="80"/>
        <item x="4149"/>
        <item x="1644"/>
        <item x="4278"/>
        <item x="2884"/>
        <item x="825"/>
        <item x="1539"/>
        <item x="3178"/>
        <item x="1261"/>
        <item x="1138"/>
        <item x="2094"/>
        <item x="36"/>
        <item x="4311"/>
        <item x="4554"/>
        <item x="4196"/>
        <item x="3413"/>
        <item x="413"/>
        <item x="2521"/>
        <item x="2956"/>
        <item x="1157"/>
        <item x="2739"/>
        <item x="3930"/>
        <item x="4941"/>
        <item x="3398"/>
        <item x="1178"/>
        <item x="1846"/>
        <item x="2907"/>
        <item x="2893"/>
        <item x="1106"/>
        <item x="2564"/>
        <item x="3679"/>
        <item x="4805"/>
        <item x="2090"/>
        <item x="4591"/>
        <item x="4735"/>
        <item x="4165"/>
        <item x="3253"/>
        <item x="2647"/>
        <item x="2431"/>
        <item x="3098"/>
        <item x="2973"/>
        <item x="530"/>
        <item x="1620"/>
        <item x="3179"/>
        <item x="2159"/>
        <item x="546"/>
        <item x="260"/>
        <item x="2151"/>
        <item x="755"/>
        <item x="2931"/>
        <item x="3342"/>
        <item x="1721"/>
        <item x="2860"/>
        <item x="3387"/>
        <item x="166"/>
        <item x="3847"/>
        <item x="2583"/>
        <item x="2672"/>
        <item x="4702"/>
        <item x="4748"/>
        <item x="3939"/>
        <item x="3258"/>
        <item x="4970"/>
        <item x="234"/>
        <item x="634"/>
        <item x="2447"/>
        <item x="2874"/>
        <item x="1935"/>
        <item x="3166"/>
        <item x="1357"/>
        <item x="3303"/>
        <item x="4563"/>
        <item x="388"/>
        <item x="3909"/>
        <item x="1473"/>
        <item x="4787"/>
        <item x="331"/>
        <item x="1711"/>
        <item x="803"/>
        <item x="1630"/>
        <item x="1239"/>
        <item x="3343"/>
        <item x="2302"/>
        <item x="2042"/>
        <item x="2388"/>
        <item x="2365"/>
        <item x="4432"/>
        <item x="1730"/>
        <item x="226"/>
        <item x="2808"/>
        <item x="2916"/>
        <item x="2756"/>
        <item x="3572"/>
        <item x="2104"/>
        <item x="4720"/>
        <item x="4876"/>
        <item x="895"/>
        <item x="3407"/>
        <item x="4579"/>
        <item x="3867"/>
        <item x="3990"/>
        <item x="220"/>
        <item x="4077"/>
        <item x="2879"/>
        <item x="2733"/>
        <item x="137"/>
        <item x="4809"/>
        <item x="3733"/>
        <item x="1441"/>
        <item x="519"/>
        <item x="127"/>
        <item x="2769"/>
        <item x="3150"/>
        <item x="1034"/>
        <item x="4619"/>
        <item x="3539"/>
        <item x="4336"/>
        <item x="2622"/>
        <item x="742"/>
        <item x="2885"/>
        <item x="4032"/>
        <item x="3158"/>
        <item x="2294"/>
        <item x="4383"/>
        <item x="4473"/>
        <item x="1976"/>
        <item x="1955"/>
        <item x="1428"/>
        <item x="459"/>
        <item x="179"/>
        <item x="878"/>
        <item x="2190"/>
        <item x="4852"/>
        <item x="3083"/>
        <item x="1442"/>
        <item x="2770"/>
        <item x="151"/>
        <item x="1736"/>
        <item x="4640"/>
        <item x="3056"/>
        <item x="2579"/>
        <item x="3996"/>
        <item x="3180"/>
        <item x="2448"/>
        <item x="4894"/>
        <item x="3005"/>
        <item x="3041"/>
        <item x="201"/>
        <item x="1518"/>
        <item x="1800"/>
        <item x="547"/>
        <item x="4884"/>
        <item x="2078"/>
        <item x="566"/>
        <item x="475"/>
        <item x="1208"/>
        <item x="642"/>
        <item x="3259"/>
        <item x="2684"/>
        <item x="335"/>
        <item x="4205"/>
        <item x="86"/>
        <item x="651"/>
        <item x="1722"/>
        <item x="2440"/>
        <item x="3997"/>
        <item x="2584"/>
        <item x="2389"/>
        <item x="3433"/>
        <item x="531"/>
        <item x="4512"/>
        <item x="2685"/>
        <item x="1593"/>
        <item x="4340"/>
        <item x="20"/>
        <item x="775"/>
        <item x="4446"/>
        <item x="1052"/>
        <item x="3310"/>
        <item x="3140"/>
        <item x="656"/>
        <item x="1111"/>
        <item x="4470"/>
        <item x="2900"/>
        <item x="2382"/>
        <item x="2052"/>
        <item x="2917"/>
        <item x="180"/>
        <item x="3226"/>
        <item x="3181"/>
        <item x="1519"/>
        <item x="730"/>
        <item x="4375"/>
        <item x="758"/>
        <item x="2533"/>
        <item x="4005"/>
        <item x="414"/>
        <item x="1824"/>
        <item x="2740"/>
        <item x="2036"/>
        <item x="1465"/>
        <item x="2503"/>
        <item x="2648"/>
        <item x="4564"/>
        <item x="2604"/>
        <item x="3510"/>
        <item x="1096"/>
        <item x="2256"/>
        <item x="4810"/>
        <item x="4729"/>
        <item x="2861"/>
        <item x="3638"/>
        <item x="789"/>
        <item x="3953"/>
        <item x="3868"/>
        <item x="1053"/>
        <item x="2534"/>
        <item x="1554"/>
        <item x="4006"/>
        <item x="2206"/>
        <item x="4217"/>
        <item x="1631"/>
        <item x="1977"/>
        <item x="3260"/>
        <item x="749"/>
        <item x="1879"/>
        <item x="1018"/>
        <item x="460"/>
        <item x="4178"/>
        <item x="1209"/>
        <item x="4341"/>
        <item x="1323"/>
        <item x="2207"/>
        <item x="1276"/>
        <item x="235"/>
        <item x="3698"/>
        <item x="700"/>
        <item x="4840"/>
        <item x="3434"/>
        <item x="3119"/>
        <item x="4166"/>
        <item x="3814"/>
        <item x="3998"/>
        <item x="3470"/>
        <item x="2008"/>
        <item x="1632"/>
        <item x="1967"/>
        <item x="873"/>
        <item x="16"/>
        <item x="4400"/>
        <item x="1433"/>
        <item x="922"/>
        <item x="2476"/>
        <item x="875"/>
        <item x="1023"/>
        <item x="4986"/>
        <item x="2259"/>
        <item x="3573"/>
        <item x="1956"/>
        <item x="1381"/>
        <item x="2908"/>
        <item x="3037"/>
        <item x="428"/>
        <item x="1067"/>
        <item x="4401"/>
        <item x="2652"/>
        <item x="4061"/>
        <item x="4641"/>
        <item x="1496"/>
        <item x="2127"/>
        <item x="3123"/>
        <item x="2144"/>
        <item x="4359"/>
        <item x="782"/>
        <item x="3604"/>
        <item x="3128"/>
        <item x="107"/>
        <item x="2095"/>
        <item x="461"/>
        <item x="3344"/>
        <item x="3328"/>
        <item x="2741"/>
        <item x="1783"/>
        <item x="273"/>
        <item x="1985"/>
        <item x="3066"/>
        <item x="3133"/>
        <item x="2686"/>
        <item x="2422"/>
        <item x="4659"/>
        <item x="2009"/>
        <item x="3680"/>
        <item x="4783"/>
        <item x="2653"/>
        <item x="3619"/>
        <item x="3201"/>
        <item x="4167"/>
        <item x="68"/>
        <item x="451"/>
        <item x="2208"/>
        <item x="912"/>
        <item x="2959"/>
        <item x="811"/>
        <item x="4144"/>
        <item x="3399"/>
        <item x="3057"/>
        <item x="2909"/>
        <item x="652"/>
        <item x="1559"/>
        <item x="470"/>
        <item x="1957"/>
        <item x="3878"/>
        <item x="4555"/>
        <item x="4915"/>
        <item x="1378"/>
        <item x="967"/>
        <item x="2932"/>
        <item x="1941"/>
        <item x="2323"/>
        <item x="1750"/>
        <item x="906"/>
        <item x="4895"/>
        <item x="3670"/>
        <item x="1000"/>
        <item x="4007"/>
        <item x="2398"/>
        <item x="1112"/>
        <item x="2441"/>
        <item x="1400"/>
        <item x="4367"/>
        <item x="1039"/>
        <item x="4522"/>
        <item x="3329"/>
        <item x="683"/>
        <item x="2821"/>
        <item x="319"/>
        <item x="3103"/>
        <item x="879"/>
        <item x="1320"/>
        <item x="509"/>
        <item x="1502"/>
        <item x="2260"/>
        <item x="4297"/>
        <item x="4197"/>
        <item x="4223"/>
        <item x="2504"/>
        <item x="4081"/>
        <item x="2079"/>
        <item x="3190"/>
        <item x="4980"/>
        <item x="954"/>
        <item x="4987"/>
        <item x="2957"/>
        <item x="3196"/>
        <item x="3414"/>
        <item x="2862"/>
        <item x="3859"/>
        <item x="4730"/>
        <item x="2281"/>
        <item x="191"/>
        <item x="626"/>
        <item x="4118"/>
        <item x="1361"/>
        <item x="3058"/>
        <item x="3217"/>
        <item x="1745"/>
        <item x="2477"/>
        <item x="1158"/>
        <item x="2261"/>
        <item x="4238"/>
        <item x="2112"/>
        <item x="3159"/>
        <item x="3424"/>
        <item x="1217"/>
        <item x="2303"/>
        <item x="3012"/>
        <item x="4556"/>
        <item x="709"/>
        <item x="2399"/>
        <item x="876"/>
        <item x="4342"/>
        <item x="29"/>
        <item x="160"/>
        <item x="1958"/>
        <item x="3129"/>
        <item x="2163"/>
        <item x="1766"/>
        <item x="3527"/>
        <item x="341"/>
        <item x="1188"/>
        <item x="4082"/>
        <item x="1751"/>
        <item x="1587"/>
        <item x="763"/>
        <item x="1669"/>
        <item x="4324"/>
        <item x="3202"/>
        <item x="2638"/>
        <item x="4384"/>
        <item x="4599"/>
        <item x="379"/>
        <item x="2834"/>
        <item x="1767"/>
        <item x="4413"/>
        <item x="4742"/>
        <item x="723"/>
        <item x="2216"/>
        <item x="4642"/>
        <item x="4798"/>
        <item x="1414"/>
        <item x="4565"/>
        <item x="4853"/>
        <item x="3923"/>
        <item x="3681"/>
        <item x="2977"/>
        <item x="916"/>
        <item x="4749"/>
        <item x="4263"/>
        <item x="1490"/>
        <item x="2555"/>
        <item x="4877"/>
        <item x="917"/>
        <item x="3392"/>
        <item x="4721"/>
        <item x="968"/>
        <item x="2809"/>
        <item x="1450"/>
        <item x="3218"/>
        <item x="2867"/>
        <item x="4982"/>
        <item x="167"/>
        <item x="4988"/>
        <item x="853"/>
        <item x="2359"/>
        <item x="3688"/>
        <item x="1662"/>
        <item x="4033"/>
        <item x="2509"/>
        <item x="2718"/>
        <item x="415"/>
        <item x="342"/>
        <item x="616"/>
        <item x="3227"/>
        <item x="1564"/>
        <item x="261"/>
        <item x="2080"/>
        <item x="3234"/>
        <item x="3622"/>
        <item x="3991"/>
        <item x="1159"/>
        <item x="4246"/>
        <item x="2875"/>
        <item x="783"/>
        <item x="3900"/>
        <item x="2432"/>
        <item x="2043"/>
        <item x="3415"/>
        <item x="2845"/>
        <item x="3488"/>
        <item x="2352"/>
        <item x="1860"/>
        <item x="2757"/>
        <item x="2513"/>
        <item x="58"/>
        <item x="367"/>
        <item x="2081"/>
        <item x="4799"/>
        <item x="368"/>
        <item x="4458"/>
        <item x="4239"/>
        <item x="2687"/>
        <item x="1457"/>
        <item x="3778"/>
        <item x="480"/>
        <item x="4483"/>
        <item x="4831"/>
        <item x="1614"/>
        <item x="369"/>
        <item x="611"/>
        <item x="1344"/>
        <item x="1345"/>
        <item x="1076"/>
        <item x="2570"/>
        <item x="1880"/>
        <item x="100"/>
        <item x="2813"/>
        <item x="2673"/>
        <item x="1443"/>
        <item x="2488"/>
        <item x="1054"/>
        <item x="4908"/>
        <item x="301"/>
        <item x="1369"/>
        <item x="804"/>
        <item x="1604"/>
        <item x="2761"/>
        <item x="684"/>
        <item x="3766"/>
        <item x="4433"/>
        <item x="4008"/>
        <item x="2901"/>
        <item x="1986"/>
        <item x="3912"/>
        <item x="2611"/>
        <item x="2044"/>
        <item x="2796"/>
        <item x="1203"/>
        <item x="2232"/>
        <item x="1497"/>
        <item x="2433"/>
        <item x="3699"/>
        <item x="790"/>
        <item x="438"/>
        <item x="3120"/>
        <item x="192"/>
        <item x="3528"/>
        <item x="64"/>
        <item x="21"/>
        <item x="2274"/>
        <item x="2758"/>
        <item x="4343"/>
        <item x="1055"/>
        <item x="3073"/>
        <item x="3254"/>
        <item x="4971"/>
        <item x="1746"/>
        <item x="1077"/>
        <item x="3830"/>
        <item x="1151"/>
        <item x="643"/>
        <item x="1768"/>
        <item x="2612"/>
        <item x="4896"/>
        <item x="520"/>
        <item x="389"/>
        <item x="4606"/>
        <item x="1160"/>
        <item x="4635"/>
        <item x="3013"/>
        <item x="2654"/>
        <item x="4557"/>
        <item x="4414"/>
        <item x="2063"/>
        <item x="1466"/>
        <item x="1011"/>
        <item x="2978"/>
        <item x="932"/>
        <item x="4788"/>
        <item x="2626"/>
        <item x="1255"/>
        <item x="2029"/>
        <item x="4119"/>
        <item x="791"/>
        <item x="3689"/>
        <item x="2927"/>
        <item x="4047"/>
        <item x="4349"/>
        <item x="1676"/>
        <item x="1784"/>
        <item x="2548"/>
        <item x="2201"/>
        <item x="4069"/>
        <item x="1825"/>
        <item x="4529"/>
        <item x="3690"/>
        <item x="4888"/>
        <item x="3499"/>
        <item x="955"/>
        <item x="3944"/>
        <item x="743"/>
        <item x="1388"/>
        <item x="2742"/>
        <item x="3362"/>
        <item x="1123"/>
        <item x="2701"/>
        <item x="3794"/>
        <item x="612"/>
        <item x="4612"/>
        <item x="210"/>
        <item x="1081"/>
        <item x="476"/>
        <item x="133"/>
        <item x="3261"/>
        <item x="4298"/>
        <item x="3748"/>
        <item x="1847"/>
        <item x="3006"/>
        <item x="4675"/>
        <item x="3823"/>
        <item x="3400"/>
        <item x="278"/>
        <item x="2414"/>
        <item x="116"/>
        <item x="4385"/>
        <item x="2489"/>
        <item x="2415"/>
        <item x="4504"/>
        <item x="108"/>
        <item x="3626"/>
        <item x="4459"/>
        <item x="4942"/>
        <item x="1120"/>
        <item x="4690"/>
        <item x="4474"/>
        <item x="2467"/>
        <item x="1246"/>
        <item x="1240"/>
        <item x="152"/>
        <item x="1221"/>
        <item x="2223"/>
        <item x="4240"/>
        <item x="1277"/>
        <item x="208"/>
        <item x="1001"/>
        <item x="3918"/>
        <item x="1663"/>
        <item x="4471"/>
        <item x="3779"/>
        <item x="1809"/>
        <item x="4199"/>
        <item x="3919"/>
        <item x="41"/>
        <item x="2556"/>
        <item x="380"/>
        <item x="296"/>
        <item x="4620"/>
        <item x="4698"/>
        <item x="1968"/>
        <item x="3574"/>
        <item x="886"/>
        <item x="1848"/>
        <item x="407"/>
        <item x="3700"/>
        <item x="3279"/>
        <item x="332"/>
        <item x="3141"/>
        <item x="1024"/>
        <item x="2627"/>
        <item x="2655"/>
        <item x="2863"/>
        <item x="3945"/>
        <item x="3650"/>
        <item x="4878"/>
        <item x="4261"/>
        <item x="4206"/>
        <item x="3901"/>
        <item x="1082"/>
        <item x="937"/>
        <item x="3860"/>
        <item x="635"/>
        <item x="1621"/>
        <item x="3931"/>
        <item x="4983"/>
        <item x="22"/>
        <item x="4052"/>
        <item x="59"/>
        <item x="211"/>
        <item x="439"/>
        <item x="65"/>
        <item x="2800"/>
        <item x="2886"/>
        <item x="938"/>
        <item x="3913"/>
        <item x="724"/>
        <item x="4922"/>
        <item x="1458"/>
        <item x="3575"/>
        <item x="2171"/>
        <item x="3639"/>
        <item x="4350"/>
        <item x="181"/>
        <item x="4484"/>
        <item x="3435"/>
        <item x="3124"/>
        <item x="4566"/>
        <item x="1132"/>
        <item x="2967"/>
        <item x="2678"/>
        <item x="2525"/>
        <item x="532"/>
        <item x="784"/>
        <item x="3483"/>
        <item x="2240"/>
        <item x="2120"/>
        <item x="4854"/>
        <item x="3182"/>
        <item x="3596"/>
        <item x="4859"/>
        <item x="644"/>
        <item x="429"/>
        <item x="2037"/>
        <item x="1170"/>
        <item x="3954"/>
        <item x="575"/>
        <item x="2974"/>
        <item x="488"/>
        <item x="3304"/>
        <item x="4125"/>
        <item x="4676"/>
        <item x="343"/>
        <item x="3161"/>
        <item x="3183"/>
        <item x="374"/>
        <item x="4485"/>
        <item x="3416"/>
        <item x="3356"/>
        <item x="969"/>
        <item x="4774"/>
        <item x="2526"/>
        <item x="381"/>
        <item x="4953"/>
        <item x="4009"/>
        <item x="595"/>
        <item x="4691"/>
        <item x="4207"/>
        <item x="4580"/>
        <item x="2797"/>
        <item x="1685"/>
        <item x="4763"/>
        <item x="759"/>
        <item x="3734"/>
        <item x="1588"/>
        <item x="627"/>
        <item x="2113"/>
        <item x="690"/>
        <item x="1677"/>
        <item x="288"/>
        <item x="4860"/>
        <item x="3815"/>
        <item x="4923"/>
        <item x="4692"/>
        <item x="1350"/>
        <item x="2136"/>
        <item x="541"/>
        <item x="4299"/>
        <item x="3377"/>
        <item x="3869"/>
        <item x="2918"/>
        <item x="3597"/>
        <item x="1382"/>
        <item x="236"/>
        <item x="1210"/>
        <item x="4062"/>
        <item x="2938"/>
        <item x="4010"/>
        <item x="489"/>
        <item x="3640"/>
        <item x="2405"/>
        <item x="3084"/>
        <item x="2295"/>
        <item x="4447"/>
        <item x="4415"/>
        <item x="2666"/>
        <item x="1520"/>
        <item x="4581"/>
        <item x="4434"/>
        <item x="2030"/>
        <item x="2468"/>
        <item x="4924"/>
        <item x="2217"/>
        <item x="2639"/>
        <item x="3031"/>
        <item x="2137"/>
        <item x="212"/>
        <item x="2326"/>
        <item x="1401"/>
        <item x="1124"/>
        <item x="3315"/>
        <item x="2814"/>
        <item x="3393"/>
        <item x="854"/>
        <item x="974"/>
        <item x="87"/>
        <item x="1769"/>
        <item x="4861"/>
        <item x="1678"/>
        <item x="69"/>
        <item x="4636"/>
        <item x="2781"/>
        <item x="4699"/>
        <item x="4011"/>
        <item x="3330"/>
        <item x="2628"/>
        <item x="2592"/>
        <item x="145"/>
        <item x="1785"/>
        <item x="1459"/>
        <item x="3722"/>
        <item x="3262"/>
        <item x="4824"/>
        <item x="2495"/>
        <item x="933"/>
        <item x="2390"/>
        <item x="4548"/>
        <item x="3870"/>
        <item x="558"/>
        <item x="1402"/>
        <item x="153"/>
        <item x="798"/>
        <item x="1873"/>
        <item x="3209"/>
        <item x="2734"/>
        <item x="2894"/>
        <item x="2021"/>
        <item x="1161"/>
        <item x="3974"/>
        <item x="4475"/>
        <item x="2979"/>
        <item x="2980"/>
        <item x="2000"/>
        <item x="320"/>
        <item x="3890"/>
        <item x="1247"/>
        <item x="3007"/>
        <item x="4486"/>
        <item x="1503"/>
        <item x="1083"/>
        <item x="4229"/>
        <item x="4756"/>
        <item x="182"/>
        <item x="3471"/>
        <item x="4376"/>
        <item x="357"/>
        <item x="2981"/>
        <item x="4879"/>
        <item x="691"/>
        <item x="4264"/>
        <item x="2434"/>
        <item x="3191"/>
        <item x="2383"/>
        <item x="171"/>
        <item x="227"/>
        <item x="1429"/>
        <item x="2505"/>
        <item x="3489"/>
        <item x="2082"/>
        <item x="4083"/>
        <item x="2469"/>
        <item x="138"/>
        <item x="3904"/>
        <item x="358"/>
        <item x="510"/>
        <item x="1397"/>
        <item x="183"/>
        <item x="3014"/>
        <item x="939"/>
        <item x="2336"/>
        <item x="2629"/>
        <item x="4150"/>
        <item x="1874"/>
        <item x="4464"/>
        <item x="3443"/>
        <item x="812"/>
        <item x="4700"/>
        <item x="1125"/>
        <item x="1313"/>
        <item x="3807"/>
        <item x="30"/>
        <item x="4465"/>
        <item x="3255"/>
        <item x="213"/>
        <item x="620"/>
        <item x="184"/>
        <item x="3808"/>
        <item x="1301"/>
        <item x="1594"/>
        <item x="3795"/>
        <item x="4241"/>
        <item x="4053"/>
        <item x="1885"/>
        <item x="2478"/>
        <item x="2370"/>
        <item x="154"/>
        <item x="302"/>
        <item x="569"/>
        <item x="1534"/>
        <item x="1479"/>
        <item x="3151"/>
        <item x="2416"/>
        <item x="3125"/>
        <item x="1589"/>
        <item x="3551"/>
        <item x="4279"/>
        <item x="2719"/>
        <item x="3495"/>
        <item x="2571"/>
        <item x="3924"/>
        <item x="4693"/>
        <item x="576"/>
        <item x="4109"/>
        <item x="3651"/>
        <item x="45"/>
        <item x="3378"/>
        <item x="596"/>
        <item x="3357"/>
        <item x="4084"/>
        <item x="3319"/>
        <item x="636"/>
        <item x="430"/>
        <item x="750"/>
        <item x="3015"/>
        <item x="880"/>
        <item x="2720"/>
        <item x="3605"/>
        <item x="3920"/>
        <item x="776"/>
        <item x="2815"/>
        <item x="2674"/>
        <item x="3879"/>
        <item x="1510"/>
        <item x="2384"/>
        <item x="3581"/>
        <item x="3476"/>
        <item x="1310"/>
        <item x="3980"/>
        <item x="424"/>
        <item x="1645"/>
        <item x="842"/>
        <item x="731"/>
        <item x="2442"/>
        <item x="1540"/>
        <item x="4558"/>
        <item x="4885"/>
        <item x="4897"/>
        <item x="2172"/>
        <item x="3992"/>
        <item x="1801"/>
        <item x="597"/>
        <item x="3511"/>
        <item x="214"/>
        <item x="2593"/>
        <item x="2053"/>
        <item x="3749"/>
        <item x="4660"/>
        <item x="2835"/>
        <item x="2822"/>
        <item x="4743"/>
        <item x="1867"/>
        <item x="42"/>
        <item x="1731"/>
        <item x="2054"/>
        <item x="799"/>
        <item x="567"/>
        <item x="431"/>
        <item x="4999"/>
        <item x="4139"/>
        <item x="3008"/>
        <item x="1256"/>
        <item x="2910"/>
        <item x="637"/>
        <item x="3311"/>
        <item x="3682"/>
        <item x="4820"/>
        <item x="598"/>
        <item x="1908"/>
        <item x="1362"/>
        <item x="1942"/>
        <item x="4880"/>
        <item x="3657"/>
        <item x="1152"/>
        <item x="2864"/>
        <item x="2128"/>
        <item x="2605"/>
        <item x="2202"/>
        <item x="4629"/>
        <item x="738"/>
        <item x="4253"/>
        <item x="146"/>
        <item x="3113"/>
        <item x="3184"/>
        <item x="1314"/>
        <item x="4667"/>
        <item x="2868"/>
        <item x="3701"/>
        <item x="1841"/>
        <item x="613"/>
        <item x="3305"/>
        <item x="3641"/>
        <item x="4416"/>
        <item x="4186"/>
        <item x="4392"/>
        <item x="2304"/>
        <item x="2164"/>
        <item x="2479"/>
        <item x="1485"/>
        <item x="1311"/>
        <item x="4237"/>
        <item x="1229"/>
        <item x="375"/>
        <item x="2923"/>
        <item x="1358"/>
        <item x="4932"/>
        <item x="1886"/>
        <item x="2391"/>
        <item x="3587"/>
        <item x="3512"/>
        <item x="4425"/>
        <item x="4648"/>
        <item x="2846"/>
        <item x="4048"/>
        <item x="3210"/>
        <item x="4789"/>
        <item x="4505"/>
        <item x="2630"/>
        <item x="2191"/>
        <item x="1346"/>
        <item x="241"/>
        <item x="1826"/>
        <item x="7"/>
        <item x="31"/>
        <item x="4682"/>
        <item x="2406"/>
        <item x="1383"/>
        <item x="2392"/>
        <item x="1875"/>
        <item x="2572"/>
        <item x="3561"/>
        <item x="1467"/>
        <item x="511"/>
        <item x="1590"/>
        <item x="1142"/>
        <item x="4621"/>
        <item x="2876"/>
        <item x="4242"/>
        <item x="23"/>
        <item x="3462"/>
        <item x="4344"/>
        <item x="3472"/>
        <item x="4306"/>
        <item x="1901"/>
        <item x="1211"/>
        <item x="321"/>
        <item x="940"/>
        <item x="4254"/>
        <item x="4989"/>
        <item x="139"/>
        <item x="701"/>
        <item x="4492"/>
        <item x="228"/>
        <item x="262"/>
        <item x="3192"/>
        <item x="3576"/>
        <item x="1406"/>
        <item x="3337"/>
        <item x="4377"/>
        <item x="3691"/>
        <item x="2031"/>
        <item x="24"/>
        <item x="3598"/>
        <item x="4649"/>
        <item x="3363"/>
        <item x="1257"/>
        <item x="1834"/>
        <item x="645"/>
        <item x="70"/>
        <item x="3671"/>
        <item x="2887"/>
        <item x="3652"/>
        <item x="117"/>
        <item x="255"/>
        <item x="1403"/>
        <item x="3009"/>
        <item x="2490"/>
        <item x="2968"/>
        <item x="2455"/>
        <item x="3348"/>
        <item x="333"/>
        <item x="4592"/>
        <item x="3025"/>
        <item x="805"/>
        <item x="2631"/>
        <item x="4187"/>
        <item x="2688"/>
        <item x="2393"/>
        <item x="3546"/>
        <item x="2491"/>
        <item x="3880"/>
        <item x="4825"/>
        <item x="1162"/>
        <item x="4582"/>
        <item x="3634"/>
        <item x="4775"/>
        <item x="289"/>
        <item x="37"/>
        <item x="2022"/>
        <item x="2911"/>
        <item x="4643"/>
        <item x="2105"/>
        <item x="3635"/>
        <item x="1340"/>
        <item x="3172"/>
        <item x="4449"/>
        <item x="710"/>
        <item x="4289"/>
        <item x="4466"/>
        <item x="4102"/>
        <item x="2895"/>
        <item x="490"/>
        <item x="1817"/>
        <item x="2506"/>
        <item x="4630"/>
        <item x="981"/>
        <item x="2919"/>
        <item x="4731"/>
        <item x="4070"/>
        <item x="3848"/>
        <item x="666"/>
        <item x="4476"/>
        <item x="229"/>
        <item x="1258"/>
        <item x="913"/>
        <item x="4499"/>
        <item x="4530"/>
        <item x="1131"/>
        <item x="2711"/>
        <item x="4368"/>
        <item x="4694"/>
        <item x="481"/>
        <item x="2664"/>
        <item x="3496"/>
        <item x="63"/>
        <item x="2514"/>
        <item x="3606"/>
        <item x="2452"/>
        <item x="2266"/>
        <item x="2853"/>
        <item x="4407"/>
        <item x="3662"/>
        <item x="4549"/>
        <item x="2366"/>
        <item x="303"/>
        <item x="3085"/>
        <item x="1068"/>
        <item x="990"/>
        <item x="834"/>
        <item x="785"/>
        <item x="3999"/>
        <item x="2160"/>
        <item x="4408"/>
        <item x="134"/>
        <item x="2557"/>
        <item x="1802"/>
        <item x="3784"/>
        <item x="1259"/>
        <item x="2423"/>
        <item x="4103"/>
        <item x="46"/>
        <item x="4034"/>
        <item x="4811"/>
        <item x="4945"/>
        <item x="172"/>
        <item x="3723"/>
        <item x="2173"/>
        <item x="1097"/>
        <item x="185"/>
        <item x="4898"/>
        <item x="934"/>
        <item x="3134"/>
        <item x="3345"/>
        <item x="1474"/>
        <item x="657"/>
        <item x="2138"/>
        <item x="140"/>
        <item x="4218"/>
        <item x="3142"/>
        <item x="2902"/>
        <item x="2023"/>
        <item x="4104"/>
        <item x="3702"/>
        <item x="1363"/>
        <item x="4677"/>
        <item x="4351"/>
        <item x="3780"/>
        <item x="3135"/>
        <item x="4736"/>
        <item x="4567"/>
        <item x="1849"/>
        <item x="4319"/>
        <item x="1113"/>
        <item x="2129"/>
        <item x="3816"/>
        <item x="482"/>
        <item x="1189"/>
        <item x="245"/>
        <item x="4345"/>
        <item x="568"/>
        <item x="2712"/>
        <item x="4369"/>
        <item x="3228"/>
        <item x="2315"/>
        <item x="1650"/>
        <item x="2327"/>
        <item x="4500"/>
        <item x="4570"/>
        <item x="2713"/>
        <item x="186"/>
        <item x="3452"/>
        <item x="4450"/>
        <item x="4650"/>
        <item x="2192"/>
        <item x="4346"/>
        <item x="2253"/>
        <item x="4668"/>
        <item x="2912"/>
        <item x="3718"/>
        <item x="3881"/>
        <item x="3484"/>
        <item x="970"/>
        <item x="4826"/>
        <item x="2257"/>
        <item x="947"/>
        <item x="215"/>
        <item x="2958"/>
        <item x="2606"/>
        <item x="4669"/>
        <item x="2830"/>
        <item x="3607"/>
        <item x="887"/>
        <item x="2877"/>
        <item x="4655"/>
        <item x="4862"/>
        <item x="1171"/>
        <item x="3121"/>
        <item x="2771"/>
        <item x="3838"/>
        <item x="3764"/>
        <item x="416"/>
        <item x="888"/>
        <item x="2726"/>
        <item x="4493"/>
        <item x="907"/>
        <item x="1928"/>
        <item x="2224"/>
        <item x="3436"/>
        <item x="1218"/>
        <item x="247"/>
        <item x="3577"/>
        <item x="2743"/>
        <item x="4243"/>
        <item x="3627"/>
        <item x="4114"/>
        <item x="3785"/>
        <item x="395"/>
        <item x="3692"/>
        <item x="3016"/>
        <item x="1595"/>
        <item x="352"/>
        <item x="2656"/>
        <item x="4744"/>
        <item x="128"/>
        <item x="1278"/>
        <item x="1794"/>
        <item x="3628"/>
        <item x="4098"/>
        <item x="4644"/>
        <item x="4593"/>
        <item x="3613"/>
        <item x="1190"/>
        <item x="316"/>
        <item x="2233"/>
        <item x="4156"/>
        <item x="2535"/>
        <item x="4757"/>
        <item x="3453"/>
        <item x="1686"/>
        <item x="868"/>
        <item x="4063"/>
        <item x="2598"/>
        <item x="66"/>
        <item x="584"/>
        <item x="4085"/>
        <item x="3578"/>
        <item x="676"/>
        <item x="1679"/>
        <item x="3235"/>
        <item x="4454"/>
        <item x="4695"/>
        <item x="1959"/>
        <item x="2139"/>
        <item x="1633"/>
        <item x="1291"/>
        <item x="3517"/>
        <item x="4352"/>
        <item x="4990"/>
        <item x="1695"/>
        <item x="2083"/>
        <item x="4670"/>
        <item x="603"/>
        <item x="4370"/>
        <item x="3839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Page" multipleItemSelectionAllowed="1" showAll="0">
      <items count="9">
        <item h="1" x="2"/>
        <item h="1" x="1"/>
        <item h="1" x="0"/>
        <item h="1" x="4"/>
        <item x="5"/>
        <item h="1" x="7"/>
        <item x="3"/>
        <item x="6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axis="axisCol" showAll="0">
      <items count="4">
        <item x="2"/>
        <item x="0"/>
        <item x="1"/>
        <item t="default"/>
      </items>
    </pivotField>
    <pivotField numFmtId="2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8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pageFields count="1">
    <pageField fld="4" hier="-1"/>
  </pageFields>
  <dataFields count="2">
    <dataField name="Count of PatientID" fld="1" subtotal="count" baseField="0" baseItem="0"/>
    <dataField name="Sum of Cost" fld="7" baseField="3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B32C4-6AA2-4651-A754-5BE2B087E9ED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11:O15" firstHeaderRow="1" firstDataRow="1" firstDataCol="1"/>
  <pivotFields count="14">
    <pivotField numFmtId="14" showAll="0"/>
    <pivotField dataField="1" showAll="0">
      <items count="5001">
        <item x="1776"/>
        <item x="3099"/>
        <item x="2348"/>
        <item x="1732"/>
        <item x="483"/>
        <item x="4538"/>
        <item x="3547"/>
        <item x="4151"/>
        <item x="4120"/>
        <item x="4325"/>
        <item x="3663"/>
        <item x="677"/>
        <item x="3683"/>
        <item x="4827"/>
        <item x="2801"/>
        <item x="1615"/>
        <item x="4776"/>
        <item x="1315"/>
        <item x="552"/>
        <item x="4745"/>
        <item x="1915"/>
        <item x="3241"/>
        <item x="2924"/>
        <item x="1670"/>
        <item x="81"/>
        <item x="2114"/>
        <item x="504"/>
        <item x="4523"/>
        <item x="3518"/>
        <item x="3408"/>
        <item x="118"/>
        <item x="3765"/>
        <item x="4219"/>
        <item x="3338"/>
        <item x="3306"/>
        <item x="4790"/>
        <item x="542"/>
        <item x="4946"/>
        <item x="806"/>
        <item x="2193"/>
        <item x="2234"/>
        <item x="715"/>
        <item x="1504"/>
        <item x="1143"/>
        <item x="2649"/>
        <item x="3861"/>
        <item x="792"/>
        <item x="2209"/>
        <item x="3268"/>
        <item x="3104"/>
        <item x="1324"/>
        <item x="1230"/>
        <item x="3242"/>
        <item x="1370"/>
        <item x="1992"/>
        <item x="4437"/>
        <item x="2640"/>
        <item x="1803"/>
        <item x="918"/>
        <item x="2337"/>
        <item x="1929"/>
        <item x="1759"/>
        <item x="1579"/>
        <item x="4916"/>
        <item x="3370"/>
        <item x="4438"/>
        <item x="2282"/>
        <item x="3588"/>
        <item x="4439"/>
        <item x="4271"/>
        <item x="1306"/>
        <item x="3114"/>
        <item x="1163"/>
        <item x="4230"/>
        <item x="3735"/>
        <item x="521"/>
        <item x="3693"/>
        <item x="1279"/>
        <item x="3840"/>
        <item x="267"/>
        <item x="3710"/>
        <item x="2823"/>
        <item x="678"/>
        <item x="1379"/>
        <item x="4841"/>
        <item x="3409"/>
        <item x="4255"/>
        <item x="119"/>
        <item x="889"/>
        <item x="3932"/>
        <item x="491"/>
        <item x="221"/>
        <item x="3817"/>
        <item x="1451"/>
        <item x="3975"/>
        <item x="2689"/>
        <item x="1651"/>
        <item x="1596"/>
        <item x="3756"/>
        <item x="3981"/>
        <item x="2435"/>
        <item x="417"/>
        <item x="3243"/>
        <item x="4272"/>
        <item x="2880"/>
        <item x="658"/>
        <item x="4040"/>
        <item x="1835"/>
        <item x="101"/>
        <item x="3672"/>
        <item x="4791"/>
        <item x="4360"/>
        <item x="4889"/>
        <item x="4494"/>
        <item x="1597"/>
        <item x="2106"/>
        <item x="1943"/>
        <item x="1307"/>
        <item x="4078"/>
        <item x="702"/>
        <item x="3042"/>
        <item x="3940"/>
        <item x="382"/>
        <item x="51"/>
        <item x="3490"/>
        <item x="1560"/>
        <item x="1179"/>
        <item x="2810"/>
        <item x="1528"/>
        <item x="2038"/>
        <item x="585"/>
        <item x="2789"/>
        <item x="4900"/>
        <item x="2407"/>
        <item x="2939"/>
        <item x="3067"/>
        <item x="3371"/>
        <item x="1468"/>
        <item x="83"/>
        <item x="1671"/>
        <item x="1723"/>
        <item x="2522"/>
        <item x="4064"/>
        <item x="925"/>
        <item x="1133"/>
        <item x="3417"/>
        <item x="1555"/>
        <item x="3269"/>
        <item x="559"/>
        <item x="692"/>
        <item x="471"/>
        <item x="2360"/>
        <item x="3589"/>
        <item x="3711"/>
        <item x="4282"/>
        <item x="4402"/>
        <item x="3614"/>
        <item x="716"/>
        <item x="4933"/>
        <item x="3629"/>
        <item x="2324"/>
        <item x="570"/>
        <item x="1770"/>
        <item x="2107"/>
        <item x="4361"/>
        <item x="1316"/>
        <item x="3513"/>
        <item x="2316"/>
        <item x="628"/>
        <item x="2496"/>
        <item x="1407"/>
        <item x="777"/>
        <item x="1351"/>
        <item x="1248"/>
        <item x="4145"/>
        <item x="1302"/>
        <item x="2032"/>
        <item x="4035"/>
        <item x="1786"/>
        <item x="4732"/>
        <item x="4960"/>
        <item x="4656"/>
        <item x="4972"/>
        <item x="4963"/>
        <item x="4353"/>
        <item x="3608"/>
        <item x="3964"/>
        <item x="4409"/>
        <item x="703"/>
        <item x="2235"/>
        <item x="4140"/>
        <item x="1804"/>
        <item x="1960"/>
        <item x="4513"/>
        <item x="3032"/>
        <item x="3529"/>
        <item x="4661"/>
        <item x="377"/>
        <item x="2913"/>
        <item x="17"/>
        <item x="3658"/>
        <item x="1680"/>
        <item x="4426"/>
        <item x="604"/>
        <item x="1434"/>
        <item x="4750"/>
        <item x="2940"/>
        <item x="860"/>
        <item x="3500"/>
        <item x="4168"/>
        <item x="1231"/>
        <item x="4613"/>
        <item x="4079"/>
        <item x="4671"/>
        <item x="4925"/>
        <item x="1771"/>
        <item x="4146"/>
        <item x="2515"/>
        <item x="2613"/>
        <item x="2275"/>
        <item x="899"/>
        <item x="4722"/>
        <item x="1511"/>
        <item x="4440"/>
        <item x="4777"/>
        <item x="1868"/>
        <item x="818"/>
        <item x="452"/>
        <item x="4460"/>
        <item x="4550"/>
        <item x="2210"/>
        <item x="4354"/>
        <item x="2614"/>
        <item x="3068"/>
        <item x="1565"/>
        <item x="1529"/>
        <item x="3463"/>
        <item x="3115"/>
        <item x="2565"/>
        <item x="336"/>
        <item x="1384"/>
        <item x="3017"/>
        <item x="216"/>
        <item x="3630"/>
        <item x="3552"/>
        <item x="819"/>
        <item x="3781"/>
        <item x="2152"/>
        <item x="3152"/>
        <item x="1371"/>
        <item x="2371"/>
        <item x="2941"/>
        <item x="4393"/>
        <item x="1044"/>
        <item x="2573"/>
        <item x="2436"/>
        <item x="2527"/>
        <item x="704"/>
        <item x="835"/>
        <item x="1292"/>
        <item x="1795"/>
        <item x="3786"/>
        <item x="2174"/>
        <item x="4583"/>
        <item x="756"/>
        <item x="4451"/>
        <item x="3116"/>
        <item x="4651"/>
        <item x="4273"/>
        <item x="408"/>
        <item x="4751"/>
        <item x="847"/>
        <item x="268"/>
        <item x="975"/>
        <item x="4280"/>
        <item x="304"/>
        <item x="874"/>
        <item x="3724"/>
        <item x="4012"/>
        <item x="1810"/>
        <item x="1421"/>
        <item x="425"/>
        <item x="4312"/>
        <item x="4672"/>
        <item x="2960"/>
        <item x="2766"/>
        <item x="1672"/>
        <item x="3719"/>
        <item x="3562"/>
        <item x="1687"/>
        <item x="3018"/>
        <item x="3801"/>
        <item x="1930"/>
        <item x="2091"/>
        <item x="1993"/>
        <item x="3236"/>
        <item x="2549"/>
        <item x="1007"/>
        <item x="4752"/>
        <item x="2286"/>
        <item x="778"/>
        <item x="3514"/>
        <item x="4049"/>
        <item x="4179"/>
        <item x="3946"/>
        <item x="2744"/>
        <item x="3349"/>
        <item x="2816"/>
        <item x="3885"/>
        <item x="4231"/>
        <item x="4169"/>
        <item x="4514"/>
        <item x="3905"/>
        <item x="725"/>
        <item x="941"/>
        <item x="4180"/>
        <item x="2367"/>
        <item x="3642"/>
        <item x="2385"/>
        <item x="2933"/>
        <item x="685"/>
        <item x="1025"/>
        <item x="2896"/>
        <item x="1134"/>
        <item x="2084"/>
        <item x="263"/>
        <item x="1347"/>
        <item x="3796"/>
        <item x="432"/>
        <item x="3372"/>
        <item x="2241"/>
        <item x="4337"/>
        <item x="4224"/>
        <item x="3582"/>
        <item x="3162"/>
        <item x="2934"/>
        <item x="4622"/>
        <item x="1262"/>
        <item x="1850"/>
        <item x="2456"/>
        <item x="3270"/>
        <item x="1056"/>
        <item x="3320"/>
        <item x="1280"/>
        <item x="3712"/>
        <item x="2242"/>
        <item x="202"/>
        <item x="4394"/>
        <item x="4623"/>
        <item x="3379"/>
        <item x="4338"/>
        <item x="2566"/>
        <item x="4863"/>
        <item x="2480"/>
        <item x="1818"/>
        <item x="4371"/>
        <item x="3136"/>
        <item x="3862"/>
        <item x="2417"/>
        <item x="4501"/>
        <item x="2461"/>
        <item x="4283"/>
        <item x="732"/>
        <item x="1944"/>
        <item x="2194"/>
        <item x="1475"/>
        <item x="0"/>
        <item x="679"/>
        <item x="1090"/>
        <item x="359"/>
        <item x="4954"/>
        <item x="4864"/>
        <item x="2211"/>
        <item x="667"/>
        <item x="2175"/>
        <item x="1994"/>
        <item x="2140"/>
        <item x="686"/>
        <item x="3982"/>
        <item x="3043"/>
        <item x="3824"/>
        <item x="3841"/>
        <item x="1598"/>
        <item x="908"/>
        <item x="3364"/>
        <item x="269"/>
        <item x="4362"/>
        <item x="1566"/>
        <item x="1241"/>
        <item x="4378"/>
        <item x="3044"/>
        <item x="2176"/>
        <item x="396"/>
        <item x="484"/>
        <item x="1002"/>
        <item x="2942"/>
        <item x="397"/>
        <item x="8"/>
        <item x="1385"/>
        <item x="3312"/>
        <item x="4964"/>
        <item x="1452"/>
        <item x="2782"/>
        <item x="1084"/>
        <item x="2599"/>
        <item x="4041"/>
        <item x="3809"/>
        <item x="4832"/>
        <item x="909"/>
        <item x="1760"/>
        <item x="409"/>
        <item x="1430"/>
        <item x="3501"/>
        <item x="4036"/>
        <item x="161"/>
        <item x="4395"/>
        <item x="2727"/>
        <item x="3767"/>
        <item x="1164"/>
        <item x="1995"/>
        <item x="1920"/>
        <item x="3787"/>
        <item x="751"/>
        <item x="1541"/>
        <item x="440"/>
        <item x="2558"/>
        <item x="1969"/>
        <item x="4372"/>
        <item x="1057"/>
        <item x="586"/>
        <item x="2702"/>
        <item x="2064"/>
        <item x="2177"/>
        <item x="2623"/>
        <item x="3694"/>
        <item x="3782"/>
        <item x="3275"/>
        <item x="1634"/>
        <item x="1987"/>
        <item x="3810"/>
        <item x="3631"/>
        <item x="1435"/>
        <item x="2338"/>
        <item x="2121"/>
        <item x="2248"/>
        <item x="141"/>
        <item x="1058"/>
        <item x="4417"/>
        <item x="2085"/>
        <item x="2721"/>
        <item x="2122"/>
        <item x="1887"/>
        <item x="1035"/>
        <item x="3425"/>
        <item x="4320"/>
        <item x="764"/>
        <item x="2185"/>
        <item x="3802"/>
        <item x="3105"/>
        <item x="2283"/>
        <item x="1364"/>
        <item x="2996"/>
        <item x="1752"/>
        <item x="4441"/>
        <item x="1978"/>
        <item x="1580"/>
        <item x="1688"/>
        <item x="4955"/>
        <item x="383"/>
        <item x="4313"/>
        <item x="3197"/>
        <item x="948"/>
        <item x="3891"/>
        <item x="2798"/>
        <item x="2368"/>
        <item x="1945"/>
        <item x="2903"/>
        <item x="2115"/>
        <item x="2847"/>
        <item x="1605"/>
        <item x="4842"/>
        <item x="2424"/>
        <item x="3276"/>
        <item x="3831"/>
        <item x="1811"/>
        <item x="2925"/>
        <item x="71"/>
        <item x="4427"/>
        <item x="4290"/>
        <item x="2690"/>
        <item x="4806"/>
        <item x="3106"/>
        <item x="3736"/>
        <item x="2372"/>
        <item x="2462"/>
        <item x="2550"/>
        <item x="1827"/>
        <item x="826"/>
        <item x="120"/>
        <item x="4314"/>
        <item x="102"/>
        <item x="4265"/>
        <item x="982"/>
        <item x="4934"/>
        <item x="3019"/>
        <item x="1836"/>
        <item x="4256"/>
        <item x="187"/>
        <item x="1191"/>
        <item x="256"/>
        <item x="1204"/>
        <item x="3485"/>
        <item x="4843"/>
        <item x="1480"/>
        <item x="1646"/>
        <item x="418"/>
        <item x="949"/>
        <item x="4764"/>
        <item x="4657"/>
        <item x="3832"/>
        <item x="93"/>
        <item x="765"/>
        <item x="322"/>
        <item x="2802"/>
        <item x="94"/>
        <item x="4965"/>
        <item x="3673"/>
        <item x="1988"/>
        <item x="3871"/>
        <item x="3833"/>
        <item x="1979"/>
        <item x="4110"/>
        <item x="843"/>
        <item x="193"/>
        <item x="2443"/>
        <item x="961"/>
        <item x="3725"/>
        <item x="2099"/>
        <item x="344"/>
        <item x="1205"/>
        <item x="1139"/>
        <item x="2305"/>
        <item x="1460"/>
        <item x="3664"/>
        <item x="1165"/>
        <item x="560"/>
        <item x="1796"/>
        <item x="533"/>
        <item x="4157"/>
        <item x="786"/>
        <item x="462"/>
        <item x="1777"/>
        <item x="2195"/>
        <item x="3380"/>
        <item x="512"/>
        <item x="726"/>
        <item x="1622"/>
        <item x="1505"/>
        <item x="1772"/>
        <item x="2196"/>
        <item x="1575"/>
        <item x="4396"/>
        <item x="4208"/>
        <item x="1805"/>
        <item x="4086"/>
        <item x="337"/>
        <item x="3117"/>
        <item x="4132"/>
        <item x="3394"/>
        <item x="3834"/>
        <item x="2236"/>
        <item x="1003"/>
        <item x="2276"/>
        <item x="248"/>
        <item x="1902"/>
        <item x="3026"/>
        <item x="2667"/>
        <item x="47"/>
        <item x="477"/>
        <item x="3444"/>
        <item x="1469"/>
        <item x="2574"/>
        <item x="4477"/>
        <item x="4758"/>
        <item x="4714"/>
        <item x="323"/>
        <item x="3365"/>
        <item x="1461"/>
        <item x="2722"/>
        <item x="711"/>
        <item x="264"/>
        <item x="4326"/>
        <item x="844"/>
        <item x="2249"/>
        <item x="2888"/>
        <item x="3464"/>
        <item x="4209"/>
        <item x="1548"/>
        <item x="4262"/>
        <item x="376"/>
        <item x="2055"/>
        <item x="147"/>
        <item x="976"/>
        <item x="4631"/>
        <item x="1787"/>
        <item x="3726"/>
        <item x="3198"/>
        <item x="2437"/>
        <item x="4568"/>
        <item x="4315"/>
        <item x="3426"/>
        <item x="4571"/>
        <item x="129"/>
        <item x="779"/>
        <item x="4723"/>
        <item x="2624"/>
        <item x="3892"/>
        <item x="4899"/>
        <item x="3401"/>
        <item x="3427"/>
        <item x="297"/>
        <item x="1415"/>
        <item x="1616"/>
        <item x="3211"/>
        <item x="48"/>
        <item x="4966"/>
        <item x="2982"/>
        <item x="2123"/>
        <item x="1970"/>
        <item x="2961"/>
        <item x="4327"/>
        <item x="2735"/>
        <item x="4461"/>
        <item x="900"/>
        <item x="1837"/>
        <item x="2072"/>
        <item x="3925"/>
        <item x="4600"/>
        <item x="1242"/>
        <item x="923"/>
        <item x="668"/>
        <item x="1408"/>
        <item x="3143"/>
        <item x="1121"/>
        <item x="1219"/>
        <item x="1491"/>
        <item x="861"/>
        <item x="279"/>
        <item x="290"/>
        <item x="3842"/>
        <item x="1098"/>
        <item x="2178"/>
        <item x="766"/>
        <item x="1936"/>
        <item x="3583"/>
        <item x="910"/>
        <item x="194"/>
        <item x="553"/>
        <item x="787"/>
        <item x="687"/>
        <item x="3599"/>
        <item x="1114"/>
        <item x="3525"/>
        <item x="4865"/>
        <item x="4844"/>
        <item x="2145"/>
        <item x="561"/>
        <item x="2394"/>
        <item x="2086"/>
        <item x="1126"/>
        <item x="1099"/>
        <item x="2516"/>
        <item x="956"/>
        <item x="1372"/>
        <item x="3849"/>
        <item x="242"/>
        <item x="4792"/>
        <item x="1512"/>
        <item x="4000"/>
        <item x="2284"/>
        <item x="1931"/>
        <item x="2507"/>
        <item x="1513"/>
        <item x="4662"/>
        <item x="3659"/>
        <item x="1861"/>
        <item x="2848"/>
        <item x="4881"/>
        <item x="1737"/>
        <item x="767"/>
        <item x="991"/>
        <item x="2492"/>
        <item x="4111"/>
        <item x="3350"/>
        <item x="2897"/>
        <item x="4188"/>
        <item x="168"/>
        <item x="1778"/>
        <item x="1862"/>
        <item x="2783"/>
        <item x="3437"/>
        <item x="4890"/>
        <item x="4724"/>
        <item x="3568"/>
        <item x="3160"/>
        <item x="3502"/>
        <item x="1492"/>
        <item x="2615"/>
        <item x="2803"/>
        <item x="3395"/>
        <item x="3530"/>
        <item x="3465"/>
        <item x="605"/>
        <item x="513"/>
        <item x="2790"/>
        <item x="3248"/>
        <item x="3609"/>
        <item x="1237"/>
        <item x="4584"/>
        <item x="4054"/>
        <item x="971"/>
        <item x="203"/>
        <item x="2258"/>
        <item x="1045"/>
        <item x="4339"/>
        <item x="308"/>
        <item x="4715"/>
        <item x="733"/>
        <item x="2141"/>
        <item x="534"/>
        <item x="3914"/>
        <item x="1753"/>
        <item x="2463"/>
        <item x="4112"/>
        <item x="4506"/>
        <item x="3373"/>
        <item x="1359"/>
        <item x="4935"/>
        <item x="901"/>
        <item x="3331"/>
        <item x="3843"/>
        <item x="1148"/>
        <item x="693"/>
        <item x="4291"/>
        <item x="599"/>
        <item x="2714"/>
        <item x="2045"/>
        <item x="4813"/>
        <item x="1268"/>
        <item x="246"/>
        <item x="977"/>
        <item x="535"/>
        <item x="1069"/>
        <item x="4845"/>
        <item x="4410"/>
        <item x="3428"/>
        <item x="3893"/>
        <item x="3615"/>
        <item x="2772"/>
        <item x="2585"/>
        <item x="1222"/>
        <item x="4386"/>
        <item x="13"/>
        <item x="4710"/>
        <item x="3959"/>
        <item x="1281"/>
        <item x="3402"/>
        <item x="1535"/>
        <item x="3569"/>
        <item x="1881"/>
        <item x="1989"/>
        <item x="3757"/>
        <item x="4765"/>
        <item x="2849"/>
        <item x="1921"/>
        <item x="800"/>
        <item x="629"/>
        <item x="2243"/>
        <item x="3263"/>
        <item x="694"/>
        <item x="249"/>
        <item x="2762"/>
        <item x="72"/>
        <item x="630"/>
        <item x="4996"/>
        <item x="1712"/>
        <item x="2328"/>
        <item x="4766"/>
        <item x="2349"/>
        <item x="4331"/>
        <item x="669"/>
        <item x="1107"/>
        <item x="2773"/>
        <item x="4866"/>
        <item x="1135"/>
        <item x="514"/>
        <item x="4013"/>
        <item x="3292"/>
        <item x="768"/>
        <item x="222"/>
        <item x="2317"/>
        <item x="4014"/>
        <item x="4071"/>
        <item x="195"/>
        <item x="4403"/>
        <item x="2341"/>
        <item x="659"/>
        <item x="1312"/>
        <item x="705"/>
        <item x="788"/>
        <item x="1070"/>
        <item x="4099"/>
        <item x="2679"/>
        <item x="4050"/>
        <item x="4257"/>
        <item x="2400"/>
        <item x="4515"/>
        <item x="1863"/>
        <item x="1223"/>
        <item x="2024"/>
        <item x="3933"/>
        <item x="4956"/>
        <item x="1521"/>
        <item x="695"/>
        <item x="739"/>
        <item x="3277"/>
        <item x="1180"/>
        <item x="3321"/>
        <item x="4065"/>
        <item x="4559"/>
        <item x="896"/>
        <item x="3706"/>
        <item x="4572"/>
        <item x="935"/>
        <item x="1971"/>
        <item x="2693"/>
        <item x="2728"/>
        <item x="1812"/>
        <item x="3872"/>
        <item x="4428"/>
        <item x="4917"/>
        <item x="4042"/>
        <item x="3049"/>
        <item x="324"/>
        <item x="1078"/>
        <item x="2600"/>
        <item x="3457"/>
        <item x="345"/>
        <item x="848"/>
        <item x="1046"/>
        <item x="4909"/>
        <item x="3660"/>
        <item x="1100"/>
        <item x="3703"/>
        <item x="2470"/>
        <item x="1530"/>
        <item x="398"/>
        <item x="1493"/>
        <item x="1514"/>
        <item x="3491"/>
        <item x="1040"/>
        <item x="2497"/>
        <item x="4814"/>
        <item x="1747"/>
        <item x="2536"/>
        <item x="60"/>
        <item x="4759"/>
        <item x="4442"/>
        <item x="3445"/>
        <item x="4901"/>
        <item x="4891"/>
        <item x="3466"/>
        <item x="3256"/>
        <item x="548"/>
        <item x="577"/>
        <item x="1393"/>
        <item x="2117"/>
        <item x="688"/>
        <item x="135"/>
        <item x="2277"/>
        <item x="4467"/>
        <item x="121"/>
        <item x="2567"/>
        <item x="680"/>
        <item x="3886"/>
        <item x="2244"/>
        <item x="1019"/>
        <item x="4718"/>
        <item x="309"/>
        <item x="2528"/>
        <item x="4539"/>
        <item x="4502"/>
        <item x="3458"/>
        <item x="760"/>
        <item x="2616"/>
        <item x="4072"/>
        <item x="4991"/>
        <item x="2375"/>
        <item x="4448"/>
        <item x="3045"/>
        <item x="1140"/>
        <item x="3713"/>
        <item x="95"/>
        <item x="485"/>
        <item x="1773"/>
        <item x="1922"/>
        <item x="4015"/>
        <item x="3366"/>
        <item x="1946"/>
        <item x="4300"/>
        <item x="3185"/>
        <item x="4210"/>
        <item x="793"/>
        <item x="4973"/>
        <item x="3737"/>
        <item x="3850"/>
        <item x="4418"/>
        <item x="3229"/>
        <item x="4833"/>
        <item x="1282"/>
        <item x="4174"/>
        <item x="1269"/>
        <item x="4683"/>
        <item x="2329"/>
        <item x="1115"/>
        <item x="204"/>
        <item x="4355"/>
        <item x="3403"/>
        <item x="1232"/>
        <item x="4867"/>
        <item x="4495"/>
        <item x="4037"/>
        <item x="522"/>
        <item x="4321"/>
        <item x="4175"/>
        <item x="2962"/>
        <item x="2197"/>
        <item x="1567"/>
        <item x="3446"/>
        <item x="3610"/>
        <item x="1923"/>
        <item x="1206"/>
        <item x="2325"/>
        <item x="2529"/>
        <item x="4152"/>
        <item x="3738"/>
        <item x="4936"/>
        <item x="3873"/>
        <item x="3203"/>
        <item x="3915"/>
        <item x="1689"/>
        <item x="1172"/>
        <item x="2854"/>
        <item x="4614"/>
        <item x="2153"/>
        <item x="855"/>
        <item x="4189"/>
        <item x="2481"/>
        <item x="173"/>
        <item x="4800"/>
        <item x="1153"/>
        <item x="2025"/>
        <item x="4200"/>
        <item x="3531"/>
        <item x="881"/>
        <item x="3600"/>
        <item x="3611"/>
        <item x="3739"/>
        <item x="571"/>
        <item x="217"/>
        <item x="2530"/>
        <item x="2186"/>
        <item x="670"/>
        <item x="2531"/>
        <item x="3947"/>
        <item x="1026"/>
        <item x="3579"/>
        <item x="3249"/>
        <item x="631"/>
        <item x="3107"/>
        <item x="2831"/>
        <item x="4147"/>
        <item x="2575"/>
        <item x="1819"/>
        <item x="4170"/>
        <item x="1961"/>
        <item x="4443"/>
        <item x="4181"/>
        <item x="3648"/>
        <item x="2729"/>
        <item x="1639"/>
        <item x="2904"/>
        <item x="3137"/>
        <item x="902"/>
        <item x="1333"/>
        <item x="882"/>
        <item x="4462"/>
        <item x="3803"/>
        <item x="196"/>
        <item x="2617"/>
        <item x="2997"/>
        <item x="4292"/>
        <item x="2632"/>
        <item x="1325"/>
        <item x="4868"/>
        <item x="1700"/>
        <item x="1326"/>
        <item x="1894"/>
        <item x="3074"/>
        <item x="4632"/>
        <item x="4244"/>
        <item x="3960"/>
        <item x="2425"/>
        <item x="1249"/>
        <item x="4624"/>
        <item x="1820"/>
        <item x="3351"/>
        <item x="88"/>
        <item x="3623"/>
        <item x="1352"/>
        <item x="4926"/>
        <item x="2969"/>
        <item x="2576"/>
        <item x="4607"/>
        <item x="2361"/>
        <item x="972"/>
        <item x="1416"/>
        <item x="712"/>
        <item x="4232"/>
        <item x="2056"/>
        <item x="2694"/>
        <item x="3740"/>
        <item x="3280"/>
        <item x="1224"/>
        <item x="2508"/>
        <item x="1813"/>
        <item x="3352"/>
        <item x="4266"/>
        <item x="4637"/>
        <item x="653"/>
        <item x="329"/>
        <item x="1404"/>
        <item x="3447"/>
        <item x="2267"/>
        <item x="523"/>
        <item x="1036"/>
        <item x="122"/>
        <item x="1166"/>
        <item x="827"/>
        <item x="2073"/>
        <item x="1522"/>
        <item x="2824"/>
        <item x="3532"/>
        <item x="2010"/>
        <item x="3020"/>
        <item x="1895"/>
        <item x="1738"/>
        <item x="1576"/>
        <item x="828"/>
        <item x="3438"/>
        <item x="2537"/>
        <item x="3768"/>
        <item x="1962"/>
        <item x="4087"/>
        <item x="3204"/>
        <item x="370"/>
        <item x="419"/>
        <item x="4725"/>
        <item x="2449"/>
        <item x="2074"/>
        <item x="2118"/>
        <item x="453"/>
        <item x="1417"/>
        <item x="4678"/>
        <item x="4551"/>
        <item x="1937"/>
        <item x="1701"/>
        <item x="3381"/>
        <item x="3612"/>
        <item x="621"/>
        <item x="1293"/>
        <item x="2970"/>
        <item x="4472"/>
        <item x="3293"/>
        <item x="4301"/>
        <item x="2268"/>
        <item x="384"/>
        <item x="3205"/>
        <item x="291"/>
        <item x="3384"/>
        <item x="3467"/>
        <item x="2695"/>
        <item x="4815"/>
        <item x="2429"/>
        <item x="1299"/>
        <item x="1788"/>
        <item x="2001"/>
        <item x="2668"/>
        <item x="3835"/>
        <item x="284"/>
        <item x="3590"/>
        <item x="4233"/>
        <item x="794"/>
        <item x="3086"/>
        <item x="3863"/>
        <item x="2100"/>
        <item x="3388"/>
        <item x="142"/>
        <item x="1270"/>
        <item x="1004"/>
        <item x="2498"/>
        <item x="3758"/>
        <item x="1806"/>
        <item x="4601"/>
        <item x="4234"/>
        <item x="3921"/>
        <item x="1702"/>
        <item x="4274"/>
        <item x="1652"/>
        <item x="4363"/>
        <item x="2057"/>
        <item x="1101"/>
        <item x="4043"/>
        <item x="2869"/>
        <item x="4055"/>
        <item x="2580"/>
        <item x="346"/>
        <item x="646"/>
        <item x="3934"/>
        <item x="1617"/>
        <item x="1869"/>
        <item x="3281"/>
        <item x="2736"/>
        <item x="1181"/>
        <item x="4645"/>
        <item x="3358"/>
        <item x="1947"/>
        <item x="4201"/>
        <item x="2791"/>
        <item x="1422"/>
        <item x="3492"/>
        <item x="769"/>
        <item x="1523"/>
        <item x="4115"/>
        <item x="4141"/>
        <item x="4121"/>
        <item x="4778"/>
        <item x="632"/>
        <item x="1828"/>
        <item x="2523"/>
        <item x="849"/>
        <item x="3282"/>
        <item x="4316"/>
        <item x="1423"/>
        <item x="3727"/>
        <item x="4957"/>
        <item x="1398"/>
        <item x="4247"/>
        <item x="4882"/>
        <item x="4892"/>
        <item x="3684"/>
        <item x="2870"/>
        <item x="992"/>
        <item x="2745"/>
        <item x="3219"/>
        <item x="2013"/>
        <item x="2130"/>
        <item x="2165"/>
        <item x="2998"/>
        <item x="1486"/>
        <item x="578"/>
        <item x="2881"/>
        <item x="554"/>
        <item x="1724"/>
        <item x="4869"/>
        <item x="2146"/>
        <item x="4478"/>
        <item x="1167"/>
        <item x="2033"/>
        <item x="647"/>
        <item x="1271"/>
        <item x="2426"/>
        <item x="1681"/>
        <item x="2262"/>
        <item x="4190"/>
        <item x="492"/>
        <item x="1854"/>
        <item x="1568"/>
        <item x="1690"/>
        <item x="1635"/>
        <item x="1348"/>
        <item x="3515"/>
        <item x="4573"/>
        <item x="3087"/>
        <item x="493"/>
        <item x="3439"/>
        <item x="4198"/>
        <item x="3167"/>
        <item x="3788"/>
        <item x="4171"/>
        <item x="2092"/>
        <item x="294"/>
        <item x="14"/>
        <item x="3374"/>
        <item x="338"/>
        <item x="2882"/>
        <item x="555"/>
        <item x="836"/>
        <item x="3674"/>
        <item x="2551"/>
        <item x="1531"/>
        <item x="3138"/>
        <item x="347"/>
        <item x="2607"/>
        <item x="390"/>
        <item x="3789"/>
        <item x="2039"/>
        <item x="2237"/>
        <item x="2218"/>
        <item x="1618"/>
        <item x="3075"/>
        <item x="2124"/>
        <item x="2179"/>
        <item x="3046"/>
        <item x="2203"/>
        <item x="3076"/>
        <item x="3653"/>
        <item x="2950"/>
        <item x="4122"/>
        <item x="2517"/>
        <item x="1144"/>
        <item x="3088"/>
        <item x="556"/>
        <item x="2836"/>
        <item x="3548"/>
        <item x="4258"/>
        <item x="1424"/>
        <item x="1623"/>
        <item x="524"/>
        <item x="2245"/>
        <item x="3533"/>
        <item x="3186"/>
        <item x="3220"/>
        <item x="2883"/>
        <item x="3818"/>
        <item x="3825"/>
        <item x="3173"/>
        <item x="1418"/>
        <item x="924"/>
        <item x="648"/>
        <item x="2518"/>
        <item x="1409"/>
        <item x="1515"/>
        <item x="3396"/>
        <item x="4943"/>
        <item x="734"/>
        <item x="2065"/>
        <item x="4992"/>
        <item x="4126"/>
        <item x="4993"/>
        <item x="1020"/>
        <item x="2066"/>
        <item x="3299"/>
        <item x="1225"/>
        <item x="2198"/>
        <item x="3534"/>
        <item x="4767"/>
        <item x="4088"/>
        <item x="654"/>
        <item x="1173"/>
        <item x="4026"/>
        <item x="3353"/>
        <item x="3454"/>
        <item x="2101"/>
        <item x="813"/>
        <item x="4918"/>
        <item x="4496"/>
        <item x="638"/>
        <item x="2669"/>
        <item x="2278"/>
        <item x="1829"/>
        <item x="4711"/>
        <item x="3864"/>
        <item x="4463"/>
        <item x="4828"/>
        <item x="3418"/>
        <item x="4182"/>
        <item x="3685"/>
        <item x="2075"/>
        <item x="2746"/>
        <item x="2011"/>
        <item x="2263"/>
        <item x="4332"/>
        <item x="3448"/>
        <item x="3126"/>
        <item x="2703"/>
        <item x="3077"/>
        <item x="2067"/>
        <item x="2538"/>
        <item x="2539"/>
        <item x="1243"/>
        <item x="3707"/>
        <item x="1192"/>
        <item x="2935"/>
        <item x="1916"/>
        <item x="2963"/>
        <item x="310"/>
        <item x="4585"/>
        <item x="1864"/>
        <item x="1556"/>
        <item x="1425"/>
        <item x="1174"/>
        <item x="109"/>
        <item x="820"/>
        <item x="1021"/>
        <item x="4927"/>
        <item x="3811"/>
        <item x="2499"/>
        <item x="1360"/>
        <item x="1334"/>
        <item x="292"/>
        <item x="4317"/>
        <item x="433"/>
        <item x="877"/>
        <item x="2408"/>
        <item x="3632"/>
        <item x="4870"/>
        <item x="1636"/>
        <item x="4284"/>
        <item x="2409"/>
        <item x="2102"/>
        <item x="4646"/>
        <item x="2318"/>
        <item x="230"/>
        <item x="1250"/>
        <item x="1193"/>
        <item x="4419"/>
        <item x="274"/>
        <item x="4883"/>
        <item x="2715"/>
        <item x="1462"/>
        <item x="1127"/>
        <item x="1888"/>
        <item x="3322"/>
        <item x="3050"/>
        <item x="1996"/>
        <item x="3429"/>
        <item x="174"/>
        <item x="4191"/>
        <item x="73"/>
        <item x="655"/>
        <item x="2989"/>
        <item x="472"/>
        <item x="298"/>
        <item x="2471"/>
        <item x="399"/>
        <item x="454"/>
        <item x="3728"/>
        <item x="505"/>
        <item x="9"/>
        <item x="4497"/>
        <item x="2767"/>
        <item x="3359"/>
        <item x="2287"/>
        <item x="1419"/>
        <item x="3563"/>
        <item x="1436"/>
        <item x="1476"/>
        <item x="3367"/>
        <item x="3591"/>
        <item x="2264"/>
        <item x="4516"/>
        <item x="2696"/>
        <item x="2577"/>
        <item x="587"/>
        <item x="494"/>
        <item x="2855"/>
        <item x="4487"/>
        <item x="4829"/>
        <item x="2212"/>
        <item x="3993"/>
        <item x="4871"/>
        <item x="3375"/>
        <item x="1532"/>
        <item x="1855"/>
        <item x="4608"/>
        <item x="515"/>
        <item x="3187"/>
        <item x="1008"/>
        <item x="821"/>
        <item x="543"/>
        <item x="2871"/>
        <item x="4684"/>
        <item x="1463"/>
        <item x="4158"/>
        <item x="2147"/>
        <item x="1876"/>
        <item x="4397"/>
        <item x="2594"/>
        <item x="2453"/>
        <item x="1128"/>
        <item x="1102"/>
        <item x="2131"/>
        <item x="4259"/>
        <item x="4488"/>
        <item x="1647"/>
        <item x="2540"/>
        <item x="1506"/>
        <item x="4105"/>
        <item x="3130"/>
        <item x="807"/>
        <item x="1821"/>
        <item x="2430"/>
        <item x="1814"/>
        <item x="588"/>
        <item x="2670"/>
        <item x="614"/>
        <item x="110"/>
        <item x="2353"/>
        <item x="84"/>
        <item x="3926"/>
        <item x="1085"/>
        <item x="4793"/>
        <item x="3772"/>
        <item x="3089"/>
        <item x="1394"/>
        <item x="4322"/>
        <item x="3360"/>
        <item x="2386"/>
        <item x="1903"/>
        <item x="2087"/>
        <item x="1194"/>
        <item x="4696"/>
        <item x="4947"/>
        <item x="4016"/>
        <item x="1648"/>
        <item x="3654"/>
        <item x="223"/>
        <item x="2116"/>
        <item x="926"/>
        <item x="4235"/>
        <item x="4768"/>
        <item x="1027"/>
        <item x="3459"/>
        <item x="3790"/>
        <item x="3038"/>
        <item x="2595"/>
        <item x="1341"/>
        <item x="1896"/>
        <item x="2914"/>
        <item x="3174"/>
        <item x="4716"/>
        <item x="4801"/>
        <item x="4663"/>
        <item x="3346"/>
        <item x="3983"/>
        <item x="1789"/>
        <item x="4080"/>
        <item x="2410"/>
        <item x="1145"/>
        <item x="1963"/>
        <item x="4183"/>
        <item x="927"/>
        <item x="3503"/>
        <item x="3564"/>
        <item x="3271"/>
        <item x="1606"/>
        <item x="2148"/>
        <item x="311"/>
        <item x="2026"/>
        <item x="3961"/>
        <item x="1327"/>
        <item x="495"/>
        <item x="2199"/>
        <item x="3976"/>
        <item x="2759"/>
        <item x="155"/>
        <item x="3477"/>
        <item x="4479"/>
        <item x="38"/>
        <item x="1091"/>
        <item x="2330"/>
        <item x="3686"/>
        <item x="3244"/>
        <item x="962"/>
        <item x="1822"/>
        <item x="1175"/>
        <item x="1599"/>
        <item x="1481"/>
        <item x="2279"/>
        <item x="2238"/>
        <item x="3636"/>
        <item x="1948"/>
        <item x="2354"/>
        <item x="2438"/>
        <item x="2096"/>
        <item x="3078"/>
        <item x="4333"/>
        <item x="1263"/>
        <item x="434"/>
        <item x="963"/>
        <item x="562"/>
        <item x="4429"/>
        <item x="3478"/>
        <item x="1815"/>
        <item x="1437"/>
        <item x="1012"/>
        <item x="4531"/>
        <item x="3984"/>
        <item x="3059"/>
        <item x="1122"/>
        <item x="353"/>
        <item x="3455"/>
        <item x="1182"/>
        <item x="4679"/>
        <item x="837"/>
        <item x="2657"/>
        <item x="4373"/>
        <item x="4705"/>
        <item x="3504"/>
        <item x="3300"/>
        <item x="814"/>
        <item x="1136"/>
        <item x="3245"/>
        <item x="2046"/>
        <item x="4846"/>
        <item x="2269"/>
        <item x="1713"/>
        <item x="815"/>
        <item x="4547"/>
        <item x="10"/>
        <item x="3323"/>
        <item x="795"/>
        <item x="3902"/>
        <item x="4285"/>
        <item x="1990"/>
        <item x="957"/>
        <item x="130"/>
        <item x="1673"/>
        <item x="4430"/>
        <item x="1980"/>
        <item x="4094"/>
        <item x="525"/>
        <item x="770"/>
        <item x="928"/>
        <item x="681"/>
        <item x="4116"/>
        <item x="1917"/>
        <item x="3616"/>
        <item x="3264"/>
        <item x="950"/>
        <item x="4902"/>
        <item x="1889"/>
        <item x="549"/>
        <item x="2225"/>
        <item x="1041"/>
        <item x="2559"/>
        <item x="2825"/>
        <item x="2625"/>
        <item x="1431"/>
        <item x="4540"/>
        <item x="2418"/>
        <item x="1696"/>
        <item x="1674"/>
        <item x="1542"/>
        <item x="1981"/>
        <item x="4489"/>
        <item x="218"/>
        <item x="3278"/>
        <item x="2898"/>
        <item x="4602"/>
        <item x="1754"/>
        <item x="2270"/>
        <item x="2342"/>
        <item x="3649"/>
        <item x="1251"/>
        <item x="942"/>
        <item x="4701"/>
        <item x="4903"/>
        <item x="2510"/>
        <item x="2419"/>
        <item x="3774"/>
        <item x="3553"/>
        <item x="169"/>
        <item x="1028"/>
        <item x="312"/>
        <item x="1047"/>
        <item x="862"/>
        <item x="4468"/>
        <item x="2187"/>
        <item x="4872"/>
        <item x="2792"/>
        <item x="1733"/>
        <item x="1549"/>
        <item x="1129"/>
        <item x="4664"/>
        <item x="4673"/>
        <item x="3549"/>
        <item x="61"/>
        <item x="3505"/>
        <item x="4127"/>
        <item x="1909"/>
        <item x="420"/>
        <item x="2837"/>
        <item x="4347"/>
        <item x="1294"/>
        <item x="3283"/>
        <item x="752"/>
        <item x="4834"/>
        <item x="2002"/>
        <item x="2427"/>
        <item x="25"/>
        <item x="455"/>
        <item x="305"/>
        <item x="4928"/>
        <item x="1086"/>
        <item x="4737"/>
        <item x="3540"/>
        <item x="3729"/>
        <item x="4017"/>
        <item x="2373"/>
        <item x="2343"/>
        <item x="3826"/>
        <item x="682"/>
        <item x="82"/>
        <item x="4609"/>
        <item x="1195"/>
        <item x="3313"/>
        <item x="2034"/>
        <item x="1761"/>
        <item x="1543"/>
        <item x="958"/>
        <item x="4056"/>
        <item x="1507"/>
        <item x="156"/>
        <item x="2161"/>
        <item x="1444"/>
        <item x="890"/>
        <item x="74"/>
        <item x="1949"/>
        <item x="3584"/>
        <item x="2658"/>
        <item x="3486"/>
        <item x="2319"/>
        <item x="4364"/>
        <item x="3033"/>
        <item x="3519"/>
        <item x="2951"/>
        <item x="4937"/>
        <item x="3212"/>
        <item x="660"/>
        <item x="3617"/>
        <item x="3570"/>
        <item x="1640"/>
        <item x="2723"/>
        <item x="856"/>
        <item x="4469"/>
        <item x="838"/>
        <item x="2472"/>
        <item x="3535"/>
        <item x="3206"/>
        <item x="816"/>
        <item x="1071"/>
        <item x="2320"/>
        <item x="4574"/>
        <item x="4958"/>
        <item x="2905"/>
        <item x="4044"/>
        <item x="1005"/>
        <item x="4802"/>
        <item x="3246"/>
        <item x="1059"/>
        <item x="3887"/>
        <item x="231"/>
        <item x="3804"/>
        <item x="2420"/>
        <item x="2374"/>
        <item x="4835"/>
        <item x="4910"/>
        <item x="2641"/>
        <item x="1950"/>
        <item x="2838"/>
        <item x="3131"/>
        <item x="622"/>
        <item x="275"/>
        <item x="4507"/>
        <item x="1550"/>
        <item x="32"/>
        <item x="1233"/>
        <item x="863"/>
        <item x="3994"/>
        <item x="4159"/>
        <item x="1283"/>
        <item x="4018"/>
        <item x="1704"/>
        <item x="2999"/>
        <item x="3948"/>
        <item x="2906"/>
        <item x="3079"/>
        <item x="3497"/>
        <item x="3332"/>
        <item x="75"/>
        <item x="1641"/>
        <item x="1705"/>
        <item x="1551"/>
        <item x="3812"/>
        <item x="3051"/>
        <item x="1972"/>
        <item x="717"/>
        <item x="2355"/>
        <item x="2983"/>
        <item x="3851"/>
        <item x="1516"/>
        <item x="951"/>
        <item x="4213"/>
        <item x="1234"/>
        <item x="3665"/>
        <item x="1487"/>
        <item x="2920"/>
        <item x="3536"/>
        <item x="4267"/>
        <item x="270"/>
        <item x="4142"/>
        <item x="2928"/>
        <item x="1675"/>
        <item x="883"/>
        <item x="2856"/>
        <item x="3769"/>
        <item x="589"/>
        <item x="3585"/>
        <item x="3108"/>
        <item x="3836"/>
        <item x="4769"/>
        <item x="103"/>
        <item x="1682"/>
        <item x="1739"/>
        <item x="1349"/>
        <item x="1779"/>
        <item x="1607"/>
        <item x="4560"/>
        <item x="2784"/>
        <item x="2785"/>
        <item x="1581"/>
        <item x="4455"/>
        <item x="3819"/>
        <item x="4929"/>
        <item x="2411"/>
        <item x="2889"/>
        <item x="2239"/>
        <item x="2058"/>
        <item x="85"/>
        <item x="400"/>
        <item x="3144"/>
        <item x="2552"/>
        <item x="1410"/>
        <item x="1013"/>
        <item x="2035"/>
        <item x="4794"/>
        <item x="4997"/>
        <item x="2697"/>
        <item x="4847"/>
        <item x="3791"/>
        <item x="713"/>
        <item x="285"/>
        <item x="286"/>
        <item x="1108"/>
        <item x="3080"/>
        <item x="1797"/>
        <item x="2730"/>
        <item x="3060"/>
        <item x="590"/>
        <item x="2716"/>
        <item x="2601"/>
        <item x="1426"/>
        <item x="4143"/>
        <item x="4615"/>
        <item x="2659"/>
        <item x="3339"/>
        <item x="1600"/>
        <item x="1703"/>
        <item x="1399"/>
        <item x="761"/>
        <item x="1653"/>
        <item x="4726"/>
        <item x="52"/>
        <item x="1740"/>
        <item x="4452"/>
        <item x="3601"/>
        <item x="1365"/>
        <item x="1748"/>
        <item x="671"/>
        <item x="1557"/>
        <item x="2162"/>
        <item x="4019"/>
        <item x="4665"/>
        <item x="4647"/>
        <item x="2929"/>
        <item x="2226"/>
        <item x="1146"/>
        <item x="986"/>
        <item x="3340"/>
        <item x="1924"/>
        <item x="2943"/>
        <item x="2826"/>
        <item x="1212"/>
        <item x="1624"/>
        <item x="3708"/>
        <item x="3109"/>
        <item x="2704"/>
        <item x="2246"/>
        <item x="2166"/>
        <item x="516"/>
        <item x="1006"/>
        <item x="2331"/>
        <item x="148"/>
        <item x="3666"/>
        <item x="306"/>
        <item x="2180"/>
        <item x="1498"/>
        <item x="1577"/>
        <item x="1842"/>
        <item x="4176"/>
        <item x="1453"/>
        <item x="2747"/>
        <item x="371"/>
        <item x="3637"/>
        <item x="188"/>
        <item x="348"/>
        <item x="1303"/>
        <item x="1582"/>
        <item x="4387"/>
        <item x="3730"/>
        <item x="123"/>
        <item x="993"/>
        <item x="2059"/>
        <item x="4712"/>
        <item x="4948"/>
        <item x="3061"/>
        <item x="4532"/>
        <item x="1366"/>
        <item x="897"/>
        <item x="3027"/>
        <item x="3034"/>
        <item x="1373"/>
        <item x="62"/>
        <item x="2142"/>
        <item x="496"/>
        <item x="1109"/>
        <item x="1389"/>
        <item x="1335"/>
        <item x="4001"/>
        <item x="43"/>
        <item x="2839"/>
        <item x="4307"/>
        <item x="2344"/>
        <item x="4904"/>
        <item x="205"/>
        <item x="2944"/>
        <item x="3122"/>
        <item x="4911"/>
        <item x="1714"/>
        <item x="1072"/>
        <item x="2699"/>
        <item x="1260"/>
        <item x="2675"/>
        <item x="2132"/>
        <item x="1951"/>
        <item x="1524"/>
        <item x="4374"/>
        <item x="839"/>
        <item x="49"/>
        <item x="2737"/>
        <item x="473"/>
        <item x="2097"/>
        <item x="4919"/>
        <item x="2309"/>
        <item x="4490"/>
        <item x="3153"/>
        <item x="2786"/>
        <item x="2047"/>
        <item x="744"/>
        <item x="2339"/>
        <item x="4517"/>
        <item x="4821"/>
        <item x="1964"/>
        <item x="1973"/>
        <item x="1938"/>
        <item x="237"/>
        <item x="2975"/>
        <item x="4192"/>
        <item x="4822"/>
        <item x="1591"/>
        <item x="4133"/>
        <item x="401"/>
        <item x="1918"/>
        <item x="402"/>
        <item x="1974"/>
        <item x="2560"/>
        <item x="3498"/>
        <item x="2181"/>
        <item x="633"/>
        <item x="3541"/>
        <item x="1952"/>
        <item x="4727"/>
        <item x="197"/>
        <item x="2296"/>
        <item x="4974"/>
        <item x="4575"/>
        <item x="2482"/>
        <item x="2362"/>
        <item x="224"/>
        <item x="2553"/>
        <item x="2660"/>
        <item x="3565"/>
        <item x="3750"/>
        <item x="3294"/>
        <item x="2003"/>
        <item x="2840"/>
        <item x="3542"/>
        <item x="2857"/>
        <item x="2500"/>
        <item x="563"/>
        <item x="1149"/>
        <item x="2774"/>
        <item x="796"/>
        <item x="3295"/>
        <item x="2519"/>
        <item x="4603"/>
        <item x="3882"/>
        <item x="735"/>
        <item x="1284"/>
        <item x="4533"/>
        <item x="4666"/>
        <item x="198"/>
        <item x="2133"/>
        <item x="829"/>
        <item x="1103"/>
        <item x="4738"/>
        <item x="2213"/>
        <item x="830"/>
        <item x="936"/>
        <item x="696"/>
        <item x="4959"/>
        <item x="4404"/>
        <item x="1154"/>
        <item x="2088"/>
        <item x="1014"/>
        <item x="4586"/>
        <item x="136"/>
        <item x="2589"/>
        <item x="1328"/>
        <item x="943"/>
        <item x="1691"/>
        <item x="391"/>
        <item x="2532"/>
        <item x="2356"/>
        <item x="2602"/>
        <item x="3127"/>
        <item x="1196"/>
        <item x="2306"/>
        <item x="1321"/>
        <item x="3168"/>
        <item x="2858"/>
        <item x="606"/>
        <item x="4498"/>
        <item x="4286"/>
        <item x="1317"/>
        <item x="1150"/>
        <item x="1464"/>
        <item x="3844"/>
        <item x="3090"/>
        <item x="1235"/>
        <item x="206"/>
        <item x="3237"/>
        <item x="2125"/>
        <item x="89"/>
        <item x="3021"/>
        <item x="1411"/>
        <item x="3714"/>
        <item x="1213"/>
        <item x="1116"/>
        <item x="4134"/>
        <item x="3977"/>
        <item x="1925"/>
        <item x="3827"/>
        <item x="4855"/>
        <item x="325"/>
        <item x="435"/>
        <item x="4616"/>
        <item x="3618"/>
        <item x="4587"/>
        <item x="4588"/>
        <item x="929"/>
        <item x="456"/>
        <item x="1508"/>
        <item x="3675"/>
        <item x="2680"/>
        <item x="3333"/>
        <item x="3874"/>
        <item x="257"/>
        <item x="3334"/>
        <item x="1608"/>
        <item x="3592"/>
        <item x="4057"/>
        <item x="4106"/>
        <item x="4193"/>
        <item x="349"/>
        <item x="4836"/>
        <item x="672"/>
        <item x="4202"/>
        <item x="4508"/>
        <item x="2561"/>
        <item x="1790"/>
        <item x="2661"/>
        <item x="771"/>
        <item x="4388"/>
        <item x="3797"/>
        <item x="3404"/>
        <item x="4697"/>
        <item x="3775"/>
        <item x="1882"/>
        <item x="4594"/>
        <item x="1168"/>
        <item x="3047"/>
        <item x="18"/>
        <item x="3199"/>
        <item x="3906"/>
        <item x="1092"/>
        <item x="4595"/>
        <item x="360"/>
        <item x="3820"/>
        <item x="2608"/>
        <item x="2541"/>
        <item x="1336"/>
        <item x="1890"/>
        <item x="3731"/>
        <item x="4172"/>
        <item x="1060"/>
        <item x="3154"/>
        <item x="3091"/>
        <item x="1552"/>
        <item x="2182"/>
        <item x="1741"/>
        <item x="4552"/>
        <item x="2568"/>
        <item x="4713"/>
        <item x="3284"/>
        <item x="3746"/>
        <item x="4275"/>
        <item x="4225"/>
        <item x="3092"/>
        <item x="238"/>
        <item x="1664"/>
        <item x="1625"/>
        <item x="3307"/>
        <item x="2872"/>
        <item x="2227"/>
        <item x="3941"/>
        <item x="4905"/>
        <item x="3593"/>
        <item x="3985"/>
        <item x="3221"/>
        <item x="3139"/>
        <item x="1725"/>
        <item x="313"/>
        <item x="4625"/>
        <item x="2763"/>
        <item x="3389"/>
        <item x="3910"/>
        <item x="1910"/>
        <item x="2671"/>
        <item x="572"/>
        <item x="1353"/>
        <item x="463"/>
        <item x="1029"/>
        <item x="445"/>
        <item x="2143"/>
        <item x="1354"/>
        <item x="4760"/>
        <item x="4128"/>
        <item x="3265"/>
        <item x="1073"/>
        <item x="4129"/>
        <item x="959"/>
        <item x="2321"/>
        <item x="464"/>
        <item x="4975"/>
        <item x="2915"/>
        <item x="3410"/>
        <item x="1412"/>
        <item x="3052"/>
        <item x="1264"/>
        <item x="1932"/>
        <item x="53"/>
        <item x="497"/>
        <item x="1061"/>
        <item x="1997"/>
        <item x="2964"/>
        <item x="3272"/>
        <item x="3949"/>
        <item x="2633"/>
        <item x="2483"/>
        <item x="3213"/>
        <item x="2457"/>
        <item x="718"/>
        <item x="987"/>
        <item x="952"/>
        <item x="1197"/>
        <item x="162"/>
        <item x="517"/>
        <item x="2473"/>
        <item x="3962"/>
        <item x="1087"/>
        <item x="1329"/>
        <item x="2804"/>
        <item x="2254"/>
        <item x="189"/>
        <item x="2474"/>
        <item x="944"/>
        <item x="706"/>
        <item x="4652"/>
        <item x="3715"/>
        <item x="3554"/>
        <item x="1706"/>
        <item x="1742"/>
        <item x="1877"/>
        <item x="745"/>
        <item x="3883"/>
        <item x="1851"/>
        <item x="1982"/>
        <item x="2310"/>
        <item x="426"/>
        <item x="727"/>
        <item x="271"/>
        <item x="111"/>
        <item x="1583"/>
        <item x="3238"/>
        <item x="2060"/>
        <item x="4058"/>
        <item x="1285"/>
        <item x="4856"/>
        <item x="3741"/>
        <item x="3506"/>
        <item x="4524"/>
        <item x="163"/>
        <item x="2040"/>
        <item x="579"/>
        <item x="3493"/>
        <item x="314"/>
        <item x="4938"/>
        <item x="1037"/>
        <item x="2965"/>
        <item x="421"/>
        <item x="2542"/>
        <item x="1295"/>
        <item x="2311"/>
        <item x="4816"/>
        <item x="4248"/>
        <item x="2650"/>
        <item x="3288"/>
        <item x="3911"/>
        <item x="850"/>
        <item x="3922"/>
        <item x="801"/>
        <item x="1169"/>
        <item x="1286"/>
        <item x="96"/>
        <item x="361"/>
        <item x="4886"/>
        <item x="3566"/>
        <item x="4260"/>
        <item x="1062"/>
        <item x="736"/>
        <item x="797"/>
        <item x="3473"/>
        <item x="973"/>
        <item x="3742"/>
        <item x="2990"/>
        <item x="4803"/>
        <item x="280"/>
        <item x="1265"/>
        <item x="243"/>
        <item x="1852"/>
        <item x="4589"/>
        <item x="1038"/>
        <item x="2748"/>
        <item x="3852"/>
        <item x="1856"/>
        <item x="3385"/>
        <item x="580"/>
        <item x="617"/>
        <item x="4308"/>
        <item x="3301"/>
        <item x="4509"/>
        <item x="1659"/>
        <item x="4045"/>
        <item x="4220"/>
        <item x="4795"/>
        <item x="831"/>
        <item x="2376"/>
        <item x="3537"/>
        <item x="1743"/>
        <item x="757"/>
        <item x="2466"/>
        <item x="623"/>
        <item x="124"/>
        <item x="3239"/>
        <item x="4194"/>
        <item x="3347"/>
        <item x="851"/>
        <item x="564"/>
        <item x="4177"/>
        <item x="2377"/>
        <item x="3285"/>
        <item x="2764"/>
        <item x="983"/>
        <item x="3845"/>
        <item x="199"/>
        <item x="3828"/>
        <item x="4848"/>
        <item x="903"/>
        <item x="2421"/>
        <item x="3526"/>
        <item x="436"/>
        <item x="2167"/>
        <item x="661"/>
        <item x="4949"/>
        <item x="857"/>
        <item x="3759"/>
        <item x="465"/>
        <item x="506"/>
        <item x="3028"/>
        <item x="2676"/>
        <item x="4435"/>
        <item x="607"/>
        <item x="244"/>
        <item x="2188"/>
        <item x="2004"/>
        <item x="550"/>
        <item x="410"/>
        <item x="2817"/>
        <item x="2634"/>
        <item x="2005"/>
        <item x="1926"/>
        <item x="2288"/>
        <item x="2312"/>
        <item x="639"/>
        <item x="1445"/>
        <item x="4617"/>
        <item x="2134"/>
        <item x="3751"/>
        <item x="1470"/>
        <item x="441"/>
        <item x="1287"/>
        <item x="1244"/>
        <item x="3286"/>
        <item x="4893"/>
        <item x="2681"/>
        <item x="1637"/>
        <item x="1692"/>
        <item x="354"/>
        <item x="4541"/>
        <item x="149"/>
        <item x="3942"/>
        <item x="3927"/>
        <item x="4518"/>
        <item x="2027"/>
        <item x="1904"/>
        <item x="822"/>
        <item x="3752"/>
        <item x="3010"/>
        <item x="3624"/>
        <item x="239"/>
        <item x="1525"/>
        <item x="2511"/>
        <item x="3753"/>
        <item x="258"/>
        <item x="1762"/>
        <item x="3230"/>
        <item x="2865"/>
        <item x="3903"/>
        <item x="4610"/>
        <item x="1654"/>
        <item x="1137"/>
        <item x="1198"/>
        <item x="2603"/>
        <item x="4073"/>
        <item x="4510"/>
        <item x="4268"/>
        <item x="2250"/>
        <item x="3029"/>
        <item x="54"/>
        <item x="2098"/>
        <item x="823"/>
        <item x="4618"/>
        <item x="1927"/>
        <item x="1"/>
        <item x="864"/>
        <item x="1266"/>
        <item x="2945"/>
        <item x="536"/>
        <item x="4753"/>
        <item x="2149"/>
        <item x="2749"/>
        <item x="662"/>
        <item x="772"/>
        <item x="3361"/>
        <item x="1609"/>
        <item x="1558"/>
        <item x="437"/>
        <item x="90"/>
        <item x="4770"/>
        <item x="2189"/>
        <item x="3214"/>
        <item x="1626"/>
        <item x="3081"/>
        <item x="852"/>
        <item x="945"/>
        <item x="2395"/>
        <item x="1755"/>
        <item x="3557"/>
        <item x="3053"/>
        <item x="808"/>
        <item x="3062"/>
        <item x="3805"/>
        <item x="608"/>
        <item x="2285"/>
        <item x="2041"/>
        <item x="1991"/>
        <item x="4569"/>
        <item x="780"/>
        <item x="2076"/>
        <item x="3069"/>
        <item x="3132"/>
        <item x="4906"/>
        <item x="2454"/>
        <item x="1569"/>
        <item x="1843"/>
        <item x="276"/>
        <item x="565"/>
        <item x="1707"/>
        <item x="446"/>
        <item x="1939"/>
        <item x="3193"/>
        <item x="4576"/>
        <item x="1367"/>
        <item x="2946"/>
        <item x="4411"/>
        <item x="4519"/>
        <item x="4389"/>
        <item x="3894"/>
        <item x="1183"/>
        <item x="2818"/>
        <item x="131"/>
        <item x="1870"/>
        <item x="112"/>
        <item x="91"/>
        <item x="2119"/>
        <item x="392"/>
        <item x="11"/>
        <item x="746"/>
        <item x="4281"/>
        <item x="4480"/>
        <item x="4287"/>
        <item x="919"/>
        <item x="3884"/>
        <item x="1226"/>
        <item x="2873"/>
        <item x="4920"/>
        <item x="362"/>
        <item x="1763"/>
        <item x="2642"/>
        <item x="3760"/>
        <item x="1117"/>
        <item x="2926"/>
        <item x="250"/>
        <item x="2841"/>
        <item x="1998"/>
        <item x="157"/>
        <item x="350"/>
        <item x="994"/>
        <item x="3039"/>
        <item x="2068"/>
        <item x="2228"/>
        <item x="995"/>
        <item x="2827"/>
        <item x="2229"/>
        <item x="3419"/>
        <item x="3935"/>
        <item x="259"/>
        <item x="3986"/>
        <item x="4020"/>
        <item x="2439"/>
        <item x="385"/>
        <item x="1627"/>
        <item x="4680"/>
        <item x="4728"/>
        <item x="2204"/>
        <item x="3895"/>
        <item x="4203"/>
        <item x="1438"/>
        <item x="2345"/>
        <item x="3704"/>
        <item x="1592"/>
        <item x="996"/>
        <item x="1683"/>
        <item x="3231"/>
        <item x="1252"/>
        <item x="3421"/>
        <item x="1199"/>
        <item x="326"/>
        <item x="4674"/>
        <item x="1048"/>
        <item x="4021"/>
        <item x="4390"/>
        <item x="591"/>
        <item x="3188"/>
        <item x="3257"/>
        <item x="4173"/>
        <item x="3965"/>
        <item x="753"/>
        <item x="4022"/>
        <item x="4153"/>
        <item x="2842"/>
        <item x="4633"/>
        <item x="4907"/>
        <item x="2543"/>
        <item x="624"/>
        <item x="277"/>
        <item x="3287"/>
        <item x="946"/>
        <item x="3354"/>
        <item x="1176"/>
        <item x="104"/>
        <item x="3507"/>
        <item x="4717"/>
        <item x="4520"/>
        <item x="1330"/>
        <item x="3296"/>
        <item x="4542"/>
        <item x="1905"/>
        <item x="251"/>
        <item x="2952"/>
        <item x="1726"/>
        <item x="1517"/>
        <item x="3460"/>
        <item x="4746"/>
        <item x="4543"/>
        <item x="526"/>
        <item x="2544"/>
        <item x="2819"/>
        <item x="2971"/>
        <item x="1655"/>
        <item x="3853"/>
        <item x="673"/>
        <item x="175"/>
        <item x="527"/>
        <item x="1477"/>
        <item x="2724"/>
        <item x="4089"/>
        <item x="3508"/>
        <item x="3175"/>
        <item x="1304"/>
        <item x="33"/>
        <item x="781"/>
        <item x="4653"/>
        <item x="3854"/>
        <item x="3468"/>
        <item x="2921"/>
        <item x="2183"/>
        <item x="372"/>
        <item x="3978"/>
        <item x="4771"/>
        <item x="2378"/>
        <item x="3987"/>
        <item x="3070"/>
        <item x="3232"/>
        <item x="3955"/>
        <item x="3440"/>
        <item x="618"/>
        <item x="3422"/>
        <item x="3950"/>
        <item x="4309"/>
        <item x="1628"/>
        <item x="1227"/>
        <item x="2219"/>
        <item x="3324"/>
        <item x="1079"/>
        <item x="537"/>
        <item x="2953"/>
        <item x="1509"/>
        <item x="1342"/>
        <item x="1214"/>
        <item x="4525"/>
        <item x="3449"/>
        <item x="4090"/>
        <item x="4226"/>
        <item x="2991"/>
        <item x="3479"/>
        <item x="2984"/>
        <item x="2682"/>
        <item x="4967"/>
        <item x="3620"/>
        <item x="2346"/>
        <item x="4658"/>
        <item x="1715"/>
        <item x="2220"/>
        <item x="3093"/>
        <item x="1454"/>
        <item x="4027"/>
        <item x="2289"/>
        <item x="113"/>
        <item x="2313"/>
        <item x="4444"/>
        <item x="4779"/>
        <item x="1857"/>
        <item x="4028"/>
        <item x="3555"/>
        <item x="4066"/>
        <item x="76"/>
        <item x="1093"/>
        <item x="386"/>
        <item x="1455"/>
        <item x="2635"/>
        <item x="1853"/>
        <item x="1933"/>
        <item x="1446"/>
        <item x="2775"/>
        <item x="1858"/>
        <item x="3163"/>
        <item x="3821"/>
        <item x="2413"/>
        <item x="4521"/>
        <item x="4784"/>
        <item x="403"/>
        <item x="2850"/>
        <item x="714"/>
        <item x="3054"/>
        <item x="3633"/>
        <item x="427"/>
        <item x="2976"/>
        <item x="1749"/>
        <item x="1343"/>
        <item x="3063"/>
        <item x="740"/>
        <item x="4249"/>
        <item x="3520"/>
        <item x="817"/>
        <item x="158"/>
        <item x="3411"/>
        <item x="1439"/>
        <item x="4544"/>
        <item x="3169"/>
        <item x="339"/>
        <item x="4236"/>
        <item x="3667"/>
        <item x="315"/>
        <item x="2768"/>
        <item x="1965"/>
        <item x="4100"/>
        <item x="869"/>
        <item x="1440"/>
        <item x="4067"/>
        <item x="891"/>
        <item x="2878"/>
        <item x="4984"/>
        <item x="3386"/>
        <item x="4739"/>
        <item x="984"/>
        <item x="447"/>
        <item x="1570"/>
        <item x="1184"/>
        <item x="287"/>
        <item x="544"/>
        <item x="1897"/>
        <item x="3747"/>
        <item x="840"/>
        <item x="1386"/>
        <item x="2290"/>
        <item x="486"/>
        <item x="2705"/>
        <item x="1780"/>
        <item x="884"/>
        <item x="4293"/>
        <item x="2545"/>
        <item x="737"/>
        <item x="317"/>
        <item x="2108"/>
        <item x="4930"/>
        <item x="4184"/>
        <item x="824"/>
        <item x="3951"/>
        <item x="159"/>
        <item x="3720"/>
        <item x="3250"/>
        <item x="3316"/>
        <item x="1919"/>
        <item x="77"/>
        <item x="663"/>
        <item x="1177"/>
        <item x="3966"/>
        <item x="1642"/>
        <item x="2609"/>
        <item x="2930"/>
        <item x="2014"/>
        <item x="809"/>
        <item x="3754"/>
        <item x="4245"/>
        <item x="1911"/>
        <item x="2700"/>
        <item x="1308"/>
        <item x="2396"/>
        <item x="3273"/>
        <item x="3094"/>
        <item x="2776"/>
        <item x="674"/>
        <item x="3594"/>
        <item x="373"/>
        <item x="3896"/>
        <item x="3928"/>
        <item x="1390"/>
        <item x="3956"/>
        <item x="1898"/>
        <item x="2985"/>
        <item x="1756"/>
        <item x="1488"/>
        <item x="1716"/>
        <item x="2061"/>
        <item x="545"/>
        <item x="1561"/>
        <item x="3390"/>
        <item x="1118"/>
        <item x="2280"/>
        <item x="2247"/>
        <item x="3543"/>
        <item x="3100"/>
        <item x="3655"/>
        <item x="4837"/>
        <item x="2332"/>
        <item x="528"/>
        <item x="4733"/>
        <item x="4526"/>
        <item x="2077"/>
        <item x="747"/>
        <item x="3215"/>
        <item x="4534"/>
        <item x="3897"/>
        <item x="1272"/>
        <item x="3289"/>
        <item x="1405"/>
        <item x="4823"/>
        <item x="4780"/>
        <item x="4796"/>
        <item x="3095"/>
        <item x="4227"/>
        <item x="92"/>
        <item x="3988"/>
        <item x="3290"/>
        <item x="4154"/>
        <item x="4638"/>
        <item x="1601"/>
        <item x="1273"/>
        <item x="728"/>
        <item x="4379"/>
        <item x="719"/>
        <item x="3967"/>
        <item x="1697"/>
        <item x="697"/>
        <item x="1912"/>
        <item x="97"/>
        <item x="3855"/>
        <item x="448"/>
        <item x="1447"/>
        <item x="2493"/>
        <item x="2777"/>
        <item x="378"/>
        <item x="3456"/>
        <item x="3055"/>
        <item x="3480"/>
        <item x="2297"/>
        <item x="2450"/>
        <item x="1094"/>
        <item x="3776"/>
        <item x="4228"/>
        <item x="1337"/>
        <item x="3412"/>
        <item x="1318"/>
        <item x="2750"/>
        <item x="3274"/>
        <item x="4380"/>
        <item x="1074"/>
        <item x="2662"/>
        <item x="978"/>
        <item x="4074"/>
        <item x="1578"/>
        <item x="898"/>
        <item x="3898"/>
        <item x="1571"/>
        <item x="4091"/>
        <item x="1185"/>
        <item x="1215"/>
        <item x="498"/>
        <item x="1288"/>
        <item x="698"/>
        <item x="4211"/>
        <item x="299"/>
        <item x="4976"/>
        <item x="499"/>
        <item x="1656"/>
        <item x="4123"/>
        <item x="2350"/>
        <item x="2333"/>
        <item x="449"/>
        <item x="2636"/>
        <item x="3325"/>
        <item x="2799"/>
        <item x="2586"/>
        <item x="3405"/>
        <item x="387"/>
        <item x="997"/>
        <item x="2"/>
        <item x="4051"/>
        <item x="3773"/>
        <item x="281"/>
        <item x="2805"/>
        <item x="2444"/>
        <item x="600"/>
        <item x="4398"/>
        <item x="1030"/>
        <item x="1338"/>
        <item x="4160"/>
        <item x="1891"/>
        <item x="3602"/>
        <item x="3916"/>
        <item x="1734"/>
        <item x="1220"/>
        <item x="1374"/>
        <item x="2298"/>
        <item x="176"/>
        <item x="3326"/>
        <item x="3266"/>
        <item x="1380"/>
        <item x="1643"/>
        <item x="3317"/>
        <item x="964"/>
        <item x="4412"/>
        <item x="3"/>
        <item x="4075"/>
        <item x="649"/>
        <item x="4921"/>
        <item x="1865"/>
        <item x="2581"/>
        <item x="3222"/>
        <item x="2401"/>
        <item x="3743"/>
        <item x="841"/>
        <item x="650"/>
        <item x="3829"/>
        <item x="78"/>
        <item x="1975"/>
        <item x="3155"/>
        <item x="3979"/>
        <item x="1665"/>
        <item x="2015"/>
        <item x="1015"/>
        <item x="4436"/>
        <item x="1708"/>
        <item x="4185"/>
        <item x="609"/>
        <item x="3101"/>
        <item x="67"/>
        <item x="3846"/>
        <item x="1016"/>
        <item x="295"/>
        <item x="1155"/>
        <item x="4294"/>
        <item x="1666"/>
        <item x="4838"/>
        <item x="3963"/>
        <item x="3189"/>
        <item x="4453"/>
        <item x="2154"/>
        <item x="4703"/>
        <item x="3441"/>
        <item x="2546"/>
        <item x="953"/>
        <item x="2357"/>
        <item x="3695"/>
        <item x="4604"/>
        <item x="2307"/>
        <item x="1395"/>
        <item x="4405"/>
        <item x="2484"/>
        <item x="98"/>
        <item x="2501"/>
        <item x="1798"/>
        <item x="1572"/>
        <item x="39"/>
        <item x="3888"/>
        <item x="2793"/>
        <item x="1667"/>
        <item x="3251"/>
        <item x="998"/>
        <item x="1305"/>
        <item x="1649"/>
        <item x="1427"/>
        <item x="3544"/>
        <item x="4095"/>
        <item x="4685"/>
        <item x="2890"/>
        <item x="3643"/>
        <item x="1883"/>
        <item x="363"/>
        <item x="1966"/>
        <item x="1088"/>
        <item x="1791"/>
        <item x="474"/>
        <item x="3064"/>
        <item x="3000"/>
        <item x="26"/>
        <item x="4857"/>
        <item x="2859"/>
        <item x="4681"/>
        <item x="865"/>
        <item x="4849"/>
        <item x="1290"/>
        <item x="3164"/>
        <item x="3556"/>
        <item x="2135"/>
        <item x="3022"/>
        <item x="1727"/>
        <item x="3110"/>
        <item x="3001"/>
        <item x="1017"/>
        <item x="2230"/>
        <item x="2618"/>
        <item x="729"/>
        <item x="3936"/>
        <item x="4968"/>
        <item x="1482"/>
        <item x="4456"/>
        <item x="2231"/>
        <item x="4381"/>
        <item x="1080"/>
        <item x="2832"/>
        <item x="1830"/>
        <item x="55"/>
        <item x="3382"/>
        <item x="466"/>
        <item x="1533"/>
        <item x="4124"/>
        <item x="2683"/>
        <item x="1668"/>
        <item x="4654"/>
        <item x="1289"/>
        <item x="2520"/>
        <item x="2698"/>
        <item x="1238"/>
        <item x="581"/>
        <item x="3761"/>
        <item x="2643"/>
        <item x="2947"/>
        <item x="1717"/>
        <item x="1660"/>
        <item x="866"/>
        <item x="232"/>
        <item x="209"/>
        <item x="1368"/>
        <item x="2150"/>
        <item x="2751"/>
        <item x="252"/>
        <item x="3297"/>
        <item x="411"/>
        <item x="3656"/>
        <item x="988"/>
        <item x="2966"/>
        <item x="1245"/>
        <item x="4626"/>
        <item x="364"/>
        <item x="4"/>
        <item x="3952"/>
        <item x="1063"/>
        <item x="1657"/>
        <item x="1104"/>
        <item x="2458"/>
        <item x="1735"/>
        <item x="4639"/>
        <item x="1709"/>
        <item x="573"/>
        <item x="3030"/>
        <item x="1610"/>
        <item x="689"/>
        <item x="1186"/>
        <item x="2402"/>
        <item x="1387"/>
        <item x="518"/>
        <item x="4817"/>
        <item x="640"/>
        <item x="3111"/>
        <item x="2089"/>
        <item x="3145"/>
        <item x="1253"/>
        <item x="3558"/>
        <item x="3995"/>
        <item x="1009"/>
        <item x="3096"/>
        <item x="507"/>
        <item x="1728"/>
        <item x="79"/>
        <item x="1906"/>
        <item x="4356"/>
        <item x="1562"/>
        <item x="4807"/>
        <item x="3929"/>
        <item x="4977"/>
        <item x="3327"/>
        <item x="4068"/>
        <item x="1355"/>
        <item x="592"/>
        <item x="1494"/>
        <item x="1483"/>
        <item x="2587"/>
        <item x="2828"/>
        <item x="2109"/>
        <item x="3943"/>
        <item x="2168"/>
        <item x="1629"/>
        <item x="1757"/>
        <item x="3957"/>
        <item x="4214"/>
        <item x="2475"/>
        <item x="40"/>
        <item x="3545"/>
        <item x="4038"/>
        <item x="2502"/>
        <item x="4135"/>
        <item x="832"/>
        <item x="3223"/>
        <item x="4481"/>
        <item x="833"/>
        <item x="4961"/>
        <item x="1999"/>
        <item x="2752"/>
        <item x="3368"/>
        <item x="551"/>
        <item x="1274"/>
        <item x="4023"/>
        <item x="3798"/>
        <item x="2936"/>
        <item x="2351"/>
        <item x="3430"/>
        <item x="985"/>
        <item x="143"/>
        <item x="3755"/>
        <item x="1584"/>
        <item x="4212"/>
        <item x="2048"/>
        <item x="4310"/>
        <item x="114"/>
        <item x="2012"/>
        <item x="2787"/>
        <item x="3958"/>
        <item x="3035"/>
        <item x="3856"/>
        <item x="1544"/>
        <item x="56"/>
        <item x="3538"/>
        <item x="4482"/>
        <item x="3644"/>
        <item x="3744"/>
        <item x="4939"/>
        <item x="4204"/>
        <item x="2016"/>
        <item x="2155"/>
        <item x="4328"/>
        <item x="132"/>
        <item x="904"/>
        <item x="2806"/>
        <item x="4302"/>
        <item x="3762"/>
        <item x="3146"/>
        <item x="15"/>
        <item x="125"/>
        <item x="4605"/>
        <item x="1331"/>
        <item x="3335"/>
        <item x="4269"/>
        <item x="601"/>
        <item x="3857"/>
        <item x="885"/>
        <item x="4873"/>
        <item x="1573"/>
        <item x="2988"/>
        <item x="2006"/>
        <item x="1553"/>
        <item x="4994"/>
        <item x="4839"/>
        <item x="4797"/>
        <item x="4874"/>
        <item x="177"/>
        <item x="2093"/>
        <item x="190"/>
        <item x="3799"/>
        <item x="334"/>
        <item x="4704"/>
        <item x="3233"/>
        <item x="1859"/>
        <item x="1489"/>
        <item x="1187"/>
        <item x="2922"/>
        <item x="3676"/>
        <item x="4719"/>
        <item x="892"/>
        <item x="2205"/>
        <item x="3865"/>
        <item x="4781"/>
        <item x="3763"/>
        <item x="4978"/>
        <item x="1792"/>
        <item x="1585"/>
        <item x="845"/>
        <item x="4596"/>
        <item x="1983"/>
        <item x="1838"/>
        <item x="3917"/>
        <item x="2184"/>
        <item x="1774"/>
        <item x="1729"/>
        <item x="4754"/>
        <item x="1984"/>
        <item x="914"/>
        <item x="4130"/>
        <item x="2291"/>
        <item x="393"/>
        <item x="2937"/>
        <item x="4740"/>
        <item x="12"/>
        <item x="4107"/>
        <item x="2948"/>
        <item x="2445"/>
        <item x="1871"/>
        <item x="4818"/>
        <item x="699"/>
        <item x="858"/>
        <item x="2214"/>
        <item x="2992"/>
        <item x="3521"/>
        <item x="3522"/>
        <item x="4634"/>
        <item x="754"/>
        <item x="2494"/>
        <item x="2049"/>
        <item x="4195"/>
        <item x="3040"/>
        <item x="602"/>
        <item x="2954"/>
        <item x="4561"/>
        <item x="3709"/>
        <item x="2794"/>
        <item x="3937"/>
        <item x="442"/>
        <item x="1892"/>
        <item x="1545"/>
        <item x="105"/>
        <item x="911"/>
        <item x="4772"/>
        <item x="2706"/>
        <item x="1839"/>
        <item x="2485"/>
        <item x="3907"/>
        <item x="2619"/>
        <item x="4024"/>
        <item x="3875"/>
        <item x="4348"/>
        <item x="3097"/>
        <item x="3668"/>
        <item x="4887"/>
        <item x="2428"/>
        <item x="2069"/>
        <item x="1574"/>
        <item x="34"/>
        <item x="3165"/>
        <item x="720"/>
        <item x="4830"/>
        <item x="4912"/>
        <item x="27"/>
        <item x="3968"/>
        <item x="2588"/>
        <item x="233"/>
        <item x="4985"/>
        <item x="4931"/>
        <item x="272"/>
        <item x="3336"/>
        <item x="4995"/>
        <item x="1764"/>
        <item x="1391"/>
        <item x="1216"/>
        <item x="2866"/>
        <item x="2596"/>
        <item x="3002"/>
        <item x="3677"/>
        <item x="664"/>
        <item x="1119"/>
        <item x="3523"/>
        <item x="4535"/>
        <item x="307"/>
        <item x="4334"/>
        <item x="619"/>
        <item x="2340"/>
        <item x="3645"/>
        <item x="4913"/>
        <item x="1638"/>
        <item x="1471"/>
        <item x="4161"/>
        <item x="2651"/>
        <item x="721"/>
        <item x="3200"/>
        <item x="2451"/>
        <item x="3308"/>
        <item x="4092"/>
        <item x="3889"/>
        <item x="3423"/>
        <item x="2590"/>
        <item x="2322"/>
        <item x="4131"/>
        <item x="1375"/>
        <item x="4914"/>
        <item x="1878"/>
        <item x="1619"/>
        <item x="4093"/>
        <item x="318"/>
        <item x="1207"/>
        <item x="3194"/>
        <item x="2299"/>
        <item x="2486"/>
        <item x="675"/>
        <item x="1661"/>
        <item x="2820"/>
        <item x="1141"/>
        <item x="2949"/>
        <item x="3837"/>
        <item x="1934"/>
        <item x="3071"/>
        <item x="2412"/>
        <item x="3216"/>
        <item x="4318"/>
        <item x="2765"/>
        <item x="404"/>
        <item x="979"/>
        <item x="870"/>
        <item x="1611"/>
        <item x="1200"/>
        <item x="3806"/>
        <item x="2215"/>
        <item x="965"/>
        <item x="867"/>
        <item x="50"/>
        <item x="810"/>
        <item x="3661"/>
        <item x="4096"/>
        <item x="582"/>
        <item x="4406"/>
        <item x="500"/>
        <item x="3646"/>
        <item x="1448"/>
        <item x="3800"/>
        <item x="1031"/>
        <item x="2358"/>
        <item x="1049"/>
        <item x="2156"/>
        <item x="915"/>
        <item x="2731"/>
        <item x="4108"/>
        <item x="4155"/>
        <item x="2334"/>
        <item x="2017"/>
        <item x="2070"/>
        <item x="3176"/>
        <item x="1693"/>
        <item x="351"/>
        <item x="1536"/>
        <item x="1339"/>
        <item x="4025"/>
        <item x="1831"/>
        <item x="478"/>
        <item x="4215"/>
        <item x="4329"/>
        <item x="4288"/>
        <item x="3450"/>
        <item x="2062"/>
        <item x="1526"/>
        <item x="2753"/>
        <item x="2899"/>
        <item x="1844"/>
        <item x="4979"/>
        <item x="3559"/>
        <item x="3969"/>
        <item x="4944"/>
        <item x="1413"/>
        <item x="615"/>
        <item x="2018"/>
        <item x="2738"/>
        <item x="3298"/>
        <item x="4323"/>
        <item x="1499"/>
        <item x="1537"/>
        <item x="4162"/>
        <item x="219"/>
        <item x="3376"/>
        <item x="178"/>
        <item x="1319"/>
        <item x="1022"/>
        <item x="4706"/>
        <item x="4527"/>
        <item x="4511"/>
        <item x="4059"/>
        <item x="4303"/>
        <item x="2778"/>
        <item x="2851"/>
        <item x="2265"/>
        <item x="3102"/>
        <item x="4148"/>
        <item x="4420"/>
        <item x="707"/>
        <item x="2578"/>
        <item x="2271"/>
        <item x="4117"/>
        <item x="3745"/>
        <item x="3586"/>
        <item x="4330"/>
        <item x="1538"/>
        <item x="1236"/>
        <item x="4250"/>
        <item x="3420"/>
        <item x="930"/>
        <item x="4761"/>
        <item x="4545"/>
        <item x="2292"/>
        <item x="4270"/>
        <item x="405"/>
        <item x="3147"/>
        <item x="4686"/>
        <item x="3207"/>
        <item x="3156"/>
        <item x="2397"/>
        <item x="1775"/>
        <item x="4304"/>
        <item x="2464"/>
        <item x="164"/>
        <item x="3899"/>
        <item x="4113"/>
        <item x="1050"/>
        <item x="3567"/>
        <item x="1420"/>
        <item x="4421"/>
        <item x="4950"/>
        <item x="2811"/>
        <item x="2221"/>
        <item x="99"/>
        <item x="2891"/>
        <item x="3970"/>
        <item x="3355"/>
        <item x="960"/>
        <item x="1449"/>
        <item x="2007"/>
        <item x="3705"/>
        <item x="4136"/>
        <item x="2379"/>
        <item x="802"/>
        <item x="4773"/>
        <item x="3240"/>
        <item x="144"/>
        <item x="3783"/>
        <item x="2363"/>
        <item x="4076"/>
        <item x="2110"/>
        <item x="2512"/>
        <item x="1089"/>
        <item x="1744"/>
        <item x="980"/>
        <item x="2754"/>
        <item x="1322"/>
        <item x="4137"/>
        <item x="3224"/>
        <item x="1612"/>
        <item x="4687"/>
        <item x="2993"/>
        <item x="4590"/>
        <item x="1718"/>
        <item x="330"/>
        <item x="4562"/>
        <item x="1376"/>
        <item x="3247"/>
        <item x="1563"/>
        <item x="3314"/>
        <item x="3770"/>
        <item x="1296"/>
        <item x="4611"/>
        <item x="225"/>
        <item x="1781"/>
        <item x="4755"/>
        <item x="1356"/>
        <item x="3732"/>
        <item x="4046"/>
        <item x="3876"/>
        <item x="538"/>
        <item x="2955"/>
        <item x="4546"/>
        <item x="327"/>
        <item x="4536"/>
        <item x="2843"/>
        <item x="3487"/>
        <item x="3580"/>
        <item x="282"/>
        <item x="4295"/>
        <item x="1032"/>
        <item x="4431"/>
        <item x="501"/>
        <item x="3481"/>
        <item x="1613"/>
        <item x="1840"/>
        <item x="625"/>
        <item x="3696"/>
        <item x="4850"/>
        <item x="3822"/>
        <item x="4537"/>
        <item x="1432"/>
        <item x="846"/>
        <item x="4808"/>
        <item x="2293"/>
        <item x="1866"/>
        <item x="2717"/>
        <item x="4101"/>
        <item x="3118"/>
        <item x="3157"/>
        <item x="3908"/>
        <item x="2314"/>
        <item x="3792"/>
        <item x="3048"/>
        <item x="2844"/>
        <item x="3072"/>
        <item x="406"/>
        <item x="4445"/>
        <item x="2300"/>
        <item x="3003"/>
        <item x="4627"/>
        <item x="3391"/>
        <item x="1010"/>
        <item x="3252"/>
        <item x="1719"/>
        <item x="665"/>
        <item x="2547"/>
        <item x="3431"/>
        <item x="1267"/>
        <item x="773"/>
        <item x="2524"/>
        <item x="4688"/>
        <item x="593"/>
        <item x="1710"/>
        <item x="4528"/>
        <item x="4707"/>
        <item x="2050"/>
        <item x="4553"/>
        <item x="3461"/>
        <item x="3771"/>
        <item x="4002"/>
        <item x="1793"/>
        <item x="3004"/>
        <item x="1201"/>
        <item x="4097"/>
        <item x="4163"/>
        <item x="502"/>
        <item x="450"/>
        <item x="2725"/>
        <item x="1782"/>
        <item x="2019"/>
        <item x="722"/>
        <item x="457"/>
        <item x="487"/>
        <item x="3595"/>
        <item x="2071"/>
        <item x="240"/>
        <item x="3170"/>
        <item x="3516"/>
        <item x="931"/>
        <item x="3509"/>
        <item x="1042"/>
        <item x="4276"/>
        <item x="2637"/>
        <item x="5"/>
        <item x="3195"/>
        <item x="2157"/>
        <item x="1953"/>
        <item x="2691"/>
        <item x="4422"/>
        <item x="467"/>
        <item x="468"/>
        <item x="1130"/>
        <item x="4597"/>
        <item x="3112"/>
        <item x="1694"/>
        <item x="999"/>
        <item x="1500"/>
        <item x="741"/>
        <item x="893"/>
        <item x="557"/>
        <item x="2644"/>
        <item x="762"/>
        <item x="4423"/>
        <item x="3482"/>
        <item x="207"/>
        <item x="4457"/>
        <item x="4785"/>
        <item x="2807"/>
        <item x="365"/>
        <item x="1899"/>
        <item x="748"/>
        <item x="340"/>
        <item x="3291"/>
        <item x="4221"/>
        <item x="1807"/>
        <item x="2380"/>
        <item x="4305"/>
        <item x="3560"/>
        <item x="28"/>
        <item x="4251"/>
        <item x="2707"/>
        <item x="3469"/>
        <item x="300"/>
        <item x="366"/>
        <item x="1156"/>
        <item x="3625"/>
        <item x="170"/>
        <item x="3813"/>
        <item x="1228"/>
        <item x="443"/>
        <item x="4741"/>
        <item x="2381"/>
        <item x="4424"/>
        <item x="3777"/>
        <item x="2158"/>
        <item x="4029"/>
        <item x="2403"/>
        <item x="1472"/>
        <item x="2610"/>
        <item x="2465"/>
        <item x="3697"/>
        <item x="1684"/>
        <item x="106"/>
        <item x="1884"/>
        <item x="4708"/>
        <item x="4981"/>
        <item x="3474"/>
        <item x="3647"/>
        <item x="1297"/>
        <item x="2364"/>
        <item x="1893"/>
        <item x="3023"/>
        <item x="1095"/>
        <item x="920"/>
        <item x="265"/>
        <item x="1051"/>
        <item x="2833"/>
        <item x="2369"/>
        <item x="3148"/>
        <item x="3971"/>
        <item x="1845"/>
        <item x="2795"/>
        <item x="2760"/>
        <item x="4365"/>
        <item x="3149"/>
        <item x="4709"/>
        <item x="2251"/>
        <item x="2554"/>
        <item x="2404"/>
        <item x="894"/>
        <item x="1913"/>
        <item x="3550"/>
        <item x="2829"/>
        <item x="2335"/>
        <item x="1546"/>
        <item x="610"/>
        <item x="3716"/>
        <item x="3494"/>
        <item x="4951"/>
        <item x="3475"/>
        <item x="3866"/>
        <item x="1907"/>
        <item x="1300"/>
        <item x="539"/>
        <item x="1547"/>
        <item x="3024"/>
        <item x="3717"/>
        <item x="574"/>
        <item x="4357"/>
        <item x="2591"/>
        <item x="4812"/>
        <item x="2972"/>
        <item x="355"/>
        <item x="2994"/>
        <item x="3687"/>
        <item x="989"/>
        <item x="1586"/>
        <item x="2562"/>
        <item x="3011"/>
        <item x="2663"/>
        <item x="871"/>
        <item x="4875"/>
        <item x="2446"/>
        <item x="1823"/>
        <item x="583"/>
        <item x="2788"/>
        <item x="356"/>
        <item x="3972"/>
        <item x="1298"/>
        <item x="2755"/>
        <item x="1377"/>
        <item x="503"/>
        <item x="4762"/>
        <item x="4060"/>
        <item x="253"/>
        <item x="4252"/>
        <item x="1484"/>
        <item x="469"/>
        <item x="3383"/>
        <item x="2169"/>
        <item x="479"/>
        <item x="2569"/>
        <item x="3442"/>
        <item x="2708"/>
        <item x="641"/>
        <item x="2892"/>
        <item x="1396"/>
        <item x="2222"/>
        <item x="3309"/>
        <item x="35"/>
        <item x="3669"/>
        <item x="3225"/>
        <item x="2301"/>
        <item x="1765"/>
        <item x="4598"/>
        <item x="1872"/>
        <item x="4003"/>
        <item x="412"/>
        <item x="2582"/>
        <item x="2812"/>
        <item x="1799"/>
        <item x="3065"/>
        <item x="4382"/>
        <item x="921"/>
        <item x="905"/>
        <item x="4734"/>
        <item x="966"/>
        <item x="444"/>
        <item x="2779"/>
        <item x="4358"/>
        <item x="3877"/>
        <item x="1064"/>
        <item x="1832"/>
        <item x="1202"/>
        <item x="3603"/>
        <item x="2986"/>
        <item x="2597"/>
        <item x="2645"/>
        <item x="1043"/>
        <item x="1954"/>
        <item x="3267"/>
        <item x="1940"/>
        <item x="3524"/>
        <item x="2563"/>
        <item x="540"/>
        <item x="2620"/>
        <item x="2646"/>
        <item x="1309"/>
        <item x="2051"/>
        <item x="2308"/>
        <item x="2459"/>
        <item x="3082"/>
        <item x="4577"/>
        <item x="3302"/>
        <item x="2020"/>
        <item x="115"/>
        <item x="4952"/>
        <item x="4628"/>
        <item x="4039"/>
        <item x="2677"/>
        <item x="4689"/>
        <item x="3571"/>
        <item x="1275"/>
        <item x="2103"/>
        <item x="1075"/>
        <item x="3989"/>
        <item x="4030"/>
        <item x="4031"/>
        <item x="872"/>
        <item x="4782"/>
        <item x="1808"/>
        <item x="254"/>
        <item x="4491"/>
        <item x="1392"/>
        <item x="774"/>
        <item x="293"/>
        <item x="3678"/>
        <item x="2170"/>
        <item x="3432"/>
        <item x="3208"/>
        <item x="529"/>
        <item x="1914"/>
        <item x="3406"/>
        <item x="328"/>
        <item x="165"/>
        <item x="1900"/>
        <item x="1065"/>
        <item x="1816"/>
        <item x="44"/>
        <item x="1495"/>
        <item x="2272"/>
        <item x="2621"/>
        <item x="4819"/>
        <item x="3973"/>
        <item x="2487"/>
        <item x="2200"/>
        <item x="4004"/>
        <item x="4399"/>
        <item x="2028"/>
        <item x="3397"/>
        <item x="3177"/>
        <item x="422"/>
        <item x="1501"/>
        <item x="2995"/>
        <item x="4277"/>
        <item x="2255"/>
        <item x="57"/>
        <item x="4998"/>
        <item x="3938"/>
        <item x="4851"/>
        <item x="1602"/>
        <item x="19"/>
        <item x="2987"/>
        <item x="594"/>
        <item x="1527"/>
        <item x="4335"/>
        <item x="1456"/>
        <item x="1332"/>
        <item x="1254"/>
        <item x="3721"/>
        <item x="2126"/>
        <item x="4222"/>
        <item x="2709"/>
        <item x="200"/>
        <item x="1033"/>
        <item x="4969"/>
        <item x="394"/>
        <item x="3036"/>
        <item x="1066"/>
        <item x="2710"/>
        <item x="1110"/>
        <item x="6"/>
        <item x="2347"/>
        <item x="1698"/>
        <item x="2460"/>
        <item x="266"/>
        <item x="859"/>
        <item x="1699"/>
        <item x="2692"/>
        <item x="4138"/>
        <item x="2387"/>
        <item x="4578"/>
        <item x="4858"/>
        <item x="4164"/>
        <item x="3621"/>
        <item x="3369"/>
        <item x="708"/>
        <item x="1720"/>
        <item x="4216"/>
        <item x="4804"/>
        <item x="3451"/>
        <item x="4940"/>
        <item x="1658"/>
        <item x="423"/>
        <item x="2780"/>
        <item x="4747"/>
        <item x="4296"/>
        <item x="3793"/>
        <item x="2273"/>
        <item x="2732"/>
        <item x="4962"/>
        <item x="4503"/>
        <item x="1478"/>
        <item x="3171"/>
        <item x="2252"/>
        <item x="4786"/>
        <item x="126"/>
        <item x="508"/>
        <item x="4391"/>
        <item x="3318"/>
        <item x="3858"/>
        <item x="1833"/>
        <item x="458"/>
        <item x="1147"/>
        <item x="4366"/>
        <item x="1758"/>
        <item x="2852"/>
        <item x="2665"/>
        <item x="283"/>
        <item x="2111"/>
        <item x="1603"/>
        <item x="1105"/>
        <item x="150"/>
        <item x="3341"/>
        <item x="80"/>
        <item x="4149"/>
        <item x="1644"/>
        <item x="4278"/>
        <item x="2884"/>
        <item x="825"/>
        <item x="1539"/>
        <item x="3178"/>
        <item x="1261"/>
        <item x="1138"/>
        <item x="2094"/>
        <item x="36"/>
        <item x="4311"/>
        <item x="4554"/>
        <item x="4196"/>
        <item x="3413"/>
        <item x="413"/>
        <item x="2521"/>
        <item x="2956"/>
        <item x="1157"/>
        <item x="2739"/>
        <item x="3930"/>
        <item x="4941"/>
        <item x="3398"/>
        <item x="1178"/>
        <item x="1846"/>
        <item x="2907"/>
        <item x="2893"/>
        <item x="1106"/>
        <item x="2564"/>
        <item x="3679"/>
        <item x="4805"/>
        <item x="2090"/>
        <item x="4591"/>
        <item x="4735"/>
        <item x="4165"/>
        <item x="3253"/>
        <item x="2647"/>
        <item x="2431"/>
        <item x="3098"/>
        <item x="2973"/>
        <item x="530"/>
        <item x="1620"/>
        <item x="3179"/>
        <item x="2159"/>
        <item x="546"/>
        <item x="260"/>
        <item x="2151"/>
        <item x="755"/>
        <item x="2931"/>
        <item x="3342"/>
        <item x="1721"/>
        <item x="2860"/>
        <item x="3387"/>
        <item x="166"/>
        <item x="3847"/>
        <item x="2583"/>
        <item x="2672"/>
        <item x="4702"/>
        <item x="4748"/>
        <item x="3939"/>
        <item x="3258"/>
        <item x="4970"/>
        <item x="234"/>
        <item x="634"/>
        <item x="2447"/>
        <item x="2874"/>
        <item x="1935"/>
        <item x="3166"/>
        <item x="1357"/>
        <item x="3303"/>
        <item x="4563"/>
        <item x="388"/>
        <item x="3909"/>
        <item x="1473"/>
        <item x="4787"/>
        <item x="331"/>
        <item x="1711"/>
        <item x="803"/>
        <item x="1630"/>
        <item x="1239"/>
        <item x="3343"/>
        <item x="2302"/>
        <item x="2042"/>
        <item x="2388"/>
        <item x="2365"/>
        <item x="4432"/>
        <item x="1730"/>
        <item x="226"/>
        <item x="2808"/>
        <item x="2916"/>
        <item x="2756"/>
        <item x="3572"/>
        <item x="2104"/>
        <item x="4720"/>
        <item x="4876"/>
        <item x="895"/>
        <item x="3407"/>
        <item x="4579"/>
        <item x="3867"/>
        <item x="3990"/>
        <item x="220"/>
        <item x="4077"/>
        <item x="2879"/>
        <item x="2733"/>
        <item x="137"/>
        <item x="4809"/>
        <item x="3733"/>
        <item x="1441"/>
        <item x="519"/>
        <item x="127"/>
        <item x="2769"/>
        <item x="3150"/>
        <item x="1034"/>
        <item x="4619"/>
        <item x="3539"/>
        <item x="4336"/>
        <item x="2622"/>
        <item x="742"/>
        <item x="2885"/>
        <item x="4032"/>
        <item x="3158"/>
        <item x="2294"/>
        <item x="4383"/>
        <item x="4473"/>
        <item x="1976"/>
        <item x="1955"/>
        <item x="1428"/>
        <item x="459"/>
        <item x="179"/>
        <item x="878"/>
        <item x="2190"/>
        <item x="4852"/>
        <item x="3083"/>
        <item x="1442"/>
        <item x="2770"/>
        <item x="151"/>
        <item x="1736"/>
        <item x="4640"/>
        <item x="3056"/>
        <item x="2579"/>
        <item x="3996"/>
        <item x="3180"/>
        <item x="2448"/>
        <item x="4894"/>
        <item x="3005"/>
        <item x="3041"/>
        <item x="201"/>
        <item x="1518"/>
        <item x="1800"/>
        <item x="547"/>
        <item x="4884"/>
        <item x="2078"/>
        <item x="566"/>
        <item x="475"/>
        <item x="1208"/>
        <item x="642"/>
        <item x="3259"/>
        <item x="2684"/>
        <item x="335"/>
        <item x="4205"/>
        <item x="86"/>
        <item x="651"/>
        <item x="1722"/>
        <item x="2440"/>
        <item x="3997"/>
        <item x="2584"/>
        <item x="2389"/>
        <item x="3433"/>
        <item x="531"/>
        <item x="4512"/>
        <item x="2685"/>
        <item x="1593"/>
        <item x="4340"/>
        <item x="20"/>
        <item x="775"/>
        <item x="4446"/>
        <item x="1052"/>
        <item x="3310"/>
        <item x="3140"/>
        <item x="656"/>
        <item x="1111"/>
        <item x="4470"/>
        <item x="2900"/>
        <item x="2382"/>
        <item x="2052"/>
        <item x="2917"/>
        <item x="180"/>
        <item x="3226"/>
        <item x="3181"/>
        <item x="1519"/>
        <item x="730"/>
        <item x="4375"/>
        <item x="758"/>
        <item x="2533"/>
        <item x="4005"/>
        <item x="414"/>
        <item x="1824"/>
        <item x="2740"/>
        <item x="2036"/>
        <item x="1465"/>
        <item x="2503"/>
        <item x="2648"/>
        <item x="4564"/>
        <item x="2604"/>
        <item x="3510"/>
        <item x="1096"/>
        <item x="2256"/>
        <item x="4810"/>
        <item x="4729"/>
        <item x="2861"/>
        <item x="3638"/>
        <item x="789"/>
        <item x="3953"/>
        <item x="3868"/>
        <item x="1053"/>
        <item x="2534"/>
        <item x="1554"/>
        <item x="4006"/>
        <item x="2206"/>
        <item x="4217"/>
        <item x="1631"/>
        <item x="1977"/>
        <item x="3260"/>
        <item x="749"/>
        <item x="1879"/>
        <item x="1018"/>
        <item x="460"/>
        <item x="4178"/>
        <item x="1209"/>
        <item x="4341"/>
        <item x="1323"/>
        <item x="2207"/>
        <item x="1276"/>
        <item x="235"/>
        <item x="3698"/>
        <item x="700"/>
        <item x="4840"/>
        <item x="3434"/>
        <item x="3119"/>
        <item x="4166"/>
        <item x="3814"/>
        <item x="3998"/>
        <item x="3470"/>
        <item x="2008"/>
        <item x="1632"/>
        <item x="1967"/>
        <item x="873"/>
        <item x="16"/>
        <item x="4400"/>
        <item x="1433"/>
        <item x="922"/>
        <item x="2476"/>
        <item x="875"/>
        <item x="1023"/>
        <item x="4986"/>
        <item x="2259"/>
        <item x="3573"/>
        <item x="1956"/>
        <item x="1381"/>
        <item x="2908"/>
        <item x="3037"/>
        <item x="428"/>
        <item x="1067"/>
        <item x="4401"/>
        <item x="2652"/>
        <item x="4061"/>
        <item x="4641"/>
        <item x="1496"/>
        <item x="2127"/>
        <item x="3123"/>
        <item x="2144"/>
        <item x="4359"/>
        <item x="782"/>
        <item x="3604"/>
        <item x="3128"/>
        <item x="107"/>
        <item x="2095"/>
        <item x="461"/>
        <item x="3344"/>
        <item x="3328"/>
        <item x="2741"/>
        <item x="1783"/>
        <item x="273"/>
        <item x="1985"/>
        <item x="3066"/>
        <item x="3133"/>
        <item x="2686"/>
        <item x="2422"/>
        <item x="4659"/>
        <item x="2009"/>
        <item x="3680"/>
        <item x="4783"/>
        <item x="2653"/>
        <item x="3619"/>
        <item x="3201"/>
        <item x="4167"/>
        <item x="68"/>
        <item x="451"/>
        <item x="2208"/>
        <item x="912"/>
        <item x="2959"/>
        <item x="811"/>
        <item x="4144"/>
        <item x="3399"/>
        <item x="3057"/>
        <item x="2909"/>
        <item x="652"/>
        <item x="1559"/>
        <item x="470"/>
        <item x="1957"/>
        <item x="3878"/>
        <item x="4555"/>
        <item x="4915"/>
        <item x="1378"/>
        <item x="967"/>
        <item x="2932"/>
        <item x="1941"/>
        <item x="2323"/>
        <item x="1750"/>
        <item x="906"/>
        <item x="4895"/>
        <item x="3670"/>
        <item x="1000"/>
        <item x="4007"/>
        <item x="2398"/>
        <item x="1112"/>
        <item x="2441"/>
        <item x="1400"/>
        <item x="4367"/>
        <item x="1039"/>
        <item x="4522"/>
        <item x="3329"/>
        <item x="683"/>
        <item x="2821"/>
        <item x="319"/>
        <item x="3103"/>
        <item x="879"/>
        <item x="1320"/>
        <item x="509"/>
        <item x="1502"/>
        <item x="2260"/>
        <item x="4297"/>
        <item x="4197"/>
        <item x="4223"/>
        <item x="2504"/>
        <item x="4081"/>
        <item x="2079"/>
        <item x="3190"/>
        <item x="4980"/>
        <item x="954"/>
        <item x="4987"/>
        <item x="2957"/>
        <item x="3196"/>
        <item x="3414"/>
        <item x="2862"/>
        <item x="3859"/>
        <item x="4730"/>
        <item x="2281"/>
        <item x="191"/>
        <item x="626"/>
        <item x="4118"/>
        <item x="1361"/>
        <item x="3058"/>
        <item x="3217"/>
        <item x="1745"/>
        <item x="2477"/>
        <item x="1158"/>
        <item x="2261"/>
        <item x="4238"/>
        <item x="2112"/>
        <item x="3159"/>
        <item x="3424"/>
        <item x="1217"/>
        <item x="2303"/>
        <item x="3012"/>
        <item x="4556"/>
        <item x="709"/>
        <item x="2399"/>
        <item x="876"/>
        <item x="4342"/>
        <item x="29"/>
        <item x="160"/>
        <item x="1958"/>
        <item x="3129"/>
        <item x="2163"/>
        <item x="1766"/>
        <item x="3527"/>
        <item x="341"/>
        <item x="1188"/>
        <item x="4082"/>
        <item x="1751"/>
        <item x="1587"/>
        <item x="763"/>
        <item x="1669"/>
        <item x="4324"/>
        <item x="3202"/>
        <item x="2638"/>
        <item x="4384"/>
        <item x="4599"/>
        <item x="379"/>
        <item x="2834"/>
        <item x="1767"/>
        <item x="4413"/>
        <item x="4742"/>
        <item x="723"/>
        <item x="2216"/>
        <item x="4642"/>
        <item x="4798"/>
        <item x="1414"/>
        <item x="4565"/>
        <item x="4853"/>
        <item x="3923"/>
        <item x="3681"/>
        <item x="2977"/>
        <item x="916"/>
        <item x="4749"/>
        <item x="4263"/>
        <item x="1490"/>
        <item x="2555"/>
        <item x="4877"/>
        <item x="917"/>
        <item x="3392"/>
        <item x="4721"/>
        <item x="968"/>
        <item x="2809"/>
        <item x="1450"/>
        <item x="3218"/>
        <item x="2867"/>
        <item x="4982"/>
        <item x="167"/>
        <item x="4988"/>
        <item x="853"/>
        <item x="2359"/>
        <item x="3688"/>
        <item x="1662"/>
        <item x="4033"/>
        <item x="2509"/>
        <item x="2718"/>
        <item x="415"/>
        <item x="342"/>
        <item x="616"/>
        <item x="3227"/>
        <item x="1564"/>
        <item x="261"/>
        <item x="2080"/>
        <item x="3234"/>
        <item x="3622"/>
        <item x="3991"/>
        <item x="1159"/>
        <item x="4246"/>
        <item x="2875"/>
        <item x="783"/>
        <item x="3900"/>
        <item x="2432"/>
        <item x="2043"/>
        <item x="3415"/>
        <item x="2845"/>
        <item x="3488"/>
        <item x="2352"/>
        <item x="1860"/>
        <item x="2757"/>
        <item x="2513"/>
        <item x="58"/>
        <item x="367"/>
        <item x="2081"/>
        <item x="4799"/>
        <item x="368"/>
        <item x="4458"/>
        <item x="4239"/>
        <item x="2687"/>
        <item x="1457"/>
        <item x="3778"/>
        <item x="480"/>
        <item x="4483"/>
        <item x="4831"/>
        <item x="1614"/>
        <item x="369"/>
        <item x="611"/>
        <item x="1344"/>
        <item x="1345"/>
        <item x="1076"/>
        <item x="2570"/>
        <item x="1880"/>
        <item x="100"/>
        <item x="2813"/>
        <item x="2673"/>
        <item x="1443"/>
        <item x="2488"/>
        <item x="1054"/>
        <item x="4908"/>
        <item x="301"/>
        <item x="1369"/>
        <item x="804"/>
        <item x="1604"/>
        <item x="2761"/>
        <item x="684"/>
        <item x="3766"/>
        <item x="4433"/>
        <item x="4008"/>
        <item x="2901"/>
        <item x="1986"/>
        <item x="3912"/>
        <item x="2611"/>
        <item x="2044"/>
        <item x="2796"/>
        <item x="1203"/>
        <item x="2232"/>
        <item x="1497"/>
        <item x="2433"/>
        <item x="3699"/>
        <item x="790"/>
        <item x="438"/>
        <item x="3120"/>
        <item x="192"/>
        <item x="3528"/>
        <item x="64"/>
        <item x="21"/>
        <item x="2274"/>
        <item x="2758"/>
        <item x="4343"/>
        <item x="1055"/>
        <item x="3073"/>
        <item x="3254"/>
        <item x="4971"/>
        <item x="1746"/>
        <item x="1077"/>
        <item x="3830"/>
        <item x="1151"/>
        <item x="643"/>
        <item x="1768"/>
        <item x="2612"/>
        <item x="4896"/>
        <item x="520"/>
        <item x="389"/>
        <item x="4606"/>
        <item x="1160"/>
        <item x="4635"/>
        <item x="3013"/>
        <item x="2654"/>
        <item x="4557"/>
        <item x="4414"/>
        <item x="2063"/>
        <item x="1466"/>
        <item x="1011"/>
        <item x="2978"/>
        <item x="932"/>
        <item x="4788"/>
        <item x="2626"/>
        <item x="1255"/>
        <item x="2029"/>
        <item x="4119"/>
        <item x="791"/>
        <item x="3689"/>
        <item x="2927"/>
        <item x="4047"/>
        <item x="4349"/>
        <item x="1676"/>
        <item x="1784"/>
        <item x="2548"/>
        <item x="2201"/>
        <item x="4069"/>
        <item x="1825"/>
        <item x="4529"/>
        <item x="3690"/>
        <item x="4888"/>
        <item x="3499"/>
        <item x="955"/>
        <item x="3944"/>
        <item x="743"/>
        <item x="1388"/>
        <item x="2742"/>
        <item x="3362"/>
        <item x="1123"/>
        <item x="2701"/>
        <item x="3794"/>
        <item x="612"/>
        <item x="4612"/>
        <item x="210"/>
        <item x="1081"/>
        <item x="476"/>
        <item x="133"/>
        <item x="3261"/>
        <item x="4298"/>
        <item x="3748"/>
        <item x="1847"/>
        <item x="3006"/>
        <item x="4675"/>
        <item x="3823"/>
        <item x="3400"/>
        <item x="278"/>
        <item x="2414"/>
        <item x="116"/>
        <item x="4385"/>
        <item x="2489"/>
        <item x="2415"/>
        <item x="4504"/>
        <item x="108"/>
        <item x="3626"/>
        <item x="4459"/>
        <item x="4942"/>
        <item x="1120"/>
        <item x="4690"/>
        <item x="4474"/>
        <item x="2467"/>
        <item x="1246"/>
        <item x="1240"/>
        <item x="152"/>
        <item x="1221"/>
        <item x="2223"/>
        <item x="4240"/>
        <item x="1277"/>
        <item x="208"/>
        <item x="1001"/>
        <item x="3918"/>
        <item x="1663"/>
        <item x="4471"/>
        <item x="3779"/>
        <item x="1809"/>
        <item x="4199"/>
        <item x="3919"/>
        <item x="41"/>
        <item x="2556"/>
        <item x="380"/>
        <item x="296"/>
        <item x="4620"/>
        <item x="4698"/>
        <item x="1968"/>
        <item x="3574"/>
        <item x="886"/>
        <item x="1848"/>
        <item x="407"/>
        <item x="3700"/>
        <item x="3279"/>
        <item x="332"/>
        <item x="3141"/>
        <item x="1024"/>
        <item x="2627"/>
        <item x="2655"/>
        <item x="2863"/>
        <item x="3945"/>
        <item x="3650"/>
        <item x="4878"/>
        <item x="4261"/>
        <item x="4206"/>
        <item x="3901"/>
        <item x="1082"/>
        <item x="937"/>
        <item x="3860"/>
        <item x="635"/>
        <item x="1621"/>
        <item x="3931"/>
        <item x="4983"/>
        <item x="22"/>
        <item x="4052"/>
        <item x="59"/>
        <item x="211"/>
        <item x="439"/>
        <item x="65"/>
        <item x="2800"/>
        <item x="2886"/>
        <item x="938"/>
        <item x="3913"/>
        <item x="724"/>
        <item x="4922"/>
        <item x="1458"/>
        <item x="3575"/>
        <item x="2171"/>
        <item x="3639"/>
        <item x="4350"/>
        <item x="181"/>
        <item x="4484"/>
        <item x="3435"/>
        <item x="3124"/>
        <item x="4566"/>
        <item x="1132"/>
        <item x="2967"/>
        <item x="2678"/>
        <item x="2525"/>
        <item x="532"/>
        <item x="784"/>
        <item x="3483"/>
        <item x="2240"/>
        <item x="2120"/>
        <item x="4854"/>
        <item x="3182"/>
        <item x="3596"/>
        <item x="4859"/>
        <item x="644"/>
        <item x="429"/>
        <item x="2037"/>
        <item x="1170"/>
        <item x="3954"/>
        <item x="575"/>
        <item x="2974"/>
        <item x="488"/>
        <item x="3304"/>
        <item x="4125"/>
        <item x="4676"/>
        <item x="343"/>
        <item x="3161"/>
        <item x="3183"/>
        <item x="374"/>
        <item x="4485"/>
        <item x="3416"/>
        <item x="3356"/>
        <item x="969"/>
        <item x="4774"/>
        <item x="2526"/>
        <item x="381"/>
        <item x="4953"/>
        <item x="4009"/>
        <item x="595"/>
        <item x="4691"/>
        <item x="4207"/>
        <item x="4580"/>
        <item x="2797"/>
        <item x="1685"/>
        <item x="4763"/>
        <item x="759"/>
        <item x="3734"/>
        <item x="1588"/>
        <item x="627"/>
        <item x="2113"/>
        <item x="690"/>
        <item x="1677"/>
        <item x="288"/>
        <item x="4860"/>
        <item x="3815"/>
        <item x="4923"/>
        <item x="4692"/>
        <item x="1350"/>
        <item x="2136"/>
        <item x="541"/>
        <item x="4299"/>
        <item x="3377"/>
        <item x="3869"/>
        <item x="2918"/>
        <item x="3597"/>
        <item x="1382"/>
        <item x="236"/>
        <item x="1210"/>
        <item x="4062"/>
        <item x="2938"/>
        <item x="4010"/>
        <item x="489"/>
        <item x="3640"/>
        <item x="2405"/>
        <item x="3084"/>
        <item x="2295"/>
        <item x="4447"/>
        <item x="4415"/>
        <item x="2666"/>
        <item x="1520"/>
        <item x="4581"/>
        <item x="4434"/>
        <item x="2030"/>
        <item x="2468"/>
        <item x="4924"/>
        <item x="2217"/>
        <item x="2639"/>
        <item x="3031"/>
        <item x="2137"/>
        <item x="212"/>
        <item x="2326"/>
        <item x="1401"/>
        <item x="1124"/>
        <item x="3315"/>
        <item x="2814"/>
        <item x="3393"/>
        <item x="854"/>
        <item x="974"/>
        <item x="87"/>
        <item x="1769"/>
        <item x="4861"/>
        <item x="1678"/>
        <item x="69"/>
        <item x="4636"/>
        <item x="2781"/>
        <item x="4699"/>
        <item x="4011"/>
        <item x="3330"/>
        <item x="2628"/>
        <item x="2592"/>
        <item x="145"/>
        <item x="1785"/>
        <item x="1459"/>
        <item x="3722"/>
        <item x="3262"/>
        <item x="4824"/>
        <item x="2495"/>
        <item x="933"/>
        <item x="2390"/>
        <item x="4548"/>
        <item x="3870"/>
        <item x="558"/>
        <item x="1402"/>
        <item x="153"/>
        <item x="798"/>
        <item x="1873"/>
        <item x="3209"/>
        <item x="2734"/>
        <item x="2894"/>
        <item x="2021"/>
        <item x="1161"/>
        <item x="3974"/>
        <item x="4475"/>
        <item x="2979"/>
        <item x="2980"/>
        <item x="2000"/>
        <item x="320"/>
        <item x="3890"/>
        <item x="1247"/>
        <item x="3007"/>
        <item x="4486"/>
        <item x="1503"/>
        <item x="1083"/>
        <item x="4229"/>
        <item x="4756"/>
        <item x="182"/>
        <item x="3471"/>
        <item x="4376"/>
        <item x="357"/>
        <item x="2981"/>
        <item x="4879"/>
        <item x="691"/>
        <item x="4264"/>
        <item x="2434"/>
        <item x="3191"/>
        <item x="2383"/>
        <item x="171"/>
        <item x="227"/>
        <item x="1429"/>
        <item x="2505"/>
        <item x="3489"/>
        <item x="2082"/>
        <item x="4083"/>
        <item x="2469"/>
        <item x="138"/>
        <item x="3904"/>
        <item x="358"/>
        <item x="510"/>
        <item x="1397"/>
        <item x="183"/>
        <item x="3014"/>
        <item x="939"/>
        <item x="2336"/>
        <item x="2629"/>
        <item x="4150"/>
        <item x="1874"/>
        <item x="4464"/>
        <item x="3443"/>
        <item x="812"/>
        <item x="4700"/>
        <item x="1125"/>
        <item x="1313"/>
        <item x="3807"/>
        <item x="30"/>
        <item x="4465"/>
        <item x="3255"/>
        <item x="213"/>
        <item x="620"/>
        <item x="184"/>
        <item x="3808"/>
        <item x="1301"/>
        <item x="1594"/>
        <item x="3795"/>
        <item x="4241"/>
        <item x="4053"/>
        <item x="1885"/>
        <item x="2478"/>
        <item x="2370"/>
        <item x="154"/>
        <item x="302"/>
        <item x="569"/>
        <item x="1534"/>
        <item x="1479"/>
        <item x="3151"/>
        <item x="2416"/>
        <item x="3125"/>
        <item x="1589"/>
        <item x="3551"/>
        <item x="4279"/>
        <item x="2719"/>
        <item x="3495"/>
        <item x="2571"/>
        <item x="3924"/>
        <item x="4693"/>
        <item x="576"/>
        <item x="4109"/>
        <item x="3651"/>
        <item x="45"/>
        <item x="3378"/>
        <item x="596"/>
        <item x="3357"/>
        <item x="4084"/>
        <item x="3319"/>
        <item x="636"/>
        <item x="430"/>
        <item x="750"/>
        <item x="3015"/>
        <item x="880"/>
        <item x="2720"/>
        <item x="3605"/>
        <item x="3920"/>
        <item x="776"/>
        <item x="2815"/>
        <item x="2674"/>
        <item x="3879"/>
        <item x="1510"/>
        <item x="2384"/>
        <item x="3581"/>
        <item x="3476"/>
        <item x="1310"/>
        <item x="3980"/>
        <item x="424"/>
        <item x="1645"/>
        <item x="842"/>
        <item x="731"/>
        <item x="2442"/>
        <item x="1540"/>
        <item x="4558"/>
        <item x="4885"/>
        <item x="4897"/>
        <item x="2172"/>
        <item x="3992"/>
        <item x="1801"/>
        <item x="597"/>
        <item x="3511"/>
        <item x="214"/>
        <item x="2593"/>
        <item x="2053"/>
        <item x="3749"/>
        <item x="4660"/>
        <item x="2835"/>
        <item x="2822"/>
        <item x="4743"/>
        <item x="1867"/>
        <item x="42"/>
        <item x="1731"/>
        <item x="2054"/>
        <item x="799"/>
        <item x="567"/>
        <item x="431"/>
        <item x="4999"/>
        <item x="4139"/>
        <item x="3008"/>
        <item x="1256"/>
        <item x="2910"/>
        <item x="637"/>
        <item x="3311"/>
        <item x="3682"/>
        <item x="4820"/>
        <item x="598"/>
        <item x="1908"/>
        <item x="1362"/>
        <item x="1942"/>
        <item x="4880"/>
        <item x="3657"/>
        <item x="1152"/>
        <item x="2864"/>
        <item x="2128"/>
        <item x="2605"/>
        <item x="2202"/>
        <item x="4629"/>
        <item x="738"/>
        <item x="4253"/>
        <item x="146"/>
        <item x="3113"/>
        <item x="3184"/>
        <item x="1314"/>
        <item x="4667"/>
        <item x="2868"/>
        <item x="3701"/>
        <item x="1841"/>
        <item x="613"/>
        <item x="3305"/>
        <item x="3641"/>
        <item x="4416"/>
        <item x="4186"/>
        <item x="4392"/>
        <item x="2304"/>
        <item x="2164"/>
        <item x="2479"/>
        <item x="1485"/>
        <item x="1311"/>
        <item x="4237"/>
        <item x="1229"/>
        <item x="375"/>
        <item x="2923"/>
        <item x="1358"/>
        <item x="4932"/>
        <item x="1886"/>
        <item x="2391"/>
        <item x="3587"/>
        <item x="3512"/>
        <item x="4425"/>
        <item x="4648"/>
        <item x="2846"/>
        <item x="4048"/>
        <item x="3210"/>
        <item x="4789"/>
        <item x="4505"/>
        <item x="2630"/>
        <item x="2191"/>
        <item x="1346"/>
        <item x="241"/>
        <item x="1826"/>
        <item x="7"/>
        <item x="31"/>
        <item x="4682"/>
        <item x="2406"/>
        <item x="1383"/>
        <item x="2392"/>
        <item x="1875"/>
        <item x="2572"/>
        <item x="3561"/>
        <item x="1467"/>
        <item x="511"/>
        <item x="1590"/>
        <item x="1142"/>
        <item x="4621"/>
        <item x="2876"/>
        <item x="4242"/>
        <item x="23"/>
        <item x="3462"/>
        <item x="4344"/>
        <item x="3472"/>
        <item x="4306"/>
        <item x="1901"/>
        <item x="1211"/>
        <item x="321"/>
        <item x="940"/>
        <item x="4254"/>
        <item x="4989"/>
        <item x="139"/>
        <item x="701"/>
        <item x="4492"/>
        <item x="228"/>
        <item x="262"/>
        <item x="3192"/>
        <item x="3576"/>
        <item x="1406"/>
        <item x="3337"/>
        <item x="4377"/>
        <item x="3691"/>
        <item x="2031"/>
        <item x="24"/>
        <item x="3598"/>
        <item x="4649"/>
        <item x="3363"/>
        <item x="1257"/>
        <item x="1834"/>
        <item x="645"/>
        <item x="70"/>
        <item x="3671"/>
        <item x="2887"/>
        <item x="3652"/>
        <item x="117"/>
        <item x="255"/>
        <item x="1403"/>
        <item x="3009"/>
        <item x="2490"/>
        <item x="2968"/>
        <item x="2455"/>
        <item x="3348"/>
        <item x="333"/>
        <item x="4592"/>
        <item x="3025"/>
        <item x="805"/>
        <item x="2631"/>
        <item x="4187"/>
        <item x="2688"/>
        <item x="2393"/>
        <item x="3546"/>
        <item x="2491"/>
        <item x="3880"/>
        <item x="4825"/>
        <item x="1162"/>
        <item x="4582"/>
        <item x="3634"/>
        <item x="4775"/>
        <item x="289"/>
        <item x="37"/>
        <item x="2022"/>
        <item x="2911"/>
        <item x="4643"/>
        <item x="2105"/>
        <item x="3635"/>
        <item x="1340"/>
        <item x="3172"/>
        <item x="4449"/>
        <item x="710"/>
        <item x="4289"/>
        <item x="4466"/>
        <item x="4102"/>
        <item x="2895"/>
        <item x="490"/>
        <item x="1817"/>
        <item x="2506"/>
        <item x="4630"/>
        <item x="981"/>
        <item x="2919"/>
        <item x="4731"/>
        <item x="4070"/>
        <item x="3848"/>
        <item x="666"/>
        <item x="4476"/>
        <item x="229"/>
        <item x="1258"/>
        <item x="913"/>
        <item x="4499"/>
        <item x="4530"/>
        <item x="1131"/>
        <item x="2711"/>
        <item x="4368"/>
        <item x="4694"/>
        <item x="481"/>
        <item x="2664"/>
        <item x="3496"/>
        <item x="63"/>
        <item x="2514"/>
        <item x="3606"/>
        <item x="2452"/>
        <item x="2266"/>
        <item x="2853"/>
        <item x="4407"/>
        <item x="3662"/>
        <item x="4549"/>
        <item x="2366"/>
        <item x="303"/>
        <item x="3085"/>
        <item x="1068"/>
        <item x="990"/>
        <item x="834"/>
        <item x="785"/>
        <item x="3999"/>
        <item x="2160"/>
        <item x="4408"/>
        <item x="134"/>
        <item x="2557"/>
        <item x="1802"/>
        <item x="3784"/>
        <item x="1259"/>
        <item x="2423"/>
        <item x="4103"/>
        <item x="46"/>
        <item x="4034"/>
        <item x="4811"/>
        <item x="4945"/>
        <item x="172"/>
        <item x="3723"/>
        <item x="2173"/>
        <item x="1097"/>
        <item x="185"/>
        <item x="4898"/>
        <item x="934"/>
        <item x="3134"/>
        <item x="3345"/>
        <item x="1474"/>
        <item x="657"/>
        <item x="2138"/>
        <item x="140"/>
        <item x="4218"/>
        <item x="3142"/>
        <item x="2902"/>
        <item x="2023"/>
        <item x="4104"/>
        <item x="3702"/>
        <item x="1363"/>
        <item x="4677"/>
        <item x="4351"/>
        <item x="3780"/>
        <item x="3135"/>
        <item x="4736"/>
        <item x="4567"/>
        <item x="1849"/>
        <item x="4319"/>
        <item x="1113"/>
        <item x="2129"/>
        <item x="3816"/>
        <item x="482"/>
        <item x="1189"/>
        <item x="245"/>
        <item x="4345"/>
        <item x="568"/>
        <item x="2712"/>
        <item x="4369"/>
        <item x="3228"/>
        <item x="2315"/>
        <item x="1650"/>
        <item x="2327"/>
        <item x="4500"/>
        <item x="4570"/>
        <item x="2713"/>
        <item x="186"/>
        <item x="3452"/>
        <item x="4450"/>
        <item x="4650"/>
        <item x="2192"/>
        <item x="4346"/>
        <item x="2253"/>
        <item x="4668"/>
        <item x="2912"/>
        <item x="3718"/>
        <item x="3881"/>
        <item x="3484"/>
        <item x="970"/>
        <item x="4826"/>
        <item x="2257"/>
        <item x="947"/>
        <item x="215"/>
        <item x="2958"/>
        <item x="2606"/>
        <item x="4669"/>
        <item x="2830"/>
        <item x="3607"/>
        <item x="887"/>
        <item x="2877"/>
        <item x="4655"/>
        <item x="4862"/>
        <item x="1171"/>
        <item x="3121"/>
        <item x="2771"/>
        <item x="3838"/>
        <item x="3764"/>
        <item x="416"/>
        <item x="888"/>
        <item x="2726"/>
        <item x="4493"/>
        <item x="907"/>
        <item x="1928"/>
        <item x="2224"/>
        <item x="3436"/>
        <item x="1218"/>
        <item x="247"/>
        <item x="3577"/>
        <item x="2743"/>
        <item x="4243"/>
        <item x="3627"/>
        <item x="4114"/>
        <item x="3785"/>
        <item x="395"/>
        <item x="3692"/>
        <item x="3016"/>
        <item x="1595"/>
        <item x="352"/>
        <item x="2656"/>
        <item x="4744"/>
        <item x="128"/>
        <item x="1278"/>
        <item x="1794"/>
        <item x="3628"/>
        <item x="4098"/>
        <item x="4644"/>
        <item x="4593"/>
        <item x="3613"/>
        <item x="1190"/>
        <item x="316"/>
        <item x="2233"/>
        <item x="4156"/>
        <item x="2535"/>
        <item x="4757"/>
        <item x="3453"/>
        <item x="1686"/>
        <item x="868"/>
        <item x="4063"/>
        <item x="2598"/>
        <item x="66"/>
        <item x="584"/>
        <item x="4085"/>
        <item x="3578"/>
        <item x="676"/>
        <item x="1679"/>
        <item x="3235"/>
        <item x="4454"/>
        <item x="4695"/>
        <item x="1959"/>
        <item x="2139"/>
        <item x="1633"/>
        <item x="1291"/>
        <item x="3517"/>
        <item x="4352"/>
        <item x="4990"/>
        <item x="1695"/>
        <item x="2083"/>
        <item x="4670"/>
        <item x="603"/>
        <item x="4370"/>
        <item x="383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numFmtId="2"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ID" fld="1" subtotal="count" showDataAs="percentOfTotal" baseField="0" baseItem="0" numFmtId="10"/>
  </dataFields>
  <formats count="7">
    <format dxfId="15">
      <pivotArea outline="0" collapsedLevelsAreSubtotals="1" fieldPosition="0"/>
    </format>
    <format dxfId="14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collapsedLevelsAreSubtotals="1" fieldPosition="0">
        <references count="1">
          <reference field="8" count="1">
            <x v="0"/>
          </reference>
        </references>
      </pivotArea>
    </format>
    <format dxfId="11">
      <pivotArea collapsedLevelsAreSubtotals="1" fieldPosition="0">
        <references count="1">
          <reference field="8" count="1">
            <x v="1"/>
          </reference>
        </references>
      </pivotArea>
    </format>
    <format dxfId="10">
      <pivotArea collapsedLevelsAreSubtotals="1" fieldPosition="0">
        <references count="1">
          <reference field="8" count="1">
            <x v="2"/>
          </reference>
        </references>
      </pivotArea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FADD5-9433-41FC-858E-E0E889DE2F52}" name="PivotTable4" cacheId="8" applyNumberFormats="0" applyBorderFormats="0" applyFontFormats="0" applyPatternFormats="0" applyAlignmentFormats="0" applyWidthHeightFormats="1" dataCaption="Values" grandTotalCaption="Overall Average" updatedVersion="8" minRefreshableVersion="3" useAutoFormatting="1" itemPrintTitles="1" createdVersion="8" indent="0" outline="1" outlineData="1" multipleFieldFilters="0" rowHeaderCaption="Diagnosis">
  <location ref="K11:L20" firstHeaderRow="1" firstDataRow="1" firstDataCol="1"/>
  <pivotFields count="14">
    <pivotField numFmtId="14" showAll="0"/>
    <pivotField showAll="0"/>
    <pivotField showAll="0"/>
    <pivotField showAll="0"/>
    <pivotField axis="axisRow" showAll="0" sortType="ascending" defaultSubtotal="0">
      <items count="8">
        <item x="2"/>
        <item x="1"/>
        <item x="0"/>
        <item x="4"/>
        <item x="5"/>
        <item x="7"/>
        <item x="3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numFmtId="2" showAll="0"/>
    <pivotField showAll="0"/>
    <pivotField showAll="0"/>
    <pivotField showAll="0"/>
    <pivotField showAll="0"/>
  </pivotFields>
  <rowFields count="1">
    <field x="4"/>
  </rowFields>
  <rowItems count="9">
    <i>
      <x v="3"/>
    </i>
    <i>
      <x/>
    </i>
    <i>
      <x v="7"/>
    </i>
    <i>
      <x v="2"/>
    </i>
    <i>
      <x v="5"/>
    </i>
    <i>
      <x v="6"/>
    </i>
    <i>
      <x v="1"/>
    </i>
    <i>
      <x v="4"/>
    </i>
    <i t="grand">
      <x/>
    </i>
  </rowItems>
  <colItems count="1">
    <i/>
  </colItems>
  <dataFields count="1">
    <dataField name="Average of Cost" fld="7" subtotal="average" baseField="4" baseItem="0" numFmtId="44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A2C05-DBE1-4830-B1C9-E117E881234B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Gender">
  <location ref="N1:O5" firstHeaderRow="1" firstDataRow="1" firstDataCol="1"/>
  <pivotFields count="14">
    <pivotField numFmtId="14" showAll="0"/>
    <pivotField dataField="1" showAll="0">
      <items count="5001">
        <item x="1776"/>
        <item x="3099"/>
        <item x="2348"/>
        <item x="1732"/>
        <item x="483"/>
        <item x="4538"/>
        <item x="3547"/>
        <item x="4151"/>
        <item x="4120"/>
        <item x="4325"/>
        <item x="3663"/>
        <item x="677"/>
        <item x="3683"/>
        <item x="4827"/>
        <item x="2801"/>
        <item x="1615"/>
        <item x="4776"/>
        <item x="1315"/>
        <item x="552"/>
        <item x="4745"/>
        <item x="1915"/>
        <item x="3241"/>
        <item x="2924"/>
        <item x="1670"/>
        <item x="81"/>
        <item x="2114"/>
        <item x="504"/>
        <item x="4523"/>
        <item x="3518"/>
        <item x="3408"/>
        <item x="118"/>
        <item x="3765"/>
        <item x="4219"/>
        <item x="3338"/>
        <item x="3306"/>
        <item x="4790"/>
        <item x="542"/>
        <item x="4946"/>
        <item x="806"/>
        <item x="2193"/>
        <item x="2234"/>
        <item x="715"/>
        <item x="1504"/>
        <item x="1143"/>
        <item x="2649"/>
        <item x="3861"/>
        <item x="792"/>
        <item x="2209"/>
        <item x="3268"/>
        <item x="3104"/>
        <item x="1324"/>
        <item x="1230"/>
        <item x="3242"/>
        <item x="1370"/>
        <item x="1992"/>
        <item x="4437"/>
        <item x="2640"/>
        <item x="1803"/>
        <item x="918"/>
        <item x="2337"/>
        <item x="1929"/>
        <item x="1759"/>
        <item x="1579"/>
        <item x="4916"/>
        <item x="3370"/>
        <item x="4438"/>
        <item x="2282"/>
        <item x="3588"/>
        <item x="4439"/>
        <item x="4271"/>
        <item x="1306"/>
        <item x="3114"/>
        <item x="1163"/>
        <item x="4230"/>
        <item x="3735"/>
        <item x="521"/>
        <item x="3693"/>
        <item x="1279"/>
        <item x="3840"/>
        <item x="267"/>
        <item x="3710"/>
        <item x="2823"/>
        <item x="678"/>
        <item x="1379"/>
        <item x="4841"/>
        <item x="3409"/>
        <item x="4255"/>
        <item x="119"/>
        <item x="889"/>
        <item x="3932"/>
        <item x="491"/>
        <item x="221"/>
        <item x="3817"/>
        <item x="1451"/>
        <item x="3975"/>
        <item x="2689"/>
        <item x="1651"/>
        <item x="1596"/>
        <item x="3756"/>
        <item x="3981"/>
        <item x="2435"/>
        <item x="417"/>
        <item x="3243"/>
        <item x="4272"/>
        <item x="2880"/>
        <item x="658"/>
        <item x="4040"/>
        <item x="1835"/>
        <item x="101"/>
        <item x="3672"/>
        <item x="4791"/>
        <item x="4360"/>
        <item x="4889"/>
        <item x="4494"/>
        <item x="1597"/>
        <item x="2106"/>
        <item x="1943"/>
        <item x="1307"/>
        <item x="4078"/>
        <item x="702"/>
        <item x="3042"/>
        <item x="3940"/>
        <item x="382"/>
        <item x="51"/>
        <item x="3490"/>
        <item x="1560"/>
        <item x="1179"/>
        <item x="2810"/>
        <item x="1528"/>
        <item x="2038"/>
        <item x="585"/>
        <item x="2789"/>
        <item x="4900"/>
        <item x="2407"/>
        <item x="2939"/>
        <item x="3067"/>
        <item x="3371"/>
        <item x="1468"/>
        <item x="83"/>
        <item x="1671"/>
        <item x="1723"/>
        <item x="2522"/>
        <item x="4064"/>
        <item x="925"/>
        <item x="1133"/>
        <item x="3417"/>
        <item x="1555"/>
        <item x="3269"/>
        <item x="559"/>
        <item x="692"/>
        <item x="471"/>
        <item x="2360"/>
        <item x="3589"/>
        <item x="3711"/>
        <item x="4282"/>
        <item x="4402"/>
        <item x="3614"/>
        <item x="716"/>
        <item x="4933"/>
        <item x="3629"/>
        <item x="2324"/>
        <item x="570"/>
        <item x="1770"/>
        <item x="2107"/>
        <item x="4361"/>
        <item x="1316"/>
        <item x="3513"/>
        <item x="2316"/>
        <item x="628"/>
        <item x="2496"/>
        <item x="1407"/>
        <item x="777"/>
        <item x="1351"/>
        <item x="1248"/>
        <item x="4145"/>
        <item x="1302"/>
        <item x="2032"/>
        <item x="4035"/>
        <item x="1786"/>
        <item x="4732"/>
        <item x="4960"/>
        <item x="4656"/>
        <item x="4972"/>
        <item x="4963"/>
        <item x="4353"/>
        <item x="3608"/>
        <item x="3964"/>
        <item x="4409"/>
        <item x="703"/>
        <item x="2235"/>
        <item x="4140"/>
        <item x="1804"/>
        <item x="1960"/>
        <item x="4513"/>
        <item x="3032"/>
        <item x="3529"/>
        <item x="4661"/>
        <item x="377"/>
        <item x="2913"/>
        <item x="17"/>
        <item x="3658"/>
        <item x="1680"/>
        <item x="4426"/>
        <item x="604"/>
        <item x="1434"/>
        <item x="4750"/>
        <item x="2940"/>
        <item x="860"/>
        <item x="3500"/>
        <item x="4168"/>
        <item x="1231"/>
        <item x="4613"/>
        <item x="4079"/>
        <item x="4671"/>
        <item x="4925"/>
        <item x="1771"/>
        <item x="4146"/>
        <item x="2515"/>
        <item x="2613"/>
        <item x="2275"/>
        <item x="899"/>
        <item x="4722"/>
        <item x="1511"/>
        <item x="4440"/>
        <item x="4777"/>
        <item x="1868"/>
        <item x="818"/>
        <item x="452"/>
        <item x="4460"/>
        <item x="4550"/>
        <item x="2210"/>
        <item x="4354"/>
        <item x="2614"/>
        <item x="3068"/>
        <item x="1565"/>
        <item x="1529"/>
        <item x="3463"/>
        <item x="3115"/>
        <item x="2565"/>
        <item x="336"/>
        <item x="1384"/>
        <item x="3017"/>
        <item x="216"/>
        <item x="3630"/>
        <item x="3552"/>
        <item x="819"/>
        <item x="3781"/>
        <item x="2152"/>
        <item x="3152"/>
        <item x="1371"/>
        <item x="2371"/>
        <item x="2941"/>
        <item x="4393"/>
        <item x="1044"/>
        <item x="2573"/>
        <item x="2436"/>
        <item x="2527"/>
        <item x="704"/>
        <item x="835"/>
        <item x="1292"/>
        <item x="1795"/>
        <item x="3786"/>
        <item x="2174"/>
        <item x="4583"/>
        <item x="756"/>
        <item x="4451"/>
        <item x="3116"/>
        <item x="4651"/>
        <item x="4273"/>
        <item x="408"/>
        <item x="4751"/>
        <item x="847"/>
        <item x="268"/>
        <item x="975"/>
        <item x="4280"/>
        <item x="304"/>
        <item x="874"/>
        <item x="3724"/>
        <item x="4012"/>
        <item x="1810"/>
        <item x="1421"/>
        <item x="425"/>
        <item x="4312"/>
        <item x="4672"/>
        <item x="2960"/>
        <item x="2766"/>
        <item x="1672"/>
        <item x="3719"/>
        <item x="3562"/>
        <item x="1687"/>
        <item x="3018"/>
        <item x="3801"/>
        <item x="1930"/>
        <item x="2091"/>
        <item x="1993"/>
        <item x="3236"/>
        <item x="2549"/>
        <item x="1007"/>
        <item x="4752"/>
        <item x="2286"/>
        <item x="778"/>
        <item x="3514"/>
        <item x="4049"/>
        <item x="4179"/>
        <item x="3946"/>
        <item x="2744"/>
        <item x="3349"/>
        <item x="2816"/>
        <item x="3885"/>
        <item x="4231"/>
        <item x="4169"/>
        <item x="4514"/>
        <item x="3905"/>
        <item x="725"/>
        <item x="941"/>
        <item x="4180"/>
        <item x="2367"/>
        <item x="3642"/>
        <item x="2385"/>
        <item x="2933"/>
        <item x="685"/>
        <item x="1025"/>
        <item x="2896"/>
        <item x="1134"/>
        <item x="2084"/>
        <item x="263"/>
        <item x="1347"/>
        <item x="3796"/>
        <item x="432"/>
        <item x="3372"/>
        <item x="2241"/>
        <item x="4337"/>
        <item x="4224"/>
        <item x="3582"/>
        <item x="3162"/>
        <item x="2934"/>
        <item x="4622"/>
        <item x="1262"/>
        <item x="1850"/>
        <item x="2456"/>
        <item x="3270"/>
        <item x="1056"/>
        <item x="3320"/>
        <item x="1280"/>
        <item x="3712"/>
        <item x="2242"/>
        <item x="202"/>
        <item x="4394"/>
        <item x="4623"/>
        <item x="3379"/>
        <item x="4338"/>
        <item x="2566"/>
        <item x="4863"/>
        <item x="2480"/>
        <item x="1818"/>
        <item x="4371"/>
        <item x="3136"/>
        <item x="3862"/>
        <item x="2417"/>
        <item x="4501"/>
        <item x="2461"/>
        <item x="4283"/>
        <item x="732"/>
        <item x="1944"/>
        <item x="2194"/>
        <item x="1475"/>
        <item x="0"/>
        <item x="679"/>
        <item x="1090"/>
        <item x="359"/>
        <item x="4954"/>
        <item x="4864"/>
        <item x="2211"/>
        <item x="667"/>
        <item x="2175"/>
        <item x="1994"/>
        <item x="2140"/>
        <item x="686"/>
        <item x="3982"/>
        <item x="3043"/>
        <item x="3824"/>
        <item x="3841"/>
        <item x="1598"/>
        <item x="908"/>
        <item x="3364"/>
        <item x="269"/>
        <item x="4362"/>
        <item x="1566"/>
        <item x="1241"/>
        <item x="4378"/>
        <item x="3044"/>
        <item x="2176"/>
        <item x="396"/>
        <item x="484"/>
        <item x="1002"/>
        <item x="2942"/>
        <item x="397"/>
        <item x="8"/>
        <item x="1385"/>
        <item x="3312"/>
        <item x="4964"/>
        <item x="1452"/>
        <item x="2782"/>
        <item x="1084"/>
        <item x="2599"/>
        <item x="4041"/>
        <item x="3809"/>
        <item x="4832"/>
        <item x="909"/>
        <item x="1760"/>
        <item x="409"/>
        <item x="1430"/>
        <item x="3501"/>
        <item x="4036"/>
        <item x="161"/>
        <item x="4395"/>
        <item x="2727"/>
        <item x="3767"/>
        <item x="1164"/>
        <item x="1995"/>
        <item x="1920"/>
        <item x="3787"/>
        <item x="751"/>
        <item x="1541"/>
        <item x="440"/>
        <item x="2558"/>
        <item x="1969"/>
        <item x="4372"/>
        <item x="1057"/>
        <item x="586"/>
        <item x="2702"/>
        <item x="2064"/>
        <item x="2177"/>
        <item x="2623"/>
        <item x="3694"/>
        <item x="3782"/>
        <item x="3275"/>
        <item x="1634"/>
        <item x="1987"/>
        <item x="3810"/>
        <item x="3631"/>
        <item x="1435"/>
        <item x="2338"/>
        <item x="2121"/>
        <item x="2248"/>
        <item x="141"/>
        <item x="1058"/>
        <item x="4417"/>
        <item x="2085"/>
        <item x="2721"/>
        <item x="2122"/>
        <item x="1887"/>
        <item x="1035"/>
        <item x="3425"/>
        <item x="4320"/>
        <item x="764"/>
        <item x="2185"/>
        <item x="3802"/>
        <item x="3105"/>
        <item x="2283"/>
        <item x="1364"/>
        <item x="2996"/>
        <item x="1752"/>
        <item x="4441"/>
        <item x="1978"/>
        <item x="1580"/>
        <item x="1688"/>
        <item x="4955"/>
        <item x="383"/>
        <item x="4313"/>
        <item x="3197"/>
        <item x="948"/>
        <item x="3891"/>
        <item x="2798"/>
        <item x="2368"/>
        <item x="1945"/>
        <item x="2903"/>
        <item x="2115"/>
        <item x="2847"/>
        <item x="1605"/>
        <item x="4842"/>
        <item x="2424"/>
        <item x="3276"/>
        <item x="3831"/>
        <item x="1811"/>
        <item x="2925"/>
        <item x="71"/>
        <item x="4427"/>
        <item x="4290"/>
        <item x="2690"/>
        <item x="4806"/>
        <item x="3106"/>
        <item x="3736"/>
        <item x="2372"/>
        <item x="2462"/>
        <item x="2550"/>
        <item x="1827"/>
        <item x="826"/>
        <item x="120"/>
        <item x="4314"/>
        <item x="102"/>
        <item x="4265"/>
        <item x="982"/>
        <item x="4934"/>
        <item x="3019"/>
        <item x="1836"/>
        <item x="4256"/>
        <item x="187"/>
        <item x="1191"/>
        <item x="256"/>
        <item x="1204"/>
        <item x="3485"/>
        <item x="4843"/>
        <item x="1480"/>
        <item x="1646"/>
        <item x="418"/>
        <item x="949"/>
        <item x="4764"/>
        <item x="4657"/>
        <item x="3832"/>
        <item x="93"/>
        <item x="765"/>
        <item x="322"/>
        <item x="2802"/>
        <item x="94"/>
        <item x="4965"/>
        <item x="3673"/>
        <item x="1988"/>
        <item x="3871"/>
        <item x="3833"/>
        <item x="1979"/>
        <item x="4110"/>
        <item x="843"/>
        <item x="193"/>
        <item x="2443"/>
        <item x="961"/>
        <item x="3725"/>
        <item x="2099"/>
        <item x="344"/>
        <item x="1205"/>
        <item x="1139"/>
        <item x="2305"/>
        <item x="1460"/>
        <item x="3664"/>
        <item x="1165"/>
        <item x="560"/>
        <item x="1796"/>
        <item x="533"/>
        <item x="4157"/>
        <item x="786"/>
        <item x="462"/>
        <item x="1777"/>
        <item x="2195"/>
        <item x="3380"/>
        <item x="512"/>
        <item x="726"/>
        <item x="1622"/>
        <item x="1505"/>
        <item x="1772"/>
        <item x="2196"/>
        <item x="1575"/>
        <item x="4396"/>
        <item x="4208"/>
        <item x="1805"/>
        <item x="4086"/>
        <item x="337"/>
        <item x="3117"/>
        <item x="4132"/>
        <item x="3394"/>
        <item x="3834"/>
        <item x="2236"/>
        <item x="1003"/>
        <item x="2276"/>
        <item x="248"/>
        <item x="1902"/>
        <item x="3026"/>
        <item x="2667"/>
        <item x="47"/>
        <item x="477"/>
        <item x="3444"/>
        <item x="1469"/>
        <item x="2574"/>
        <item x="4477"/>
        <item x="4758"/>
        <item x="4714"/>
        <item x="323"/>
        <item x="3365"/>
        <item x="1461"/>
        <item x="2722"/>
        <item x="711"/>
        <item x="264"/>
        <item x="4326"/>
        <item x="844"/>
        <item x="2249"/>
        <item x="2888"/>
        <item x="3464"/>
        <item x="4209"/>
        <item x="1548"/>
        <item x="4262"/>
        <item x="376"/>
        <item x="2055"/>
        <item x="147"/>
        <item x="976"/>
        <item x="4631"/>
        <item x="1787"/>
        <item x="3726"/>
        <item x="3198"/>
        <item x="2437"/>
        <item x="4568"/>
        <item x="4315"/>
        <item x="3426"/>
        <item x="4571"/>
        <item x="129"/>
        <item x="779"/>
        <item x="4723"/>
        <item x="2624"/>
        <item x="3892"/>
        <item x="4899"/>
        <item x="3401"/>
        <item x="3427"/>
        <item x="297"/>
        <item x="1415"/>
        <item x="1616"/>
        <item x="3211"/>
        <item x="48"/>
        <item x="4966"/>
        <item x="2982"/>
        <item x="2123"/>
        <item x="1970"/>
        <item x="2961"/>
        <item x="4327"/>
        <item x="2735"/>
        <item x="4461"/>
        <item x="900"/>
        <item x="1837"/>
        <item x="2072"/>
        <item x="3925"/>
        <item x="4600"/>
        <item x="1242"/>
        <item x="923"/>
        <item x="668"/>
        <item x="1408"/>
        <item x="3143"/>
        <item x="1121"/>
        <item x="1219"/>
        <item x="1491"/>
        <item x="861"/>
        <item x="279"/>
        <item x="290"/>
        <item x="3842"/>
        <item x="1098"/>
        <item x="2178"/>
        <item x="766"/>
        <item x="1936"/>
        <item x="3583"/>
        <item x="910"/>
        <item x="194"/>
        <item x="553"/>
        <item x="787"/>
        <item x="687"/>
        <item x="3599"/>
        <item x="1114"/>
        <item x="3525"/>
        <item x="4865"/>
        <item x="4844"/>
        <item x="2145"/>
        <item x="561"/>
        <item x="2394"/>
        <item x="2086"/>
        <item x="1126"/>
        <item x="1099"/>
        <item x="2516"/>
        <item x="956"/>
        <item x="1372"/>
        <item x="3849"/>
        <item x="242"/>
        <item x="4792"/>
        <item x="1512"/>
        <item x="4000"/>
        <item x="2284"/>
        <item x="1931"/>
        <item x="2507"/>
        <item x="1513"/>
        <item x="4662"/>
        <item x="3659"/>
        <item x="1861"/>
        <item x="2848"/>
        <item x="4881"/>
        <item x="1737"/>
        <item x="767"/>
        <item x="991"/>
        <item x="2492"/>
        <item x="4111"/>
        <item x="3350"/>
        <item x="2897"/>
        <item x="4188"/>
        <item x="168"/>
        <item x="1778"/>
        <item x="1862"/>
        <item x="2783"/>
        <item x="3437"/>
        <item x="4890"/>
        <item x="4724"/>
        <item x="3568"/>
        <item x="3160"/>
        <item x="3502"/>
        <item x="1492"/>
        <item x="2615"/>
        <item x="2803"/>
        <item x="3395"/>
        <item x="3530"/>
        <item x="3465"/>
        <item x="605"/>
        <item x="513"/>
        <item x="2790"/>
        <item x="3248"/>
        <item x="3609"/>
        <item x="1237"/>
        <item x="4584"/>
        <item x="4054"/>
        <item x="971"/>
        <item x="203"/>
        <item x="2258"/>
        <item x="1045"/>
        <item x="4339"/>
        <item x="308"/>
        <item x="4715"/>
        <item x="733"/>
        <item x="2141"/>
        <item x="534"/>
        <item x="3914"/>
        <item x="1753"/>
        <item x="2463"/>
        <item x="4112"/>
        <item x="4506"/>
        <item x="3373"/>
        <item x="1359"/>
        <item x="4935"/>
        <item x="901"/>
        <item x="3331"/>
        <item x="3843"/>
        <item x="1148"/>
        <item x="693"/>
        <item x="4291"/>
        <item x="599"/>
        <item x="2714"/>
        <item x="2045"/>
        <item x="4813"/>
        <item x="1268"/>
        <item x="246"/>
        <item x="977"/>
        <item x="535"/>
        <item x="1069"/>
        <item x="4845"/>
        <item x="4410"/>
        <item x="3428"/>
        <item x="3893"/>
        <item x="3615"/>
        <item x="2772"/>
        <item x="2585"/>
        <item x="1222"/>
        <item x="4386"/>
        <item x="13"/>
        <item x="4710"/>
        <item x="3959"/>
        <item x="1281"/>
        <item x="3402"/>
        <item x="1535"/>
        <item x="3569"/>
        <item x="1881"/>
        <item x="1989"/>
        <item x="3757"/>
        <item x="4765"/>
        <item x="2849"/>
        <item x="1921"/>
        <item x="800"/>
        <item x="629"/>
        <item x="2243"/>
        <item x="3263"/>
        <item x="694"/>
        <item x="249"/>
        <item x="2762"/>
        <item x="72"/>
        <item x="630"/>
        <item x="4996"/>
        <item x="1712"/>
        <item x="2328"/>
        <item x="4766"/>
        <item x="2349"/>
        <item x="4331"/>
        <item x="669"/>
        <item x="1107"/>
        <item x="2773"/>
        <item x="4866"/>
        <item x="1135"/>
        <item x="514"/>
        <item x="4013"/>
        <item x="3292"/>
        <item x="768"/>
        <item x="222"/>
        <item x="2317"/>
        <item x="4014"/>
        <item x="4071"/>
        <item x="195"/>
        <item x="4403"/>
        <item x="2341"/>
        <item x="659"/>
        <item x="1312"/>
        <item x="705"/>
        <item x="788"/>
        <item x="1070"/>
        <item x="4099"/>
        <item x="2679"/>
        <item x="4050"/>
        <item x="4257"/>
        <item x="2400"/>
        <item x="4515"/>
        <item x="1863"/>
        <item x="1223"/>
        <item x="2024"/>
        <item x="3933"/>
        <item x="4956"/>
        <item x="1521"/>
        <item x="695"/>
        <item x="739"/>
        <item x="3277"/>
        <item x="1180"/>
        <item x="3321"/>
        <item x="4065"/>
        <item x="4559"/>
        <item x="896"/>
        <item x="3706"/>
        <item x="4572"/>
        <item x="935"/>
        <item x="1971"/>
        <item x="2693"/>
        <item x="2728"/>
        <item x="1812"/>
        <item x="3872"/>
        <item x="4428"/>
        <item x="4917"/>
        <item x="4042"/>
        <item x="3049"/>
        <item x="324"/>
        <item x="1078"/>
        <item x="2600"/>
        <item x="3457"/>
        <item x="345"/>
        <item x="848"/>
        <item x="1046"/>
        <item x="4909"/>
        <item x="3660"/>
        <item x="1100"/>
        <item x="3703"/>
        <item x="2470"/>
        <item x="1530"/>
        <item x="398"/>
        <item x="1493"/>
        <item x="1514"/>
        <item x="3491"/>
        <item x="1040"/>
        <item x="2497"/>
        <item x="4814"/>
        <item x="1747"/>
        <item x="2536"/>
        <item x="60"/>
        <item x="4759"/>
        <item x="4442"/>
        <item x="3445"/>
        <item x="4901"/>
        <item x="4891"/>
        <item x="3466"/>
        <item x="3256"/>
        <item x="548"/>
        <item x="577"/>
        <item x="1393"/>
        <item x="2117"/>
        <item x="688"/>
        <item x="135"/>
        <item x="2277"/>
        <item x="4467"/>
        <item x="121"/>
        <item x="2567"/>
        <item x="680"/>
        <item x="3886"/>
        <item x="2244"/>
        <item x="1019"/>
        <item x="4718"/>
        <item x="309"/>
        <item x="2528"/>
        <item x="4539"/>
        <item x="4502"/>
        <item x="3458"/>
        <item x="760"/>
        <item x="2616"/>
        <item x="4072"/>
        <item x="4991"/>
        <item x="2375"/>
        <item x="4448"/>
        <item x="3045"/>
        <item x="1140"/>
        <item x="3713"/>
        <item x="95"/>
        <item x="485"/>
        <item x="1773"/>
        <item x="1922"/>
        <item x="4015"/>
        <item x="3366"/>
        <item x="1946"/>
        <item x="4300"/>
        <item x="3185"/>
        <item x="4210"/>
        <item x="793"/>
        <item x="4973"/>
        <item x="3737"/>
        <item x="3850"/>
        <item x="4418"/>
        <item x="3229"/>
        <item x="4833"/>
        <item x="1282"/>
        <item x="4174"/>
        <item x="1269"/>
        <item x="4683"/>
        <item x="2329"/>
        <item x="1115"/>
        <item x="204"/>
        <item x="4355"/>
        <item x="3403"/>
        <item x="1232"/>
        <item x="4867"/>
        <item x="4495"/>
        <item x="4037"/>
        <item x="522"/>
        <item x="4321"/>
        <item x="4175"/>
        <item x="2962"/>
        <item x="2197"/>
        <item x="1567"/>
        <item x="3446"/>
        <item x="3610"/>
        <item x="1923"/>
        <item x="1206"/>
        <item x="2325"/>
        <item x="2529"/>
        <item x="4152"/>
        <item x="3738"/>
        <item x="4936"/>
        <item x="3873"/>
        <item x="3203"/>
        <item x="3915"/>
        <item x="1689"/>
        <item x="1172"/>
        <item x="2854"/>
        <item x="4614"/>
        <item x="2153"/>
        <item x="855"/>
        <item x="4189"/>
        <item x="2481"/>
        <item x="173"/>
        <item x="4800"/>
        <item x="1153"/>
        <item x="2025"/>
        <item x="4200"/>
        <item x="3531"/>
        <item x="881"/>
        <item x="3600"/>
        <item x="3611"/>
        <item x="3739"/>
        <item x="571"/>
        <item x="217"/>
        <item x="2530"/>
        <item x="2186"/>
        <item x="670"/>
        <item x="2531"/>
        <item x="3947"/>
        <item x="1026"/>
        <item x="3579"/>
        <item x="3249"/>
        <item x="631"/>
        <item x="3107"/>
        <item x="2831"/>
        <item x="4147"/>
        <item x="2575"/>
        <item x="1819"/>
        <item x="4170"/>
        <item x="1961"/>
        <item x="4443"/>
        <item x="4181"/>
        <item x="3648"/>
        <item x="2729"/>
        <item x="1639"/>
        <item x="2904"/>
        <item x="3137"/>
        <item x="902"/>
        <item x="1333"/>
        <item x="882"/>
        <item x="4462"/>
        <item x="3803"/>
        <item x="196"/>
        <item x="2617"/>
        <item x="2997"/>
        <item x="4292"/>
        <item x="2632"/>
        <item x="1325"/>
        <item x="4868"/>
        <item x="1700"/>
        <item x="1326"/>
        <item x="1894"/>
        <item x="3074"/>
        <item x="4632"/>
        <item x="4244"/>
        <item x="3960"/>
        <item x="2425"/>
        <item x="1249"/>
        <item x="4624"/>
        <item x="1820"/>
        <item x="3351"/>
        <item x="88"/>
        <item x="3623"/>
        <item x="1352"/>
        <item x="4926"/>
        <item x="2969"/>
        <item x="2576"/>
        <item x="4607"/>
        <item x="2361"/>
        <item x="972"/>
        <item x="1416"/>
        <item x="712"/>
        <item x="4232"/>
        <item x="2056"/>
        <item x="2694"/>
        <item x="3740"/>
        <item x="3280"/>
        <item x="1224"/>
        <item x="2508"/>
        <item x="1813"/>
        <item x="3352"/>
        <item x="4266"/>
        <item x="4637"/>
        <item x="653"/>
        <item x="329"/>
        <item x="1404"/>
        <item x="3447"/>
        <item x="2267"/>
        <item x="523"/>
        <item x="1036"/>
        <item x="122"/>
        <item x="1166"/>
        <item x="827"/>
        <item x="2073"/>
        <item x="1522"/>
        <item x="2824"/>
        <item x="3532"/>
        <item x="2010"/>
        <item x="3020"/>
        <item x="1895"/>
        <item x="1738"/>
        <item x="1576"/>
        <item x="828"/>
        <item x="3438"/>
        <item x="2537"/>
        <item x="3768"/>
        <item x="1962"/>
        <item x="4087"/>
        <item x="3204"/>
        <item x="370"/>
        <item x="419"/>
        <item x="4725"/>
        <item x="2449"/>
        <item x="2074"/>
        <item x="2118"/>
        <item x="453"/>
        <item x="1417"/>
        <item x="4678"/>
        <item x="4551"/>
        <item x="1937"/>
        <item x="1701"/>
        <item x="3381"/>
        <item x="3612"/>
        <item x="621"/>
        <item x="1293"/>
        <item x="2970"/>
        <item x="4472"/>
        <item x="3293"/>
        <item x="4301"/>
        <item x="2268"/>
        <item x="384"/>
        <item x="3205"/>
        <item x="291"/>
        <item x="3384"/>
        <item x="3467"/>
        <item x="2695"/>
        <item x="4815"/>
        <item x="2429"/>
        <item x="1299"/>
        <item x="1788"/>
        <item x="2001"/>
        <item x="2668"/>
        <item x="3835"/>
        <item x="284"/>
        <item x="3590"/>
        <item x="4233"/>
        <item x="794"/>
        <item x="3086"/>
        <item x="3863"/>
        <item x="2100"/>
        <item x="3388"/>
        <item x="142"/>
        <item x="1270"/>
        <item x="1004"/>
        <item x="2498"/>
        <item x="3758"/>
        <item x="1806"/>
        <item x="4601"/>
        <item x="4234"/>
        <item x="3921"/>
        <item x="1702"/>
        <item x="4274"/>
        <item x="1652"/>
        <item x="4363"/>
        <item x="2057"/>
        <item x="1101"/>
        <item x="4043"/>
        <item x="2869"/>
        <item x="4055"/>
        <item x="2580"/>
        <item x="346"/>
        <item x="646"/>
        <item x="3934"/>
        <item x="1617"/>
        <item x="1869"/>
        <item x="3281"/>
        <item x="2736"/>
        <item x="1181"/>
        <item x="4645"/>
        <item x="3358"/>
        <item x="1947"/>
        <item x="4201"/>
        <item x="2791"/>
        <item x="1422"/>
        <item x="3492"/>
        <item x="769"/>
        <item x="1523"/>
        <item x="4115"/>
        <item x="4141"/>
        <item x="4121"/>
        <item x="4778"/>
        <item x="632"/>
        <item x="1828"/>
        <item x="2523"/>
        <item x="849"/>
        <item x="3282"/>
        <item x="4316"/>
        <item x="1423"/>
        <item x="3727"/>
        <item x="4957"/>
        <item x="1398"/>
        <item x="4247"/>
        <item x="4882"/>
        <item x="4892"/>
        <item x="3684"/>
        <item x="2870"/>
        <item x="992"/>
        <item x="2745"/>
        <item x="3219"/>
        <item x="2013"/>
        <item x="2130"/>
        <item x="2165"/>
        <item x="2998"/>
        <item x="1486"/>
        <item x="578"/>
        <item x="2881"/>
        <item x="554"/>
        <item x="1724"/>
        <item x="4869"/>
        <item x="2146"/>
        <item x="4478"/>
        <item x="1167"/>
        <item x="2033"/>
        <item x="647"/>
        <item x="1271"/>
        <item x="2426"/>
        <item x="1681"/>
        <item x="2262"/>
        <item x="4190"/>
        <item x="492"/>
        <item x="1854"/>
        <item x="1568"/>
        <item x="1690"/>
        <item x="1635"/>
        <item x="1348"/>
        <item x="3515"/>
        <item x="4573"/>
        <item x="3087"/>
        <item x="493"/>
        <item x="3439"/>
        <item x="4198"/>
        <item x="3167"/>
        <item x="3788"/>
        <item x="4171"/>
        <item x="2092"/>
        <item x="294"/>
        <item x="14"/>
        <item x="3374"/>
        <item x="338"/>
        <item x="2882"/>
        <item x="555"/>
        <item x="836"/>
        <item x="3674"/>
        <item x="2551"/>
        <item x="1531"/>
        <item x="3138"/>
        <item x="347"/>
        <item x="2607"/>
        <item x="390"/>
        <item x="3789"/>
        <item x="2039"/>
        <item x="2237"/>
        <item x="2218"/>
        <item x="1618"/>
        <item x="3075"/>
        <item x="2124"/>
        <item x="2179"/>
        <item x="3046"/>
        <item x="2203"/>
        <item x="3076"/>
        <item x="3653"/>
        <item x="2950"/>
        <item x="4122"/>
        <item x="2517"/>
        <item x="1144"/>
        <item x="3088"/>
        <item x="556"/>
        <item x="2836"/>
        <item x="3548"/>
        <item x="4258"/>
        <item x="1424"/>
        <item x="1623"/>
        <item x="524"/>
        <item x="2245"/>
        <item x="3533"/>
        <item x="3186"/>
        <item x="3220"/>
        <item x="2883"/>
        <item x="3818"/>
        <item x="3825"/>
        <item x="3173"/>
        <item x="1418"/>
        <item x="924"/>
        <item x="648"/>
        <item x="2518"/>
        <item x="1409"/>
        <item x="1515"/>
        <item x="3396"/>
        <item x="4943"/>
        <item x="734"/>
        <item x="2065"/>
        <item x="4992"/>
        <item x="4126"/>
        <item x="4993"/>
        <item x="1020"/>
        <item x="2066"/>
        <item x="3299"/>
        <item x="1225"/>
        <item x="2198"/>
        <item x="3534"/>
        <item x="4767"/>
        <item x="4088"/>
        <item x="654"/>
        <item x="1173"/>
        <item x="4026"/>
        <item x="3353"/>
        <item x="3454"/>
        <item x="2101"/>
        <item x="813"/>
        <item x="4918"/>
        <item x="4496"/>
        <item x="638"/>
        <item x="2669"/>
        <item x="2278"/>
        <item x="1829"/>
        <item x="4711"/>
        <item x="3864"/>
        <item x="4463"/>
        <item x="4828"/>
        <item x="3418"/>
        <item x="4182"/>
        <item x="3685"/>
        <item x="2075"/>
        <item x="2746"/>
        <item x="2011"/>
        <item x="2263"/>
        <item x="4332"/>
        <item x="3448"/>
        <item x="3126"/>
        <item x="2703"/>
        <item x="3077"/>
        <item x="2067"/>
        <item x="2538"/>
        <item x="2539"/>
        <item x="1243"/>
        <item x="3707"/>
        <item x="1192"/>
        <item x="2935"/>
        <item x="1916"/>
        <item x="2963"/>
        <item x="310"/>
        <item x="4585"/>
        <item x="1864"/>
        <item x="1556"/>
        <item x="1425"/>
        <item x="1174"/>
        <item x="109"/>
        <item x="820"/>
        <item x="1021"/>
        <item x="4927"/>
        <item x="3811"/>
        <item x="2499"/>
        <item x="1360"/>
        <item x="1334"/>
        <item x="292"/>
        <item x="4317"/>
        <item x="433"/>
        <item x="877"/>
        <item x="2408"/>
        <item x="3632"/>
        <item x="4870"/>
        <item x="1636"/>
        <item x="4284"/>
        <item x="2409"/>
        <item x="2102"/>
        <item x="4646"/>
        <item x="2318"/>
        <item x="230"/>
        <item x="1250"/>
        <item x="1193"/>
        <item x="4419"/>
        <item x="274"/>
        <item x="4883"/>
        <item x="2715"/>
        <item x="1462"/>
        <item x="1127"/>
        <item x="1888"/>
        <item x="3322"/>
        <item x="3050"/>
        <item x="1996"/>
        <item x="3429"/>
        <item x="174"/>
        <item x="4191"/>
        <item x="73"/>
        <item x="655"/>
        <item x="2989"/>
        <item x="472"/>
        <item x="298"/>
        <item x="2471"/>
        <item x="399"/>
        <item x="454"/>
        <item x="3728"/>
        <item x="505"/>
        <item x="9"/>
        <item x="4497"/>
        <item x="2767"/>
        <item x="3359"/>
        <item x="2287"/>
        <item x="1419"/>
        <item x="3563"/>
        <item x="1436"/>
        <item x="1476"/>
        <item x="3367"/>
        <item x="3591"/>
        <item x="2264"/>
        <item x="4516"/>
        <item x="2696"/>
        <item x="2577"/>
        <item x="587"/>
        <item x="494"/>
        <item x="2855"/>
        <item x="4487"/>
        <item x="4829"/>
        <item x="2212"/>
        <item x="3993"/>
        <item x="4871"/>
        <item x="3375"/>
        <item x="1532"/>
        <item x="1855"/>
        <item x="4608"/>
        <item x="515"/>
        <item x="3187"/>
        <item x="1008"/>
        <item x="821"/>
        <item x="543"/>
        <item x="2871"/>
        <item x="4684"/>
        <item x="1463"/>
        <item x="4158"/>
        <item x="2147"/>
        <item x="1876"/>
        <item x="4397"/>
        <item x="2594"/>
        <item x="2453"/>
        <item x="1128"/>
        <item x="1102"/>
        <item x="2131"/>
        <item x="4259"/>
        <item x="4488"/>
        <item x="1647"/>
        <item x="2540"/>
        <item x="1506"/>
        <item x="4105"/>
        <item x="3130"/>
        <item x="807"/>
        <item x="1821"/>
        <item x="2430"/>
        <item x="1814"/>
        <item x="588"/>
        <item x="2670"/>
        <item x="614"/>
        <item x="110"/>
        <item x="2353"/>
        <item x="84"/>
        <item x="3926"/>
        <item x="1085"/>
        <item x="4793"/>
        <item x="3772"/>
        <item x="3089"/>
        <item x="1394"/>
        <item x="4322"/>
        <item x="3360"/>
        <item x="2386"/>
        <item x="1903"/>
        <item x="2087"/>
        <item x="1194"/>
        <item x="4696"/>
        <item x="4947"/>
        <item x="4016"/>
        <item x="1648"/>
        <item x="3654"/>
        <item x="223"/>
        <item x="2116"/>
        <item x="926"/>
        <item x="4235"/>
        <item x="4768"/>
        <item x="1027"/>
        <item x="3459"/>
        <item x="3790"/>
        <item x="3038"/>
        <item x="2595"/>
        <item x="1341"/>
        <item x="1896"/>
        <item x="2914"/>
        <item x="3174"/>
        <item x="4716"/>
        <item x="4801"/>
        <item x="4663"/>
        <item x="3346"/>
        <item x="3983"/>
        <item x="1789"/>
        <item x="4080"/>
        <item x="2410"/>
        <item x="1145"/>
        <item x="1963"/>
        <item x="4183"/>
        <item x="927"/>
        <item x="3503"/>
        <item x="3564"/>
        <item x="3271"/>
        <item x="1606"/>
        <item x="2148"/>
        <item x="311"/>
        <item x="2026"/>
        <item x="3961"/>
        <item x="1327"/>
        <item x="495"/>
        <item x="2199"/>
        <item x="3976"/>
        <item x="2759"/>
        <item x="155"/>
        <item x="3477"/>
        <item x="4479"/>
        <item x="38"/>
        <item x="1091"/>
        <item x="2330"/>
        <item x="3686"/>
        <item x="3244"/>
        <item x="962"/>
        <item x="1822"/>
        <item x="1175"/>
        <item x="1599"/>
        <item x="1481"/>
        <item x="2279"/>
        <item x="2238"/>
        <item x="3636"/>
        <item x="1948"/>
        <item x="2354"/>
        <item x="2438"/>
        <item x="2096"/>
        <item x="3078"/>
        <item x="4333"/>
        <item x="1263"/>
        <item x="434"/>
        <item x="963"/>
        <item x="562"/>
        <item x="4429"/>
        <item x="3478"/>
        <item x="1815"/>
        <item x="1437"/>
        <item x="1012"/>
        <item x="4531"/>
        <item x="3984"/>
        <item x="3059"/>
        <item x="1122"/>
        <item x="353"/>
        <item x="3455"/>
        <item x="1182"/>
        <item x="4679"/>
        <item x="837"/>
        <item x="2657"/>
        <item x="4373"/>
        <item x="4705"/>
        <item x="3504"/>
        <item x="3300"/>
        <item x="814"/>
        <item x="1136"/>
        <item x="3245"/>
        <item x="2046"/>
        <item x="4846"/>
        <item x="2269"/>
        <item x="1713"/>
        <item x="815"/>
        <item x="4547"/>
        <item x="10"/>
        <item x="3323"/>
        <item x="795"/>
        <item x="3902"/>
        <item x="4285"/>
        <item x="1990"/>
        <item x="957"/>
        <item x="130"/>
        <item x="1673"/>
        <item x="4430"/>
        <item x="1980"/>
        <item x="4094"/>
        <item x="525"/>
        <item x="770"/>
        <item x="928"/>
        <item x="681"/>
        <item x="4116"/>
        <item x="1917"/>
        <item x="3616"/>
        <item x="3264"/>
        <item x="950"/>
        <item x="4902"/>
        <item x="1889"/>
        <item x="549"/>
        <item x="2225"/>
        <item x="1041"/>
        <item x="2559"/>
        <item x="2825"/>
        <item x="2625"/>
        <item x="1431"/>
        <item x="4540"/>
        <item x="2418"/>
        <item x="1696"/>
        <item x="1674"/>
        <item x="1542"/>
        <item x="1981"/>
        <item x="4489"/>
        <item x="218"/>
        <item x="3278"/>
        <item x="2898"/>
        <item x="4602"/>
        <item x="1754"/>
        <item x="2270"/>
        <item x="2342"/>
        <item x="3649"/>
        <item x="1251"/>
        <item x="942"/>
        <item x="4701"/>
        <item x="4903"/>
        <item x="2510"/>
        <item x="2419"/>
        <item x="3774"/>
        <item x="3553"/>
        <item x="169"/>
        <item x="1028"/>
        <item x="312"/>
        <item x="1047"/>
        <item x="862"/>
        <item x="4468"/>
        <item x="2187"/>
        <item x="4872"/>
        <item x="2792"/>
        <item x="1733"/>
        <item x="1549"/>
        <item x="1129"/>
        <item x="4664"/>
        <item x="4673"/>
        <item x="3549"/>
        <item x="61"/>
        <item x="3505"/>
        <item x="4127"/>
        <item x="1909"/>
        <item x="420"/>
        <item x="2837"/>
        <item x="4347"/>
        <item x="1294"/>
        <item x="3283"/>
        <item x="752"/>
        <item x="4834"/>
        <item x="2002"/>
        <item x="2427"/>
        <item x="25"/>
        <item x="455"/>
        <item x="305"/>
        <item x="4928"/>
        <item x="1086"/>
        <item x="4737"/>
        <item x="3540"/>
        <item x="3729"/>
        <item x="4017"/>
        <item x="2373"/>
        <item x="2343"/>
        <item x="3826"/>
        <item x="682"/>
        <item x="82"/>
        <item x="4609"/>
        <item x="1195"/>
        <item x="3313"/>
        <item x="2034"/>
        <item x="1761"/>
        <item x="1543"/>
        <item x="958"/>
        <item x="4056"/>
        <item x="1507"/>
        <item x="156"/>
        <item x="2161"/>
        <item x="1444"/>
        <item x="890"/>
        <item x="74"/>
        <item x="1949"/>
        <item x="3584"/>
        <item x="2658"/>
        <item x="3486"/>
        <item x="2319"/>
        <item x="4364"/>
        <item x="3033"/>
        <item x="3519"/>
        <item x="2951"/>
        <item x="4937"/>
        <item x="3212"/>
        <item x="660"/>
        <item x="3617"/>
        <item x="3570"/>
        <item x="1640"/>
        <item x="2723"/>
        <item x="856"/>
        <item x="4469"/>
        <item x="838"/>
        <item x="2472"/>
        <item x="3535"/>
        <item x="3206"/>
        <item x="816"/>
        <item x="1071"/>
        <item x="2320"/>
        <item x="4574"/>
        <item x="4958"/>
        <item x="2905"/>
        <item x="4044"/>
        <item x="1005"/>
        <item x="4802"/>
        <item x="3246"/>
        <item x="1059"/>
        <item x="3887"/>
        <item x="231"/>
        <item x="3804"/>
        <item x="2420"/>
        <item x="2374"/>
        <item x="4835"/>
        <item x="4910"/>
        <item x="2641"/>
        <item x="1950"/>
        <item x="2838"/>
        <item x="3131"/>
        <item x="622"/>
        <item x="275"/>
        <item x="4507"/>
        <item x="1550"/>
        <item x="32"/>
        <item x="1233"/>
        <item x="863"/>
        <item x="3994"/>
        <item x="4159"/>
        <item x="1283"/>
        <item x="4018"/>
        <item x="1704"/>
        <item x="2999"/>
        <item x="3948"/>
        <item x="2906"/>
        <item x="3079"/>
        <item x="3497"/>
        <item x="3332"/>
        <item x="75"/>
        <item x="1641"/>
        <item x="1705"/>
        <item x="1551"/>
        <item x="3812"/>
        <item x="3051"/>
        <item x="1972"/>
        <item x="717"/>
        <item x="2355"/>
        <item x="2983"/>
        <item x="3851"/>
        <item x="1516"/>
        <item x="951"/>
        <item x="4213"/>
        <item x="1234"/>
        <item x="3665"/>
        <item x="1487"/>
        <item x="2920"/>
        <item x="3536"/>
        <item x="4267"/>
        <item x="270"/>
        <item x="4142"/>
        <item x="2928"/>
        <item x="1675"/>
        <item x="883"/>
        <item x="2856"/>
        <item x="3769"/>
        <item x="589"/>
        <item x="3585"/>
        <item x="3108"/>
        <item x="3836"/>
        <item x="4769"/>
        <item x="103"/>
        <item x="1682"/>
        <item x="1739"/>
        <item x="1349"/>
        <item x="1779"/>
        <item x="1607"/>
        <item x="4560"/>
        <item x="2784"/>
        <item x="2785"/>
        <item x="1581"/>
        <item x="4455"/>
        <item x="3819"/>
        <item x="4929"/>
        <item x="2411"/>
        <item x="2889"/>
        <item x="2239"/>
        <item x="2058"/>
        <item x="85"/>
        <item x="400"/>
        <item x="3144"/>
        <item x="2552"/>
        <item x="1410"/>
        <item x="1013"/>
        <item x="2035"/>
        <item x="4794"/>
        <item x="4997"/>
        <item x="2697"/>
        <item x="4847"/>
        <item x="3791"/>
        <item x="713"/>
        <item x="285"/>
        <item x="286"/>
        <item x="1108"/>
        <item x="3080"/>
        <item x="1797"/>
        <item x="2730"/>
        <item x="3060"/>
        <item x="590"/>
        <item x="2716"/>
        <item x="2601"/>
        <item x="1426"/>
        <item x="4143"/>
        <item x="4615"/>
        <item x="2659"/>
        <item x="3339"/>
        <item x="1600"/>
        <item x="1703"/>
        <item x="1399"/>
        <item x="761"/>
        <item x="1653"/>
        <item x="4726"/>
        <item x="52"/>
        <item x="1740"/>
        <item x="4452"/>
        <item x="3601"/>
        <item x="1365"/>
        <item x="1748"/>
        <item x="671"/>
        <item x="1557"/>
        <item x="2162"/>
        <item x="4019"/>
        <item x="4665"/>
        <item x="4647"/>
        <item x="2929"/>
        <item x="2226"/>
        <item x="1146"/>
        <item x="986"/>
        <item x="3340"/>
        <item x="1924"/>
        <item x="2943"/>
        <item x="2826"/>
        <item x="1212"/>
        <item x="1624"/>
        <item x="3708"/>
        <item x="3109"/>
        <item x="2704"/>
        <item x="2246"/>
        <item x="2166"/>
        <item x="516"/>
        <item x="1006"/>
        <item x="2331"/>
        <item x="148"/>
        <item x="3666"/>
        <item x="306"/>
        <item x="2180"/>
        <item x="1498"/>
        <item x="1577"/>
        <item x="1842"/>
        <item x="4176"/>
        <item x="1453"/>
        <item x="2747"/>
        <item x="371"/>
        <item x="3637"/>
        <item x="188"/>
        <item x="348"/>
        <item x="1303"/>
        <item x="1582"/>
        <item x="4387"/>
        <item x="3730"/>
        <item x="123"/>
        <item x="993"/>
        <item x="2059"/>
        <item x="4712"/>
        <item x="4948"/>
        <item x="3061"/>
        <item x="4532"/>
        <item x="1366"/>
        <item x="897"/>
        <item x="3027"/>
        <item x="3034"/>
        <item x="1373"/>
        <item x="62"/>
        <item x="2142"/>
        <item x="496"/>
        <item x="1109"/>
        <item x="1389"/>
        <item x="1335"/>
        <item x="4001"/>
        <item x="43"/>
        <item x="2839"/>
        <item x="4307"/>
        <item x="2344"/>
        <item x="4904"/>
        <item x="205"/>
        <item x="2944"/>
        <item x="3122"/>
        <item x="4911"/>
        <item x="1714"/>
        <item x="1072"/>
        <item x="2699"/>
        <item x="1260"/>
        <item x="2675"/>
        <item x="2132"/>
        <item x="1951"/>
        <item x="1524"/>
        <item x="4374"/>
        <item x="839"/>
        <item x="49"/>
        <item x="2737"/>
        <item x="473"/>
        <item x="2097"/>
        <item x="4919"/>
        <item x="2309"/>
        <item x="4490"/>
        <item x="3153"/>
        <item x="2786"/>
        <item x="2047"/>
        <item x="744"/>
        <item x="2339"/>
        <item x="4517"/>
        <item x="4821"/>
        <item x="1964"/>
        <item x="1973"/>
        <item x="1938"/>
        <item x="237"/>
        <item x="2975"/>
        <item x="4192"/>
        <item x="4822"/>
        <item x="1591"/>
        <item x="4133"/>
        <item x="401"/>
        <item x="1918"/>
        <item x="402"/>
        <item x="1974"/>
        <item x="2560"/>
        <item x="3498"/>
        <item x="2181"/>
        <item x="633"/>
        <item x="3541"/>
        <item x="1952"/>
        <item x="4727"/>
        <item x="197"/>
        <item x="2296"/>
        <item x="4974"/>
        <item x="4575"/>
        <item x="2482"/>
        <item x="2362"/>
        <item x="224"/>
        <item x="2553"/>
        <item x="2660"/>
        <item x="3565"/>
        <item x="3750"/>
        <item x="3294"/>
        <item x="2003"/>
        <item x="2840"/>
        <item x="3542"/>
        <item x="2857"/>
        <item x="2500"/>
        <item x="563"/>
        <item x="1149"/>
        <item x="2774"/>
        <item x="796"/>
        <item x="3295"/>
        <item x="2519"/>
        <item x="4603"/>
        <item x="3882"/>
        <item x="735"/>
        <item x="1284"/>
        <item x="4533"/>
        <item x="4666"/>
        <item x="198"/>
        <item x="2133"/>
        <item x="829"/>
        <item x="1103"/>
        <item x="4738"/>
        <item x="2213"/>
        <item x="830"/>
        <item x="936"/>
        <item x="696"/>
        <item x="4959"/>
        <item x="4404"/>
        <item x="1154"/>
        <item x="2088"/>
        <item x="1014"/>
        <item x="4586"/>
        <item x="136"/>
        <item x="2589"/>
        <item x="1328"/>
        <item x="943"/>
        <item x="1691"/>
        <item x="391"/>
        <item x="2532"/>
        <item x="2356"/>
        <item x="2602"/>
        <item x="3127"/>
        <item x="1196"/>
        <item x="2306"/>
        <item x="1321"/>
        <item x="3168"/>
        <item x="2858"/>
        <item x="606"/>
        <item x="4498"/>
        <item x="4286"/>
        <item x="1317"/>
        <item x="1150"/>
        <item x="1464"/>
        <item x="3844"/>
        <item x="3090"/>
        <item x="1235"/>
        <item x="206"/>
        <item x="3237"/>
        <item x="2125"/>
        <item x="89"/>
        <item x="3021"/>
        <item x="1411"/>
        <item x="3714"/>
        <item x="1213"/>
        <item x="1116"/>
        <item x="4134"/>
        <item x="3977"/>
        <item x="1925"/>
        <item x="3827"/>
        <item x="4855"/>
        <item x="325"/>
        <item x="435"/>
        <item x="4616"/>
        <item x="3618"/>
        <item x="4587"/>
        <item x="4588"/>
        <item x="929"/>
        <item x="456"/>
        <item x="1508"/>
        <item x="3675"/>
        <item x="2680"/>
        <item x="3333"/>
        <item x="3874"/>
        <item x="257"/>
        <item x="3334"/>
        <item x="1608"/>
        <item x="3592"/>
        <item x="4057"/>
        <item x="4106"/>
        <item x="4193"/>
        <item x="349"/>
        <item x="4836"/>
        <item x="672"/>
        <item x="4202"/>
        <item x="4508"/>
        <item x="2561"/>
        <item x="1790"/>
        <item x="2661"/>
        <item x="771"/>
        <item x="4388"/>
        <item x="3797"/>
        <item x="3404"/>
        <item x="4697"/>
        <item x="3775"/>
        <item x="1882"/>
        <item x="4594"/>
        <item x="1168"/>
        <item x="3047"/>
        <item x="18"/>
        <item x="3199"/>
        <item x="3906"/>
        <item x="1092"/>
        <item x="4595"/>
        <item x="360"/>
        <item x="3820"/>
        <item x="2608"/>
        <item x="2541"/>
        <item x="1336"/>
        <item x="1890"/>
        <item x="3731"/>
        <item x="4172"/>
        <item x="1060"/>
        <item x="3154"/>
        <item x="3091"/>
        <item x="1552"/>
        <item x="2182"/>
        <item x="1741"/>
        <item x="4552"/>
        <item x="2568"/>
        <item x="4713"/>
        <item x="3284"/>
        <item x="3746"/>
        <item x="4275"/>
        <item x="4225"/>
        <item x="3092"/>
        <item x="238"/>
        <item x="1664"/>
        <item x="1625"/>
        <item x="3307"/>
        <item x="2872"/>
        <item x="2227"/>
        <item x="3941"/>
        <item x="4905"/>
        <item x="3593"/>
        <item x="3985"/>
        <item x="3221"/>
        <item x="3139"/>
        <item x="1725"/>
        <item x="313"/>
        <item x="4625"/>
        <item x="2763"/>
        <item x="3389"/>
        <item x="3910"/>
        <item x="1910"/>
        <item x="2671"/>
        <item x="572"/>
        <item x="1353"/>
        <item x="463"/>
        <item x="1029"/>
        <item x="445"/>
        <item x="2143"/>
        <item x="1354"/>
        <item x="4760"/>
        <item x="4128"/>
        <item x="3265"/>
        <item x="1073"/>
        <item x="4129"/>
        <item x="959"/>
        <item x="2321"/>
        <item x="464"/>
        <item x="4975"/>
        <item x="2915"/>
        <item x="3410"/>
        <item x="1412"/>
        <item x="3052"/>
        <item x="1264"/>
        <item x="1932"/>
        <item x="53"/>
        <item x="497"/>
        <item x="1061"/>
        <item x="1997"/>
        <item x="2964"/>
        <item x="3272"/>
        <item x="3949"/>
        <item x="2633"/>
        <item x="2483"/>
        <item x="3213"/>
        <item x="2457"/>
        <item x="718"/>
        <item x="987"/>
        <item x="952"/>
        <item x="1197"/>
        <item x="162"/>
        <item x="517"/>
        <item x="2473"/>
        <item x="3962"/>
        <item x="1087"/>
        <item x="1329"/>
        <item x="2804"/>
        <item x="2254"/>
        <item x="189"/>
        <item x="2474"/>
        <item x="944"/>
        <item x="706"/>
        <item x="4652"/>
        <item x="3715"/>
        <item x="3554"/>
        <item x="1706"/>
        <item x="1742"/>
        <item x="1877"/>
        <item x="745"/>
        <item x="3883"/>
        <item x="1851"/>
        <item x="1982"/>
        <item x="2310"/>
        <item x="426"/>
        <item x="727"/>
        <item x="271"/>
        <item x="111"/>
        <item x="1583"/>
        <item x="3238"/>
        <item x="2060"/>
        <item x="4058"/>
        <item x="1285"/>
        <item x="4856"/>
        <item x="3741"/>
        <item x="3506"/>
        <item x="4524"/>
        <item x="163"/>
        <item x="2040"/>
        <item x="579"/>
        <item x="3493"/>
        <item x="314"/>
        <item x="4938"/>
        <item x="1037"/>
        <item x="2965"/>
        <item x="421"/>
        <item x="2542"/>
        <item x="1295"/>
        <item x="2311"/>
        <item x="4816"/>
        <item x="4248"/>
        <item x="2650"/>
        <item x="3288"/>
        <item x="3911"/>
        <item x="850"/>
        <item x="3922"/>
        <item x="801"/>
        <item x="1169"/>
        <item x="1286"/>
        <item x="96"/>
        <item x="361"/>
        <item x="4886"/>
        <item x="3566"/>
        <item x="4260"/>
        <item x="1062"/>
        <item x="736"/>
        <item x="797"/>
        <item x="3473"/>
        <item x="973"/>
        <item x="3742"/>
        <item x="2990"/>
        <item x="4803"/>
        <item x="280"/>
        <item x="1265"/>
        <item x="243"/>
        <item x="1852"/>
        <item x="4589"/>
        <item x="1038"/>
        <item x="2748"/>
        <item x="3852"/>
        <item x="1856"/>
        <item x="3385"/>
        <item x="580"/>
        <item x="617"/>
        <item x="4308"/>
        <item x="3301"/>
        <item x="4509"/>
        <item x="1659"/>
        <item x="4045"/>
        <item x="4220"/>
        <item x="4795"/>
        <item x="831"/>
        <item x="2376"/>
        <item x="3537"/>
        <item x="1743"/>
        <item x="757"/>
        <item x="2466"/>
        <item x="623"/>
        <item x="124"/>
        <item x="3239"/>
        <item x="4194"/>
        <item x="3347"/>
        <item x="851"/>
        <item x="564"/>
        <item x="4177"/>
        <item x="2377"/>
        <item x="3285"/>
        <item x="2764"/>
        <item x="983"/>
        <item x="3845"/>
        <item x="199"/>
        <item x="3828"/>
        <item x="4848"/>
        <item x="903"/>
        <item x="2421"/>
        <item x="3526"/>
        <item x="436"/>
        <item x="2167"/>
        <item x="661"/>
        <item x="4949"/>
        <item x="857"/>
        <item x="3759"/>
        <item x="465"/>
        <item x="506"/>
        <item x="3028"/>
        <item x="2676"/>
        <item x="4435"/>
        <item x="607"/>
        <item x="244"/>
        <item x="2188"/>
        <item x="2004"/>
        <item x="550"/>
        <item x="410"/>
        <item x="2817"/>
        <item x="2634"/>
        <item x="2005"/>
        <item x="1926"/>
        <item x="2288"/>
        <item x="2312"/>
        <item x="639"/>
        <item x="1445"/>
        <item x="4617"/>
        <item x="2134"/>
        <item x="3751"/>
        <item x="1470"/>
        <item x="441"/>
        <item x="1287"/>
        <item x="1244"/>
        <item x="3286"/>
        <item x="4893"/>
        <item x="2681"/>
        <item x="1637"/>
        <item x="1692"/>
        <item x="354"/>
        <item x="4541"/>
        <item x="149"/>
        <item x="3942"/>
        <item x="3927"/>
        <item x="4518"/>
        <item x="2027"/>
        <item x="1904"/>
        <item x="822"/>
        <item x="3752"/>
        <item x="3010"/>
        <item x="3624"/>
        <item x="239"/>
        <item x="1525"/>
        <item x="2511"/>
        <item x="3753"/>
        <item x="258"/>
        <item x="1762"/>
        <item x="3230"/>
        <item x="2865"/>
        <item x="3903"/>
        <item x="4610"/>
        <item x="1654"/>
        <item x="1137"/>
        <item x="1198"/>
        <item x="2603"/>
        <item x="4073"/>
        <item x="4510"/>
        <item x="4268"/>
        <item x="2250"/>
        <item x="3029"/>
        <item x="54"/>
        <item x="2098"/>
        <item x="823"/>
        <item x="4618"/>
        <item x="1927"/>
        <item x="1"/>
        <item x="864"/>
        <item x="1266"/>
        <item x="2945"/>
        <item x="536"/>
        <item x="4753"/>
        <item x="2149"/>
        <item x="2749"/>
        <item x="662"/>
        <item x="772"/>
        <item x="3361"/>
        <item x="1609"/>
        <item x="1558"/>
        <item x="437"/>
        <item x="90"/>
        <item x="4770"/>
        <item x="2189"/>
        <item x="3214"/>
        <item x="1626"/>
        <item x="3081"/>
        <item x="852"/>
        <item x="945"/>
        <item x="2395"/>
        <item x="1755"/>
        <item x="3557"/>
        <item x="3053"/>
        <item x="808"/>
        <item x="3062"/>
        <item x="3805"/>
        <item x="608"/>
        <item x="2285"/>
        <item x="2041"/>
        <item x="1991"/>
        <item x="4569"/>
        <item x="780"/>
        <item x="2076"/>
        <item x="3069"/>
        <item x="3132"/>
        <item x="4906"/>
        <item x="2454"/>
        <item x="1569"/>
        <item x="1843"/>
        <item x="276"/>
        <item x="565"/>
        <item x="1707"/>
        <item x="446"/>
        <item x="1939"/>
        <item x="3193"/>
        <item x="4576"/>
        <item x="1367"/>
        <item x="2946"/>
        <item x="4411"/>
        <item x="4519"/>
        <item x="4389"/>
        <item x="3894"/>
        <item x="1183"/>
        <item x="2818"/>
        <item x="131"/>
        <item x="1870"/>
        <item x="112"/>
        <item x="91"/>
        <item x="2119"/>
        <item x="392"/>
        <item x="11"/>
        <item x="746"/>
        <item x="4281"/>
        <item x="4480"/>
        <item x="4287"/>
        <item x="919"/>
        <item x="3884"/>
        <item x="1226"/>
        <item x="2873"/>
        <item x="4920"/>
        <item x="362"/>
        <item x="1763"/>
        <item x="2642"/>
        <item x="3760"/>
        <item x="1117"/>
        <item x="2926"/>
        <item x="250"/>
        <item x="2841"/>
        <item x="1998"/>
        <item x="157"/>
        <item x="350"/>
        <item x="994"/>
        <item x="3039"/>
        <item x="2068"/>
        <item x="2228"/>
        <item x="995"/>
        <item x="2827"/>
        <item x="2229"/>
        <item x="3419"/>
        <item x="3935"/>
        <item x="259"/>
        <item x="3986"/>
        <item x="4020"/>
        <item x="2439"/>
        <item x="385"/>
        <item x="1627"/>
        <item x="4680"/>
        <item x="4728"/>
        <item x="2204"/>
        <item x="3895"/>
        <item x="4203"/>
        <item x="1438"/>
        <item x="2345"/>
        <item x="3704"/>
        <item x="1592"/>
        <item x="996"/>
        <item x="1683"/>
        <item x="3231"/>
        <item x="1252"/>
        <item x="3421"/>
        <item x="1199"/>
        <item x="326"/>
        <item x="4674"/>
        <item x="1048"/>
        <item x="4021"/>
        <item x="4390"/>
        <item x="591"/>
        <item x="3188"/>
        <item x="3257"/>
        <item x="4173"/>
        <item x="3965"/>
        <item x="753"/>
        <item x="4022"/>
        <item x="4153"/>
        <item x="2842"/>
        <item x="4633"/>
        <item x="4907"/>
        <item x="2543"/>
        <item x="624"/>
        <item x="277"/>
        <item x="3287"/>
        <item x="946"/>
        <item x="3354"/>
        <item x="1176"/>
        <item x="104"/>
        <item x="3507"/>
        <item x="4717"/>
        <item x="4520"/>
        <item x="1330"/>
        <item x="3296"/>
        <item x="4542"/>
        <item x="1905"/>
        <item x="251"/>
        <item x="2952"/>
        <item x="1726"/>
        <item x="1517"/>
        <item x="3460"/>
        <item x="4746"/>
        <item x="4543"/>
        <item x="526"/>
        <item x="2544"/>
        <item x="2819"/>
        <item x="2971"/>
        <item x="1655"/>
        <item x="3853"/>
        <item x="673"/>
        <item x="175"/>
        <item x="527"/>
        <item x="1477"/>
        <item x="2724"/>
        <item x="4089"/>
        <item x="3508"/>
        <item x="3175"/>
        <item x="1304"/>
        <item x="33"/>
        <item x="781"/>
        <item x="4653"/>
        <item x="3854"/>
        <item x="3468"/>
        <item x="2921"/>
        <item x="2183"/>
        <item x="372"/>
        <item x="3978"/>
        <item x="4771"/>
        <item x="2378"/>
        <item x="3987"/>
        <item x="3070"/>
        <item x="3232"/>
        <item x="3955"/>
        <item x="3440"/>
        <item x="618"/>
        <item x="3422"/>
        <item x="3950"/>
        <item x="4309"/>
        <item x="1628"/>
        <item x="1227"/>
        <item x="2219"/>
        <item x="3324"/>
        <item x="1079"/>
        <item x="537"/>
        <item x="2953"/>
        <item x="1509"/>
        <item x="1342"/>
        <item x="1214"/>
        <item x="4525"/>
        <item x="3449"/>
        <item x="4090"/>
        <item x="4226"/>
        <item x="2991"/>
        <item x="3479"/>
        <item x="2984"/>
        <item x="2682"/>
        <item x="4967"/>
        <item x="3620"/>
        <item x="2346"/>
        <item x="4658"/>
        <item x="1715"/>
        <item x="2220"/>
        <item x="3093"/>
        <item x="1454"/>
        <item x="4027"/>
        <item x="2289"/>
        <item x="113"/>
        <item x="2313"/>
        <item x="4444"/>
        <item x="4779"/>
        <item x="1857"/>
        <item x="4028"/>
        <item x="3555"/>
        <item x="4066"/>
        <item x="76"/>
        <item x="1093"/>
        <item x="386"/>
        <item x="1455"/>
        <item x="2635"/>
        <item x="1853"/>
        <item x="1933"/>
        <item x="1446"/>
        <item x="2775"/>
        <item x="1858"/>
        <item x="3163"/>
        <item x="3821"/>
        <item x="2413"/>
        <item x="4521"/>
        <item x="4784"/>
        <item x="403"/>
        <item x="2850"/>
        <item x="714"/>
        <item x="3054"/>
        <item x="3633"/>
        <item x="427"/>
        <item x="2976"/>
        <item x="1749"/>
        <item x="1343"/>
        <item x="3063"/>
        <item x="740"/>
        <item x="4249"/>
        <item x="3520"/>
        <item x="817"/>
        <item x="158"/>
        <item x="3411"/>
        <item x="1439"/>
        <item x="4544"/>
        <item x="3169"/>
        <item x="339"/>
        <item x="4236"/>
        <item x="3667"/>
        <item x="315"/>
        <item x="2768"/>
        <item x="1965"/>
        <item x="4100"/>
        <item x="869"/>
        <item x="1440"/>
        <item x="4067"/>
        <item x="891"/>
        <item x="2878"/>
        <item x="4984"/>
        <item x="3386"/>
        <item x="4739"/>
        <item x="984"/>
        <item x="447"/>
        <item x="1570"/>
        <item x="1184"/>
        <item x="287"/>
        <item x="544"/>
        <item x="1897"/>
        <item x="3747"/>
        <item x="840"/>
        <item x="1386"/>
        <item x="2290"/>
        <item x="486"/>
        <item x="2705"/>
        <item x="1780"/>
        <item x="884"/>
        <item x="4293"/>
        <item x="2545"/>
        <item x="737"/>
        <item x="317"/>
        <item x="2108"/>
        <item x="4930"/>
        <item x="4184"/>
        <item x="824"/>
        <item x="3951"/>
        <item x="159"/>
        <item x="3720"/>
        <item x="3250"/>
        <item x="3316"/>
        <item x="1919"/>
        <item x="77"/>
        <item x="663"/>
        <item x="1177"/>
        <item x="3966"/>
        <item x="1642"/>
        <item x="2609"/>
        <item x="2930"/>
        <item x="2014"/>
        <item x="809"/>
        <item x="3754"/>
        <item x="4245"/>
        <item x="1911"/>
        <item x="2700"/>
        <item x="1308"/>
        <item x="2396"/>
        <item x="3273"/>
        <item x="3094"/>
        <item x="2776"/>
        <item x="674"/>
        <item x="3594"/>
        <item x="373"/>
        <item x="3896"/>
        <item x="3928"/>
        <item x="1390"/>
        <item x="3956"/>
        <item x="1898"/>
        <item x="2985"/>
        <item x="1756"/>
        <item x="1488"/>
        <item x="1716"/>
        <item x="2061"/>
        <item x="545"/>
        <item x="1561"/>
        <item x="3390"/>
        <item x="1118"/>
        <item x="2280"/>
        <item x="2247"/>
        <item x="3543"/>
        <item x="3100"/>
        <item x="3655"/>
        <item x="4837"/>
        <item x="2332"/>
        <item x="528"/>
        <item x="4733"/>
        <item x="4526"/>
        <item x="2077"/>
        <item x="747"/>
        <item x="3215"/>
        <item x="4534"/>
        <item x="3897"/>
        <item x="1272"/>
        <item x="3289"/>
        <item x="1405"/>
        <item x="4823"/>
        <item x="4780"/>
        <item x="4796"/>
        <item x="3095"/>
        <item x="4227"/>
        <item x="92"/>
        <item x="3988"/>
        <item x="3290"/>
        <item x="4154"/>
        <item x="4638"/>
        <item x="1601"/>
        <item x="1273"/>
        <item x="728"/>
        <item x="4379"/>
        <item x="719"/>
        <item x="3967"/>
        <item x="1697"/>
        <item x="697"/>
        <item x="1912"/>
        <item x="97"/>
        <item x="3855"/>
        <item x="448"/>
        <item x="1447"/>
        <item x="2493"/>
        <item x="2777"/>
        <item x="378"/>
        <item x="3456"/>
        <item x="3055"/>
        <item x="3480"/>
        <item x="2297"/>
        <item x="2450"/>
        <item x="1094"/>
        <item x="3776"/>
        <item x="4228"/>
        <item x="1337"/>
        <item x="3412"/>
        <item x="1318"/>
        <item x="2750"/>
        <item x="3274"/>
        <item x="4380"/>
        <item x="1074"/>
        <item x="2662"/>
        <item x="978"/>
        <item x="4074"/>
        <item x="1578"/>
        <item x="898"/>
        <item x="3898"/>
        <item x="1571"/>
        <item x="4091"/>
        <item x="1185"/>
        <item x="1215"/>
        <item x="498"/>
        <item x="1288"/>
        <item x="698"/>
        <item x="4211"/>
        <item x="299"/>
        <item x="4976"/>
        <item x="499"/>
        <item x="1656"/>
        <item x="4123"/>
        <item x="2350"/>
        <item x="2333"/>
        <item x="449"/>
        <item x="2636"/>
        <item x="3325"/>
        <item x="2799"/>
        <item x="2586"/>
        <item x="3405"/>
        <item x="387"/>
        <item x="997"/>
        <item x="2"/>
        <item x="4051"/>
        <item x="3773"/>
        <item x="281"/>
        <item x="2805"/>
        <item x="2444"/>
        <item x="600"/>
        <item x="4398"/>
        <item x="1030"/>
        <item x="1338"/>
        <item x="4160"/>
        <item x="1891"/>
        <item x="3602"/>
        <item x="3916"/>
        <item x="1734"/>
        <item x="1220"/>
        <item x="1374"/>
        <item x="2298"/>
        <item x="176"/>
        <item x="3326"/>
        <item x="3266"/>
        <item x="1380"/>
        <item x="1643"/>
        <item x="3317"/>
        <item x="964"/>
        <item x="4412"/>
        <item x="3"/>
        <item x="4075"/>
        <item x="649"/>
        <item x="4921"/>
        <item x="1865"/>
        <item x="2581"/>
        <item x="3222"/>
        <item x="2401"/>
        <item x="3743"/>
        <item x="841"/>
        <item x="650"/>
        <item x="3829"/>
        <item x="78"/>
        <item x="1975"/>
        <item x="3155"/>
        <item x="3979"/>
        <item x="1665"/>
        <item x="2015"/>
        <item x="1015"/>
        <item x="4436"/>
        <item x="1708"/>
        <item x="4185"/>
        <item x="609"/>
        <item x="3101"/>
        <item x="67"/>
        <item x="3846"/>
        <item x="1016"/>
        <item x="295"/>
        <item x="1155"/>
        <item x="4294"/>
        <item x="1666"/>
        <item x="4838"/>
        <item x="3963"/>
        <item x="3189"/>
        <item x="4453"/>
        <item x="2154"/>
        <item x="4703"/>
        <item x="3441"/>
        <item x="2546"/>
        <item x="953"/>
        <item x="2357"/>
        <item x="3695"/>
        <item x="4604"/>
        <item x="2307"/>
        <item x="1395"/>
        <item x="4405"/>
        <item x="2484"/>
        <item x="98"/>
        <item x="2501"/>
        <item x="1798"/>
        <item x="1572"/>
        <item x="39"/>
        <item x="3888"/>
        <item x="2793"/>
        <item x="1667"/>
        <item x="3251"/>
        <item x="998"/>
        <item x="1305"/>
        <item x="1649"/>
        <item x="1427"/>
        <item x="3544"/>
        <item x="4095"/>
        <item x="4685"/>
        <item x="2890"/>
        <item x="3643"/>
        <item x="1883"/>
        <item x="363"/>
        <item x="1966"/>
        <item x="1088"/>
        <item x="1791"/>
        <item x="474"/>
        <item x="3064"/>
        <item x="3000"/>
        <item x="26"/>
        <item x="4857"/>
        <item x="2859"/>
        <item x="4681"/>
        <item x="865"/>
        <item x="4849"/>
        <item x="1290"/>
        <item x="3164"/>
        <item x="3556"/>
        <item x="2135"/>
        <item x="3022"/>
        <item x="1727"/>
        <item x="3110"/>
        <item x="3001"/>
        <item x="1017"/>
        <item x="2230"/>
        <item x="2618"/>
        <item x="729"/>
        <item x="3936"/>
        <item x="4968"/>
        <item x="1482"/>
        <item x="4456"/>
        <item x="2231"/>
        <item x="4381"/>
        <item x="1080"/>
        <item x="2832"/>
        <item x="1830"/>
        <item x="55"/>
        <item x="3382"/>
        <item x="466"/>
        <item x="1533"/>
        <item x="4124"/>
        <item x="2683"/>
        <item x="1668"/>
        <item x="4654"/>
        <item x="1289"/>
        <item x="2520"/>
        <item x="2698"/>
        <item x="1238"/>
        <item x="581"/>
        <item x="3761"/>
        <item x="2643"/>
        <item x="2947"/>
        <item x="1717"/>
        <item x="1660"/>
        <item x="866"/>
        <item x="232"/>
        <item x="209"/>
        <item x="1368"/>
        <item x="2150"/>
        <item x="2751"/>
        <item x="252"/>
        <item x="3297"/>
        <item x="411"/>
        <item x="3656"/>
        <item x="988"/>
        <item x="2966"/>
        <item x="1245"/>
        <item x="4626"/>
        <item x="364"/>
        <item x="4"/>
        <item x="3952"/>
        <item x="1063"/>
        <item x="1657"/>
        <item x="1104"/>
        <item x="2458"/>
        <item x="1735"/>
        <item x="4639"/>
        <item x="1709"/>
        <item x="573"/>
        <item x="3030"/>
        <item x="1610"/>
        <item x="689"/>
        <item x="1186"/>
        <item x="2402"/>
        <item x="1387"/>
        <item x="518"/>
        <item x="4817"/>
        <item x="640"/>
        <item x="3111"/>
        <item x="2089"/>
        <item x="3145"/>
        <item x="1253"/>
        <item x="3558"/>
        <item x="3995"/>
        <item x="1009"/>
        <item x="3096"/>
        <item x="507"/>
        <item x="1728"/>
        <item x="79"/>
        <item x="1906"/>
        <item x="4356"/>
        <item x="1562"/>
        <item x="4807"/>
        <item x="3929"/>
        <item x="4977"/>
        <item x="3327"/>
        <item x="4068"/>
        <item x="1355"/>
        <item x="592"/>
        <item x="1494"/>
        <item x="1483"/>
        <item x="2587"/>
        <item x="2828"/>
        <item x="2109"/>
        <item x="3943"/>
        <item x="2168"/>
        <item x="1629"/>
        <item x="1757"/>
        <item x="3957"/>
        <item x="4214"/>
        <item x="2475"/>
        <item x="40"/>
        <item x="3545"/>
        <item x="4038"/>
        <item x="2502"/>
        <item x="4135"/>
        <item x="832"/>
        <item x="3223"/>
        <item x="4481"/>
        <item x="833"/>
        <item x="4961"/>
        <item x="1999"/>
        <item x="2752"/>
        <item x="3368"/>
        <item x="551"/>
        <item x="1274"/>
        <item x="4023"/>
        <item x="3798"/>
        <item x="2936"/>
        <item x="2351"/>
        <item x="3430"/>
        <item x="985"/>
        <item x="143"/>
        <item x="3755"/>
        <item x="1584"/>
        <item x="4212"/>
        <item x="2048"/>
        <item x="4310"/>
        <item x="114"/>
        <item x="2012"/>
        <item x="2787"/>
        <item x="3958"/>
        <item x="3035"/>
        <item x="3856"/>
        <item x="1544"/>
        <item x="56"/>
        <item x="3538"/>
        <item x="4482"/>
        <item x="3644"/>
        <item x="3744"/>
        <item x="4939"/>
        <item x="4204"/>
        <item x="2016"/>
        <item x="2155"/>
        <item x="4328"/>
        <item x="132"/>
        <item x="904"/>
        <item x="2806"/>
        <item x="4302"/>
        <item x="3762"/>
        <item x="3146"/>
        <item x="15"/>
        <item x="125"/>
        <item x="4605"/>
        <item x="1331"/>
        <item x="3335"/>
        <item x="4269"/>
        <item x="601"/>
        <item x="3857"/>
        <item x="885"/>
        <item x="4873"/>
        <item x="1573"/>
        <item x="2988"/>
        <item x="2006"/>
        <item x="1553"/>
        <item x="4994"/>
        <item x="4839"/>
        <item x="4797"/>
        <item x="4874"/>
        <item x="177"/>
        <item x="2093"/>
        <item x="190"/>
        <item x="3799"/>
        <item x="334"/>
        <item x="4704"/>
        <item x="3233"/>
        <item x="1859"/>
        <item x="1489"/>
        <item x="1187"/>
        <item x="2922"/>
        <item x="3676"/>
        <item x="4719"/>
        <item x="892"/>
        <item x="2205"/>
        <item x="3865"/>
        <item x="4781"/>
        <item x="3763"/>
        <item x="4978"/>
        <item x="1792"/>
        <item x="1585"/>
        <item x="845"/>
        <item x="4596"/>
        <item x="1983"/>
        <item x="1838"/>
        <item x="3917"/>
        <item x="2184"/>
        <item x="1774"/>
        <item x="1729"/>
        <item x="4754"/>
        <item x="1984"/>
        <item x="914"/>
        <item x="4130"/>
        <item x="2291"/>
        <item x="393"/>
        <item x="2937"/>
        <item x="4740"/>
        <item x="12"/>
        <item x="4107"/>
        <item x="2948"/>
        <item x="2445"/>
        <item x="1871"/>
        <item x="4818"/>
        <item x="699"/>
        <item x="858"/>
        <item x="2214"/>
        <item x="2992"/>
        <item x="3521"/>
        <item x="3522"/>
        <item x="4634"/>
        <item x="754"/>
        <item x="2494"/>
        <item x="2049"/>
        <item x="4195"/>
        <item x="3040"/>
        <item x="602"/>
        <item x="2954"/>
        <item x="4561"/>
        <item x="3709"/>
        <item x="2794"/>
        <item x="3937"/>
        <item x="442"/>
        <item x="1892"/>
        <item x="1545"/>
        <item x="105"/>
        <item x="911"/>
        <item x="4772"/>
        <item x="2706"/>
        <item x="1839"/>
        <item x="2485"/>
        <item x="3907"/>
        <item x="2619"/>
        <item x="4024"/>
        <item x="3875"/>
        <item x="4348"/>
        <item x="3097"/>
        <item x="3668"/>
        <item x="4887"/>
        <item x="2428"/>
        <item x="2069"/>
        <item x="1574"/>
        <item x="34"/>
        <item x="3165"/>
        <item x="720"/>
        <item x="4830"/>
        <item x="4912"/>
        <item x="27"/>
        <item x="3968"/>
        <item x="2588"/>
        <item x="233"/>
        <item x="4985"/>
        <item x="4931"/>
        <item x="272"/>
        <item x="3336"/>
        <item x="4995"/>
        <item x="1764"/>
        <item x="1391"/>
        <item x="1216"/>
        <item x="2866"/>
        <item x="2596"/>
        <item x="3002"/>
        <item x="3677"/>
        <item x="664"/>
        <item x="1119"/>
        <item x="3523"/>
        <item x="4535"/>
        <item x="307"/>
        <item x="4334"/>
        <item x="619"/>
        <item x="2340"/>
        <item x="3645"/>
        <item x="4913"/>
        <item x="1638"/>
        <item x="1471"/>
        <item x="4161"/>
        <item x="2651"/>
        <item x="721"/>
        <item x="3200"/>
        <item x="2451"/>
        <item x="3308"/>
        <item x="4092"/>
        <item x="3889"/>
        <item x="3423"/>
        <item x="2590"/>
        <item x="2322"/>
        <item x="4131"/>
        <item x="1375"/>
        <item x="4914"/>
        <item x="1878"/>
        <item x="1619"/>
        <item x="4093"/>
        <item x="318"/>
        <item x="1207"/>
        <item x="3194"/>
        <item x="2299"/>
        <item x="2486"/>
        <item x="675"/>
        <item x="1661"/>
        <item x="2820"/>
        <item x="1141"/>
        <item x="2949"/>
        <item x="3837"/>
        <item x="1934"/>
        <item x="3071"/>
        <item x="2412"/>
        <item x="3216"/>
        <item x="4318"/>
        <item x="2765"/>
        <item x="404"/>
        <item x="979"/>
        <item x="870"/>
        <item x="1611"/>
        <item x="1200"/>
        <item x="3806"/>
        <item x="2215"/>
        <item x="965"/>
        <item x="867"/>
        <item x="50"/>
        <item x="810"/>
        <item x="3661"/>
        <item x="4096"/>
        <item x="582"/>
        <item x="4406"/>
        <item x="500"/>
        <item x="3646"/>
        <item x="1448"/>
        <item x="3800"/>
        <item x="1031"/>
        <item x="2358"/>
        <item x="1049"/>
        <item x="2156"/>
        <item x="915"/>
        <item x="2731"/>
        <item x="4108"/>
        <item x="4155"/>
        <item x="2334"/>
        <item x="2017"/>
        <item x="2070"/>
        <item x="3176"/>
        <item x="1693"/>
        <item x="351"/>
        <item x="1536"/>
        <item x="1339"/>
        <item x="4025"/>
        <item x="1831"/>
        <item x="478"/>
        <item x="4215"/>
        <item x="4329"/>
        <item x="4288"/>
        <item x="3450"/>
        <item x="2062"/>
        <item x="1526"/>
        <item x="2753"/>
        <item x="2899"/>
        <item x="1844"/>
        <item x="4979"/>
        <item x="3559"/>
        <item x="3969"/>
        <item x="4944"/>
        <item x="1413"/>
        <item x="615"/>
        <item x="2018"/>
        <item x="2738"/>
        <item x="3298"/>
        <item x="4323"/>
        <item x="1499"/>
        <item x="1537"/>
        <item x="4162"/>
        <item x="219"/>
        <item x="3376"/>
        <item x="178"/>
        <item x="1319"/>
        <item x="1022"/>
        <item x="4706"/>
        <item x="4527"/>
        <item x="4511"/>
        <item x="4059"/>
        <item x="4303"/>
        <item x="2778"/>
        <item x="2851"/>
        <item x="2265"/>
        <item x="3102"/>
        <item x="4148"/>
        <item x="4420"/>
        <item x="707"/>
        <item x="2578"/>
        <item x="2271"/>
        <item x="4117"/>
        <item x="3745"/>
        <item x="3586"/>
        <item x="4330"/>
        <item x="1538"/>
        <item x="1236"/>
        <item x="4250"/>
        <item x="3420"/>
        <item x="930"/>
        <item x="4761"/>
        <item x="4545"/>
        <item x="2292"/>
        <item x="4270"/>
        <item x="405"/>
        <item x="3147"/>
        <item x="4686"/>
        <item x="3207"/>
        <item x="3156"/>
        <item x="2397"/>
        <item x="1775"/>
        <item x="4304"/>
        <item x="2464"/>
        <item x="164"/>
        <item x="3899"/>
        <item x="4113"/>
        <item x="1050"/>
        <item x="3567"/>
        <item x="1420"/>
        <item x="4421"/>
        <item x="4950"/>
        <item x="2811"/>
        <item x="2221"/>
        <item x="99"/>
        <item x="2891"/>
        <item x="3970"/>
        <item x="3355"/>
        <item x="960"/>
        <item x="1449"/>
        <item x="2007"/>
        <item x="3705"/>
        <item x="4136"/>
        <item x="2379"/>
        <item x="802"/>
        <item x="4773"/>
        <item x="3240"/>
        <item x="144"/>
        <item x="3783"/>
        <item x="2363"/>
        <item x="4076"/>
        <item x="2110"/>
        <item x="2512"/>
        <item x="1089"/>
        <item x="1744"/>
        <item x="980"/>
        <item x="2754"/>
        <item x="1322"/>
        <item x="4137"/>
        <item x="3224"/>
        <item x="1612"/>
        <item x="4687"/>
        <item x="2993"/>
        <item x="4590"/>
        <item x="1718"/>
        <item x="330"/>
        <item x="4562"/>
        <item x="1376"/>
        <item x="3247"/>
        <item x="1563"/>
        <item x="3314"/>
        <item x="3770"/>
        <item x="1296"/>
        <item x="4611"/>
        <item x="225"/>
        <item x="1781"/>
        <item x="4755"/>
        <item x="1356"/>
        <item x="3732"/>
        <item x="4046"/>
        <item x="3876"/>
        <item x="538"/>
        <item x="2955"/>
        <item x="4546"/>
        <item x="327"/>
        <item x="4536"/>
        <item x="2843"/>
        <item x="3487"/>
        <item x="3580"/>
        <item x="282"/>
        <item x="4295"/>
        <item x="1032"/>
        <item x="4431"/>
        <item x="501"/>
        <item x="3481"/>
        <item x="1613"/>
        <item x="1840"/>
        <item x="625"/>
        <item x="3696"/>
        <item x="4850"/>
        <item x="3822"/>
        <item x="4537"/>
        <item x="1432"/>
        <item x="846"/>
        <item x="4808"/>
        <item x="2293"/>
        <item x="1866"/>
        <item x="2717"/>
        <item x="4101"/>
        <item x="3118"/>
        <item x="3157"/>
        <item x="3908"/>
        <item x="2314"/>
        <item x="3792"/>
        <item x="3048"/>
        <item x="2844"/>
        <item x="3072"/>
        <item x="406"/>
        <item x="4445"/>
        <item x="2300"/>
        <item x="3003"/>
        <item x="4627"/>
        <item x="3391"/>
        <item x="1010"/>
        <item x="3252"/>
        <item x="1719"/>
        <item x="665"/>
        <item x="2547"/>
        <item x="3431"/>
        <item x="1267"/>
        <item x="773"/>
        <item x="2524"/>
        <item x="4688"/>
        <item x="593"/>
        <item x="1710"/>
        <item x="4528"/>
        <item x="4707"/>
        <item x="2050"/>
        <item x="4553"/>
        <item x="3461"/>
        <item x="3771"/>
        <item x="4002"/>
        <item x="1793"/>
        <item x="3004"/>
        <item x="1201"/>
        <item x="4097"/>
        <item x="4163"/>
        <item x="502"/>
        <item x="450"/>
        <item x="2725"/>
        <item x="1782"/>
        <item x="2019"/>
        <item x="722"/>
        <item x="457"/>
        <item x="487"/>
        <item x="3595"/>
        <item x="2071"/>
        <item x="240"/>
        <item x="3170"/>
        <item x="3516"/>
        <item x="931"/>
        <item x="3509"/>
        <item x="1042"/>
        <item x="4276"/>
        <item x="2637"/>
        <item x="5"/>
        <item x="3195"/>
        <item x="2157"/>
        <item x="1953"/>
        <item x="2691"/>
        <item x="4422"/>
        <item x="467"/>
        <item x="468"/>
        <item x="1130"/>
        <item x="4597"/>
        <item x="3112"/>
        <item x="1694"/>
        <item x="999"/>
        <item x="1500"/>
        <item x="741"/>
        <item x="893"/>
        <item x="557"/>
        <item x="2644"/>
        <item x="762"/>
        <item x="4423"/>
        <item x="3482"/>
        <item x="207"/>
        <item x="4457"/>
        <item x="4785"/>
        <item x="2807"/>
        <item x="365"/>
        <item x="1899"/>
        <item x="748"/>
        <item x="340"/>
        <item x="3291"/>
        <item x="4221"/>
        <item x="1807"/>
        <item x="2380"/>
        <item x="4305"/>
        <item x="3560"/>
        <item x="28"/>
        <item x="4251"/>
        <item x="2707"/>
        <item x="3469"/>
        <item x="300"/>
        <item x="366"/>
        <item x="1156"/>
        <item x="3625"/>
        <item x="170"/>
        <item x="3813"/>
        <item x="1228"/>
        <item x="443"/>
        <item x="4741"/>
        <item x="2381"/>
        <item x="4424"/>
        <item x="3777"/>
        <item x="2158"/>
        <item x="4029"/>
        <item x="2403"/>
        <item x="1472"/>
        <item x="2610"/>
        <item x="2465"/>
        <item x="3697"/>
        <item x="1684"/>
        <item x="106"/>
        <item x="1884"/>
        <item x="4708"/>
        <item x="4981"/>
        <item x="3474"/>
        <item x="3647"/>
        <item x="1297"/>
        <item x="2364"/>
        <item x="1893"/>
        <item x="3023"/>
        <item x="1095"/>
        <item x="920"/>
        <item x="265"/>
        <item x="1051"/>
        <item x="2833"/>
        <item x="2369"/>
        <item x="3148"/>
        <item x="3971"/>
        <item x="1845"/>
        <item x="2795"/>
        <item x="2760"/>
        <item x="4365"/>
        <item x="3149"/>
        <item x="4709"/>
        <item x="2251"/>
        <item x="2554"/>
        <item x="2404"/>
        <item x="894"/>
        <item x="1913"/>
        <item x="3550"/>
        <item x="2829"/>
        <item x="2335"/>
        <item x="1546"/>
        <item x="610"/>
        <item x="3716"/>
        <item x="3494"/>
        <item x="4951"/>
        <item x="3475"/>
        <item x="3866"/>
        <item x="1907"/>
        <item x="1300"/>
        <item x="539"/>
        <item x="1547"/>
        <item x="3024"/>
        <item x="3717"/>
        <item x="574"/>
        <item x="4357"/>
        <item x="2591"/>
        <item x="4812"/>
        <item x="2972"/>
        <item x="355"/>
        <item x="2994"/>
        <item x="3687"/>
        <item x="989"/>
        <item x="1586"/>
        <item x="2562"/>
        <item x="3011"/>
        <item x="2663"/>
        <item x="871"/>
        <item x="4875"/>
        <item x="2446"/>
        <item x="1823"/>
        <item x="583"/>
        <item x="2788"/>
        <item x="356"/>
        <item x="3972"/>
        <item x="1298"/>
        <item x="2755"/>
        <item x="1377"/>
        <item x="503"/>
        <item x="4762"/>
        <item x="4060"/>
        <item x="253"/>
        <item x="4252"/>
        <item x="1484"/>
        <item x="469"/>
        <item x="3383"/>
        <item x="2169"/>
        <item x="479"/>
        <item x="2569"/>
        <item x="3442"/>
        <item x="2708"/>
        <item x="641"/>
        <item x="2892"/>
        <item x="1396"/>
        <item x="2222"/>
        <item x="3309"/>
        <item x="35"/>
        <item x="3669"/>
        <item x="3225"/>
        <item x="2301"/>
        <item x="1765"/>
        <item x="4598"/>
        <item x="1872"/>
        <item x="4003"/>
        <item x="412"/>
        <item x="2582"/>
        <item x="2812"/>
        <item x="1799"/>
        <item x="3065"/>
        <item x="4382"/>
        <item x="921"/>
        <item x="905"/>
        <item x="4734"/>
        <item x="966"/>
        <item x="444"/>
        <item x="2779"/>
        <item x="4358"/>
        <item x="3877"/>
        <item x="1064"/>
        <item x="1832"/>
        <item x="1202"/>
        <item x="3603"/>
        <item x="2986"/>
        <item x="2597"/>
        <item x="2645"/>
        <item x="1043"/>
        <item x="1954"/>
        <item x="3267"/>
        <item x="1940"/>
        <item x="3524"/>
        <item x="2563"/>
        <item x="540"/>
        <item x="2620"/>
        <item x="2646"/>
        <item x="1309"/>
        <item x="2051"/>
        <item x="2308"/>
        <item x="2459"/>
        <item x="3082"/>
        <item x="4577"/>
        <item x="3302"/>
        <item x="2020"/>
        <item x="115"/>
        <item x="4952"/>
        <item x="4628"/>
        <item x="4039"/>
        <item x="2677"/>
        <item x="4689"/>
        <item x="3571"/>
        <item x="1275"/>
        <item x="2103"/>
        <item x="1075"/>
        <item x="3989"/>
        <item x="4030"/>
        <item x="4031"/>
        <item x="872"/>
        <item x="4782"/>
        <item x="1808"/>
        <item x="254"/>
        <item x="4491"/>
        <item x="1392"/>
        <item x="774"/>
        <item x="293"/>
        <item x="3678"/>
        <item x="2170"/>
        <item x="3432"/>
        <item x="3208"/>
        <item x="529"/>
        <item x="1914"/>
        <item x="3406"/>
        <item x="328"/>
        <item x="165"/>
        <item x="1900"/>
        <item x="1065"/>
        <item x="1816"/>
        <item x="44"/>
        <item x="1495"/>
        <item x="2272"/>
        <item x="2621"/>
        <item x="4819"/>
        <item x="3973"/>
        <item x="2487"/>
        <item x="2200"/>
        <item x="4004"/>
        <item x="4399"/>
        <item x="2028"/>
        <item x="3397"/>
        <item x="3177"/>
        <item x="422"/>
        <item x="1501"/>
        <item x="2995"/>
        <item x="4277"/>
        <item x="2255"/>
        <item x="57"/>
        <item x="4998"/>
        <item x="3938"/>
        <item x="4851"/>
        <item x="1602"/>
        <item x="19"/>
        <item x="2987"/>
        <item x="594"/>
        <item x="1527"/>
        <item x="4335"/>
        <item x="1456"/>
        <item x="1332"/>
        <item x="1254"/>
        <item x="3721"/>
        <item x="2126"/>
        <item x="4222"/>
        <item x="2709"/>
        <item x="200"/>
        <item x="1033"/>
        <item x="4969"/>
        <item x="394"/>
        <item x="3036"/>
        <item x="1066"/>
        <item x="2710"/>
        <item x="1110"/>
        <item x="6"/>
        <item x="2347"/>
        <item x="1698"/>
        <item x="2460"/>
        <item x="266"/>
        <item x="859"/>
        <item x="1699"/>
        <item x="2692"/>
        <item x="4138"/>
        <item x="2387"/>
        <item x="4578"/>
        <item x="4858"/>
        <item x="4164"/>
        <item x="3621"/>
        <item x="3369"/>
        <item x="708"/>
        <item x="1720"/>
        <item x="4216"/>
        <item x="4804"/>
        <item x="3451"/>
        <item x="4940"/>
        <item x="1658"/>
        <item x="423"/>
        <item x="2780"/>
        <item x="4747"/>
        <item x="4296"/>
        <item x="3793"/>
        <item x="2273"/>
        <item x="2732"/>
        <item x="4962"/>
        <item x="4503"/>
        <item x="1478"/>
        <item x="3171"/>
        <item x="2252"/>
        <item x="4786"/>
        <item x="126"/>
        <item x="508"/>
        <item x="4391"/>
        <item x="3318"/>
        <item x="3858"/>
        <item x="1833"/>
        <item x="458"/>
        <item x="1147"/>
        <item x="4366"/>
        <item x="1758"/>
        <item x="2852"/>
        <item x="2665"/>
        <item x="283"/>
        <item x="2111"/>
        <item x="1603"/>
        <item x="1105"/>
        <item x="150"/>
        <item x="3341"/>
        <item x="80"/>
        <item x="4149"/>
        <item x="1644"/>
        <item x="4278"/>
        <item x="2884"/>
        <item x="825"/>
        <item x="1539"/>
        <item x="3178"/>
        <item x="1261"/>
        <item x="1138"/>
        <item x="2094"/>
        <item x="36"/>
        <item x="4311"/>
        <item x="4554"/>
        <item x="4196"/>
        <item x="3413"/>
        <item x="413"/>
        <item x="2521"/>
        <item x="2956"/>
        <item x="1157"/>
        <item x="2739"/>
        <item x="3930"/>
        <item x="4941"/>
        <item x="3398"/>
        <item x="1178"/>
        <item x="1846"/>
        <item x="2907"/>
        <item x="2893"/>
        <item x="1106"/>
        <item x="2564"/>
        <item x="3679"/>
        <item x="4805"/>
        <item x="2090"/>
        <item x="4591"/>
        <item x="4735"/>
        <item x="4165"/>
        <item x="3253"/>
        <item x="2647"/>
        <item x="2431"/>
        <item x="3098"/>
        <item x="2973"/>
        <item x="530"/>
        <item x="1620"/>
        <item x="3179"/>
        <item x="2159"/>
        <item x="546"/>
        <item x="260"/>
        <item x="2151"/>
        <item x="755"/>
        <item x="2931"/>
        <item x="3342"/>
        <item x="1721"/>
        <item x="2860"/>
        <item x="3387"/>
        <item x="166"/>
        <item x="3847"/>
        <item x="2583"/>
        <item x="2672"/>
        <item x="4702"/>
        <item x="4748"/>
        <item x="3939"/>
        <item x="3258"/>
        <item x="4970"/>
        <item x="234"/>
        <item x="634"/>
        <item x="2447"/>
        <item x="2874"/>
        <item x="1935"/>
        <item x="3166"/>
        <item x="1357"/>
        <item x="3303"/>
        <item x="4563"/>
        <item x="388"/>
        <item x="3909"/>
        <item x="1473"/>
        <item x="4787"/>
        <item x="331"/>
        <item x="1711"/>
        <item x="803"/>
        <item x="1630"/>
        <item x="1239"/>
        <item x="3343"/>
        <item x="2302"/>
        <item x="2042"/>
        <item x="2388"/>
        <item x="2365"/>
        <item x="4432"/>
        <item x="1730"/>
        <item x="226"/>
        <item x="2808"/>
        <item x="2916"/>
        <item x="2756"/>
        <item x="3572"/>
        <item x="2104"/>
        <item x="4720"/>
        <item x="4876"/>
        <item x="895"/>
        <item x="3407"/>
        <item x="4579"/>
        <item x="3867"/>
        <item x="3990"/>
        <item x="220"/>
        <item x="4077"/>
        <item x="2879"/>
        <item x="2733"/>
        <item x="137"/>
        <item x="4809"/>
        <item x="3733"/>
        <item x="1441"/>
        <item x="519"/>
        <item x="127"/>
        <item x="2769"/>
        <item x="3150"/>
        <item x="1034"/>
        <item x="4619"/>
        <item x="3539"/>
        <item x="4336"/>
        <item x="2622"/>
        <item x="742"/>
        <item x="2885"/>
        <item x="4032"/>
        <item x="3158"/>
        <item x="2294"/>
        <item x="4383"/>
        <item x="4473"/>
        <item x="1976"/>
        <item x="1955"/>
        <item x="1428"/>
        <item x="459"/>
        <item x="179"/>
        <item x="878"/>
        <item x="2190"/>
        <item x="4852"/>
        <item x="3083"/>
        <item x="1442"/>
        <item x="2770"/>
        <item x="151"/>
        <item x="1736"/>
        <item x="4640"/>
        <item x="3056"/>
        <item x="2579"/>
        <item x="3996"/>
        <item x="3180"/>
        <item x="2448"/>
        <item x="4894"/>
        <item x="3005"/>
        <item x="3041"/>
        <item x="201"/>
        <item x="1518"/>
        <item x="1800"/>
        <item x="547"/>
        <item x="4884"/>
        <item x="2078"/>
        <item x="566"/>
        <item x="475"/>
        <item x="1208"/>
        <item x="642"/>
        <item x="3259"/>
        <item x="2684"/>
        <item x="335"/>
        <item x="4205"/>
        <item x="86"/>
        <item x="651"/>
        <item x="1722"/>
        <item x="2440"/>
        <item x="3997"/>
        <item x="2584"/>
        <item x="2389"/>
        <item x="3433"/>
        <item x="531"/>
        <item x="4512"/>
        <item x="2685"/>
        <item x="1593"/>
        <item x="4340"/>
        <item x="20"/>
        <item x="775"/>
        <item x="4446"/>
        <item x="1052"/>
        <item x="3310"/>
        <item x="3140"/>
        <item x="656"/>
        <item x="1111"/>
        <item x="4470"/>
        <item x="2900"/>
        <item x="2382"/>
        <item x="2052"/>
        <item x="2917"/>
        <item x="180"/>
        <item x="3226"/>
        <item x="3181"/>
        <item x="1519"/>
        <item x="730"/>
        <item x="4375"/>
        <item x="758"/>
        <item x="2533"/>
        <item x="4005"/>
        <item x="414"/>
        <item x="1824"/>
        <item x="2740"/>
        <item x="2036"/>
        <item x="1465"/>
        <item x="2503"/>
        <item x="2648"/>
        <item x="4564"/>
        <item x="2604"/>
        <item x="3510"/>
        <item x="1096"/>
        <item x="2256"/>
        <item x="4810"/>
        <item x="4729"/>
        <item x="2861"/>
        <item x="3638"/>
        <item x="789"/>
        <item x="3953"/>
        <item x="3868"/>
        <item x="1053"/>
        <item x="2534"/>
        <item x="1554"/>
        <item x="4006"/>
        <item x="2206"/>
        <item x="4217"/>
        <item x="1631"/>
        <item x="1977"/>
        <item x="3260"/>
        <item x="749"/>
        <item x="1879"/>
        <item x="1018"/>
        <item x="460"/>
        <item x="4178"/>
        <item x="1209"/>
        <item x="4341"/>
        <item x="1323"/>
        <item x="2207"/>
        <item x="1276"/>
        <item x="235"/>
        <item x="3698"/>
        <item x="700"/>
        <item x="4840"/>
        <item x="3434"/>
        <item x="3119"/>
        <item x="4166"/>
        <item x="3814"/>
        <item x="3998"/>
        <item x="3470"/>
        <item x="2008"/>
        <item x="1632"/>
        <item x="1967"/>
        <item x="873"/>
        <item x="16"/>
        <item x="4400"/>
        <item x="1433"/>
        <item x="922"/>
        <item x="2476"/>
        <item x="875"/>
        <item x="1023"/>
        <item x="4986"/>
        <item x="2259"/>
        <item x="3573"/>
        <item x="1956"/>
        <item x="1381"/>
        <item x="2908"/>
        <item x="3037"/>
        <item x="428"/>
        <item x="1067"/>
        <item x="4401"/>
        <item x="2652"/>
        <item x="4061"/>
        <item x="4641"/>
        <item x="1496"/>
        <item x="2127"/>
        <item x="3123"/>
        <item x="2144"/>
        <item x="4359"/>
        <item x="782"/>
        <item x="3604"/>
        <item x="3128"/>
        <item x="107"/>
        <item x="2095"/>
        <item x="461"/>
        <item x="3344"/>
        <item x="3328"/>
        <item x="2741"/>
        <item x="1783"/>
        <item x="273"/>
        <item x="1985"/>
        <item x="3066"/>
        <item x="3133"/>
        <item x="2686"/>
        <item x="2422"/>
        <item x="4659"/>
        <item x="2009"/>
        <item x="3680"/>
        <item x="4783"/>
        <item x="2653"/>
        <item x="3619"/>
        <item x="3201"/>
        <item x="4167"/>
        <item x="68"/>
        <item x="451"/>
        <item x="2208"/>
        <item x="912"/>
        <item x="2959"/>
        <item x="811"/>
        <item x="4144"/>
        <item x="3399"/>
        <item x="3057"/>
        <item x="2909"/>
        <item x="652"/>
        <item x="1559"/>
        <item x="470"/>
        <item x="1957"/>
        <item x="3878"/>
        <item x="4555"/>
        <item x="4915"/>
        <item x="1378"/>
        <item x="967"/>
        <item x="2932"/>
        <item x="1941"/>
        <item x="2323"/>
        <item x="1750"/>
        <item x="906"/>
        <item x="4895"/>
        <item x="3670"/>
        <item x="1000"/>
        <item x="4007"/>
        <item x="2398"/>
        <item x="1112"/>
        <item x="2441"/>
        <item x="1400"/>
        <item x="4367"/>
        <item x="1039"/>
        <item x="4522"/>
        <item x="3329"/>
        <item x="683"/>
        <item x="2821"/>
        <item x="319"/>
        <item x="3103"/>
        <item x="879"/>
        <item x="1320"/>
        <item x="509"/>
        <item x="1502"/>
        <item x="2260"/>
        <item x="4297"/>
        <item x="4197"/>
        <item x="4223"/>
        <item x="2504"/>
        <item x="4081"/>
        <item x="2079"/>
        <item x="3190"/>
        <item x="4980"/>
        <item x="954"/>
        <item x="4987"/>
        <item x="2957"/>
        <item x="3196"/>
        <item x="3414"/>
        <item x="2862"/>
        <item x="3859"/>
        <item x="4730"/>
        <item x="2281"/>
        <item x="191"/>
        <item x="626"/>
        <item x="4118"/>
        <item x="1361"/>
        <item x="3058"/>
        <item x="3217"/>
        <item x="1745"/>
        <item x="2477"/>
        <item x="1158"/>
        <item x="2261"/>
        <item x="4238"/>
        <item x="2112"/>
        <item x="3159"/>
        <item x="3424"/>
        <item x="1217"/>
        <item x="2303"/>
        <item x="3012"/>
        <item x="4556"/>
        <item x="709"/>
        <item x="2399"/>
        <item x="876"/>
        <item x="4342"/>
        <item x="29"/>
        <item x="160"/>
        <item x="1958"/>
        <item x="3129"/>
        <item x="2163"/>
        <item x="1766"/>
        <item x="3527"/>
        <item x="341"/>
        <item x="1188"/>
        <item x="4082"/>
        <item x="1751"/>
        <item x="1587"/>
        <item x="763"/>
        <item x="1669"/>
        <item x="4324"/>
        <item x="3202"/>
        <item x="2638"/>
        <item x="4384"/>
        <item x="4599"/>
        <item x="379"/>
        <item x="2834"/>
        <item x="1767"/>
        <item x="4413"/>
        <item x="4742"/>
        <item x="723"/>
        <item x="2216"/>
        <item x="4642"/>
        <item x="4798"/>
        <item x="1414"/>
        <item x="4565"/>
        <item x="4853"/>
        <item x="3923"/>
        <item x="3681"/>
        <item x="2977"/>
        <item x="916"/>
        <item x="4749"/>
        <item x="4263"/>
        <item x="1490"/>
        <item x="2555"/>
        <item x="4877"/>
        <item x="917"/>
        <item x="3392"/>
        <item x="4721"/>
        <item x="968"/>
        <item x="2809"/>
        <item x="1450"/>
        <item x="3218"/>
        <item x="2867"/>
        <item x="4982"/>
        <item x="167"/>
        <item x="4988"/>
        <item x="853"/>
        <item x="2359"/>
        <item x="3688"/>
        <item x="1662"/>
        <item x="4033"/>
        <item x="2509"/>
        <item x="2718"/>
        <item x="415"/>
        <item x="342"/>
        <item x="616"/>
        <item x="3227"/>
        <item x="1564"/>
        <item x="261"/>
        <item x="2080"/>
        <item x="3234"/>
        <item x="3622"/>
        <item x="3991"/>
        <item x="1159"/>
        <item x="4246"/>
        <item x="2875"/>
        <item x="783"/>
        <item x="3900"/>
        <item x="2432"/>
        <item x="2043"/>
        <item x="3415"/>
        <item x="2845"/>
        <item x="3488"/>
        <item x="2352"/>
        <item x="1860"/>
        <item x="2757"/>
        <item x="2513"/>
        <item x="58"/>
        <item x="367"/>
        <item x="2081"/>
        <item x="4799"/>
        <item x="368"/>
        <item x="4458"/>
        <item x="4239"/>
        <item x="2687"/>
        <item x="1457"/>
        <item x="3778"/>
        <item x="480"/>
        <item x="4483"/>
        <item x="4831"/>
        <item x="1614"/>
        <item x="369"/>
        <item x="611"/>
        <item x="1344"/>
        <item x="1345"/>
        <item x="1076"/>
        <item x="2570"/>
        <item x="1880"/>
        <item x="100"/>
        <item x="2813"/>
        <item x="2673"/>
        <item x="1443"/>
        <item x="2488"/>
        <item x="1054"/>
        <item x="4908"/>
        <item x="301"/>
        <item x="1369"/>
        <item x="804"/>
        <item x="1604"/>
        <item x="2761"/>
        <item x="684"/>
        <item x="3766"/>
        <item x="4433"/>
        <item x="4008"/>
        <item x="2901"/>
        <item x="1986"/>
        <item x="3912"/>
        <item x="2611"/>
        <item x="2044"/>
        <item x="2796"/>
        <item x="1203"/>
        <item x="2232"/>
        <item x="1497"/>
        <item x="2433"/>
        <item x="3699"/>
        <item x="790"/>
        <item x="438"/>
        <item x="3120"/>
        <item x="192"/>
        <item x="3528"/>
        <item x="64"/>
        <item x="21"/>
        <item x="2274"/>
        <item x="2758"/>
        <item x="4343"/>
        <item x="1055"/>
        <item x="3073"/>
        <item x="3254"/>
        <item x="4971"/>
        <item x="1746"/>
        <item x="1077"/>
        <item x="3830"/>
        <item x="1151"/>
        <item x="643"/>
        <item x="1768"/>
        <item x="2612"/>
        <item x="4896"/>
        <item x="520"/>
        <item x="389"/>
        <item x="4606"/>
        <item x="1160"/>
        <item x="4635"/>
        <item x="3013"/>
        <item x="2654"/>
        <item x="4557"/>
        <item x="4414"/>
        <item x="2063"/>
        <item x="1466"/>
        <item x="1011"/>
        <item x="2978"/>
        <item x="932"/>
        <item x="4788"/>
        <item x="2626"/>
        <item x="1255"/>
        <item x="2029"/>
        <item x="4119"/>
        <item x="791"/>
        <item x="3689"/>
        <item x="2927"/>
        <item x="4047"/>
        <item x="4349"/>
        <item x="1676"/>
        <item x="1784"/>
        <item x="2548"/>
        <item x="2201"/>
        <item x="4069"/>
        <item x="1825"/>
        <item x="4529"/>
        <item x="3690"/>
        <item x="4888"/>
        <item x="3499"/>
        <item x="955"/>
        <item x="3944"/>
        <item x="743"/>
        <item x="1388"/>
        <item x="2742"/>
        <item x="3362"/>
        <item x="1123"/>
        <item x="2701"/>
        <item x="3794"/>
        <item x="612"/>
        <item x="4612"/>
        <item x="210"/>
        <item x="1081"/>
        <item x="476"/>
        <item x="133"/>
        <item x="3261"/>
        <item x="4298"/>
        <item x="3748"/>
        <item x="1847"/>
        <item x="3006"/>
        <item x="4675"/>
        <item x="3823"/>
        <item x="3400"/>
        <item x="278"/>
        <item x="2414"/>
        <item x="116"/>
        <item x="4385"/>
        <item x="2489"/>
        <item x="2415"/>
        <item x="4504"/>
        <item x="108"/>
        <item x="3626"/>
        <item x="4459"/>
        <item x="4942"/>
        <item x="1120"/>
        <item x="4690"/>
        <item x="4474"/>
        <item x="2467"/>
        <item x="1246"/>
        <item x="1240"/>
        <item x="152"/>
        <item x="1221"/>
        <item x="2223"/>
        <item x="4240"/>
        <item x="1277"/>
        <item x="208"/>
        <item x="1001"/>
        <item x="3918"/>
        <item x="1663"/>
        <item x="4471"/>
        <item x="3779"/>
        <item x="1809"/>
        <item x="4199"/>
        <item x="3919"/>
        <item x="41"/>
        <item x="2556"/>
        <item x="380"/>
        <item x="296"/>
        <item x="4620"/>
        <item x="4698"/>
        <item x="1968"/>
        <item x="3574"/>
        <item x="886"/>
        <item x="1848"/>
        <item x="407"/>
        <item x="3700"/>
        <item x="3279"/>
        <item x="332"/>
        <item x="3141"/>
        <item x="1024"/>
        <item x="2627"/>
        <item x="2655"/>
        <item x="2863"/>
        <item x="3945"/>
        <item x="3650"/>
        <item x="4878"/>
        <item x="4261"/>
        <item x="4206"/>
        <item x="3901"/>
        <item x="1082"/>
        <item x="937"/>
        <item x="3860"/>
        <item x="635"/>
        <item x="1621"/>
        <item x="3931"/>
        <item x="4983"/>
        <item x="22"/>
        <item x="4052"/>
        <item x="59"/>
        <item x="211"/>
        <item x="439"/>
        <item x="65"/>
        <item x="2800"/>
        <item x="2886"/>
        <item x="938"/>
        <item x="3913"/>
        <item x="724"/>
        <item x="4922"/>
        <item x="1458"/>
        <item x="3575"/>
        <item x="2171"/>
        <item x="3639"/>
        <item x="4350"/>
        <item x="181"/>
        <item x="4484"/>
        <item x="3435"/>
        <item x="3124"/>
        <item x="4566"/>
        <item x="1132"/>
        <item x="2967"/>
        <item x="2678"/>
        <item x="2525"/>
        <item x="532"/>
        <item x="784"/>
        <item x="3483"/>
        <item x="2240"/>
        <item x="2120"/>
        <item x="4854"/>
        <item x="3182"/>
        <item x="3596"/>
        <item x="4859"/>
        <item x="644"/>
        <item x="429"/>
        <item x="2037"/>
        <item x="1170"/>
        <item x="3954"/>
        <item x="575"/>
        <item x="2974"/>
        <item x="488"/>
        <item x="3304"/>
        <item x="4125"/>
        <item x="4676"/>
        <item x="343"/>
        <item x="3161"/>
        <item x="3183"/>
        <item x="374"/>
        <item x="4485"/>
        <item x="3416"/>
        <item x="3356"/>
        <item x="969"/>
        <item x="4774"/>
        <item x="2526"/>
        <item x="381"/>
        <item x="4953"/>
        <item x="4009"/>
        <item x="595"/>
        <item x="4691"/>
        <item x="4207"/>
        <item x="4580"/>
        <item x="2797"/>
        <item x="1685"/>
        <item x="4763"/>
        <item x="759"/>
        <item x="3734"/>
        <item x="1588"/>
        <item x="627"/>
        <item x="2113"/>
        <item x="690"/>
        <item x="1677"/>
        <item x="288"/>
        <item x="4860"/>
        <item x="3815"/>
        <item x="4923"/>
        <item x="4692"/>
        <item x="1350"/>
        <item x="2136"/>
        <item x="541"/>
        <item x="4299"/>
        <item x="3377"/>
        <item x="3869"/>
        <item x="2918"/>
        <item x="3597"/>
        <item x="1382"/>
        <item x="236"/>
        <item x="1210"/>
        <item x="4062"/>
        <item x="2938"/>
        <item x="4010"/>
        <item x="489"/>
        <item x="3640"/>
        <item x="2405"/>
        <item x="3084"/>
        <item x="2295"/>
        <item x="4447"/>
        <item x="4415"/>
        <item x="2666"/>
        <item x="1520"/>
        <item x="4581"/>
        <item x="4434"/>
        <item x="2030"/>
        <item x="2468"/>
        <item x="4924"/>
        <item x="2217"/>
        <item x="2639"/>
        <item x="3031"/>
        <item x="2137"/>
        <item x="212"/>
        <item x="2326"/>
        <item x="1401"/>
        <item x="1124"/>
        <item x="3315"/>
        <item x="2814"/>
        <item x="3393"/>
        <item x="854"/>
        <item x="974"/>
        <item x="87"/>
        <item x="1769"/>
        <item x="4861"/>
        <item x="1678"/>
        <item x="69"/>
        <item x="4636"/>
        <item x="2781"/>
        <item x="4699"/>
        <item x="4011"/>
        <item x="3330"/>
        <item x="2628"/>
        <item x="2592"/>
        <item x="145"/>
        <item x="1785"/>
        <item x="1459"/>
        <item x="3722"/>
        <item x="3262"/>
        <item x="4824"/>
        <item x="2495"/>
        <item x="933"/>
        <item x="2390"/>
        <item x="4548"/>
        <item x="3870"/>
        <item x="558"/>
        <item x="1402"/>
        <item x="153"/>
        <item x="798"/>
        <item x="1873"/>
        <item x="3209"/>
        <item x="2734"/>
        <item x="2894"/>
        <item x="2021"/>
        <item x="1161"/>
        <item x="3974"/>
        <item x="4475"/>
        <item x="2979"/>
        <item x="2980"/>
        <item x="2000"/>
        <item x="320"/>
        <item x="3890"/>
        <item x="1247"/>
        <item x="3007"/>
        <item x="4486"/>
        <item x="1503"/>
        <item x="1083"/>
        <item x="4229"/>
        <item x="4756"/>
        <item x="182"/>
        <item x="3471"/>
        <item x="4376"/>
        <item x="357"/>
        <item x="2981"/>
        <item x="4879"/>
        <item x="691"/>
        <item x="4264"/>
        <item x="2434"/>
        <item x="3191"/>
        <item x="2383"/>
        <item x="171"/>
        <item x="227"/>
        <item x="1429"/>
        <item x="2505"/>
        <item x="3489"/>
        <item x="2082"/>
        <item x="4083"/>
        <item x="2469"/>
        <item x="138"/>
        <item x="3904"/>
        <item x="358"/>
        <item x="510"/>
        <item x="1397"/>
        <item x="183"/>
        <item x="3014"/>
        <item x="939"/>
        <item x="2336"/>
        <item x="2629"/>
        <item x="4150"/>
        <item x="1874"/>
        <item x="4464"/>
        <item x="3443"/>
        <item x="812"/>
        <item x="4700"/>
        <item x="1125"/>
        <item x="1313"/>
        <item x="3807"/>
        <item x="30"/>
        <item x="4465"/>
        <item x="3255"/>
        <item x="213"/>
        <item x="620"/>
        <item x="184"/>
        <item x="3808"/>
        <item x="1301"/>
        <item x="1594"/>
        <item x="3795"/>
        <item x="4241"/>
        <item x="4053"/>
        <item x="1885"/>
        <item x="2478"/>
        <item x="2370"/>
        <item x="154"/>
        <item x="302"/>
        <item x="569"/>
        <item x="1534"/>
        <item x="1479"/>
        <item x="3151"/>
        <item x="2416"/>
        <item x="3125"/>
        <item x="1589"/>
        <item x="3551"/>
        <item x="4279"/>
        <item x="2719"/>
        <item x="3495"/>
        <item x="2571"/>
        <item x="3924"/>
        <item x="4693"/>
        <item x="576"/>
        <item x="4109"/>
        <item x="3651"/>
        <item x="45"/>
        <item x="3378"/>
        <item x="596"/>
        <item x="3357"/>
        <item x="4084"/>
        <item x="3319"/>
        <item x="636"/>
        <item x="430"/>
        <item x="750"/>
        <item x="3015"/>
        <item x="880"/>
        <item x="2720"/>
        <item x="3605"/>
        <item x="3920"/>
        <item x="776"/>
        <item x="2815"/>
        <item x="2674"/>
        <item x="3879"/>
        <item x="1510"/>
        <item x="2384"/>
        <item x="3581"/>
        <item x="3476"/>
        <item x="1310"/>
        <item x="3980"/>
        <item x="424"/>
        <item x="1645"/>
        <item x="842"/>
        <item x="731"/>
        <item x="2442"/>
        <item x="1540"/>
        <item x="4558"/>
        <item x="4885"/>
        <item x="4897"/>
        <item x="2172"/>
        <item x="3992"/>
        <item x="1801"/>
        <item x="597"/>
        <item x="3511"/>
        <item x="214"/>
        <item x="2593"/>
        <item x="2053"/>
        <item x="3749"/>
        <item x="4660"/>
        <item x="2835"/>
        <item x="2822"/>
        <item x="4743"/>
        <item x="1867"/>
        <item x="42"/>
        <item x="1731"/>
        <item x="2054"/>
        <item x="799"/>
        <item x="567"/>
        <item x="431"/>
        <item x="4999"/>
        <item x="4139"/>
        <item x="3008"/>
        <item x="1256"/>
        <item x="2910"/>
        <item x="637"/>
        <item x="3311"/>
        <item x="3682"/>
        <item x="4820"/>
        <item x="598"/>
        <item x="1908"/>
        <item x="1362"/>
        <item x="1942"/>
        <item x="4880"/>
        <item x="3657"/>
        <item x="1152"/>
        <item x="2864"/>
        <item x="2128"/>
        <item x="2605"/>
        <item x="2202"/>
        <item x="4629"/>
        <item x="738"/>
        <item x="4253"/>
        <item x="146"/>
        <item x="3113"/>
        <item x="3184"/>
        <item x="1314"/>
        <item x="4667"/>
        <item x="2868"/>
        <item x="3701"/>
        <item x="1841"/>
        <item x="613"/>
        <item x="3305"/>
        <item x="3641"/>
        <item x="4416"/>
        <item x="4186"/>
        <item x="4392"/>
        <item x="2304"/>
        <item x="2164"/>
        <item x="2479"/>
        <item x="1485"/>
        <item x="1311"/>
        <item x="4237"/>
        <item x="1229"/>
        <item x="375"/>
        <item x="2923"/>
        <item x="1358"/>
        <item x="4932"/>
        <item x="1886"/>
        <item x="2391"/>
        <item x="3587"/>
        <item x="3512"/>
        <item x="4425"/>
        <item x="4648"/>
        <item x="2846"/>
        <item x="4048"/>
        <item x="3210"/>
        <item x="4789"/>
        <item x="4505"/>
        <item x="2630"/>
        <item x="2191"/>
        <item x="1346"/>
        <item x="241"/>
        <item x="1826"/>
        <item x="7"/>
        <item x="31"/>
        <item x="4682"/>
        <item x="2406"/>
        <item x="1383"/>
        <item x="2392"/>
        <item x="1875"/>
        <item x="2572"/>
        <item x="3561"/>
        <item x="1467"/>
        <item x="511"/>
        <item x="1590"/>
        <item x="1142"/>
        <item x="4621"/>
        <item x="2876"/>
        <item x="4242"/>
        <item x="23"/>
        <item x="3462"/>
        <item x="4344"/>
        <item x="3472"/>
        <item x="4306"/>
        <item x="1901"/>
        <item x="1211"/>
        <item x="321"/>
        <item x="940"/>
        <item x="4254"/>
        <item x="4989"/>
        <item x="139"/>
        <item x="701"/>
        <item x="4492"/>
        <item x="228"/>
        <item x="262"/>
        <item x="3192"/>
        <item x="3576"/>
        <item x="1406"/>
        <item x="3337"/>
        <item x="4377"/>
        <item x="3691"/>
        <item x="2031"/>
        <item x="24"/>
        <item x="3598"/>
        <item x="4649"/>
        <item x="3363"/>
        <item x="1257"/>
        <item x="1834"/>
        <item x="645"/>
        <item x="70"/>
        <item x="3671"/>
        <item x="2887"/>
        <item x="3652"/>
        <item x="117"/>
        <item x="255"/>
        <item x="1403"/>
        <item x="3009"/>
        <item x="2490"/>
        <item x="2968"/>
        <item x="2455"/>
        <item x="3348"/>
        <item x="333"/>
        <item x="4592"/>
        <item x="3025"/>
        <item x="805"/>
        <item x="2631"/>
        <item x="4187"/>
        <item x="2688"/>
        <item x="2393"/>
        <item x="3546"/>
        <item x="2491"/>
        <item x="3880"/>
        <item x="4825"/>
        <item x="1162"/>
        <item x="4582"/>
        <item x="3634"/>
        <item x="4775"/>
        <item x="289"/>
        <item x="37"/>
        <item x="2022"/>
        <item x="2911"/>
        <item x="4643"/>
        <item x="2105"/>
        <item x="3635"/>
        <item x="1340"/>
        <item x="3172"/>
        <item x="4449"/>
        <item x="710"/>
        <item x="4289"/>
        <item x="4466"/>
        <item x="4102"/>
        <item x="2895"/>
        <item x="490"/>
        <item x="1817"/>
        <item x="2506"/>
        <item x="4630"/>
        <item x="981"/>
        <item x="2919"/>
        <item x="4731"/>
        <item x="4070"/>
        <item x="3848"/>
        <item x="666"/>
        <item x="4476"/>
        <item x="229"/>
        <item x="1258"/>
        <item x="913"/>
        <item x="4499"/>
        <item x="4530"/>
        <item x="1131"/>
        <item x="2711"/>
        <item x="4368"/>
        <item x="4694"/>
        <item x="481"/>
        <item x="2664"/>
        <item x="3496"/>
        <item x="63"/>
        <item x="2514"/>
        <item x="3606"/>
        <item x="2452"/>
        <item x="2266"/>
        <item x="2853"/>
        <item x="4407"/>
        <item x="3662"/>
        <item x="4549"/>
        <item x="2366"/>
        <item x="303"/>
        <item x="3085"/>
        <item x="1068"/>
        <item x="990"/>
        <item x="834"/>
        <item x="785"/>
        <item x="3999"/>
        <item x="2160"/>
        <item x="4408"/>
        <item x="134"/>
        <item x="2557"/>
        <item x="1802"/>
        <item x="3784"/>
        <item x="1259"/>
        <item x="2423"/>
        <item x="4103"/>
        <item x="46"/>
        <item x="4034"/>
        <item x="4811"/>
        <item x="4945"/>
        <item x="172"/>
        <item x="3723"/>
        <item x="2173"/>
        <item x="1097"/>
        <item x="185"/>
        <item x="4898"/>
        <item x="934"/>
        <item x="3134"/>
        <item x="3345"/>
        <item x="1474"/>
        <item x="657"/>
        <item x="2138"/>
        <item x="140"/>
        <item x="4218"/>
        <item x="3142"/>
        <item x="2902"/>
        <item x="2023"/>
        <item x="4104"/>
        <item x="3702"/>
        <item x="1363"/>
        <item x="4677"/>
        <item x="4351"/>
        <item x="3780"/>
        <item x="3135"/>
        <item x="4736"/>
        <item x="4567"/>
        <item x="1849"/>
        <item x="4319"/>
        <item x="1113"/>
        <item x="2129"/>
        <item x="3816"/>
        <item x="482"/>
        <item x="1189"/>
        <item x="245"/>
        <item x="4345"/>
        <item x="568"/>
        <item x="2712"/>
        <item x="4369"/>
        <item x="3228"/>
        <item x="2315"/>
        <item x="1650"/>
        <item x="2327"/>
        <item x="4500"/>
        <item x="4570"/>
        <item x="2713"/>
        <item x="186"/>
        <item x="3452"/>
        <item x="4450"/>
        <item x="4650"/>
        <item x="2192"/>
        <item x="4346"/>
        <item x="2253"/>
        <item x="4668"/>
        <item x="2912"/>
        <item x="3718"/>
        <item x="3881"/>
        <item x="3484"/>
        <item x="970"/>
        <item x="4826"/>
        <item x="2257"/>
        <item x="947"/>
        <item x="215"/>
        <item x="2958"/>
        <item x="2606"/>
        <item x="4669"/>
        <item x="2830"/>
        <item x="3607"/>
        <item x="887"/>
        <item x="2877"/>
        <item x="4655"/>
        <item x="4862"/>
        <item x="1171"/>
        <item x="3121"/>
        <item x="2771"/>
        <item x="3838"/>
        <item x="3764"/>
        <item x="416"/>
        <item x="888"/>
        <item x="2726"/>
        <item x="4493"/>
        <item x="907"/>
        <item x="1928"/>
        <item x="2224"/>
        <item x="3436"/>
        <item x="1218"/>
        <item x="247"/>
        <item x="3577"/>
        <item x="2743"/>
        <item x="4243"/>
        <item x="3627"/>
        <item x="4114"/>
        <item x="3785"/>
        <item x="395"/>
        <item x="3692"/>
        <item x="3016"/>
        <item x="1595"/>
        <item x="352"/>
        <item x="2656"/>
        <item x="4744"/>
        <item x="128"/>
        <item x="1278"/>
        <item x="1794"/>
        <item x="3628"/>
        <item x="4098"/>
        <item x="4644"/>
        <item x="4593"/>
        <item x="3613"/>
        <item x="1190"/>
        <item x="316"/>
        <item x="2233"/>
        <item x="4156"/>
        <item x="2535"/>
        <item x="4757"/>
        <item x="3453"/>
        <item x="1686"/>
        <item x="868"/>
        <item x="4063"/>
        <item x="2598"/>
        <item x="66"/>
        <item x="584"/>
        <item x="4085"/>
        <item x="3578"/>
        <item x="676"/>
        <item x="1679"/>
        <item x="3235"/>
        <item x="4454"/>
        <item x="4695"/>
        <item x="1959"/>
        <item x="2139"/>
        <item x="1633"/>
        <item x="1291"/>
        <item x="3517"/>
        <item x="4352"/>
        <item x="4990"/>
        <item x="1695"/>
        <item x="2083"/>
        <item x="4670"/>
        <item x="603"/>
        <item x="4370"/>
        <item x="3839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ID" fld="1" subtotal="count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0AC951-A114-46AB-95D8-A6054FA629AF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octor">
  <location ref="K1:L8" firstHeaderRow="1" firstDataRow="1" firstDataCol="1"/>
  <pivotFields count="14">
    <pivotField numFmtId="14" showAll="0"/>
    <pivotField showAll="0"/>
    <pivotField showAll="0"/>
    <pivotField showAll="0"/>
    <pivotField showAll="0"/>
    <pivotField showAll="0"/>
    <pivotField axis="axisRow" showAll="0" defaultSubtotal="0">
      <items count="6">
        <item x="0"/>
        <item x="2"/>
        <item x="1"/>
        <item x="4"/>
        <item x="3"/>
        <item x="5"/>
      </items>
    </pivotField>
    <pivotField dataField="1" showAll="0"/>
    <pivotField showAll="0"/>
    <pivotField numFmtId="2"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st" fld="7" baseField="0" baseItem="0" numFmtId="44"/>
  </dataFields>
  <formats count="2">
    <format dxfId="19">
      <pivotArea outline="0" collapsedLevelsAreSubtotals="1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7256-ADEF-4671-B125-F41C097FF25C}">
  <dimension ref="A1:N5001"/>
  <sheetViews>
    <sheetView topLeftCell="E1" workbookViewId="0">
      <pane ySplit="1" topLeftCell="A4982" activePane="bottomLeft" state="frozen"/>
      <selection pane="bottomLeft" activeCell="I4983" sqref="I4983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4.42578125" bestFit="1" customWidth="1"/>
    <col min="4" max="4" width="7.7109375" bestFit="1" customWidth="1"/>
    <col min="5" max="5" width="14.5703125" bestFit="1" customWidth="1"/>
    <col min="6" max="6" width="11.85546875" bestFit="1" customWidth="1"/>
    <col min="7" max="7" width="11.140625" bestFit="1" customWidth="1"/>
    <col min="8" max="8" width="8" bestFit="1" customWidth="1"/>
    <col min="9" max="9" width="30.140625" bestFit="1" customWidth="1"/>
    <col min="10" max="10" width="13.28515625" bestFit="1" customWidth="1"/>
    <col min="11" max="11" width="25.85546875" bestFit="1" customWidth="1"/>
    <col min="12" max="12" width="29.7109375" bestFit="1" customWidth="1"/>
    <col min="13" max="13" width="20.5703125" bestFit="1" customWidth="1"/>
    <col min="14" max="14" width="16.85546875" style="5" bestFit="1" customWidth="1"/>
  </cols>
  <sheetData>
    <row r="1" spans="1:14" s="2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5034</v>
      </c>
      <c r="J1" s="2" t="s">
        <v>5039</v>
      </c>
      <c r="K1" s="2" t="s">
        <v>5040</v>
      </c>
      <c r="L1" s="2" t="s">
        <v>5041</v>
      </c>
      <c r="M1" s="2" t="s">
        <v>5042</v>
      </c>
      <c r="N1" s="9" t="s">
        <v>5043</v>
      </c>
    </row>
    <row r="2" spans="1:14" x14ac:dyDescent="0.25">
      <c r="A2" s="1">
        <v>44562</v>
      </c>
      <c r="B2" t="s">
        <v>699</v>
      </c>
      <c r="C2">
        <v>75</v>
      </c>
      <c r="D2" t="s">
        <v>9</v>
      </c>
      <c r="E2" t="s">
        <v>34</v>
      </c>
      <c r="F2" t="s">
        <v>11</v>
      </c>
      <c r="G2" t="s">
        <v>27</v>
      </c>
      <c r="H2">
        <v>2609.73</v>
      </c>
      <c r="I2" s="8" t="str" cm="1">
        <f t="array" ref="I2">_xlfn.IFS(C2&lt;=15,"Children and Young Adolescents", C2&gt;64, "Seniors", TRUE, "Working Age")</f>
        <v>Seniors</v>
      </c>
      <c r="J2" s="6">
        <f>VLOOKUP(F2,Analysis!F1:G5,2,FALSE)</f>
        <v>2503.6022787783854</v>
      </c>
      <c r="K2">
        <f>ROUNDDOWN(H2*1.1,2)</f>
        <v>2870.7</v>
      </c>
      <c r="L2">
        <f>ROUNDUP(H2*1.1,2)</f>
        <v>2870.71</v>
      </c>
      <c r="M2">
        <f>ROUND(H2*1.1,2)</f>
        <v>2870.7</v>
      </c>
      <c r="N2" s="5" t="str">
        <f>TEXT(A2,"mmmm yyyy")</f>
        <v>January 2022</v>
      </c>
    </row>
    <row r="3" spans="1:14" x14ac:dyDescent="0.25">
      <c r="A3" s="1">
        <v>44562</v>
      </c>
      <c r="B3" t="s">
        <v>4119</v>
      </c>
      <c r="C3">
        <v>43</v>
      </c>
      <c r="D3" t="s">
        <v>14</v>
      </c>
      <c r="E3" t="s">
        <v>10</v>
      </c>
      <c r="F3" t="s">
        <v>11</v>
      </c>
      <c r="G3" t="s">
        <v>27</v>
      </c>
      <c r="H3">
        <v>4137.97</v>
      </c>
      <c r="I3" s="8" t="str" cm="1">
        <f t="array" ref="I3">_xlfn.IFS(C3&lt;=15,"Children and Young Adolescents", C3&gt;64, "Seniors", TRUE, "Working Age")</f>
        <v>Working Age</v>
      </c>
      <c r="J3" s="6">
        <f>VLOOKUP(F3,Analysis!F2:G6,2,FALSE)</f>
        <v>2503.6022787783854</v>
      </c>
      <c r="K3">
        <f t="shared" ref="K3:K66" si="0">ROUNDDOWN(H3*1.1,2)</f>
        <v>4551.76</v>
      </c>
      <c r="L3">
        <f t="shared" ref="L3:L66" si="1">ROUNDUP(H3*1.1,2)</f>
        <v>4551.7700000000004</v>
      </c>
      <c r="M3">
        <f t="shared" ref="M3:M66" si="2">ROUND(H3*1.1,2)</f>
        <v>4551.7700000000004</v>
      </c>
      <c r="N3" s="5" t="str">
        <f t="shared" ref="N3:N66" si="3">TEXT(A3,"mmmm yyyy")</f>
        <v>January 2022</v>
      </c>
    </row>
    <row r="4" spans="1:14" x14ac:dyDescent="0.25">
      <c r="A4" s="1">
        <v>44562</v>
      </c>
      <c r="B4" t="s">
        <v>2960</v>
      </c>
      <c r="C4">
        <v>78</v>
      </c>
      <c r="D4" t="s">
        <v>14</v>
      </c>
      <c r="E4" t="s">
        <v>15</v>
      </c>
      <c r="F4" t="s">
        <v>16</v>
      </c>
      <c r="G4" t="s">
        <v>17</v>
      </c>
      <c r="H4">
        <v>3482.19</v>
      </c>
      <c r="I4" s="8" t="str" cm="1">
        <f t="array" ref="I4">_xlfn.IFS(C4&lt;=15,"Children and Young Adolescents", C4&gt;64, "Seniors", TRUE, "Working Age")</f>
        <v>Seniors</v>
      </c>
      <c r="J4" s="6">
        <f>VLOOKUP(F4,Analysis!F3:G7,2,FALSE)</f>
        <v>2509.1716796874912</v>
      </c>
      <c r="K4">
        <f t="shared" si="0"/>
        <v>3830.4</v>
      </c>
      <c r="L4">
        <f t="shared" si="1"/>
        <v>3830.4100000000003</v>
      </c>
      <c r="M4">
        <f t="shared" si="2"/>
        <v>3830.41</v>
      </c>
      <c r="N4" s="5" t="str">
        <f t="shared" si="3"/>
        <v>January 2022</v>
      </c>
    </row>
    <row r="5" spans="1:14" x14ac:dyDescent="0.25">
      <c r="A5" s="1">
        <v>44562</v>
      </c>
      <c r="B5" t="s">
        <v>2449</v>
      </c>
      <c r="C5">
        <v>1</v>
      </c>
      <c r="D5" t="s">
        <v>14</v>
      </c>
      <c r="E5" t="s">
        <v>34</v>
      </c>
      <c r="F5" t="s">
        <v>16</v>
      </c>
      <c r="G5" t="s">
        <v>12</v>
      </c>
      <c r="H5">
        <v>1114.1400000000001</v>
      </c>
      <c r="I5" s="8" t="str" cm="1">
        <f t="array" ref="I5">_xlfn.IFS(C5&lt;=15,"Children and Young Adolescents", C5&gt;64, "Seniors", TRUE, "Working Age")</f>
        <v>Children and Young Adolescents</v>
      </c>
      <c r="J5" s="6">
        <f>VLOOKUP(F5,Analysis!$F$1:$G$5,2,FALSE)</f>
        <v>2509.1716796874912</v>
      </c>
      <c r="K5">
        <f t="shared" si="0"/>
        <v>1225.55</v>
      </c>
      <c r="L5">
        <f t="shared" si="1"/>
        <v>1225.56</v>
      </c>
      <c r="M5">
        <f t="shared" si="2"/>
        <v>1225.55</v>
      </c>
      <c r="N5" s="5" t="str">
        <f t="shared" si="3"/>
        <v>January 2022</v>
      </c>
    </row>
    <row r="6" spans="1:14" x14ac:dyDescent="0.25">
      <c r="A6" s="1">
        <v>44562</v>
      </c>
      <c r="B6" t="s">
        <v>4957</v>
      </c>
      <c r="C6">
        <v>64</v>
      </c>
      <c r="D6" t="s">
        <v>14</v>
      </c>
      <c r="E6" t="s">
        <v>15</v>
      </c>
      <c r="F6" t="s">
        <v>23</v>
      </c>
      <c r="G6" t="s">
        <v>39</v>
      </c>
      <c r="H6">
        <v>3587.99</v>
      </c>
      <c r="I6" s="8" t="str" cm="1">
        <f t="array" ref="I6">_xlfn.IFS(C6&lt;=15,"Children and Young Adolescents", C6&gt;64, "Seniors", TRUE, "Working Age")</f>
        <v>Working Age</v>
      </c>
      <c r="J6" s="6">
        <f>VLOOKUP(F6,Analysis!$F$1:$G$5,2,FALSE)</f>
        <v>2440.2966694490838</v>
      </c>
      <c r="K6">
        <f t="shared" si="0"/>
        <v>3946.78</v>
      </c>
      <c r="L6">
        <f t="shared" si="1"/>
        <v>3946.7900000000004</v>
      </c>
      <c r="M6">
        <f t="shared" si="2"/>
        <v>3946.79</v>
      </c>
      <c r="N6" s="5" t="str">
        <f t="shared" si="3"/>
        <v>January 2022</v>
      </c>
    </row>
    <row r="7" spans="1:14" x14ac:dyDescent="0.25">
      <c r="A7" s="1">
        <v>44562</v>
      </c>
      <c r="B7" t="s">
        <v>2991</v>
      </c>
      <c r="C7">
        <v>65</v>
      </c>
      <c r="D7" t="s">
        <v>14</v>
      </c>
      <c r="E7" t="s">
        <v>10</v>
      </c>
      <c r="F7" t="s">
        <v>16</v>
      </c>
      <c r="G7" t="s">
        <v>36</v>
      </c>
      <c r="H7">
        <v>4361.6099999999997</v>
      </c>
      <c r="I7" s="8" t="str" cm="1">
        <f t="array" ref="I7">_xlfn.IFS(C7&lt;=15,"Children and Young Adolescents", C7&gt;64, "Seniors", TRUE, "Working Age")</f>
        <v>Seniors</v>
      </c>
      <c r="J7" s="6">
        <f>VLOOKUP(F7,Analysis!$F$1:$G$5,2,FALSE)</f>
        <v>2509.1716796874912</v>
      </c>
      <c r="K7">
        <f t="shared" si="0"/>
        <v>4797.7700000000004</v>
      </c>
      <c r="L7">
        <f t="shared" si="1"/>
        <v>4797.7800000000007</v>
      </c>
      <c r="M7">
        <f t="shared" si="2"/>
        <v>4797.7700000000004</v>
      </c>
      <c r="N7" s="5" t="str">
        <f t="shared" si="3"/>
        <v>January 2022</v>
      </c>
    </row>
    <row r="8" spans="1:14" x14ac:dyDescent="0.25">
      <c r="A8" s="1">
        <v>44562</v>
      </c>
      <c r="B8" t="s">
        <v>4058</v>
      </c>
      <c r="C8">
        <v>74</v>
      </c>
      <c r="D8" t="s">
        <v>14</v>
      </c>
      <c r="E8" t="s">
        <v>15</v>
      </c>
      <c r="F8" t="s">
        <v>23</v>
      </c>
      <c r="G8" t="s">
        <v>36</v>
      </c>
      <c r="H8">
        <v>283.95</v>
      </c>
      <c r="I8" s="8" t="str" cm="1">
        <f t="array" ref="I8">_xlfn.IFS(C8&lt;=15,"Children and Young Adolescents", C8&gt;64, "Seniors", TRUE, "Working Age")</f>
        <v>Seniors</v>
      </c>
      <c r="J8" s="6">
        <f>VLOOKUP(F8,Analysis!$F$1:$G$5,2,FALSE)</f>
        <v>2440.2966694490838</v>
      </c>
      <c r="K8">
        <f t="shared" si="0"/>
        <v>312.33999999999997</v>
      </c>
      <c r="L8">
        <f t="shared" si="1"/>
        <v>312.34999999999997</v>
      </c>
      <c r="M8">
        <f t="shared" si="2"/>
        <v>312.35000000000002</v>
      </c>
      <c r="N8" s="5" t="str">
        <f t="shared" si="3"/>
        <v>January 2022</v>
      </c>
    </row>
    <row r="9" spans="1:14" x14ac:dyDescent="0.25">
      <c r="A9" s="1">
        <v>44562</v>
      </c>
      <c r="B9" t="s">
        <v>77</v>
      </c>
      <c r="C9">
        <v>64</v>
      </c>
      <c r="D9" t="s">
        <v>21</v>
      </c>
      <c r="E9" t="s">
        <v>22</v>
      </c>
      <c r="F9" t="s">
        <v>11</v>
      </c>
      <c r="G9" t="s">
        <v>39</v>
      </c>
      <c r="H9">
        <v>3456.39</v>
      </c>
      <c r="I9" s="8" t="str" cm="1">
        <f t="array" ref="I9">_xlfn.IFS(C9&lt;=15,"Children and Young Adolescents", C9&gt;64, "Seniors", TRUE, "Working Age")</f>
        <v>Working Age</v>
      </c>
      <c r="J9" s="6">
        <f>VLOOKUP(F9,Analysis!$F$1:$G$5,2,FALSE)</f>
        <v>2503.6022787783854</v>
      </c>
      <c r="K9">
        <f t="shared" si="0"/>
        <v>3802.02</v>
      </c>
      <c r="L9">
        <f t="shared" si="1"/>
        <v>3802.03</v>
      </c>
      <c r="M9">
        <f t="shared" si="2"/>
        <v>3802.03</v>
      </c>
      <c r="N9" s="5" t="str">
        <f t="shared" si="3"/>
        <v>January 2022</v>
      </c>
    </row>
    <row r="10" spans="1:14" x14ac:dyDescent="0.25">
      <c r="A10" s="1">
        <v>44563</v>
      </c>
      <c r="B10" t="s">
        <v>1253</v>
      </c>
      <c r="C10">
        <v>59</v>
      </c>
      <c r="D10" t="s">
        <v>21</v>
      </c>
      <c r="E10" t="s">
        <v>10</v>
      </c>
      <c r="F10" t="s">
        <v>23</v>
      </c>
      <c r="G10" t="s">
        <v>27</v>
      </c>
      <c r="H10">
        <v>835.71</v>
      </c>
      <c r="I10" s="8" t="str" cm="1">
        <f t="array" ref="I10">_xlfn.IFS(C10&lt;=15,"Children and Young Adolescents", C10&gt;64, "Seniors", TRUE, "Working Age")</f>
        <v>Working Age</v>
      </c>
      <c r="J10" s="6">
        <f>VLOOKUP(F10,Analysis!$F$1:$G$5,2,FALSE)</f>
        <v>2440.2966694490838</v>
      </c>
      <c r="K10">
        <f t="shared" si="0"/>
        <v>919.28</v>
      </c>
      <c r="L10">
        <f t="shared" si="1"/>
        <v>919.29</v>
      </c>
      <c r="M10">
        <f t="shared" si="2"/>
        <v>919.28</v>
      </c>
      <c r="N10" s="5" t="str">
        <f t="shared" si="3"/>
        <v>January 2022</v>
      </c>
    </row>
    <row r="11" spans="1:14" x14ac:dyDescent="0.25">
      <c r="A11" s="1">
        <v>44563</v>
      </c>
      <c r="B11" t="s">
        <v>1887</v>
      </c>
      <c r="C11">
        <v>93</v>
      </c>
      <c r="D11" t="s">
        <v>14</v>
      </c>
      <c r="E11" t="s">
        <v>15</v>
      </c>
      <c r="F11" t="s">
        <v>11</v>
      </c>
      <c r="G11" t="s">
        <v>17</v>
      </c>
      <c r="H11">
        <v>4799.51</v>
      </c>
      <c r="I11" s="8" t="str" cm="1">
        <f t="array" ref="I11">_xlfn.IFS(C11&lt;=15,"Children and Young Adolescents", C11&gt;64, "Seniors", TRUE, "Working Age")</f>
        <v>Seniors</v>
      </c>
      <c r="J11" s="6">
        <f>VLOOKUP(F11,Analysis!$F$1:$G$5,2,FALSE)</f>
        <v>2503.6022787783854</v>
      </c>
      <c r="K11">
        <f t="shared" si="0"/>
        <v>5279.46</v>
      </c>
      <c r="L11">
        <f t="shared" si="1"/>
        <v>5279.47</v>
      </c>
      <c r="M11">
        <f t="shared" si="2"/>
        <v>5279.46</v>
      </c>
      <c r="N11" s="5" t="str">
        <f t="shared" si="3"/>
        <v>January 2022</v>
      </c>
    </row>
    <row r="12" spans="1:14" x14ac:dyDescent="0.25">
      <c r="A12" s="1">
        <v>44563</v>
      </c>
      <c r="B12" t="s">
        <v>833</v>
      </c>
      <c r="C12">
        <v>65</v>
      </c>
      <c r="D12" t="s">
        <v>9</v>
      </c>
      <c r="E12" t="s">
        <v>25</v>
      </c>
      <c r="F12" t="s">
        <v>29</v>
      </c>
      <c r="G12" t="s">
        <v>27</v>
      </c>
      <c r="H12">
        <v>4769.88</v>
      </c>
      <c r="I12" s="8" t="str" cm="1">
        <f t="array" ref="I12">_xlfn.IFS(C12&lt;=15,"Children and Young Adolescents", C12&gt;64, "Seniors", TRUE, "Working Age")</f>
        <v>Seniors</v>
      </c>
      <c r="J12" s="6">
        <f>VLOOKUP(F12,Analysis!$F$1:$G$5,2,FALSE)</f>
        <v>2496.7676064256989</v>
      </c>
      <c r="K12">
        <f t="shared" si="0"/>
        <v>5246.86</v>
      </c>
      <c r="L12">
        <f t="shared" si="1"/>
        <v>5246.87</v>
      </c>
      <c r="M12">
        <f t="shared" si="2"/>
        <v>5246.87</v>
      </c>
      <c r="N12" s="5" t="str">
        <f t="shared" si="3"/>
        <v>January 2022</v>
      </c>
    </row>
    <row r="13" spans="1:14" x14ac:dyDescent="0.25">
      <c r="A13" s="1">
        <v>44563</v>
      </c>
      <c r="B13" t="s">
        <v>2728</v>
      </c>
      <c r="C13">
        <v>40</v>
      </c>
      <c r="D13" t="s">
        <v>9</v>
      </c>
      <c r="E13" t="s">
        <v>10</v>
      </c>
      <c r="F13" t="s">
        <v>29</v>
      </c>
      <c r="G13" t="s">
        <v>27</v>
      </c>
      <c r="H13">
        <v>1137.72</v>
      </c>
      <c r="I13" s="8" t="str" cm="1">
        <f t="array" ref="I13">_xlfn.IFS(C13&lt;=15,"Children and Young Adolescents", C13&gt;64, "Seniors", TRUE, "Working Age")</f>
        <v>Working Age</v>
      </c>
      <c r="J13" s="6">
        <f>VLOOKUP(F13,Analysis!$F$1:$G$5,2,FALSE)</f>
        <v>2496.7676064256989</v>
      </c>
      <c r="K13">
        <f t="shared" si="0"/>
        <v>1251.49</v>
      </c>
      <c r="L13">
        <f t="shared" si="1"/>
        <v>1251.5</v>
      </c>
      <c r="M13">
        <f t="shared" si="2"/>
        <v>1251.49</v>
      </c>
      <c r="N13" s="5" t="str">
        <f t="shared" si="3"/>
        <v>January 2022</v>
      </c>
    </row>
    <row r="14" spans="1:14" x14ac:dyDescent="0.25">
      <c r="A14" s="1">
        <v>44563</v>
      </c>
      <c r="B14" t="s">
        <v>599</v>
      </c>
      <c r="C14">
        <v>91</v>
      </c>
      <c r="D14" t="s">
        <v>14</v>
      </c>
      <c r="E14" t="s">
        <v>32</v>
      </c>
      <c r="F14" t="s">
        <v>16</v>
      </c>
      <c r="G14" t="s">
        <v>12</v>
      </c>
      <c r="H14">
        <v>1579.82</v>
      </c>
      <c r="I14" s="8" t="str" cm="1">
        <f t="array" ref="I14">_xlfn.IFS(C14&lt;=15,"Children and Young Adolescents", C14&gt;64, "Seniors", TRUE, "Working Age")</f>
        <v>Seniors</v>
      </c>
      <c r="J14" s="6">
        <f>VLOOKUP(F14,Analysis!$F$1:$G$5,2,FALSE)</f>
        <v>2509.1716796874912</v>
      </c>
      <c r="K14">
        <f t="shared" si="0"/>
        <v>1737.8</v>
      </c>
      <c r="L14">
        <f t="shared" si="1"/>
        <v>1737.81</v>
      </c>
      <c r="M14">
        <f t="shared" si="2"/>
        <v>1737.8</v>
      </c>
      <c r="N14" s="5" t="str">
        <f t="shared" si="3"/>
        <v>January 2022</v>
      </c>
    </row>
    <row r="15" spans="1:14" x14ac:dyDescent="0.25">
      <c r="A15" s="1">
        <v>44564</v>
      </c>
      <c r="B15" t="s">
        <v>1794</v>
      </c>
      <c r="C15">
        <v>73</v>
      </c>
      <c r="D15" t="s">
        <v>21</v>
      </c>
      <c r="E15" t="s">
        <v>5032</v>
      </c>
      <c r="F15" t="s">
        <v>16</v>
      </c>
      <c r="G15" t="s">
        <v>17</v>
      </c>
      <c r="H15">
        <v>3108.83</v>
      </c>
      <c r="I15" s="8" t="str" cm="1">
        <f t="array" ref="I15">_xlfn.IFS(C15&lt;=15,"Children and Young Adolescents", C15&gt;64, "Seniors", TRUE, "Working Age")</f>
        <v>Seniors</v>
      </c>
      <c r="J15" s="6">
        <f>VLOOKUP(F15,Analysis!$F$1:$G$5,2,FALSE)</f>
        <v>2509.1716796874912</v>
      </c>
      <c r="K15">
        <f t="shared" si="0"/>
        <v>3419.71</v>
      </c>
      <c r="L15">
        <f t="shared" si="1"/>
        <v>3419.7200000000003</v>
      </c>
      <c r="M15">
        <f t="shared" si="2"/>
        <v>3419.71</v>
      </c>
      <c r="N15" s="5" t="str">
        <f t="shared" si="3"/>
        <v>January 2022</v>
      </c>
    </row>
    <row r="16" spans="1:14" x14ac:dyDescent="0.25">
      <c r="A16" s="1">
        <v>44564</v>
      </c>
      <c r="B16" t="s">
        <v>1695</v>
      </c>
      <c r="C16">
        <v>77</v>
      </c>
      <c r="D16" t="s">
        <v>21</v>
      </c>
      <c r="E16" t="s">
        <v>19</v>
      </c>
      <c r="F16" t="s">
        <v>29</v>
      </c>
      <c r="G16" t="s">
        <v>27</v>
      </c>
      <c r="H16">
        <v>470.52</v>
      </c>
      <c r="I16" s="8" t="str" cm="1">
        <f t="array" ref="I16">_xlfn.IFS(C16&lt;=15,"Children and Young Adolescents", C16&gt;64, "Seniors", TRUE, "Working Age")</f>
        <v>Seniors</v>
      </c>
      <c r="J16" s="6">
        <f>VLOOKUP(F16,Analysis!$F$1:$G$5,2,FALSE)</f>
        <v>2496.7676064256989</v>
      </c>
      <c r="K16">
        <f t="shared" si="0"/>
        <v>517.57000000000005</v>
      </c>
      <c r="L16">
        <f t="shared" si="1"/>
        <v>517.58000000000004</v>
      </c>
      <c r="M16">
        <f t="shared" si="2"/>
        <v>517.57000000000005</v>
      </c>
      <c r="N16" s="5" t="str">
        <f t="shared" si="3"/>
        <v>January 2022</v>
      </c>
    </row>
    <row r="17" spans="1:14" x14ac:dyDescent="0.25">
      <c r="A17" s="1">
        <v>44564</v>
      </c>
      <c r="B17" t="s">
        <v>4602</v>
      </c>
      <c r="C17">
        <v>56</v>
      </c>
      <c r="D17" t="s">
        <v>14</v>
      </c>
      <c r="E17" t="s">
        <v>25</v>
      </c>
      <c r="F17" t="s">
        <v>29</v>
      </c>
      <c r="G17" t="s">
        <v>12</v>
      </c>
      <c r="H17">
        <v>2994.58</v>
      </c>
      <c r="I17" s="8" t="str" cm="1">
        <f t="array" ref="I17">_xlfn.IFS(C17&lt;=15,"Children and Young Adolescents", C17&gt;64, "Seniors", TRUE, "Working Age")</f>
        <v>Working Age</v>
      </c>
      <c r="J17" s="6">
        <f>VLOOKUP(F17,Analysis!$F$1:$G$5,2,FALSE)</f>
        <v>2496.7676064256989</v>
      </c>
      <c r="K17">
        <f t="shared" si="0"/>
        <v>3294.03</v>
      </c>
      <c r="L17">
        <f t="shared" si="1"/>
        <v>3294.0400000000004</v>
      </c>
      <c r="M17">
        <f t="shared" si="2"/>
        <v>3294.04</v>
      </c>
      <c r="N17" s="5" t="str">
        <f t="shared" si="3"/>
        <v>January 2022</v>
      </c>
    </row>
    <row r="18" spans="1:14" x14ac:dyDescent="0.25">
      <c r="A18" s="1">
        <v>44564</v>
      </c>
      <c r="B18" t="s">
        <v>714</v>
      </c>
      <c r="C18">
        <v>21</v>
      </c>
      <c r="D18" t="s">
        <v>9</v>
      </c>
      <c r="E18" t="s">
        <v>34</v>
      </c>
      <c r="F18" t="s">
        <v>16</v>
      </c>
      <c r="G18" t="s">
        <v>36</v>
      </c>
      <c r="H18">
        <v>2689.37</v>
      </c>
      <c r="I18" s="8" t="str" cm="1">
        <f t="array" ref="I18">_xlfn.IFS(C18&lt;=15,"Children and Young Adolescents", C18&gt;64, "Seniors", TRUE, "Working Age")</f>
        <v>Working Age</v>
      </c>
      <c r="J18" s="6">
        <f>VLOOKUP(F18,Analysis!$F$1:$G$5,2,FALSE)</f>
        <v>2509.1716796874912</v>
      </c>
      <c r="K18">
        <f t="shared" si="0"/>
        <v>2958.3</v>
      </c>
      <c r="L18">
        <f t="shared" si="1"/>
        <v>2958.3100000000004</v>
      </c>
      <c r="M18">
        <f t="shared" si="2"/>
        <v>2958.31</v>
      </c>
      <c r="N18" s="5" t="str">
        <f t="shared" si="3"/>
        <v>January 2022</v>
      </c>
    </row>
    <row r="19" spans="1:14" x14ac:dyDescent="0.25">
      <c r="A19" s="1">
        <v>44565</v>
      </c>
      <c r="B19" t="s">
        <v>1550</v>
      </c>
      <c r="C19">
        <v>14</v>
      </c>
      <c r="D19" t="s">
        <v>14</v>
      </c>
      <c r="E19" t="s">
        <v>15</v>
      </c>
      <c r="F19" t="s">
        <v>29</v>
      </c>
      <c r="G19" t="s">
        <v>17</v>
      </c>
      <c r="H19">
        <v>565.03</v>
      </c>
      <c r="I19" s="8" t="str" cm="1">
        <f t="array" ref="I19">_xlfn.IFS(C19&lt;=15,"Children and Young Adolescents", C19&gt;64, "Seniors", TRUE, "Working Age")</f>
        <v>Children and Young Adolescents</v>
      </c>
      <c r="J19" s="6">
        <f>VLOOKUP(F19,Analysis!$F$1:$G$5,2,FALSE)</f>
        <v>2496.7676064256989</v>
      </c>
      <c r="K19">
        <f t="shared" si="0"/>
        <v>621.53</v>
      </c>
      <c r="L19">
        <f t="shared" si="1"/>
        <v>621.54</v>
      </c>
      <c r="M19">
        <f t="shared" si="2"/>
        <v>621.53</v>
      </c>
      <c r="N19" s="5" t="str">
        <f t="shared" si="3"/>
        <v>January 2022</v>
      </c>
    </row>
    <row r="20" spans="1:14" x14ac:dyDescent="0.25">
      <c r="A20" s="1">
        <v>44565</v>
      </c>
      <c r="B20" t="s">
        <v>1772</v>
      </c>
      <c r="C20">
        <v>91</v>
      </c>
      <c r="D20" t="s">
        <v>14</v>
      </c>
      <c r="E20" t="s">
        <v>5032</v>
      </c>
      <c r="F20" t="s">
        <v>29</v>
      </c>
      <c r="G20" t="s">
        <v>12</v>
      </c>
      <c r="H20">
        <v>2328.0700000000002</v>
      </c>
      <c r="I20" s="8" t="str" cm="1">
        <f t="array" ref="I20">_xlfn.IFS(C20&lt;=15,"Children and Young Adolescents", C20&gt;64, "Seniors", TRUE, "Working Age")</f>
        <v>Seniors</v>
      </c>
      <c r="J20" s="6">
        <f>VLOOKUP(F20,Analysis!$F$1:$G$5,2,FALSE)</f>
        <v>2496.7676064256989</v>
      </c>
      <c r="K20">
        <f t="shared" si="0"/>
        <v>2560.87</v>
      </c>
      <c r="L20">
        <f t="shared" si="1"/>
        <v>2560.88</v>
      </c>
      <c r="M20">
        <f t="shared" si="2"/>
        <v>2560.88</v>
      </c>
      <c r="N20" s="5" t="str">
        <f t="shared" si="3"/>
        <v>January 2022</v>
      </c>
    </row>
    <row r="21" spans="1:14" x14ac:dyDescent="0.25">
      <c r="A21" s="1">
        <v>44565</v>
      </c>
      <c r="B21" t="s">
        <v>4904</v>
      </c>
      <c r="C21">
        <v>18</v>
      </c>
      <c r="D21" t="s">
        <v>14</v>
      </c>
      <c r="E21" t="s">
        <v>15</v>
      </c>
      <c r="F21" t="s">
        <v>29</v>
      </c>
      <c r="G21" t="s">
        <v>17</v>
      </c>
      <c r="H21">
        <v>4885.3999999999996</v>
      </c>
      <c r="I21" s="8" t="str" cm="1">
        <f t="array" ref="I21">_xlfn.IFS(C21&lt;=15,"Children and Young Adolescents", C21&gt;64, "Seniors", TRUE, "Working Age")</f>
        <v>Working Age</v>
      </c>
      <c r="J21" s="6">
        <f>VLOOKUP(F21,Analysis!$F$1:$G$5,2,FALSE)</f>
        <v>2496.7676064256989</v>
      </c>
      <c r="K21">
        <f t="shared" si="0"/>
        <v>5373.94</v>
      </c>
      <c r="L21">
        <f t="shared" si="1"/>
        <v>5373.94</v>
      </c>
      <c r="M21">
        <f t="shared" si="2"/>
        <v>5373.94</v>
      </c>
      <c r="N21" s="5" t="str">
        <f t="shared" si="3"/>
        <v>January 2022</v>
      </c>
    </row>
    <row r="22" spans="1:14" x14ac:dyDescent="0.25">
      <c r="A22" s="1">
        <v>44565</v>
      </c>
      <c r="B22" t="s">
        <v>3476</v>
      </c>
      <c r="C22">
        <v>95</v>
      </c>
      <c r="D22" t="s">
        <v>14</v>
      </c>
      <c r="E22" t="s">
        <v>34</v>
      </c>
      <c r="F22" t="s">
        <v>29</v>
      </c>
      <c r="G22" t="s">
        <v>17</v>
      </c>
      <c r="H22">
        <v>3114.25</v>
      </c>
      <c r="I22" s="8" t="str" cm="1">
        <f t="array" ref="I22">_xlfn.IFS(C22&lt;=15,"Children and Young Adolescents", C22&gt;64, "Seniors", TRUE, "Working Age")</f>
        <v>Seniors</v>
      </c>
      <c r="J22" s="6">
        <f>VLOOKUP(F22,Analysis!$F$1:$G$5,2,FALSE)</f>
        <v>2496.7676064256989</v>
      </c>
      <c r="K22">
        <f t="shared" si="0"/>
        <v>3425.67</v>
      </c>
      <c r="L22">
        <f t="shared" si="1"/>
        <v>3425.6800000000003</v>
      </c>
      <c r="M22">
        <f t="shared" si="2"/>
        <v>3425.68</v>
      </c>
      <c r="N22" s="5" t="str">
        <f t="shared" si="3"/>
        <v>January 2022</v>
      </c>
    </row>
    <row r="23" spans="1:14" x14ac:dyDescent="0.25">
      <c r="A23" s="1">
        <v>44565</v>
      </c>
      <c r="B23" t="s">
        <v>3437</v>
      </c>
      <c r="C23">
        <v>95</v>
      </c>
      <c r="D23" t="s">
        <v>14</v>
      </c>
      <c r="E23" t="s">
        <v>10</v>
      </c>
      <c r="F23" t="s">
        <v>23</v>
      </c>
      <c r="G23" t="s">
        <v>27</v>
      </c>
      <c r="H23">
        <v>4320.29</v>
      </c>
      <c r="I23" s="8" t="str" cm="1">
        <f t="array" ref="I23">_xlfn.IFS(C23&lt;=15,"Children and Young Adolescents", C23&gt;64, "Seniors", TRUE, "Working Age")</f>
        <v>Seniors</v>
      </c>
      <c r="J23" s="6">
        <f>VLOOKUP(F23,Analysis!$F$1:$G$5,2,FALSE)</f>
        <v>2440.2966694490838</v>
      </c>
      <c r="K23">
        <f t="shared" si="0"/>
        <v>4752.3100000000004</v>
      </c>
      <c r="L23">
        <f t="shared" si="1"/>
        <v>4752.3200000000006</v>
      </c>
      <c r="M23">
        <f t="shared" si="2"/>
        <v>4752.32</v>
      </c>
      <c r="N23" s="5" t="str">
        <f t="shared" si="3"/>
        <v>January 2022</v>
      </c>
    </row>
    <row r="24" spans="1:14" x14ac:dyDescent="0.25">
      <c r="A24" s="1">
        <v>44565</v>
      </c>
      <c r="B24" t="s">
        <v>3935</v>
      </c>
      <c r="C24">
        <v>0</v>
      </c>
      <c r="D24" t="s">
        <v>14</v>
      </c>
      <c r="E24" t="s">
        <v>22</v>
      </c>
      <c r="F24" t="s">
        <v>29</v>
      </c>
      <c r="G24" t="s">
        <v>36</v>
      </c>
      <c r="H24">
        <v>715.2</v>
      </c>
      <c r="I24" s="8" t="str" cm="1">
        <f t="array" ref="I24">_xlfn.IFS(C24&lt;=15,"Children and Young Adolescents", C24&gt;64, "Seniors", TRUE, "Working Age")</f>
        <v>Children and Young Adolescents</v>
      </c>
      <c r="J24" s="6">
        <f>VLOOKUP(F24,Analysis!$F$1:$G$5,2,FALSE)</f>
        <v>2496.7676064256989</v>
      </c>
      <c r="K24">
        <f t="shared" si="0"/>
        <v>786.72</v>
      </c>
      <c r="L24">
        <f t="shared" si="1"/>
        <v>786.72</v>
      </c>
      <c r="M24">
        <f t="shared" si="2"/>
        <v>786.72</v>
      </c>
      <c r="N24" s="5" t="str">
        <f t="shared" si="3"/>
        <v>January 2022</v>
      </c>
    </row>
    <row r="25" spans="1:14" x14ac:dyDescent="0.25">
      <c r="A25" s="1">
        <v>44565</v>
      </c>
      <c r="B25" t="s">
        <v>496</v>
      </c>
      <c r="C25">
        <v>11</v>
      </c>
      <c r="D25" t="s">
        <v>9</v>
      </c>
      <c r="E25" t="s">
        <v>32</v>
      </c>
      <c r="F25" t="s">
        <v>23</v>
      </c>
      <c r="G25" t="s">
        <v>36</v>
      </c>
      <c r="H25">
        <v>3570.38</v>
      </c>
      <c r="I25" s="8" t="str" cm="1">
        <f t="array" ref="I25">_xlfn.IFS(C25&lt;=15,"Children and Young Adolescents", C25&gt;64, "Seniors", TRUE, "Working Age")</f>
        <v>Children and Young Adolescents</v>
      </c>
      <c r="J25" s="6">
        <f>VLOOKUP(F25,Analysis!$F$1:$G$5,2,FALSE)</f>
        <v>2440.2966694490838</v>
      </c>
      <c r="K25">
        <f t="shared" si="0"/>
        <v>3927.41</v>
      </c>
      <c r="L25">
        <f t="shared" si="1"/>
        <v>3927.42</v>
      </c>
      <c r="M25">
        <f t="shared" si="2"/>
        <v>3927.42</v>
      </c>
      <c r="N25" s="5" t="str">
        <f t="shared" si="3"/>
        <v>January 2022</v>
      </c>
    </row>
    <row r="26" spans="1:14" x14ac:dyDescent="0.25">
      <c r="A26" s="1">
        <v>44565</v>
      </c>
      <c r="B26" t="s">
        <v>3967</v>
      </c>
      <c r="C26">
        <v>12</v>
      </c>
      <c r="D26" t="s">
        <v>14</v>
      </c>
      <c r="E26" t="s">
        <v>22</v>
      </c>
      <c r="F26" t="s">
        <v>16</v>
      </c>
      <c r="G26" t="s">
        <v>27</v>
      </c>
      <c r="H26">
        <v>2482.91</v>
      </c>
      <c r="I26" s="8" t="str" cm="1">
        <f t="array" ref="I26">_xlfn.IFS(C26&lt;=15,"Children and Young Adolescents", C26&gt;64, "Seniors", TRUE, "Working Age")</f>
        <v>Children and Young Adolescents</v>
      </c>
      <c r="J26" s="6">
        <f>VLOOKUP(F26,Analysis!$F$1:$G$5,2,FALSE)</f>
        <v>2509.1716796874912</v>
      </c>
      <c r="K26">
        <f t="shared" si="0"/>
        <v>2731.2</v>
      </c>
      <c r="L26">
        <f t="shared" si="1"/>
        <v>2731.21</v>
      </c>
      <c r="M26">
        <f t="shared" si="2"/>
        <v>2731.2</v>
      </c>
      <c r="N26" s="5" t="str">
        <f t="shared" si="3"/>
        <v>January 2022</v>
      </c>
    </row>
    <row r="27" spans="1:14" x14ac:dyDescent="0.25">
      <c r="A27" s="1">
        <v>44566</v>
      </c>
      <c r="B27" t="s">
        <v>357</v>
      </c>
      <c r="C27">
        <v>41</v>
      </c>
      <c r="D27" t="s">
        <v>14</v>
      </c>
      <c r="E27" t="s">
        <v>19</v>
      </c>
      <c r="F27" t="s">
        <v>16</v>
      </c>
      <c r="G27" t="s">
        <v>39</v>
      </c>
      <c r="H27">
        <v>4913.53</v>
      </c>
      <c r="I27" s="8" t="str" cm="1">
        <f t="array" ref="I27">_xlfn.IFS(C27&lt;=15,"Children and Young Adolescents", C27&gt;64, "Seniors", TRUE, "Working Age")</f>
        <v>Working Age</v>
      </c>
      <c r="J27" s="6">
        <f>VLOOKUP(F27,Analysis!$F$1:$G$5,2,FALSE)</f>
        <v>2509.1716796874912</v>
      </c>
      <c r="K27">
        <f t="shared" si="0"/>
        <v>5404.88</v>
      </c>
      <c r="L27">
        <f t="shared" si="1"/>
        <v>5404.89</v>
      </c>
      <c r="M27">
        <f t="shared" si="2"/>
        <v>5404.88</v>
      </c>
      <c r="N27" s="5" t="str">
        <f t="shared" si="3"/>
        <v>January 2022</v>
      </c>
    </row>
    <row r="28" spans="1:14" x14ac:dyDescent="0.25">
      <c r="A28" s="1">
        <v>44566</v>
      </c>
      <c r="B28" t="s">
        <v>3980</v>
      </c>
      <c r="C28">
        <v>89</v>
      </c>
      <c r="D28" t="s">
        <v>14</v>
      </c>
      <c r="E28" t="s">
        <v>5032</v>
      </c>
      <c r="F28" t="s">
        <v>16</v>
      </c>
      <c r="G28" t="s">
        <v>39</v>
      </c>
      <c r="H28">
        <v>3684.53</v>
      </c>
      <c r="I28" s="8" t="str" cm="1">
        <f t="array" ref="I28">_xlfn.IFS(C28&lt;=15,"Children and Young Adolescents", C28&gt;64, "Seniors", TRUE, "Working Age")</f>
        <v>Seniors</v>
      </c>
      <c r="J28" s="6">
        <f>VLOOKUP(F28,Analysis!$F$1:$G$5,2,FALSE)</f>
        <v>2509.1716796874912</v>
      </c>
      <c r="K28">
        <f t="shared" si="0"/>
        <v>4052.98</v>
      </c>
      <c r="L28">
        <f t="shared" si="1"/>
        <v>4052.9900000000002</v>
      </c>
      <c r="M28">
        <f t="shared" si="2"/>
        <v>4052.98</v>
      </c>
      <c r="N28" s="5" t="str">
        <f t="shared" si="3"/>
        <v>January 2022</v>
      </c>
    </row>
    <row r="29" spans="1:14" x14ac:dyDescent="0.25">
      <c r="A29" s="1">
        <v>44566</v>
      </c>
      <c r="B29" t="s">
        <v>4097</v>
      </c>
      <c r="C29">
        <v>31</v>
      </c>
      <c r="D29" t="s">
        <v>9</v>
      </c>
      <c r="E29" t="s">
        <v>34</v>
      </c>
      <c r="F29" t="s">
        <v>11</v>
      </c>
      <c r="G29" t="s">
        <v>27</v>
      </c>
      <c r="H29">
        <v>3951.59</v>
      </c>
      <c r="I29" s="8" t="str" cm="1">
        <f t="array" ref="I29">_xlfn.IFS(C29&lt;=15,"Children and Young Adolescents", C29&gt;64, "Seniors", TRUE, "Working Age")</f>
        <v>Working Age</v>
      </c>
      <c r="J29" s="6">
        <f>VLOOKUP(F29,Analysis!$F$1:$G$5,2,FALSE)</f>
        <v>2503.6022787783854</v>
      </c>
      <c r="K29">
        <f t="shared" si="0"/>
        <v>4346.74</v>
      </c>
      <c r="L29">
        <f t="shared" si="1"/>
        <v>4346.75</v>
      </c>
      <c r="M29">
        <f t="shared" si="2"/>
        <v>4346.75</v>
      </c>
      <c r="N29" s="5" t="str">
        <f t="shared" si="3"/>
        <v>January 2022</v>
      </c>
    </row>
    <row r="30" spans="1:14" x14ac:dyDescent="0.25">
      <c r="A30" s="1">
        <v>44566</v>
      </c>
      <c r="B30" t="s">
        <v>3525</v>
      </c>
      <c r="C30">
        <v>34</v>
      </c>
      <c r="D30" t="s">
        <v>21</v>
      </c>
      <c r="E30" t="s">
        <v>22</v>
      </c>
      <c r="F30" t="s">
        <v>23</v>
      </c>
      <c r="G30" t="s">
        <v>17</v>
      </c>
      <c r="H30">
        <v>4602.8900000000003</v>
      </c>
      <c r="I30" s="8" t="str" cm="1">
        <f t="array" ref="I30">_xlfn.IFS(C30&lt;=15,"Children and Young Adolescents", C30&gt;64, "Seniors", TRUE, "Working Age")</f>
        <v>Working Age</v>
      </c>
      <c r="J30" s="6">
        <f>VLOOKUP(F30,Analysis!$F$1:$G$5,2,FALSE)</f>
        <v>2440.2966694490838</v>
      </c>
      <c r="K30">
        <f t="shared" si="0"/>
        <v>5063.17</v>
      </c>
      <c r="L30">
        <f t="shared" si="1"/>
        <v>5063.18</v>
      </c>
      <c r="M30">
        <f t="shared" si="2"/>
        <v>5063.18</v>
      </c>
      <c r="N30" s="5" t="str">
        <f t="shared" si="3"/>
        <v>January 2022</v>
      </c>
    </row>
    <row r="31" spans="1:14" x14ac:dyDescent="0.25">
      <c r="A31" s="1">
        <v>44566</v>
      </c>
      <c r="B31" t="s">
        <v>1897</v>
      </c>
      <c r="C31">
        <v>98</v>
      </c>
      <c r="D31" t="s">
        <v>9</v>
      </c>
      <c r="E31" t="s">
        <v>25</v>
      </c>
      <c r="F31" t="s">
        <v>11</v>
      </c>
      <c r="G31" t="s">
        <v>36</v>
      </c>
      <c r="H31">
        <v>1417.48</v>
      </c>
      <c r="I31" s="8" t="str" cm="1">
        <f t="array" ref="I31">_xlfn.IFS(C31&lt;=15,"Children and Young Adolescents", C31&gt;64, "Seniors", TRUE, "Working Age")</f>
        <v>Seniors</v>
      </c>
      <c r="J31" s="6">
        <f>VLOOKUP(F31,Analysis!$F$1:$G$5,2,FALSE)</f>
        <v>2503.6022787783854</v>
      </c>
      <c r="K31">
        <f t="shared" si="0"/>
        <v>1559.22</v>
      </c>
      <c r="L31">
        <f t="shared" si="1"/>
        <v>1559.23</v>
      </c>
      <c r="M31">
        <f t="shared" si="2"/>
        <v>1559.23</v>
      </c>
      <c r="N31" s="5" t="str">
        <f t="shared" si="3"/>
        <v>January 2022</v>
      </c>
    </row>
    <row r="32" spans="1:14" x14ac:dyDescent="0.25">
      <c r="A32" s="1">
        <v>44566</v>
      </c>
      <c r="B32" t="s">
        <v>2906</v>
      </c>
      <c r="C32">
        <v>83</v>
      </c>
      <c r="D32" t="s">
        <v>21</v>
      </c>
      <c r="E32" t="s">
        <v>34</v>
      </c>
      <c r="F32" t="s">
        <v>16</v>
      </c>
      <c r="G32" t="s">
        <v>12</v>
      </c>
      <c r="H32">
        <v>2233.5700000000002</v>
      </c>
      <c r="I32" s="8" t="str" cm="1">
        <f t="array" ref="I32">_xlfn.IFS(C32&lt;=15,"Children and Young Adolescents", C32&gt;64, "Seniors", TRUE, "Working Age")</f>
        <v>Seniors</v>
      </c>
      <c r="J32" s="6">
        <f>VLOOKUP(F32,Analysis!$F$1:$G$5,2,FALSE)</f>
        <v>2509.1716796874912</v>
      </c>
      <c r="K32">
        <f t="shared" si="0"/>
        <v>2456.92</v>
      </c>
      <c r="L32">
        <f t="shared" si="1"/>
        <v>2456.9300000000003</v>
      </c>
      <c r="M32">
        <f t="shared" si="2"/>
        <v>2456.9299999999998</v>
      </c>
      <c r="N32" s="5" t="str">
        <f t="shared" si="3"/>
        <v>January 2022</v>
      </c>
    </row>
    <row r="33" spans="1:14" x14ac:dyDescent="0.25">
      <c r="A33" s="1">
        <v>44566</v>
      </c>
      <c r="B33" t="s">
        <v>4824</v>
      </c>
      <c r="C33">
        <v>29</v>
      </c>
      <c r="D33" t="s">
        <v>21</v>
      </c>
      <c r="E33" t="s">
        <v>10</v>
      </c>
      <c r="F33" t="s">
        <v>29</v>
      </c>
      <c r="G33" t="s">
        <v>36</v>
      </c>
      <c r="H33">
        <v>2450.58</v>
      </c>
      <c r="I33" s="8" t="str" cm="1">
        <f t="array" ref="I33">_xlfn.IFS(C33&lt;=15,"Children and Young Adolescents", C33&gt;64, "Seniors", TRUE, "Working Age")</f>
        <v>Working Age</v>
      </c>
      <c r="J33" s="6">
        <f>VLOOKUP(F33,Analysis!$F$1:$G$5,2,FALSE)</f>
        <v>2496.7676064256989</v>
      </c>
      <c r="K33">
        <f t="shared" si="0"/>
        <v>2695.63</v>
      </c>
      <c r="L33">
        <f t="shared" si="1"/>
        <v>2695.6400000000003</v>
      </c>
      <c r="M33">
        <f t="shared" si="2"/>
        <v>2695.64</v>
      </c>
      <c r="N33" s="5" t="str">
        <f t="shared" si="3"/>
        <v>January 2022</v>
      </c>
    </row>
    <row r="34" spans="1:14" x14ac:dyDescent="0.25">
      <c r="A34" s="1">
        <v>44567</v>
      </c>
      <c r="B34" t="s">
        <v>1363</v>
      </c>
      <c r="C34">
        <v>77</v>
      </c>
      <c r="D34" t="s">
        <v>9</v>
      </c>
      <c r="E34" t="s">
        <v>34</v>
      </c>
      <c r="F34" t="s">
        <v>11</v>
      </c>
      <c r="G34" t="s">
        <v>39</v>
      </c>
      <c r="H34">
        <v>2115.64</v>
      </c>
      <c r="I34" s="8" t="str" cm="1">
        <f t="array" ref="I34">_xlfn.IFS(C34&lt;=15,"Children and Young Adolescents", C34&gt;64, "Seniors", TRUE, "Working Age")</f>
        <v>Seniors</v>
      </c>
      <c r="J34" s="6">
        <f>VLOOKUP(F34,Analysis!$F$1:$G$5,2,FALSE)</f>
        <v>2503.6022787783854</v>
      </c>
      <c r="K34">
        <f t="shared" si="0"/>
        <v>2327.1999999999998</v>
      </c>
      <c r="L34">
        <f t="shared" si="1"/>
        <v>2327.21</v>
      </c>
      <c r="M34">
        <f t="shared" si="2"/>
        <v>2327.1999999999998</v>
      </c>
      <c r="N34" s="5" t="str">
        <f t="shared" si="3"/>
        <v>January 2022</v>
      </c>
    </row>
    <row r="35" spans="1:14" x14ac:dyDescent="0.25">
      <c r="A35" s="1">
        <v>44567</v>
      </c>
      <c r="B35" t="s">
        <v>3837</v>
      </c>
      <c r="C35">
        <v>8</v>
      </c>
      <c r="D35" t="s">
        <v>9</v>
      </c>
      <c r="E35" t="s">
        <v>5032</v>
      </c>
      <c r="F35" t="s">
        <v>23</v>
      </c>
      <c r="G35" t="s">
        <v>27</v>
      </c>
      <c r="H35">
        <v>608.16999999999996</v>
      </c>
      <c r="I35" s="8" t="str" cm="1">
        <f t="array" ref="I35">_xlfn.IFS(C35&lt;=15,"Children and Young Adolescents", C35&gt;64, "Seniors", TRUE, "Working Age")</f>
        <v>Children and Young Adolescents</v>
      </c>
      <c r="J35" s="6">
        <f>VLOOKUP(F35,Analysis!$F$1:$G$5,2,FALSE)</f>
        <v>2440.2966694490838</v>
      </c>
      <c r="K35">
        <f t="shared" si="0"/>
        <v>668.98</v>
      </c>
      <c r="L35">
        <f t="shared" si="1"/>
        <v>668.99</v>
      </c>
      <c r="M35">
        <f t="shared" si="2"/>
        <v>668.99</v>
      </c>
      <c r="N35" s="5" t="str">
        <f t="shared" si="3"/>
        <v>January 2022</v>
      </c>
    </row>
    <row r="36" spans="1:14" x14ac:dyDescent="0.25">
      <c r="A36" s="1">
        <v>44567</v>
      </c>
      <c r="B36" t="s">
        <v>4185</v>
      </c>
      <c r="C36">
        <v>29</v>
      </c>
      <c r="D36" t="s">
        <v>9</v>
      </c>
      <c r="E36" t="s">
        <v>5032</v>
      </c>
      <c r="F36" t="s">
        <v>16</v>
      </c>
      <c r="G36" t="s">
        <v>12</v>
      </c>
      <c r="H36">
        <v>669.36</v>
      </c>
      <c r="I36" s="8" t="str" cm="1">
        <f t="array" ref="I36">_xlfn.IFS(C36&lt;=15,"Children and Young Adolescents", C36&gt;64, "Seniors", TRUE, "Working Age")</f>
        <v>Working Age</v>
      </c>
      <c r="J36" s="6">
        <f>VLOOKUP(F36,Analysis!$F$1:$G$5,2,FALSE)</f>
        <v>2509.1716796874912</v>
      </c>
      <c r="K36">
        <f t="shared" si="0"/>
        <v>736.29</v>
      </c>
      <c r="L36">
        <f t="shared" si="1"/>
        <v>736.3</v>
      </c>
      <c r="M36">
        <f t="shared" si="2"/>
        <v>736.3</v>
      </c>
      <c r="N36" s="5" t="str">
        <f t="shared" si="3"/>
        <v>January 2022</v>
      </c>
    </row>
    <row r="37" spans="1:14" x14ac:dyDescent="0.25">
      <c r="A37" s="1">
        <v>44567</v>
      </c>
      <c r="B37" t="s">
        <v>2329</v>
      </c>
      <c r="C37">
        <v>76</v>
      </c>
      <c r="D37" t="s">
        <v>9</v>
      </c>
      <c r="E37" t="s">
        <v>15</v>
      </c>
      <c r="F37" t="s">
        <v>23</v>
      </c>
      <c r="G37" t="s">
        <v>36</v>
      </c>
      <c r="H37">
        <v>1701.59</v>
      </c>
      <c r="I37" s="8" t="str" cm="1">
        <f t="array" ref="I37">_xlfn.IFS(C37&lt;=15,"Children and Young Adolescents", C37&gt;64, "Seniors", TRUE, "Working Age")</f>
        <v>Seniors</v>
      </c>
      <c r="J37" s="6">
        <f>VLOOKUP(F37,Analysis!$F$1:$G$5,2,FALSE)</f>
        <v>2440.2966694490838</v>
      </c>
      <c r="K37">
        <f t="shared" si="0"/>
        <v>1871.74</v>
      </c>
      <c r="L37">
        <f t="shared" si="1"/>
        <v>1871.75</v>
      </c>
      <c r="M37">
        <f t="shared" si="2"/>
        <v>1871.75</v>
      </c>
      <c r="N37" s="5" t="str">
        <f t="shared" si="3"/>
        <v>January 2022</v>
      </c>
    </row>
    <row r="38" spans="1:14" x14ac:dyDescent="0.25">
      <c r="A38" s="1">
        <v>44567</v>
      </c>
      <c r="B38" t="s">
        <v>998</v>
      </c>
      <c r="C38">
        <v>50</v>
      </c>
      <c r="D38" t="s">
        <v>21</v>
      </c>
      <c r="E38" t="s">
        <v>32</v>
      </c>
      <c r="F38" t="s">
        <v>29</v>
      </c>
      <c r="G38" t="s">
        <v>17</v>
      </c>
      <c r="H38">
        <v>1869.03</v>
      </c>
      <c r="I38" s="8" t="str" cm="1">
        <f t="array" ref="I38">_xlfn.IFS(C38&lt;=15,"Children and Young Adolescents", C38&gt;64, "Seniors", TRUE, "Working Age")</f>
        <v>Working Age</v>
      </c>
      <c r="J38" s="6">
        <f>VLOOKUP(F38,Analysis!$F$1:$G$5,2,FALSE)</f>
        <v>2496.7676064256989</v>
      </c>
      <c r="K38">
        <f t="shared" si="0"/>
        <v>2055.9299999999998</v>
      </c>
      <c r="L38">
        <f t="shared" si="1"/>
        <v>2055.94</v>
      </c>
      <c r="M38">
        <f t="shared" si="2"/>
        <v>2055.9299999999998</v>
      </c>
      <c r="N38" s="5" t="str">
        <f t="shared" si="3"/>
        <v>January 2022</v>
      </c>
    </row>
    <row r="39" spans="1:14" x14ac:dyDescent="0.25">
      <c r="A39" s="1">
        <v>44567</v>
      </c>
      <c r="B39" t="s">
        <v>618</v>
      </c>
      <c r="C39">
        <v>84</v>
      </c>
      <c r="D39" t="s">
        <v>9</v>
      </c>
      <c r="E39" t="s">
        <v>22</v>
      </c>
      <c r="F39" t="s">
        <v>23</v>
      </c>
      <c r="G39" t="s">
        <v>12</v>
      </c>
      <c r="H39">
        <v>4444.47</v>
      </c>
      <c r="I39" s="8" t="str" cm="1">
        <f t="array" ref="I39">_xlfn.IFS(C39&lt;=15,"Children and Young Adolescents", C39&gt;64, "Seniors", TRUE, "Working Age")</f>
        <v>Seniors</v>
      </c>
      <c r="J39" s="6">
        <f>VLOOKUP(F39,Analysis!$F$1:$G$5,2,FALSE)</f>
        <v>2440.2966694490838</v>
      </c>
      <c r="K39">
        <f t="shared" si="0"/>
        <v>4888.91</v>
      </c>
      <c r="L39">
        <f t="shared" si="1"/>
        <v>4888.92</v>
      </c>
      <c r="M39">
        <f t="shared" si="2"/>
        <v>4888.92</v>
      </c>
      <c r="N39" s="5" t="str">
        <f t="shared" si="3"/>
        <v>January 2022</v>
      </c>
    </row>
    <row r="40" spans="1:14" x14ac:dyDescent="0.25">
      <c r="A40" s="1">
        <v>44568</v>
      </c>
      <c r="B40" t="s">
        <v>3432</v>
      </c>
      <c r="C40">
        <v>86</v>
      </c>
      <c r="D40" t="s">
        <v>9</v>
      </c>
      <c r="E40" t="s">
        <v>32</v>
      </c>
      <c r="F40" t="s">
        <v>16</v>
      </c>
      <c r="G40" t="s">
        <v>17</v>
      </c>
      <c r="H40">
        <v>2987.23</v>
      </c>
      <c r="I40" s="8" t="str" cm="1">
        <f t="array" ref="I40">_xlfn.IFS(C40&lt;=15,"Children and Young Adolescents", C40&gt;64, "Seniors", TRUE, "Working Age")</f>
        <v>Seniors</v>
      </c>
      <c r="J40" s="6">
        <f>VLOOKUP(F40,Analysis!$F$1:$G$5,2,FALSE)</f>
        <v>2509.1716796874912</v>
      </c>
      <c r="K40">
        <f t="shared" si="0"/>
        <v>3285.95</v>
      </c>
      <c r="L40">
        <f t="shared" si="1"/>
        <v>3285.96</v>
      </c>
      <c r="M40">
        <f t="shared" si="2"/>
        <v>3285.95</v>
      </c>
      <c r="N40" s="5" t="str">
        <f t="shared" si="3"/>
        <v>January 2022</v>
      </c>
    </row>
    <row r="41" spans="1:14" x14ac:dyDescent="0.25">
      <c r="A41" s="1">
        <v>44568</v>
      </c>
      <c r="B41" t="s">
        <v>3913</v>
      </c>
      <c r="C41">
        <v>37</v>
      </c>
      <c r="D41" t="s">
        <v>9</v>
      </c>
      <c r="E41" t="s">
        <v>32</v>
      </c>
      <c r="F41" t="s">
        <v>23</v>
      </c>
      <c r="G41" t="s">
        <v>12</v>
      </c>
      <c r="H41">
        <v>1570.66</v>
      </c>
      <c r="I41" s="8" t="str" cm="1">
        <f t="array" ref="I41">_xlfn.IFS(C41&lt;=15,"Children and Young Adolescents", C41&gt;64, "Seniors", TRUE, "Working Age")</f>
        <v>Working Age</v>
      </c>
      <c r="J41" s="6">
        <f>VLOOKUP(F41,Analysis!$F$1:$G$5,2,FALSE)</f>
        <v>2440.2966694490838</v>
      </c>
      <c r="K41">
        <f t="shared" si="0"/>
        <v>1727.72</v>
      </c>
      <c r="L41">
        <f t="shared" si="1"/>
        <v>1727.73</v>
      </c>
      <c r="M41">
        <f t="shared" si="2"/>
        <v>1727.73</v>
      </c>
      <c r="N41" s="5" t="str">
        <f t="shared" si="3"/>
        <v>January 2022</v>
      </c>
    </row>
    <row r="42" spans="1:14" x14ac:dyDescent="0.25">
      <c r="A42" s="1">
        <v>44568</v>
      </c>
      <c r="B42" t="s">
        <v>4129</v>
      </c>
      <c r="C42">
        <v>56</v>
      </c>
      <c r="D42" t="s">
        <v>9</v>
      </c>
      <c r="E42" t="s">
        <v>19</v>
      </c>
      <c r="F42" t="s">
        <v>29</v>
      </c>
      <c r="G42" t="s">
        <v>17</v>
      </c>
      <c r="H42">
        <v>2508.04</v>
      </c>
      <c r="I42" s="8" t="str" cm="1">
        <f t="array" ref="I42">_xlfn.IFS(C42&lt;=15,"Children and Young Adolescents", C42&gt;64, "Seniors", TRUE, "Working Age")</f>
        <v>Working Age</v>
      </c>
      <c r="J42" s="6">
        <f>VLOOKUP(F42,Analysis!$F$1:$G$5,2,FALSE)</f>
        <v>2496.7676064256989</v>
      </c>
      <c r="K42">
        <f t="shared" si="0"/>
        <v>2758.84</v>
      </c>
      <c r="L42">
        <f t="shared" si="1"/>
        <v>2758.8500000000004</v>
      </c>
      <c r="M42">
        <f t="shared" si="2"/>
        <v>2758.84</v>
      </c>
      <c r="N42" s="5" t="str">
        <f t="shared" si="3"/>
        <v>January 2022</v>
      </c>
    </row>
    <row r="43" spans="1:14" x14ac:dyDescent="0.25">
      <c r="A43" s="1">
        <v>44568</v>
      </c>
      <c r="B43" t="s">
        <v>2585</v>
      </c>
      <c r="C43">
        <v>27</v>
      </c>
      <c r="D43" t="s">
        <v>21</v>
      </c>
      <c r="E43" t="s">
        <v>10</v>
      </c>
      <c r="F43" t="s">
        <v>16</v>
      </c>
      <c r="G43" t="s">
        <v>27</v>
      </c>
      <c r="H43">
        <v>317.38</v>
      </c>
      <c r="I43" s="8" t="str" cm="1">
        <f t="array" ref="I43">_xlfn.IFS(C43&lt;=15,"Children and Young Adolescents", C43&gt;64, "Seniors", TRUE, "Working Age")</f>
        <v>Working Age</v>
      </c>
      <c r="J43" s="6">
        <f>VLOOKUP(F43,Analysis!$F$1:$G$5,2,FALSE)</f>
        <v>2509.1716796874912</v>
      </c>
      <c r="K43">
        <f t="shared" si="0"/>
        <v>349.11</v>
      </c>
      <c r="L43">
        <f t="shared" si="1"/>
        <v>349.12</v>
      </c>
      <c r="M43">
        <f t="shared" si="2"/>
        <v>349.12</v>
      </c>
      <c r="N43" s="5" t="str">
        <f t="shared" si="3"/>
        <v>January 2022</v>
      </c>
    </row>
    <row r="44" spans="1:14" x14ac:dyDescent="0.25">
      <c r="A44" s="1">
        <v>44568</v>
      </c>
      <c r="B44" t="s">
        <v>2665</v>
      </c>
      <c r="C44">
        <v>45</v>
      </c>
      <c r="D44" t="s">
        <v>14</v>
      </c>
      <c r="E44" t="s">
        <v>15</v>
      </c>
      <c r="F44" t="s">
        <v>29</v>
      </c>
      <c r="G44" t="s">
        <v>27</v>
      </c>
      <c r="H44">
        <v>2028.76</v>
      </c>
      <c r="I44" s="8" t="str" cm="1">
        <f t="array" ref="I44">_xlfn.IFS(C44&lt;=15,"Children and Young Adolescents", C44&gt;64, "Seniors", TRUE, "Working Age")</f>
        <v>Working Age</v>
      </c>
      <c r="J44" s="6">
        <f>VLOOKUP(F44,Analysis!$F$1:$G$5,2,FALSE)</f>
        <v>2496.7676064256989</v>
      </c>
      <c r="K44">
        <f t="shared" si="0"/>
        <v>2231.63</v>
      </c>
      <c r="L44">
        <f t="shared" si="1"/>
        <v>2231.6400000000003</v>
      </c>
      <c r="M44">
        <f t="shared" si="2"/>
        <v>2231.64</v>
      </c>
      <c r="N44" s="5" t="str">
        <f t="shared" si="3"/>
        <v>January 2022</v>
      </c>
    </row>
    <row r="45" spans="1:14" x14ac:dyDescent="0.25">
      <c r="A45" s="1">
        <v>44569</v>
      </c>
      <c r="B45" t="s">
        <v>4686</v>
      </c>
      <c r="C45">
        <v>52</v>
      </c>
      <c r="D45" t="s">
        <v>21</v>
      </c>
      <c r="E45" t="s">
        <v>10</v>
      </c>
      <c r="F45" t="s">
        <v>11</v>
      </c>
      <c r="G45" t="s">
        <v>36</v>
      </c>
      <c r="H45">
        <v>1269.93</v>
      </c>
      <c r="I45" s="8" t="str" cm="1">
        <f t="array" ref="I45">_xlfn.IFS(C45&lt;=15,"Children and Young Adolescents", C45&gt;64, "Seniors", TRUE, "Working Age")</f>
        <v>Working Age</v>
      </c>
      <c r="J45" s="6">
        <f>VLOOKUP(F45,Analysis!$F$1:$G$5,2,FALSE)</f>
        <v>2503.6022787783854</v>
      </c>
      <c r="K45">
        <f t="shared" si="0"/>
        <v>1396.92</v>
      </c>
      <c r="L45">
        <f t="shared" si="1"/>
        <v>1396.93</v>
      </c>
      <c r="M45">
        <f t="shared" si="2"/>
        <v>1396.92</v>
      </c>
      <c r="N45" s="5" t="str">
        <f t="shared" si="3"/>
        <v>January 2022</v>
      </c>
    </row>
    <row r="46" spans="1:14" x14ac:dyDescent="0.25">
      <c r="A46" s="1">
        <v>44569</v>
      </c>
      <c r="B46" t="s">
        <v>3937</v>
      </c>
      <c r="C46">
        <v>95</v>
      </c>
      <c r="D46" t="s">
        <v>14</v>
      </c>
      <c r="E46" t="s">
        <v>10</v>
      </c>
      <c r="F46" t="s">
        <v>23</v>
      </c>
      <c r="G46" t="s">
        <v>27</v>
      </c>
      <c r="H46">
        <v>2801.34</v>
      </c>
      <c r="I46" s="8" t="str" cm="1">
        <f t="array" ref="I46">_xlfn.IFS(C46&lt;=15,"Children and Young Adolescents", C46&gt;64, "Seniors", TRUE, "Working Age")</f>
        <v>Seniors</v>
      </c>
      <c r="J46" s="6">
        <f>VLOOKUP(F46,Analysis!$F$1:$G$5,2,FALSE)</f>
        <v>2440.2966694490838</v>
      </c>
      <c r="K46">
        <f t="shared" si="0"/>
        <v>3081.47</v>
      </c>
      <c r="L46">
        <f t="shared" si="1"/>
        <v>3081.48</v>
      </c>
      <c r="M46">
        <f t="shared" si="2"/>
        <v>3081.47</v>
      </c>
      <c r="N46" s="5" t="str">
        <f t="shared" si="3"/>
        <v>January 2022</v>
      </c>
    </row>
    <row r="47" spans="1:14" x14ac:dyDescent="0.25">
      <c r="A47" s="1">
        <v>44569</v>
      </c>
      <c r="B47" t="s">
        <v>3030</v>
      </c>
      <c r="C47">
        <v>64</v>
      </c>
      <c r="D47" t="s">
        <v>21</v>
      </c>
      <c r="E47" t="s">
        <v>34</v>
      </c>
      <c r="F47" t="s">
        <v>29</v>
      </c>
      <c r="G47" t="s">
        <v>12</v>
      </c>
      <c r="H47">
        <v>485.96</v>
      </c>
      <c r="I47" s="8" t="str" cm="1">
        <f t="array" ref="I47">_xlfn.IFS(C47&lt;=15,"Children and Young Adolescents", C47&gt;64, "Seniors", TRUE, "Working Age")</f>
        <v>Working Age</v>
      </c>
      <c r="J47" s="6">
        <f>VLOOKUP(F47,Analysis!$F$1:$G$5,2,FALSE)</f>
        <v>2496.7676064256989</v>
      </c>
      <c r="K47">
        <f t="shared" si="0"/>
        <v>534.54999999999995</v>
      </c>
      <c r="L47">
        <f t="shared" si="1"/>
        <v>534.55999999999995</v>
      </c>
      <c r="M47">
        <f t="shared" si="2"/>
        <v>534.55999999999995</v>
      </c>
      <c r="N47" s="5" t="str">
        <f t="shared" si="3"/>
        <v>January 2022</v>
      </c>
    </row>
    <row r="48" spans="1:14" x14ac:dyDescent="0.25">
      <c r="A48" s="1">
        <v>44569</v>
      </c>
      <c r="B48" t="s">
        <v>744</v>
      </c>
      <c r="C48">
        <v>74</v>
      </c>
      <c r="D48" t="s">
        <v>14</v>
      </c>
      <c r="E48" t="s">
        <v>25</v>
      </c>
      <c r="F48" t="s">
        <v>11</v>
      </c>
      <c r="G48" t="s">
        <v>5033</v>
      </c>
      <c r="H48">
        <v>4896.38</v>
      </c>
      <c r="I48" s="8" t="str" cm="1">
        <f t="array" ref="I48">_xlfn.IFS(C48&lt;=15,"Children and Young Adolescents", C48&gt;64, "Seniors", TRUE, "Working Age")</f>
        <v>Seniors</v>
      </c>
      <c r="J48" s="6">
        <f>VLOOKUP(F48,Analysis!$F$1:$G$5,2,FALSE)</f>
        <v>2503.6022787783854</v>
      </c>
      <c r="K48">
        <f t="shared" si="0"/>
        <v>5386.01</v>
      </c>
      <c r="L48">
        <f t="shared" si="1"/>
        <v>5386.02</v>
      </c>
      <c r="M48">
        <f t="shared" si="2"/>
        <v>5386.02</v>
      </c>
      <c r="N48" s="5" t="str">
        <f t="shared" si="3"/>
        <v>January 2022</v>
      </c>
    </row>
    <row r="49" spans="1:14" x14ac:dyDescent="0.25">
      <c r="A49" s="1">
        <v>44570</v>
      </c>
      <c r="B49" t="s">
        <v>779</v>
      </c>
      <c r="C49">
        <v>73</v>
      </c>
      <c r="D49" t="s">
        <v>21</v>
      </c>
      <c r="E49" t="s">
        <v>25</v>
      </c>
      <c r="F49" t="s">
        <v>29</v>
      </c>
      <c r="G49" t="s">
        <v>36</v>
      </c>
      <c r="H49">
        <v>3831.02</v>
      </c>
      <c r="I49" s="8" t="str" cm="1">
        <f t="array" ref="I49">_xlfn.IFS(C49&lt;=15,"Children and Young Adolescents", C49&gt;64, "Seniors", TRUE, "Working Age")</f>
        <v>Seniors</v>
      </c>
      <c r="J49" s="6">
        <f>VLOOKUP(F49,Analysis!$F$1:$G$5,2,FALSE)</f>
        <v>2496.7676064256989</v>
      </c>
      <c r="K49">
        <f t="shared" si="0"/>
        <v>4214.12</v>
      </c>
      <c r="L49">
        <f t="shared" si="1"/>
        <v>4214.13</v>
      </c>
      <c r="M49">
        <f t="shared" si="2"/>
        <v>4214.12</v>
      </c>
      <c r="N49" s="5" t="str">
        <f t="shared" si="3"/>
        <v>January 2022</v>
      </c>
    </row>
    <row r="50" spans="1:14" x14ac:dyDescent="0.25">
      <c r="A50" s="1">
        <v>44570</v>
      </c>
      <c r="B50" t="s">
        <v>3626</v>
      </c>
      <c r="C50">
        <v>39</v>
      </c>
      <c r="D50" t="s">
        <v>9</v>
      </c>
      <c r="E50" t="s">
        <v>19</v>
      </c>
      <c r="F50" t="s">
        <v>29</v>
      </c>
      <c r="G50" t="s">
        <v>17</v>
      </c>
      <c r="H50">
        <v>3400.59</v>
      </c>
      <c r="I50" s="8" t="str" cm="1">
        <f t="array" ref="I50">_xlfn.IFS(C50&lt;=15,"Children and Young Adolescents", C50&gt;64, "Seniors", TRUE, "Working Age")</f>
        <v>Working Age</v>
      </c>
      <c r="J50" s="6">
        <f>VLOOKUP(F50,Analysis!$F$1:$G$5,2,FALSE)</f>
        <v>2496.7676064256989</v>
      </c>
      <c r="K50">
        <f t="shared" si="0"/>
        <v>3740.64</v>
      </c>
      <c r="L50">
        <f t="shared" si="1"/>
        <v>3740.65</v>
      </c>
      <c r="M50">
        <f t="shared" si="2"/>
        <v>3740.65</v>
      </c>
      <c r="N50" s="5" t="str">
        <f t="shared" si="3"/>
        <v>January 2022</v>
      </c>
    </row>
    <row r="51" spans="1:14" x14ac:dyDescent="0.25">
      <c r="A51" s="1">
        <v>44570</v>
      </c>
      <c r="B51" t="s">
        <v>4963</v>
      </c>
      <c r="C51">
        <v>57</v>
      </c>
      <c r="D51" t="s">
        <v>9</v>
      </c>
      <c r="E51" t="s">
        <v>22</v>
      </c>
      <c r="F51" t="s">
        <v>16</v>
      </c>
      <c r="G51" t="s">
        <v>17</v>
      </c>
      <c r="H51">
        <v>2790.7</v>
      </c>
      <c r="I51" s="8" t="str" cm="1">
        <f t="array" ref="I51">_xlfn.IFS(C51&lt;=15,"Children and Young Adolescents", C51&gt;64, "Seniors", TRUE, "Working Age")</f>
        <v>Working Age</v>
      </c>
      <c r="J51" s="6">
        <f>VLOOKUP(F51,Analysis!$F$1:$G$5,2,FALSE)</f>
        <v>2509.1716796874912</v>
      </c>
      <c r="K51">
        <f t="shared" si="0"/>
        <v>3069.77</v>
      </c>
      <c r="L51">
        <f t="shared" si="1"/>
        <v>3069.77</v>
      </c>
      <c r="M51">
        <f t="shared" si="2"/>
        <v>3069.77</v>
      </c>
      <c r="N51" s="5" t="str">
        <f t="shared" si="3"/>
        <v>January 2022</v>
      </c>
    </row>
    <row r="52" spans="1:14" x14ac:dyDescent="0.25">
      <c r="A52" s="1">
        <v>44570</v>
      </c>
      <c r="B52" t="s">
        <v>4735</v>
      </c>
      <c r="C52">
        <v>55</v>
      </c>
      <c r="D52" t="s">
        <v>21</v>
      </c>
      <c r="E52" t="s">
        <v>32</v>
      </c>
      <c r="F52" t="s">
        <v>23</v>
      </c>
      <c r="G52" t="s">
        <v>27</v>
      </c>
      <c r="H52">
        <v>3873.85</v>
      </c>
      <c r="I52" s="8" t="str" cm="1">
        <f t="array" ref="I52">_xlfn.IFS(C52&lt;=15,"Children and Young Adolescents", C52&gt;64, "Seniors", TRUE, "Working Age")</f>
        <v>Working Age</v>
      </c>
      <c r="J52" s="6">
        <f>VLOOKUP(F52,Analysis!$F$1:$G$5,2,FALSE)</f>
        <v>2440.2966694490838</v>
      </c>
      <c r="K52">
        <f t="shared" si="0"/>
        <v>4261.2299999999996</v>
      </c>
      <c r="L52">
        <f t="shared" si="1"/>
        <v>4261.24</v>
      </c>
      <c r="M52">
        <f t="shared" si="2"/>
        <v>4261.24</v>
      </c>
      <c r="N52" s="5" t="str">
        <f t="shared" si="3"/>
        <v>January 2022</v>
      </c>
    </row>
    <row r="53" spans="1:14" x14ac:dyDescent="0.25">
      <c r="A53" s="1">
        <v>44571</v>
      </c>
      <c r="B53" t="s">
        <v>4150</v>
      </c>
      <c r="C53">
        <v>9</v>
      </c>
      <c r="D53" t="s">
        <v>9</v>
      </c>
      <c r="E53" t="s">
        <v>10</v>
      </c>
      <c r="F53" t="s">
        <v>23</v>
      </c>
      <c r="G53" t="s">
        <v>17</v>
      </c>
      <c r="H53">
        <v>377.17</v>
      </c>
      <c r="I53" s="8" t="str" cm="1">
        <f t="array" ref="I53">_xlfn.IFS(C53&lt;=15,"Children and Young Adolescents", C53&gt;64, "Seniors", TRUE, "Working Age")</f>
        <v>Children and Young Adolescents</v>
      </c>
      <c r="J53" s="6">
        <f>VLOOKUP(F53,Analysis!$F$1:$G$5,2,FALSE)</f>
        <v>2440.2966694490838</v>
      </c>
      <c r="K53">
        <f t="shared" si="0"/>
        <v>414.88</v>
      </c>
      <c r="L53">
        <f t="shared" si="1"/>
        <v>414.89</v>
      </c>
      <c r="M53">
        <f t="shared" si="2"/>
        <v>414.89</v>
      </c>
      <c r="N53" s="5" t="str">
        <f t="shared" si="3"/>
        <v>January 2022</v>
      </c>
    </row>
    <row r="54" spans="1:14" x14ac:dyDescent="0.25">
      <c r="A54" s="1">
        <v>44571</v>
      </c>
      <c r="B54" t="s">
        <v>4007</v>
      </c>
      <c r="C54">
        <v>58</v>
      </c>
      <c r="D54" t="s">
        <v>21</v>
      </c>
      <c r="E54" t="s">
        <v>5032</v>
      </c>
      <c r="F54" t="s">
        <v>29</v>
      </c>
      <c r="G54" t="s">
        <v>12</v>
      </c>
      <c r="H54">
        <v>2586.16</v>
      </c>
      <c r="I54" s="8" t="str" cm="1">
        <f t="array" ref="I54">_xlfn.IFS(C54&lt;=15,"Children and Young Adolescents", C54&gt;64, "Seniors", TRUE, "Working Age")</f>
        <v>Working Age</v>
      </c>
      <c r="J54" s="6">
        <f>VLOOKUP(F54,Analysis!$F$1:$G$5,2,FALSE)</f>
        <v>2496.7676064256989</v>
      </c>
      <c r="K54">
        <f t="shared" si="0"/>
        <v>2844.77</v>
      </c>
      <c r="L54">
        <f t="shared" si="1"/>
        <v>2844.78</v>
      </c>
      <c r="M54">
        <f t="shared" si="2"/>
        <v>2844.78</v>
      </c>
      <c r="N54" s="5" t="str">
        <f t="shared" si="3"/>
        <v>January 2022</v>
      </c>
    </row>
    <row r="55" spans="1:14" x14ac:dyDescent="0.25">
      <c r="A55" s="1">
        <v>44571</v>
      </c>
      <c r="B55" t="s">
        <v>2291</v>
      </c>
      <c r="C55">
        <v>97</v>
      </c>
      <c r="D55" t="s">
        <v>9</v>
      </c>
      <c r="E55" t="s">
        <v>22</v>
      </c>
      <c r="F55" t="s">
        <v>23</v>
      </c>
      <c r="G55" t="s">
        <v>36</v>
      </c>
      <c r="H55">
        <v>1755.25</v>
      </c>
      <c r="I55" s="8" t="str" cm="1">
        <f t="array" ref="I55">_xlfn.IFS(C55&lt;=15,"Children and Young Adolescents", C55&gt;64, "Seniors", TRUE, "Working Age")</f>
        <v>Seniors</v>
      </c>
      <c r="J55" s="6">
        <f>VLOOKUP(F55,Analysis!$F$1:$G$5,2,FALSE)</f>
        <v>2440.2966694490838</v>
      </c>
      <c r="K55">
        <f t="shared" si="0"/>
        <v>1930.77</v>
      </c>
      <c r="L55">
        <f t="shared" si="1"/>
        <v>1930.78</v>
      </c>
      <c r="M55">
        <f t="shared" si="2"/>
        <v>1930.78</v>
      </c>
      <c r="N55" s="5" t="str">
        <f t="shared" si="3"/>
        <v>January 2022</v>
      </c>
    </row>
    <row r="56" spans="1:14" x14ac:dyDescent="0.25">
      <c r="A56" s="1">
        <v>44571</v>
      </c>
      <c r="B56" t="s">
        <v>1900</v>
      </c>
      <c r="C56">
        <v>26</v>
      </c>
      <c r="D56" t="s">
        <v>9</v>
      </c>
      <c r="E56" t="s">
        <v>19</v>
      </c>
      <c r="F56" t="s">
        <v>16</v>
      </c>
      <c r="G56" t="s">
        <v>36</v>
      </c>
      <c r="H56">
        <v>2006.38</v>
      </c>
      <c r="I56" s="8" t="str" cm="1">
        <f t="array" ref="I56">_xlfn.IFS(C56&lt;=15,"Children and Young Adolescents", C56&gt;64, "Seniors", TRUE, "Working Age")</f>
        <v>Working Age</v>
      </c>
      <c r="J56" s="6">
        <f>VLOOKUP(F56,Analysis!$F$1:$G$5,2,FALSE)</f>
        <v>2509.1716796874912</v>
      </c>
      <c r="K56">
        <f t="shared" si="0"/>
        <v>2207.0100000000002</v>
      </c>
      <c r="L56">
        <f t="shared" si="1"/>
        <v>2207.0200000000004</v>
      </c>
      <c r="M56">
        <f t="shared" si="2"/>
        <v>2207.02</v>
      </c>
      <c r="N56" s="5" t="str">
        <f t="shared" si="3"/>
        <v>January 2022</v>
      </c>
    </row>
    <row r="57" spans="1:14" x14ac:dyDescent="0.25">
      <c r="A57" s="1">
        <v>44571</v>
      </c>
      <c r="B57" t="s">
        <v>154</v>
      </c>
      <c r="C57">
        <v>10</v>
      </c>
      <c r="D57" t="s">
        <v>9</v>
      </c>
      <c r="E57" t="s">
        <v>19</v>
      </c>
      <c r="F57" t="s">
        <v>16</v>
      </c>
      <c r="G57" t="s">
        <v>39</v>
      </c>
      <c r="H57">
        <v>868.35</v>
      </c>
      <c r="I57" s="8" t="str" cm="1">
        <f t="array" ref="I57">_xlfn.IFS(C57&lt;=15,"Children and Young Adolescents", C57&gt;64, "Seniors", TRUE, "Working Age")</f>
        <v>Children and Young Adolescents</v>
      </c>
      <c r="J57" s="6">
        <f>VLOOKUP(F57,Analysis!$F$1:$G$5,2,FALSE)</f>
        <v>2509.1716796874912</v>
      </c>
      <c r="K57">
        <f t="shared" si="0"/>
        <v>955.18</v>
      </c>
      <c r="L57">
        <f t="shared" si="1"/>
        <v>955.18999999999994</v>
      </c>
      <c r="M57">
        <f t="shared" si="2"/>
        <v>955.19</v>
      </c>
      <c r="N57" s="5" t="str">
        <f t="shared" si="3"/>
        <v>January 2022</v>
      </c>
    </row>
    <row r="58" spans="1:14" x14ac:dyDescent="0.25">
      <c r="A58" s="1">
        <v>44571</v>
      </c>
      <c r="B58" t="s">
        <v>4220</v>
      </c>
      <c r="C58">
        <v>13</v>
      </c>
      <c r="D58" t="s">
        <v>21</v>
      </c>
      <c r="E58" t="s">
        <v>25</v>
      </c>
      <c r="F58" t="s">
        <v>23</v>
      </c>
      <c r="G58" t="s">
        <v>39</v>
      </c>
      <c r="H58">
        <v>4678.13</v>
      </c>
      <c r="I58" s="8" t="str" cm="1">
        <f t="array" ref="I58">_xlfn.IFS(C58&lt;=15,"Children and Young Adolescents", C58&gt;64, "Seniors", TRUE, "Working Age")</f>
        <v>Children and Young Adolescents</v>
      </c>
      <c r="J58" s="6">
        <f>VLOOKUP(F58,Analysis!$F$1:$G$5,2,FALSE)</f>
        <v>2440.2966694490838</v>
      </c>
      <c r="K58">
        <f t="shared" si="0"/>
        <v>5145.9399999999996</v>
      </c>
      <c r="L58">
        <f t="shared" si="1"/>
        <v>5145.95</v>
      </c>
      <c r="M58">
        <f t="shared" si="2"/>
        <v>5145.9399999999996</v>
      </c>
      <c r="N58" s="5" t="str">
        <f t="shared" si="3"/>
        <v>January 2022</v>
      </c>
    </row>
    <row r="59" spans="1:14" x14ac:dyDescent="0.25">
      <c r="A59" s="1">
        <v>44571</v>
      </c>
      <c r="B59" t="s">
        <v>3710</v>
      </c>
      <c r="C59">
        <v>97</v>
      </c>
      <c r="D59" t="s">
        <v>14</v>
      </c>
      <c r="E59" t="s">
        <v>19</v>
      </c>
      <c r="F59" t="s">
        <v>23</v>
      </c>
      <c r="G59" t="s">
        <v>27</v>
      </c>
      <c r="H59">
        <v>3541.06</v>
      </c>
      <c r="I59" s="8" t="str" cm="1">
        <f t="array" ref="I59">_xlfn.IFS(C59&lt;=15,"Children and Young Adolescents", C59&gt;64, "Seniors", TRUE, "Working Age")</f>
        <v>Seniors</v>
      </c>
      <c r="J59" s="6">
        <f>VLOOKUP(F59,Analysis!$F$1:$G$5,2,FALSE)</f>
        <v>2440.2966694490838</v>
      </c>
      <c r="K59">
        <f t="shared" si="0"/>
        <v>3895.16</v>
      </c>
      <c r="L59">
        <f t="shared" si="1"/>
        <v>3895.17</v>
      </c>
      <c r="M59">
        <f t="shared" si="2"/>
        <v>3895.17</v>
      </c>
      <c r="N59" s="5" t="str">
        <f t="shared" si="3"/>
        <v>January 2022</v>
      </c>
    </row>
    <row r="60" spans="1:14" x14ac:dyDescent="0.25">
      <c r="A60" s="1">
        <v>44571</v>
      </c>
      <c r="B60" t="s">
        <v>3438</v>
      </c>
      <c r="C60">
        <v>62</v>
      </c>
      <c r="D60" t="s">
        <v>9</v>
      </c>
      <c r="E60" t="s">
        <v>10</v>
      </c>
      <c r="F60" t="s">
        <v>16</v>
      </c>
      <c r="G60" t="s">
        <v>39</v>
      </c>
      <c r="H60">
        <v>1015.21</v>
      </c>
      <c r="I60" s="8" t="str" cm="1">
        <f t="array" ref="I60">_xlfn.IFS(C60&lt;=15,"Children and Young Adolescents", C60&gt;64, "Seniors", TRUE, "Working Age")</f>
        <v>Working Age</v>
      </c>
      <c r="J60" s="6">
        <f>VLOOKUP(F60,Analysis!$F$1:$G$5,2,FALSE)</f>
        <v>2509.1716796874912</v>
      </c>
      <c r="K60">
        <f t="shared" si="0"/>
        <v>1116.73</v>
      </c>
      <c r="L60">
        <f t="shared" si="1"/>
        <v>1116.74</v>
      </c>
      <c r="M60">
        <f t="shared" si="2"/>
        <v>1116.73</v>
      </c>
      <c r="N60" s="5" t="str">
        <f t="shared" si="3"/>
        <v>January 2022</v>
      </c>
    </row>
    <row r="61" spans="1:14" x14ac:dyDescent="0.25">
      <c r="A61" s="1">
        <v>44571</v>
      </c>
      <c r="B61" t="s">
        <v>3454</v>
      </c>
      <c r="C61">
        <v>54</v>
      </c>
      <c r="D61" t="s">
        <v>14</v>
      </c>
      <c r="E61" t="s">
        <v>19</v>
      </c>
      <c r="F61" t="s">
        <v>11</v>
      </c>
      <c r="G61" t="s">
        <v>17</v>
      </c>
      <c r="H61">
        <v>2378.06</v>
      </c>
      <c r="I61" s="8" t="str" cm="1">
        <f t="array" ref="I61">_xlfn.IFS(C61&lt;=15,"Children and Young Adolescents", C61&gt;64, "Seniors", TRUE, "Working Age")</f>
        <v>Working Age</v>
      </c>
      <c r="J61" s="6">
        <f>VLOOKUP(F61,Analysis!$F$1:$G$5,2,FALSE)</f>
        <v>2503.6022787783854</v>
      </c>
      <c r="K61">
        <f t="shared" si="0"/>
        <v>2615.86</v>
      </c>
      <c r="L61">
        <f t="shared" si="1"/>
        <v>2615.8700000000003</v>
      </c>
      <c r="M61">
        <f t="shared" si="2"/>
        <v>2615.87</v>
      </c>
      <c r="N61" s="5" t="str">
        <f t="shared" si="3"/>
        <v>January 2022</v>
      </c>
    </row>
    <row r="62" spans="1:14" x14ac:dyDescent="0.25">
      <c r="A62" s="1">
        <v>44572</v>
      </c>
      <c r="B62" t="s">
        <v>2418</v>
      </c>
      <c r="C62">
        <v>63</v>
      </c>
      <c r="D62" t="s">
        <v>9</v>
      </c>
      <c r="E62" t="s">
        <v>32</v>
      </c>
      <c r="F62" t="s">
        <v>11</v>
      </c>
      <c r="G62" t="s">
        <v>12</v>
      </c>
      <c r="H62">
        <v>3841.57</v>
      </c>
      <c r="I62" s="8" t="str" cm="1">
        <f t="array" ref="I62">_xlfn.IFS(C62&lt;=15,"Children and Young Adolescents", C62&gt;64, "Seniors", TRUE, "Working Age")</f>
        <v>Working Age</v>
      </c>
      <c r="J62" s="6">
        <f>VLOOKUP(F62,Analysis!$F$1:$G$5,2,FALSE)</f>
        <v>2503.6022787783854</v>
      </c>
      <c r="K62">
        <f t="shared" si="0"/>
        <v>4225.72</v>
      </c>
      <c r="L62">
        <f t="shared" si="1"/>
        <v>4225.7300000000005</v>
      </c>
      <c r="M62">
        <f t="shared" si="2"/>
        <v>4225.7299999999996</v>
      </c>
      <c r="N62" s="5" t="str">
        <f t="shared" si="3"/>
        <v>January 2022</v>
      </c>
    </row>
    <row r="63" spans="1:14" x14ac:dyDescent="0.25">
      <c r="A63" s="1">
        <v>44572</v>
      </c>
      <c r="B63" t="s">
        <v>1262</v>
      </c>
      <c r="C63">
        <v>51</v>
      </c>
      <c r="D63" t="s">
        <v>9</v>
      </c>
      <c r="E63" t="s">
        <v>25</v>
      </c>
      <c r="F63" t="s">
        <v>11</v>
      </c>
      <c r="G63" t="s">
        <v>12</v>
      </c>
      <c r="H63">
        <v>2511.4</v>
      </c>
      <c r="I63" s="8" t="str" cm="1">
        <f t="array" ref="I63">_xlfn.IFS(C63&lt;=15,"Children and Young Adolescents", C63&gt;64, "Seniors", TRUE, "Working Age")</f>
        <v>Working Age</v>
      </c>
      <c r="J63" s="6">
        <f>VLOOKUP(F63,Analysis!$F$1:$G$5,2,FALSE)</f>
        <v>2503.6022787783854</v>
      </c>
      <c r="K63">
        <f t="shared" si="0"/>
        <v>2762.54</v>
      </c>
      <c r="L63">
        <f t="shared" si="1"/>
        <v>2762.54</v>
      </c>
      <c r="M63">
        <f t="shared" si="2"/>
        <v>2762.54</v>
      </c>
      <c r="N63" s="5" t="str">
        <f t="shared" si="3"/>
        <v>January 2022</v>
      </c>
    </row>
    <row r="64" spans="1:14" x14ac:dyDescent="0.25">
      <c r="A64" s="1">
        <v>44572</v>
      </c>
      <c r="B64" t="s">
        <v>3133</v>
      </c>
      <c r="C64">
        <v>64</v>
      </c>
      <c r="D64" t="s">
        <v>9</v>
      </c>
      <c r="E64" t="s">
        <v>32</v>
      </c>
      <c r="F64" t="s">
        <v>11</v>
      </c>
      <c r="G64" t="s">
        <v>27</v>
      </c>
      <c r="H64">
        <v>4364.57</v>
      </c>
      <c r="I64" s="8" t="str" cm="1">
        <f t="array" ref="I64">_xlfn.IFS(C64&lt;=15,"Children and Young Adolescents", C64&gt;64, "Seniors", TRUE, "Working Age")</f>
        <v>Working Age</v>
      </c>
      <c r="J64" s="6">
        <f>VLOOKUP(F64,Analysis!$F$1:$G$5,2,FALSE)</f>
        <v>2503.6022787783854</v>
      </c>
      <c r="K64">
        <f t="shared" si="0"/>
        <v>4801.0200000000004</v>
      </c>
      <c r="L64">
        <f t="shared" si="1"/>
        <v>4801.0300000000007</v>
      </c>
      <c r="M64">
        <f t="shared" si="2"/>
        <v>4801.03</v>
      </c>
      <c r="N64" s="5" t="str">
        <f t="shared" si="3"/>
        <v>January 2022</v>
      </c>
    </row>
    <row r="65" spans="1:14" x14ac:dyDescent="0.25">
      <c r="A65" s="1">
        <v>44572</v>
      </c>
      <c r="B65" t="s">
        <v>3119</v>
      </c>
      <c r="C65">
        <v>93</v>
      </c>
      <c r="D65" t="s">
        <v>14</v>
      </c>
      <c r="E65" t="s">
        <v>10</v>
      </c>
      <c r="F65" t="s">
        <v>29</v>
      </c>
      <c r="G65" t="s">
        <v>27</v>
      </c>
      <c r="H65">
        <v>446.05</v>
      </c>
      <c r="I65" s="8" t="str" cm="1">
        <f t="array" ref="I65">_xlfn.IFS(C65&lt;=15,"Children and Young Adolescents", C65&gt;64, "Seniors", TRUE, "Working Age")</f>
        <v>Seniors</v>
      </c>
      <c r="J65" s="6">
        <f>VLOOKUP(F65,Analysis!$F$1:$G$5,2,FALSE)</f>
        <v>2496.7676064256989</v>
      </c>
      <c r="K65">
        <f t="shared" si="0"/>
        <v>490.65</v>
      </c>
      <c r="L65">
        <f t="shared" si="1"/>
        <v>490.65999999999997</v>
      </c>
      <c r="M65">
        <f t="shared" si="2"/>
        <v>490.66</v>
      </c>
      <c r="N65" s="5" t="str">
        <f t="shared" si="3"/>
        <v>January 2022</v>
      </c>
    </row>
    <row r="66" spans="1:14" x14ac:dyDescent="0.25">
      <c r="A66" s="1">
        <v>44573</v>
      </c>
      <c r="B66" t="s">
        <v>3397</v>
      </c>
      <c r="C66">
        <v>29</v>
      </c>
      <c r="D66" t="s">
        <v>9</v>
      </c>
      <c r="E66" t="s">
        <v>10</v>
      </c>
      <c r="F66" t="s">
        <v>29</v>
      </c>
      <c r="G66" t="s">
        <v>17</v>
      </c>
      <c r="H66">
        <v>2462.63</v>
      </c>
      <c r="I66" s="8" t="str" cm="1">
        <f t="array" ref="I66">_xlfn.IFS(C66&lt;=15,"Children and Young Adolescents", C66&gt;64, "Seniors", TRUE, "Working Age")</f>
        <v>Working Age</v>
      </c>
      <c r="J66" s="6">
        <f>VLOOKUP(F66,Analysis!$F$1:$G$5,2,FALSE)</f>
        <v>2496.7676064256989</v>
      </c>
      <c r="K66">
        <f t="shared" si="0"/>
        <v>2708.89</v>
      </c>
      <c r="L66">
        <f t="shared" si="1"/>
        <v>2708.9</v>
      </c>
      <c r="M66">
        <f t="shared" si="2"/>
        <v>2708.89</v>
      </c>
      <c r="N66" s="5" t="str">
        <f t="shared" si="3"/>
        <v>January 2022</v>
      </c>
    </row>
    <row r="67" spans="1:14" x14ac:dyDescent="0.25">
      <c r="A67" s="1">
        <v>44573</v>
      </c>
      <c r="B67" t="s">
        <v>1186</v>
      </c>
      <c r="C67">
        <v>81</v>
      </c>
      <c r="D67" t="s">
        <v>21</v>
      </c>
      <c r="E67" t="s">
        <v>10</v>
      </c>
      <c r="F67" t="s">
        <v>16</v>
      </c>
      <c r="G67" t="s">
        <v>27</v>
      </c>
      <c r="H67">
        <v>4125.72</v>
      </c>
      <c r="I67" s="8" t="str" cm="1">
        <f t="array" ref="I67">_xlfn.IFS(C67&lt;=15,"Children and Young Adolescents", C67&gt;64, "Seniors", TRUE, "Working Age")</f>
        <v>Seniors</v>
      </c>
      <c r="J67" s="6">
        <f>VLOOKUP(F67,Analysis!$F$1:$G$5,2,FALSE)</f>
        <v>2509.1716796874912</v>
      </c>
      <c r="K67">
        <f t="shared" ref="K67:K130" si="4">ROUNDDOWN(H67*1.1,2)</f>
        <v>4538.29</v>
      </c>
      <c r="L67">
        <f t="shared" ref="L67:L130" si="5">ROUNDUP(H67*1.1,2)</f>
        <v>4538.3</v>
      </c>
      <c r="M67">
        <f t="shared" ref="M67:M130" si="6">ROUND(H67*1.1,2)</f>
        <v>4538.29</v>
      </c>
      <c r="N67" s="5" t="str">
        <f t="shared" ref="N67:N130" si="7">TEXT(A67,"mmmm yyyy")</f>
        <v>January 2022</v>
      </c>
    </row>
    <row r="68" spans="1:14" x14ac:dyDescent="0.25">
      <c r="A68" s="1">
        <v>44573</v>
      </c>
      <c r="B68" t="s">
        <v>3779</v>
      </c>
      <c r="C68">
        <v>56</v>
      </c>
      <c r="D68" t="s">
        <v>9</v>
      </c>
      <c r="E68" t="s">
        <v>15</v>
      </c>
      <c r="F68" t="s">
        <v>11</v>
      </c>
      <c r="G68" t="s">
        <v>12</v>
      </c>
      <c r="H68">
        <v>1435.92</v>
      </c>
      <c r="I68" s="8" t="str" cm="1">
        <f t="array" ref="I68">_xlfn.IFS(C68&lt;=15,"Children and Young Adolescents", C68&gt;64, "Seniors", TRUE, "Working Age")</f>
        <v>Working Age</v>
      </c>
      <c r="J68" s="6">
        <f>VLOOKUP(F68,Analysis!$F$1:$G$5,2,FALSE)</f>
        <v>2503.6022787783854</v>
      </c>
      <c r="K68">
        <f t="shared" si="4"/>
        <v>1579.51</v>
      </c>
      <c r="L68">
        <f t="shared" si="5"/>
        <v>1579.52</v>
      </c>
      <c r="M68">
        <f t="shared" si="6"/>
        <v>1579.51</v>
      </c>
      <c r="N68" s="5" t="str">
        <f t="shared" si="7"/>
        <v>January 2022</v>
      </c>
    </row>
    <row r="69" spans="1:14" x14ac:dyDescent="0.25">
      <c r="A69" s="1">
        <v>44574</v>
      </c>
      <c r="B69" t="s">
        <v>4926</v>
      </c>
      <c r="C69">
        <v>10</v>
      </c>
      <c r="D69" t="s">
        <v>14</v>
      </c>
      <c r="E69" t="s">
        <v>22</v>
      </c>
      <c r="F69" t="s">
        <v>16</v>
      </c>
      <c r="G69" t="s">
        <v>12</v>
      </c>
      <c r="H69">
        <v>3857.77</v>
      </c>
      <c r="I69" s="8" t="str" cm="1">
        <f t="array" ref="I69">_xlfn.IFS(C69&lt;=15,"Children and Young Adolescents", C69&gt;64, "Seniors", TRUE, "Working Age")</f>
        <v>Children and Young Adolescents</v>
      </c>
      <c r="J69" s="6">
        <f>VLOOKUP(F69,Analysis!$F$1:$G$5,2,FALSE)</f>
        <v>2509.1716796874912</v>
      </c>
      <c r="K69">
        <f t="shared" si="4"/>
        <v>4243.54</v>
      </c>
      <c r="L69">
        <f t="shared" si="5"/>
        <v>4243.55</v>
      </c>
      <c r="M69">
        <f t="shared" si="6"/>
        <v>4243.55</v>
      </c>
      <c r="N69" s="5" t="str">
        <f t="shared" si="7"/>
        <v>January 2022</v>
      </c>
    </row>
    <row r="70" spans="1:14" x14ac:dyDescent="0.25">
      <c r="A70" s="1">
        <v>44574</v>
      </c>
      <c r="B70" t="s">
        <v>4992</v>
      </c>
      <c r="C70">
        <v>93</v>
      </c>
      <c r="D70" t="s">
        <v>14</v>
      </c>
      <c r="E70" t="s">
        <v>15</v>
      </c>
      <c r="F70" t="s">
        <v>16</v>
      </c>
      <c r="G70" t="s">
        <v>12</v>
      </c>
      <c r="H70">
        <v>2785.19</v>
      </c>
      <c r="I70" s="8" t="str" cm="1">
        <f t="array" ref="I70">_xlfn.IFS(C70&lt;=15,"Children and Young Adolescents", C70&gt;64, "Seniors", TRUE, "Working Age")</f>
        <v>Seniors</v>
      </c>
      <c r="J70" s="6">
        <f>VLOOKUP(F70,Analysis!$F$1:$G$5,2,FALSE)</f>
        <v>2509.1716796874912</v>
      </c>
      <c r="K70">
        <f t="shared" si="4"/>
        <v>3063.7</v>
      </c>
      <c r="L70">
        <f t="shared" si="5"/>
        <v>3063.71</v>
      </c>
      <c r="M70">
        <f t="shared" si="6"/>
        <v>3063.71</v>
      </c>
      <c r="N70" s="5" t="str">
        <f t="shared" si="7"/>
        <v>January 2022</v>
      </c>
    </row>
    <row r="71" spans="1:14" x14ac:dyDescent="0.25">
      <c r="A71" s="1">
        <v>44574</v>
      </c>
      <c r="B71" t="s">
        <v>830</v>
      </c>
      <c r="C71">
        <v>48</v>
      </c>
      <c r="D71" t="s">
        <v>14</v>
      </c>
      <c r="E71" t="s">
        <v>34</v>
      </c>
      <c r="F71" t="s">
        <v>23</v>
      </c>
      <c r="G71" t="s">
        <v>39</v>
      </c>
      <c r="H71">
        <v>1147.7</v>
      </c>
      <c r="I71" s="8" t="str" cm="1">
        <f t="array" ref="I71">_xlfn.IFS(C71&lt;=15,"Children and Young Adolescents", C71&gt;64, "Seniors", TRUE, "Working Age")</f>
        <v>Working Age</v>
      </c>
      <c r="J71" s="6">
        <f>VLOOKUP(F71,Analysis!$F$1:$G$5,2,FALSE)</f>
        <v>2440.2966694490838</v>
      </c>
      <c r="K71">
        <f t="shared" si="4"/>
        <v>1262.47</v>
      </c>
      <c r="L71">
        <f t="shared" si="5"/>
        <v>1262.47</v>
      </c>
      <c r="M71">
        <f t="shared" si="6"/>
        <v>1262.47</v>
      </c>
      <c r="N71" s="5" t="str">
        <f t="shared" si="7"/>
        <v>January 2022</v>
      </c>
    </row>
    <row r="72" spans="1:14" x14ac:dyDescent="0.25">
      <c r="A72" s="1">
        <v>44574</v>
      </c>
      <c r="B72" t="s">
        <v>4947</v>
      </c>
      <c r="C72">
        <v>67</v>
      </c>
      <c r="D72" t="s">
        <v>14</v>
      </c>
      <c r="E72" t="s">
        <v>22</v>
      </c>
      <c r="F72" t="s">
        <v>11</v>
      </c>
      <c r="G72" t="s">
        <v>17</v>
      </c>
      <c r="H72">
        <v>4870.5200000000004</v>
      </c>
      <c r="I72" s="8" t="str" cm="1">
        <f t="array" ref="I72">_xlfn.IFS(C72&lt;=15,"Children and Young Adolescents", C72&gt;64, "Seniors", TRUE, "Working Age")</f>
        <v>Seniors</v>
      </c>
      <c r="J72" s="6">
        <f>VLOOKUP(F72,Analysis!$F$1:$G$5,2,FALSE)</f>
        <v>2503.6022787783854</v>
      </c>
      <c r="K72">
        <f t="shared" si="4"/>
        <v>5357.57</v>
      </c>
      <c r="L72">
        <f t="shared" si="5"/>
        <v>5357.58</v>
      </c>
      <c r="M72">
        <f t="shared" si="6"/>
        <v>5357.57</v>
      </c>
      <c r="N72" s="5" t="str">
        <f t="shared" si="7"/>
        <v>January 2022</v>
      </c>
    </row>
    <row r="73" spans="1:14" x14ac:dyDescent="0.25">
      <c r="A73" s="1">
        <v>44575</v>
      </c>
      <c r="B73" t="s">
        <v>4291</v>
      </c>
      <c r="C73">
        <v>95</v>
      </c>
      <c r="D73" t="s">
        <v>9</v>
      </c>
      <c r="E73" t="s">
        <v>25</v>
      </c>
      <c r="F73" t="s">
        <v>23</v>
      </c>
      <c r="G73" t="s">
        <v>27</v>
      </c>
      <c r="H73">
        <v>1937.56</v>
      </c>
      <c r="I73" s="8" t="str" cm="1">
        <f t="array" ref="I73">_xlfn.IFS(C73&lt;=15,"Children and Young Adolescents", C73&gt;64, "Seniors", TRUE, "Working Age")</f>
        <v>Seniors</v>
      </c>
      <c r="J73" s="6">
        <f>VLOOKUP(F73,Analysis!$F$1:$G$5,2,FALSE)</f>
        <v>2440.2966694490838</v>
      </c>
      <c r="K73">
        <f t="shared" si="4"/>
        <v>2131.31</v>
      </c>
      <c r="L73">
        <f t="shared" si="5"/>
        <v>2131.3200000000002</v>
      </c>
      <c r="M73">
        <f t="shared" si="6"/>
        <v>2131.3200000000002</v>
      </c>
      <c r="N73" s="5" t="str">
        <f t="shared" si="7"/>
        <v>January 2022</v>
      </c>
    </row>
    <row r="74" spans="1:14" x14ac:dyDescent="0.25">
      <c r="A74" s="1">
        <v>44575</v>
      </c>
      <c r="B74" t="s">
        <v>2877</v>
      </c>
      <c r="C74">
        <v>40</v>
      </c>
      <c r="D74" t="s">
        <v>21</v>
      </c>
      <c r="E74" t="s">
        <v>19</v>
      </c>
      <c r="F74" t="s">
        <v>11</v>
      </c>
      <c r="G74" t="s">
        <v>17</v>
      </c>
      <c r="H74">
        <v>1926.96</v>
      </c>
      <c r="I74" s="8" t="str" cm="1">
        <f t="array" ref="I74">_xlfn.IFS(C74&lt;=15,"Children and Young Adolescents", C74&gt;64, "Seniors", TRUE, "Working Age")</f>
        <v>Working Age</v>
      </c>
      <c r="J74" s="6">
        <f>VLOOKUP(F74,Analysis!$F$1:$G$5,2,FALSE)</f>
        <v>2503.6022787783854</v>
      </c>
      <c r="K74">
        <f t="shared" si="4"/>
        <v>2119.65</v>
      </c>
      <c r="L74">
        <f t="shared" si="5"/>
        <v>2119.6600000000003</v>
      </c>
      <c r="M74">
        <f t="shared" si="6"/>
        <v>2119.66</v>
      </c>
      <c r="N74" s="5" t="str">
        <f t="shared" si="7"/>
        <v>January 2022</v>
      </c>
    </row>
    <row r="75" spans="1:14" x14ac:dyDescent="0.25">
      <c r="A75" s="1">
        <v>44575</v>
      </c>
      <c r="B75" t="s">
        <v>4610</v>
      </c>
      <c r="C75">
        <v>80</v>
      </c>
      <c r="D75" t="s">
        <v>21</v>
      </c>
      <c r="E75" t="s">
        <v>19</v>
      </c>
      <c r="F75" t="s">
        <v>29</v>
      </c>
      <c r="G75" t="s">
        <v>17</v>
      </c>
      <c r="H75">
        <v>3099.2</v>
      </c>
      <c r="I75" s="8" t="str" cm="1">
        <f t="array" ref="I75">_xlfn.IFS(C75&lt;=15,"Children and Young Adolescents", C75&gt;64, "Seniors", TRUE, "Working Age")</f>
        <v>Seniors</v>
      </c>
      <c r="J75" s="6">
        <f>VLOOKUP(F75,Analysis!$F$1:$G$5,2,FALSE)</f>
        <v>2496.7676064256989</v>
      </c>
      <c r="K75">
        <f t="shared" si="4"/>
        <v>3409.12</v>
      </c>
      <c r="L75">
        <f t="shared" si="5"/>
        <v>3409.12</v>
      </c>
      <c r="M75">
        <f t="shared" si="6"/>
        <v>3409.12</v>
      </c>
      <c r="N75" s="5" t="str">
        <f t="shared" si="7"/>
        <v>January 2022</v>
      </c>
    </row>
    <row r="76" spans="1:14" x14ac:dyDescent="0.25">
      <c r="A76" s="1">
        <v>44575</v>
      </c>
      <c r="B76" t="s">
        <v>4975</v>
      </c>
      <c r="C76">
        <v>44</v>
      </c>
      <c r="D76" t="s">
        <v>14</v>
      </c>
      <c r="E76" t="s">
        <v>15</v>
      </c>
      <c r="F76" t="s">
        <v>16</v>
      </c>
      <c r="G76" t="s">
        <v>39</v>
      </c>
      <c r="H76">
        <v>1983.92</v>
      </c>
      <c r="I76" s="8" t="str" cm="1">
        <f t="array" ref="I76">_xlfn.IFS(C76&lt;=15,"Children and Young Adolescents", C76&gt;64, "Seniors", TRUE, "Working Age")</f>
        <v>Working Age</v>
      </c>
      <c r="J76" s="6">
        <f>VLOOKUP(F76,Analysis!$F$1:$G$5,2,FALSE)</f>
        <v>2509.1716796874912</v>
      </c>
      <c r="K76">
        <f t="shared" si="4"/>
        <v>2182.31</v>
      </c>
      <c r="L76">
        <f t="shared" si="5"/>
        <v>2182.3200000000002</v>
      </c>
      <c r="M76">
        <f t="shared" si="6"/>
        <v>2182.31</v>
      </c>
      <c r="N76" s="5" t="str">
        <f t="shared" si="7"/>
        <v>January 2022</v>
      </c>
    </row>
    <row r="77" spans="1:14" x14ac:dyDescent="0.25">
      <c r="A77" s="1">
        <v>44575</v>
      </c>
      <c r="B77" t="s">
        <v>4620</v>
      </c>
      <c r="C77">
        <v>66</v>
      </c>
      <c r="D77" t="s">
        <v>14</v>
      </c>
      <c r="E77" t="s">
        <v>10</v>
      </c>
      <c r="F77" t="s">
        <v>23</v>
      </c>
      <c r="G77" t="s">
        <v>12</v>
      </c>
      <c r="H77">
        <v>3718.41</v>
      </c>
      <c r="I77" s="8" t="str" cm="1">
        <f t="array" ref="I77">_xlfn.IFS(C77&lt;=15,"Children and Young Adolescents", C77&gt;64, "Seniors", TRUE, "Working Age")</f>
        <v>Seniors</v>
      </c>
      <c r="J77" s="6">
        <f>VLOOKUP(F77,Analysis!$F$1:$G$5,2,FALSE)</f>
        <v>2440.2966694490838</v>
      </c>
      <c r="K77">
        <f t="shared" si="4"/>
        <v>4090.25</v>
      </c>
      <c r="L77">
        <f t="shared" si="5"/>
        <v>4090.26</v>
      </c>
      <c r="M77">
        <f t="shared" si="6"/>
        <v>4090.25</v>
      </c>
      <c r="N77" s="5" t="str">
        <f t="shared" si="7"/>
        <v>January 2022</v>
      </c>
    </row>
    <row r="78" spans="1:14" x14ac:dyDescent="0.25">
      <c r="A78" s="1">
        <v>44575</v>
      </c>
      <c r="B78" t="s">
        <v>1616</v>
      </c>
      <c r="C78">
        <v>82</v>
      </c>
      <c r="D78" t="s">
        <v>9</v>
      </c>
      <c r="E78" t="s">
        <v>5032</v>
      </c>
      <c r="F78" t="s">
        <v>23</v>
      </c>
      <c r="G78" t="s">
        <v>27</v>
      </c>
      <c r="H78">
        <v>2364.6</v>
      </c>
      <c r="I78" s="8" t="str" cm="1">
        <f t="array" ref="I78">_xlfn.IFS(C78&lt;=15,"Children and Young Adolescents", C78&gt;64, "Seniors", TRUE, "Working Age")</f>
        <v>Seniors</v>
      </c>
      <c r="J78" s="6">
        <f>VLOOKUP(F78,Analysis!$F$1:$G$5,2,FALSE)</f>
        <v>2440.2966694490838</v>
      </c>
      <c r="K78">
        <f t="shared" si="4"/>
        <v>2601.06</v>
      </c>
      <c r="L78">
        <f t="shared" si="5"/>
        <v>2601.06</v>
      </c>
      <c r="M78">
        <f t="shared" si="6"/>
        <v>2601.06</v>
      </c>
      <c r="N78" s="5" t="str">
        <f t="shared" si="7"/>
        <v>January 2022</v>
      </c>
    </row>
    <row r="79" spans="1:14" x14ac:dyDescent="0.25">
      <c r="A79" s="1">
        <v>44575</v>
      </c>
      <c r="B79" t="s">
        <v>4186</v>
      </c>
      <c r="C79">
        <v>31</v>
      </c>
      <c r="D79" t="s">
        <v>9</v>
      </c>
      <c r="E79" t="s">
        <v>19</v>
      </c>
      <c r="F79" t="s">
        <v>23</v>
      </c>
      <c r="G79" t="s">
        <v>36</v>
      </c>
      <c r="H79">
        <v>283.75</v>
      </c>
      <c r="I79" s="8" t="str" cm="1">
        <f t="array" ref="I79">_xlfn.IFS(C79&lt;=15,"Children and Young Adolescents", C79&gt;64, "Seniors", TRUE, "Working Age")</f>
        <v>Working Age</v>
      </c>
      <c r="J79" s="6">
        <f>VLOOKUP(F79,Analysis!$F$1:$G$5,2,FALSE)</f>
        <v>2440.2966694490838</v>
      </c>
      <c r="K79">
        <f t="shared" si="4"/>
        <v>312.12</v>
      </c>
      <c r="L79">
        <f t="shared" si="5"/>
        <v>312.13</v>
      </c>
      <c r="M79">
        <f t="shared" si="6"/>
        <v>312.13</v>
      </c>
      <c r="N79" s="5" t="str">
        <f t="shared" si="7"/>
        <v>January 2022</v>
      </c>
    </row>
    <row r="80" spans="1:14" x14ac:dyDescent="0.25">
      <c r="A80" s="1">
        <v>44575</v>
      </c>
      <c r="B80" t="s">
        <v>3442</v>
      </c>
      <c r="C80">
        <v>95</v>
      </c>
      <c r="D80" t="s">
        <v>21</v>
      </c>
      <c r="E80" t="s">
        <v>19</v>
      </c>
      <c r="F80" t="s">
        <v>23</v>
      </c>
      <c r="G80" t="s">
        <v>12</v>
      </c>
      <c r="H80">
        <v>1049.6400000000001</v>
      </c>
      <c r="I80" s="8" t="str" cm="1">
        <f t="array" ref="I80">_xlfn.IFS(C80&lt;=15,"Children and Young Adolescents", C80&gt;64, "Seniors", TRUE, "Working Age")</f>
        <v>Seniors</v>
      </c>
      <c r="J80" s="6">
        <f>VLOOKUP(F80,Analysis!$F$1:$G$5,2,FALSE)</f>
        <v>2440.2966694490838</v>
      </c>
      <c r="K80">
        <f t="shared" si="4"/>
        <v>1154.5999999999999</v>
      </c>
      <c r="L80">
        <f t="shared" si="5"/>
        <v>1154.6099999999999</v>
      </c>
      <c r="M80">
        <f t="shared" si="6"/>
        <v>1154.5999999999999</v>
      </c>
      <c r="N80" s="5" t="str">
        <f t="shared" si="7"/>
        <v>January 2022</v>
      </c>
    </row>
    <row r="81" spans="1:14" x14ac:dyDescent="0.25">
      <c r="A81" s="1">
        <v>44575</v>
      </c>
      <c r="B81" t="s">
        <v>4275</v>
      </c>
      <c r="C81">
        <v>18</v>
      </c>
      <c r="D81" t="s">
        <v>14</v>
      </c>
      <c r="E81" t="s">
        <v>19</v>
      </c>
      <c r="F81" t="s">
        <v>11</v>
      </c>
      <c r="G81" t="s">
        <v>39</v>
      </c>
      <c r="H81">
        <v>4108.67</v>
      </c>
      <c r="I81" s="8" t="str" cm="1">
        <f t="array" ref="I81">_xlfn.IFS(C81&lt;=15,"Children and Young Adolescents", C81&gt;64, "Seniors", TRUE, "Working Age")</f>
        <v>Working Age</v>
      </c>
      <c r="J81" s="6">
        <f>VLOOKUP(F81,Analysis!$F$1:$G$5,2,FALSE)</f>
        <v>2503.6022787783854</v>
      </c>
      <c r="K81">
        <f t="shared" si="4"/>
        <v>4519.53</v>
      </c>
      <c r="L81">
        <f t="shared" si="5"/>
        <v>4519.54</v>
      </c>
      <c r="M81">
        <f t="shared" si="6"/>
        <v>4519.54</v>
      </c>
      <c r="N81" s="5" t="str">
        <f t="shared" si="7"/>
        <v>January 2022</v>
      </c>
    </row>
    <row r="82" spans="1:14" x14ac:dyDescent="0.25">
      <c r="A82" s="1">
        <v>44575</v>
      </c>
      <c r="B82" t="s">
        <v>4978</v>
      </c>
      <c r="C82">
        <v>43</v>
      </c>
      <c r="D82" t="s">
        <v>14</v>
      </c>
      <c r="E82" t="s">
        <v>32</v>
      </c>
      <c r="F82" t="s">
        <v>23</v>
      </c>
      <c r="G82" t="s">
        <v>17</v>
      </c>
      <c r="H82">
        <v>2117.8000000000002</v>
      </c>
      <c r="I82" s="8" t="str" cm="1">
        <f t="array" ref="I82">_xlfn.IFS(C82&lt;=15,"Children and Young Adolescents", C82&gt;64, "Seniors", TRUE, "Working Age")</f>
        <v>Working Age</v>
      </c>
      <c r="J82" s="6">
        <f>VLOOKUP(F82,Analysis!$F$1:$G$5,2,FALSE)</f>
        <v>2440.2966694490838</v>
      </c>
      <c r="K82">
        <f t="shared" si="4"/>
        <v>2329.58</v>
      </c>
      <c r="L82">
        <f t="shared" si="5"/>
        <v>2329.58</v>
      </c>
      <c r="M82">
        <f t="shared" si="6"/>
        <v>2329.58</v>
      </c>
      <c r="N82" s="5" t="str">
        <f t="shared" si="7"/>
        <v>January 2022</v>
      </c>
    </row>
    <row r="83" spans="1:14" x14ac:dyDescent="0.25">
      <c r="A83" s="1">
        <v>44576</v>
      </c>
      <c r="B83" t="s">
        <v>4968</v>
      </c>
      <c r="C83">
        <v>53</v>
      </c>
      <c r="D83" t="s">
        <v>9</v>
      </c>
      <c r="E83" t="s">
        <v>25</v>
      </c>
      <c r="F83" t="s">
        <v>11</v>
      </c>
      <c r="G83" t="s">
        <v>27</v>
      </c>
      <c r="H83">
        <v>336.04</v>
      </c>
      <c r="I83" s="8" t="str" cm="1">
        <f t="array" ref="I83">_xlfn.IFS(C83&lt;=15,"Children and Young Adolescents", C83&gt;64, "Seniors", TRUE, "Working Age")</f>
        <v>Working Age</v>
      </c>
      <c r="J83" s="6">
        <f>VLOOKUP(F83,Analysis!$F$1:$G$5,2,FALSE)</f>
        <v>2503.6022787783854</v>
      </c>
      <c r="K83">
        <f t="shared" si="4"/>
        <v>369.64</v>
      </c>
      <c r="L83">
        <f t="shared" si="5"/>
        <v>369.65</v>
      </c>
      <c r="M83">
        <f t="shared" si="6"/>
        <v>369.64</v>
      </c>
      <c r="N83" s="5" t="str">
        <f t="shared" si="7"/>
        <v>January 2022</v>
      </c>
    </row>
    <row r="84" spans="1:14" x14ac:dyDescent="0.25">
      <c r="A84" s="1">
        <v>44576</v>
      </c>
      <c r="B84" t="s">
        <v>3518</v>
      </c>
      <c r="C84">
        <v>9</v>
      </c>
      <c r="D84" t="s">
        <v>9</v>
      </c>
      <c r="E84" t="s">
        <v>15</v>
      </c>
      <c r="F84" t="s">
        <v>29</v>
      </c>
      <c r="G84" t="s">
        <v>17</v>
      </c>
      <c r="H84">
        <v>1180.4000000000001</v>
      </c>
      <c r="I84" s="8" t="str" cm="1">
        <f t="array" ref="I84">_xlfn.IFS(C84&lt;=15,"Children and Young Adolescents", C84&gt;64, "Seniors", TRUE, "Working Age")</f>
        <v>Children and Young Adolescents</v>
      </c>
      <c r="J84" s="6">
        <f>VLOOKUP(F84,Analysis!$F$1:$G$5,2,FALSE)</f>
        <v>2496.7676064256989</v>
      </c>
      <c r="K84">
        <f t="shared" si="4"/>
        <v>1298.44</v>
      </c>
      <c r="L84">
        <f t="shared" si="5"/>
        <v>1298.44</v>
      </c>
      <c r="M84">
        <f t="shared" si="6"/>
        <v>1298.44</v>
      </c>
      <c r="N84" s="5" t="str">
        <f t="shared" si="7"/>
        <v>January 2022</v>
      </c>
    </row>
    <row r="85" spans="1:14" x14ac:dyDescent="0.25">
      <c r="A85" s="1">
        <v>44577</v>
      </c>
      <c r="B85" t="s">
        <v>4494</v>
      </c>
      <c r="C85">
        <v>80</v>
      </c>
      <c r="D85" t="s">
        <v>14</v>
      </c>
      <c r="E85" t="s">
        <v>19</v>
      </c>
      <c r="F85" t="s">
        <v>23</v>
      </c>
      <c r="G85" t="s">
        <v>17</v>
      </c>
      <c r="H85">
        <v>824.9</v>
      </c>
      <c r="I85" s="8" t="str" cm="1">
        <f t="array" ref="I85">_xlfn.IFS(C85&lt;=15,"Children and Young Adolescents", C85&gt;64, "Seniors", TRUE, "Working Age")</f>
        <v>Seniors</v>
      </c>
      <c r="J85" s="6">
        <f>VLOOKUP(F85,Analysis!$F$1:$G$5,2,FALSE)</f>
        <v>2440.2966694490838</v>
      </c>
      <c r="K85">
        <f t="shared" si="4"/>
        <v>907.39</v>
      </c>
      <c r="L85">
        <f t="shared" si="5"/>
        <v>907.39</v>
      </c>
      <c r="M85">
        <f t="shared" si="6"/>
        <v>907.39</v>
      </c>
      <c r="N85" s="5" t="str">
        <f t="shared" si="7"/>
        <v>January 2022</v>
      </c>
    </row>
    <row r="86" spans="1:14" x14ac:dyDescent="0.25">
      <c r="A86" s="1">
        <v>44577</v>
      </c>
      <c r="B86" t="s">
        <v>3585</v>
      </c>
      <c r="C86">
        <v>63</v>
      </c>
      <c r="D86" t="s">
        <v>9</v>
      </c>
      <c r="E86" t="s">
        <v>22</v>
      </c>
      <c r="F86" t="s">
        <v>11</v>
      </c>
      <c r="G86" t="s">
        <v>36</v>
      </c>
      <c r="H86">
        <v>4954.8</v>
      </c>
      <c r="I86" s="8" t="str" cm="1">
        <f t="array" ref="I86">_xlfn.IFS(C86&lt;=15,"Children and Young Adolescents", C86&gt;64, "Seniors", TRUE, "Working Age")</f>
        <v>Working Age</v>
      </c>
      <c r="J86" s="6">
        <f>VLOOKUP(F86,Analysis!$F$1:$G$5,2,FALSE)</f>
        <v>2503.6022787783854</v>
      </c>
      <c r="K86">
        <f t="shared" si="4"/>
        <v>5450.28</v>
      </c>
      <c r="L86">
        <f t="shared" si="5"/>
        <v>5450.28</v>
      </c>
      <c r="M86">
        <f t="shared" si="6"/>
        <v>5450.28</v>
      </c>
      <c r="N86" s="5" t="str">
        <f t="shared" si="7"/>
        <v>January 2022</v>
      </c>
    </row>
    <row r="87" spans="1:14" x14ac:dyDescent="0.25">
      <c r="A87" s="1">
        <v>44577</v>
      </c>
      <c r="B87" t="s">
        <v>1143</v>
      </c>
      <c r="C87">
        <v>73</v>
      </c>
      <c r="D87" t="s">
        <v>14</v>
      </c>
      <c r="E87" t="s">
        <v>19</v>
      </c>
      <c r="F87" t="s">
        <v>16</v>
      </c>
      <c r="G87" t="s">
        <v>17</v>
      </c>
      <c r="H87">
        <v>650.71</v>
      </c>
      <c r="I87" s="8" t="str" cm="1">
        <f t="array" ref="I87">_xlfn.IFS(C87&lt;=15,"Children and Young Adolescents", C87&gt;64, "Seniors", TRUE, "Working Age")</f>
        <v>Seniors</v>
      </c>
      <c r="J87" s="6">
        <f>VLOOKUP(F87,Analysis!$F$1:$G$5,2,FALSE)</f>
        <v>2509.1716796874912</v>
      </c>
      <c r="K87">
        <f t="shared" si="4"/>
        <v>715.78</v>
      </c>
      <c r="L87">
        <f t="shared" si="5"/>
        <v>715.79</v>
      </c>
      <c r="M87">
        <f t="shared" si="6"/>
        <v>715.78</v>
      </c>
      <c r="N87" s="5" t="str">
        <f t="shared" si="7"/>
        <v>January 2022</v>
      </c>
    </row>
    <row r="88" spans="1:14" x14ac:dyDescent="0.25">
      <c r="A88" s="1">
        <v>44577</v>
      </c>
      <c r="B88" t="s">
        <v>3310</v>
      </c>
      <c r="C88">
        <v>42</v>
      </c>
      <c r="D88" t="s">
        <v>9</v>
      </c>
      <c r="E88" t="s">
        <v>19</v>
      </c>
      <c r="F88" t="s">
        <v>16</v>
      </c>
      <c r="G88" t="s">
        <v>36</v>
      </c>
      <c r="H88">
        <v>3060.98</v>
      </c>
      <c r="I88" s="8" t="str" cm="1">
        <f t="array" ref="I88">_xlfn.IFS(C88&lt;=15,"Children and Young Adolescents", C88&gt;64, "Seniors", TRUE, "Working Age")</f>
        <v>Working Age</v>
      </c>
      <c r="J88" s="6">
        <f>VLOOKUP(F88,Analysis!$F$1:$G$5,2,FALSE)</f>
        <v>2509.1716796874912</v>
      </c>
      <c r="K88">
        <f t="shared" si="4"/>
        <v>3367.07</v>
      </c>
      <c r="L88">
        <f t="shared" si="5"/>
        <v>3367.0800000000004</v>
      </c>
      <c r="M88">
        <f t="shared" si="6"/>
        <v>3367.08</v>
      </c>
      <c r="N88" s="5" t="str">
        <f t="shared" si="7"/>
        <v>January 2022</v>
      </c>
    </row>
    <row r="89" spans="1:14" x14ac:dyDescent="0.25">
      <c r="A89" s="1">
        <v>44577</v>
      </c>
      <c r="B89" t="s">
        <v>4495</v>
      </c>
      <c r="C89">
        <v>10</v>
      </c>
      <c r="D89" t="s">
        <v>21</v>
      </c>
      <c r="E89" t="s">
        <v>22</v>
      </c>
      <c r="F89" t="s">
        <v>16</v>
      </c>
      <c r="G89" t="s">
        <v>27</v>
      </c>
      <c r="H89">
        <v>1608.31</v>
      </c>
      <c r="I89" s="8" t="str" cm="1">
        <f t="array" ref="I89">_xlfn.IFS(C89&lt;=15,"Children and Young Adolescents", C89&gt;64, "Seniors", TRUE, "Working Age")</f>
        <v>Children and Young Adolescents</v>
      </c>
      <c r="J89" s="6">
        <f>VLOOKUP(F89,Analysis!$F$1:$G$5,2,FALSE)</f>
        <v>2509.1716796874912</v>
      </c>
      <c r="K89">
        <f t="shared" si="4"/>
        <v>1769.14</v>
      </c>
      <c r="L89">
        <f t="shared" si="5"/>
        <v>1769.15</v>
      </c>
      <c r="M89">
        <f t="shared" si="6"/>
        <v>1769.14</v>
      </c>
      <c r="N89" s="5" t="str">
        <f t="shared" si="7"/>
        <v>January 2022</v>
      </c>
    </row>
    <row r="90" spans="1:14" x14ac:dyDescent="0.25">
      <c r="A90" s="1">
        <v>44578</v>
      </c>
      <c r="B90" t="s">
        <v>890</v>
      </c>
      <c r="C90">
        <v>19</v>
      </c>
      <c r="D90" t="s">
        <v>9</v>
      </c>
      <c r="E90" t="s">
        <v>10</v>
      </c>
      <c r="F90" t="s">
        <v>29</v>
      </c>
      <c r="G90" t="s">
        <v>36</v>
      </c>
      <c r="H90">
        <v>1857.66</v>
      </c>
      <c r="I90" s="8" t="str" cm="1">
        <f t="array" ref="I90">_xlfn.IFS(C90&lt;=15,"Children and Young Adolescents", C90&gt;64, "Seniors", TRUE, "Working Age")</f>
        <v>Working Age</v>
      </c>
      <c r="J90" s="6">
        <f>VLOOKUP(F90,Analysis!$F$1:$G$5,2,FALSE)</f>
        <v>2496.7676064256989</v>
      </c>
      <c r="K90">
        <f t="shared" si="4"/>
        <v>2043.42</v>
      </c>
      <c r="L90">
        <f t="shared" si="5"/>
        <v>2043.43</v>
      </c>
      <c r="M90">
        <f t="shared" si="6"/>
        <v>2043.43</v>
      </c>
      <c r="N90" s="5" t="str">
        <f t="shared" si="7"/>
        <v>January 2022</v>
      </c>
    </row>
    <row r="91" spans="1:14" x14ac:dyDescent="0.25">
      <c r="A91" s="1">
        <v>44578</v>
      </c>
      <c r="B91" t="s">
        <v>3141</v>
      </c>
      <c r="C91">
        <v>53</v>
      </c>
      <c r="D91" t="s">
        <v>21</v>
      </c>
      <c r="E91" t="s">
        <v>19</v>
      </c>
      <c r="F91" t="s">
        <v>29</v>
      </c>
      <c r="G91" t="s">
        <v>27</v>
      </c>
      <c r="H91">
        <v>4246.37</v>
      </c>
      <c r="I91" s="8" t="str" cm="1">
        <f t="array" ref="I91">_xlfn.IFS(C91&lt;=15,"Children and Young Adolescents", C91&gt;64, "Seniors", TRUE, "Working Age")</f>
        <v>Working Age</v>
      </c>
      <c r="J91" s="6">
        <f>VLOOKUP(F91,Analysis!$F$1:$G$5,2,FALSE)</f>
        <v>2496.7676064256989</v>
      </c>
      <c r="K91">
        <f t="shared" si="4"/>
        <v>4671</v>
      </c>
      <c r="L91">
        <f t="shared" si="5"/>
        <v>4671.01</v>
      </c>
      <c r="M91">
        <f t="shared" si="6"/>
        <v>4671.01</v>
      </c>
      <c r="N91" s="5" t="str">
        <f t="shared" si="7"/>
        <v>January 2022</v>
      </c>
    </row>
    <row r="92" spans="1:14" x14ac:dyDescent="0.25">
      <c r="A92" s="1">
        <v>44578</v>
      </c>
      <c r="B92" t="s">
        <v>2011</v>
      </c>
      <c r="C92">
        <v>88</v>
      </c>
      <c r="D92" t="s">
        <v>9</v>
      </c>
      <c r="E92" t="s">
        <v>34</v>
      </c>
      <c r="F92" t="s">
        <v>23</v>
      </c>
      <c r="G92" t="s">
        <v>17</v>
      </c>
      <c r="H92">
        <v>1375.73</v>
      </c>
      <c r="I92" s="8" t="str" cm="1">
        <f t="array" ref="I92">_xlfn.IFS(C92&lt;=15,"Children and Young Adolescents", C92&gt;64, "Seniors", TRUE, "Working Age")</f>
        <v>Seniors</v>
      </c>
      <c r="J92" s="6">
        <f>VLOOKUP(F92,Analysis!$F$1:$G$5,2,FALSE)</f>
        <v>2440.2966694490838</v>
      </c>
      <c r="K92">
        <f t="shared" si="4"/>
        <v>1513.3</v>
      </c>
      <c r="L92">
        <f t="shared" si="5"/>
        <v>1513.31</v>
      </c>
      <c r="M92">
        <f t="shared" si="6"/>
        <v>1513.3</v>
      </c>
      <c r="N92" s="5" t="str">
        <f t="shared" si="7"/>
        <v>January 2022</v>
      </c>
    </row>
    <row r="93" spans="1:14" x14ac:dyDescent="0.25">
      <c r="A93" s="1">
        <v>44578</v>
      </c>
      <c r="B93" t="s">
        <v>1774</v>
      </c>
      <c r="C93">
        <v>63</v>
      </c>
      <c r="D93" t="s">
        <v>21</v>
      </c>
      <c r="E93" t="s">
        <v>5032</v>
      </c>
      <c r="F93" t="s">
        <v>23</v>
      </c>
      <c r="G93" t="s">
        <v>36</v>
      </c>
      <c r="H93">
        <v>189.91</v>
      </c>
      <c r="I93" s="8" t="str" cm="1">
        <f t="array" ref="I93">_xlfn.IFS(C93&lt;=15,"Children and Young Adolescents", C93&gt;64, "Seniors", TRUE, "Working Age")</f>
        <v>Working Age</v>
      </c>
      <c r="J93" s="6">
        <f>VLOOKUP(F93,Analysis!$F$1:$G$5,2,FALSE)</f>
        <v>2440.2966694490838</v>
      </c>
      <c r="K93">
        <f t="shared" si="4"/>
        <v>208.9</v>
      </c>
      <c r="L93">
        <f t="shared" si="5"/>
        <v>208.91</v>
      </c>
      <c r="M93">
        <f t="shared" si="6"/>
        <v>208.9</v>
      </c>
      <c r="N93" s="5" t="str">
        <f t="shared" si="7"/>
        <v>January 2022</v>
      </c>
    </row>
    <row r="94" spans="1:14" x14ac:dyDescent="0.25">
      <c r="A94" s="1">
        <v>44578</v>
      </c>
      <c r="B94" t="s">
        <v>3235</v>
      </c>
      <c r="C94">
        <v>98</v>
      </c>
      <c r="D94" t="s">
        <v>14</v>
      </c>
      <c r="E94" t="s">
        <v>10</v>
      </c>
      <c r="F94" t="s">
        <v>16</v>
      </c>
      <c r="G94" t="s">
        <v>39</v>
      </c>
      <c r="H94">
        <v>3542.62</v>
      </c>
      <c r="I94" s="8" t="str" cm="1">
        <f t="array" ref="I94">_xlfn.IFS(C94&lt;=15,"Children and Young Adolescents", C94&gt;64, "Seniors", TRUE, "Working Age")</f>
        <v>Seniors</v>
      </c>
      <c r="J94" s="6">
        <f>VLOOKUP(F94,Analysis!$F$1:$G$5,2,FALSE)</f>
        <v>2509.1716796874912</v>
      </c>
      <c r="K94">
        <f t="shared" si="4"/>
        <v>3896.88</v>
      </c>
      <c r="L94">
        <f t="shared" si="5"/>
        <v>3896.8900000000003</v>
      </c>
      <c r="M94">
        <f t="shared" si="6"/>
        <v>3896.88</v>
      </c>
      <c r="N94" s="5" t="str">
        <f t="shared" si="7"/>
        <v>January 2022</v>
      </c>
    </row>
    <row r="95" spans="1:14" x14ac:dyDescent="0.25">
      <c r="A95" s="1">
        <v>44579</v>
      </c>
      <c r="B95" t="s">
        <v>2090</v>
      </c>
      <c r="C95">
        <v>53</v>
      </c>
      <c r="D95" t="s">
        <v>9</v>
      </c>
      <c r="E95" t="s">
        <v>5032</v>
      </c>
      <c r="F95" t="s">
        <v>29</v>
      </c>
      <c r="G95" t="s">
        <v>36</v>
      </c>
      <c r="H95">
        <v>525.55999999999995</v>
      </c>
      <c r="I95" s="8" t="str" cm="1">
        <f t="array" ref="I95">_xlfn.IFS(C95&lt;=15,"Children and Young Adolescents", C95&gt;64, "Seniors", TRUE, "Working Age")</f>
        <v>Working Age</v>
      </c>
      <c r="J95" s="6">
        <f>VLOOKUP(F95,Analysis!$F$1:$G$5,2,FALSE)</f>
        <v>2496.7676064256989</v>
      </c>
      <c r="K95">
        <f t="shared" si="4"/>
        <v>578.11</v>
      </c>
      <c r="L95">
        <f t="shared" si="5"/>
        <v>578.12</v>
      </c>
      <c r="M95">
        <f t="shared" si="6"/>
        <v>578.12</v>
      </c>
      <c r="N95" s="5" t="str">
        <f t="shared" si="7"/>
        <v>January 2022</v>
      </c>
    </row>
    <row r="96" spans="1:14" x14ac:dyDescent="0.25">
      <c r="A96" s="1">
        <v>44579</v>
      </c>
      <c r="B96" t="s">
        <v>986</v>
      </c>
      <c r="C96">
        <v>0</v>
      </c>
      <c r="D96" t="s">
        <v>9</v>
      </c>
      <c r="E96" t="s">
        <v>19</v>
      </c>
      <c r="F96" t="s">
        <v>11</v>
      </c>
      <c r="G96" t="s">
        <v>17</v>
      </c>
      <c r="H96">
        <v>3775.75</v>
      </c>
      <c r="I96" s="8" t="str" cm="1">
        <f t="array" ref="I96">_xlfn.IFS(C96&lt;=15,"Children and Young Adolescents", C96&gt;64, "Seniors", TRUE, "Working Age")</f>
        <v>Children and Young Adolescents</v>
      </c>
      <c r="J96" s="6">
        <f>VLOOKUP(F96,Analysis!$F$1:$G$5,2,FALSE)</f>
        <v>2503.6022787783854</v>
      </c>
      <c r="K96">
        <f t="shared" si="4"/>
        <v>4153.32</v>
      </c>
      <c r="L96">
        <f t="shared" si="5"/>
        <v>4153.33</v>
      </c>
      <c r="M96">
        <f t="shared" si="6"/>
        <v>4153.33</v>
      </c>
      <c r="N96" s="5" t="str">
        <f t="shared" si="7"/>
        <v>January 2022</v>
      </c>
    </row>
    <row r="97" spans="1:14" x14ac:dyDescent="0.25">
      <c r="A97" s="1">
        <v>44579</v>
      </c>
      <c r="B97" t="s">
        <v>1819</v>
      </c>
      <c r="C97">
        <v>92</v>
      </c>
      <c r="D97" t="s">
        <v>9</v>
      </c>
      <c r="E97" t="s">
        <v>34</v>
      </c>
      <c r="F97" t="s">
        <v>11</v>
      </c>
      <c r="G97" t="s">
        <v>12</v>
      </c>
      <c r="H97">
        <v>2042.87</v>
      </c>
      <c r="I97" s="8" t="str" cm="1">
        <f t="array" ref="I97">_xlfn.IFS(C97&lt;=15,"Children and Young Adolescents", C97&gt;64, "Seniors", TRUE, "Working Age")</f>
        <v>Seniors</v>
      </c>
      <c r="J97" s="6">
        <f>VLOOKUP(F97,Analysis!$F$1:$G$5,2,FALSE)</f>
        <v>2503.6022787783854</v>
      </c>
      <c r="K97">
        <f t="shared" si="4"/>
        <v>2247.15</v>
      </c>
      <c r="L97">
        <f t="shared" si="5"/>
        <v>2247.1600000000003</v>
      </c>
      <c r="M97">
        <f t="shared" si="6"/>
        <v>2247.16</v>
      </c>
      <c r="N97" s="5" t="str">
        <f t="shared" si="7"/>
        <v>January 2022</v>
      </c>
    </row>
    <row r="98" spans="1:14" x14ac:dyDescent="0.25">
      <c r="A98" s="1">
        <v>44579</v>
      </c>
      <c r="B98" t="s">
        <v>2170</v>
      </c>
      <c r="C98">
        <v>17</v>
      </c>
      <c r="D98" t="s">
        <v>21</v>
      </c>
      <c r="E98" t="s">
        <v>10</v>
      </c>
      <c r="F98" t="s">
        <v>16</v>
      </c>
      <c r="G98" t="s">
        <v>17</v>
      </c>
      <c r="H98">
        <v>1785.6</v>
      </c>
      <c r="I98" s="8" t="str" cm="1">
        <f t="array" ref="I98">_xlfn.IFS(C98&lt;=15,"Children and Young Adolescents", C98&gt;64, "Seniors", TRUE, "Working Age")</f>
        <v>Working Age</v>
      </c>
      <c r="J98" s="6">
        <f>VLOOKUP(F98,Analysis!$F$1:$G$5,2,FALSE)</f>
        <v>2509.1716796874912</v>
      </c>
      <c r="K98">
        <f t="shared" si="4"/>
        <v>1964.16</v>
      </c>
      <c r="L98">
        <f t="shared" si="5"/>
        <v>1964.16</v>
      </c>
      <c r="M98">
        <f t="shared" si="6"/>
        <v>1964.16</v>
      </c>
      <c r="N98" s="5" t="str">
        <f t="shared" si="7"/>
        <v>January 2022</v>
      </c>
    </row>
    <row r="99" spans="1:14" x14ac:dyDescent="0.25">
      <c r="A99" s="1">
        <v>44579</v>
      </c>
      <c r="B99" t="s">
        <v>1071</v>
      </c>
      <c r="C99">
        <v>48</v>
      </c>
      <c r="D99" t="s">
        <v>9</v>
      </c>
      <c r="E99" t="s">
        <v>22</v>
      </c>
      <c r="F99" t="s">
        <v>16</v>
      </c>
      <c r="G99" t="s">
        <v>12</v>
      </c>
      <c r="H99">
        <v>4665.28</v>
      </c>
      <c r="I99" s="8" t="str" cm="1">
        <f t="array" ref="I99">_xlfn.IFS(C99&lt;=15,"Children and Young Adolescents", C99&gt;64, "Seniors", TRUE, "Working Age")</f>
        <v>Working Age</v>
      </c>
      <c r="J99" s="6">
        <f>VLOOKUP(F99,Analysis!$F$1:$G$5,2,FALSE)</f>
        <v>2509.1716796874912</v>
      </c>
      <c r="K99">
        <f t="shared" si="4"/>
        <v>5131.8</v>
      </c>
      <c r="L99">
        <f t="shared" si="5"/>
        <v>5131.8100000000004</v>
      </c>
      <c r="M99">
        <f t="shared" si="6"/>
        <v>5131.8100000000004</v>
      </c>
      <c r="N99" s="5" t="str">
        <f t="shared" si="7"/>
        <v>January 2022</v>
      </c>
    </row>
    <row r="100" spans="1:14" x14ac:dyDescent="0.25">
      <c r="A100" s="1">
        <v>44579</v>
      </c>
      <c r="B100" t="s">
        <v>242</v>
      </c>
      <c r="C100">
        <v>57</v>
      </c>
      <c r="D100" t="s">
        <v>9</v>
      </c>
      <c r="E100" t="s">
        <v>22</v>
      </c>
      <c r="F100" t="s">
        <v>11</v>
      </c>
      <c r="G100" t="s">
        <v>36</v>
      </c>
      <c r="H100">
        <v>1299.4000000000001</v>
      </c>
      <c r="I100" s="8" t="str" cm="1">
        <f t="array" ref="I100">_xlfn.IFS(C100&lt;=15,"Children and Young Adolescents", C100&gt;64, "Seniors", TRUE, "Working Age")</f>
        <v>Working Age</v>
      </c>
      <c r="J100" s="6">
        <f>VLOOKUP(F100,Analysis!$F$1:$G$5,2,FALSE)</f>
        <v>2503.6022787783854</v>
      </c>
      <c r="K100">
        <f t="shared" si="4"/>
        <v>1429.34</v>
      </c>
      <c r="L100">
        <f t="shared" si="5"/>
        <v>1429.34</v>
      </c>
      <c r="M100">
        <f t="shared" si="6"/>
        <v>1429.34</v>
      </c>
      <c r="N100" s="5" t="str">
        <f t="shared" si="7"/>
        <v>January 2022</v>
      </c>
    </row>
    <row r="101" spans="1:14" x14ac:dyDescent="0.25">
      <c r="A101" s="1">
        <v>44579</v>
      </c>
      <c r="B101" t="s">
        <v>2152</v>
      </c>
      <c r="C101">
        <v>74</v>
      </c>
      <c r="D101" t="s">
        <v>21</v>
      </c>
      <c r="E101" t="s">
        <v>19</v>
      </c>
      <c r="F101" t="s">
        <v>29</v>
      </c>
      <c r="G101" t="s">
        <v>39</v>
      </c>
      <c r="H101">
        <v>4613.46</v>
      </c>
      <c r="I101" s="8" t="str" cm="1">
        <f t="array" ref="I101">_xlfn.IFS(C101&lt;=15,"Children and Young Adolescents", C101&gt;64, "Seniors", TRUE, "Working Age")</f>
        <v>Seniors</v>
      </c>
      <c r="J101" s="6">
        <f>VLOOKUP(F101,Analysis!$F$1:$G$5,2,FALSE)</f>
        <v>2496.7676064256989</v>
      </c>
      <c r="K101">
        <f t="shared" si="4"/>
        <v>5074.8</v>
      </c>
      <c r="L101">
        <f t="shared" si="5"/>
        <v>5074.8100000000004</v>
      </c>
      <c r="M101">
        <f t="shared" si="6"/>
        <v>5074.8100000000004</v>
      </c>
      <c r="N101" s="5" t="str">
        <f t="shared" si="7"/>
        <v>January 2022</v>
      </c>
    </row>
    <row r="102" spans="1:14" x14ac:dyDescent="0.25">
      <c r="A102" s="1">
        <v>44579</v>
      </c>
      <c r="B102" t="s">
        <v>1858</v>
      </c>
      <c r="C102">
        <v>74</v>
      </c>
      <c r="D102" t="s">
        <v>9</v>
      </c>
      <c r="E102" t="s">
        <v>34</v>
      </c>
      <c r="F102" t="s">
        <v>16</v>
      </c>
      <c r="G102" t="s">
        <v>36</v>
      </c>
      <c r="H102">
        <v>4878.3100000000004</v>
      </c>
      <c r="I102" s="8" t="str" cm="1">
        <f t="array" ref="I102">_xlfn.IFS(C102&lt;=15,"Children and Young Adolescents", C102&gt;64, "Seniors", TRUE, "Working Age")</f>
        <v>Seniors</v>
      </c>
      <c r="J102" s="6">
        <f>VLOOKUP(F102,Analysis!$F$1:$G$5,2,FALSE)</f>
        <v>2509.1716796874912</v>
      </c>
      <c r="K102">
        <f t="shared" si="4"/>
        <v>5366.14</v>
      </c>
      <c r="L102">
        <f t="shared" si="5"/>
        <v>5366.1500000000005</v>
      </c>
      <c r="M102">
        <f t="shared" si="6"/>
        <v>5366.14</v>
      </c>
      <c r="N102" s="5" t="str">
        <f t="shared" si="7"/>
        <v>January 2022</v>
      </c>
    </row>
    <row r="103" spans="1:14" x14ac:dyDescent="0.25">
      <c r="A103" s="1">
        <v>44580</v>
      </c>
      <c r="B103" t="s">
        <v>4224</v>
      </c>
      <c r="C103">
        <v>85</v>
      </c>
      <c r="D103" t="s">
        <v>14</v>
      </c>
      <c r="E103" t="s">
        <v>5032</v>
      </c>
      <c r="F103" t="s">
        <v>16</v>
      </c>
      <c r="G103" t="s">
        <v>5033</v>
      </c>
      <c r="H103">
        <v>4369.75</v>
      </c>
      <c r="I103" s="8" t="str" cm="1">
        <f t="array" ref="I103">_xlfn.IFS(C103&lt;=15,"Children and Young Adolescents", C103&gt;64, "Seniors", TRUE, "Working Age")</f>
        <v>Seniors</v>
      </c>
      <c r="J103" s="6">
        <f>VLOOKUP(F103,Analysis!$F$1:$G$5,2,FALSE)</f>
        <v>2509.1716796874912</v>
      </c>
      <c r="K103">
        <f t="shared" si="4"/>
        <v>4806.72</v>
      </c>
      <c r="L103">
        <f t="shared" si="5"/>
        <v>4806.7300000000005</v>
      </c>
      <c r="M103">
        <f t="shared" si="6"/>
        <v>4806.7299999999996</v>
      </c>
      <c r="N103" s="5" t="str">
        <f t="shared" si="7"/>
        <v>January 2022</v>
      </c>
    </row>
    <row r="104" spans="1:14" x14ac:dyDescent="0.25">
      <c r="A104" s="1">
        <v>44580</v>
      </c>
      <c r="B104" t="s">
        <v>4856</v>
      </c>
      <c r="C104">
        <v>89</v>
      </c>
      <c r="D104" t="s">
        <v>14</v>
      </c>
      <c r="E104" t="s">
        <v>22</v>
      </c>
      <c r="F104" t="s">
        <v>16</v>
      </c>
      <c r="G104" t="s">
        <v>17</v>
      </c>
      <c r="H104">
        <v>569.55999999999995</v>
      </c>
      <c r="I104" s="8" t="str" cm="1">
        <f t="array" ref="I104">_xlfn.IFS(C104&lt;=15,"Children and Young Adolescents", C104&gt;64, "Seniors", TRUE, "Working Age")</f>
        <v>Seniors</v>
      </c>
      <c r="J104" s="6">
        <f>VLOOKUP(F104,Analysis!$F$1:$G$5,2,FALSE)</f>
        <v>2509.1716796874912</v>
      </c>
      <c r="K104">
        <f t="shared" si="4"/>
        <v>626.51</v>
      </c>
      <c r="L104">
        <f t="shared" si="5"/>
        <v>626.52</v>
      </c>
      <c r="M104">
        <f t="shared" si="6"/>
        <v>626.52</v>
      </c>
      <c r="N104" s="5" t="str">
        <f t="shared" si="7"/>
        <v>January 2022</v>
      </c>
    </row>
    <row r="105" spans="1:14" x14ac:dyDescent="0.25">
      <c r="A105" s="1">
        <v>44580</v>
      </c>
      <c r="B105" t="s">
        <v>2810</v>
      </c>
      <c r="C105">
        <v>46</v>
      </c>
      <c r="D105" t="s">
        <v>14</v>
      </c>
      <c r="E105" t="s">
        <v>19</v>
      </c>
      <c r="F105" t="s">
        <v>16</v>
      </c>
      <c r="G105" t="s">
        <v>39</v>
      </c>
      <c r="H105">
        <v>3363.24</v>
      </c>
      <c r="I105" s="8" t="str" cm="1">
        <f t="array" ref="I105">_xlfn.IFS(C105&lt;=15,"Children and Young Adolescents", C105&gt;64, "Seniors", TRUE, "Working Age")</f>
        <v>Working Age</v>
      </c>
      <c r="J105" s="6">
        <f>VLOOKUP(F105,Analysis!$F$1:$G$5,2,FALSE)</f>
        <v>2509.1716796874912</v>
      </c>
      <c r="K105">
        <f t="shared" si="4"/>
        <v>3699.56</v>
      </c>
      <c r="L105">
        <f t="shared" si="5"/>
        <v>3699.57</v>
      </c>
      <c r="M105">
        <f t="shared" si="6"/>
        <v>3699.56</v>
      </c>
      <c r="N105" s="5" t="str">
        <f t="shared" si="7"/>
        <v>January 2022</v>
      </c>
    </row>
    <row r="106" spans="1:14" x14ac:dyDescent="0.25">
      <c r="A106" s="1">
        <v>44580</v>
      </c>
      <c r="B106" t="s">
        <v>3033</v>
      </c>
      <c r="C106">
        <v>44</v>
      </c>
      <c r="D106" t="s">
        <v>9</v>
      </c>
      <c r="E106" t="s">
        <v>5032</v>
      </c>
      <c r="F106" t="s">
        <v>16</v>
      </c>
      <c r="G106" t="s">
        <v>27</v>
      </c>
      <c r="H106">
        <v>3728.58</v>
      </c>
      <c r="I106" s="8" t="str" cm="1">
        <f t="array" ref="I106">_xlfn.IFS(C106&lt;=15,"Children and Young Adolescents", C106&gt;64, "Seniors", TRUE, "Working Age")</f>
        <v>Working Age</v>
      </c>
      <c r="J106" s="6">
        <f>VLOOKUP(F106,Analysis!$F$1:$G$5,2,FALSE)</f>
        <v>2509.1716796874912</v>
      </c>
      <c r="K106">
        <f t="shared" si="4"/>
        <v>4101.43</v>
      </c>
      <c r="L106">
        <f t="shared" si="5"/>
        <v>4101.4400000000005</v>
      </c>
      <c r="M106">
        <f t="shared" si="6"/>
        <v>4101.4399999999996</v>
      </c>
      <c r="N106" s="5" t="str">
        <f t="shared" si="7"/>
        <v>January 2022</v>
      </c>
    </row>
    <row r="107" spans="1:14" x14ac:dyDescent="0.25">
      <c r="A107" s="1">
        <v>44580</v>
      </c>
      <c r="B107" t="s">
        <v>4315</v>
      </c>
      <c r="C107">
        <v>7</v>
      </c>
      <c r="D107" t="s">
        <v>21</v>
      </c>
      <c r="E107" t="s">
        <v>22</v>
      </c>
      <c r="F107" t="s">
        <v>23</v>
      </c>
      <c r="G107" t="s">
        <v>27</v>
      </c>
      <c r="H107">
        <v>72.739999999999995</v>
      </c>
      <c r="I107" s="8" t="str" cm="1">
        <f t="array" ref="I107">_xlfn.IFS(C107&lt;=15,"Children and Young Adolescents", C107&gt;64, "Seniors", TRUE, "Working Age")</f>
        <v>Children and Young Adolescents</v>
      </c>
      <c r="J107" s="6">
        <f>VLOOKUP(F107,Analysis!$F$1:$G$5,2,FALSE)</f>
        <v>2440.2966694490838</v>
      </c>
      <c r="K107">
        <f t="shared" si="4"/>
        <v>80.010000000000005</v>
      </c>
      <c r="L107">
        <f t="shared" si="5"/>
        <v>80.02000000000001</v>
      </c>
      <c r="M107">
        <f t="shared" si="6"/>
        <v>80.010000000000005</v>
      </c>
      <c r="N107" s="5" t="str">
        <f t="shared" si="7"/>
        <v>January 2022</v>
      </c>
    </row>
    <row r="108" spans="1:14" x14ac:dyDescent="0.25">
      <c r="A108" s="1">
        <v>44580</v>
      </c>
      <c r="B108" t="s">
        <v>1122</v>
      </c>
      <c r="C108">
        <v>60</v>
      </c>
      <c r="D108" t="s">
        <v>9</v>
      </c>
      <c r="E108" t="s">
        <v>25</v>
      </c>
      <c r="F108" t="s">
        <v>29</v>
      </c>
      <c r="G108" t="s">
        <v>17</v>
      </c>
      <c r="H108">
        <v>979.77</v>
      </c>
      <c r="I108" s="8" t="str" cm="1">
        <f t="array" ref="I108">_xlfn.IFS(C108&lt;=15,"Children and Young Adolescents", C108&gt;64, "Seniors", TRUE, "Working Age")</f>
        <v>Working Age</v>
      </c>
      <c r="J108" s="6">
        <f>VLOOKUP(F108,Analysis!$F$1:$G$5,2,FALSE)</f>
        <v>2496.7676064256989</v>
      </c>
      <c r="K108">
        <f t="shared" si="4"/>
        <v>1077.74</v>
      </c>
      <c r="L108">
        <f t="shared" si="5"/>
        <v>1077.75</v>
      </c>
      <c r="M108">
        <f t="shared" si="6"/>
        <v>1077.75</v>
      </c>
      <c r="N108" s="5" t="str">
        <f t="shared" si="7"/>
        <v>January 2022</v>
      </c>
    </row>
    <row r="109" spans="1:14" x14ac:dyDescent="0.25">
      <c r="A109" s="1">
        <v>44580</v>
      </c>
      <c r="B109" t="s">
        <v>3990</v>
      </c>
      <c r="C109">
        <v>40</v>
      </c>
      <c r="D109" t="s">
        <v>21</v>
      </c>
      <c r="E109" t="s">
        <v>32</v>
      </c>
      <c r="F109" t="s">
        <v>11</v>
      </c>
      <c r="G109" t="s">
        <v>17</v>
      </c>
      <c r="H109">
        <v>2551.88</v>
      </c>
      <c r="I109" s="8" t="str" cm="1">
        <f t="array" ref="I109">_xlfn.IFS(C109&lt;=15,"Children and Young Adolescents", C109&gt;64, "Seniors", TRUE, "Working Age")</f>
        <v>Working Age</v>
      </c>
      <c r="J109" s="6">
        <f>VLOOKUP(F109,Analysis!$F$1:$G$5,2,FALSE)</f>
        <v>2503.6022787783854</v>
      </c>
      <c r="K109">
        <f t="shared" si="4"/>
        <v>2807.06</v>
      </c>
      <c r="L109">
        <f t="shared" si="5"/>
        <v>2807.07</v>
      </c>
      <c r="M109">
        <f t="shared" si="6"/>
        <v>2807.07</v>
      </c>
      <c r="N109" s="5" t="str">
        <f t="shared" si="7"/>
        <v>January 2022</v>
      </c>
    </row>
    <row r="110" spans="1:14" x14ac:dyDescent="0.25">
      <c r="A110" s="1">
        <v>44580</v>
      </c>
      <c r="B110" t="s">
        <v>1290</v>
      </c>
      <c r="C110">
        <v>53</v>
      </c>
      <c r="D110" t="s">
        <v>9</v>
      </c>
      <c r="E110" t="s">
        <v>25</v>
      </c>
      <c r="F110" t="s">
        <v>29</v>
      </c>
      <c r="G110" t="s">
        <v>17</v>
      </c>
      <c r="H110">
        <v>601.69000000000005</v>
      </c>
      <c r="I110" s="8" t="str" cm="1">
        <f t="array" ref="I110">_xlfn.IFS(C110&lt;=15,"Children and Young Adolescents", C110&gt;64, "Seniors", TRUE, "Working Age")</f>
        <v>Working Age</v>
      </c>
      <c r="J110" s="6">
        <f>VLOOKUP(F110,Analysis!$F$1:$G$5,2,FALSE)</f>
        <v>2496.7676064256989</v>
      </c>
      <c r="K110">
        <f t="shared" si="4"/>
        <v>661.85</v>
      </c>
      <c r="L110">
        <f t="shared" si="5"/>
        <v>661.86</v>
      </c>
      <c r="M110">
        <f t="shared" si="6"/>
        <v>661.86</v>
      </c>
      <c r="N110" s="5" t="str">
        <f t="shared" si="7"/>
        <v>January 2022</v>
      </c>
    </row>
    <row r="111" spans="1:14" x14ac:dyDescent="0.25">
      <c r="A111" s="1">
        <v>44581</v>
      </c>
      <c r="B111" t="s">
        <v>3513</v>
      </c>
      <c r="C111">
        <v>91</v>
      </c>
      <c r="D111" t="s">
        <v>21</v>
      </c>
      <c r="E111" t="s">
        <v>19</v>
      </c>
      <c r="F111" t="s">
        <v>16</v>
      </c>
      <c r="G111" t="s">
        <v>12</v>
      </c>
      <c r="H111">
        <v>3653.35</v>
      </c>
      <c r="I111" s="8" t="str" cm="1">
        <f t="array" ref="I111">_xlfn.IFS(C111&lt;=15,"Children and Young Adolescents", C111&gt;64, "Seniors", TRUE, "Working Age")</f>
        <v>Seniors</v>
      </c>
      <c r="J111" s="6">
        <f>VLOOKUP(F111,Analysis!$F$1:$G$5,2,FALSE)</f>
        <v>2509.1716796874912</v>
      </c>
      <c r="K111">
        <f t="shared" si="4"/>
        <v>4018.68</v>
      </c>
      <c r="L111">
        <f t="shared" si="5"/>
        <v>4018.69</v>
      </c>
      <c r="M111">
        <f t="shared" si="6"/>
        <v>4018.69</v>
      </c>
      <c r="N111" s="5" t="str">
        <f t="shared" si="7"/>
        <v>January 2022</v>
      </c>
    </row>
    <row r="112" spans="1:14" x14ac:dyDescent="0.25">
      <c r="A112" s="1">
        <v>44581</v>
      </c>
      <c r="B112" t="s">
        <v>4845</v>
      </c>
      <c r="C112">
        <v>69</v>
      </c>
      <c r="D112" t="s">
        <v>14</v>
      </c>
      <c r="E112" t="s">
        <v>15</v>
      </c>
      <c r="F112" t="s">
        <v>11</v>
      </c>
      <c r="G112" t="s">
        <v>36</v>
      </c>
      <c r="H112">
        <v>1508.95</v>
      </c>
      <c r="I112" s="8" t="str" cm="1">
        <f t="array" ref="I112">_xlfn.IFS(C112&lt;=15,"Children and Young Adolescents", C112&gt;64, "Seniors", TRUE, "Working Age")</f>
        <v>Seniors</v>
      </c>
      <c r="J112" s="6">
        <f>VLOOKUP(F112,Analysis!$F$1:$G$5,2,FALSE)</f>
        <v>2503.6022787783854</v>
      </c>
      <c r="K112">
        <f t="shared" si="4"/>
        <v>1659.84</v>
      </c>
      <c r="L112">
        <f t="shared" si="5"/>
        <v>1659.85</v>
      </c>
      <c r="M112">
        <f t="shared" si="6"/>
        <v>1659.85</v>
      </c>
      <c r="N112" s="5" t="str">
        <f t="shared" si="7"/>
        <v>January 2022</v>
      </c>
    </row>
    <row r="113" spans="1:14" x14ac:dyDescent="0.25">
      <c r="A113" s="1">
        <v>44581</v>
      </c>
      <c r="B113" t="s">
        <v>4841</v>
      </c>
      <c r="C113">
        <v>59</v>
      </c>
      <c r="D113" t="s">
        <v>14</v>
      </c>
      <c r="E113" t="s">
        <v>34</v>
      </c>
      <c r="F113" t="s">
        <v>16</v>
      </c>
      <c r="G113" t="s">
        <v>17</v>
      </c>
      <c r="H113">
        <v>3967.76</v>
      </c>
      <c r="I113" s="8" t="str" cm="1">
        <f t="array" ref="I113">_xlfn.IFS(C113&lt;=15,"Children and Young Adolescents", C113&gt;64, "Seniors", TRUE, "Working Age")</f>
        <v>Working Age</v>
      </c>
      <c r="J113" s="6">
        <f>VLOOKUP(F113,Analysis!$F$1:$G$5,2,FALSE)</f>
        <v>2509.1716796874912</v>
      </c>
      <c r="K113">
        <f t="shared" si="4"/>
        <v>4364.53</v>
      </c>
      <c r="L113">
        <f t="shared" si="5"/>
        <v>4364.54</v>
      </c>
      <c r="M113">
        <f t="shared" si="6"/>
        <v>4364.54</v>
      </c>
      <c r="N113" s="5" t="str">
        <f t="shared" si="7"/>
        <v>January 2022</v>
      </c>
    </row>
    <row r="114" spans="1:14" x14ac:dyDescent="0.25">
      <c r="A114" s="1">
        <v>44581</v>
      </c>
      <c r="B114" t="s">
        <v>939</v>
      </c>
      <c r="C114">
        <v>68</v>
      </c>
      <c r="D114" t="s">
        <v>14</v>
      </c>
      <c r="E114" t="s">
        <v>15</v>
      </c>
      <c r="F114" t="s">
        <v>23</v>
      </c>
      <c r="G114" t="s">
        <v>17</v>
      </c>
      <c r="H114">
        <v>1902.96</v>
      </c>
      <c r="I114" s="8" t="str" cm="1">
        <f t="array" ref="I114">_xlfn.IFS(C114&lt;=15,"Children and Young Adolescents", C114&gt;64, "Seniors", TRUE, "Working Age")</f>
        <v>Seniors</v>
      </c>
      <c r="J114" s="6">
        <f>VLOOKUP(F114,Analysis!$F$1:$G$5,2,FALSE)</f>
        <v>2440.2966694490838</v>
      </c>
      <c r="K114">
        <f t="shared" si="4"/>
        <v>2093.25</v>
      </c>
      <c r="L114">
        <f t="shared" si="5"/>
        <v>2093.2600000000002</v>
      </c>
      <c r="M114">
        <f t="shared" si="6"/>
        <v>2093.2600000000002</v>
      </c>
      <c r="N114" s="5" t="str">
        <f t="shared" si="7"/>
        <v>January 2022</v>
      </c>
    </row>
    <row r="115" spans="1:14" x14ac:dyDescent="0.25">
      <c r="A115" s="1">
        <v>44581</v>
      </c>
      <c r="B115" t="s">
        <v>4749</v>
      </c>
      <c r="C115">
        <v>50</v>
      </c>
      <c r="D115" t="s">
        <v>21</v>
      </c>
      <c r="E115" t="s">
        <v>10</v>
      </c>
      <c r="F115" t="s">
        <v>29</v>
      </c>
      <c r="G115" t="s">
        <v>17</v>
      </c>
      <c r="H115">
        <v>3629.58</v>
      </c>
      <c r="I115" s="8" t="str" cm="1">
        <f t="array" ref="I115">_xlfn.IFS(C115&lt;=15,"Children and Young Adolescents", C115&gt;64, "Seniors", TRUE, "Working Age")</f>
        <v>Working Age</v>
      </c>
      <c r="J115" s="6">
        <f>VLOOKUP(F115,Analysis!$F$1:$G$5,2,FALSE)</f>
        <v>2496.7676064256989</v>
      </c>
      <c r="K115">
        <f t="shared" si="4"/>
        <v>3992.53</v>
      </c>
      <c r="L115">
        <f t="shared" si="5"/>
        <v>3992.5400000000004</v>
      </c>
      <c r="M115">
        <f t="shared" si="6"/>
        <v>3992.54</v>
      </c>
      <c r="N115" s="5" t="str">
        <f t="shared" si="7"/>
        <v>January 2022</v>
      </c>
    </row>
    <row r="116" spans="1:14" x14ac:dyDescent="0.25">
      <c r="A116" s="1">
        <v>44581</v>
      </c>
      <c r="B116" t="s">
        <v>903</v>
      </c>
      <c r="C116">
        <v>68</v>
      </c>
      <c r="D116" t="s">
        <v>9</v>
      </c>
      <c r="E116" t="s">
        <v>10</v>
      </c>
      <c r="F116" t="s">
        <v>11</v>
      </c>
      <c r="G116" t="s">
        <v>12</v>
      </c>
      <c r="H116">
        <v>2135.71</v>
      </c>
      <c r="I116" s="8" t="str" cm="1">
        <f t="array" ref="I116">_xlfn.IFS(C116&lt;=15,"Children and Young Adolescents", C116&gt;64, "Seniors", TRUE, "Working Age")</f>
        <v>Seniors</v>
      </c>
      <c r="J116" s="6">
        <f>VLOOKUP(F116,Analysis!$F$1:$G$5,2,FALSE)</f>
        <v>2503.6022787783854</v>
      </c>
      <c r="K116">
        <f t="shared" si="4"/>
        <v>2349.2800000000002</v>
      </c>
      <c r="L116">
        <f t="shared" si="5"/>
        <v>2349.2900000000004</v>
      </c>
      <c r="M116">
        <f t="shared" si="6"/>
        <v>2349.2800000000002</v>
      </c>
      <c r="N116" s="5" t="str">
        <f t="shared" si="7"/>
        <v>January 2022</v>
      </c>
    </row>
    <row r="117" spans="1:14" x14ac:dyDescent="0.25">
      <c r="A117" s="1">
        <v>44581</v>
      </c>
      <c r="B117" t="s">
        <v>4555</v>
      </c>
      <c r="C117">
        <v>8</v>
      </c>
      <c r="D117" t="s">
        <v>21</v>
      </c>
      <c r="E117" t="s">
        <v>15</v>
      </c>
      <c r="F117" t="s">
        <v>29</v>
      </c>
      <c r="G117" t="s">
        <v>39</v>
      </c>
      <c r="H117">
        <v>454.09</v>
      </c>
      <c r="I117" s="8" t="str" cm="1">
        <f t="array" ref="I117">_xlfn.IFS(C117&lt;=15,"Children and Young Adolescents", C117&gt;64, "Seniors", TRUE, "Working Age")</f>
        <v>Children and Young Adolescents</v>
      </c>
      <c r="J117" s="6">
        <f>VLOOKUP(F117,Analysis!$F$1:$G$5,2,FALSE)</f>
        <v>2496.7676064256989</v>
      </c>
      <c r="K117">
        <f t="shared" si="4"/>
        <v>499.49</v>
      </c>
      <c r="L117">
        <f t="shared" si="5"/>
        <v>499.5</v>
      </c>
      <c r="M117">
        <f t="shared" si="6"/>
        <v>499.5</v>
      </c>
      <c r="N117" s="5" t="str">
        <f t="shared" si="7"/>
        <v>January 2022</v>
      </c>
    </row>
    <row r="118" spans="1:14" x14ac:dyDescent="0.25">
      <c r="A118" s="1">
        <v>44581</v>
      </c>
      <c r="B118" t="s">
        <v>4166</v>
      </c>
      <c r="C118">
        <v>65</v>
      </c>
      <c r="D118" t="s">
        <v>21</v>
      </c>
      <c r="E118" t="s">
        <v>34</v>
      </c>
      <c r="F118" t="s">
        <v>11</v>
      </c>
      <c r="G118" t="s">
        <v>36</v>
      </c>
      <c r="H118">
        <v>1386.34</v>
      </c>
      <c r="I118" s="8" t="str" cm="1">
        <f t="array" ref="I118">_xlfn.IFS(C118&lt;=15,"Children and Young Adolescents", C118&gt;64, "Seniors", TRUE, "Working Age")</f>
        <v>Seniors</v>
      </c>
      <c r="J118" s="6">
        <f>VLOOKUP(F118,Analysis!$F$1:$G$5,2,FALSE)</f>
        <v>2503.6022787783854</v>
      </c>
      <c r="K118">
        <f t="shared" si="4"/>
        <v>1524.97</v>
      </c>
      <c r="L118">
        <f t="shared" si="5"/>
        <v>1524.98</v>
      </c>
      <c r="M118">
        <f t="shared" si="6"/>
        <v>1524.97</v>
      </c>
      <c r="N118" s="5" t="str">
        <f t="shared" si="7"/>
        <v>January 2022</v>
      </c>
    </row>
    <row r="119" spans="1:14" x14ac:dyDescent="0.25">
      <c r="A119" s="1">
        <v>44581</v>
      </c>
      <c r="B119" t="s">
        <v>771</v>
      </c>
      <c r="C119">
        <v>56</v>
      </c>
      <c r="D119" t="s">
        <v>9</v>
      </c>
      <c r="E119" t="s">
        <v>10</v>
      </c>
      <c r="F119" t="s">
        <v>23</v>
      </c>
      <c r="G119" t="s">
        <v>5033</v>
      </c>
      <c r="H119">
        <v>3096.93</v>
      </c>
      <c r="I119" s="8" t="str" cm="1">
        <f t="array" ref="I119">_xlfn.IFS(C119&lt;=15,"Children and Young Adolescents", C119&gt;64, "Seniors", TRUE, "Working Age")</f>
        <v>Working Age</v>
      </c>
      <c r="J119" s="6">
        <f>VLOOKUP(F119,Analysis!$F$1:$G$5,2,FALSE)</f>
        <v>2440.2966694490838</v>
      </c>
      <c r="K119">
        <f t="shared" si="4"/>
        <v>3406.62</v>
      </c>
      <c r="L119">
        <f t="shared" si="5"/>
        <v>3406.63</v>
      </c>
      <c r="M119">
        <f t="shared" si="6"/>
        <v>3406.62</v>
      </c>
      <c r="N119" s="5" t="str">
        <f t="shared" si="7"/>
        <v>January 2022</v>
      </c>
    </row>
    <row r="120" spans="1:14" x14ac:dyDescent="0.25">
      <c r="A120" s="1">
        <v>44582</v>
      </c>
      <c r="B120" t="s">
        <v>2853</v>
      </c>
      <c r="C120">
        <v>57</v>
      </c>
      <c r="D120" t="s">
        <v>9</v>
      </c>
      <c r="E120" t="s">
        <v>22</v>
      </c>
      <c r="F120" t="s">
        <v>23</v>
      </c>
      <c r="G120" t="s">
        <v>17</v>
      </c>
      <c r="H120">
        <v>4063.81</v>
      </c>
      <c r="I120" s="8" t="str" cm="1">
        <f t="array" ref="I120">_xlfn.IFS(C120&lt;=15,"Children and Young Adolescents", C120&gt;64, "Seniors", TRUE, "Working Age")</f>
        <v>Working Age</v>
      </c>
      <c r="J120" s="6">
        <f>VLOOKUP(F120,Analysis!$F$1:$G$5,2,FALSE)</f>
        <v>2440.2966694490838</v>
      </c>
      <c r="K120">
        <f t="shared" si="4"/>
        <v>4470.1899999999996</v>
      </c>
      <c r="L120">
        <f t="shared" si="5"/>
        <v>4470.2</v>
      </c>
      <c r="M120">
        <f t="shared" si="6"/>
        <v>4470.1899999999996</v>
      </c>
      <c r="N120" s="5" t="str">
        <f t="shared" si="7"/>
        <v>January 2022</v>
      </c>
    </row>
    <row r="121" spans="1:14" x14ac:dyDescent="0.25">
      <c r="A121" s="1">
        <v>44582</v>
      </c>
      <c r="B121" t="s">
        <v>1023</v>
      </c>
      <c r="C121">
        <v>97</v>
      </c>
      <c r="D121" t="s">
        <v>9</v>
      </c>
      <c r="E121" t="s">
        <v>22</v>
      </c>
      <c r="F121" t="s">
        <v>23</v>
      </c>
      <c r="G121" t="s">
        <v>27</v>
      </c>
      <c r="H121">
        <v>1113.94</v>
      </c>
      <c r="I121" s="8" t="str" cm="1">
        <f t="array" ref="I121">_xlfn.IFS(C121&lt;=15,"Children and Young Adolescents", C121&gt;64, "Seniors", TRUE, "Working Age")</f>
        <v>Seniors</v>
      </c>
      <c r="J121" s="6">
        <f>VLOOKUP(F121,Analysis!$F$1:$G$5,2,FALSE)</f>
        <v>2440.2966694490838</v>
      </c>
      <c r="K121">
        <f t="shared" si="4"/>
        <v>1225.33</v>
      </c>
      <c r="L121">
        <f t="shared" si="5"/>
        <v>1225.3399999999999</v>
      </c>
      <c r="M121">
        <f t="shared" si="6"/>
        <v>1225.33</v>
      </c>
      <c r="N121" s="5" t="str">
        <f t="shared" si="7"/>
        <v>January 2022</v>
      </c>
    </row>
    <row r="122" spans="1:14" x14ac:dyDescent="0.25">
      <c r="A122" s="1">
        <v>44582</v>
      </c>
      <c r="B122" t="s">
        <v>3044</v>
      </c>
      <c r="C122">
        <v>5</v>
      </c>
      <c r="D122" t="s">
        <v>9</v>
      </c>
      <c r="E122" t="s">
        <v>5032</v>
      </c>
      <c r="F122" t="s">
        <v>16</v>
      </c>
      <c r="G122" t="s">
        <v>36</v>
      </c>
      <c r="H122">
        <v>4742.57</v>
      </c>
      <c r="I122" s="8" t="str" cm="1">
        <f t="array" ref="I122">_xlfn.IFS(C122&lt;=15,"Children and Young Adolescents", C122&gt;64, "Seniors", TRUE, "Working Age")</f>
        <v>Children and Young Adolescents</v>
      </c>
      <c r="J122" s="6">
        <f>VLOOKUP(F122,Analysis!$F$1:$G$5,2,FALSE)</f>
        <v>2509.1716796874912</v>
      </c>
      <c r="K122">
        <f t="shared" si="4"/>
        <v>5216.82</v>
      </c>
      <c r="L122">
        <f t="shared" si="5"/>
        <v>5216.83</v>
      </c>
      <c r="M122">
        <f t="shared" si="6"/>
        <v>5216.83</v>
      </c>
      <c r="N122" s="5" t="str">
        <f t="shared" si="7"/>
        <v>January 2022</v>
      </c>
    </row>
    <row r="123" spans="1:14" x14ac:dyDescent="0.25">
      <c r="A123" s="1">
        <v>44582</v>
      </c>
      <c r="B123" t="s">
        <v>3574</v>
      </c>
      <c r="C123">
        <v>56</v>
      </c>
      <c r="D123" t="s">
        <v>14</v>
      </c>
      <c r="E123" t="s">
        <v>25</v>
      </c>
      <c r="F123" t="s">
        <v>16</v>
      </c>
      <c r="G123" t="s">
        <v>27</v>
      </c>
      <c r="H123">
        <v>1020.23</v>
      </c>
      <c r="I123" s="8" t="str" cm="1">
        <f t="array" ref="I123">_xlfn.IFS(C123&lt;=15,"Children and Young Adolescents", C123&gt;64, "Seniors", TRUE, "Working Age")</f>
        <v>Working Age</v>
      </c>
      <c r="J123" s="6">
        <f>VLOOKUP(F123,Analysis!$F$1:$G$5,2,FALSE)</f>
        <v>2509.1716796874912</v>
      </c>
      <c r="K123">
        <f t="shared" si="4"/>
        <v>1122.25</v>
      </c>
      <c r="L123">
        <f t="shared" si="5"/>
        <v>1122.26</v>
      </c>
      <c r="M123">
        <f t="shared" si="6"/>
        <v>1122.25</v>
      </c>
      <c r="N123" s="5" t="str">
        <f t="shared" si="7"/>
        <v>January 2022</v>
      </c>
    </row>
    <row r="124" spans="1:14" x14ac:dyDescent="0.25">
      <c r="A124" s="1">
        <v>44582</v>
      </c>
      <c r="B124" t="s">
        <v>2546</v>
      </c>
      <c r="C124">
        <v>82</v>
      </c>
      <c r="D124" t="s">
        <v>9</v>
      </c>
      <c r="E124" t="s">
        <v>34</v>
      </c>
      <c r="F124" t="s">
        <v>23</v>
      </c>
      <c r="G124" t="s">
        <v>12</v>
      </c>
      <c r="H124">
        <v>515.11</v>
      </c>
      <c r="I124" s="8" t="str" cm="1">
        <f t="array" ref="I124">_xlfn.IFS(C124&lt;=15,"Children and Young Adolescents", C124&gt;64, "Seniors", TRUE, "Working Age")</f>
        <v>Seniors</v>
      </c>
      <c r="J124" s="6">
        <f>VLOOKUP(F124,Analysis!$F$1:$G$5,2,FALSE)</f>
        <v>2440.2966694490838</v>
      </c>
      <c r="K124">
        <f t="shared" si="4"/>
        <v>566.62</v>
      </c>
      <c r="L124">
        <f t="shared" si="5"/>
        <v>566.63</v>
      </c>
      <c r="M124">
        <f t="shared" si="6"/>
        <v>566.62</v>
      </c>
      <c r="N124" s="5" t="str">
        <f t="shared" si="7"/>
        <v>January 2022</v>
      </c>
    </row>
    <row r="125" spans="1:14" x14ac:dyDescent="0.25">
      <c r="A125" s="1">
        <v>44582</v>
      </c>
      <c r="B125" t="s">
        <v>3717</v>
      </c>
      <c r="C125">
        <v>5</v>
      </c>
      <c r="D125" t="s">
        <v>14</v>
      </c>
      <c r="E125" t="s">
        <v>32</v>
      </c>
      <c r="F125" t="s">
        <v>11</v>
      </c>
      <c r="G125" t="s">
        <v>27</v>
      </c>
      <c r="H125">
        <v>836.16</v>
      </c>
      <c r="I125" s="8" t="str" cm="1">
        <f t="array" ref="I125">_xlfn.IFS(C125&lt;=15,"Children and Young Adolescents", C125&gt;64, "Seniors", TRUE, "Working Age")</f>
        <v>Children and Young Adolescents</v>
      </c>
      <c r="J125" s="6">
        <f>VLOOKUP(F125,Analysis!$F$1:$G$5,2,FALSE)</f>
        <v>2503.6022787783854</v>
      </c>
      <c r="K125">
        <f t="shared" si="4"/>
        <v>919.77</v>
      </c>
      <c r="L125">
        <f t="shared" si="5"/>
        <v>919.78</v>
      </c>
      <c r="M125">
        <f t="shared" si="6"/>
        <v>919.78</v>
      </c>
      <c r="N125" s="5" t="str">
        <f t="shared" si="7"/>
        <v>January 2022</v>
      </c>
    </row>
    <row r="126" spans="1:14" x14ac:dyDescent="0.25">
      <c r="A126" s="1">
        <v>44582</v>
      </c>
      <c r="B126" t="s">
        <v>306</v>
      </c>
      <c r="C126">
        <v>81</v>
      </c>
      <c r="D126" t="s">
        <v>9</v>
      </c>
      <c r="E126" t="s">
        <v>32</v>
      </c>
      <c r="F126" t="s">
        <v>11</v>
      </c>
      <c r="G126" t="s">
        <v>12</v>
      </c>
      <c r="H126">
        <v>2495.3000000000002</v>
      </c>
      <c r="I126" s="8" t="str" cm="1">
        <f t="array" ref="I126">_xlfn.IFS(C126&lt;=15,"Children and Young Adolescents", C126&gt;64, "Seniors", TRUE, "Working Age")</f>
        <v>Seniors</v>
      </c>
      <c r="J126" s="6">
        <f>VLOOKUP(F126,Analysis!$F$1:$G$5,2,FALSE)</f>
        <v>2503.6022787783854</v>
      </c>
      <c r="K126">
        <f t="shared" si="4"/>
        <v>2744.83</v>
      </c>
      <c r="L126">
        <f t="shared" si="5"/>
        <v>2744.83</v>
      </c>
      <c r="M126">
        <f t="shared" si="6"/>
        <v>2744.83</v>
      </c>
      <c r="N126" s="5" t="str">
        <f t="shared" si="7"/>
        <v>January 2022</v>
      </c>
    </row>
    <row r="127" spans="1:14" x14ac:dyDescent="0.25">
      <c r="A127" s="1">
        <v>44582</v>
      </c>
      <c r="B127" t="s">
        <v>1366</v>
      </c>
      <c r="C127">
        <v>3</v>
      </c>
      <c r="D127" t="s">
        <v>9</v>
      </c>
      <c r="E127" t="s">
        <v>25</v>
      </c>
      <c r="F127" t="s">
        <v>29</v>
      </c>
      <c r="G127" t="s">
        <v>17</v>
      </c>
      <c r="H127">
        <v>2361.94</v>
      </c>
      <c r="I127" s="8" t="str" cm="1">
        <f t="array" ref="I127">_xlfn.IFS(C127&lt;=15,"Children and Young Adolescents", C127&gt;64, "Seniors", TRUE, "Working Age")</f>
        <v>Children and Young Adolescents</v>
      </c>
      <c r="J127" s="6">
        <f>VLOOKUP(F127,Analysis!$F$1:$G$5,2,FALSE)</f>
        <v>2496.7676064256989</v>
      </c>
      <c r="K127">
        <f t="shared" si="4"/>
        <v>2598.13</v>
      </c>
      <c r="L127">
        <f t="shared" si="5"/>
        <v>2598.1400000000003</v>
      </c>
      <c r="M127">
        <f t="shared" si="6"/>
        <v>2598.13</v>
      </c>
      <c r="N127" s="5" t="str">
        <f t="shared" si="7"/>
        <v>January 2022</v>
      </c>
    </row>
    <row r="128" spans="1:14" x14ac:dyDescent="0.25">
      <c r="A128" s="1">
        <v>44582</v>
      </c>
      <c r="B128" t="s">
        <v>4594</v>
      </c>
      <c r="C128">
        <v>49</v>
      </c>
      <c r="D128" t="s">
        <v>9</v>
      </c>
      <c r="E128" t="s">
        <v>10</v>
      </c>
      <c r="F128" t="s">
        <v>23</v>
      </c>
      <c r="G128" t="s">
        <v>5033</v>
      </c>
      <c r="H128">
        <v>4541.99</v>
      </c>
      <c r="I128" s="8" t="str" cm="1">
        <f t="array" ref="I128">_xlfn.IFS(C128&lt;=15,"Children and Young Adolescents", C128&gt;64, "Seniors", TRUE, "Working Age")</f>
        <v>Working Age</v>
      </c>
      <c r="J128" s="6">
        <f>VLOOKUP(F128,Analysis!$F$1:$G$5,2,FALSE)</f>
        <v>2440.2966694490838</v>
      </c>
      <c r="K128">
        <f t="shared" si="4"/>
        <v>4996.18</v>
      </c>
      <c r="L128">
        <f t="shared" si="5"/>
        <v>4996.1900000000005</v>
      </c>
      <c r="M128">
        <f t="shared" si="6"/>
        <v>4996.1899999999996</v>
      </c>
      <c r="N128" s="5" t="str">
        <f t="shared" si="7"/>
        <v>January 2022</v>
      </c>
    </row>
    <row r="129" spans="1:14" x14ac:dyDescent="0.25">
      <c r="A129" s="1">
        <v>44582</v>
      </c>
      <c r="B129" t="s">
        <v>1800</v>
      </c>
      <c r="C129">
        <v>2</v>
      </c>
      <c r="D129" t="s">
        <v>21</v>
      </c>
      <c r="E129" t="s">
        <v>34</v>
      </c>
      <c r="F129" t="s">
        <v>23</v>
      </c>
      <c r="G129" t="s">
        <v>39</v>
      </c>
      <c r="H129">
        <v>2041.87</v>
      </c>
      <c r="I129" s="8" t="str" cm="1">
        <f t="array" ref="I129">_xlfn.IFS(C129&lt;=15,"Children and Young Adolescents", C129&gt;64, "Seniors", TRUE, "Working Age")</f>
        <v>Children and Young Adolescents</v>
      </c>
      <c r="J129" s="6">
        <f>VLOOKUP(F129,Analysis!$F$1:$G$5,2,FALSE)</f>
        <v>2440.2966694490838</v>
      </c>
      <c r="K129">
        <f t="shared" si="4"/>
        <v>2246.0500000000002</v>
      </c>
      <c r="L129">
        <f t="shared" si="5"/>
        <v>2246.0600000000004</v>
      </c>
      <c r="M129">
        <f t="shared" si="6"/>
        <v>2246.06</v>
      </c>
      <c r="N129" s="5" t="str">
        <f t="shared" si="7"/>
        <v>January 2022</v>
      </c>
    </row>
    <row r="130" spans="1:14" x14ac:dyDescent="0.25">
      <c r="A130" s="1">
        <v>44582</v>
      </c>
      <c r="B130" t="s">
        <v>1944</v>
      </c>
      <c r="C130">
        <v>64</v>
      </c>
      <c r="D130" t="s">
        <v>14</v>
      </c>
      <c r="E130" t="s">
        <v>5032</v>
      </c>
      <c r="F130" t="s">
        <v>11</v>
      </c>
      <c r="G130" t="s">
        <v>12</v>
      </c>
      <c r="H130">
        <v>3571.39</v>
      </c>
      <c r="I130" s="8" t="str" cm="1">
        <f t="array" ref="I130">_xlfn.IFS(C130&lt;=15,"Children and Young Adolescents", C130&gt;64, "Seniors", TRUE, "Working Age")</f>
        <v>Working Age</v>
      </c>
      <c r="J130" s="6">
        <f>VLOOKUP(F130,Analysis!$F$1:$G$5,2,FALSE)</f>
        <v>2503.6022787783854</v>
      </c>
      <c r="K130">
        <f t="shared" si="4"/>
        <v>3928.52</v>
      </c>
      <c r="L130">
        <f t="shared" si="5"/>
        <v>3928.53</v>
      </c>
      <c r="M130">
        <f t="shared" si="6"/>
        <v>3928.53</v>
      </c>
      <c r="N130" s="5" t="str">
        <f t="shared" si="7"/>
        <v>January 2022</v>
      </c>
    </row>
    <row r="131" spans="1:14" x14ac:dyDescent="0.25">
      <c r="A131" s="1">
        <v>44583</v>
      </c>
      <c r="B131" t="s">
        <v>1077</v>
      </c>
      <c r="C131">
        <v>87</v>
      </c>
      <c r="D131" t="s">
        <v>14</v>
      </c>
      <c r="E131" t="s">
        <v>22</v>
      </c>
      <c r="F131" t="s">
        <v>23</v>
      </c>
      <c r="G131" t="s">
        <v>36</v>
      </c>
      <c r="H131">
        <v>471.45</v>
      </c>
      <c r="I131" s="8" t="str" cm="1">
        <f t="array" ref="I131">_xlfn.IFS(C131&lt;=15,"Children and Young Adolescents", C131&gt;64, "Seniors", TRUE, "Working Age")</f>
        <v>Seniors</v>
      </c>
      <c r="J131" s="6">
        <f>VLOOKUP(F131,Analysis!$F$1:$G$5,2,FALSE)</f>
        <v>2440.2966694490838</v>
      </c>
      <c r="K131">
        <f t="shared" ref="K131:K194" si="8">ROUNDDOWN(H131*1.1,2)</f>
        <v>518.59</v>
      </c>
      <c r="L131">
        <f t="shared" ref="L131:L194" si="9">ROUNDUP(H131*1.1,2)</f>
        <v>518.6</v>
      </c>
      <c r="M131">
        <f t="shared" ref="M131:M194" si="10">ROUND(H131*1.1,2)</f>
        <v>518.6</v>
      </c>
      <c r="N131" s="5" t="str">
        <f t="shared" ref="N131:N194" si="11">TEXT(A131,"mmmm yyyy")</f>
        <v>January 2022</v>
      </c>
    </row>
    <row r="132" spans="1:14" x14ac:dyDescent="0.25">
      <c r="A132" s="1">
        <v>44583</v>
      </c>
      <c r="B132" t="s">
        <v>4391</v>
      </c>
      <c r="C132">
        <v>98</v>
      </c>
      <c r="D132" t="s">
        <v>14</v>
      </c>
      <c r="E132" t="s">
        <v>32</v>
      </c>
      <c r="F132" t="s">
        <v>11</v>
      </c>
      <c r="G132" t="s">
        <v>36</v>
      </c>
      <c r="H132">
        <v>3550.78</v>
      </c>
      <c r="I132" s="8" t="str" cm="1">
        <f t="array" ref="I132">_xlfn.IFS(C132&lt;=15,"Children and Young Adolescents", C132&gt;64, "Seniors", TRUE, "Working Age")</f>
        <v>Seniors</v>
      </c>
      <c r="J132" s="6">
        <f>VLOOKUP(F132,Analysis!$F$1:$G$5,2,FALSE)</f>
        <v>2503.6022787783854</v>
      </c>
      <c r="K132">
        <f t="shared" si="8"/>
        <v>3905.85</v>
      </c>
      <c r="L132">
        <f t="shared" si="9"/>
        <v>3905.86</v>
      </c>
      <c r="M132">
        <f t="shared" si="10"/>
        <v>3905.86</v>
      </c>
      <c r="N132" s="5" t="str">
        <f t="shared" si="11"/>
        <v>January 2022</v>
      </c>
    </row>
    <row r="133" spans="1:14" x14ac:dyDescent="0.25">
      <c r="A133" s="1">
        <v>44583</v>
      </c>
      <c r="B133" t="s">
        <v>3100</v>
      </c>
      <c r="C133">
        <v>63</v>
      </c>
      <c r="D133" t="s">
        <v>9</v>
      </c>
      <c r="E133" t="s">
        <v>19</v>
      </c>
      <c r="F133" t="s">
        <v>11</v>
      </c>
      <c r="G133" t="s">
        <v>27</v>
      </c>
      <c r="H133">
        <v>2927.77</v>
      </c>
      <c r="I133" s="8" t="str" cm="1">
        <f t="array" ref="I133">_xlfn.IFS(C133&lt;=15,"Children and Young Adolescents", C133&gt;64, "Seniors", TRUE, "Working Age")</f>
        <v>Working Age</v>
      </c>
      <c r="J133" s="6">
        <f>VLOOKUP(F133,Analysis!$F$1:$G$5,2,FALSE)</f>
        <v>2503.6022787783854</v>
      </c>
      <c r="K133">
        <f t="shared" si="8"/>
        <v>3220.54</v>
      </c>
      <c r="L133">
        <f t="shared" si="9"/>
        <v>3220.55</v>
      </c>
      <c r="M133">
        <f t="shared" si="10"/>
        <v>3220.55</v>
      </c>
      <c r="N133" s="5" t="str">
        <f t="shared" si="11"/>
        <v>January 2022</v>
      </c>
    </row>
    <row r="134" spans="1:14" x14ac:dyDescent="0.25">
      <c r="A134" s="1">
        <v>44583</v>
      </c>
      <c r="B134" t="s">
        <v>3101</v>
      </c>
      <c r="C134">
        <v>35</v>
      </c>
      <c r="D134" t="s">
        <v>21</v>
      </c>
      <c r="E134" t="s">
        <v>19</v>
      </c>
      <c r="F134" t="s">
        <v>16</v>
      </c>
      <c r="G134" t="s">
        <v>39</v>
      </c>
      <c r="H134">
        <v>1114.31</v>
      </c>
      <c r="I134" s="8" t="str" cm="1">
        <f t="array" ref="I134">_xlfn.IFS(C134&lt;=15,"Children and Young Adolescents", C134&gt;64, "Seniors", TRUE, "Working Age")</f>
        <v>Working Age</v>
      </c>
      <c r="J134" s="6">
        <f>VLOOKUP(F134,Analysis!$F$1:$G$5,2,FALSE)</f>
        <v>2509.1716796874912</v>
      </c>
      <c r="K134">
        <f t="shared" si="8"/>
        <v>1225.74</v>
      </c>
      <c r="L134">
        <f t="shared" si="9"/>
        <v>1225.75</v>
      </c>
      <c r="M134">
        <f t="shared" si="10"/>
        <v>1225.74</v>
      </c>
      <c r="N134" s="5" t="str">
        <f t="shared" si="11"/>
        <v>January 2022</v>
      </c>
    </row>
    <row r="135" spans="1:14" x14ac:dyDescent="0.25">
      <c r="A135" s="1">
        <v>44583</v>
      </c>
      <c r="B135" t="s">
        <v>4694</v>
      </c>
      <c r="C135">
        <v>2</v>
      </c>
      <c r="D135" t="s">
        <v>9</v>
      </c>
      <c r="E135" t="s">
        <v>15</v>
      </c>
      <c r="F135" t="s">
        <v>16</v>
      </c>
      <c r="G135" t="s">
        <v>39</v>
      </c>
      <c r="H135">
        <v>2828.4</v>
      </c>
      <c r="I135" s="8" t="str" cm="1">
        <f t="array" ref="I135">_xlfn.IFS(C135&lt;=15,"Children and Young Adolescents", C135&gt;64, "Seniors", TRUE, "Working Age")</f>
        <v>Children and Young Adolescents</v>
      </c>
      <c r="J135" s="6">
        <f>VLOOKUP(F135,Analysis!$F$1:$G$5,2,FALSE)</f>
        <v>2509.1716796874912</v>
      </c>
      <c r="K135">
        <f t="shared" si="8"/>
        <v>3111.24</v>
      </c>
      <c r="L135">
        <f t="shared" si="9"/>
        <v>3111.24</v>
      </c>
      <c r="M135">
        <f t="shared" si="10"/>
        <v>3111.24</v>
      </c>
      <c r="N135" s="5" t="str">
        <f t="shared" si="11"/>
        <v>January 2022</v>
      </c>
    </row>
    <row r="136" spans="1:14" x14ac:dyDescent="0.25">
      <c r="A136" s="1">
        <v>44583</v>
      </c>
      <c r="B136" t="s">
        <v>2950</v>
      </c>
      <c r="C136">
        <v>71</v>
      </c>
      <c r="D136" t="s">
        <v>9</v>
      </c>
      <c r="E136" t="s">
        <v>19</v>
      </c>
      <c r="F136" t="s">
        <v>16</v>
      </c>
      <c r="G136" t="s">
        <v>39</v>
      </c>
      <c r="H136">
        <v>4433.8900000000003</v>
      </c>
      <c r="I136" s="8" t="str" cm="1">
        <f t="array" ref="I136">_xlfn.IFS(C136&lt;=15,"Children and Young Adolescents", C136&gt;64, "Seniors", TRUE, "Working Age")</f>
        <v>Seniors</v>
      </c>
      <c r="J136" s="6">
        <f>VLOOKUP(F136,Analysis!$F$1:$G$5,2,FALSE)</f>
        <v>2509.1716796874912</v>
      </c>
      <c r="K136">
        <f t="shared" si="8"/>
        <v>4877.2700000000004</v>
      </c>
      <c r="L136">
        <f t="shared" si="9"/>
        <v>4877.2800000000007</v>
      </c>
      <c r="M136">
        <f t="shared" si="10"/>
        <v>4877.28</v>
      </c>
      <c r="N136" s="5" t="str">
        <f t="shared" si="11"/>
        <v>January 2022</v>
      </c>
    </row>
    <row r="137" spans="1:14" x14ac:dyDescent="0.25">
      <c r="A137" s="1">
        <v>44584</v>
      </c>
      <c r="B137" t="s">
        <v>513</v>
      </c>
      <c r="C137">
        <v>57</v>
      </c>
      <c r="D137" t="s">
        <v>14</v>
      </c>
      <c r="E137" t="s">
        <v>5032</v>
      </c>
      <c r="F137" t="s">
        <v>29</v>
      </c>
      <c r="G137" t="s">
        <v>27</v>
      </c>
      <c r="H137">
        <v>26.34</v>
      </c>
      <c r="I137" s="8" t="str" cm="1">
        <f t="array" ref="I137">_xlfn.IFS(C137&lt;=15,"Children and Young Adolescents", C137&gt;64, "Seniors", TRUE, "Working Age")</f>
        <v>Working Age</v>
      </c>
      <c r="J137" s="6">
        <f>VLOOKUP(F137,Analysis!$F$1:$G$5,2,FALSE)</f>
        <v>2496.7676064256989</v>
      </c>
      <c r="K137">
        <f t="shared" si="8"/>
        <v>28.97</v>
      </c>
      <c r="L137">
        <f t="shared" si="9"/>
        <v>28.98</v>
      </c>
      <c r="M137">
        <f t="shared" si="10"/>
        <v>28.97</v>
      </c>
      <c r="N137" s="5" t="str">
        <f t="shared" si="11"/>
        <v>January 2022</v>
      </c>
    </row>
    <row r="138" spans="1:14" x14ac:dyDescent="0.25">
      <c r="A138" s="1">
        <v>44584</v>
      </c>
      <c r="B138" t="s">
        <v>3161</v>
      </c>
      <c r="C138">
        <v>59</v>
      </c>
      <c r="D138" t="s">
        <v>9</v>
      </c>
      <c r="E138" t="s">
        <v>10</v>
      </c>
      <c r="F138" t="s">
        <v>23</v>
      </c>
      <c r="G138" t="s">
        <v>36</v>
      </c>
      <c r="H138">
        <v>1606.47</v>
      </c>
      <c r="I138" s="8" t="str" cm="1">
        <f t="array" ref="I138">_xlfn.IFS(C138&lt;=15,"Children and Young Adolescents", C138&gt;64, "Seniors", TRUE, "Working Age")</f>
        <v>Working Age</v>
      </c>
      <c r="J138" s="6">
        <f>VLOOKUP(F138,Analysis!$F$1:$G$5,2,FALSE)</f>
        <v>2440.2966694490838</v>
      </c>
      <c r="K138">
        <f t="shared" si="8"/>
        <v>1767.11</v>
      </c>
      <c r="L138">
        <f t="shared" si="9"/>
        <v>1767.12</v>
      </c>
      <c r="M138">
        <f t="shared" si="10"/>
        <v>1767.12</v>
      </c>
      <c r="N138" s="5" t="str">
        <f t="shared" si="11"/>
        <v>January 2022</v>
      </c>
    </row>
    <row r="139" spans="1:14" x14ac:dyDescent="0.25">
      <c r="A139" s="1">
        <v>44584</v>
      </c>
      <c r="B139" t="s">
        <v>272</v>
      </c>
      <c r="C139">
        <v>64</v>
      </c>
      <c r="D139" t="s">
        <v>21</v>
      </c>
      <c r="E139" t="s">
        <v>25</v>
      </c>
      <c r="F139" t="s">
        <v>23</v>
      </c>
      <c r="G139" t="s">
        <v>17</v>
      </c>
      <c r="H139">
        <v>3516.65</v>
      </c>
      <c r="I139" s="8" t="str" cm="1">
        <f t="array" ref="I139">_xlfn.IFS(C139&lt;=15,"Children and Young Adolescents", C139&gt;64, "Seniors", TRUE, "Working Age")</f>
        <v>Working Age</v>
      </c>
      <c r="J139" s="6">
        <f>VLOOKUP(F139,Analysis!$F$1:$G$5,2,FALSE)</f>
        <v>2440.2966694490838</v>
      </c>
      <c r="K139">
        <f t="shared" si="8"/>
        <v>3868.31</v>
      </c>
      <c r="L139">
        <f t="shared" si="9"/>
        <v>3868.32</v>
      </c>
      <c r="M139">
        <f t="shared" si="10"/>
        <v>3868.32</v>
      </c>
      <c r="N139" s="5" t="str">
        <f t="shared" si="11"/>
        <v>January 2022</v>
      </c>
    </row>
    <row r="140" spans="1:14" x14ac:dyDescent="0.25">
      <c r="A140" s="1">
        <v>44584</v>
      </c>
      <c r="B140" t="s">
        <v>1057</v>
      </c>
      <c r="C140">
        <v>73</v>
      </c>
      <c r="D140" t="s">
        <v>9</v>
      </c>
      <c r="E140" t="s">
        <v>25</v>
      </c>
      <c r="F140" t="s">
        <v>16</v>
      </c>
      <c r="G140" t="s">
        <v>17</v>
      </c>
      <c r="H140">
        <v>2292.96</v>
      </c>
      <c r="I140" s="8" t="str" cm="1">
        <f t="array" ref="I140">_xlfn.IFS(C140&lt;=15,"Children and Young Adolescents", C140&gt;64, "Seniors", TRUE, "Working Age")</f>
        <v>Seniors</v>
      </c>
      <c r="J140" s="6">
        <f>VLOOKUP(F140,Analysis!$F$1:$G$5,2,FALSE)</f>
        <v>2509.1716796874912</v>
      </c>
      <c r="K140">
        <f t="shared" si="8"/>
        <v>2522.25</v>
      </c>
      <c r="L140">
        <f t="shared" si="9"/>
        <v>2522.2600000000002</v>
      </c>
      <c r="M140">
        <f t="shared" si="10"/>
        <v>2522.2600000000002</v>
      </c>
      <c r="N140" s="5" t="str">
        <f t="shared" si="11"/>
        <v>January 2022</v>
      </c>
    </row>
    <row r="141" spans="1:14" x14ac:dyDescent="0.25">
      <c r="A141" s="1">
        <v>44584</v>
      </c>
      <c r="B141" t="s">
        <v>3465</v>
      </c>
      <c r="C141">
        <v>80</v>
      </c>
      <c r="D141" t="s">
        <v>21</v>
      </c>
      <c r="E141" t="s">
        <v>15</v>
      </c>
      <c r="F141" t="s">
        <v>29</v>
      </c>
      <c r="G141" t="s">
        <v>39</v>
      </c>
      <c r="H141">
        <v>3585.75</v>
      </c>
      <c r="I141" s="8" t="str" cm="1">
        <f t="array" ref="I141">_xlfn.IFS(C141&lt;=15,"Children and Young Adolescents", C141&gt;64, "Seniors", TRUE, "Working Age")</f>
        <v>Seniors</v>
      </c>
      <c r="J141" s="6">
        <f>VLOOKUP(F141,Analysis!$F$1:$G$5,2,FALSE)</f>
        <v>2496.7676064256989</v>
      </c>
      <c r="K141">
        <f t="shared" si="8"/>
        <v>3944.32</v>
      </c>
      <c r="L141">
        <f t="shared" si="9"/>
        <v>3944.3300000000004</v>
      </c>
      <c r="M141">
        <f t="shared" si="10"/>
        <v>3944.33</v>
      </c>
      <c r="N141" s="5" t="str">
        <f t="shared" si="11"/>
        <v>January 2022</v>
      </c>
    </row>
    <row r="142" spans="1:14" x14ac:dyDescent="0.25">
      <c r="A142" s="1">
        <v>44584</v>
      </c>
      <c r="B142" t="s">
        <v>2196</v>
      </c>
      <c r="C142">
        <v>24</v>
      </c>
      <c r="D142" t="s">
        <v>21</v>
      </c>
      <c r="E142" t="s">
        <v>10</v>
      </c>
      <c r="F142" t="s">
        <v>29</v>
      </c>
      <c r="G142" t="s">
        <v>39</v>
      </c>
      <c r="H142">
        <v>2037.31</v>
      </c>
      <c r="I142" s="8" t="str" cm="1">
        <f t="array" ref="I142">_xlfn.IFS(C142&lt;=15,"Children and Young Adolescents", C142&gt;64, "Seniors", TRUE, "Working Age")</f>
        <v>Working Age</v>
      </c>
      <c r="J142" s="6">
        <f>VLOOKUP(F142,Analysis!$F$1:$G$5,2,FALSE)</f>
        <v>2496.7676064256989</v>
      </c>
      <c r="K142">
        <f t="shared" si="8"/>
        <v>2241.04</v>
      </c>
      <c r="L142">
        <f t="shared" si="9"/>
        <v>2241.0500000000002</v>
      </c>
      <c r="M142">
        <f t="shared" si="10"/>
        <v>2241.04</v>
      </c>
      <c r="N142" s="5" t="str">
        <f t="shared" si="11"/>
        <v>January 2022</v>
      </c>
    </row>
    <row r="143" spans="1:14" x14ac:dyDescent="0.25">
      <c r="A143" s="1">
        <v>44585</v>
      </c>
      <c r="B143" t="s">
        <v>5024</v>
      </c>
      <c r="C143">
        <v>8</v>
      </c>
      <c r="D143" t="s">
        <v>14</v>
      </c>
      <c r="E143" t="s">
        <v>32</v>
      </c>
      <c r="F143" t="s">
        <v>11</v>
      </c>
      <c r="G143" t="s">
        <v>39</v>
      </c>
      <c r="H143">
        <v>4062.19</v>
      </c>
      <c r="I143" s="8" t="str" cm="1">
        <f t="array" ref="I143">_xlfn.IFS(C143&lt;=15,"Children and Young Adolescents", C143&gt;64, "Seniors", TRUE, "Working Age")</f>
        <v>Children and Young Adolescents</v>
      </c>
      <c r="J143" s="6">
        <f>VLOOKUP(F143,Analysis!$F$1:$G$5,2,FALSE)</f>
        <v>2503.6022787783854</v>
      </c>
      <c r="K143">
        <f t="shared" si="8"/>
        <v>4468.3999999999996</v>
      </c>
      <c r="L143">
        <f t="shared" si="9"/>
        <v>4468.41</v>
      </c>
      <c r="M143">
        <f t="shared" si="10"/>
        <v>4468.41</v>
      </c>
      <c r="N143" s="5" t="str">
        <f t="shared" si="11"/>
        <v>January 2022</v>
      </c>
    </row>
    <row r="144" spans="1:14" x14ac:dyDescent="0.25">
      <c r="A144" s="1">
        <v>44585</v>
      </c>
      <c r="B144" t="s">
        <v>3059</v>
      </c>
      <c r="C144">
        <v>90</v>
      </c>
      <c r="D144" t="s">
        <v>9</v>
      </c>
      <c r="E144" t="s">
        <v>34</v>
      </c>
      <c r="F144" t="s">
        <v>29</v>
      </c>
      <c r="G144" t="s">
        <v>39</v>
      </c>
      <c r="H144">
        <v>2455.52</v>
      </c>
      <c r="I144" s="8" t="str" cm="1">
        <f t="array" ref="I144">_xlfn.IFS(C144&lt;=15,"Children and Young Adolescents", C144&gt;64, "Seniors", TRUE, "Working Age")</f>
        <v>Seniors</v>
      </c>
      <c r="J144" s="6">
        <f>VLOOKUP(F144,Analysis!$F$1:$G$5,2,FALSE)</f>
        <v>2496.7676064256989</v>
      </c>
      <c r="K144">
        <f t="shared" si="8"/>
        <v>2701.07</v>
      </c>
      <c r="L144">
        <f t="shared" si="9"/>
        <v>2701.0800000000004</v>
      </c>
      <c r="M144">
        <f t="shared" si="10"/>
        <v>2701.07</v>
      </c>
      <c r="N144" s="5" t="str">
        <f t="shared" si="11"/>
        <v>January 2022</v>
      </c>
    </row>
    <row r="145" spans="1:14" x14ac:dyDescent="0.25">
      <c r="A145" s="1">
        <v>44585</v>
      </c>
      <c r="B145" t="s">
        <v>1644</v>
      </c>
      <c r="C145">
        <v>67</v>
      </c>
      <c r="D145" t="s">
        <v>21</v>
      </c>
      <c r="E145" t="s">
        <v>10</v>
      </c>
      <c r="F145" t="s">
        <v>23</v>
      </c>
      <c r="G145" t="s">
        <v>17</v>
      </c>
      <c r="H145">
        <v>1366.45</v>
      </c>
      <c r="I145" s="8" t="str" cm="1">
        <f t="array" ref="I145">_xlfn.IFS(C145&lt;=15,"Children and Young Adolescents", C145&gt;64, "Seniors", TRUE, "Working Age")</f>
        <v>Seniors</v>
      </c>
      <c r="J145" s="6">
        <f>VLOOKUP(F145,Analysis!$F$1:$G$5,2,FALSE)</f>
        <v>2440.2966694490838</v>
      </c>
      <c r="K145">
        <f t="shared" si="8"/>
        <v>1503.09</v>
      </c>
      <c r="L145">
        <f t="shared" si="9"/>
        <v>1503.1</v>
      </c>
      <c r="M145">
        <f t="shared" si="10"/>
        <v>1503.1</v>
      </c>
      <c r="N145" s="5" t="str">
        <f t="shared" si="11"/>
        <v>January 2022</v>
      </c>
    </row>
    <row r="146" spans="1:14" x14ac:dyDescent="0.25">
      <c r="A146" s="1">
        <v>44585</v>
      </c>
      <c r="B146" t="s">
        <v>2134</v>
      </c>
      <c r="C146">
        <v>41</v>
      </c>
      <c r="D146" t="s">
        <v>21</v>
      </c>
      <c r="E146" t="s">
        <v>25</v>
      </c>
      <c r="F146" t="s">
        <v>16</v>
      </c>
      <c r="G146" t="s">
        <v>27</v>
      </c>
      <c r="H146">
        <v>4126.9399999999996</v>
      </c>
      <c r="I146" s="8" t="str" cm="1">
        <f t="array" ref="I146">_xlfn.IFS(C146&lt;=15,"Children and Young Adolescents", C146&gt;64, "Seniors", TRUE, "Working Age")</f>
        <v>Working Age</v>
      </c>
      <c r="J146" s="6">
        <f>VLOOKUP(F146,Analysis!$F$1:$G$5,2,FALSE)</f>
        <v>2509.1716796874912</v>
      </c>
      <c r="K146">
        <f t="shared" si="8"/>
        <v>4539.63</v>
      </c>
      <c r="L146">
        <f t="shared" si="9"/>
        <v>4539.6400000000003</v>
      </c>
      <c r="M146">
        <f t="shared" si="10"/>
        <v>4539.63</v>
      </c>
      <c r="N146" s="5" t="str">
        <f t="shared" si="11"/>
        <v>January 2022</v>
      </c>
    </row>
    <row r="147" spans="1:14" x14ac:dyDescent="0.25">
      <c r="A147" s="1">
        <v>44585</v>
      </c>
      <c r="B147" t="s">
        <v>2483</v>
      </c>
      <c r="C147">
        <v>32</v>
      </c>
      <c r="D147" t="s">
        <v>21</v>
      </c>
      <c r="E147" t="s">
        <v>15</v>
      </c>
      <c r="F147" t="s">
        <v>11</v>
      </c>
      <c r="G147" t="s">
        <v>12</v>
      </c>
      <c r="H147">
        <v>2171.25</v>
      </c>
      <c r="I147" s="8" t="str" cm="1">
        <f t="array" ref="I147">_xlfn.IFS(C147&lt;=15,"Children and Young Adolescents", C147&gt;64, "Seniors", TRUE, "Working Age")</f>
        <v>Working Age</v>
      </c>
      <c r="J147" s="6">
        <f>VLOOKUP(F147,Analysis!$F$1:$G$5,2,FALSE)</f>
        <v>2503.6022787783854</v>
      </c>
      <c r="K147">
        <f t="shared" si="8"/>
        <v>2388.37</v>
      </c>
      <c r="L147">
        <f t="shared" si="9"/>
        <v>2388.38</v>
      </c>
      <c r="M147">
        <f t="shared" si="10"/>
        <v>2388.38</v>
      </c>
      <c r="N147" s="5" t="str">
        <f t="shared" si="11"/>
        <v>January 2022</v>
      </c>
    </row>
    <row r="148" spans="1:14" x14ac:dyDescent="0.25">
      <c r="A148" s="1">
        <v>44585</v>
      </c>
      <c r="B148" t="s">
        <v>2201</v>
      </c>
      <c r="C148">
        <v>4</v>
      </c>
      <c r="D148" t="s">
        <v>14</v>
      </c>
      <c r="E148" t="s">
        <v>10</v>
      </c>
      <c r="F148" t="s">
        <v>16</v>
      </c>
      <c r="G148" t="s">
        <v>27</v>
      </c>
      <c r="H148">
        <v>49.55</v>
      </c>
      <c r="I148" s="8" t="str" cm="1">
        <f t="array" ref="I148">_xlfn.IFS(C148&lt;=15,"Children and Young Adolescents", C148&gt;64, "Seniors", TRUE, "Working Age")</f>
        <v>Children and Young Adolescents</v>
      </c>
      <c r="J148" s="6">
        <f>VLOOKUP(F148,Analysis!$F$1:$G$5,2,FALSE)</f>
        <v>2509.1716796874912</v>
      </c>
      <c r="K148">
        <f t="shared" si="8"/>
        <v>54.5</v>
      </c>
      <c r="L148">
        <f t="shared" si="9"/>
        <v>54.51</v>
      </c>
      <c r="M148">
        <f t="shared" si="10"/>
        <v>54.51</v>
      </c>
      <c r="N148" s="5" t="str">
        <f t="shared" si="11"/>
        <v>January 2022</v>
      </c>
    </row>
    <row r="149" spans="1:14" x14ac:dyDescent="0.25">
      <c r="A149" s="1">
        <v>44586</v>
      </c>
      <c r="B149" t="s">
        <v>2267</v>
      </c>
      <c r="C149">
        <v>71</v>
      </c>
      <c r="D149" t="s">
        <v>9</v>
      </c>
      <c r="E149" t="s">
        <v>19</v>
      </c>
      <c r="F149" t="s">
        <v>23</v>
      </c>
      <c r="G149" t="s">
        <v>39</v>
      </c>
      <c r="H149">
        <v>3826.4</v>
      </c>
      <c r="I149" s="8" t="str" cm="1">
        <f t="array" ref="I149">_xlfn.IFS(C149&lt;=15,"Children and Young Adolescents", C149&gt;64, "Seniors", TRUE, "Working Age")</f>
        <v>Seniors</v>
      </c>
      <c r="J149" s="6">
        <f>VLOOKUP(F149,Analysis!$F$1:$G$5,2,FALSE)</f>
        <v>2440.2966694490838</v>
      </c>
      <c r="K149">
        <f t="shared" si="8"/>
        <v>4209.04</v>
      </c>
      <c r="L149">
        <f t="shared" si="9"/>
        <v>4209.04</v>
      </c>
      <c r="M149">
        <f t="shared" si="10"/>
        <v>4209.04</v>
      </c>
      <c r="N149" s="5" t="str">
        <f t="shared" si="11"/>
        <v>January 2022</v>
      </c>
    </row>
    <row r="150" spans="1:14" x14ac:dyDescent="0.25">
      <c r="A150" s="1">
        <v>44586</v>
      </c>
      <c r="B150" t="s">
        <v>2866</v>
      </c>
      <c r="C150">
        <v>73</v>
      </c>
      <c r="D150" t="s">
        <v>9</v>
      </c>
      <c r="E150" t="s">
        <v>22</v>
      </c>
      <c r="F150" t="s">
        <v>23</v>
      </c>
      <c r="G150" t="s">
        <v>39</v>
      </c>
      <c r="H150">
        <v>2832.01</v>
      </c>
      <c r="I150" s="8" t="str" cm="1">
        <f t="array" ref="I150">_xlfn.IFS(C150&lt;=15,"Children and Young Adolescents", C150&gt;64, "Seniors", TRUE, "Working Age")</f>
        <v>Seniors</v>
      </c>
      <c r="J150" s="6">
        <f>VLOOKUP(F150,Analysis!$F$1:$G$5,2,FALSE)</f>
        <v>2440.2966694490838</v>
      </c>
      <c r="K150">
        <f t="shared" si="8"/>
        <v>3115.21</v>
      </c>
      <c r="L150">
        <f t="shared" si="9"/>
        <v>3115.2200000000003</v>
      </c>
      <c r="M150">
        <f t="shared" si="10"/>
        <v>3115.21</v>
      </c>
      <c r="N150" s="5" t="str">
        <f t="shared" si="11"/>
        <v>January 2022</v>
      </c>
    </row>
    <row r="151" spans="1:14" x14ac:dyDescent="0.25">
      <c r="A151" s="1">
        <v>44586</v>
      </c>
      <c r="B151" t="s">
        <v>3982</v>
      </c>
      <c r="C151">
        <v>39</v>
      </c>
      <c r="D151" t="s">
        <v>14</v>
      </c>
      <c r="E151" t="s">
        <v>10</v>
      </c>
      <c r="F151" t="s">
        <v>23</v>
      </c>
      <c r="G151" t="s">
        <v>17</v>
      </c>
      <c r="H151">
        <v>346.91</v>
      </c>
      <c r="I151" s="8" t="str" cm="1">
        <f t="array" ref="I151">_xlfn.IFS(C151&lt;=15,"Children and Young Adolescents", C151&gt;64, "Seniors", TRUE, "Working Age")</f>
        <v>Working Age</v>
      </c>
      <c r="J151" s="6">
        <f>VLOOKUP(F151,Analysis!$F$1:$G$5,2,FALSE)</f>
        <v>2440.2966694490838</v>
      </c>
      <c r="K151">
        <f t="shared" si="8"/>
        <v>381.6</v>
      </c>
      <c r="L151">
        <f t="shared" si="9"/>
        <v>381.61</v>
      </c>
      <c r="M151">
        <f t="shared" si="10"/>
        <v>381.6</v>
      </c>
      <c r="N151" s="5" t="str">
        <f t="shared" si="11"/>
        <v>January 2022</v>
      </c>
    </row>
    <row r="152" spans="1:14" x14ac:dyDescent="0.25">
      <c r="A152" s="1">
        <v>44586</v>
      </c>
      <c r="B152" t="s">
        <v>56</v>
      </c>
      <c r="C152">
        <v>34</v>
      </c>
      <c r="D152" t="s">
        <v>21</v>
      </c>
      <c r="E152" t="s">
        <v>25</v>
      </c>
      <c r="F152" t="s">
        <v>29</v>
      </c>
      <c r="G152" t="s">
        <v>12</v>
      </c>
      <c r="H152">
        <v>2471.39</v>
      </c>
      <c r="I152" s="8" t="str" cm="1">
        <f t="array" ref="I152">_xlfn.IFS(C152&lt;=15,"Children and Young Adolescents", C152&gt;64, "Seniors", TRUE, "Working Age")</f>
        <v>Working Age</v>
      </c>
      <c r="J152" s="6">
        <f>VLOOKUP(F152,Analysis!$F$1:$G$5,2,FALSE)</f>
        <v>2496.7676064256989</v>
      </c>
      <c r="K152">
        <f t="shared" si="8"/>
        <v>2718.52</v>
      </c>
      <c r="L152">
        <f t="shared" si="9"/>
        <v>2718.53</v>
      </c>
      <c r="M152">
        <f t="shared" si="10"/>
        <v>2718.53</v>
      </c>
      <c r="N152" s="5" t="str">
        <f t="shared" si="11"/>
        <v>January 2022</v>
      </c>
    </row>
    <row r="153" spans="1:14" x14ac:dyDescent="0.25">
      <c r="A153" s="1">
        <v>44586</v>
      </c>
      <c r="B153" t="s">
        <v>2634</v>
      </c>
      <c r="C153">
        <v>51</v>
      </c>
      <c r="D153" t="s">
        <v>14</v>
      </c>
      <c r="E153" t="s">
        <v>10</v>
      </c>
      <c r="F153" t="s">
        <v>29</v>
      </c>
      <c r="G153" t="s">
        <v>17</v>
      </c>
      <c r="H153">
        <v>3536.48</v>
      </c>
      <c r="I153" s="8" t="str" cm="1">
        <f t="array" ref="I153">_xlfn.IFS(C153&lt;=15,"Children and Young Adolescents", C153&gt;64, "Seniors", TRUE, "Working Age")</f>
        <v>Working Age</v>
      </c>
      <c r="J153" s="6">
        <f>VLOOKUP(F153,Analysis!$F$1:$G$5,2,FALSE)</f>
        <v>2496.7676064256989</v>
      </c>
      <c r="K153">
        <f t="shared" si="8"/>
        <v>3890.12</v>
      </c>
      <c r="L153">
        <f t="shared" si="9"/>
        <v>3890.13</v>
      </c>
      <c r="M153">
        <f t="shared" si="10"/>
        <v>3890.13</v>
      </c>
      <c r="N153" s="5" t="str">
        <f t="shared" si="11"/>
        <v>January 2022</v>
      </c>
    </row>
    <row r="154" spans="1:14" x14ac:dyDescent="0.25">
      <c r="A154" s="1">
        <v>44586</v>
      </c>
      <c r="B154" t="s">
        <v>3302</v>
      </c>
      <c r="C154">
        <v>75</v>
      </c>
      <c r="D154" t="s">
        <v>14</v>
      </c>
      <c r="E154" t="s">
        <v>34</v>
      </c>
      <c r="F154" t="s">
        <v>23</v>
      </c>
      <c r="G154" t="s">
        <v>17</v>
      </c>
      <c r="H154">
        <v>4376.55</v>
      </c>
      <c r="I154" s="8" t="str" cm="1">
        <f t="array" ref="I154">_xlfn.IFS(C154&lt;=15,"Children and Young Adolescents", C154&gt;64, "Seniors", TRUE, "Working Age")</f>
        <v>Seniors</v>
      </c>
      <c r="J154" s="6">
        <f>VLOOKUP(F154,Analysis!$F$1:$G$5,2,FALSE)</f>
        <v>2440.2966694490838</v>
      </c>
      <c r="K154">
        <f t="shared" si="8"/>
        <v>4814.2</v>
      </c>
      <c r="L154">
        <f t="shared" si="9"/>
        <v>4814.21</v>
      </c>
      <c r="M154">
        <f t="shared" si="10"/>
        <v>4814.21</v>
      </c>
      <c r="N154" s="5" t="str">
        <f t="shared" si="11"/>
        <v>January 2022</v>
      </c>
    </row>
    <row r="155" spans="1:14" x14ac:dyDescent="0.25">
      <c r="A155" s="1">
        <v>44586</v>
      </c>
      <c r="B155" t="s">
        <v>4530</v>
      </c>
      <c r="C155">
        <v>78</v>
      </c>
      <c r="D155" t="s">
        <v>14</v>
      </c>
      <c r="E155" t="s">
        <v>34</v>
      </c>
      <c r="F155" t="s">
        <v>11</v>
      </c>
      <c r="G155" t="s">
        <v>17</v>
      </c>
      <c r="H155">
        <v>3478.28</v>
      </c>
      <c r="I155" s="8" t="str" cm="1">
        <f t="array" ref="I155">_xlfn.IFS(C155&lt;=15,"Children and Young Adolescents", C155&gt;64, "Seniors", TRUE, "Working Age")</f>
        <v>Seniors</v>
      </c>
      <c r="J155" s="6">
        <f>VLOOKUP(F155,Analysis!$F$1:$G$5,2,FALSE)</f>
        <v>2503.6022787783854</v>
      </c>
      <c r="K155">
        <f t="shared" si="8"/>
        <v>3826.1</v>
      </c>
      <c r="L155">
        <f t="shared" si="9"/>
        <v>3826.11</v>
      </c>
      <c r="M155">
        <f t="shared" si="10"/>
        <v>3826.11</v>
      </c>
      <c r="N155" s="5" t="str">
        <f t="shared" si="11"/>
        <v>January 2022</v>
      </c>
    </row>
    <row r="156" spans="1:14" x14ac:dyDescent="0.25">
      <c r="A156" s="1">
        <v>44586</v>
      </c>
      <c r="B156" t="s">
        <v>3588</v>
      </c>
      <c r="C156">
        <v>28</v>
      </c>
      <c r="D156" t="s">
        <v>9</v>
      </c>
      <c r="E156" t="s">
        <v>10</v>
      </c>
      <c r="F156" t="s">
        <v>11</v>
      </c>
      <c r="G156" t="s">
        <v>12</v>
      </c>
      <c r="H156">
        <v>2353.12</v>
      </c>
      <c r="I156" s="8" t="str" cm="1">
        <f t="array" ref="I156">_xlfn.IFS(C156&lt;=15,"Children and Young Adolescents", C156&gt;64, "Seniors", TRUE, "Working Age")</f>
        <v>Working Age</v>
      </c>
      <c r="J156" s="6">
        <f>VLOOKUP(F156,Analysis!$F$1:$G$5,2,FALSE)</f>
        <v>2503.6022787783854</v>
      </c>
      <c r="K156">
        <f t="shared" si="8"/>
        <v>2588.4299999999998</v>
      </c>
      <c r="L156">
        <f t="shared" si="9"/>
        <v>2588.44</v>
      </c>
      <c r="M156">
        <f t="shared" si="10"/>
        <v>2588.4299999999998</v>
      </c>
      <c r="N156" s="5" t="str">
        <f t="shared" si="11"/>
        <v>January 2022</v>
      </c>
    </row>
    <row r="157" spans="1:14" x14ac:dyDescent="0.25">
      <c r="A157" s="1">
        <v>44587</v>
      </c>
      <c r="B157" t="s">
        <v>1418</v>
      </c>
      <c r="C157">
        <v>23</v>
      </c>
      <c r="D157" t="s">
        <v>14</v>
      </c>
      <c r="E157" t="s">
        <v>15</v>
      </c>
      <c r="F157" t="s">
        <v>29</v>
      </c>
      <c r="G157" t="s">
        <v>39</v>
      </c>
      <c r="H157">
        <v>1904.25</v>
      </c>
      <c r="I157" s="8" t="str" cm="1">
        <f t="array" ref="I157">_xlfn.IFS(C157&lt;=15,"Children and Young Adolescents", C157&gt;64, "Seniors", TRUE, "Working Age")</f>
        <v>Working Age</v>
      </c>
      <c r="J157" s="6">
        <f>VLOOKUP(F157,Analysis!$F$1:$G$5,2,FALSE)</f>
        <v>2496.7676064256989</v>
      </c>
      <c r="K157">
        <f t="shared" si="8"/>
        <v>2094.67</v>
      </c>
      <c r="L157">
        <f t="shared" si="9"/>
        <v>2094.6800000000003</v>
      </c>
      <c r="M157">
        <f t="shared" si="10"/>
        <v>2094.6799999999998</v>
      </c>
      <c r="N157" s="5" t="str">
        <f t="shared" si="11"/>
        <v>January 2022</v>
      </c>
    </row>
    <row r="158" spans="1:14" x14ac:dyDescent="0.25">
      <c r="A158" s="1">
        <v>44587</v>
      </c>
      <c r="B158" t="s">
        <v>2959</v>
      </c>
      <c r="C158">
        <v>12</v>
      </c>
      <c r="D158" t="s">
        <v>9</v>
      </c>
      <c r="E158" t="s">
        <v>15</v>
      </c>
      <c r="F158" t="s">
        <v>11</v>
      </c>
      <c r="G158" t="s">
        <v>5033</v>
      </c>
      <c r="H158">
        <v>1100.29</v>
      </c>
      <c r="I158" s="8" t="str" cm="1">
        <f t="array" ref="I158">_xlfn.IFS(C158&lt;=15,"Children and Young Adolescents", C158&gt;64, "Seniors", TRUE, "Working Age")</f>
        <v>Children and Young Adolescents</v>
      </c>
      <c r="J158" s="6">
        <f>VLOOKUP(F158,Analysis!$F$1:$G$5,2,FALSE)</f>
        <v>2503.6022787783854</v>
      </c>
      <c r="K158">
        <f t="shared" si="8"/>
        <v>1210.31</v>
      </c>
      <c r="L158">
        <f t="shared" si="9"/>
        <v>1210.32</v>
      </c>
      <c r="M158">
        <f t="shared" si="10"/>
        <v>1210.32</v>
      </c>
      <c r="N158" s="5" t="str">
        <f t="shared" si="11"/>
        <v>January 2022</v>
      </c>
    </row>
    <row r="159" spans="1:14" x14ac:dyDescent="0.25">
      <c r="A159" s="1">
        <v>44587</v>
      </c>
      <c r="B159" t="s">
        <v>2778</v>
      </c>
      <c r="C159">
        <v>36</v>
      </c>
      <c r="D159" t="s">
        <v>14</v>
      </c>
      <c r="E159" t="s">
        <v>5032</v>
      </c>
      <c r="F159" t="s">
        <v>11</v>
      </c>
      <c r="G159" t="s">
        <v>17</v>
      </c>
      <c r="H159">
        <v>876.73</v>
      </c>
      <c r="I159" s="8" t="str" cm="1">
        <f t="array" ref="I159">_xlfn.IFS(C159&lt;=15,"Children and Young Adolescents", C159&gt;64, "Seniors", TRUE, "Working Age")</f>
        <v>Working Age</v>
      </c>
      <c r="J159" s="6">
        <f>VLOOKUP(F159,Analysis!$F$1:$G$5,2,FALSE)</f>
        <v>2503.6022787783854</v>
      </c>
      <c r="K159">
        <f t="shared" si="8"/>
        <v>964.4</v>
      </c>
      <c r="L159">
        <f t="shared" si="9"/>
        <v>964.41</v>
      </c>
      <c r="M159">
        <f t="shared" si="10"/>
        <v>964.4</v>
      </c>
      <c r="N159" s="5" t="str">
        <f t="shared" si="11"/>
        <v>January 2022</v>
      </c>
    </row>
    <row r="160" spans="1:14" x14ac:dyDescent="0.25">
      <c r="A160" s="1">
        <v>44587</v>
      </c>
      <c r="B160" t="s">
        <v>991</v>
      </c>
      <c r="C160">
        <v>81</v>
      </c>
      <c r="D160" t="s">
        <v>9</v>
      </c>
      <c r="E160" t="s">
        <v>25</v>
      </c>
      <c r="F160" t="s">
        <v>16</v>
      </c>
      <c r="G160" t="s">
        <v>39</v>
      </c>
      <c r="H160">
        <v>2253.92</v>
      </c>
      <c r="I160" s="8" t="str" cm="1">
        <f t="array" ref="I160">_xlfn.IFS(C160&lt;=15,"Children and Young Adolescents", C160&gt;64, "Seniors", TRUE, "Working Age")</f>
        <v>Seniors</v>
      </c>
      <c r="J160" s="6">
        <f>VLOOKUP(F160,Analysis!$F$1:$G$5,2,FALSE)</f>
        <v>2509.1716796874912</v>
      </c>
      <c r="K160">
        <f t="shared" si="8"/>
        <v>2479.31</v>
      </c>
      <c r="L160">
        <f t="shared" si="9"/>
        <v>2479.3200000000002</v>
      </c>
      <c r="M160">
        <f t="shared" si="10"/>
        <v>2479.31</v>
      </c>
      <c r="N160" s="5" t="str">
        <f t="shared" si="11"/>
        <v>January 2022</v>
      </c>
    </row>
    <row r="161" spans="1:14" x14ac:dyDescent="0.25">
      <c r="A161" s="1">
        <v>44587</v>
      </c>
      <c r="B161" t="s">
        <v>910</v>
      </c>
      <c r="C161">
        <v>23</v>
      </c>
      <c r="D161" t="s">
        <v>9</v>
      </c>
      <c r="E161" t="s">
        <v>34</v>
      </c>
      <c r="F161" t="s">
        <v>23</v>
      </c>
      <c r="G161" t="s">
        <v>36</v>
      </c>
      <c r="H161">
        <v>55.68</v>
      </c>
      <c r="I161" s="8" t="str" cm="1">
        <f t="array" ref="I161">_xlfn.IFS(C161&lt;=15,"Children and Young Adolescents", C161&gt;64, "Seniors", TRUE, "Working Age")</f>
        <v>Working Age</v>
      </c>
      <c r="J161" s="6">
        <f>VLOOKUP(F161,Analysis!$F$1:$G$5,2,FALSE)</f>
        <v>2440.2966694490838</v>
      </c>
      <c r="K161">
        <f t="shared" si="8"/>
        <v>61.24</v>
      </c>
      <c r="L161">
        <f t="shared" si="9"/>
        <v>61.25</v>
      </c>
      <c r="M161">
        <f t="shared" si="10"/>
        <v>61.25</v>
      </c>
      <c r="N161" s="5" t="str">
        <f t="shared" si="11"/>
        <v>January 2022</v>
      </c>
    </row>
    <row r="162" spans="1:14" x14ac:dyDescent="0.25">
      <c r="A162" s="1">
        <v>44587</v>
      </c>
      <c r="B162" t="s">
        <v>1037</v>
      </c>
      <c r="C162">
        <v>83</v>
      </c>
      <c r="D162" t="s">
        <v>21</v>
      </c>
      <c r="E162" t="s">
        <v>10</v>
      </c>
      <c r="F162" t="s">
        <v>29</v>
      </c>
      <c r="G162" t="s">
        <v>36</v>
      </c>
      <c r="H162">
        <v>2937.22</v>
      </c>
      <c r="I162" s="8" t="str" cm="1">
        <f t="array" ref="I162">_xlfn.IFS(C162&lt;=15,"Children and Young Adolescents", C162&gt;64, "Seniors", TRUE, "Working Age")</f>
        <v>Seniors</v>
      </c>
      <c r="J162" s="6">
        <f>VLOOKUP(F162,Analysis!$F$1:$G$5,2,FALSE)</f>
        <v>2496.7676064256989</v>
      </c>
      <c r="K162">
        <f t="shared" si="8"/>
        <v>3230.94</v>
      </c>
      <c r="L162">
        <f t="shared" si="9"/>
        <v>3230.9500000000003</v>
      </c>
      <c r="M162">
        <f t="shared" si="10"/>
        <v>3230.94</v>
      </c>
      <c r="N162" s="5" t="str">
        <f t="shared" si="11"/>
        <v>January 2022</v>
      </c>
    </row>
    <row r="163" spans="1:14" x14ac:dyDescent="0.25">
      <c r="A163" s="1">
        <v>44588</v>
      </c>
      <c r="B163" t="s">
        <v>1841</v>
      </c>
      <c r="C163">
        <v>20</v>
      </c>
      <c r="D163" t="s">
        <v>9</v>
      </c>
      <c r="E163" t="s">
        <v>22</v>
      </c>
      <c r="F163" t="s">
        <v>23</v>
      </c>
      <c r="G163" t="s">
        <v>5033</v>
      </c>
      <c r="H163">
        <v>461.81</v>
      </c>
      <c r="I163" s="8" t="str" cm="1">
        <f t="array" ref="I163">_xlfn.IFS(C163&lt;=15,"Children and Young Adolescents", C163&gt;64, "Seniors", TRUE, "Working Age")</f>
        <v>Working Age</v>
      </c>
      <c r="J163" s="6">
        <f>VLOOKUP(F163,Analysis!$F$1:$G$5,2,FALSE)</f>
        <v>2440.2966694490838</v>
      </c>
      <c r="K163">
        <f t="shared" si="8"/>
        <v>507.99</v>
      </c>
      <c r="L163">
        <f t="shared" si="9"/>
        <v>508</v>
      </c>
      <c r="M163">
        <f t="shared" si="10"/>
        <v>507.99</v>
      </c>
      <c r="N163" s="5" t="str">
        <f t="shared" si="11"/>
        <v>January 2022</v>
      </c>
    </row>
    <row r="164" spans="1:14" x14ac:dyDescent="0.25">
      <c r="A164" s="1">
        <v>44588</v>
      </c>
      <c r="B164" t="s">
        <v>2982</v>
      </c>
      <c r="C164">
        <v>16</v>
      </c>
      <c r="D164" t="s">
        <v>14</v>
      </c>
      <c r="E164" t="s">
        <v>10</v>
      </c>
      <c r="F164" t="s">
        <v>16</v>
      </c>
      <c r="G164" t="s">
        <v>17</v>
      </c>
      <c r="H164">
        <v>4249.1099999999997</v>
      </c>
      <c r="I164" s="8" t="str" cm="1">
        <f t="array" ref="I164">_xlfn.IFS(C164&lt;=15,"Children and Young Adolescents", C164&gt;64, "Seniors", TRUE, "Working Age")</f>
        <v>Working Age</v>
      </c>
      <c r="J164" s="6">
        <f>VLOOKUP(F164,Analysis!$F$1:$G$5,2,FALSE)</f>
        <v>2509.1716796874912</v>
      </c>
      <c r="K164">
        <f t="shared" si="8"/>
        <v>4674.0200000000004</v>
      </c>
      <c r="L164">
        <f t="shared" si="9"/>
        <v>4674.0300000000007</v>
      </c>
      <c r="M164">
        <f t="shared" si="10"/>
        <v>4674.0200000000004</v>
      </c>
      <c r="N164" s="5" t="str">
        <f t="shared" si="11"/>
        <v>January 2022</v>
      </c>
    </row>
    <row r="165" spans="1:14" x14ac:dyDescent="0.25">
      <c r="A165" s="1">
        <v>44588</v>
      </c>
      <c r="B165" t="s">
        <v>2283</v>
      </c>
      <c r="C165">
        <v>35</v>
      </c>
      <c r="D165" t="s">
        <v>21</v>
      </c>
      <c r="E165" t="s">
        <v>1268</v>
      </c>
      <c r="F165" t="s">
        <v>23</v>
      </c>
      <c r="G165" t="s">
        <v>39</v>
      </c>
      <c r="H165">
        <v>4468.53</v>
      </c>
      <c r="I165" s="8" t="str" cm="1">
        <f t="array" ref="I165">_xlfn.IFS(C165&lt;=15,"Children and Young Adolescents", C165&gt;64, "Seniors", TRUE, "Working Age")</f>
        <v>Working Age</v>
      </c>
      <c r="J165" s="6">
        <f>VLOOKUP(F165,Analysis!$F$1:$G$5,2,FALSE)</f>
        <v>2440.2966694490838</v>
      </c>
      <c r="K165">
        <f t="shared" si="8"/>
        <v>4915.38</v>
      </c>
      <c r="L165">
        <f t="shared" si="9"/>
        <v>4915.3900000000003</v>
      </c>
      <c r="M165">
        <f t="shared" si="10"/>
        <v>4915.38</v>
      </c>
      <c r="N165" s="5" t="str">
        <f t="shared" si="11"/>
        <v>January 2022</v>
      </c>
    </row>
    <row r="166" spans="1:14" x14ac:dyDescent="0.25">
      <c r="A166" s="1">
        <v>44588</v>
      </c>
      <c r="B166" t="s">
        <v>2713</v>
      </c>
      <c r="C166">
        <v>2</v>
      </c>
      <c r="D166" t="s">
        <v>21</v>
      </c>
      <c r="E166" t="s">
        <v>15</v>
      </c>
      <c r="F166" t="s">
        <v>23</v>
      </c>
      <c r="G166" t="s">
        <v>17</v>
      </c>
      <c r="H166">
        <v>4455.75</v>
      </c>
      <c r="I166" s="8" t="str" cm="1">
        <f t="array" ref="I166">_xlfn.IFS(C166&lt;=15,"Children and Young Adolescents", C166&gt;64, "Seniors", TRUE, "Working Age")</f>
        <v>Children and Young Adolescents</v>
      </c>
      <c r="J166" s="6">
        <f>VLOOKUP(F166,Analysis!$F$1:$G$5,2,FALSE)</f>
        <v>2440.2966694490838</v>
      </c>
      <c r="K166">
        <f t="shared" si="8"/>
        <v>4901.32</v>
      </c>
      <c r="L166">
        <f t="shared" si="9"/>
        <v>4901.33</v>
      </c>
      <c r="M166">
        <f t="shared" si="10"/>
        <v>4901.33</v>
      </c>
      <c r="N166" s="5" t="str">
        <f t="shared" si="11"/>
        <v>January 2022</v>
      </c>
    </row>
    <row r="167" spans="1:14" x14ac:dyDescent="0.25">
      <c r="A167" s="1">
        <v>44588</v>
      </c>
      <c r="B167" t="s">
        <v>151</v>
      </c>
      <c r="C167">
        <v>86</v>
      </c>
      <c r="D167" t="s">
        <v>9</v>
      </c>
      <c r="E167" t="s">
        <v>22</v>
      </c>
      <c r="F167" t="s">
        <v>16</v>
      </c>
      <c r="G167" t="s">
        <v>12</v>
      </c>
      <c r="H167">
        <v>1952.14</v>
      </c>
      <c r="I167" s="8" t="str" cm="1">
        <f t="array" ref="I167">_xlfn.IFS(C167&lt;=15,"Children and Young Adolescents", C167&gt;64, "Seniors", TRUE, "Working Age")</f>
        <v>Seniors</v>
      </c>
      <c r="J167" s="6">
        <f>VLOOKUP(F167,Analysis!$F$1:$G$5,2,FALSE)</f>
        <v>2509.1716796874912</v>
      </c>
      <c r="K167">
        <f t="shared" si="8"/>
        <v>2147.35</v>
      </c>
      <c r="L167">
        <f t="shared" si="9"/>
        <v>2147.36</v>
      </c>
      <c r="M167">
        <f t="shared" si="10"/>
        <v>2147.35</v>
      </c>
      <c r="N167" s="5" t="str">
        <f t="shared" si="11"/>
        <v>January 2022</v>
      </c>
    </row>
    <row r="168" spans="1:14" x14ac:dyDescent="0.25">
      <c r="A168" s="1">
        <v>44588</v>
      </c>
      <c r="B168" t="s">
        <v>4579</v>
      </c>
      <c r="C168">
        <v>79</v>
      </c>
      <c r="D168" t="s">
        <v>9</v>
      </c>
      <c r="E168" t="s">
        <v>15</v>
      </c>
      <c r="F168" t="s">
        <v>23</v>
      </c>
      <c r="G168" t="s">
        <v>12</v>
      </c>
      <c r="H168">
        <v>2660.66</v>
      </c>
      <c r="I168" s="8" t="str" cm="1">
        <f t="array" ref="I168">_xlfn.IFS(C168&lt;=15,"Children and Young Adolescents", C168&gt;64, "Seniors", TRUE, "Working Age")</f>
        <v>Seniors</v>
      </c>
      <c r="J168" s="6">
        <f>VLOOKUP(F168,Analysis!$F$1:$G$5,2,FALSE)</f>
        <v>2440.2966694490838</v>
      </c>
      <c r="K168">
        <f t="shared" si="8"/>
        <v>2926.72</v>
      </c>
      <c r="L168">
        <f t="shared" si="9"/>
        <v>2926.73</v>
      </c>
      <c r="M168">
        <f t="shared" si="10"/>
        <v>2926.73</v>
      </c>
      <c r="N168" s="5" t="str">
        <f t="shared" si="11"/>
        <v>January 2022</v>
      </c>
    </row>
    <row r="169" spans="1:14" x14ac:dyDescent="0.25">
      <c r="A169" s="1">
        <v>44588</v>
      </c>
      <c r="B169" t="s">
        <v>2435</v>
      </c>
      <c r="C169">
        <v>88</v>
      </c>
      <c r="D169" t="s">
        <v>9</v>
      </c>
      <c r="E169" t="s">
        <v>34</v>
      </c>
      <c r="F169" t="s">
        <v>29</v>
      </c>
      <c r="G169" t="s">
        <v>27</v>
      </c>
      <c r="H169">
        <v>2306.63</v>
      </c>
      <c r="I169" s="8" t="str" cm="1">
        <f t="array" ref="I169">_xlfn.IFS(C169&lt;=15,"Children and Young Adolescents", C169&gt;64, "Seniors", TRUE, "Working Age")</f>
        <v>Seniors</v>
      </c>
      <c r="J169" s="6">
        <f>VLOOKUP(F169,Analysis!$F$1:$G$5,2,FALSE)</f>
        <v>2496.7676064256989</v>
      </c>
      <c r="K169">
        <f t="shared" si="8"/>
        <v>2537.29</v>
      </c>
      <c r="L169">
        <f t="shared" si="9"/>
        <v>2537.3000000000002</v>
      </c>
      <c r="M169">
        <f t="shared" si="10"/>
        <v>2537.29</v>
      </c>
      <c r="N169" s="5" t="str">
        <f t="shared" si="11"/>
        <v>January 2022</v>
      </c>
    </row>
    <row r="170" spans="1:14" x14ac:dyDescent="0.25">
      <c r="A170" s="1">
        <v>44589</v>
      </c>
      <c r="B170" t="s">
        <v>3145</v>
      </c>
      <c r="C170">
        <v>38</v>
      </c>
      <c r="D170" t="s">
        <v>21</v>
      </c>
      <c r="E170" t="s">
        <v>19</v>
      </c>
      <c r="F170" t="s">
        <v>29</v>
      </c>
      <c r="G170" t="s">
        <v>5033</v>
      </c>
      <c r="H170">
        <v>4560.68</v>
      </c>
      <c r="I170" s="8" t="str" cm="1">
        <f t="array" ref="I170">_xlfn.IFS(C170&lt;=15,"Children and Young Adolescents", C170&gt;64, "Seniors", TRUE, "Working Age")</f>
        <v>Working Age</v>
      </c>
      <c r="J170" s="6">
        <f>VLOOKUP(F170,Analysis!$F$1:$G$5,2,FALSE)</f>
        <v>2496.7676064256989</v>
      </c>
      <c r="K170">
        <f t="shared" si="8"/>
        <v>5016.74</v>
      </c>
      <c r="L170">
        <f t="shared" si="9"/>
        <v>5016.75</v>
      </c>
      <c r="M170">
        <f t="shared" si="10"/>
        <v>5016.75</v>
      </c>
      <c r="N170" s="5" t="str">
        <f t="shared" si="11"/>
        <v>January 2022</v>
      </c>
    </row>
    <row r="171" spans="1:14" x14ac:dyDescent="0.25">
      <c r="A171" s="1">
        <v>44589</v>
      </c>
      <c r="B171" t="s">
        <v>4395</v>
      </c>
      <c r="C171">
        <v>66</v>
      </c>
      <c r="D171" t="s">
        <v>14</v>
      </c>
      <c r="E171" t="s">
        <v>25</v>
      </c>
      <c r="F171" t="s">
        <v>29</v>
      </c>
      <c r="G171" t="s">
        <v>12</v>
      </c>
      <c r="H171">
        <v>2932.19</v>
      </c>
      <c r="I171" s="8" t="str" cm="1">
        <f t="array" ref="I171">_xlfn.IFS(C171&lt;=15,"Children and Young Adolescents", C171&gt;64, "Seniors", TRUE, "Working Age")</f>
        <v>Seniors</v>
      </c>
      <c r="J171" s="6">
        <f>VLOOKUP(F171,Analysis!$F$1:$G$5,2,FALSE)</f>
        <v>2496.7676064256989</v>
      </c>
      <c r="K171">
        <f t="shared" si="8"/>
        <v>3225.4</v>
      </c>
      <c r="L171">
        <f t="shared" si="9"/>
        <v>3225.4100000000003</v>
      </c>
      <c r="M171">
        <f t="shared" si="10"/>
        <v>3225.41</v>
      </c>
      <c r="N171" s="5" t="str">
        <f t="shared" si="11"/>
        <v>January 2022</v>
      </c>
    </row>
    <row r="172" spans="1:14" x14ac:dyDescent="0.25">
      <c r="A172" s="1">
        <v>44589</v>
      </c>
      <c r="B172" t="s">
        <v>118</v>
      </c>
      <c r="C172">
        <v>21</v>
      </c>
      <c r="D172" t="s">
        <v>9</v>
      </c>
      <c r="E172" t="s">
        <v>10</v>
      </c>
      <c r="F172" t="s">
        <v>23</v>
      </c>
      <c r="G172" t="s">
        <v>17</v>
      </c>
      <c r="H172">
        <v>716.39</v>
      </c>
      <c r="I172" s="8" t="str" cm="1">
        <f t="array" ref="I172">_xlfn.IFS(C172&lt;=15,"Children and Young Adolescents", C172&gt;64, "Seniors", TRUE, "Working Age")</f>
        <v>Working Age</v>
      </c>
      <c r="J172" s="6">
        <f>VLOOKUP(F172,Analysis!$F$1:$G$5,2,FALSE)</f>
        <v>2440.2966694490838</v>
      </c>
      <c r="K172">
        <f t="shared" si="8"/>
        <v>788.02</v>
      </c>
      <c r="L172">
        <f t="shared" si="9"/>
        <v>788.03</v>
      </c>
      <c r="M172">
        <f t="shared" si="10"/>
        <v>788.03</v>
      </c>
      <c r="N172" s="5" t="str">
        <f t="shared" si="11"/>
        <v>January 2022</v>
      </c>
    </row>
    <row r="173" spans="1:14" x14ac:dyDescent="0.25">
      <c r="A173" s="1">
        <v>44589</v>
      </c>
      <c r="B173" t="s">
        <v>3497</v>
      </c>
      <c r="C173">
        <v>66</v>
      </c>
      <c r="D173" t="s">
        <v>21</v>
      </c>
      <c r="E173" t="s">
        <v>25</v>
      </c>
      <c r="F173" t="s">
        <v>29</v>
      </c>
      <c r="G173" t="s">
        <v>39</v>
      </c>
      <c r="H173">
        <v>3318.1</v>
      </c>
      <c r="I173" s="8" t="str" cm="1">
        <f t="array" ref="I173">_xlfn.IFS(C173&lt;=15,"Children and Young Adolescents", C173&gt;64, "Seniors", TRUE, "Working Age")</f>
        <v>Seniors</v>
      </c>
      <c r="J173" s="6">
        <f>VLOOKUP(F173,Analysis!$F$1:$G$5,2,FALSE)</f>
        <v>2496.7676064256989</v>
      </c>
      <c r="K173">
        <f t="shared" si="8"/>
        <v>3649.91</v>
      </c>
      <c r="L173">
        <f t="shared" si="9"/>
        <v>3649.91</v>
      </c>
      <c r="M173">
        <f t="shared" si="10"/>
        <v>3649.91</v>
      </c>
      <c r="N173" s="5" t="str">
        <f t="shared" si="11"/>
        <v>January 2022</v>
      </c>
    </row>
    <row r="174" spans="1:14" x14ac:dyDescent="0.25">
      <c r="A174" s="1">
        <v>44589</v>
      </c>
      <c r="B174" t="s">
        <v>3787</v>
      </c>
      <c r="C174">
        <v>78</v>
      </c>
      <c r="D174" t="s">
        <v>14</v>
      </c>
      <c r="E174" t="s">
        <v>5032</v>
      </c>
      <c r="F174" t="s">
        <v>23</v>
      </c>
      <c r="G174" t="s">
        <v>36</v>
      </c>
      <c r="H174">
        <v>3466.17</v>
      </c>
      <c r="I174" s="8" t="str" cm="1">
        <f t="array" ref="I174">_xlfn.IFS(C174&lt;=15,"Children and Young Adolescents", C174&gt;64, "Seniors", TRUE, "Working Age")</f>
        <v>Seniors</v>
      </c>
      <c r="J174" s="6">
        <f>VLOOKUP(F174,Analysis!$F$1:$G$5,2,FALSE)</f>
        <v>2440.2966694490838</v>
      </c>
      <c r="K174">
        <f t="shared" si="8"/>
        <v>3812.78</v>
      </c>
      <c r="L174">
        <f t="shared" si="9"/>
        <v>3812.7900000000004</v>
      </c>
      <c r="M174">
        <f t="shared" si="10"/>
        <v>3812.79</v>
      </c>
      <c r="N174" s="5" t="str">
        <f t="shared" si="11"/>
        <v>January 2022</v>
      </c>
    </row>
    <row r="175" spans="1:14" x14ac:dyDescent="0.25">
      <c r="A175" s="1">
        <v>44590</v>
      </c>
      <c r="B175" t="s">
        <v>3103</v>
      </c>
      <c r="C175">
        <v>27</v>
      </c>
      <c r="D175" t="s">
        <v>14</v>
      </c>
      <c r="E175" t="s">
        <v>32</v>
      </c>
      <c r="F175" t="s">
        <v>29</v>
      </c>
      <c r="G175" t="s">
        <v>39</v>
      </c>
      <c r="H175">
        <v>4540.33</v>
      </c>
      <c r="I175" s="8" t="str" cm="1">
        <f t="array" ref="I175">_xlfn.IFS(C175&lt;=15,"Children and Young Adolescents", C175&gt;64, "Seniors", TRUE, "Working Age")</f>
        <v>Working Age</v>
      </c>
      <c r="J175" s="6">
        <f>VLOOKUP(F175,Analysis!$F$1:$G$5,2,FALSE)</f>
        <v>2496.7676064256989</v>
      </c>
      <c r="K175">
        <f t="shared" si="8"/>
        <v>4994.3599999999997</v>
      </c>
      <c r="L175">
        <f t="shared" si="9"/>
        <v>4994.37</v>
      </c>
      <c r="M175">
        <f t="shared" si="10"/>
        <v>4994.3599999999997</v>
      </c>
      <c r="N175" s="5" t="str">
        <f t="shared" si="11"/>
        <v>January 2022</v>
      </c>
    </row>
    <row r="176" spans="1:14" x14ac:dyDescent="0.25">
      <c r="A176" s="1">
        <v>44590</v>
      </c>
      <c r="B176" t="s">
        <v>2157</v>
      </c>
      <c r="C176">
        <v>10</v>
      </c>
      <c r="D176" t="s">
        <v>9</v>
      </c>
      <c r="E176" t="s">
        <v>34</v>
      </c>
      <c r="F176" t="s">
        <v>11</v>
      </c>
      <c r="G176" t="s">
        <v>12</v>
      </c>
      <c r="H176">
        <v>1125.8399999999999</v>
      </c>
      <c r="I176" s="8" t="str" cm="1">
        <f t="array" ref="I176">_xlfn.IFS(C176&lt;=15,"Children and Young Adolescents", C176&gt;64, "Seniors", TRUE, "Working Age")</f>
        <v>Children and Young Adolescents</v>
      </c>
      <c r="J176" s="6">
        <f>VLOOKUP(F176,Analysis!$F$1:$G$5,2,FALSE)</f>
        <v>2503.6022787783854</v>
      </c>
      <c r="K176">
        <f t="shared" si="8"/>
        <v>1238.42</v>
      </c>
      <c r="L176">
        <f t="shared" si="9"/>
        <v>1238.43</v>
      </c>
      <c r="M176">
        <f t="shared" si="10"/>
        <v>1238.42</v>
      </c>
      <c r="N176" s="5" t="str">
        <f t="shared" si="11"/>
        <v>January 2022</v>
      </c>
    </row>
    <row r="177" spans="1:14" x14ac:dyDescent="0.25">
      <c r="A177" s="1">
        <v>44590</v>
      </c>
      <c r="B177" t="s">
        <v>4588</v>
      </c>
      <c r="C177">
        <v>60</v>
      </c>
      <c r="D177" t="s">
        <v>14</v>
      </c>
      <c r="E177" t="s">
        <v>15</v>
      </c>
      <c r="F177" t="s">
        <v>16</v>
      </c>
      <c r="G177" t="s">
        <v>39</v>
      </c>
      <c r="H177">
        <v>3271</v>
      </c>
      <c r="I177" s="8" t="str" cm="1">
        <f t="array" ref="I177">_xlfn.IFS(C177&lt;=15,"Children and Young Adolescents", C177&gt;64, "Seniors", TRUE, "Working Age")</f>
        <v>Working Age</v>
      </c>
      <c r="J177" s="6">
        <f>VLOOKUP(F177,Analysis!$F$1:$G$5,2,FALSE)</f>
        <v>2509.1716796874912</v>
      </c>
      <c r="K177">
        <f t="shared" si="8"/>
        <v>3598.1</v>
      </c>
      <c r="L177">
        <f t="shared" si="9"/>
        <v>3598.1</v>
      </c>
      <c r="M177">
        <f t="shared" si="10"/>
        <v>3598.1</v>
      </c>
      <c r="N177" s="5" t="str">
        <f t="shared" si="11"/>
        <v>January 2022</v>
      </c>
    </row>
    <row r="178" spans="1:14" x14ac:dyDescent="0.25">
      <c r="A178" s="1">
        <v>44590</v>
      </c>
      <c r="B178" t="s">
        <v>4353</v>
      </c>
      <c r="C178">
        <v>36</v>
      </c>
      <c r="D178" t="s">
        <v>9</v>
      </c>
      <c r="E178" t="s">
        <v>19</v>
      </c>
      <c r="F178" t="s">
        <v>11</v>
      </c>
      <c r="G178" t="s">
        <v>17</v>
      </c>
      <c r="H178">
        <v>2969.96</v>
      </c>
      <c r="I178" s="8" t="str" cm="1">
        <f t="array" ref="I178">_xlfn.IFS(C178&lt;=15,"Children and Young Adolescents", C178&gt;64, "Seniors", TRUE, "Working Age")</f>
        <v>Working Age</v>
      </c>
      <c r="J178" s="6">
        <f>VLOOKUP(F178,Analysis!$F$1:$G$5,2,FALSE)</f>
        <v>2503.6022787783854</v>
      </c>
      <c r="K178">
        <f t="shared" si="8"/>
        <v>3266.95</v>
      </c>
      <c r="L178">
        <f t="shared" si="9"/>
        <v>3266.96</v>
      </c>
      <c r="M178">
        <f t="shared" si="10"/>
        <v>3266.96</v>
      </c>
      <c r="N178" s="5" t="str">
        <f t="shared" si="11"/>
        <v>January 2022</v>
      </c>
    </row>
    <row r="179" spans="1:14" x14ac:dyDescent="0.25">
      <c r="A179" s="1">
        <v>44590</v>
      </c>
      <c r="B179" t="s">
        <v>641</v>
      </c>
      <c r="C179">
        <v>51</v>
      </c>
      <c r="D179" t="s">
        <v>9</v>
      </c>
      <c r="E179" t="s">
        <v>10</v>
      </c>
      <c r="F179" t="s">
        <v>11</v>
      </c>
      <c r="G179" t="s">
        <v>12</v>
      </c>
      <c r="H179">
        <v>4406.26</v>
      </c>
      <c r="I179" s="8" t="str" cm="1">
        <f t="array" ref="I179">_xlfn.IFS(C179&lt;=15,"Children and Young Adolescents", C179&gt;64, "Seniors", TRUE, "Working Age")</f>
        <v>Working Age</v>
      </c>
      <c r="J179" s="6">
        <f>VLOOKUP(F179,Analysis!$F$1:$G$5,2,FALSE)</f>
        <v>2503.6022787783854</v>
      </c>
      <c r="K179">
        <f t="shared" si="8"/>
        <v>4846.88</v>
      </c>
      <c r="L179">
        <f t="shared" si="9"/>
        <v>4846.8900000000003</v>
      </c>
      <c r="M179">
        <f t="shared" si="10"/>
        <v>4846.8900000000003</v>
      </c>
      <c r="N179" s="5" t="str">
        <f t="shared" si="11"/>
        <v>January 2022</v>
      </c>
    </row>
    <row r="180" spans="1:14" x14ac:dyDescent="0.25">
      <c r="A180" s="1">
        <v>44590</v>
      </c>
      <c r="B180" t="s">
        <v>4319</v>
      </c>
      <c r="C180">
        <v>91</v>
      </c>
      <c r="D180" t="s">
        <v>14</v>
      </c>
      <c r="E180" t="s">
        <v>34</v>
      </c>
      <c r="F180" t="s">
        <v>16</v>
      </c>
      <c r="G180" t="s">
        <v>36</v>
      </c>
      <c r="H180">
        <v>452.98</v>
      </c>
      <c r="I180" s="8" t="str" cm="1">
        <f t="array" ref="I180">_xlfn.IFS(C180&lt;=15,"Children and Young Adolescents", C180&gt;64, "Seniors", TRUE, "Working Age")</f>
        <v>Seniors</v>
      </c>
      <c r="J180" s="6">
        <f>VLOOKUP(F180,Analysis!$F$1:$G$5,2,FALSE)</f>
        <v>2509.1716796874912</v>
      </c>
      <c r="K180">
        <f t="shared" si="8"/>
        <v>498.27</v>
      </c>
      <c r="L180">
        <f t="shared" si="9"/>
        <v>498.28</v>
      </c>
      <c r="M180">
        <f t="shared" si="10"/>
        <v>498.28</v>
      </c>
      <c r="N180" s="5" t="str">
        <f t="shared" si="11"/>
        <v>January 2022</v>
      </c>
    </row>
    <row r="181" spans="1:14" x14ac:dyDescent="0.25">
      <c r="A181" s="1">
        <v>44590</v>
      </c>
      <c r="B181" t="s">
        <v>4849</v>
      </c>
      <c r="C181">
        <v>35</v>
      </c>
      <c r="D181" t="s">
        <v>14</v>
      </c>
      <c r="E181" t="s">
        <v>22</v>
      </c>
      <c r="F181" t="s">
        <v>23</v>
      </c>
      <c r="G181" t="s">
        <v>12</v>
      </c>
      <c r="H181">
        <v>2777.88</v>
      </c>
      <c r="I181" s="8" t="str" cm="1">
        <f t="array" ref="I181">_xlfn.IFS(C181&lt;=15,"Children and Young Adolescents", C181&gt;64, "Seniors", TRUE, "Working Age")</f>
        <v>Working Age</v>
      </c>
      <c r="J181" s="6">
        <f>VLOOKUP(F181,Analysis!$F$1:$G$5,2,FALSE)</f>
        <v>2440.2966694490838</v>
      </c>
      <c r="K181">
        <f t="shared" si="8"/>
        <v>3055.66</v>
      </c>
      <c r="L181">
        <f t="shared" si="9"/>
        <v>3055.67</v>
      </c>
      <c r="M181">
        <f t="shared" si="10"/>
        <v>3055.67</v>
      </c>
      <c r="N181" s="5" t="str">
        <f t="shared" si="11"/>
        <v>January 2022</v>
      </c>
    </row>
    <row r="182" spans="1:14" x14ac:dyDescent="0.25">
      <c r="A182" s="1">
        <v>44590</v>
      </c>
      <c r="B182" t="s">
        <v>3011</v>
      </c>
      <c r="C182">
        <v>14</v>
      </c>
      <c r="D182" t="s">
        <v>14</v>
      </c>
      <c r="E182" t="s">
        <v>34</v>
      </c>
      <c r="F182" t="s">
        <v>29</v>
      </c>
      <c r="G182" t="s">
        <v>39</v>
      </c>
      <c r="H182">
        <v>3431.93</v>
      </c>
      <c r="I182" s="8" t="str" cm="1">
        <f t="array" ref="I182">_xlfn.IFS(C182&lt;=15,"Children and Young Adolescents", C182&gt;64, "Seniors", TRUE, "Working Age")</f>
        <v>Children and Young Adolescents</v>
      </c>
      <c r="J182" s="6">
        <f>VLOOKUP(F182,Analysis!$F$1:$G$5,2,FALSE)</f>
        <v>2496.7676064256989</v>
      </c>
      <c r="K182">
        <f t="shared" si="8"/>
        <v>3775.12</v>
      </c>
      <c r="L182">
        <f t="shared" si="9"/>
        <v>3775.13</v>
      </c>
      <c r="M182">
        <f t="shared" si="10"/>
        <v>3775.12</v>
      </c>
      <c r="N182" s="5" t="str">
        <f t="shared" si="11"/>
        <v>January 2022</v>
      </c>
    </row>
    <row r="183" spans="1:14" x14ac:dyDescent="0.25">
      <c r="A183" s="1">
        <v>44590</v>
      </c>
      <c r="B183" t="s">
        <v>4362</v>
      </c>
      <c r="C183">
        <v>86</v>
      </c>
      <c r="D183" t="s">
        <v>9</v>
      </c>
      <c r="E183" t="s">
        <v>15</v>
      </c>
      <c r="F183" t="s">
        <v>23</v>
      </c>
      <c r="G183" t="s">
        <v>36</v>
      </c>
      <c r="H183">
        <v>2621.96</v>
      </c>
      <c r="I183" s="8" t="str" cm="1">
        <f t="array" ref="I183">_xlfn.IFS(C183&lt;=15,"Children and Young Adolescents", C183&gt;64, "Seniors", TRUE, "Working Age")</f>
        <v>Seniors</v>
      </c>
      <c r="J183" s="6">
        <f>VLOOKUP(F183,Analysis!$F$1:$G$5,2,FALSE)</f>
        <v>2440.2966694490838</v>
      </c>
      <c r="K183">
        <f t="shared" si="8"/>
        <v>2884.15</v>
      </c>
      <c r="L183">
        <f t="shared" si="9"/>
        <v>2884.1600000000003</v>
      </c>
      <c r="M183">
        <f t="shared" si="10"/>
        <v>2884.16</v>
      </c>
      <c r="N183" s="5" t="str">
        <f t="shared" si="11"/>
        <v>January 2022</v>
      </c>
    </row>
    <row r="184" spans="1:14" x14ac:dyDescent="0.25">
      <c r="A184" s="1">
        <v>44590</v>
      </c>
      <c r="B184" t="s">
        <v>1846</v>
      </c>
      <c r="C184">
        <v>76</v>
      </c>
      <c r="D184" t="s">
        <v>14</v>
      </c>
      <c r="E184" t="s">
        <v>34</v>
      </c>
      <c r="F184" t="s">
        <v>23</v>
      </c>
      <c r="G184" t="s">
        <v>17</v>
      </c>
      <c r="H184">
        <v>3092.53</v>
      </c>
      <c r="I184" s="8" t="str" cm="1">
        <f t="array" ref="I184">_xlfn.IFS(C184&lt;=15,"Children and Young Adolescents", C184&gt;64, "Seniors", TRUE, "Working Age")</f>
        <v>Seniors</v>
      </c>
      <c r="J184" s="6">
        <f>VLOOKUP(F184,Analysis!$F$1:$G$5,2,FALSE)</f>
        <v>2440.2966694490838</v>
      </c>
      <c r="K184">
        <f t="shared" si="8"/>
        <v>3401.78</v>
      </c>
      <c r="L184">
        <f t="shared" si="9"/>
        <v>3401.7900000000004</v>
      </c>
      <c r="M184">
        <f t="shared" si="10"/>
        <v>3401.78</v>
      </c>
      <c r="N184" s="5" t="str">
        <f t="shared" si="11"/>
        <v>January 2022</v>
      </c>
    </row>
    <row r="185" spans="1:14" x14ac:dyDescent="0.25">
      <c r="A185" s="1">
        <v>44590</v>
      </c>
      <c r="B185" t="s">
        <v>1459</v>
      </c>
      <c r="C185">
        <v>70</v>
      </c>
      <c r="D185" t="s">
        <v>9</v>
      </c>
      <c r="E185" t="s">
        <v>34</v>
      </c>
      <c r="F185" t="s">
        <v>23</v>
      </c>
      <c r="G185" t="s">
        <v>17</v>
      </c>
      <c r="H185">
        <v>4462.1499999999996</v>
      </c>
      <c r="I185" s="8" t="str" cm="1">
        <f t="array" ref="I185">_xlfn.IFS(C185&lt;=15,"Children and Young Adolescents", C185&gt;64, "Seniors", TRUE, "Working Age")</f>
        <v>Seniors</v>
      </c>
      <c r="J185" s="6">
        <f>VLOOKUP(F185,Analysis!$F$1:$G$5,2,FALSE)</f>
        <v>2440.2966694490838</v>
      </c>
      <c r="K185">
        <f t="shared" si="8"/>
        <v>4908.3599999999997</v>
      </c>
      <c r="L185">
        <f t="shared" si="9"/>
        <v>4908.37</v>
      </c>
      <c r="M185">
        <f t="shared" si="10"/>
        <v>4908.37</v>
      </c>
      <c r="N185" s="5" t="str">
        <f t="shared" si="11"/>
        <v>January 2022</v>
      </c>
    </row>
    <row r="186" spans="1:14" x14ac:dyDescent="0.25">
      <c r="A186" s="1">
        <v>44590</v>
      </c>
      <c r="B186" t="s">
        <v>3830</v>
      </c>
      <c r="C186">
        <v>6</v>
      </c>
      <c r="D186" t="s">
        <v>9</v>
      </c>
      <c r="E186" t="s">
        <v>25</v>
      </c>
      <c r="F186" t="s">
        <v>16</v>
      </c>
      <c r="G186" t="s">
        <v>12</v>
      </c>
      <c r="H186">
        <v>4695.54</v>
      </c>
      <c r="I186" s="8" t="str" cm="1">
        <f t="array" ref="I186">_xlfn.IFS(C186&lt;=15,"Children and Young Adolescents", C186&gt;64, "Seniors", TRUE, "Working Age")</f>
        <v>Children and Young Adolescents</v>
      </c>
      <c r="J186" s="6">
        <f>VLOOKUP(F186,Analysis!$F$1:$G$5,2,FALSE)</f>
        <v>2509.1716796874912</v>
      </c>
      <c r="K186">
        <f t="shared" si="8"/>
        <v>5165.09</v>
      </c>
      <c r="L186">
        <f t="shared" si="9"/>
        <v>5165.1000000000004</v>
      </c>
      <c r="M186">
        <f t="shared" si="10"/>
        <v>5165.09</v>
      </c>
      <c r="N186" s="5" t="str">
        <f t="shared" si="11"/>
        <v>January 2022</v>
      </c>
    </row>
    <row r="187" spans="1:14" x14ac:dyDescent="0.25">
      <c r="A187" s="1">
        <v>44590</v>
      </c>
      <c r="B187" t="s">
        <v>1531</v>
      </c>
      <c r="C187">
        <v>11</v>
      </c>
      <c r="D187" t="s">
        <v>9</v>
      </c>
      <c r="E187" t="s">
        <v>25</v>
      </c>
      <c r="F187" t="s">
        <v>11</v>
      </c>
      <c r="G187" t="s">
        <v>27</v>
      </c>
      <c r="H187">
        <v>1849.81</v>
      </c>
      <c r="I187" s="8" t="str" cm="1">
        <f t="array" ref="I187">_xlfn.IFS(C187&lt;=15,"Children and Young Adolescents", C187&gt;64, "Seniors", TRUE, "Working Age")</f>
        <v>Children and Young Adolescents</v>
      </c>
      <c r="J187" s="6">
        <f>VLOOKUP(F187,Analysis!$F$1:$G$5,2,FALSE)</f>
        <v>2503.6022787783854</v>
      </c>
      <c r="K187">
        <f t="shared" si="8"/>
        <v>2034.79</v>
      </c>
      <c r="L187">
        <f t="shared" si="9"/>
        <v>2034.8</v>
      </c>
      <c r="M187">
        <f t="shared" si="10"/>
        <v>2034.79</v>
      </c>
      <c r="N187" s="5" t="str">
        <f t="shared" si="11"/>
        <v>January 2022</v>
      </c>
    </row>
    <row r="188" spans="1:14" x14ac:dyDescent="0.25">
      <c r="A188" s="1">
        <v>44590</v>
      </c>
      <c r="B188" t="s">
        <v>1736</v>
      </c>
      <c r="C188">
        <v>8</v>
      </c>
      <c r="D188" t="s">
        <v>14</v>
      </c>
      <c r="E188" t="s">
        <v>22</v>
      </c>
      <c r="F188" t="s">
        <v>16</v>
      </c>
      <c r="G188" t="s">
        <v>39</v>
      </c>
      <c r="H188">
        <v>2881.34</v>
      </c>
      <c r="I188" s="8" t="str" cm="1">
        <f t="array" ref="I188">_xlfn.IFS(C188&lt;=15,"Children and Young Adolescents", C188&gt;64, "Seniors", TRUE, "Working Age")</f>
        <v>Children and Young Adolescents</v>
      </c>
      <c r="J188" s="6">
        <f>VLOOKUP(F188,Analysis!$F$1:$G$5,2,FALSE)</f>
        <v>2509.1716796874912</v>
      </c>
      <c r="K188">
        <f t="shared" si="8"/>
        <v>3169.47</v>
      </c>
      <c r="L188">
        <f t="shared" si="9"/>
        <v>3169.48</v>
      </c>
      <c r="M188">
        <f t="shared" si="10"/>
        <v>3169.47</v>
      </c>
      <c r="N188" s="5" t="str">
        <f t="shared" si="11"/>
        <v>January 2022</v>
      </c>
    </row>
    <row r="189" spans="1:14" x14ac:dyDescent="0.25">
      <c r="A189" s="1">
        <v>44591</v>
      </c>
      <c r="B189" t="s">
        <v>3583</v>
      </c>
      <c r="C189">
        <v>20</v>
      </c>
      <c r="D189" t="s">
        <v>9</v>
      </c>
      <c r="E189" t="s">
        <v>34</v>
      </c>
      <c r="F189" t="s">
        <v>29</v>
      </c>
      <c r="G189" t="s">
        <v>36</v>
      </c>
      <c r="H189">
        <v>2949.87</v>
      </c>
      <c r="I189" s="8" t="str" cm="1">
        <f t="array" ref="I189">_xlfn.IFS(C189&lt;=15,"Children and Young Adolescents", C189&gt;64, "Seniors", TRUE, "Working Age")</f>
        <v>Working Age</v>
      </c>
      <c r="J189" s="6">
        <f>VLOOKUP(F189,Analysis!$F$1:$G$5,2,FALSE)</f>
        <v>2496.7676064256989</v>
      </c>
      <c r="K189">
        <f t="shared" si="8"/>
        <v>3244.85</v>
      </c>
      <c r="L189">
        <f t="shared" si="9"/>
        <v>3244.86</v>
      </c>
      <c r="M189">
        <f t="shared" si="10"/>
        <v>3244.86</v>
      </c>
      <c r="N189" s="5" t="str">
        <f t="shared" si="11"/>
        <v>January 2022</v>
      </c>
    </row>
    <row r="190" spans="1:14" x14ac:dyDescent="0.25">
      <c r="A190" s="1">
        <v>44591</v>
      </c>
      <c r="B190" t="s">
        <v>834</v>
      </c>
      <c r="C190">
        <v>56</v>
      </c>
      <c r="D190" t="s">
        <v>9</v>
      </c>
      <c r="E190" t="s">
        <v>5032</v>
      </c>
      <c r="F190" t="s">
        <v>23</v>
      </c>
      <c r="G190" t="s">
        <v>17</v>
      </c>
      <c r="H190">
        <v>3406.24</v>
      </c>
      <c r="I190" s="8" t="str" cm="1">
        <f t="array" ref="I190">_xlfn.IFS(C190&lt;=15,"Children and Young Adolescents", C190&gt;64, "Seniors", TRUE, "Working Age")</f>
        <v>Working Age</v>
      </c>
      <c r="J190" s="6">
        <f>VLOOKUP(F190,Analysis!$F$1:$G$5,2,FALSE)</f>
        <v>2440.2966694490838</v>
      </c>
      <c r="K190">
        <f t="shared" si="8"/>
        <v>3746.86</v>
      </c>
      <c r="L190">
        <f t="shared" si="9"/>
        <v>3746.8700000000003</v>
      </c>
      <c r="M190">
        <f t="shared" si="10"/>
        <v>3746.86</v>
      </c>
      <c r="N190" s="5" t="str">
        <f t="shared" si="11"/>
        <v>January 2022</v>
      </c>
    </row>
    <row r="191" spans="1:14" x14ac:dyDescent="0.25">
      <c r="A191" s="1">
        <v>44591</v>
      </c>
      <c r="B191" t="s">
        <v>312</v>
      </c>
      <c r="C191">
        <v>74</v>
      </c>
      <c r="D191" t="s">
        <v>14</v>
      </c>
      <c r="E191" t="s">
        <v>34</v>
      </c>
      <c r="F191" t="s">
        <v>29</v>
      </c>
      <c r="G191" t="s">
        <v>12</v>
      </c>
      <c r="H191">
        <v>90.34</v>
      </c>
      <c r="I191" s="8" t="str" cm="1">
        <f t="array" ref="I191">_xlfn.IFS(C191&lt;=15,"Children and Young Adolescents", C191&gt;64, "Seniors", TRUE, "Working Age")</f>
        <v>Seniors</v>
      </c>
      <c r="J191" s="6">
        <f>VLOOKUP(F191,Analysis!$F$1:$G$5,2,FALSE)</f>
        <v>2496.7676064256989</v>
      </c>
      <c r="K191">
        <f t="shared" si="8"/>
        <v>99.37</v>
      </c>
      <c r="L191">
        <f t="shared" si="9"/>
        <v>99.38000000000001</v>
      </c>
      <c r="M191">
        <f t="shared" si="10"/>
        <v>99.37</v>
      </c>
      <c r="N191" s="5" t="str">
        <f t="shared" si="11"/>
        <v>January 2022</v>
      </c>
    </row>
    <row r="192" spans="1:14" x14ac:dyDescent="0.25">
      <c r="A192" s="1">
        <v>44591</v>
      </c>
      <c r="B192" t="s">
        <v>270</v>
      </c>
      <c r="C192">
        <v>63</v>
      </c>
      <c r="D192" t="s">
        <v>21</v>
      </c>
      <c r="E192" t="s">
        <v>15</v>
      </c>
      <c r="F192" t="s">
        <v>11</v>
      </c>
      <c r="G192" t="s">
        <v>39</v>
      </c>
      <c r="H192">
        <v>2448.11</v>
      </c>
      <c r="I192" s="8" t="str" cm="1">
        <f t="array" ref="I192">_xlfn.IFS(C192&lt;=15,"Children and Young Adolescents", C192&gt;64, "Seniors", TRUE, "Working Age")</f>
        <v>Working Age</v>
      </c>
      <c r="J192" s="6">
        <f>VLOOKUP(F192,Analysis!$F$1:$G$5,2,FALSE)</f>
        <v>2503.6022787783854</v>
      </c>
      <c r="K192">
        <f t="shared" si="8"/>
        <v>2692.92</v>
      </c>
      <c r="L192">
        <f t="shared" si="9"/>
        <v>2692.9300000000003</v>
      </c>
      <c r="M192">
        <f t="shared" si="10"/>
        <v>2692.92</v>
      </c>
      <c r="N192" s="5" t="str">
        <f t="shared" si="11"/>
        <v>January 2022</v>
      </c>
    </row>
    <row r="193" spans="1:14" x14ac:dyDescent="0.25">
      <c r="A193" s="1">
        <v>44591</v>
      </c>
      <c r="B193" t="s">
        <v>2020</v>
      </c>
      <c r="C193">
        <v>78</v>
      </c>
      <c r="D193" t="s">
        <v>14</v>
      </c>
      <c r="E193" t="s">
        <v>34</v>
      </c>
      <c r="F193" t="s">
        <v>11</v>
      </c>
      <c r="G193" t="s">
        <v>36</v>
      </c>
      <c r="H193">
        <v>3662.77</v>
      </c>
      <c r="I193" s="8" t="str" cm="1">
        <f t="array" ref="I193">_xlfn.IFS(C193&lt;=15,"Children and Young Adolescents", C193&gt;64, "Seniors", TRUE, "Working Age")</f>
        <v>Seniors</v>
      </c>
      <c r="J193" s="6">
        <f>VLOOKUP(F193,Analysis!$F$1:$G$5,2,FALSE)</f>
        <v>2503.6022787783854</v>
      </c>
      <c r="K193">
        <f t="shared" si="8"/>
        <v>4029.04</v>
      </c>
      <c r="L193">
        <f t="shared" si="9"/>
        <v>4029.05</v>
      </c>
      <c r="M193">
        <f t="shared" si="10"/>
        <v>4029.05</v>
      </c>
      <c r="N193" s="5" t="str">
        <f t="shared" si="11"/>
        <v>January 2022</v>
      </c>
    </row>
    <row r="194" spans="1:14" x14ac:dyDescent="0.25">
      <c r="A194" s="1">
        <v>44591</v>
      </c>
      <c r="B194" t="s">
        <v>434</v>
      </c>
      <c r="C194">
        <v>95</v>
      </c>
      <c r="D194" t="s">
        <v>9</v>
      </c>
      <c r="E194" t="s">
        <v>22</v>
      </c>
      <c r="F194" t="s">
        <v>16</v>
      </c>
      <c r="G194" t="s">
        <v>39</v>
      </c>
      <c r="H194">
        <v>4896.43</v>
      </c>
      <c r="I194" s="8" t="str" cm="1">
        <f t="array" ref="I194">_xlfn.IFS(C194&lt;=15,"Children and Young Adolescents", C194&gt;64, "Seniors", TRUE, "Working Age")</f>
        <v>Seniors</v>
      </c>
      <c r="J194" s="6">
        <f>VLOOKUP(F194,Analysis!$F$1:$G$5,2,FALSE)</f>
        <v>2509.1716796874912</v>
      </c>
      <c r="K194">
        <f t="shared" si="8"/>
        <v>5386.07</v>
      </c>
      <c r="L194">
        <f t="shared" si="9"/>
        <v>5386.08</v>
      </c>
      <c r="M194">
        <f t="shared" si="10"/>
        <v>5386.07</v>
      </c>
      <c r="N194" s="5" t="str">
        <f t="shared" si="11"/>
        <v>January 2022</v>
      </c>
    </row>
    <row r="195" spans="1:14" x14ac:dyDescent="0.25">
      <c r="A195" s="1">
        <v>44592</v>
      </c>
      <c r="B195" t="s">
        <v>757</v>
      </c>
      <c r="C195">
        <v>32</v>
      </c>
      <c r="D195" t="s">
        <v>21</v>
      </c>
      <c r="E195" t="s">
        <v>15</v>
      </c>
      <c r="F195" t="s">
        <v>29</v>
      </c>
      <c r="G195" t="s">
        <v>39</v>
      </c>
      <c r="H195">
        <v>1098.7</v>
      </c>
      <c r="I195" s="8" t="str" cm="1">
        <f t="array" ref="I195">_xlfn.IFS(C195&lt;=15,"Children and Young Adolescents", C195&gt;64, "Seniors", TRUE, "Working Age")</f>
        <v>Working Age</v>
      </c>
      <c r="J195" s="6">
        <f>VLOOKUP(F195,Analysis!$F$1:$G$5,2,FALSE)</f>
        <v>2496.7676064256989</v>
      </c>
      <c r="K195">
        <f t="shared" ref="K195:K258" si="12">ROUNDDOWN(H195*1.1,2)</f>
        <v>1208.57</v>
      </c>
      <c r="L195">
        <f t="shared" ref="L195:L258" si="13">ROUNDUP(H195*1.1,2)</f>
        <v>1208.57</v>
      </c>
      <c r="M195">
        <f t="shared" ref="M195:M258" si="14">ROUND(H195*1.1,2)</f>
        <v>1208.57</v>
      </c>
      <c r="N195" s="5" t="str">
        <f t="shared" ref="N195:N258" si="15">TEXT(A195,"mmmm yyyy")</f>
        <v>January 2022</v>
      </c>
    </row>
    <row r="196" spans="1:14" x14ac:dyDescent="0.25">
      <c r="A196" s="1">
        <v>44592</v>
      </c>
      <c r="B196" t="s">
        <v>1628</v>
      </c>
      <c r="C196">
        <v>29</v>
      </c>
      <c r="D196" t="s">
        <v>9</v>
      </c>
      <c r="E196" t="s">
        <v>10</v>
      </c>
      <c r="F196" t="s">
        <v>29</v>
      </c>
      <c r="G196" t="s">
        <v>39</v>
      </c>
      <c r="H196">
        <v>1387.37</v>
      </c>
      <c r="I196" s="8" t="str" cm="1">
        <f t="array" ref="I196">_xlfn.IFS(C196&lt;=15,"Children and Young Adolescents", C196&gt;64, "Seniors", TRUE, "Working Age")</f>
        <v>Working Age</v>
      </c>
      <c r="J196" s="6">
        <f>VLOOKUP(F196,Analysis!$F$1:$G$5,2,FALSE)</f>
        <v>2496.7676064256989</v>
      </c>
      <c r="K196">
        <f t="shared" si="12"/>
        <v>1526.1</v>
      </c>
      <c r="L196">
        <f t="shared" si="13"/>
        <v>1526.11</v>
      </c>
      <c r="M196">
        <f t="shared" si="14"/>
        <v>1526.11</v>
      </c>
      <c r="N196" s="5" t="str">
        <f t="shared" si="15"/>
        <v>January 2022</v>
      </c>
    </row>
    <row r="197" spans="1:14" x14ac:dyDescent="0.25">
      <c r="A197" s="1">
        <v>44592</v>
      </c>
      <c r="B197" t="s">
        <v>2331</v>
      </c>
      <c r="C197">
        <v>48</v>
      </c>
      <c r="D197" t="s">
        <v>21</v>
      </c>
      <c r="E197" t="s">
        <v>25</v>
      </c>
      <c r="F197" t="s">
        <v>11</v>
      </c>
      <c r="G197" t="s">
        <v>27</v>
      </c>
      <c r="H197">
        <v>1029.72</v>
      </c>
      <c r="I197" s="8" t="str" cm="1">
        <f t="array" ref="I197">_xlfn.IFS(C197&lt;=15,"Children and Young Adolescents", C197&gt;64, "Seniors", TRUE, "Working Age")</f>
        <v>Working Age</v>
      </c>
      <c r="J197" s="6">
        <f>VLOOKUP(F197,Analysis!$F$1:$G$5,2,FALSE)</f>
        <v>2503.6022787783854</v>
      </c>
      <c r="K197">
        <f t="shared" si="12"/>
        <v>1132.69</v>
      </c>
      <c r="L197">
        <f t="shared" si="13"/>
        <v>1132.7</v>
      </c>
      <c r="M197">
        <f t="shared" si="14"/>
        <v>1132.69</v>
      </c>
      <c r="N197" s="5" t="str">
        <f t="shared" si="15"/>
        <v>January 2022</v>
      </c>
    </row>
    <row r="198" spans="1:14" x14ac:dyDescent="0.25">
      <c r="A198" s="1">
        <v>44592</v>
      </c>
      <c r="B198" t="s">
        <v>3431</v>
      </c>
      <c r="C198">
        <v>53</v>
      </c>
      <c r="D198" t="s">
        <v>9</v>
      </c>
      <c r="E198" t="s">
        <v>10</v>
      </c>
      <c r="F198" t="s">
        <v>16</v>
      </c>
      <c r="G198" t="s">
        <v>12</v>
      </c>
      <c r="H198">
        <v>1875.29</v>
      </c>
      <c r="I198" s="8" t="str" cm="1">
        <f t="array" ref="I198">_xlfn.IFS(C198&lt;=15,"Children and Young Adolescents", C198&gt;64, "Seniors", TRUE, "Working Age")</f>
        <v>Working Age</v>
      </c>
      <c r="J198" s="6">
        <f>VLOOKUP(F198,Analysis!$F$1:$G$5,2,FALSE)</f>
        <v>2509.1716796874912</v>
      </c>
      <c r="K198">
        <f t="shared" si="12"/>
        <v>2062.81</v>
      </c>
      <c r="L198">
        <f t="shared" si="13"/>
        <v>2062.8200000000002</v>
      </c>
      <c r="M198">
        <f t="shared" si="14"/>
        <v>2062.8200000000002</v>
      </c>
      <c r="N198" s="5" t="str">
        <f t="shared" si="15"/>
        <v>January 2022</v>
      </c>
    </row>
    <row r="199" spans="1:14" x14ac:dyDescent="0.25">
      <c r="A199" s="1">
        <v>44592</v>
      </c>
      <c r="B199" t="s">
        <v>2560</v>
      </c>
      <c r="C199">
        <v>82</v>
      </c>
      <c r="D199" t="s">
        <v>9</v>
      </c>
      <c r="E199" t="s">
        <v>19</v>
      </c>
      <c r="F199" t="s">
        <v>16</v>
      </c>
      <c r="G199" t="s">
        <v>12</v>
      </c>
      <c r="H199">
        <v>4942.68</v>
      </c>
      <c r="I199" s="8" t="str" cm="1">
        <f t="array" ref="I199">_xlfn.IFS(C199&lt;=15,"Children and Young Adolescents", C199&gt;64, "Seniors", TRUE, "Working Age")</f>
        <v>Seniors</v>
      </c>
      <c r="J199" s="6">
        <f>VLOOKUP(F199,Analysis!$F$1:$G$5,2,FALSE)</f>
        <v>2509.1716796874912</v>
      </c>
      <c r="K199">
        <f t="shared" si="12"/>
        <v>5436.94</v>
      </c>
      <c r="L199">
        <f t="shared" si="13"/>
        <v>5436.95</v>
      </c>
      <c r="M199">
        <f t="shared" si="14"/>
        <v>5436.95</v>
      </c>
      <c r="N199" s="5" t="str">
        <f t="shared" si="15"/>
        <v>January 2022</v>
      </c>
    </row>
    <row r="200" spans="1:14" x14ac:dyDescent="0.25">
      <c r="A200" s="1">
        <v>44592</v>
      </c>
      <c r="B200" t="s">
        <v>4248</v>
      </c>
      <c r="C200">
        <v>67</v>
      </c>
      <c r="D200" t="s">
        <v>9</v>
      </c>
      <c r="E200" t="s">
        <v>15</v>
      </c>
      <c r="F200" t="s">
        <v>11</v>
      </c>
      <c r="G200" t="s">
        <v>39</v>
      </c>
      <c r="H200">
        <v>4343.4399999999996</v>
      </c>
      <c r="I200" s="8" t="str" cm="1">
        <f t="array" ref="I200">_xlfn.IFS(C200&lt;=15,"Children and Young Adolescents", C200&gt;64, "Seniors", TRUE, "Working Age")</f>
        <v>Seniors</v>
      </c>
      <c r="J200" s="6">
        <f>VLOOKUP(F200,Analysis!$F$1:$G$5,2,FALSE)</f>
        <v>2503.6022787783854</v>
      </c>
      <c r="K200">
        <f t="shared" si="12"/>
        <v>4777.78</v>
      </c>
      <c r="L200">
        <f t="shared" si="13"/>
        <v>4777.79</v>
      </c>
      <c r="M200">
        <f t="shared" si="14"/>
        <v>4777.78</v>
      </c>
      <c r="N200" s="5" t="str">
        <f t="shared" si="15"/>
        <v>January 2022</v>
      </c>
    </row>
    <row r="201" spans="1:14" x14ac:dyDescent="0.25">
      <c r="A201" s="1">
        <v>44592</v>
      </c>
      <c r="B201" t="s">
        <v>4141</v>
      </c>
      <c r="C201">
        <v>67</v>
      </c>
      <c r="D201" t="s">
        <v>14</v>
      </c>
      <c r="E201" t="s">
        <v>32</v>
      </c>
      <c r="F201" t="s">
        <v>29</v>
      </c>
      <c r="G201" t="s">
        <v>17</v>
      </c>
      <c r="H201">
        <v>3252.46</v>
      </c>
      <c r="I201" s="8" t="str" cm="1">
        <f t="array" ref="I201">_xlfn.IFS(C201&lt;=15,"Children and Young Adolescents", C201&gt;64, "Seniors", TRUE, "Working Age")</f>
        <v>Seniors</v>
      </c>
      <c r="J201" s="6">
        <f>VLOOKUP(F201,Analysis!$F$1:$G$5,2,FALSE)</f>
        <v>2496.7676064256989</v>
      </c>
      <c r="K201">
        <f t="shared" si="12"/>
        <v>3577.7</v>
      </c>
      <c r="L201">
        <f t="shared" si="13"/>
        <v>3577.71</v>
      </c>
      <c r="M201">
        <f t="shared" si="14"/>
        <v>3577.71</v>
      </c>
      <c r="N201" s="5" t="str">
        <f t="shared" si="15"/>
        <v>January 2022</v>
      </c>
    </row>
    <row r="202" spans="1:14" x14ac:dyDescent="0.25">
      <c r="A202" s="1">
        <v>44592</v>
      </c>
      <c r="B202" t="s">
        <v>3221</v>
      </c>
      <c r="C202">
        <v>17</v>
      </c>
      <c r="D202" t="s">
        <v>9</v>
      </c>
      <c r="E202" t="s">
        <v>22</v>
      </c>
      <c r="F202" t="s">
        <v>16</v>
      </c>
      <c r="G202" t="s">
        <v>27</v>
      </c>
      <c r="H202">
        <v>2968.95</v>
      </c>
      <c r="I202" s="8" t="str" cm="1">
        <f t="array" ref="I202">_xlfn.IFS(C202&lt;=15,"Children and Young Adolescents", C202&gt;64, "Seniors", TRUE, "Working Age")</f>
        <v>Working Age</v>
      </c>
      <c r="J202" s="6">
        <f>VLOOKUP(F202,Analysis!$F$1:$G$5,2,FALSE)</f>
        <v>2509.1716796874912</v>
      </c>
      <c r="K202">
        <f t="shared" si="12"/>
        <v>3265.84</v>
      </c>
      <c r="L202">
        <f t="shared" si="13"/>
        <v>3265.8500000000004</v>
      </c>
      <c r="M202">
        <f t="shared" si="14"/>
        <v>3265.85</v>
      </c>
      <c r="N202" s="5" t="str">
        <f t="shared" si="15"/>
        <v>January 2022</v>
      </c>
    </row>
    <row r="203" spans="1:14" x14ac:dyDescent="0.25">
      <c r="A203" s="1">
        <v>44592</v>
      </c>
      <c r="B203" t="s">
        <v>1708</v>
      </c>
      <c r="C203">
        <v>36</v>
      </c>
      <c r="D203" t="s">
        <v>9</v>
      </c>
      <c r="E203" t="s">
        <v>22</v>
      </c>
      <c r="F203" t="s">
        <v>16</v>
      </c>
      <c r="G203" t="s">
        <v>36</v>
      </c>
      <c r="H203">
        <v>2478.5</v>
      </c>
      <c r="I203" s="8" t="str" cm="1">
        <f t="array" ref="I203">_xlfn.IFS(C203&lt;=15,"Children and Young Adolescents", C203&gt;64, "Seniors", TRUE, "Working Age")</f>
        <v>Working Age</v>
      </c>
      <c r="J203" s="6">
        <f>VLOOKUP(F203,Analysis!$F$1:$G$5,2,FALSE)</f>
        <v>2509.1716796874912</v>
      </c>
      <c r="K203">
        <f t="shared" si="12"/>
        <v>2726.35</v>
      </c>
      <c r="L203">
        <f t="shared" si="13"/>
        <v>2726.35</v>
      </c>
      <c r="M203">
        <f t="shared" si="14"/>
        <v>2726.35</v>
      </c>
      <c r="N203" s="5" t="str">
        <f t="shared" si="15"/>
        <v>January 2022</v>
      </c>
    </row>
    <row r="204" spans="1:14" x14ac:dyDescent="0.25">
      <c r="A204" s="1">
        <v>44593</v>
      </c>
      <c r="B204" t="s">
        <v>237</v>
      </c>
      <c r="C204">
        <v>1</v>
      </c>
      <c r="D204" t="s">
        <v>21</v>
      </c>
      <c r="E204" t="s">
        <v>10</v>
      </c>
      <c r="F204" t="s">
        <v>29</v>
      </c>
      <c r="G204" t="s">
        <v>17</v>
      </c>
      <c r="H204">
        <v>1386.28</v>
      </c>
      <c r="I204" s="8" t="str" cm="1">
        <f t="array" ref="I204">_xlfn.IFS(C204&lt;=15,"Children and Young Adolescents", C204&gt;64, "Seniors", TRUE, "Working Age")</f>
        <v>Children and Young Adolescents</v>
      </c>
      <c r="J204" s="6">
        <f>VLOOKUP(F204,Analysis!$F$1:$G$5,2,FALSE)</f>
        <v>2496.7676064256989</v>
      </c>
      <c r="K204">
        <f t="shared" si="12"/>
        <v>1524.9</v>
      </c>
      <c r="L204">
        <f t="shared" si="13"/>
        <v>1524.91</v>
      </c>
      <c r="M204">
        <f t="shared" si="14"/>
        <v>1524.91</v>
      </c>
      <c r="N204" s="5" t="str">
        <f t="shared" si="15"/>
        <v>February 2022</v>
      </c>
    </row>
    <row r="205" spans="1:14" x14ac:dyDescent="0.25">
      <c r="A205" s="1">
        <v>44593</v>
      </c>
      <c r="B205" t="s">
        <v>622</v>
      </c>
      <c r="C205">
        <v>79</v>
      </c>
      <c r="D205" t="s">
        <v>14</v>
      </c>
      <c r="E205" t="s">
        <v>25</v>
      </c>
      <c r="F205" t="s">
        <v>16</v>
      </c>
      <c r="G205" t="s">
        <v>39</v>
      </c>
      <c r="H205">
        <v>703.53</v>
      </c>
      <c r="I205" s="8" t="str" cm="1">
        <f t="array" ref="I205">_xlfn.IFS(C205&lt;=15,"Children and Young Adolescents", C205&gt;64, "Seniors", TRUE, "Working Age")</f>
        <v>Seniors</v>
      </c>
      <c r="J205" s="6">
        <f>VLOOKUP(F205,Analysis!$F$1:$G$5,2,FALSE)</f>
        <v>2509.1716796874912</v>
      </c>
      <c r="K205">
        <f t="shared" si="12"/>
        <v>773.88</v>
      </c>
      <c r="L205">
        <f t="shared" si="13"/>
        <v>773.89</v>
      </c>
      <c r="M205">
        <f t="shared" si="14"/>
        <v>773.88</v>
      </c>
      <c r="N205" s="5" t="str">
        <f t="shared" si="15"/>
        <v>February 2022</v>
      </c>
    </row>
    <row r="206" spans="1:14" x14ac:dyDescent="0.25">
      <c r="A206" s="1">
        <v>44593</v>
      </c>
      <c r="B206" t="s">
        <v>711</v>
      </c>
      <c r="C206">
        <v>43</v>
      </c>
      <c r="D206" t="s">
        <v>21</v>
      </c>
      <c r="E206" t="s">
        <v>25</v>
      </c>
      <c r="F206" t="s">
        <v>16</v>
      </c>
      <c r="G206" t="s">
        <v>27</v>
      </c>
      <c r="H206">
        <v>2189.02</v>
      </c>
      <c r="I206" s="8" t="str" cm="1">
        <f t="array" ref="I206">_xlfn.IFS(C206&lt;=15,"Children and Young Adolescents", C206&gt;64, "Seniors", TRUE, "Working Age")</f>
        <v>Working Age</v>
      </c>
      <c r="J206" s="6">
        <f>VLOOKUP(F206,Analysis!$F$1:$G$5,2,FALSE)</f>
        <v>2509.1716796874912</v>
      </c>
      <c r="K206">
        <f t="shared" si="12"/>
        <v>2407.92</v>
      </c>
      <c r="L206">
        <f t="shared" si="13"/>
        <v>2407.9300000000003</v>
      </c>
      <c r="M206">
        <f t="shared" si="14"/>
        <v>2407.92</v>
      </c>
      <c r="N206" s="5" t="str">
        <f t="shared" si="15"/>
        <v>February 2022</v>
      </c>
    </row>
    <row r="207" spans="1:14" x14ac:dyDescent="0.25">
      <c r="A207" s="1">
        <v>44593</v>
      </c>
      <c r="B207" t="s">
        <v>1217</v>
      </c>
      <c r="C207">
        <v>35</v>
      </c>
      <c r="D207" t="s">
        <v>9</v>
      </c>
      <c r="E207" t="s">
        <v>15</v>
      </c>
      <c r="F207" t="s">
        <v>11</v>
      </c>
      <c r="G207" t="s">
        <v>39</v>
      </c>
      <c r="H207">
        <v>1570.45</v>
      </c>
      <c r="I207" s="8" t="str" cm="1">
        <f t="array" ref="I207">_xlfn.IFS(C207&lt;=15,"Children and Young Adolescents", C207&gt;64, "Seniors", TRUE, "Working Age")</f>
        <v>Working Age</v>
      </c>
      <c r="J207" s="6">
        <f>VLOOKUP(F207,Analysis!$F$1:$G$5,2,FALSE)</f>
        <v>2503.6022787783854</v>
      </c>
      <c r="K207">
        <f t="shared" si="12"/>
        <v>1727.49</v>
      </c>
      <c r="L207">
        <f t="shared" si="13"/>
        <v>1727.5</v>
      </c>
      <c r="M207">
        <f t="shared" si="14"/>
        <v>1727.5</v>
      </c>
      <c r="N207" s="5" t="str">
        <f t="shared" si="15"/>
        <v>February 2022</v>
      </c>
    </row>
    <row r="208" spans="1:14" x14ac:dyDescent="0.25">
      <c r="A208" s="1">
        <v>44593</v>
      </c>
      <c r="B208" t="s">
        <v>414</v>
      </c>
      <c r="C208">
        <v>12</v>
      </c>
      <c r="D208" t="s">
        <v>14</v>
      </c>
      <c r="E208" t="s">
        <v>10</v>
      </c>
      <c r="F208" t="s">
        <v>11</v>
      </c>
      <c r="G208" t="s">
        <v>36</v>
      </c>
      <c r="H208">
        <v>4408.67</v>
      </c>
      <c r="I208" s="8" t="str" cm="1">
        <f t="array" ref="I208">_xlfn.IFS(C208&lt;=15,"Children and Young Adolescents", C208&gt;64, "Seniors", TRUE, "Working Age")</f>
        <v>Children and Young Adolescents</v>
      </c>
      <c r="J208" s="6">
        <f>VLOOKUP(F208,Analysis!$F$1:$G$5,2,FALSE)</f>
        <v>2503.6022787783854</v>
      </c>
      <c r="K208">
        <f t="shared" si="12"/>
        <v>4849.53</v>
      </c>
      <c r="L208">
        <f t="shared" si="13"/>
        <v>4849.54</v>
      </c>
      <c r="M208">
        <f t="shared" si="14"/>
        <v>4849.54</v>
      </c>
      <c r="N208" s="5" t="str">
        <f t="shared" si="15"/>
        <v>February 2022</v>
      </c>
    </row>
    <row r="209" spans="1:14" x14ac:dyDescent="0.25">
      <c r="A209" s="1">
        <v>44593</v>
      </c>
      <c r="B209" t="s">
        <v>3507</v>
      </c>
      <c r="C209">
        <v>13</v>
      </c>
      <c r="D209" t="s">
        <v>21</v>
      </c>
      <c r="E209" t="s">
        <v>19</v>
      </c>
      <c r="F209" t="s">
        <v>23</v>
      </c>
      <c r="G209" t="s">
        <v>27</v>
      </c>
      <c r="H209">
        <v>701.86</v>
      </c>
      <c r="I209" s="8" t="str" cm="1">
        <f t="array" ref="I209">_xlfn.IFS(C209&lt;=15,"Children and Young Adolescents", C209&gt;64, "Seniors", TRUE, "Working Age")</f>
        <v>Children and Young Adolescents</v>
      </c>
      <c r="J209" s="6">
        <f>VLOOKUP(F209,Analysis!$F$1:$G$5,2,FALSE)</f>
        <v>2440.2966694490838</v>
      </c>
      <c r="K209">
        <f t="shared" si="12"/>
        <v>772.04</v>
      </c>
      <c r="L209">
        <f t="shared" si="13"/>
        <v>772.05</v>
      </c>
      <c r="M209">
        <f t="shared" si="14"/>
        <v>772.05</v>
      </c>
      <c r="N209" s="5" t="str">
        <f t="shared" si="15"/>
        <v>February 2022</v>
      </c>
    </row>
    <row r="210" spans="1:14" x14ac:dyDescent="0.25">
      <c r="A210" s="1">
        <v>44593</v>
      </c>
      <c r="B210" t="s">
        <v>1593</v>
      </c>
      <c r="C210">
        <v>57</v>
      </c>
      <c r="D210" t="s">
        <v>9</v>
      </c>
      <c r="E210" t="s">
        <v>15</v>
      </c>
      <c r="F210" t="s">
        <v>16</v>
      </c>
      <c r="G210" t="s">
        <v>39</v>
      </c>
      <c r="H210">
        <v>3790.46</v>
      </c>
      <c r="I210" s="8" t="str" cm="1">
        <f t="array" ref="I210">_xlfn.IFS(C210&lt;=15,"Children and Young Adolescents", C210&gt;64, "Seniors", TRUE, "Working Age")</f>
        <v>Working Age</v>
      </c>
      <c r="J210" s="6">
        <f>VLOOKUP(F210,Analysis!$F$1:$G$5,2,FALSE)</f>
        <v>2509.1716796874912</v>
      </c>
      <c r="K210">
        <f t="shared" si="12"/>
        <v>4169.5</v>
      </c>
      <c r="L210">
        <f t="shared" si="13"/>
        <v>4169.51</v>
      </c>
      <c r="M210">
        <f t="shared" si="14"/>
        <v>4169.51</v>
      </c>
      <c r="N210" s="5" t="str">
        <f t="shared" si="15"/>
        <v>February 2022</v>
      </c>
    </row>
    <row r="211" spans="1:14" x14ac:dyDescent="0.25">
      <c r="A211" s="1">
        <v>44594</v>
      </c>
      <c r="B211" t="s">
        <v>1274</v>
      </c>
      <c r="C211">
        <v>26</v>
      </c>
      <c r="D211" t="s">
        <v>14</v>
      </c>
      <c r="E211" t="s">
        <v>15</v>
      </c>
      <c r="F211" t="s">
        <v>29</v>
      </c>
      <c r="G211" t="s">
        <v>5033</v>
      </c>
      <c r="H211">
        <v>1771.03</v>
      </c>
      <c r="I211" s="8" t="str" cm="1">
        <f t="array" ref="I211">_xlfn.IFS(C211&lt;=15,"Children and Young Adolescents", C211&gt;64, "Seniors", TRUE, "Working Age")</f>
        <v>Working Age</v>
      </c>
      <c r="J211" s="6">
        <f>VLOOKUP(F211,Analysis!$F$1:$G$5,2,FALSE)</f>
        <v>2496.7676064256989</v>
      </c>
      <c r="K211">
        <f t="shared" si="12"/>
        <v>1948.13</v>
      </c>
      <c r="L211">
        <f t="shared" si="13"/>
        <v>1948.14</v>
      </c>
      <c r="M211">
        <f t="shared" si="14"/>
        <v>1948.13</v>
      </c>
      <c r="N211" s="5" t="str">
        <f t="shared" si="15"/>
        <v>February 2022</v>
      </c>
    </row>
    <row r="212" spans="1:14" x14ac:dyDescent="0.25">
      <c r="A212" s="1">
        <v>44594</v>
      </c>
      <c r="B212" t="s">
        <v>1156</v>
      </c>
      <c r="C212">
        <v>50</v>
      </c>
      <c r="D212" t="s">
        <v>21</v>
      </c>
      <c r="E212" t="s">
        <v>5032</v>
      </c>
      <c r="F212" t="s">
        <v>16</v>
      </c>
      <c r="G212" t="s">
        <v>39</v>
      </c>
      <c r="H212">
        <v>366.59</v>
      </c>
      <c r="I212" s="8" t="str" cm="1">
        <f t="array" ref="I212">_xlfn.IFS(C212&lt;=15,"Children and Young Adolescents", C212&gt;64, "Seniors", TRUE, "Working Age")</f>
        <v>Working Age</v>
      </c>
      <c r="J212" s="6">
        <f>VLOOKUP(F212,Analysis!$F$1:$G$5,2,FALSE)</f>
        <v>2509.1716796874912</v>
      </c>
      <c r="K212">
        <f t="shared" si="12"/>
        <v>403.24</v>
      </c>
      <c r="L212">
        <f t="shared" si="13"/>
        <v>403.25</v>
      </c>
      <c r="M212">
        <f t="shared" si="14"/>
        <v>403.25</v>
      </c>
      <c r="N212" s="5" t="str">
        <f t="shared" si="15"/>
        <v>February 2022</v>
      </c>
    </row>
    <row r="213" spans="1:14" x14ac:dyDescent="0.25">
      <c r="A213" s="1">
        <v>44594</v>
      </c>
      <c r="B213" t="s">
        <v>1207</v>
      </c>
      <c r="C213">
        <v>49</v>
      </c>
      <c r="D213" t="s">
        <v>9</v>
      </c>
      <c r="E213" t="s">
        <v>19</v>
      </c>
      <c r="F213" t="s">
        <v>29</v>
      </c>
      <c r="G213" t="s">
        <v>39</v>
      </c>
      <c r="H213">
        <v>536.04</v>
      </c>
      <c r="I213" s="8" t="str" cm="1">
        <f t="array" ref="I213">_xlfn.IFS(C213&lt;=15,"Children and Young Adolescents", C213&gt;64, "Seniors", TRUE, "Working Age")</f>
        <v>Working Age</v>
      </c>
      <c r="J213" s="6">
        <f>VLOOKUP(F213,Analysis!$F$1:$G$5,2,FALSE)</f>
        <v>2496.7676064256989</v>
      </c>
      <c r="K213">
        <f t="shared" si="12"/>
        <v>589.64</v>
      </c>
      <c r="L213">
        <f t="shared" si="13"/>
        <v>589.65</v>
      </c>
      <c r="M213">
        <f t="shared" si="14"/>
        <v>589.64</v>
      </c>
      <c r="N213" s="5" t="str">
        <f t="shared" si="15"/>
        <v>February 2022</v>
      </c>
    </row>
    <row r="214" spans="1:14" x14ac:dyDescent="0.25">
      <c r="A214" s="1">
        <v>44594</v>
      </c>
      <c r="B214" t="s">
        <v>163</v>
      </c>
      <c r="C214">
        <v>62</v>
      </c>
      <c r="D214" t="s">
        <v>9</v>
      </c>
      <c r="E214" t="s">
        <v>15</v>
      </c>
      <c r="F214" t="s">
        <v>16</v>
      </c>
      <c r="G214" t="s">
        <v>39</v>
      </c>
      <c r="H214">
        <v>1488.06</v>
      </c>
      <c r="I214" s="8" t="str" cm="1">
        <f t="array" ref="I214">_xlfn.IFS(C214&lt;=15,"Children and Young Adolescents", C214&gt;64, "Seniors", TRUE, "Working Age")</f>
        <v>Working Age</v>
      </c>
      <c r="J214" s="6">
        <f>VLOOKUP(F214,Analysis!$F$1:$G$5,2,FALSE)</f>
        <v>2509.1716796874912</v>
      </c>
      <c r="K214">
        <f t="shared" si="12"/>
        <v>1636.86</v>
      </c>
      <c r="L214">
        <f t="shared" si="13"/>
        <v>1636.87</v>
      </c>
      <c r="M214">
        <f t="shared" si="14"/>
        <v>1636.87</v>
      </c>
      <c r="N214" s="5" t="str">
        <f t="shared" si="15"/>
        <v>February 2022</v>
      </c>
    </row>
    <row r="215" spans="1:14" x14ac:dyDescent="0.25">
      <c r="A215" s="1">
        <v>44594</v>
      </c>
      <c r="B215" t="s">
        <v>1638</v>
      </c>
      <c r="C215">
        <v>35</v>
      </c>
      <c r="D215" t="s">
        <v>14</v>
      </c>
      <c r="E215" t="s">
        <v>22</v>
      </c>
      <c r="F215" t="s">
        <v>11</v>
      </c>
      <c r="G215" t="s">
        <v>12</v>
      </c>
      <c r="H215">
        <v>4606.91</v>
      </c>
      <c r="I215" s="8" t="str" cm="1">
        <f t="array" ref="I215">_xlfn.IFS(C215&lt;=15,"Children and Young Adolescents", C215&gt;64, "Seniors", TRUE, "Working Age")</f>
        <v>Working Age</v>
      </c>
      <c r="J215" s="6">
        <f>VLOOKUP(F215,Analysis!$F$1:$G$5,2,FALSE)</f>
        <v>2503.6022787783854</v>
      </c>
      <c r="K215">
        <f t="shared" si="12"/>
        <v>5067.6000000000004</v>
      </c>
      <c r="L215">
        <f t="shared" si="13"/>
        <v>5067.6100000000006</v>
      </c>
      <c r="M215">
        <f t="shared" si="14"/>
        <v>5067.6000000000004</v>
      </c>
      <c r="N215" s="5" t="str">
        <f t="shared" si="15"/>
        <v>February 2022</v>
      </c>
    </row>
    <row r="216" spans="1:14" x14ac:dyDescent="0.25">
      <c r="A216" s="1">
        <v>44594</v>
      </c>
      <c r="B216" t="s">
        <v>2281</v>
      </c>
      <c r="C216">
        <v>70</v>
      </c>
      <c r="D216" t="s">
        <v>9</v>
      </c>
      <c r="E216" t="s">
        <v>5032</v>
      </c>
      <c r="F216" t="s">
        <v>23</v>
      </c>
      <c r="G216" t="s">
        <v>36</v>
      </c>
      <c r="H216">
        <v>3341.15</v>
      </c>
      <c r="I216" s="8" t="str" cm="1">
        <f t="array" ref="I216">_xlfn.IFS(C216&lt;=15,"Children and Young Adolescents", C216&gt;64, "Seniors", TRUE, "Working Age")</f>
        <v>Seniors</v>
      </c>
      <c r="J216" s="6">
        <f>VLOOKUP(F216,Analysis!$F$1:$G$5,2,FALSE)</f>
        <v>2440.2966694490838</v>
      </c>
      <c r="K216">
        <f t="shared" si="12"/>
        <v>3675.26</v>
      </c>
      <c r="L216">
        <f t="shared" si="13"/>
        <v>3675.2700000000004</v>
      </c>
      <c r="M216">
        <f t="shared" si="14"/>
        <v>3675.27</v>
      </c>
      <c r="N216" s="5" t="str">
        <f t="shared" si="15"/>
        <v>February 2022</v>
      </c>
    </row>
    <row r="217" spans="1:14" x14ac:dyDescent="0.25">
      <c r="A217" s="1">
        <v>44594</v>
      </c>
      <c r="B217" t="s">
        <v>1953</v>
      </c>
      <c r="C217">
        <v>84</v>
      </c>
      <c r="D217" t="s">
        <v>14</v>
      </c>
      <c r="E217" t="s">
        <v>22</v>
      </c>
      <c r="F217" t="s">
        <v>16</v>
      </c>
      <c r="G217" t="s">
        <v>27</v>
      </c>
      <c r="H217">
        <v>2804.68</v>
      </c>
      <c r="I217" s="8" t="str" cm="1">
        <f t="array" ref="I217">_xlfn.IFS(C217&lt;=15,"Children and Young Adolescents", C217&gt;64, "Seniors", TRUE, "Working Age")</f>
        <v>Seniors</v>
      </c>
      <c r="J217" s="6">
        <f>VLOOKUP(F217,Analysis!$F$1:$G$5,2,FALSE)</f>
        <v>2509.1716796874912</v>
      </c>
      <c r="K217">
        <f t="shared" si="12"/>
        <v>3085.14</v>
      </c>
      <c r="L217">
        <f t="shared" si="13"/>
        <v>3085.15</v>
      </c>
      <c r="M217">
        <f t="shared" si="14"/>
        <v>3085.15</v>
      </c>
      <c r="N217" s="5" t="str">
        <f t="shared" si="15"/>
        <v>February 2022</v>
      </c>
    </row>
    <row r="218" spans="1:14" x14ac:dyDescent="0.25">
      <c r="A218" s="1">
        <v>44595</v>
      </c>
      <c r="B218" t="s">
        <v>3810</v>
      </c>
      <c r="C218">
        <v>78</v>
      </c>
      <c r="D218" t="s">
        <v>9</v>
      </c>
      <c r="E218" t="s">
        <v>15</v>
      </c>
      <c r="F218" t="s">
        <v>16</v>
      </c>
      <c r="G218" t="s">
        <v>36</v>
      </c>
      <c r="H218">
        <v>2387.48</v>
      </c>
      <c r="I218" s="8" t="str" cm="1">
        <f t="array" ref="I218">_xlfn.IFS(C218&lt;=15,"Children and Young Adolescents", C218&gt;64, "Seniors", TRUE, "Working Age")</f>
        <v>Seniors</v>
      </c>
      <c r="J218" s="6">
        <f>VLOOKUP(F218,Analysis!$F$1:$G$5,2,FALSE)</f>
        <v>2509.1716796874912</v>
      </c>
      <c r="K218">
        <f t="shared" si="12"/>
        <v>2626.22</v>
      </c>
      <c r="L218">
        <f t="shared" si="13"/>
        <v>2626.23</v>
      </c>
      <c r="M218">
        <f t="shared" si="14"/>
        <v>2626.23</v>
      </c>
      <c r="N218" s="5" t="str">
        <f t="shared" si="15"/>
        <v>February 2022</v>
      </c>
    </row>
    <row r="219" spans="1:14" x14ac:dyDescent="0.25">
      <c r="A219" s="1">
        <v>44595</v>
      </c>
      <c r="B219" t="s">
        <v>1422</v>
      </c>
      <c r="C219">
        <v>36</v>
      </c>
      <c r="D219" t="s">
        <v>14</v>
      </c>
      <c r="E219" t="s">
        <v>19</v>
      </c>
      <c r="F219" t="s">
        <v>11</v>
      </c>
      <c r="G219" t="s">
        <v>27</v>
      </c>
      <c r="H219">
        <v>1429.15</v>
      </c>
      <c r="I219" s="8" t="str" cm="1">
        <f t="array" ref="I219">_xlfn.IFS(C219&lt;=15,"Children and Young Adolescents", C219&gt;64, "Seniors", TRUE, "Working Age")</f>
        <v>Working Age</v>
      </c>
      <c r="J219" s="6">
        <f>VLOOKUP(F219,Analysis!$F$1:$G$5,2,FALSE)</f>
        <v>2503.6022787783854</v>
      </c>
      <c r="K219">
        <f t="shared" si="12"/>
        <v>1572.06</v>
      </c>
      <c r="L219">
        <f t="shared" si="13"/>
        <v>1572.07</v>
      </c>
      <c r="M219">
        <f t="shared" si="14"/>
        <v>1572.07</v>
      </c>
      <c r="N219" s="5" t="str">
        <f t="shared" si="15"/>
        <v>February 2022</v>
      </c>
    </row>
    <row r="220" spans="1:14" x14ac:dyDescent="0.25">
      <c r="A220" s="1">
        <v>44595</v>
      </c>
      <c r="B220" t="s">
        <v>1765</v>
      </c>
      <c r="C220">
        <v>59</v>
      </c>
      <c r="D220" t="s">
        <v>21</v>
      </c>
      <c r="E220" t="s">
        <v>22</v>
      </c>
      <c r="F220" t="s">
        <v>16</v>
      </c>
      <c r="G220" t="s">
        <v>39</v>
      </c>
      <c r="H220">
        <v>2517.0300000000002</v>
      </c>
      <c r="I220" s="8" t="str" cm="1">
        <f t="array" ref="I220">_xlfn.IFS(C220&lt;=15,"Children and Young Adolescents", C220&gt;64, "Seniors", TRUE, "Working Age")</f>
        <v>Working Age</v>
      </c>
      <c r="J220" s="6">
        <f>VLOOKUP(F220,Analysis!$F$1:$G$5,2,FALSE)</f>
        <v>2509.1716796874912</v>
      </c>
      <c r="K220">
        <f t="shared" si="12"/>
        <v>2768.73</v>
      </c>
      <c r="L220">
        <f t="shared" si="13"/>
        <v>2768.7400000000002</v>
      </c>
      <c r="M220">
        <f t="shared" si="14"/>
        <v>2768.73</v>
      </c>
      <c r="N220" s="5" t="str">
        <f t="shared" si="15"/>
        <v>February 2022</v>
      </c>
    </row>
    <row r="221" spans="1:14" x14ac:dyDescent="0.25">
      <c r="A221" s="1">
        <v>44595</v>
      </c>
      <c r="B221" t="s">
        <v>1472</v>
      </c>
      <c r="C221">
        <v>60</v>
      </c>
      <c r="D221" t="s">
        <v>9</v>
      </c>
      <c r="E221" t="s">
        <v>15</v>
      </c>
      <c r="F221" t="s">
        <v>23</v>
      </c>
      <c r="G221" t="s">
        <v>17</v>
      </c>
      <c r="H221">
        <v>3015.54</v>
      </c>
      <c r="I221" s="8" t="str" cm="1">
        <f t="array" ref="I221">_xlfn.IFS(C221&lt;=15,"Children and Young Adolescents", C221&gt;64, "Seniors", TRUE, "Working Age")</f>
        <v>Working Age</v>
      </c>
      <c r="J221" s="6">
        <f>VLOOKUP(F221,Analysis!$F$1:$G$5,2,FALSE)</f>
        <v>2440.2966694490838</v>
      </c>
      <c r="K221">
        <f t="shared" si="12"/>
        <v>3317.09</v>
      </c>
      <c r="L221">
        <f t="shared" si="13"/>
        <v>3317.1000000000004</v>
      </c>
      <c r="M221">
        <f t="shared" si="14"/>
        <v>3317.09</v>
      </c>
      <c r="N221" s="5" t="str">
        <f t="shared" si="15"/>
        <v>February 2022</v>
      </c>
    </row>
    <row r="222" spans="1:14" x14ac:dyDescent="0.25">
      <c r="A222" s="1">
        <v>44595</v>
      </c>
      <c r="B222" t="s">
        <v>3245</v>
      </c>
      <c r="C222">
        <v>58</v>
      </c>
      <c r="D222" t="s">
        <v>9</v>
      </c>
      <c r="E222" t="s">
        <v>25</v>
      </c>
      <c r="F222" t="s">
        <v>11</v>
      </c>
      <c r="G222" t="s">
        <v>27</v>
      </c>
      <c r="H222">
        <v>1684.75</v>
      </c>
      <c r="I222" s="8" t="str" cm="1">
        <f t="array" ref="I222">_xlfn.IFS(C222&lt;=15,"Children and Young Adolescents", C222&gt;64, "Seniors", TRUE, "Working Age")</f>
        <v>Working Age</v>
      </c>
      <c r="J222" s="6">
        <f>VLOOKUP(F222,Analysis!$F$1:$G$5,2,FALSE)</f>
        <v>2503.6022787783854</v>
      </c>
      <c r="K222">
        <f t="shared" si="12"/>
        <v>1853.22</v>
      </c>
      <c r="L222">
        <f t="shared" si="13"/>
        <v>1853.23</v>
      </c>
      <c r="M222">
        <f t="shared" si="14"/>
        <v>1853.23</v>
      </c>
      <c r="N222" s="5" t="str">
        <f t="shared" si="15"/>
        <v>February 2022</v>
      </c>
    </row>
    <row r="223" spans="1:14" x14ac:dyDescent="0.25">
      <c r="A223" s="1">
        <v>44596</v>
      </c>
      <c r="B223" t="s">
        <v>708</v>
      </c>
      <c r="C223">
        <v>18</v>
      </c>
      <c r="D223" t="s">
        <v>14</v>
      </c>
      <c r="E223" t="s">
        <v>15</v>
      </c>
      <c r="F223" t="s">
        <v>29</v>
      </c>
      <c r="G223" t="s">
        <v>36</v>
      </c>
      <c r="H223">
        <v>4037.13</v>
      </c>
      <c r="I223" s="8" t="str" cm="1">
        <f t="array" ref="I223">_xlfn.IFS(C223&lt;=15,"Children and Young Adolescents", C223&gt;64, "Seniors", TRUE, "Working Age")</f>
        <v>Working Age</v>
      </c>
      <c r="J223" s="6">
        <f>VLOOKUP(F223,Analysis!$F$1:$G$5,2,FALSE)</f>
        <v>2496.7676064256989</v>
      </c>
      <c r="K223">
        <f t="shared" si="12"/>
        <v>4440.84</v>
      </c>
      <c r="L223">
        <f t="shared" si="13"/>
        <v>4440.8500000000004</v>
      </c>
      <c r="M223">
        <f t="shared" si="14"/>
        <v>4440.84</v>
      </c>
      <c r="N223" s="5" t="str">
        <f t="shared" si="15"/>
        <v>February 2022</v>
      </c>
    </row>
    <row r="224" spans="1:14" x14ac:dyDescent="0.25">
      <c r="A224" s="1">
        <v>44596</v>
      </c>
      <c r="B224" t="s">
        <v>4672</v>
      </c>
      <c r="C224">
        <v>95</v>
      </c>
      <c r="D224" t="s">
        <v>14</v>
      </c>
      <c r="E224" t="s">
        <v>25</v>
      </c>
      <c r="F224" t="s">
        <v>23</v>
      </c>
      <c r="G224" t="s">
        <v>39</v>
      </c>
      <c r="H224">
        <v>3160.95</v>
      </c>
      <c r="I224" s="8" t="str" cm="1">
        <f t="array" ref="I224">_xlfn.IFS(C224&lt;=15,"Children and Young Adolescents", C224&gt;64, "Seniors", TRUE, "Working Age")</f>
        <v>Seniors</v>
      </c>
      <c r="J224" s="6">
        <f>VLOOKUP(F224,Analysis!$F$1:$G$5,2,FALSE)</f>
        <v>2440.2966694490838</v>
      </c>
      <c r="K224">
        <f t="shared" si="12"/>
        <v>3477.04</v>
      </c>
      <c r="L224">
        <f t="shared" si="13"/>
        <v>3477.05</v>
      </c>
      <c r="M224">
        <f t="shared" si="14"/>
        <v>3477.05</v>
      </c>
      <c r="N224" s="5" t="str">
        <f t="shared" si="15"/>
        <v>February 2022</v>
      </c>
    </row>
    <row r="225" spans="1:14" x14ac:dyDescent="0.25">
      <c r="A225" s="1">
        <v>44596</v>
      </c>
      <c r="B225" t="s">
        <v>4041</v>
      </c>
      <c r="C225">
        <v>36</v>
      </c>
      <c r="D225" t="s">
        <v>14</v>
      </c>
      <c r="E225" t="s">
        <v>32</v>
      </c>
      <c r="F225" t="s">
        <v>29</v>
      </c>
      <c r="G225" t="s">
        <v>12</v>
      </c>
      <c r="H225">
        <v>530.98</v>
      </c>
      <c r="I225" s="8" t="str" cm="1">
        <f t="array" ref="I225">_xlfn.IFS(C225&lt;=15,"Children and Young Adolescents", C225&gt;64, "Seniors", TRUE, "Working Age")</f>
        <v>Working Age</v>
      </c>
      <c r="J225" s="6">
        <f>VLOOKUP(F225,Analysis!$F$1:$G$5,2,FALSE)</f>
        <v>2496.7676064256989</v>
      </c>
      <c r="K225">
        <f t="shared" si="12"/>
        <v>584.07000000000005</v>
      </c>
      <c r="L225">
        <f t="shared" si="13"/>
        <v>584.08000000000004</v>
      </c>
      <c r="M225">
        <f t="shared" si="14"/>
        <v>584.08000000000004</v>
      </c>
      <c r="N225" s="5" t="str">
        <f t="shared" si="15"/>
        <v>February 2022</v>
      </c>
    </row>
    <row r="226" spans="1:14" x14ac:dyDescent="0.25">
      <c r="A226" s="1">
        <v>44596</v>
      </c>
      <c r="B226" t="s">
        <v>1004</v>
      </c>
      <c r="C226">
        <v>4</v>
      </c>
      <c r="D226" t="s">
        <v>21</v>
      </c>
      <c r="E226" t="s">
        <v>19</v>
      </c>
      <c r="F226" t="s">
        <v>11</v>
      </c>
      <c r="G226" t="s">
        <v>39</v>
      </c>
      <c r="H226">
        <v>1511.35</v>
      </c>
      <c r="I226" s="8" t="str" cm="1">
        <f t="array" ref="I226">_xlfn.IFS(C226&lt;=15,"Children and Young Adolescents", C226&gt;64, "Seniors", TRUE, "Working Age")</f>
        <v>Children and Young Adolescents</v>
      </c>
      <c r="J226" s="6">
        <f>VLOOKUP(F226,Analysis!$F$1:$G$5,2,FALSE)</f>
        <v>2503.6022787783854</v>
      </c>
      <c r="K226">
        <f t="shared" si="12"/>
        <v>1662.48</v>
      </c>
      <c r="L226">
        <f t="shared" si="13"/>
        <v>1662.49</v>
      </c>
      <c r="M226">
        <f t="shared" si="14"/>
        <v>1662.49</v>
      </c>
      <c r="N226" s="5" t="str">
        <f t="shared" si="15"/>
        <v>February 2022</v>
      </c>
    </row>
    <row r="227" spans="1:14" x14ac:dyDescent="0.25">
      <c r="A227" s="1">
        <v>44596</v>
      </c>
      <c r="B227" t="s">
        <v>4406</v>
      </c>
      <c r="C227">
        <v>53</v>
      </c>
      <c r="D227" t="s">
        <v>14</v>
      </c>
      <c r="E227" t="s">
        <v>5032</v>
      </c>
      <c r="F227" t="s">
        <v>11</v>
      </c>
      <c r="G227" t="s">
        <v>39</v>
      </c>
      <c r="H227">
        <v>4921.29</v>
      </c>
      <c r="I227" s="8" t="str" cm="1">
        <f t="array" ref="I227">_xlfn.IFS(C227&lt;=15,"Children and Young Adolescents", C227&gt;64, "Seniors", TRUE, "Working Age")</f>
        <v>Working Age</v>
      </c>
      <c r="J227" s="6">
        <f>VLOOKUP(F227,Analysis!$F$1:$G$5,2,FALSE)</f>
        <v>2503.6022787783854</v>
      </c>
      <c r="K227">
        <f t="shared" si="12"/>
        <v>5413.41</v>
      </c>
      <c r="L227">
        <f t="shared" si="13"/>
        <v>5413.42</v>
      </c>
      <c r="M227">
        <f t="shared" si="14"/>
        <v>5413.42</v>
      </c>
      <c r="N227" s="5" t="str">
        <f t="shared" si="15"/>
        <v>February 2022</v>
      </c>
    </row>
    <row r="228" spans="1:14" x14ac:dyDescent="0.25">
      <c r="A228" s="1">
        <v>44596</v>
      </c>
      <c r="B228" t="s">
        <v>1196</v>
      </c>
      <c r="C228">
        <v>59</v>
      </c>
      <c r="D228" t="s">
        <v>21</v>
      </c>
      <c r="E228" t="s">
        <v>19</v>
      </c>
      <c r="F228" t="s">
        <v>23</v>
      </c>
      <c r="G228" t="s">
        <v>39</v>
      </c>
      <c r="H228">
        <v>3203.99</v>
      </c>
      <c r="I228" s="8" t="str" cm="1">
        <f t="array" ref="I228">_xlfn.IFS(C228&lt;=15,"Children and Young Adolescents", C228&gt;64, "Seniors", TRUE, "Working Age")</f>
        <v>Working Age</v>
      </c>
      <c r="J228" s="6">
        <f>VLOOKUP(F228,Analysis!$F$1:$G$5,2,FALSE)</f>
        <v>2440.2966694490838</v>
      </c>
      <c r="K228">
        <f t="shared" si="12"/>
        <v>3524.38</v>
      </c>
      <c r="L228">
        <f t="shared" si="13"/>
        <v>3524.3900000000003</v>
      </c>
      <c r="M228">
        <f t="shared" si="14"/>
        <v>3524.39</v>
      </c>
      <c r="N228" s="5" t="str">
        <f t="shared" si="15"/>
        <v>February 2022</v>
      </c>
    </row>
    <row r="229" spans="1:14" x14ac:dyDescent="0.25">
      <c r="A229" s="1">
        <v>44596</v>
      </c>
      <c r="B229" t="s">
        <v>88</v>
      </c>
      <c r="C229">
        <v>2</v>
      </c>
      <c r="D229" t="s">
        <v>21</v>
      </c>
      <c r="E229" t="s">
        <v>34</v>
      </c>
      <c r="F229" t="s">
        <v>16</v>
      </c>
      <c r="G229" t="s">
        <v>12</v>
      </c>
      <c r="H229">
        <v>3144.82</v>
      </c>
      <c r="I229" s="8" t="str" cm="1">
        <f t="array" ref="I229">_xlfn.IFS(C229&lt;=15,"Children and Young Adolescents", C229&gt;64, "Seniors", TRUE, "Working Age")</f>
        <v>Children and Young Adolescents</v>
      </c>
      <c r="J229" s="6">
        <f>VLOOKUP(F229,Analysis!$F$1:$G$5,2,FALSE)</f>
        <v>2509.1716796874912</v>
      </c>
      <c r="K229">
        <f t="shared" si="12"/>
        <v>3459.3</v>
      </c>
      <c r="L229">
        <f t="shared" si="13"/>
        <v>3459.3100000000004</v>
      </c>
      <c r="M229">
        <f t="shared" si="14"/>
        <v>3459.3</v>
      </c>
      <c r="N229" s="5" t="str">
        <f t="shared" si="15"/>
        <v>February 2022</v>
      </c>
    </row>
    <row r="230" spans="1:14" x14ac:dyDescent="0.25">
      <c r="A230" s="1">
        <v>44596</v>
      </c>
      <c r="B230" t="s">
        <v>2402</v>
      </c>
      <c r="C230">
        <v>4</v>
      </c>
      <c r="D230" t="s">
        <v>9</v>
      </c>
      <c r="E230" t="s">
        <v>19</v>
      </c>
      <c r="F230" t="s">
        <v>23</v>
      </c>
      <c r="G230" t="s">
        <v>39</v>
      </c>
      <c r="H230">
        <v>1871.1</v>
      </c>
      <c r="I230" s="8" t="str" cm="1">
        <f t="array" ref="I230">_xlfn.IFS(C230&lt;=15,"Children and Young Adolescents", C230&gt;64, "Seniors", TRUE, "Working Age")</f>
        <v>Children and Young Adolescents</v>
      </c>
      <c r="J230" s="6">
        <f>VLOOKUP(F230,Analysis!$F$1:$G$5,2,FALSE)</f>
        <v>2440.2966694490838</v>
      </c>
      <c r="K230">
        <f t="shared" si="12"/>
        <v>2058.21</v>
      </c>
      <c r="L230">
        <f t="shared" si="13"/>
        <v>2058.21</v>
      </c>
      <c r="M230">
        <f t="shared" si="14"/>
        <v>2058.21</v>
      </c>
      <c r="N230" s="5" t="str">
        <f t="shared" si="15"/>
        <v>February 2022</v>
      </c>
    </row>
    <row r="231" spans="1:14" x14ac:dyDescent="0.25">
      <c r="A231" s="1">
        <v>44596</v>
      </c>
      <c r="B231" t="s">
        <v>4850</v>
      </c>
      <c r="C231">
        <v>11</v>
      </c>
      <c r="D231" t="s">
        <v>14</v>
      </c>
      <c r="E231" t="s">
        <v>34</v>
      </c>
      <c r="F231" t="s">
        <v>23</v>
      </c>
      <c r="G231" t="s">
        <v>39</v>
      </c>
      <c r="H231">
        <v>4829.96</v>
      </c>
      <c r="I231" s="8" t="str" cm="1">
        <f t="array" ref="I231">_xlfn.IFS(C231&lt;=15,"Children and Young Adolescents", C231&gt;64, "Seniors", TRUE, "Working Age")</f>
        <v>Children and Young Adolescents</v>
      </c>
      <c r="J231" s="6">
        <f>VLOOKUP(F231,Analysis!$F$1:$G$5,2,FALSE)</f>
        <v>2440.2966694490838</v>
      </c>
      <c r="K231">
        <f t="shared" si="12"/>
        <v>5312.95</v>
      </c>
      <c r="L231">
        <f t="shared" si="13"/>
        <v>5312.96</v>
      </c>
      <c r="M231">
        <f t="shared" si="14"/>
        <v>5312.96</v>
      </c>
      <c r="N231" s="5" t="str">
        <f t="shared" si="15"/>
        <v>February 2022</v>
      </c>
    </row>
    <row r="232" spans="1:14" x14ac:dyDescent="0.25">
      <c r="A232" s="1">
        <v>44597</v>
      </c>
      <c r="B232" t="s">
        <v>2136</v>
      </c>
      <c r="C232">
        <v>64</v>
      </c>
      <c r="D232" t="s">
        <v>21</v>
      </c>
      <c r="E232" t="s">
        <v>10</v>
      </c>
      <c r="F232" t="s">
        <v>11</v>
      </c>
      <c r="G232" t="s">
        <v>36</v>
      </c>
      <c r="H232">
        <v>429.32</v>
      </c>
      <c r="I232" s="8" t="str" cm="1">
        <f t="array" ref="I232">_xlfn.IFS(C232&lt;=15,"Children and Young Adolescents", C232&gt;64, "Seniors", TRUE, "Working Age")</f>
        <v>Working Age</v>
      </c>
      <c r="J232" s="6">
        <f>VLOOKUP(F232,Analysis!$F$1:$G$5,2,FALSE)</f>
        <v>2503.6022787783854</v>
      </c>
      <c r="K232">
        <f t="shared" si="12"/>
        <v>472.25</v>
      </c>
      <c r="L232">
        <f t="shared" si="13"/>
        <v>472.26</v>
      </c>
      <c r="M232">
        <f t="shared" si="14"/>
        <v>472.25</v>
      </c>
      <c r="N232" s="5" t="str">
        <f t="shared" si="15"/>
        <v>February 2022</v>
      </c>
    </row>
    <row r="233" spans="1:14" x14ac:dyDescent="0.25">
      <c r="A233" s="1">
        <v>44597</v>
      </c>
      <c r="B233" t="s">
        <v>4198</v>
      </c>
      <c r="C233">
        <v>57</v>
      </c>
      <c r="D233" t="s">
        <v>9</v>
      </c>
      <c r="E233" t="s">
        <v>32</v>
      </c>
      <c r="F233" t="s">
        <v>11</v>
      </c>
      <c r="G233" t="s">
        <v>17</v>
      </c>
      <c r="H233">
        <v>2476.16</v>
      </c>
      <c r="I233" s="8" t="str" cm="1">
        <f t="array" ref="I233">_xlfn.IFS(C233&lt;=15,"Children and Young Adolescents", C233&gt;64, "Seniors", TRUE, "Working Age")</f>
        <v>Working Age</v>
      </c>
      <c r="J233" s="6">
        <f>VLOOKUP(F233,Analysis!$F$1:$G$5,2,FALSE)</f>
        <v>2503.6022787783854</v>
      </c>
      <c r="K233">
        <f t="shared" si="12"/>
        <v>2723.77</v>
      </c>
      <c r="L233">
        <f t="shared" si="13"/>
        <v>2723.78</v>
      </c>
      <c r="M233">
        <f t="shared" si="14"/>
        <v>2723.78</v>
      </c>
      <c r="N233" s="5" t="str">
        <f t="shared" si="15"/>
        <v>February 2022</v>
      </c>
    </row>
    <row r="234" spans="1:14" x14ac:dyDescent="0.25">
      <c r="A234" s="1">
        <v>44597</v>
      </c>
      <c r="B234" t="s">
        <v>1980</v>
      </c>
      <c r="C234">
        <v>20</v>
      </c>
      <c r="D234" t="s">
        <v>21</v>
      </c>
      <c r="E234" t="s">
        <v>19</v>
      </c>
      <c r="F234" t="s">
        <v>11</v>
      </c>
      <c r="G234" t="s">
        <v>17</v>
      </c>
      <c r="H234">
        <v>2011.33</v>
      </c>
      <c r="I234" s="8" t="str" cm="1">
        <f t="array" ref="I234">_xlfn.IFS(C234&lt;=15,"Children and Young Adolescents", C234&gt;64, "Seniors", TRUE, "Working Age")</f>
        <v>Working Age</v>
      </c>
      <c r="J234" s="6">
        <f>VLOOKUP(F234,Analysis!$F$1:$G$5,2,FALSE)</f>
        <v>2503.6022787783854</v>
      </c>
      <c r="K234">
        <f t="shared" si="12"/>
        <v>2212.46</v>
      </c>
      <c r="L234">
        <f t="shared" si="13"/>
        <v>2212.4700000000003</v>
      </c>
      <c r="M234">
        <f t="shared" si="14"/>
        <v>2212.46</v>
      </c>
      <c r="N234" s="5" t="str">
        <f t="shared" si="15"/>
        <v>February 2022</v>
      </c>
    </row>
    <row r="235" spans="1:14" x14ac:dyDescent="0.25">
      <c r="A235" s="1">
        <v>44597</v>
      </c>
      <c r="B235" t="s">
        <v>4931</v>
      </c>
      <c r="C235">
        <v>57</v>
      </c>
      <c r="D235" t="s">
        <v>9</v>
      </c>
      <c r="E235" t="s">
        <v>22</v>
      </c>
      <c r="F235" t="s">
        <v>16</v>
      </c>
      <c r="G235" t="s">
        <v>12</v>
      </c>
      <c r="H235">
        <v>3699.55</v>
      </c>
      <c r="I235" s="8" t="str" cm="1">
        <f t="array" ref="I235">_xlfn.IFS(C235&lt;=15,"Children and Young Adolescents", C235&gt;64, "Seniors", TRUE, "Working Age")</f>
        <v>Working Age</v>
      </c>
      <c r="J235" s="6">
        <f>VLOOKUP(F235,Analysis!$F$1:$G$5,2,FALSE)</f>
        <v>2509.1716796874912</v>
      </c>
      <c r="K235">
        <f t="shared" si="12"/>
        <v>4069.5</v>
      </c>
      <c r="L235">
        <f t="shared" si="13"/>
        <v>4069.51</v>
      </c>
      <c r="M235">
        <f t="shared" si="14"/>
        <v>4069.51</v>
      </c>
      <c r="N235" s="5" t="str">
        <f t="shared" si="15"/>
        <v>February 2022</v>
      </c>
    </row>
    <row r="236" spans="1:14" x14ac:dyDescent="0.25">
      <c r="A236" s="1">
        <v>44597</v>
      </c>
      <c r="B236" t="s">
        <v>2187</v>
      </c>
      <c r="C236">
        <v>38</v>
      </c>
      <c r="D236" t="s">
        <v>9</v>
      </c>
      <c r="E236" t="s">
        <v>25</v>
      </c>
      <c r="F236" t="s">
        <v>29</v>
      </c>
      <c r="G236" t="s">
        <v>12</v>
      </c>
      <c r="H236">
        <v>1760.32</v>
      </c>
      <c r="I236" s="8" t="str" cm="1">
        <f t="array" ref="I236">_xlfn.IFS(C236&lt;=15,"Children and Young Adolescents", C236&gt;64, "Seniors", TRUE, "Working Age")</f>
        <v>Working Age</v>
      </c>
      <c r="J236" s="6">
        <f>VLOOKUP(F236,Analysis!$F$1:$G$5,2,FALSE)</f>
        <v>2496.7676064256989</v>
      </c>
      <c r="K236">
        <f t="shared" si="12"/>
        <v>1936.35</v>
      </c>
      <c r="L236">
        <f t="shared" si="13"/>
        <v>1936.36</v>
      </c>
      <c r="M236">
        <f t="shared" si="14"/>
        <v>1936.35</v>
      </c>
      <c r="N236" s="5" t="str">
        <f t="shared" si="15"/>
        <v>February 2022</v>
      </c>
    </row>
    <row r="237" spans="1:14" x14ac:dyDescent="0.25">
      <c r="A237" s="1">
        <v>44597</v>
      </c>
      <c r="B237" t="s">
        <v>451</v>
      </c>
      <c r="C237">
        <v>54</v>
      </c>
      <c r="D237" t="s">
        <v>21</v>
      </c>
      <c r="E237" t="s">
        <v>5032</v>
      </c>
      <c r="F237" t="s">
        <v>11</v>
      </c>
      <c r="G237" t="s">
        <v>36</v>
      </c>
      <c r="H237">
        <v>1905.57</v>
      </c>
      <c r="I237" s="8" t="str" cm="1">
        <f t="array" ref="I237">_xlfn.IFS(C237&lt;=15,"Children and Young Adolescents", C237&gt;64, "Seniors", TRUE, "Working Age")</f>
        <v>Working Age</v>
      </c>
      <c r="J237" s="6">
        <f>VLOOKUP(F237,Analysis!$F$1:$G$5,2,FALSE)</f>
        <v>2503.6022787783854</v>
      </c>
      <c r="K237">
        <f t="shared" si="12"/>
        <v>2096.12</v>
      </c>
      <c r="L237">
        <f t="shared" si="13"/>
        <v>2096.13</v>
      </c>
      <c r="M237">
        <f t="shared" si="14"/>
        <v>2096.13</v>
      </c>
      <c r="N237" s="5" t="str">
        <f t="shared" si="15"/>
        <v>February 2022</v>
      </c>
    </row>
    <row r="238" spans="1:14" x14ac:dyDescent="0.25">
      <c r="A238" s="1">
        <v>44597</v>
      </c>
      <c r="B238" t="s">
        <v>2543</v>
      </c>
      <c r="C238">
        <v>65</v>
      </c>
      <c r="D238" t="s">
        <v>9</v>
      </c>
      <c r="E238" t="s">
        <v>22</v>
      </c>
      <c r="F238" t="s">
        <v>16</v>
      </c>
      <c r="G238" t="s">
        <v>39</v>
      </c>
      <c r="H238">
        <v>1471.72</v>
      </c>
      <c r="I238" s="8" t="str" cm="1">
        <f t="array" ref="I238">_xlfn.IFS(C238&lt;=15,"Children and Young Adolescents", C238&gt;64, "Seniors", TRUE, "Working Age")</f>
        <v>Seniors</v>
      </c>
      <c r="J238" s="6">
        <f>VLOOKUP(F238,Analysis!$F$1:$G$5,2,FALSE)</f>
        <v>2509.1716796874912</v>
      </c>
      <c r="K238">
        <f t="shared" si="12"/>
        <v>1618.89</v>
      </c>
      <c r="L238">
        <f t="shared" si="13"/>
        <v>1618.9</v>
      </c>
      <c r="M238">
        <f t="shared" si="14"/>
        <v>1618.89</v>
      </c>
      <c r="N238" s="5" t="str">
        <f t="shared" si="15"/>
        <v>February 2022</v>
      </c>
    </row>
    <row r="239" spans="1:14" x14ac:dyDescent="0.25">
      <c r="A239" s="1">
        <v>44598</v>
      </c>
      <c r="B239" t="s">
        <v>3390</v>
      </c>
      <c r="C239">
        <v>9</v>
      </c>
      <c r="D239" t="s">
        <v>9</v>
      </c>
      <c r="E239" t="s">
        <v>5032</v>
      </c>
      <c r="F239" t="s">
        <v>11</v>
      </c>
      <c r="G239" t="s">
        <v>39</v>
      </c>
      <c r="H239">
        <v>1116.33</v>
      </c>
      <c r="I239" s="8" t="str" cm="1">
        <f t="array" ref="I239">_xlfn.IFS(C239&lt;=15,"Children and Young Adolescents", C239&gt;64, "Seniors", TRUE, "Working Age")</f>
        <v>Children and Young Adolescents</v>
      </c>
      <c r="J239" s="6">
        <f>VLOOKUP(F239,Analysis!$F$1:$G$5,2,FALSE)</f>
        <v>2503.6022787783854</v>
      </c>
      <c r="K239">
        <f t="shared" si="12"/>
        <v>1227.96</v>
      </c>
      <c r="L239">
        <f t="shared" si="13"/>
        <v>1227.97</v>
      </c>
      <c r="M239">
        <f t="shared" si="14"/>
        <v>1227.96</v>
      </c>
      <c r="N239" s="5" t="str">
        <f t="shared" si="15"/>
        <v>February 2022</v>
      </c>
    </row>
    <row r="240" spans="1:14" x14ac:dyDescent="0.25">
      <c r="A240" s="1">
        <v>44598</v>
      </c>
      <c r="B240" t="s">
        <v>2443</v>
      </c>
      <c r="C240">
        <v>58</v>
      </c>
      <c r="D240" t="s">
        <v>21</v>
      </c>
      <c r="E240" t="s">
        <v>34</v>
      </c>
      <c r="F240" t="s">
        <v>11</v>
      </c>
      <c r="G240" t="s">
        <v>39</v>
      </c>
      <c r="H240">
        <v>2497.2600000000002</v>
      </c>
      <c r="I240" s="8" t="str" cm="1">
        <f t="array" ref="I240">_xlfn.IFS(C240&lt;=15,"Children and Young Adolescents", C240&gt;64, "Seniors", TRUE, "Working Age")</f>
        <v>Working Age</v>
      </c>
      <c r="J240" s="6">
        <f>VLOOKUP(F240,Analysis!$F$1:$G$5,2,FALSE)</f>
        <v>2503.6022787783854</v>
      </c>
      <c r="K240">
        <f t="shared" si="12"/>
        <v>2746.98</v>
      </c>
      <c r="L240">
        <f t="shared" si="13"/>
        <v>2746.9900000000002</v>
      </c>
      <c r="M240">
        <f t="shared" si="14"/>
        <v>2746.99</v>
      </c>
      <c r="N240" s="5" t="str">
        <f t="shared" si="15"/>
        <v>February 2022</v>
      </c>
    </row>
    <row r="241" spans="1:14" x14ac:dyDescent="0.25">
      <c r="A241" s="1">
        <v>44598</v>
      </c>
      <c r="B241" t="s">
        <v>3055</v>
      </c>
      <c r="C241">
        <v>44</v>
      </c>
      <c r="D241" t="s">
        <v>14</v>
      </c>
      <c r="E241" t="s">
        <v>32</v>
      </c>
      <c r="F241" t="s">
        <v>29</v>
      </c>
      <c r="G241" t="s">
        <v>27</v>
      </c>
      <c r="H241">
        <v>4723.3100000000004</v>
      </c>
      <c r="I241" s="8" t="str" cm="1">
        <f t="array" ref="I241">_xlfn.IFS(C241&lt;=15,"Children and Young Adolescents", C241&gt;64, "Seniors", TRUE, "Working Age")</f>
        <v>Working Age</v>
      </c>
      <c r="J241" s="6">
        <f>VLOOKUP(F241,Analysis!$F$1:$G$5,2,FALSE)</f>
        <v>2496.7676064256989</v>
      </c>
      <c r="K241">
        <f t="shared" si="12"/>
        <v>5195.6400000000003</v>
      </c>
      <c r="L241">
        <f t="shared" si="13"/>
        <v>5195.6500000000005</v>
      </c>
      <c r="M241">
        <f t="shared" si="14"/>
        <v>5195.6400000000003</v>
      </c>
      <c r="N241" s="5" t="str">
        <f t="shared" si="15"/>
        <v>February 2022</v>
      </c>
    </row>
    <row r="242" spans="1:14" x14ac:dyDescent="0.25">
      <c r="A242" s="1">
        <v>44598</v>
      </c>
      <c r="B242" t="s">
        <v>3695</v>
      </c>
      <c r="C242">
        <v>46</v>
      </c>
      <c r="D242" t="s">
        <v>14</v>
      </c>
      <c r="E242" t="s">
        <v>25</v>
      </c>
      <c r="F242" t="s">
        <v>29</v>
      </c>
      <c r="G242" t="s">
        <v>39</v>
      </c>
      <c r="H242">
        <v>1343.35</v>
      </c>
      <c r="I242" s="8" t="str" cm="1">
        <f t="array" ref="I242">_xlfn.IFS(C242&lt;=15,"Children and Young Adolescents", C242&gt;64, "Seniors", TRUE, "Working Age")</f>
        <v>Working Age</v>
      </c>
      <c r="J242" s="6">
        <f>VLOOKUP(F242,Analysis!$F$1:$G$5,2,FALSE)</f>
        <v>2496.7676064256989</v>
      </c>
      <c r="K242">
        <f t="shared" si="12"/>
        <v>1477.68</v>
      </c>
      <c r="L242">
        <f t="shared" si="13"/>
        <v>1477.69</v>
      </c>
      <c r="M242">
        <f t="shared" si="14"/>
        <v>1477.69</v>
      </c>
      <c r="N242" s="5" t="str">
        <f t="shared" si="15"/>
        <v>February 2022</v>
      </c>
    </row>
    <row r="243" spans="1:14" x14ac:dyDescent="0.25">
      <c r="A243" s="1">
        <v>44598</v>
      </c>
      <c r="B243" t="s">
        <v>4374</v>
      </c>
      <c r="C243">
        <v>30</v>
      </c>
      <c r="D243" t="s">
        <v>21</v>
      </c>
      <c r="E243" t="s">
        <v>22</v>
      </c>
      <c r="F243" t="s">
        <v>11</v>
      </c>
      <c r="G243" t="s">
        <v>5033</v>
      </c>
      <c r="H243">
        <v>3140.53</v>
      </c>
      <c r="I243" s="8" t="str" cm="1">
        <f t="array" ref="I243">_xlfn.IFS(C243&lt;=15,"Children and Young Adolescents", C243&gt;64, "Seniors", TRUE, "Working Age")</f>
        <v>Working Age</v>
      </c>
      <c r="J243" s="6">
        <f>VLOOKUP(F243,Analysis!$F$1:$G$5,2,FALSE)</f>
        <v>2503.6022787783854</v>
      </c>
      <c r="K243">
        <f t="shared" si="12"/>
        <v>3454.58</v>
      </c>
      <c r="L243">
        <f t="shared" si="13"/>
        <v>3454.59</v>
      </c>
      <c r="M243">
        <f t="shared" si="14"/>
        <v>3454.58</v>
      </c>
      <c r="N243" s="5" t="str">
        <f t="shared" si="15"/>
        <v>February 2022</v>
      </c>
    </row>
    <row r="244" spans="1:14" x14ac:dyDescent="0.25">
      <c r="A244" s="1">
        <v>44599</v>
      </c>
      <c r="B244" t="s">
        <v>1633</v>
      </c>
      <c r="C244">
        <v>48</v>
      </c>
      <c r="D244" t="s">
        <v>14</v>
      </c>
      <c r="E244" t="s">
        <v>22</v>
      </c>
      <c r="F244" t="s">
        <v>11</v>
      </c>
      <c r="G244" t="s">
        <v>12</v>
      </c>
      <c r="H244">
        <v>4716.3</v>
      </c>
      <c r="I244" s="8" t="str" cm="1">
        <f t="array" ref="I244">_xlfn.IFS(C244&lt;=15,"Children and Young Adolescents", C244&gt;64, "Seniors", TRUE, "Working Age")</f>
        <v>Working Age</v>
      </c>
      <c r="J244" s="6">
        <f>VLOOKUP(F244,Analysis!$F$1:$G$5,2,FALSE)</f>
        <v>2503.6022787783854</v>
      </c>
      <c r="K244">
        <f t="shared" si="12"/>
        <v>5187.93</v>
      </c>
      <c r="L244">
        <f t="shared" si="13"/>
        <v>5187.93</v>
      </c>
      <c r="M244">
        <f t="shared" si="14"/>
        <v>5187.93</v>
      </c>
      <c r="N244" s="5" t="str">
        <f t="shared" si="15"/>
        <v>February 2022</v>
      </c>
    </row>
    <row r="245" spans="1:14" x14ac:dyDescent="0.25">
      <c r="A245" s="1">
        <v>44599</v>
      </c>
      <c r="B245" t="s">
        <v>1996</v>
      </c>
      <c r="C245">
        <v>9</v>
      </c>
      <c r="D245" t="s">
        <v>14</v>
      </c>
      <c r="E245" t="s">
        <v>25</v>
      </c>
      <c r="F245" t="s">
        <v>11</v>
      </c>
      <c r="G245" t="s">
        <v>27</v>
      </c>
      <c r="H245">
        <v>860.49</v>
      </c>
      <c r="I245" s="8" t="str" cm="1">
        <f t="array" ref="I245">_xlfn.IFS(C245&lt;=15,"Children and Young Adolescents", C245&gt;64, "Seniors", TRUE, "Working Age")</f>
        <v>Children and Young Adolescents</v>
      </c>
      <c r="J245" s="6">
        <f>VLOOKUP(F245,Analysis!$F$1:$G$5,2,FALSE)</f>
        <v>2503.6022787783854</v>
      </c>
      <c r="K245">
        <f t="shared" si="12"/>
        <v>946.53</v>
      </c>
      <c r="L245">
        <f t="shared" si="13"/>
        <v>946.54</v>
      </c>
      <c r="M245">
        <f t="shared" si="14"/>
        <v>946.54</v>
      </c>
      <c r="N245" s="5" t="str">
        <f t="shared" si="15"/>
        <v>February 2022</v>
      </c>
    </row>
    <row r="246" spans="1:14" x14ac:dyDescent="0.25">
      <c r="A246" s="1">
        <v>44599</v>
      </c>
      <c r="B246" t="s">
        <v>1598</v>
      </c>
      <c r="C246">
        <v>52</v>
      </c>
      <c r="D246" t="s">
        <v>9</v>
      </c>
      <c r="E246" t="s">
        <v>10</v>
      </c>
      <c r="F246" t="s">
        <v>29</v>
      </c>
      <c r="G246" t="s">
        <v>36</v>
      </c>
      <c r="H246">
        <v>4672.55</v>
      </c>
      <c r="I246" s="8" t="str" cm="1">
        <f t="array" ref="I246">_xlfn.IFS(C246&lt;=15,"Children and Young Adolescents", C246&gt;64, "Seniors", TRUE, "Working Age")</f>
        <v>Working Age</v>
      </c>
      <c r="J246" s="6">
        <f>VLOOKUP(F246,Analysis!$F$1:$G$5,2,FALSE)</f>
        <v>2496.7676064256989</v>
      </c>
      <c r="K246">
        <f t="shared" si="12"/>
        <v>5139.8</v>
      </c>
      <c r="L246">
        <f t="shared" si="13"/>
        <v>5139.8100000000004</v>
      </c>
      <c r="M246">
        <f t="shared" si="14"/>
        <v>5139.8100000000004</v>
      </c>
      <c r="N246" s="5" t="str">
        <f t="shared" si="15"/>
        <v>February 2022</v>
      </c>
    </row>
    <row r="247" spans="1:14" x14ac:dyDescent="0.25">
      <c r="A247" s="1">
        <v>44599</v>
      </c>
      <c r="B247" t="s">
        <v>895</v>
      </c>
      <c r="C247">
        <v>29</v>
      </c>
      <c r="D247" t="s">
        <v>9</v>
      </c>
      <c r="E247" t="s">
        <v>32</v>
      </c>
      <c r="F247" t="s">
        <v>11</v>
      </c>
      <c r="G247" t="s">
        <v>17</v>
      </c>
      <c r="H247">
        <v>4413.6499999999996</v>
      </c>
      <c r="I247" s="8" t="str" cm="1">
        <f t="array" ref="I247">_xlfn.IFS(C247&lt;=15,"Children and Young Adolescents", C247&gt;64, "Seniors", TRUE, "Working Age")</f>
        <v>Working Age</v>
      </c>
      <c r="J247" s="6">
        <f>VLOOKUP(F247,Analysis!$F$1:$G$5,2,FALSE)</f>
        <v>2503.6022787783854</v>
      </c>
      <c r="K247">
        <f t="shared" si="12"/>
        <v>4855.01</v>
      </c>
      <c r="L247">
        <f t="shared" si="13"/>
        <v>4855.0200000000004</v>
      </c>
      <c r="M247">
        <f t="shared" si="14"/>
        <v>4855.0200000000004</v>
      </c>
      <c r="N247" s="5" t="str">
        <f t="shared" si="15"/>
        <v>February 2022</v>
      </c>
    </row>
    <row r="248" spans="1:14" x14ac:dyDescent="0.25">
      <c r="A248" s="1">
        <v>44600</v>
      </c>
      <c r="B248" t="s">
        <v>4811</v>
      </c>
      <c r="C248">
        <v>50</v>
      </c>
      <c r="D248" t="s">
        <v>9</v>
      </c>
      <c r="E248" t="s">
        <v>10</v>
      </c>
      <c r="F248" t="s">
        <v>29</v>
      </c>
      <c r="G248" t="s">
        <v>12</v>
      </c>
      <c r="H248">
        <v>2252.3000000000002</v>
      </c>
      <c r="I248" s="8" t="str" cm="1">
        <f t="array" ref="I248">_xlfn.IFS(C248&lt;=15,"Children and Young Adolescents", C248&gt;64, "Seniors", TRUE, "Working Age")</f>
        <v>Working Age</v>
      </c>
      <c r="J248" s="6">
        <f>VLOOKUP(F248,Analysis!$F$1:$G$5,2,FALSE)</f>
        <v>2496.7676064256989</v>
      </c>
      <c r="K248">
        <f t="shared" si="12"/>
        <v>2477.5300000000002</v>
      </c>
      <c r="L248">
        <f t="shared" si="13"/>
        <v>2477.5300000000002</v>
      </c>
      <c r="M248">
        <f t="shared" si="14"/>
        <v>2477.5300000000002</v>
      </c>
      <c r="N248" s="5" t="str">
        <f t="shared" si="15"/>
        <v>February 2022</v>
      </c>
    </row>
    <row r="249" spans="1:14" x14ac:dyDescent="0.25">
      <c r="A249" s="1">
        <v>44600</v>
      </c>
      <c r="B249" t="s">
        <v>2007</v>
      </c>
      <c r="C249">
        <v>90</v>
      </c>
      <c r="D249" t="s">
        <v>14</v>
      </c>
      <c r="E249" t="s">
        <v>32</v>
      </c>
      <c r="F249" t="s">
        <v>29</v>
      </c>
      <c r="G249" t="s">
        <v>12</v>
      </c>
      <c r="H249">
        <v>812.56</v>
      </c>
      <c r="I249" s="8" t="str" cm="1">
        <f t="array" ref="I249">_xlfn.IFS(C249&lt;=15,"Children and Young Adolescents", C249&gt;64, "Seniors", TRUE, "Working Age")</f>
        <v>Seniors</v>
      </c>
      <c r="J249" s="6">
        <f>VLOOKUP(F249,Analysis!$F$1:$G$5,2,FALSE)</f>
        <v>2496.7676064256989</v>
      </c>
      <c r="K249">
        <f t="shared" si="12"/>
        <v>893.81</v>
      </c>
      <c r="L249">
        <f t="shared" si="13"/>
        <v>893.81999999999994</v>
      </c>
      <c r="M249">
        <f t="shared" si="14"/>
        <v>893.82</v>
      </c>
      <c r="N249" s="5" t="str">
        <f t="shared" si="15"/>
        <v>February 2022</v>
      </c>
    </row>
    <row r="250" spans="1:14" x14ac:dyDescent="0.25">
      <c r="A250" s="1">
        <v>44601</v>
      </c>
      <c r="B250" t="s">
        <v>331</v>
      </c>
      <c r="C250">
        <v>5</v>
      </c>
      <c r="D250" t="s">
        <v>21</v>
      </c>
      <c r="E250" t="s">
        <v>10</v>
      </c>
      <c r="F250" t="s">
        <v>23</v>
      </c>
      <c r="G250" t="s">
        <v>12</v>
      </c>
      <c r="H250">
        <v>3538.08</v>
      </c>
      <c r="I250" s="8" t="str" cm="1">
        <f t="array" ref="I250">_xlfn.IFS(C250&lt;=15,"Children and Young Adolescents", C250&gt;64, "Seniors", TRUE, "Working Age")</f>
        <v>Children and Young Adolescents</v>
      </c>
      <c r="J250" s="6">
        <f>VLOOKUP(F250,Analysis!$F$1:$G$5,2,FALSE)</f>
        <v>2440.2966694490838</v>
      </c>
      <c r="K250">
        <f t="shared" si="12"/>
        <v>3891.88</v>
      </c>
      <c r="L250">
        <f t="shared" si="13"/>
        <v>3891.8900000000003</v>
      </c>
      <c r="M250">
        <f t="shared" si="14"/>
        <v>3891.89</v>
      </c>
      <c r="N250" s="5" t="str">
        <f t="shared" si="15"/>
        <v>February 2022</v>
      </c>
    </row>
    <row r="251" spans="1:14" x14ac:dyDescent="0.25">
      <c r="A251" s="1">
        <v>44601</v>
      </c>
      <c r="B251" t="s">
        <v>1353</v>
      </c>
      <c r="C251">
        <v>96</v>
      </c>
      <c r="D251" t="s">
        <v>14</v>
      </c>
      <c r="E251" t="s">
        <v>22</v>
      </c>
      <c r="F251" t="s">
        <v>29</v>
      </c>
      <c r="G251" t="s">
        <v>27</v>
      </c>
      <c r="H251">
        <v>3051.04</v>
      </c>
      <c r="I251" s="8" t="str" cm="1">
        <f t="array" ref="I251">_xlfn.IFS(C251&lt;=15,"Children and Young Adolescents", C251&gt;64, "Seniors", TRUE, "Working Age")</f>
        <v>Seniors</v>
      </c>
      <c r="J251" s="6">
        <f>VLOOKUP(F251,Analysis!$F$1:$G$5,2,FALSE)</f>
        <v>2496.7676064256989</v>
      </c>
      <c r="K251">
        <f t="shared" si="12"/>
        <v>3356.14</v>
      </c>
      <c r="L251">
        <f t="shared" si="13"/>
        <v>3356.15</v>
      </c>
      <c r="M251">
        <f t="shared" si="14"/>
        <v>3356.14</v>
      </c>
      <c r="N251" s="5" t="str">
        <f t="shared" si="15"/>
        <v>February 2022</v>
      </c>
    </row>
    <row r="252" spans="1:14" x14ac:dyDescent="0.25">
      <c r="A252" s="1">
        <v>44601</v>
      </c>
      <c r="B252" t="s">
        <v>1563</v>
      </c>
      <c r="C252">
        <v>72</v>
      </c>
      <c r="D252" t="s">
        <v>14</v>
      </c>
      <c r="E252" t="s">
        <v>25</v>
      </c>
      <c r="F252" t="s">
        <v>11</v>
      </c>
      <c r="G252" t="s">
        <v>36</v>
      </c>
      <c r="H252">
        <v>283.08999999999997</v>
      </c>
      <c r="I252" s="8" t="str" cm="1">
        <f t="array" ref="I252">_xlfn.IFS(C252&lt;=15,"Children and Young Adolescents", C252&gt;64, "Seniors", TRUE, "Working Age")</f>
        <v>Seniors</v>
      </c>
      <c r="J252" s="6">
        <f>VLOOKUP(F252,Analysis!$F$1:$G$5,2,FALSE)</f>
        <v>2503.6022787783854</v>
      </c>
      <c r="K252">
        <f t="shared" si="12"/>
        <v>311.39</v>
      </c>
      <c r="L252">
        <f t="shared" si="13"/>
        <v>311.39999999999998</v>
      </c>
      <c r="M252">
        <f t="shared" si="14"/>
        <v>311.39999999999998</v>
      </c>
      <c r="N252" s="5" t="str">
        <f t="shared" si="15"/>
        <v>February 2022</v>
      </c>
    </row>
    <row r="253" spans="1:14" x14ac:dyDescent="0.25">
      <c r="A253" s="1">
        <v>44601</v>
      </c>
      <c r="B253" t="s">
        <v>3412</v>
      </c>
      <c r="C253">
        <v>12</v>
      </c>
      <c r="D253" t="s">
        <v>9</v>
      </c>
      <c r="E253" t="s">
        <v>34</v>
      </c>
      <c r="F253" t="s">
        <v>29</v>
      </c>
      <c r="G253" t="s">
        <v>17</v>
      </c>
      <c r="H253">
        <v>2337.75</v>
      </c>
      <c r="I253" s="8" t="str" cm="1">
        <f t="array" ref="I253">_xlfn.IFS(C253&lt;=15,"Children and Young Adolescents", C253&gt;64, "Seniors", TRUE, "Working Age")</f>
        <v>Children and Young Adolescents</v>
      </c>
      <c r="J253" s="6">
        <f>VLOOKUP(F253,Analysis!$F$1:$G$5,2,FALSE)</f>
        <v>2496.7676064256989</v>
      </c>
      <c r="K253">
        <f t="shared" si="12"/>
        <v>2571.52</v>
      </c>
      <c r="L253">
        <f t="shared" si="13"/>
        <v>2571.5300000000002</v>
      </c>
      <c r="M253">
        <f t="shared" si="14"/>
        <v>2571.5300000000002</v>
      </c>
      <c r="N253" s="5" t="str">
        <f t="shared" si="15"/>
        <v>February 2022</v>
      </c>
    </row>
    <row r="254" spans="1:14" x14ac:dyDescent="0.25">
      <c r="A254" s="1">
        <v>44601</v>
      </c>
      <c r="B254" t="s">
        <v>4139</v>
      </c>
      <c r="C254">
        <v>80</v>
      </c>
      <c r="D254" t="s">
        <v>21</v>
      </c>
      <c r="E254" t="s">
        <v>19</v>
      </c>
      <c r="F254" t="s">
        <v>23</v>
      </c>
      <c r="G254" t="s">
        <v>17</v>
      </c>
      <c r="H254">
        <v>1105.93</v>
      </c>
      <c r="I254" s="8" t="str" cm="1">
        <f t="array" ref="I254">_xlfn.IFS(C254&lt;=15,"Children and Young Adolescents", C254&gt;64, "Seniors", TRUE, "Working Age")</f>
        <v>Seniors</v>
      </c>
      <c r="J254" s="6">
        <f>VLOOKUP(F254,Analysis!$F$1:$G$5,2,FALSE)</f>
        <v>2440.2966694490838</v>
      </c>
      <c r="K254">
        <f t="shared" si="12"/>
        <v>1216.52</v>
      </c>
      <c r="L254">
        <f t="shared" si="13"/>
        <v>1216.53</v>
      </c>
      <c r="M254">
        <f t="shared" si="14"/>
        <v>1216.52</v>
      </c>
      <c r="N254" s="5" t="str">
        <f t="shared" si="15"/>
        <v>February 2022</v>
      </c>
    </row>
    <row r="255" spans="1:14" x14ac:dyDescent="0.25">
      <c r="A255" s="1">
        <v>44601</v>
      </c>
      <c r="B255" t="s">
        <v>4442</v>
      </c>
      <c r="C255">
        <v>72</v>
      </c>
      <c r="D255" t="s">
        <v>9</v>
      </c>
      <c r="E255" t="s">
        <v>5032</v>
      </c>
      <c r="F255" t="s">
        <v>11</v>
      </c>
      <c r="G255" t="s">
        <v>39</v>
      </c>
      <c r="H255">
        <v>3636.19</v>
      </c>
      <c r="I255" s="8" t="str" cm="1">
        <f t="array" ref="I255">_xlfn.IFS(C255&lt;=15,"Children and Young Adolescents", C255&gt;64, "Seniors", TRUE, "Working Age")</f>
        <v>Seniors</v>
      </c>
      <c r="J255" s="6">
        <f>VLOOKUP(F255,Analysis!$F$1:$G$5,2,FALSE)</f>
        <v>2503.6022787783854</v>
      </c>
      <c r="K255">
        <f t="shared" si="12"/>
        <v>3999.8</v>
      </c>
      <c r="L255">
        <f t="shared" si="13"/>
        <v>3999.8100000000004</v>
      </c>
      <c r="M255">
        <f t="shared" si="14"/>
        <v>3999.81</v>
      </c>
      <c r="N255" s="5" t="str">
        <f t="shared" si="15"/>
        <v>February 2022</v>
      </c>
    </row>
    <row r="256" spans="1:14" x14ac:dyDescent="0.25">
      <c r="A256" s="1">
        <v>44601</v>
      </c>
      <c r="B256" t="s">
        <v>1551</v>
      </c>
      <c r="C256">
        <v>90</v>
      </c>
      <c r="D256" t="s">
        <v>9</v>
      </c>
      <c r="E256" t="s">
        <v>5032</v>
      </c>
      <c r="F256" t="s">
        <v>16</v>
      </c>
      <c r="G256" t="s">
        <v>17</v>
      </c>
      <c r="H256">
        <v>3830.13</v>
      </c>
      <c r="I256" s="8" t="str" cm="1">
        <f t="array" ref="I256">_xlfn.IFS(C256&lt;=15,"Children and Young Adolescents", C256&gt;64, "Seniors", TRUE, "Working Age")</f>
        <v>Seniors</v>
      </c>
      <c r="J256" s="6">
        <f>VLOOKUP(F256,Analysis!$F$1:$G$5,2,FALSE)</f>
        <v>2509.1716796874912</v>
      </c>
      <c r="K256">
        <f t="shared" si="12"/>
        <v>4213.1400000000003</v>
      </c>
      <c r="L256">
        <f t="shared" si="13"/>
        <v>4213.1500000000005</v>
      </c>
      <c r="M256">
        <f t="shared" si="14"/>
        <v>4213.1400000000003</v>
      </c>
      <c r="N256" s="5" t="str">
        <f t="shared" si="15"/>
        <v>February 2022</v>
      </c>
    </row>
    <row r="257" spans="1:14" x14ac:dyDescent="0.25">
      <c r="A257" s="1">
        <v>44601</v>
      </c>
      <c r="B257" t="s">
        <v>1882</v>
      </c>
      <c r="C257">
        <v>36</v>
      </c>
      <c r="D257" t="s">
        <v>9</v>
      </c>
      <c r="E257" t="s">
        <v>19</v>
      </c>
      <c r="F257" t="s">
        <v>11</v>
      </c>
      <c r="G257" t="s">
        <v>27</v>
      </c>
      <c r="H257">
        <v>3299.44</v>
      </c>
      <c r="I257" s="8" t="str" cm="1">
        <f t="array" ref="I257">_xlfn.IFS(C257&lt;=15,"Children and Young Adolescents", C257&gt;64, "Seniors", TRUE, "Working Age")</f>
        <v>Working Age</v>
      </c>
      <c r="J257" s="6">
        <f>VLOOKUP(F257,Analysis!$F$1:$G$5,2,FALSE)</f>
        <v>2503.6022787783854</v>
      </c>
      <c r="K257">
        <f t="shared" si="12"/>
        <v>3629.38</v>
      </c>
      <c r="L257">
        <f t="shared" si="13"/>
        <v>3629.3900000000003</v>
      </c>
      <c r="M257">
        <f t="shared" si="14"/>
        <v>3629.38</v>
      </c>
      <c r="N257" s="5" t="str">
        <f t="shared" si="15"/>
        <v>February 2022</v>
      </c>
    </row>
    <row r="258" spans="1:14" x14ac:dyDescent="0.25">
      <c r="A258" s="1">
        <v>44602</v>
      </c>
      <c r="B258" t="s">
        <v>62</v>
      </c>
      <c r="C258">
        <v>50</v>
      </c>
      <c r="D258" t="s">
        <v>21</v>
      </c>
      <c r="E258" t="s">
        <v>19</v>
      </c>
      <c r="F258" t="s">
        <v>11</v>
      </c>
      <c r="G258" t="s">
        <v>17</v>
      </c>
      <c r="H258">
        <v>2400.5700000000002</v>
      </c>
      <c r="I258" s="8" t="str" cm="1">
        <f t="array" ref="I258">_xlfn.IFS(C258&lt;=15,"Children and Young Adolescents", C258&gt;64, "Seniors", TRUE, "Working Age")</f>
        <v>Working Age</v>
      </c>
      <c r="J258" s="6">
        <f>VLOOKUP(F258,Analysis!$F$1:$G$5,2,FALSE)</f>
        <v>2503.6022787783854</v>
      </c>
      <c r="K258">
        <f t="shared" si="12"/>
        <v>2640.62</v>
      </c>
      <c r="L258">
        <f t="shared" si="13"/>
        <v>2640.63</v>
      </c>
      <c r="M258">
        <f t="shared" si="14"/>
        <v>2640.63</v>
      </c>
      <c r="N258" s="5" t="str">
        <f t="shared" si="15"/>
        <v>February 2022</v>
      </c>
    </row>
    <row r="259" spans="1:14" x14ac:dyDescent="0.25">
      <c r="A259" s="1">
        <v>44602</v>
      </c>
      <c r="B259" t="s">
        <v>1601</v>
      </c>
      <c r="C259">
        <v>28</v>
      </c>
      <c r="D259" t="s">
        <v>9</v>
      </c>
      <c r="E259" t="s">
        <v>22</v>
      </c>
      <c r="F259" t="s">
        <v>16</v>
      </c>
      <c r="G259" t="s">
        <v>36</v>
      </c>
      <c r="H259">
        <v>1775.76</v>
      </c>
      <c r="I259" s="8" t="str" cm="1">
        <f t="array" ref="I259">_xlfn.IFS(C259&lt;=15,"Children and Young Adolescents", C259&gt;64, "Seniors", TRUE, "Working Age")</f>
        <v>Working Age</v>
      </c>
      <c r="J259" s="6">
        <f>VLOOKUP(F259,Analysis!$F$1:$G$5,2,FALSE)</f>
        <v>2509.1716796874912</v>
      </c>
      <c r="K259">
        <f t="shared" ref="K259:K322" si="16">ROUNDDOWN(H259*1.1,2)</f>
        <v>1953.33</v>
      </c>
      <c r="L259">
        <f t="shared" ref="L259:L322" si="17">ROUNDUP(H259*1.1,2)</f>
        <v>1953.34</v>
      </c>
      <c r="M259">
        <f t="shared" ref="M259:M322" si="18">ROUND(H259*1.1,2)</f>
        <v>1953.34</v>
      </c>
      <c r="N259" s="5" t="str">
        <f t="shared" ref="N259:N322" si="19">TEXT(A259,"mmmm yyyy")</f>
        <v>February 2022</v>
      </c>
    </row>
    <row r="260" spans="1:14" x14ac:dyDescent="0.25">
      <c r="A260" s="1">
        <v>44602</v>
      </c>
      <c r="B260" t="s">
        <v>2415</v>
      </c>
      <c r="C260">
        <v>34</v>
      </c>
      <c r="D260" t="s">
        <v>21</v>
      </c>
      <c r="E260" t="s">
        <v>22</v>
      </c>
      <c r="F260" t="s">
        <v>16</v>
      </c>
      <c r="G260" t="s">
        <v>36</v>
      </c>
      <c r="H260">
        <v>4012.41</v>
      </c>
      <c r="I260" s="8" t="str" cm="1">
        <f t="array" ref="I260">_xlfn.IFS(C260&lt;=15,"Children and Young Adolescents", C260&gt;64, "Seniors", TRUE, "Working Age")</f>
        <v>Working Age</v>
      </c>
      <c r="J260" s="6">
        <f>VLOOKUP(F260,Analysis!$F$1:$G$5,2,FALSE)</f>
        <v>2509.1716796874912</v>
      </c>
      <c r="K260">
        <f t="shared" si="16"/>
        <v>4413.6499999999996</v>
      </c>
      <c r="L260">
        <f t="shared" si="17"/>
        <v>4413.66</v>
      </c>
      <c r="M260">
        <f t="shared" si="18"/>
        <v>4413.6499999999996</v>
      </c>
      <c r="N260" s="5" t="str">
        <f t="shared" si="19"/>
        <v>February 2022</v>
      </c>
    </row>
    <row r="261" spans="1:14" x14ac:dyDescent="0.25">
      <c r="A261" s="1">
        <v>44602</v>
      </c>
      <c r="B261" t="s">
        <v>3615</v>
      </c>
      <c r="C261">
        <v>3</v>
      </c>
      <c r="D261" t="s">
        <v>9</v>
      </c>
      <c r="E261" t="s">
        <v>5032</v>
      </c>
      <c r="F261" t="s">
        <v>11</v>
      </c>
      <c r="G261" t="s">
        <v>39</v>
      </c>
      <c r="H261">
        <v>4941.6400000000003</v>
      </c>
      <c r="I261" s="8" t="str" cm="1">
        <f t="array" ref="I261">_xlfn.IFS(C261&lt;=15,"Children and Young Adolescents", C261&gt;64, "Seniors", TRUE, "Working Age")</f>
        <v>Children and Young Adolescents</v>
      </c>
      <c r="J261" s="6">
        <f>VLOOKUP(F261,Analysis!$F$1:$G$5,2,FALSE)</f>
        <v>2503.6022787783854</v>
      </c>
      <c r="K261">
        <f t="shared" si="16"/>
        <v>5435.8</v>
      </c>
      <c r="L261">
        <f t="shared" si="17"/>
        <v>5435.81</v>
      </c>
      <c r="M261">
        <f t="shared" si="18"/>
        <v>5435.8</v>
      </c>
      <c r="N261" s="5" t="str">
        <f t="shared" si="19"/>
        <v>February 2022</v>
      </c>
    </row>
    <row r="262" spans="1:14" x14ac:dyDescent="0.25">
      <c r="A262" s="1">
        <v>44602</v>
      </c>
      <c r="B262" t="s">
        <v>2576</v>
      </c>
      <c r="C262">
        <v>1</v>
      </c>
      <c r="D262" t="s">
        <v>21</v>
      </c>
      <c r="E262" t="s">
        <v>22</v>
      </c>
      <c r="F262" t="s">
        <v>23</v>
      </c>
      <c r="G262" t="s">
        <v>17</v>
      </c>
      <c r="H262">
        <v>1175.25</v>
      </c>
      <c r="I262" s="8" t="str" cm="1">
        <f t="array" ref="I262">_xlfn.IFS(C262&lt;=15,"Children and Young Adolescents", C262&gt;64, "Seniors", TRUE, "Working Age")</f>
        <v>Children and Young Adolescents</v>
      </c>
      <c r="J262" s="6">
        <f>VLOOKUP(F262,Analysis!$F$1:$G$5,2,FALSE)</f>
        <v>2440.2966694490838</v>
      </c>
      <c r="K262">
        <f t="shared" si="16"/>
        <v>1292.77</v>
      </c>
      <c r="L262">
        <f t="shared" si="17"/>
        <v>1292.78</v>
      </c>
      <c r="M262">
        <f t="shared" si="18"/>
        <v>1292.78</v>
      </c>
      <c r="N262" s="5" t="str">
        <f t="shared" si="19"/>
        <v>February 2022</v>
      </c>
    </row>
    <row r="263" spans="1:14" x14ac:dyDescent="0.25">
      <c r="A263" s="1">
        <v>44602</v>
      </c>
      <c r="B263" t="s">
        <v>3153</v>
      </c>
      <c r="C263">
        <v>70</v>
      </c>
      <c r="D263" t="s">
        <v>21</v>
      </c>
      <c r="E263" t="s">
        <v>15</v>
      </c>
      <c r="F263" t="s">
        <v>29</v>
      </c>
      <c r="G263" t="s">
        <v>39</v>
      </c>
      <c r="H263">
        <v>3989.47</v>
      </c>
      <c r="I263" s="8" t="str" cm="1">
        <f t="array" ref="I263">_xlfn.IFS(C263&lt;=15,"Children and Young Adolescents", C263&gt;64, "Seniors", TRUE, "Working Age")</f>
        <v>Seniors</v>
      </c>
      <c r="J263" s="6">
        <f>VLOOKUP(F263,Analysis!$F$1:$G$5,2,FALSE)</f>
        <v>2496.7676064256989</v>
      </c>
      <c r="K263">
        <f t="shared" si="16"/>
        <v>4388.41</v>
      </c>
      <c r="L263">
        <f t="shared" si="17"/>
        <v>4388.42</v>
      </c>
      <c r="M263">
        <f t="shared" si="18"/>
        <v>4388.42</v>
      </c>
      <c r="N263" s="5" t="str">
        <f t="shared" si="19"/>
        <v>February 2022</v>
      </c>
    </row>
    <row r="264" spans="1:14" x14ac:dyDescent="0.25">
      <c r="A264" s="1">
        <v>44602</v>
      </c>
      <c r="B264" t="s">
        <v>321</v>
      </c>
      <c r="C264">
        <v>77</v>
      </c>
      <c r="D264" t="s">
        <v>9</v>
      </c>
      <c r="E264" t="s">
        <v>19</v>
      </c>
      <c r="F264" t="s">
        <v>29</v>
      </c>
      <c r="G264" t="s">
        <v>36</v>
      </c>
      <c r="H264">
        <v>3467.68</v>
      </c>
      <c r="I264" s="8" t="str" cm="1">
        <f t="array" ref="I264">_xlfn.IFS(C264&lt;=15,"Children and Young Adolescents", C264&gt;64, "Seniors", TRUE, "Working Age")</f>
        <v>Seniors</v>
      </c>
      <c r="J264" s="6">
        <f>VLOOKUP(F264,Analysis!$F$1:$G$5,2,FALSE)</f>
        <v>2496.7676064256989</v>
      </c>
      <c r="K264">
        <f t="shared" si="16"/>
        <v>3814.44</v>
      </c>
      <c r="L264">
        <f t="shared" si="17"/>
        <v>3814.4500000000003</v>
      </c>
      <c r="M264">
        <f t="shared" si="18"/>
        <v>3814.45</v>
      </c>
      <c r="N264" s="5" t="str">
        <f t="shared" si="19"/>
        <v>February 2022</v>
      </c>
    </row>
    <row r="265" spans="1:14" x14ac:dyDescent="0.25">
      <c r="A265" s="1">
        <v>44603</v>
      </c>
      <c r="B265" t="s">
        <v>3306</v>
      </c>
      <c r="C265">
        <v>92</v>
      </c>
      <c r="D265" t="s">
        <v>14</v>
      </c>
      <c r="E265" t="s">
        <v>22</v>
      </c>
      <c r="F265" t="s">
        <v>23</v>
      </c>
      <c r="G265" t="s">
        <v>12</v>
      </c>
      <c r="H265">
        <v>3341.61</v>
      </c>
      <c r="I265" s="8" t="str" cm="1">
        <f t="array" ref="I265">_xlfn.IFS(C265&lt;=15,"Children and Young Adolescents", C265&gt;64, "Seniors", TRUE, "Working Age")</f>
        <v>Seniors</v>
      </c>
      <c r="J265" s="6">
        <f>VLOOKUP(F265,Analysis!$F$1:$G$5,2,FALSE)</f>
        <v>2440.2966694490838</v>
      </c>
      <c r="K265">
        <f t="shared" si="16"/>
        <v>3675.77</v>
      </c>
      <c r="L265">
        <f t="shared" si="17"/>
        <v>3675.78</v>
      </c>
      <c r="M265">
        <f t="shared" si="18"/>
        <v>3675.77</v>
      </c>
      <c r="N265" s="5" t="str">
        <f t="shared" si="19"/>
        <v>February 2022</v>
      </c>
    </row>
    <row r="266" spans="1:14" x14ac:dyDescent="0.25">
      <c r="A266" s="1">
        <v>44603</v>
      </c>
      <c r="B266" t="s">
        <v>1142</v>
      </c>
      <c r="C266">
        <v>1</v>
      </c>
      <c r="D266" t="s">
        <v>9</v>
      </c>
      <c r="E266" t="s">
        <v>34</v>
      </c>
      <c r="F266" t="s">
        <v>11</v>
      </c>
      <c r="G266" t="s">
        <v>17</v>
      </c>
      <c r="H266">
        <v>4874.1099999999997</v>
      </c>
      <c r="I266" s="8" t="str" cm="1">
        <f t="array" ref="I266">_xlfn.IFS(C266&lt;=15,"Children and Young Adolescents", C266&gt;64, "Seniors", TRUE, "Working Age")</f>
        <v>Children and Young Adolescents</v>
      </c>
      <c r="J266" s="6">
        <f>VLOOKUP(F266,Analysis!$F$1:$G$5,2,FALSE)</f>
        <v>2503.6022787783854</v>
      </c>
      <c r="K266">
        <f t="shared" si="16"/>
        <v>5361.52</v>
      </c>
      <c r="L266">
        <f t="shared" si="17"/>
        <v>5361.5300000000007</v>
      </c>
      <c r="M266">
        <f t="shared" si="18"/>
        <v>5361.52</v>
      </c>
      <c r="N266" s="5" t="str">
        <f t="shared" si="19"/>
        <v>February 2022</v>
      </c>
    </row>
    <row r="267" spans="1:14" x14ac:dyDescent="0.25">
      <c r="A267" s="1">
        <v>44603</v>
      </c>
      <c r="B267" t="s">
        <v>2214</v>
      </c>
      <c r="C267">
        <v>53</v>
      </c>
      <c r="D267" t="s">
        <v>14</v>
      </c>
      <c r="E267" t="s">
        <v>32</v>
      </c>
      <c r="F267" t="s">
        <v>23</v>
      </c>
      <c r="G267" t="s">
        <v>17</v>
      </c>
      <c r="H267">
        <v>1247.1600000000001</v>
      </c>
      <c r="I267" s="8" t="str" cm="1">
        <f t="array" ref="I267">_xlfn.IFS(C267&lt;=15,"Children and Young Adolescents", C267&gt;64, "Seniors", TRUE, "Working Age")</f>
        <v>Working Age</v>
      </c>
      <c r="J267" s="6">
        <f>VLOOKUP(F267,Analysis!$F$1:$G$5,2,FALSE)</f>
        <v>2440.2966694490838</v>
      </c>
      <c r="K267">
        <f t="shared" si="16"/>
        <v>1371.87</v>
      </c>
      <c r="L267">
        <f t="shared" si="17"/>
        <v>1371.8799999999999</v>
      </c>
      <c r="M267">
        <f t="shared" si="18"/>
        <v>1371.88</v>
      </c>
      <c r="N267" s="5" t="str">
        <f t="shared" si="19"/>
        <v>February 2022</v>
      </c>
    </row>
    <row r="268" spans="1:14" x14ac:dyDescent="0.25">
      <c r="A268" s="1">
        <v>44603</v>
      </c>
      <c r="B268" t="s">
        <v>1879</v>
      </c>
      <c r="C268">
        <v>73</v>
      </c>
      <c r="D268" t="s">
        <v>14</v>
      </c>
      <c r="E268" t="s">
        <v>5032</v>
      </c>
      <c r="F268" t="s">
        <v>29</v>
      </c>
      <c r="G268" t="s">
        <v>17</v>
      </c>
      <c r="H268">
        <v>668.52</v>
      </c>
      <c r="I268" s="8" t="str" cm="1">
        <f t="array" ref="I268">_xlfn.IFS(C268&lt;=15,"Children and Young Adolescents", C268&gt;64, "Seniors", TRUE, "Working Age")</f>
        <v>Seniors</v>
      </c>
      <c r="J268" s="6">
        <f>VLOOKUP(F268,Analysis!$F$1:$G$5,2,FALSE)</f>
        <v>2496.7676064256989</v>
      </c>
      <c r="K268">
        <f t="shared" si="16"/>
        <v>735.37</v>
      </c>
      <c r="L268">
        <f t="shared" si="17"/>
        <v>735.38</v>
      </c>
      <c r="M268">
        <f t="shared" si="18"/>
        <v>735.37</v>
      </c>
      <c r="N268" s="5" t="str">
        <f t="shared" si="19"/>
        <v>February 2022</v>
      </c>
    </row>
    <row r="269" spans="1:14" x14ac:dyDescent="0.25">
      <c r="A269" s="1">
        <v>44604</v>
      </c>
      <c r="B269" t="s">
        <v>557</v>
      </c>
      <c r="C269">
        <v>49</v>
      </c>
      <c r="D269" t="s">
        <v>21</v>
      </c>
      <c r="E269" t="s">
        <v>5032</v>
      </c>
      <c r="F269" t="s">
        <v>11</v>
      </c>
      <c r="G269" t="s">
        <v>36</v>
      </c>
      <c r="H269">
        <v>1075.03</v>
      </c>
      <c r="I269" s="8" t="str" cm="1">
        <f t="array" ref="I269">_xlfn.IFS(C269&lt;=15,"Children and Young Adolescents", C269&gt;64, "Seniors", TRUE, "Working Age")</f>
        <v>Working Age</v>
      </c>
      <c r="J269" s="6">
        <f>VLOOKUP(F269,Analysis!$F$1:$G$5,2,FALSE)</f>
        <v>2503.6022787783854</v>
      </c>
      <c r="K269">
        <f t="shared" si="16"/>
        <v>1182.53</v>
      </c>
      <c r="L269">
        <f t="shared" si="17"/>
        <v>1182.54</v>
      </c>
      <c r="M269">
        <f t="shared" si="18"/>
        <v>1182.53</v>
      </c>
      <c r="N269" s="5" t="str">
        <f t="shared" si="19"/>
        <v>February 2022</v>
      </c>
    </row>
    <row r="270" spans="1:14" x14ac:dyDescent="0.25">
      <c r="A270" s="1">
        <v>44604</v>
      </c>
      <c r="B270" t="s">
        <v>2423</v>
      </c>
      <c r="C270">
        <v>84</v>
      </c>
      <c r="D270" t="s">
        <v>21</v>
      </c>
      <c r="E270" t="s">
        <v>10</v>
      </c>
      <c r="F270" t="s">
        <v>11</v>
      </c>
      <c r="G270" t="s">
        <v>39</v>
      </c>
      <c r="H270">
        <v>346.43</v>
      </c>
      <c r="I270" s="8" t="str" cm="1">
        <f t="array" ref="I270">_xlfn.IFS(C270&lt;=15,"Children and Young Adolescents", C270&gt;64, "Seniors", TRUE, "Working Age")</f>
        <v>Seniors</v>
      </c>
      <c r="J270" s="6">
        <f>VLOOKUP(F270,Analysis!$F$1:$G$5,2,FALSE)</f>
        <v>2503.6022787783854</v>
      </c>
      <c r="K270">
        <f t="shared" si="16"/>
        <v>381.07</v>
      </c>
      <c r="L270">
        <f t="shared" si="17"/>
        <v>381.08</v>
      </c>
      <c r="M270">
        <f t="shared" si="18"/>
        <v>381.07</v>
      </c>
      <c r="N270" s="5" t="str">
        <f t="shared" si="19"/>
        <v>February 2022</v>
      </c>
    </row>
    <row r="271" spans="1:14" x14ac:dyDescent="0.25">
      <c r="A271" s="1">
        <v>44604</v>
      </c>
      <c r="B271" t="s">
        <v>2566</v>
      </c>
      <c r="C271">
        <v>72</v>
      </c>
      <c r="D271" t="s">
        <v>21</v>
      </c>
      <c r="E271" t="s">
        <v>32</v>
      </c>
      <c r="F271" t="s">
        <v>29</v>
      </c>
      <c r="G271" t="s">
        <v>27</v>
      </c>
      <c r="H271">
        <v>4503.87</v>
      </c>
      <c r="I271" s="8" t="str" cm="1">
        <f t="array" ref="I271">_xlfn.IFS(C271&lt;=15,"Children and Young Adolescents", C271&gt;64, "Seniors", TRUE, "Working Age")</f>
        <v>Seniors</v>
      </c>
      <c r="J271" s="6">
        <f>VLOOKUP(F271,Analysis!$F$1:$G$5,2,FALSE)</f>
        <v>2496.7676064256989</v>
      </c>
      <c r="K271">
        <f t="shared" si="16"/>
        <v>4954.25</v>
      </c>
      <c r="L271">
        <f t="shared" si="17"/>
        <v>4954.26</v>
      </c>
      <c r="M271">
        <f t="shared" si="18"/>
        <v>4954.26</v>
      </c>
      <c r="N271" s="5" t="str">
        <f t="shared" si="19"/>
        <v>February 2022</v>
      </c>
    </row>
    <row r="272" spans="1:14" x14ac:dyDescent="0.25">
      <c r="A272" s="1">
        <v>44604</v>
      </c>
      <c r="B272" t="s">
        <v>1502</v>
      </c>
      <c r="C272">
        <v>1</v>
      </c>
      <c r="D272" t="s">
        <v>9</v>
      </c>
      <c r="E272" t="s">
        <v>34</v>
      </c>
      <c r="F272" t="s">
        <v>16</v>
      </c>
      <c r="G272" t="s">
        <v>12</v>
      </c>
      <c r="H272">
        <v>955.32</v>
      </c>
      <c r="I272" s="8" t="str" cm="1">
        <f t="array" ref="I272">_xlfn.IFS(C272&lt;=15,"Children and Young Adolescents", C272&gt;64, "Seniors", TRUE, "Working Age")</f>
        <v>Children and Young Adolescents</v>
      </c>
      <c r="J272" s="6">
        <f>VLOOKUP(F272,Analysis!$F$1:$G$5,2,FALSE)</f>
        <v>2509.1716796874912</v>
      </c>
      <c r="K272">
        <f t="shared" si="16"/>
        <v>1050.8499999999999</v>
      </c>
      <c r="L272">
        <f t="shared" si="17"/>
        <v>1050.8599999999999</v>
      </c>
      <c r="M272">
        <f t="shared" si="18"/>
        <v>1050.8499999999999</v>
      </c>
      <c r="N272" s="5" t="str">
        <f t="shared" si="19"/>
        <v>February 2022</v>
      </c>
    </row>
    <row r="273" spans="1:14" x14ac:dyDescent="0.25">
      <c r="A273" s="1">
        <v>44604</v>
      </c>
      <c r="B273" t="s">
        <v>1316</v>
      </c>
      <c r="C273">
        <v>86</v>
      </c>
      <c r="D273" t="s">
        <v>9</v>
      </c>
      <c r="E273" t="s">
        <v>19</v>
      </c>
      <c r="F273" t="s">
        <v>29</v>
      </c>
      <c r="G273" t="s">
        <v>12</v>
      </c>
      <c r="H273">
        <v>3289.53</v>
      </c>
      <c r="I273" s="8" t="str" cm="1">
        <f t="array" ref="I273">_xlfn.IFS(C273&lt;=15,"Children and Young Adolescents", C273&gt;64, "Seniors", TRUE, "Working Age")</f>
        <v>Seniors</v>
      </c>
      <c r="J273" s="6">
        <f>VLOOKUP(F273,Analysis!$F$1:$G$5,2,FALSE)</f>
        <v>2496.7676064256989</v>
      </c>
      <c r="K273">
        <f t="shared" si="16"/>
        <v>3618.48</v>
      </c>
      <c r="L273">
        <f t="shared" si="17"/>
        <v>3618.4900000000002</v>
      </c>
      <c r="M273">
        <f t="shared" si="18"/>
        <v>3618.48</v>
      </c>
      <c r="N273" s="5" t="str">
        <f t="shared" si="19"/>
        <v>February 2022</v>
      </c>
    </row>
    <row r="274" spans="1:14" x14ac:dyDescent="0.25">
      <c r="A274" s="1">
        <v>44604</v>
      </c>
      <c r="B274" t="s">
        <v>835</v>
      </c>
      <c r="C274">
        <v>53</v>
      </c>
      <c r="D274" t="s">
        <v>9</v>
      </c>
      <c r="E274" t="s">
        <v>32</v>
      </c>
      <c r="F274" t="s">
        <v>23</v>
      </c>
      <c r="G274" t="s">
        <v>12</v>
      </c>
      <c r="H274">
        <v>220.31</v>
      </c>
      <c r="I274" s="8" t="str" cm="1">
        <f t="array" ref="I274">_xlfn.IFS(C274&lt;=15,"Children and Young Adolescents", C274&gt;64, "Seniors", TRUE, "Working Age")</f>
        <v>Working Age</v>
      </c>
      <c r="J274" s="6">
        <f>VLOOKUP(F274,Analysis!$F$1:$G$5,2,FALSE)</f>
        <v>2440.2966694490838</v>
      </c>
      <c r="K274">
        <f t="shared" si="16"/>
        <v>242.34</v>
      </c>
      <c r="L274">
        <f t="shared" si="17"/>
        <v>242.35</v>
      </c>
      <c r="M274">
        <f t="shared" si="18"/>
        <v>242.34</v>
      </c>
      <c r="N274" s="5" t="str">
        <f t="shared" si="19"/>
        <v>February 2022</v>
      </c>
    </row>
    <row r="275" spans="1:14" x14ac:dyDescent="0.25">
      <c r="A275" s="1">
        <v>44604</v>
      </c>
      <c r="B275" t="s">
        <v>3976</v>
      </c>
      <c r="C275">
        <v>55</v>
      </c>
      <c r="D275" t="s">
        <v>9</v>
      </c>
      <c r="E275" t="s">
        <v>25</v>
      </c>
      <c r="F275" t="s">
        <v>23</v>
      </c>
      <c r="G275" t="s">
        <v>36</v>
      </c>
      <c r="H275">
        <v>2564.38</v>
      </c>
      <c r="I275" s="8" t="str" cm="1">
        <f t="array" ref="I275">_xlfn.IFS(C275&lt;=15,"Children and Young Adolescents", C275&gt;64, "Seniors", TRUE, "Working Age")</f>
        <v>Working Age</v>
      </c>
      <c r="J275" s="6">
        <f>VLOOKUP(F275,Analysis!$F$1:$G$5,2,FALSE)</f>
        <v>2440.2966694490838</v>
      </c>
      <c r="K275">
        <f t="shared" si="16"/>
        <v>2820.81</v>
      </c>
      <c r="L275">
        <f t="shared" si="17"/>
        <v>2820.82</v>
      </c>
      <c r="M275">
        <f t="shared" si="18"/>
        <v>2820.82</v>
      </c>
      <c r="N275" s="5" t="str">
        <f t="shared" si="19"/>
        <v>February 2022</v>
      </c>
    </row>
    <row r="276" spans="1:14" x14ac:dyDescent="0.25">
      <c r="A276" s="1">
        <v>44605</v>
      </c>
      <c r="B276" t="s">
        <v>1932</v>
      </c>
      <c r="C276">
        <v>3</v>
      </c>
      <c r="D276" t="s">
        <v>14</v>
      </c>
      <c r="E276" t="s">
        <v>15</v>
      </c>
      <c r="F276" t="s">
        <v>11</v>
      </c>
      <c r="G276" t="s">
        <v>17</v>
      </c>
      <c r="H276">
        <v>2326.8000000000002</v>
      </c>
      <c r="I276" s="8" t="str" cm="1">
        <f t="array" ref="I276">_xlfn.IFS(C276&lt;=15,"Children and Young Adolescents", C276&gt;64, "Seniors", TRUE, "Working Age")</f>
        <v>Children and Young Adolescents</v>
      </c>
      <c r="J276" s="6">
        <f>VLOOKUP(F276,Analysis!$F$1:$G$5,2,FALSE)</f>
        <v>2503.6022787783854</v>
      </c>
      <c r="K276">
        <f t="shared" si="16"/>
        <v>2559.48</v>
      </c>
      <c r="L276">
        <f t="shared" si="17"/>
        <v>2559.48</v>
      </c>
      <c r="M276">
        <f t="shared" si="18"/>
        <v>2559.48</v>
      </c>
      <c r="N276" s="5" t="str">
        <f t="shared" si="19"/>
        <v>February 2022</v>
      </c>
    </row>
    <row r="277" spans="1:14" x14ac:dyDescent="0.25">
      <c r="A277" s="1">
        <v>44605</v>
      </c>
      <c r="B277" t="s">
        <v>1701</v>
      </c>
      <c r="C277">
        <v>17</v>
      </c>
      <c r="D277" t="s">
        <v>14</v>
      </c>
      <c r="E277" t="s">
        <v>25</v>
      </c>
      <c r="F277" t="s">
        <v>29</v>
      </c>
      <c r="G277" t="s">
        <v>12</v>
      </c>
      <c r="H277">
        <v>43.26</v>
      </c>
      <c r="I277" s="8" t="str" cm="1">
        <f t="array" ref="I277">_xlfn.IFS(C277&lt;=15,"Children and Young Adolescents", C277&gt;64, "Seniors", TRUE, "Working Age")</f>
        <v>Working Age</v>
      </c>
      <c r="J277" s="6">
        <f>VLOOKUP(F277,Analysis!$F$1:$G$5,2,FALSE)</f>
        <v>2496.7676064256989</v>
      </c>
      <c r="K277">
        <f t="shared" si="16"/>
        <v>47.58</v>
      </c>
      <c r="L277">
        <f t="shared" si="17"/>
        <v>47.589999999999996</v>
      </c>
      <c r="M277">
        <f t="shared" si="18"/>
        <v>47.59</v>
      </c>
      <c r="N277" s="5" t="str">
        <f t="shared" si="19"/>
        <v>February 2022</v>
      </c>
    </row>
    <row r="278" spans="1:14" x14ac:dyDescent="0.25">
      <c r="A278" s="1">
        <v>44605</v>
      </c>
      <c r="B278" t="s">
        <v>1767</v>
      </c>
      <c r="C278">
        <v>98</v>
      </c>
      <c r="D278" t="s">
        <v>14</v>
      </c>
      <c r="E278" t="s">
        <v>5032</v>
      </c>
      <c r="F278" t="s">
        <v>11</v>
      </c>
      <c r="G278" t="s">
        <v>27</v>
      </c>
      <c r="H278">
        <v>1461.52</v>
      </c>
      <c r="I278" s="8" t="str" cm="1">
        <f t="array" ref="I278">_xlfn.IFS(C278&lt;=15,"Children and Young Adolescents", C278&gt;64, "Seniors", TRUE, "Working Age")</f>
        <v>Seniors</v>
      </c>
      <c r="J278" s="6">
        <f>VLOOKUP(F278,Analysis!$F$1:$G$5,2,FALSE)</f>
        <v>2503.6022787783854</v>
      </c>
      <c r="K278">
        <f t="shared" si="16"/>
        <v>1607.67</v>
      </c>
      <c r="L278">
        <f t="shared" si="17"/>
        <v>1607.68</v>
      </c>
      <c r="M278">
        <f t="shared" si="18"/>
        <v>1607.67</v>
      </c>
      <c r="N278" s="5" t="str">
        <f t="shared" si="19"/>
        <v>February 2022</v>
      </c>
    </row>
    <row r="279" spans="1:14" x14ac:dyDescent="0.25">
      <c r="A279" s="1">
        <v>44605</v>
      </c>
      <c r="B279" t="s">
        <v>552</v>
      </c>
      <c r="C279">
        <v>55</v>
      </c>
      <c r="D279" t="s">
        <v>21</v>
      </c>
      <c r="E279" t="s">
        <v>34</v>
      </c>
      <c r="F279" t="s">
        <v>11</v>
      </c>
      <c r="G279" t="s">
        <v>39</v>
      </c>
      <c r="H279">
        <v>3615.63</v>
      </c>
      <c r="I279" s="8" t="str" cm="1">
        <f t="array" ref="I279">_xlfn.IFS(C279&lt;=15,"Children and Young Adolescents", C279&gt;64, "Seniors", TRUE, "Working Age")</f>
        <v>Working Age</v>
      </c>
      <c r="J279" s="6">
        <f>VLOOKUP(F279,Analysis!$F$1:$G$5,2,FALSE)</f>
        <v>2503.6022787783854</v>
      </c>
      <c r="K279">
        <f t="shared" si="16"/>
        <v>3977.19</v>
      </c>
      <c r="L279">
        <f t="shared" si="17"/>
        <v>3977.2000000000003</v>
      </c>
      <c r="M279">
        <f t="shared" si="18"/>
        <v>3977.19</v>
      </c>
      <c r="N279" s="5" t="str">
        <f t="shared" si="19"/>
        <v>February 2022</v>
      </c>
    </row>
    <row r="280" spans="1:14" x14ac:dyDescent="0.25">
      <c r="A280" s="1">
        <v>44605</v>
      </c>
      <c r="B280" t="s">
        <v>1855</v>
      </c>
      <c r="C280">
        <v>51</v>
      </c>
      <c r="D280" t="s">
        <v>9</v>
      </c>
      <c r="E280" t="s">
        <v>25</v>
      </c>
      <c r="F280" t="s">
        <v>16</v>
      </c>
      <c r="G280" t="s">
        <v>5033</v>
      </c>
      <c r="H280">
        <v>116.33</v>
      </c>
      <c r="I280" s="8" t="str" cm="1">
        <f t="array" ref="I280">_xlfn.IFS(C280&lt;=15,"Children and Young Adolescents", C280&gt;64, "Seniors", TRUE, "Working Age")</f>
        <v>Working Age</v>
      </c>
      <c r="J280" s="6">
        <f>VLOOKUP(F280,Analysis!$F$1:$G$5,2,FALSE)</f>
        <v>2509.1716796874912</v>
      </c>
      <c r="K280">
        <f t="shared" si="16"/>
        <v>127.96</v>
      </c>
      <c r="L280">
        <f t="shared" si="17"/>
        <v>127.97</v>
      </c>
      <c r="M280">
        <f t="shared" si="18"/>
        <v>127.96</v>
      </c>
      <c r="N280" s="5" t="str">
        <f t="shared" si="19"/>
        <v>February 2022</v>
      </c>
    </row>
    <row r="281" spans="1:14" x14ac:dyDescent="0.25">
      <c r="A281" s="1">
        <v>44606</v>
      </c>
      <c r="B281" t="s">
        <v>3906</v>
      </c>
      <c r="C281">
        <v>54</v>
      </c>
      <c r="D281" t="s">
        <v>9</v>
      </c>
      <c r="E281" t="s">
        <v>5032</v>
      </c>
      <c r="F281" t="s">
        <v>29</v>
      </c>
      <c r="G281" t="s">
        <v>36</v>
      </c>
      <c r="H281">
        <v>303.93</v>
      </c>
      <c r="I281" s="8" t="str" cm="1">
        <f t="array" ref="I281">_xlfn.IFS(C281&lt;=15,"Children and Young Adolescents", C281&gt;64, "Seniors", TRUE, "Working Age")</f>
        <v>Working Age</v>
      </c>
      <c r="J281" s="6">
        <f>VLOOKUP(F281,Analysis!$F$1:$G$5,2,FALSE)</f>
        <v>2496.7676064256989</v>
      </c>
      <c r="K281">
        <f t="shared" si="16"/>
        <v>334.32</v>
      </c>
      <c r="L281">
        <f t="shared" si="17"/>
        <v>334.33</v>
      </c>
      <c r="M281">
        <f t="shared" si="18"/>
        <v>334.32</v>
      </c>
      <c r="N281" s="5" t="str">
        <f t="shared" si="19"/>
        <v>February 2022</v>
      </c>
    </row>
    <row r="282" spans="1:14" x14ac:dyDescent="0.25">
      <c r="A282" s="1">
        <v>44606</v>
      </c>
      <c r="B282" t="s">
        <v>2296</v>
      </c>
      <c r="C282">
        <v>90</v>
      </c>
      <c r="D282" t="s">
        <v>14</v>
      </c>
      <c r="E282" t="s">
        <v>32</v>
      </c>
      <c r="F282" t="s">
        <v>11</v>
      </c>
      <c r="G282" t="s">
        <v>12</v>
      </c>
      <c r="H282">
        <v>4967.6499999999996</v>
      </c>
      <c r="I282" s="8" t="str" cm="1">
        <f t="array" ref="I282">_xlfn.IFS(C282&lt;=15,"Children and Young Adolescents", C282&gt;64, "Seniors", TRUE, "Working Age")</f>
        <v>Seniors</v>
      </c>
      <c r="J282" s="6">
        <f>VLOOKUP(F282,Analysis!$F$1:$G$5,2,FALSE)</f>
        <v>2503.6022787783854</v>
      </c>
      <c r="K282">
        <f t="shared" si="16"/>
        <v>5464.41</v>
      </c>
      <c r="L282">
        <f t="shared" si="17"/>
        <v>5464.42</v>
      </c>
      <c r="M282">
        <f t="shared" si="18"/>
        <v>5464.42</v>
      </c>
      <c r="N282" s="5" t="str">
        <f t="shared" si="19"/>
        <v>February 2022</v>
      </c>
    </row>
    <row r="283" spans="1:14" x14ac:dyDescent="0.25">
      <c r="A283" s="1">
        <v>44606</v>
      </c>
      <c r="B283" t="s">
        <v>837</v>
      </c>
      <c r="C283">
        <v>83</v>
      </c>
      <c r="D283" t="s">
        <v>9</v>
      </c>
      <c r="E283" t="s">
        <v>22</v>
      </c>
      <c r="F283" t="s">
        <v>16</v>
      </c>
      <c r="G283" t="s">
        <v>36</v>
      </c>
      <c r="H283">
        <v>1521.26</v>
      </c>
      <c r="I283" s="8" t="str" cm="1">
        <f t="array" ref="I283">_xlfn.IFS(C283&lt;=15,"Children and Young Adolescents", C283&gt;64, "Seniors", TRUE, "Working Age")</f>
        <v>Seniors</v>
      </c>
      <c r="J283" s="6">
        <f>VLOOKUP(F283,Analysis!$F$1:$G$5,2,FALSE)</f>
        <v>2509.1716796874912</v>
      </c>
      <c r="K283">
        <f t="shared" si="16"/>
        <v>1673.38</v>
      </c>
      <c r="L283">
        <f t="shared" si="17"/>
        <v>1673.39</v>
      </c>
      <c r="M283">
        <f t="shared" si="18"/>
        <v>1673.39</v>
      </c>
      <c r="N283" s="5" t="str">
        <f t="shared" si="19"/>
        <v>February 2022</v>
      </c>
    </row>
    <row r="284" spans="1:14" x14ac:dyDescent="0.25">
      <c r="A284" s="1">
        <v>44606</v>
      </c>
      <c r="B284" t="s">
        <v>1031</v>
      </c>
      <c r="C284">
        <v>87</v>
      </c>
      <c r="D284" t="s">
        <v>9</v>
      </c>
      <c r="E284" t="s">
        <v>19</v>
      </c>
      <c r="F284" t="s">
        <v>29</v>
      </c>
      <c r="G284" t="s">
        <v>12</v>
      </c>
      <c r="H284">
        <v>2463.65</v>
      </c>
      <c r="I284" s="8" t="str" cm="1">
        <f t="array" ref="I284">_xlfn.IFS(C284&lt;=15,"Children and Young Adolescents", C284&gt;64, "Seniors", TRUE, "Working Age")</f>
        <v>Seniors</v>
      </c>
      <c r="J284" s="6">
        <f>VLOOKUP(F284,Analysis!$F$1:$G$5,2,FALSE)</f>
        <v>2496.7676064256989</v>
      </c>
      <c r="K284">
        <f t="shared" si="16"/>
        <v>2710.01</v>
      </c>
      <c r="L284">
        <f t="shared" si="17"/>
        <v>2710.0200000000004</v>
      </c>
      <c r="M284">
        <f t="shared" si="18"/>
        <v>2710.02</v>
      </c>
      <c r="N284" s="5" t="str">
        <f t="shared" si="19"/>
        <v>February 2022</v>
      </c>
    </row>
    <row r="285" spans="1:14" x14ac:dyDescent="0.25">
      <c r="A285" s="1">
        <v>44606</v>
      </c>
      <c r="B285" t="s">
        <v>3946</v>
      </c>
      <c r="C285">
        <v>64</v>
      </c>
      <c r="D285" t="s">
        <v>21</v>
      </c>
      <c r="E285" t="s">
        <v>32</v>
      </c>
      <c r="F285" t="s">
        <v>29</v>
      </c>
      <c r="G285" t="s">
        <v>39</v>
      </c>
      <c r="H285">
        <v>3988.02</v>
      </c>
      <c r="I285" s="8" t="str" cm="1">
        <f t="array" ref="I285">_xlfn.IFS(C285&lt;=15,"Children and Young Adolescents", C285&gt;64, "Seniors", TRUE, "Working Age")</f>
        <v>Working Age</v>
      </c>
      <c r="J285" s="6">
        <f>VLOOKUP(F285,Analysis!$F$1:$G$5,2,FALSE)</f>
        <v>2496.7676064256989</v>
      </c>
      <c r="K285">
        <f t="shared" si="16"/>
        <v>4386.82</v>
      </c>
      <c r="L285">
        <f t="shared" si="17"/>
        <v>4386.83</v>
      </c>
      <c r="M285">
        <f t="shared" si="18"/>
        <v>4386.82</v>
      </c>
      <c r="N285" s="5" t="str">
        <f t="shared" si="19"/>
        <v>February 2022</v>
      </c>
    </row>
    <row r="286" spans="1:14" x14ac:dyDescent="0.25">
      <c r="A286" s="1">
        <v>44607</v>
      </c>
      <c r="B286" t="s">
        <v>459</v>
      </c>
      <c r="C286">
        <v>23</v>
      </c>
      <c r="D286" t="s">
        <v>9</v>
      </c>
      <c r="E286" t="s">
        <v>25</v>
      </c>
      <c r="F286" t="s">
        <v>16</v>
      </c>
      <c r="G286" t="s">
        <v>36</v>
      </c>
      <c r="H286">
        <v>649.20000000000005</v>
      </c>
      <c r="I286" s="8" t="str" cm="1">
        <f t="array" ref="I286">_xlfn.IFS(C286&lt;=15,"Children and Young Adolescents", C286&gt;64, "Seniors", TRUE, "Working Age")</f>
        <v>Working Age</v>
      </c>
      <c r="J286" s="6">
        <f>VLOOKUP(F286,Analysis!$F$1:$G$5,2,FALSE)</f>
        <v>2509.1716796874912</v>
      </c>
      <c r="K286">
        <f t="shared" si="16"/>
        <v>714.12</v>
      </c>
      <c r="L286">
        <f t="shared" si="17"/>
        <v>714.12</v>
      </c>
      <c r="M286">
        <f t="shared" si="18"/>
        <v>714.12</v>
      </c>
      <c r="N286" s="5" t="str">
        <f t="shared" si="19"/>
        <v>February 2022</v>
      </c>
    </row>
    <row r="287" spans="1:14" x14ac:dyDescent="0.25">
      <c r="A287" s="1">
        <v>44607</v>
      </c>
      <c r="B287" t="s">
        <v>208</v>
      </c>
      <c r="C287">
        <v>61</v>
      </c>
      <c r="D287" t="s">
        <v>14</v>
      </c>
      <c r="E287" t="s">
        <v>19</v>
      </c>
      <c r="F287" t="s">
        <v>16</v>
      </c>
      <c r="G287" t="s">
        <v>17</v>
      </c>
      <c r="H287">
        <v>1685.14</v>
      </c>
      <c r="I287" s="8" t="str" cm="1">
        <f t="array" ref="I287">_xlfn.IFS(C287&lt;=15,"Children and Young Adolescents", C287&gt;64, "Seniors", TRUE, "Working Age")</f>
        <v>Working Age</v>
      </c>
      <c r="J287" s="6">
        <f>VLOOKUP(F287,Analysis!$F$1:$G$5,2,FALSE)</f>
        <v>2509.1716796874912</v>
      </c>
      <c r="K287">
        <f t="shared" si="16"/>
        <v>1853.65</v>
      </c>
      <c r="L287">
        <f t="shared" si="17"/>
        <v>1853.66</v>
      </c>
      <c r="M287">
        <f t="shared" si="18"/>
        <v>1853.65</v>
      </c>
      <c r="N287" s="5" t="str">
        <f t="shared" si="19"/>
        <v>February 2022</v>
      </c>
    </row>
    <row r="288" spans="1:14" x14ac:dyDescent="0.25">
      <c r="A288" s="1">
        <v>44607</v>
      </c>
      <c r="B288" t="s">
        <v>4172</v>
      </c>
      <c r="C288">
        <v>43</v>
      </c>
      <c r="D288" t="s">
        <v>9</v>
      </c>
      <c r="E288" t="s">
        <v>19</v>
      </c>
      <c r="F288" t="s">
        <v>11</v>
      </c>
      <c r="G288" t="s">
        <v>27</v>
      </c>
      <c r="H288">
        <v>935.28</v>
      </c>
      <c r="I288" s="8" t="str" cm="1">
        <f t="array" ref="I288">_xlfn.IFS(C288&lt;=15,"Children and Young Adolescents", C288&gt;64, "Seniors", TRUE, "Working Age")</f>
        <v>Working Age</v>
      </c>
      <c r="J288" s="6">
        <f>VLOOKUP(F288,Analysis!$F$1:$G$5,2,FALSE)</f>
        <v>2503.6022787783854</v>
      </c>
      <c r="K288">
        <f t="shared" si="16"/>
        <v>1028.8</v>
      </c>
      <c r="L288">
        <f t="shared" si="17"/>
        <v>1028.81</v>
      </c>
      <c r="M288">
        <f t="shared" si="18"/>
        <v>1028.81</v>
      </c>
      <c r="N288" s="5" t="str">
        <f t="shared" si="19"/>
        <v>February 2022</v>
      </c>
    </row>
    <row r="289" spans="1:14" x14ac:dyDescent="0.25">
      <c r="A289" s="1">
        <v>44607</v>
      </c>
      <c r="B289" t="s">
        <v>1687</v>
      </c>
      <c r="C289">
        <v>74</v>
      </c>
      <c r="D289" t="s">
        <v>21</v>
      </c>
      <c r="E289" t="s">
        <v>25</v>
      </c>
      <c r="F289" t="s">
        <v>23</v>
      </c>
      <c r="G289" t="s">
        <v>17</v>
      </c>
      <c r="H289">
        <v>1338.79</v>
      </c>
      <c r="I289" s="8" t="str" cm="1">
        <f t="array" ref="I289">_xlfn.IFS(C289&lt;=15,"Children and Young Adolescents", C289&gt;64, "Seniors", TRUE, "Working Age")</f>
        <v>Seniors</v>
      </c>
      <c r="J289" s="6">
        <f>VLOOKUP(F289,Analysis!$F$1:$G$5,2,FALSE)</f>
        <v>2440.2966694490838</v>
      </c>
      <c r="K289">
        <f t="shared" si="16"/>
        <v>1472.66</v>
      </c>
      <c r="L289">
        <f t="shared" si="17"/>
        <v>1472.67</v>
      </c>
      <c r="M289">
        <f t="shared" si="18"/>
        <v>1472.67</v>
      </c>
      <c r="N289" s="5" t="str">
        <f t="shared" si="19"/>
        <v>February 2022</v>
      </c>
    </row>
    <row r="290" spans="1:14" x14ac:dyDescent="0.25">
      <c r="A290" s="1">
        <v>44607</v>
      </c>
      <c r="B290" t="s">
        <v>2465</v>
      </c>
      <c r="C290">
        <v>38</v>
      </c>
      <c r="D290" t="s">
        <v>9</v>
      </c>
      <c r="E290" t="s">
        <v>32</v>
      </c>
      <c r="F290" t="s">
        <v>16</v>
      </c>
      <c r="G290" t="s">
        <v>12</v>
      </c>
      <c r="H290">
        <v>3981.24</v>
      </c>
      <c r="I290" s="8" t="str" cm="1">
        <f t="array" ref="I290">_xlfn.IFS(C290&lt;=15,"Children and Young Adolescents", C290&gt;64, "Seniors", TRUE, "Working Age")</f>
        <v>Working Age</v>
      </c>
      <c r="J290" s="6">
        <f>VLOOKUP(F290,Analysis!$F$1:$G$5,2,FALSE)</f>
        <v>2509.1716796874912</v>
      </c>
      <c r="K290">
        <f t="shared" si="16"/>
        <v>4379.3599999999997</v>
      </c>
      <c r="L290">
        <f t="shared" si="17"/>
        <v>4379.37</v>
      </c>
      <c r="M290">
        <f t="shared" si="18"/>
        <v>4379.3599999999997</v>
      </c>
      <c r="N290" s="5" t="str">
        <f t="shared" si="19"/>
        <v>February 2022</v>
      </c>
    </row>
    <row r="291" spans="1:14" x14ac:dyDescent="0.25">
      <c r="A291" s="1">
        <v>44607</v>
      </c>
      <c r="B291" t="s">
        <v>2615</v>
      </c>
      <c r="C291">
        <v>5</v>
      </c>
      <c r="D291" t="s">
        <v>14</v>
      </c>
      <c r="E291" t="s">
        <v>22</v>
      </c>
      <c r="F291" t="s">
        <v>16</v>
      </c>
      <c r="G291" t="s">
        <v>5033</v>
      </c>
      <c r="H291">
        <v>3986.46</v>
      </c>
      <c r="I291" s="8" t="str" cm="1">
        <f t="array" ref="I291">_xlfn.IFS(C291&lt;=15,"Children and Young Adolescents", C291&gt;64, "Seniors", TRUE, "Working Age")</f>
        <v>Children and Young Adolescents</v>
      </c>
      <c r="J291" s="6">
        <f>VLOOKUP(F291,Analysis!$F$1:$G$5,2,FALSE)</f>
        <v>2509.1716796874912</v>
      </c>
      <c r="K291">
        <f t="shared" si="16"/>
        <v>4385.1000000000004</v>
      </c>
      <c r="L291">
        <f t="shared" si="17"/>
        <v>4385.1100000000006</v>
      </c>
      <c r="M291">
        <f t="shared" si="18"/>
        <v>4385.1099999999997</v>
      </c>
      <c r="N291" s="5" t="str">
        <f t="shared" si="19"/>
        <v>February 2022</v>
      </c>
    </row>
    <row r="292" spans="1:14" x14ac:dyDescent="0.25">
      <c r="A292" s="1">
        <v>44608</v>
      </c>
      <c r="B292" t="s">
        <v>3223</v>
      </c>
      <c r="C292">
        <v>7</v>
      </c>
      <c r="D292" t="s">
        <v>21</v>
      </c>
      <c r="E292" t="s">
        <v>19</v>
      </c>
      <c r="F292" t="s">
        <v>11</v>
      </c>
      <c r="G292" t="s">
        <v>39</v>
      </c>
      <c r="H292">
        <v>1741.69</v>
      </c>
      <c r="I292" s="8" t="str" cm="1">
        <f t="array" ref="I292">_xlfn.IFS(C292&lt;=15,"Children and Young Adolescents", C292&gt;64, "Seniors", TRUE, "Working Age")</f>
        <v>Children and Young Adolescents</v>
      </c>
      <c r="J292" s="6">
        <f>VLOOKUP(F292,Analysis!$F$1:$G$5,2,FALSE)</f>
        <v>2503.6022787783854</v>
      </c>
      <c r="K292">
        <f t="shared" si="16"/>
        <v>1915.85</v>
      </c>
      <c r="L292">
        <f t="shared" si="17"/>
        <v>1915.86</v>
      </c>
      <c r="M292">
        <f t="shared" si="18"/>
        <v>1915.86</v>
      </c>
      <c r="N292" s="5" t="str">
        <f t="shared" si="19"/>
        <v>February 2022</v>
      </c>
    </row>
    <row r="293" spans="1:14" x14ac:dyDescent="0.25">
      <c r="A293" s="1">
        <v>44608</v>
      </c>
      <c r="B293" t="s">
        <v>1761</v>
      </c>
      <c r="C293">
        <v>35</v>
      </c>
      <c r="D293" t="s">
        <v>9</v>
      </c>
      <c r="E293" t="s">
        <v>34</v>
      </c>
      <c r="F293" t="s">
        <v>23</v>
      </c>
      <c r="G293" t="s">
        <v>5033</v>
      </c>
      <c r="H293">
        <v>1082.97</v>
      </c>
      <c r="I293" s="8" t="str" cm="1">
        <f t="array" ref="I293">_xlfn.IFS(C293&lt;=15,"Children and Young Adolescents", C293&gt;64, "Seniors", TRUE, "Working Age")</f>
        <v>Working Age</v>
      </c>
      <c r="J293" s="6">
        <f>VLOOKUP(F293,Analysis!$F$1:$G$5,2,FALSE)</f>
        <v>2440.2966694490838</v>
      </c>
      <c r="K293">
        <f t="shared" si="16"/>
        <v>1191.26</v>
      </c>
      <c r="L293">
        <f t="shared" si="17"/>
        <v>1191.27</v>
      </c>
      <c r="M293">
        <f t="shared" si="18"/>
        <v>1191.27</v>
      </c>
      <c r="N293" s="5" t="str">
        <f t="shared" si="19"/>
        <v>February 2022</v>
      </c>
    </row>
    <row r="294" spans="1:14" x14ac:dyDescent="0.25">
      <c r="A294" s="1">
        <v>44608</v>
      </c>
      <c r="B294" t="s">
        <v>3933</v>
      </c>
      <c r="C294">
        <v>86</v>
      </c>
      <c r="D294" t="s">
        <v>21</v>
      </c>
      <c r="E294" t="s">
        <v>22</v>
      </c>
      <c r="F294" t="s">
        <v>23</v>
      </c>
      <c r="G294" t="s">
        <v>39</v>
      </c>
      <c r="H294">
        <v>1509.99</v>
      </c>
      <c r="I294" s="8" t="str" cm="1">
        <f t="array" ref="I294">_xlfn.IFS(C294&lt;=15,"Children and Young Adolescents", C294&gt;64, "Seniors", TRUE, "Working Age")</f>
        <v>Seniors</v>
      </c>
      <c r="J294" s="6">
        <f>VLOOKUP(F294,Analysis!$F$1:$G$5,2,FALSE)</f>
        <v>2440.2966694490838</v>
      </c>
      <c r="K294">
        <f t="shared" si="16"/>
        <v>1660.98</v>
      </c>
      <c r="L294">
        <f t="shared" si="17"/>
        <v>1660.99</v>
      </c>
      <c r="M294">
        <f t="shared" si="18"/>
        <v>1660.99</v>
      </c>
      <c r="N294" s="5" t="str">
        <f t="shared" si="19"/>
        <v>February 2022</v>
      </c>
    </row>
    <row r="295" spans="1:14" x14ac:dyDescent="0.25">
      <c r="A295" s="1">
        <v>44608</v>
      </c>
      <c r="B295" t="s">
        <v>3601</v>
      </c>
      <c r="C295">
        <v>66</v>
      </c>
      <c r="D295" t="s">
        <v>9</v>
      </c>
      <c r="E295" t="s">
        <v>15</v>
      </c>
      <c r="F295" t="s">
        <v>29</v>
      </c>
      <c r="G295" t="s">
        <v>17</v>
      </c>
      <c r="H295">
        <v>2862.51</v>
      </c>
      <c r="I295" s="8" t="str" cm="1">
        <f t="array" ref="I295">_xlfn.IFS(C295&lt;=15,"Children and Young Adolescents", C295&gt;64, "Seniors", TRUE, "Working Age")</f>
        <v>Seniors</v>
      </c>
      <c r="J295" s="6">
        <f>VLOOKUP(F295,Analysis!$F$1:$G$5,2,FALSE)</f>
        <v>2496.7676064256989</v>
      </c>
      <c r="K295">
        <f t="shared" si="16"/>
        <v>3148.76</v>
      </c>
      <c r="L295">
        <f t="shared" si="17"/>
        <v>3148.7700000000004</v>
      </c>
      <c r="M295">
        <f t="shared" si="18"/>
        <v>3148.76</v>
      </c>
      <c r="N295" s="5" t="str">
        <f t="shared" si="19"/>
        <v>February 2022</v>
      </c>
    </row>
    <row r="296" spans="1:14" x14ac:dyDescent="0.25">
      <c r="A296" s="1">
        <v>44609</v>
      </c>
      <c r="B296" t="s">
        <v>3994</v>
      </c>
      <c r="C296">
        <v>91</v>
      </c>
      <c r="D296" t="s">
        <v>21</v>
      </c>
      <c r="E296" t="s">
        <v>15</v>
      </c>
      <c r="F296" t="s">
        <v>11</v>
      </c>
      <c r="G296" t="s">
        <v>39</v>
      </c>
      <c r="H296">
        <v>2970.44</v>
      </c>
      <c r="I296" s="8" t="str" cm="1">
        <f t="array" ref="I296">_xlfn.IFS(C296&lt;=15,"Children and Young Adolescents", C296&gt;64, "Seniors", TRUE, "Working Age")</f>
        <v>Seniors</v>
      </c>
      <c r="J296" s="6">
        <f>VLOOKUP(F296,Analysis!$F$1:$G$5,2,FALSE)</f>
        <v>2503.6022787783854</v>
      </c>
      <c r="K296">
        <f t="shared" si="16"/>
        <v>3267.48</v>
      </c>
      <c r="L296">
        <f t="shared" si="17"/>
        <v>3267.4900000000002</v>
      </c>
      <c r="M296">
        <f t="shared" si="18"/>
        <v>3267.48</v>
      </c>
      <c r="N296" s="5" t="str">
        <f t="shared" si="19"/>
        <v>February 2022</v>
      </c>
    </row>
    <row r="297" spans="1:14" x14ac:dyDescent="0.25">
      <c r="A297" s="1">
        <v>44609</v>
      </c>
      <c r="B297" t="s">
        <v>4127</v>
      </c>
      <c r="C297">
        <v>43</v>
      </c>
      <c r="D297" t="s">
        <v>14</v>
      </c>
      <c r="E297" t="s">
        <v>34</v>
      </c>
      <c r="F297" t="s">
        <v>23</v>
      </c>
      <c r="G297" t="s">
        <v>36</v>
      </c>
      <c r="H297">
        <v>3445.32</v>
      </c>
      <c r="I297" s="8" t="str" cm="1">
        <f t="array" ref="I297">_xlfn.IFS(C297&lt;=15,"Children and Young Adolescents", C297&gt;64, "Seniors", TRUE, "Working Age")</f>
        <v>Working Age</v>
      </c>
      <c r="J297" s="6">
        <f>VLOOKUP(F297,Analysis!$F$1:$G$5,2,FALSE)</f>
        <v>2440.2966694490838</v>
      </c>
      <c r="K297">
        <f t="shared" si="16"/>
        <v>3789.85</v>
      </c>
      <c r="L297">
        <f t="shared" si="17"/>
        <v>3789.86</v>
      </c>
      <c r="M297">
        <f t="shared" si="18"/>
        <v>3789.85</v>
      </c>
      <c r="N297" s="5" t="str">
        <f t="shared" si="19"/>
        <v>February 2022</v>
      </c>
    </row>
    <row r="298" spans="1:14" x14ac:dyDescent="0.25">
      <c r="A298" s="1">
        <v>44609</v>
      </c>
      <c r="B298" t="s">
        <v>3501</v>
      </c>
      <c r="C298">
        <v>11</v>
      </c>
      <c r="D298" t="s">
        <v>9</v>
      </c>
      <c r="E298" t="s">
        <v>15</v>
      </c>
      <c r="F298" t="s">
        <v>16</v>
      </c>
      <c r="G298" t="s">
        <v>36</v>
      </c>
      <c r="H298">
        <v>426.05</v>
      </c>
      <c r="I298" s="8" t="str" cm="1">
        <f t="array" ref="I298">_xlfn.IFS(C298&lt;=15,"Children and Young Adolescents", C298&gt;64, "Seniors", TRUE, "Working Age")</f>
        <v>Children and Young Adolescents</v>
      </c>
      <c r="J298" s="6">
        <f>VLOOKUP(F298,Analysis!$F$1:$G$5,2,FALSE)</f>
        <v>2509.1716796874912</v>
      </c>
      <c r="K298">
        <f t="shared" si="16"/>
        <v>468.65</v>
      </c>
      <c r="L298">
        <f t="shared" si="17"/>
        <v>468.65999999999997</v>
      </c>
      <c r="M298">
        <f t="shared" si="18"/>
        <v>468.66</v>
      </c>
      <c r="N298" s="5" t="str">
        <f t="shared" si="19"/>
        <v>February 2022</v>
      </c>
    </row>
    <row r="299" spans="1:14" x14ac:dyDescent="0.25">
      <c r="A299" s="1">
        <v>44610</v>
      </c>
      <c r="B299" t="s">
        <v>3143</v>
      </c>
      <c r="C299">
        <v>96</v>
      </c>
      <c r="D299" t="s">
        <v>21</v>
      </c>
      <c r="E299" t="s">
        <v>22</v>
      </c>
      <c r="F299" t="s">
        <v>29</v>
      </c>
      <c r="G299" t="s">
        <v>12</v>
      </c>
      <c r="H299">
        <v>3184.79</v>
      </c>
      <c r="I299" s="8" t="str" cm="1">
        <f t="array" ref="I299">_xlfn.IFS(C299&lt;=15,"Children and Young Adolescents", C299&gt;64, "Seniors", TRUE, "Working Age")</f>
        <v>Seniors</v>
      </c>
      <c r="J299" s="6">
        <f>VLOOKUP(F299,Analysis!$F$1:$G$5,2,FALSE)</f>
        <v>2496.7676064256989</v>
      </c>
      <c r="K299">
        <f t="shared" si="16"/>
        <v>3503.26</v>
      </c>
      <c r="L299">
        <f t="shared" si="17"/>
        <v>3503.2700000000004</v>
      </c>
      <c r="M299">
        <f t="shared" si="18"/>
        <v>3503.27</v>
      </c>
      <c r="N299" s="5" t="str">
        <f t="shared" si="19"/>
        <v>February 2022</v>
      </c>
    </row>
    <row r="300" spans="1:14" x14ac:dyDescent="0.25">
      <c r="A300" s="1">
        <v>44610</v>
      </c>
      <c r="B300" t="s">
        <v>2390</v>
      </c>
      <c r="C300">
        <v>67</v>
      </c>
      <c r="D300" t="s">
        <v>21</v>
      </c>
      <c r="E300" t="s">
        <v>15</v>
      </c>
      <c r="F300" t="s">
        <v>16</v>
      </c>
      <c r="G300" t="s">
        <v>39</v>
      </c>
      <c r="H300">
        <v>4239.8999999999996</v>
      </c>
      <c r="I300" s="8" t="str" cm="1">
        <f t="array" ref="I300">_xlfn.IFS(C300&lt;=15,"Children and Young Adolescents", C300&gt;64, "Seniors", TRUE, "Working Age")</f>
        <v>Seniors</v>
      </c>
      <c r="J300" s="6">
        <f>VLOOKUP(F300,Analysis!$F$1:$G$5,2,FALSE)</f>
        <v>2509.1716796874912</v>
      </c>
      <c r="K300">
        <f t="shared" si="16"/>
        <v>4663.8900000000003</v>
      </c>
      <c r="L300">
        <f t="shared" si="17"/>
        <v>4663.8900000000003</v>
      </c>
      <c r="M300">
        <f t="shared" si="18"/>
        <v>4663.8900000000003</v>
      </c>
      <c r="N300" s="5" t="str">
        <f t="shared" si="19"/>
        <v>February 2022</v>
      </c>
    </row>
    <row r="301" spans="1:14" x14ac:dyDescent="0.25">
      <c r="A301" s="1">
        <v>44610</v>
      </c>
      <c r="B301" t="s">
        <v>4054</v>
      </c>
      <c r="C301">
        <v>88</v>
      </c>
      <c r="D301" t="s">
        <v>14</v>
      </c>
      <c r="E301" t="s">
        <v>10</v>
      </c>
      <c r="F301" t="s">
        <v>23</v>
      </c>
      <c r="G301" t="s">
        <v>39</v>
      </c>
      <c r="H301">
        <v>57.17</v>
      </c>
      <c r="I301" s="8" t="str" cm="1">
        <f t="array" ref="I301">_xlfn.IFS(C301&lt;=15,"Children and Young Adolescents", C301&gt;64, "Seniors", TRUE, "Working Age")</f>
        <v>Seniors</v>
      </c>
      <c r="J301" s="6">
        <f>VLOOKUP(F301,Analysis!$F$1:$G$5,2,FALSE)</f>
        <v>2440.2966694490838</v>
      </c>
      <c r="K301">
        <f t="shared" si="16"/>
        <v>62.88</v>
      </c>
      <c r="L301">
        <f t="shared" si="17"/>
        <v>62.89</v>
      </c>
      <c r="M301">
        <f t="shared" si="18"/>
        <v>62.89</v>
      </c>
      <c r="N301" s="5" t="str">
        <f t="shared" si="19"/>
        <v>February 2022</v>
      </c>
    </row>
    <row r="302" spans="1:14" x14ac:dyDescent="0.25">
      <c r="A302" s="1">
        <v>44610</v>
      </c>
      <c r="B302" t="s">
        <v>4478</v>
      </c>
      <c r="C302">
        <v>65</v>
      </c>
      <c r="D302" t="s">
        <v>9</v>
      </c>
      <c r="E302" t="s">
        <v>10</v>
      </c>
      <c r="F302" t="s">
        <v>16</v>
      </c>
      <c r="G302" t="s">
        <v>12</v>
      </c>
      <c r="H302">
        <v>531.32000000000005</v>
      </c>
      <c r="I302" s="8" t="str" cm="1">
        <f t="array" ref="I302">_xlfn.IFS(C302&lt;=15,"Children and Young Adolescents", C302&gt;64, "Seniors", TRUE, "Working Age")</f>
        <v>Seniors</v>
      </c>
      <c r="J302" s="6">
        <f>VLOOKUP(F302,Analysis!$F$1:$G$5,2,FALSE)</f>
        <v>2509.1716796874912</v>
      </c>
      <c r="K302">
        <f t="shared" si="16"/>
        <v>584.45000000000005</v>
      </c>
      <c r="L302">
        <f t="shared" si="17"/>
        <v>584.46</v>
      </c>
      <c r="M302">
        <f t="shared" si="18"/>
        <v>584.45000000000005</v>
      </c>
      <c r="N302" s="5" t="str">
        <f t="shared" si="19"/>
        <v>February 2022</v>
      </c>
    </row>
    <row r="303" spans="1:14" x14ac:dyDescent="0.25">
      <c r="A303" s="1">
        <v>44610</v>
      </c>
      <c r="B303" t="s">
        <v>4799</v>
      </c>
      <c r="C303">
        <v>86</v>
      </c>
      <c r="D303" t="s">
        <v>21</v>
      </c>
      <c r="E303" t="s">
        <v>32</v>
      </c>
      <c r="F303" t="s">
        <v>23</v>
      </c>
      <c r="G303" t="s">
        <v>36</v>
      </c>
      <c r="H303">
        <v>1315.64</v>
      </c>
      <c r="I303" s="8" t="str" cm="1">
        <f t="array" ref="I303">_xlfn.IFS(C303&lt;=15,"Children and Young Adolescents", C303&gt;64, "Seniors", TRUE, "Working Age")</f>
        <v>Seniors</v>
      </c>
      <c r="J303" s="6">
        <f>VLOOKUP(F303,Analysis!$F$1:$G$5,2,FALSE)</f>
        <v>2440.2966694490838</v>
      </c>
      <c r="K303">
        <f t="shared" si="16"/>
        <v>1447.2</v>
      </c>
      <c r="L303">
        <f t="shared" si="17"/>
        <v>1447.21</v>
      </c>
      <c r="M303">
        <f t="shared" si="18"/>
        <v>1447.2</v>
      </c>
      <c r="N303" s="5" t="str">
        <f t="shared" si="19"/>
        <v>February 2022</v>
      </c>
    </row>
    <row r="304" spans="1:14" x14ac:dyDescent="0.25">
      <c r="A304" s="1">
        <v>44610</v>
      </c>
      <c r="B304" t="s">
        <v>2391</v>
      </c>
      <c r="C304">
        <v>69</v>
      </c>
      <c r="D304" t="s">
        <v>14</v>
      </c>
      <c r="E304" t="s">
        <v>15</v>
      </c>
      <c r="F304" t="s">
        <v>23</v>
      </c>
      <c r="G304" t="s">
        <v>17</v>
      </c>
      <c r="H304">
        <v>960.06</v>
      </c>
      <c r="I304" s="8" t="str" cm="1">
        <f t="array" ref="I304">_xlfn.IFS(C304&lt;=15,"Children and Young Adolescents", C304&gt;64, "Seniors", TRUE, "Working Age")</f>
        <v>Seniors</v>
      </c>
      <c r="J304" s="6">
        <f>VLOOKUP(F304,Analysis!$F$1:$G$5,2,FALSE)</f>
        <v>2440.2966694490838</v>
      </c>
      <c r="K304">
        <f t="shared" si="16"/>
        <v>1056.06</v>
      </c>
      <c r="L304">
        <f t="shared" si="17"/>
        <v>1056.07</v>
      </c>
      <c r="M304">
        <f t="shared" si="18"/>
        <v>1056.07</v>
      </c>
      <c r="N304" s="5" t="str">
        <f t="shared" si="19"/>
        <v>February 2022</v>
      </c>
    </row>
    <row r="305" spans="1:14" x14ac:dyDescent="0.25">
      <c r="A305" s="1">
        <v>44610</v>
      </c>
      <c r="B305" t="s">
        <v>4283</v>
      </c>
      <c r="C305">
        <v>65</v>
      </c>
      <c r="D305" t="s">
        <v>21</v>
      </c>
      <c r="E305" t="s">
        <v>34</v>
      </c>
      <c r="F305" t="s">
        <v>29</v>
      </c>
      <c r="G305" t="s">
        <v>27</v>
      </c>
      <c r="H305">
        <v>468.93</v>
      </c>
      <c r="I305" s="8" t="str" cm="1">
        <f t="array" ref="I305">_xlfn.IFS(C305&lt;=15,"Children and Young Adolescents", C305&gt;64, "Seniors", TRUE, "Working Age")</f>
        <v>Seniors</v>
      </c>
      <c r="J305" s="6">
        <f>VLOOKUP(F305,Analysis!$F$1:$G$5,2,FALSE)</f>
        <v>2496.7676064256989</v>
      </c>
      <c r="K305">
        <f t="shared" si="16"/>
        <v>515.82000000000005</v>
      </c>
      <c r="L305">
        <f t="shared" si="17"/>
        <v>515.83000000000004</v>
      </c>
      <c r="M305">
        <f t="shared" si="18"/>
        <v>515.82000000000005</v>
      </c>
      <c r="N305" s="5" t="str">
        <f t="shared" si="19"/>
        <v>February 2022</v>
      </c>
    </row>
    <row r="306" spans="1:14" x14ac:dyDescent="0.25">
      <c r="A306" s="1">
        <v>44611</v>
      </c>
      <c r="B306" t="s">
        <v>4781</v>
      </c>
      <c r="C306">
        <v>28</v>
      </c>
      <c r="D306" t="s">
        <v>9</v>
      </c>
      <c r="E306" t="s">
        <v>25</v>
      </c>
      <c r="F306" t="s">
        <v>11</v>
      </c>
      <c r="G306" t="s">
        <v>12</v>
      </c>
      <c r="H306">
        <v>336.88</v>
      </c>
      <c r="I306" s="8" t="str" cm="1">
        <f t="array" ref="I306">_xlfn.IFS(C306&lt;=15,"Children and Young Adolescents", C306&gt;64, "Seniors", TRUE, "Working Age")</f>
        <v>Working Age</v>
      </c>
      <c r="J306" s="6">
        <f>VLOOKUP(F306,Analysis!$F$1:$G$5,2,FALSE)</f>
        <v>2503.6022787783854</v>
      </c>
      <c r="K306">
        <f t="shared" si="16"/>
        <v>370.56</v>
      </c>
      <c r="L306">
        <f t="shared" si="17"/>
        <v>370.57</v>
      </c>
      <c r="M306">
        <f t="shared" si="18"/>
        <v>370.57</v>
      </c>
      <c r="N306" s="5" t="str">
        <f t="shared" si="19"/>
        <v>February 2022</v>
      </c>
    </row>
    <row r="307" spans="1:14" x14ac:dyDescent="0.25">
      <c r="A307" s="1">
        <v>44611</v>
      </c>
      <c r="B307" t="s">
        <v>1199</v>
      </c>
      <c r="C307">
        <v>90</v>
      </c>
      <c r="D307" t="s">
        <v>9</v>
      </c>
      <c r="E307" t="s">
        <v>19</v>
      </c>
      <c r="F307" t="s">
        <v>11</v>
      </c>
      <c r="G307" t="s">
        <v>27</v>
      </c>
      <c r="H307">
        <v>3070.74</v>
      </c>
      <c r="I307" s="8" t="str" cm="1">
        <f t="array" ref="I307">_xlfn.IFS(C307&lt;=15,"Children and Young Adolescents", C307&gt;64, "Seniors", TRUE, "Working Age")</f>
        <v>Seniors</v>
      </c>
      <c r="J307" s="6">
        <f>VLOOKUP(F307,Analysis!$F$1:$G$5,2,FALSE)</f>
        <v>2503.6022787783854</v>
      </c>
      <c r="K307">
        <f t="shared" si="16"/>
        <v>3377.81</v>
      </c>
      <c r="L307">
        <f t="shared" si="17"/>
        <v>3377.82</v>
      </c>
      <c r="M307">
        <f t="shared" si="18"/>
        <v>3377.81</v>
      </c>
      <c r="N307" s="5" t="str">
        <f t="shared" si="19"/>
        <v>February 2022</v>
      </c>
    </row>
    <row r="308" spans="1:14" x14ac:dyDescent="0.25">
      <c r="A308" s="1">
        <v>44611</v>
      </c>
      <c r="B308" t="s">
        <v>4990</v>
      </c>
      <c r="C308">
        <v>91</v>
      </c>
      <c r="D308" t="s">
        <v>9</v>
      </c>
      <c r="E308" t="s">
        <v>34</v>
      </c>
      <c r="F308" t="s">
        <v>29</v>
      </c>
      <c r="G308" t="s">
        <v>39</v>
      </c>
      <c r="H308">
        <v>1371.67</v>
      </c>
      <c r="I308" s="8" t="str" cm="1">
        <f t="array" ref="I308">_xlfn.IFS(C308&lt;=15,"Children and Young Adolescents", C308&gt;64, "Seniors", TRUE, "Working Age")</f>
        <v>Seniors</v>
      </c>
      <c r="J308" s="6">
        <f>VLOOKUP(F308,Analysis!$F$1:$G$5,2,FALSE)</f>
        <v>2496.7676064256989</v>
      </c>
      <c r="K308">
        <f t="shared" si="16"/>
        <v>1508.83</v>
      </c>
      <c r="L308">
        <f t="shared" si="17"/>
        <v>1508.84</v>
      </c>
      <c r="M308">
        <f t="shared" si="18"/>
        <v>1508.84</v>
      </c>
      <c r="N308" s="5" t="str">
        <f t="shared" si="19"/>
        <v>February 2022</v>
      </c>
    </row>
    <row r="309" spans="1:14" x14ac:dyDescent="0.25">
      <c r="A309" s="1">
        <v>44611</v>
      </c>
      <c r="B309" t="s">
        <v>347</v>
      </c>
      <c r="C309">
        <v>50</v>
      </c>
      <c r="D309" t="s">
        <v>9</v>
      </c>
      <c r="E309" t="s">
        <v>22</v>
      </c>
      <c r="F309" t="s">
        <v>29</v>
      </c>
      <c r="G309" t="s">
        <v>12</v>
      </c>
      <c r="H309">
        <v>3523.95</v>
      </c>
      <c r="I309" s="8" t="str" cm="1">
        <f t="array" ref="I309">_xlfn.IFS(C309&lt;=15,"Children and Young Adolescents", C309&gt;64, "Seniors", TRUE, "Working Age")</f>
        <v>Working Age</v>
      </c>
      <c r="J309" s="6">
        <f>VLOOKUP(F309,Analysis!$F$1:$G$5,2,FALSE)</f>
        <v>2496.7676064256989</v>
      </c>
      <c r="K309">
        <f t="shared" si="16"/>
        <v>3876.34</v>
      </c>
      <c r="L309">
        <f t="shared" si="17"/>
        <v>3876.3500000000004</v>
      </c>
      <c r="M309">
        <f t="shared" si="18"/>
        <v>3876.35</v>
      </c>
      <c r="N309" s="5" t="str">
        <f t="shared" si="19"/>
        <v>February 2022</v>
      </c>
    </row>
    <row r="310" spans="1:14" x14ac:dyDescent="0.25">
      <c r="A310" s="1">
        <v>44612</v>
      </c>
      <c r="B310" t="s">
        <v>4376</v>
      </c>
      <c r="C310">
        <v>39</v>
      </c>
      <c r="D310" t="s">
        <v>9</v>
      </c>
      <c r="E310" t="s">
        <v>25</v>
      </c>
      <c r="F310" t="s">
        <v>16</v>
      </c>
      <c r="G310" t="s">
        <v>17</v>
      </c>
      <c r="H310">
        <v>1113.5</v>
      </c>
      <c r="I310" s="8" t="str" cm="1">
        <f t="array" ref="I310">_xlfn.IFS(C310&lt;=15,"Children and Young Adolescents", C310&gt;64, "Seniors", TRUE, "Working Age")</f>
        <v>Working Age</v>
      </c>
      <c r="J310" s="6">
        <f>VLOOKUP(F310,Analysis!$F$1:$G$5,2,FALSE)</f>
        <v>2509.1716796874912</v>
      </c>
      <c r="K310">
        <f t="shared" si="16"/>
        <v>1224.8499999999999</v>
      </c>
      <c r="L310">
        <f t="shared" si="17"/>
        <v>1224.8499999999999</v>
      </c>
      <c r="M310">
        <f t="shared" si="18"/>
        <v>1224.8499999999999</v>
      </c>
      <c r="N310" s="5" t="str">
        <f t="shared" si="19"/>
        <v>February 2022</v>
      </c>
    </row>
    <row r="311" spans="1:14" x14ac:dyDescent="0.25">
      <c r="A311" s="1">
        <v>44612</v>
      </c>
      <c r="B311" t="s">
        <v>4081</v>
      </c>
      <c r="C311">
        <v>4</v>
      </c>
      <c r="D311" t="s">
        <v>14</v>
      </c>
      <c r="E311" t="s">
        <v>22</v>
      </c>
      <c r="F311" t="s">
        <v>11</v>
      </c>
      <c r="G311" t="s">
        <v>12</v>
      </c>
      <c r="H311">
        <v>1156.21</v>
      </c>
      <c r="I311" s="8" t="str" cm="1">
        <f t="array" ref="I311">_xlfn.IFS(C311&lt;=15,"Children and Young Adolescents", C311&gt;64, "Seniors", TRUE, "Working Age")</f>
        <v>Children and Young Adolescents</v>
      </c>
      <c r="J311" s="6">
        <f>VLOOKUP(F311,Analysis!$F$1:$G$5,2,FALSE)</f>
        <v>2503.6022787783854</v>
      </c>
      <c r="K311">
        <f t="shared" si="16"/>
        <v>1271.83</v>
      </c>
      <c r="L311">
        <f t="shared" si="17"/>
        <v>1271.8399999999999</v>
      </c>
      <c r="M311">
        <f t="shared" si="18"/>
        <v>1271.83</v>
      </c>
      <c r="N311" s="5" t="str">
        <f t="shared" si="19"/>
        <v>February 2022</v>
      </c>
    </row>
    <row r="312" spans="1:14" x14ac:dyDescent="0.25">
      <c r="A312" s="1">
        <v>44612</v>
      </c>
      <c r="B312" t="s">
        <v>4866</v>
      </c>
      <c r="C312">
        <v>61</v>
      </c>
      <c r="D312" t="s">
        <v>21</v>
      </c>
      <c r="E312" t="s">
        <v>25</v>
      </c>
      <c r="F312" t="s">
        <v>16</v>
      </c>
      <c r="G312" t="s">
        <v>36</v>
      </c>
      <c r="H312">
        <v>129.06</v>
      </c>
      <c r="I312" s="8" t="str" cm="1">
        <f t="array" ref="I312">_xlfn.IFS(C312&lt;=15,"Children and Young Adolescents", C312&gt;64, "Seniors", TRUE, "Working Age")</f>
        <v>Working Age</v>
      </c>
      <c r="J312" s="6">
        <f>VLOOKUP(F312,Analysis!$F$1:$G$5,2,FALSE)</f>
        <v>2509.1716796874912</v>
      </c>
      <c r="K312">
        <f t="shared" si="16"/>
        <v>141.96</v>
      </c>
      <c r="L312">
        <f t="shared" si="17"/>
        <v>141.97</v>
      </c>
      <c r="M312">
        <f t="shared" si="18"/>
        <v>141.97</v>
      </c>
      <c r="N312" s="5" t="str">
        <f t="shared" si="19"/>
        <v>February 2022</v>
      </c>
    </row>
    <row r="313" spans="1:14" x14ac:dyDescent="0.25">
      <c r="A313" s="1">
        <v>44612</v>
      </c>
      <c r="B313" t="s">
        <v>4584</v>
      </c>
      <c r="C313">
        <v>31</v>
      </c>
      <c r="D313" t="s">
        <v>21</v>
      </c>
      <c r="E313" t="s">
        <v>22</v>
      </c>
      <c r="F313" t="s">
        <v>11</v>
      </c>
      <c r="G313" t="s">
        <v>27</v>
      </c>
      <c r="H313">
        <v>2804.1</v>
      </c>
      <c r="I313" s="8" t="str" cm="1">
        <f t="array" ref="I313">_xlfn.IFS(C313&lt;=15,"Children and Young Adolescents", C313&gt;64, "Seniors", TRUE, "Working Age")</f>
        <v>Working Age</v>
      </c>
      <c r="J313" s="6">
        <f>VLOOKUP(F313,Analysis!$F$1:$G$5,2,FALSE)</f>
        <v>2503.6022787783854</v>
      </c>
      <c r="K313">
        <f t="shared" si="16"/>
        <v>3084.51</v>
      </c>
      <c r="L313">
        <f t="shared" si="17"/>
        <v>3084.51</v>
      </c>
      <c r="M313">
        <f t="shared" si="18"/>
        <v>3084.51</v>
      </c>
      <c r="N313" s="5" t="str">
        <f t="shared" si="19"/>
        <v>February 2022</v>
      </c>
    </row>
    <row r="314" spans="1:14" x14ac:dyDescent="0.25">
      <c r="A314" s="1">
        <v>44612</v>
      </c>
      <c r="B314" t="s">
        <v>3138</v>
      </c>
      <c r="C314">
        <v>38</v>
      </c>
      <c r="D314" t="s">
        <v>9</v>
      </c>
      <c r="E314" t="s">
        <v>32</v>
      </c>
      <c r="F314" t="s">
        <v>16</v>
      </c>
      <c r="G314" t="s">
        <v>5033</v>
      </c>
      <c r="H314">
        <v>537.46</v>
      </c>
      <c r="I314" s="8" t="str" cm="1">
        <f t="array" ref="I314">_xlfn.IFS(C314&lt;=15,"Children and Young Adolescents", C314&gt;64, "Seniors", TRUE, "Working Age")</f>
        <v>Working Age</v>
      </c>
      <c r="J314" s="6">
        <f>VLOOKUP(F314,Analysis!$F$1:$G$5,2,FALSE)</f>
        <v>2509.1716796874912</v>
      </c>
      <c r="K314">
        <f t="shared" si="16"/>
        <v>591.20000000000005</v>
      </c>
      <c r="L314">
        <f t="shared" si="17"/>
        <v>591.21</v>
      </c>
      <c r="M314">
        <f t="shared" si="18"/>
        <v>591.21</v>
      </c>
      <c r="N314" s="5" t="str">
        <f t="shared" si="19"/>
        <v>February 2022</v>
      </c>
    </row>
    <row r="315" spans="1:14" x14ac:dyDescent="0.25">
      <c r="A315" s="1">
        <v>44612</v>
      </c>
      <c r="B315" t="s">
        <v>1890</v>
      </c>
      <c r="C315">
        <v>42</v>
      </c>
      <c r="D315" t="s">
        <v>9</v>
      </c>
      <c r="E315" t="s">
        <v>15</v>
      </c>
      <c r="F315" t="s">
        <v>16</v>
      </c>
      <c r="G315" t="s">
        <v>12</v>
      </c>
      <c r="H315">
        <v>994.09</v>
      </c>
      <c r="I315" s="8" t="str" cm="1">
        <f t="array" ref="I315">_xlfn.IFS(C315&lt;=15,"Children and Young Adolescents", C315&gt;64, "Seniors", TRUE, "Working Age")</f>
        <v>Working Age</v>
      </c>
      <c r="J315" s="6">
        <f>VLOOKUP(F315,Analysis!$F$1:$G$5,2,FALSE)</f>
        <v>2509.1716796874912</v>
      </c>
      <c r="K315">
        <f t="shared" si="16"/>
        <v>1093.49</v>
      </c>
      <c r="L315">
        <f t="shared" si="17"/>
        <v>1093.5</v>
      </c>
      <c r="M315">
        <f t="shared" si="18"/>
        <v>1093.5</v>
      </c>
      <c r="N315" s="5" t="str">
        <f t="shared" si="19"/>
        <v>February 2022</v>
      </c>
    </row>
    <row r="316" spans="1:14" x14ac:dyDescent="0.25">
      <c r="A316" s="1">
        <v>44612</v>
      </c>
      <c r="B316" t="s">
        <v>4040</v>
      </c>
      <c r="C316">
        <v>25</v>
      </c>
      <c r="D316" t="s">
        <v>9</v>
      </c>
      <c r="E316" t="s">
        <v>32</v>
      </c>
      <c r="F316" t="s">
        <v>29</v>
      </c>
      <c r="G316" t="s">
        <v>17</v>
      </c>
      <c r="H316">
        <v>4782.8</v>
      </c>
      <c r="I316" s="8" t="str" cm="1">
        <f t="array" ref="I316">_xlfn.IFS(C316&lt;=15,"Children and Young Adolescents", C316&gt;64, "Seniors", TRUE, "Working Age")</f>
        <v>Working Age</v>
      </c>
      <c r="J316" s="6">
        <f>VLOOKUP(F316,Analysis!$F$1:$G$5,2,FALSE)</f>
        <v>2496.7676064256989</v>
      </c>
      <c r="K316">
        <f t="shared" si="16"/>
        <v>5261.08</v>
      </c>
      <c r="L316">
        <f t="shared" si="17"/>
        <v>5261.08</v>
      </c>
      <c r="M316">
        <f t="shared" si="18"/>
        <v>5261.08</v>
      </c>
      <c r="N316" s="5" t="str">
        <f t="shared" si="19"/>
        <v>February 2022</v>
      </c>
    </row>
    <row r="317" spans="1:14" x14ac:dyDescent="0.25">
      <c r="A317" s="1">
        <v>44612</v>
      </c>
      <c r="B317" t="s">
        <v>2487</v>
      </c>
      <c r="C317">
        <v>50</v>
      </c>
      <c r="D317" t="s">
        <v>9</v>
      </c>
      <c r="E317" t="s">
        <v>10</v>
      </c>
      <c r="F317" t="s">
        <v>16</v>
      </c>
      <c r="G317" t="s">
        <v>36</v>
      </c>
      <c r="H317">
        <v>2339.46</v>
      </c>
      <c r="I317" s="8" t="str" cm="1">
        <f t="array" ref="I317">_xlfn.IFS(C317&lt;=15,"Children and Young Adolescents", C317&gt;64, "Seniors", TRUE, "Working Age")</f>
        <v>Working Age</v>
      </c>
      <c r="J317" s="6">
        <f>VLOOKUP(F317,Analysis!$F$1:$G$5,2,FALSE)</f>
        <v>2509.1716796874912</v>
      </c>
      <c r="K317">
        <f t="shared" si="16"/>
        <v>2573.4</v>
      </c>
      <c r="L317">
        <f t="shared" si="17"/>
        <v>2573.4100000000003</v>
      </c>
      <c r="M317">
        <f t="shared" si="18"/>
        <v>2573.41</v>
      </c>
      <c r="N317" s="5" t="str">
        <f t="shared" si="19"/>
        <v>February 2022</v>
      </c>
    </row>
    <row r="318" spans="1:14" x14ac:dyDescent="0.25">
      <c r="A318" s="1">
        <v>44612</v>
      </c>
      <c r="B318" t="s">
        <v>3981</v>
      </c>
      <c r="C318">
        <v>69</v>
      </c>
      <c r="D318" t="s">
        <v>9</v>
      </c>
      <c r="E318" t="s">
        <v>15</v>
      </c>
      <c r="F318" t="s">
        <v>16</v>
      </c>
      <c r="G318" t="s">
        <v>27</v>
      </c>
      <c r="H318">
        <v>1347.71</v>
      </c>
      <c r="I318" s="8" t="str" cm="1">
        <f t="array" ref="I318">_xlfn.IFS(C318&lt;=15,"Children and Young Adolescents", C318&gt;64, "Seniors", TRUE, "Working Age")</f>
        <v>Seniors</v>
      </c>
      <c r="J318" s="6">
        <f>VLOOKUP(F318,Analysis!$F$1:$G$5,2,FALSE)</f>
        <v>2509.1716796874912</v>
      </c>
      <c r="K318">
        <f t="shared" si="16"/>
        <v>1482.48</v>
      </c>
      <c r="L318">
        <f t="shared" si="17"/>
        <v>1482.49</v>
      </c>
      <c r="M318">
        <f t="shared" si="18"/>
        <v>1482.48</v>
      </c>
      <c r="N318" s="5" t="str">
        <f t="shared" si="19"/>
        <v>February 2022</v>
      </c>
    </row>
    <row r="319" spans="1:14" x14ac:dyDescent="0.25">
      <c r="A319" s="1">
        <v>44613</v>
      </c>
      <c r="B319" t="s">
        <v>354</v>
      </c>
      <c r="C319">
        <v>66</v>
      </c>
      <c r="D319" t="s">
        <v>14</v>
      </c>
      <c r="E319" t="s">
        <v>5032</v>
      </c>
      <c r="F319" t="s">
        <v>16</v>
      </c>
      <c r="G319" t="s">
        <v>39</v>
      </c>
      <c r="H319">
        <v>578.54999999999995</v>
      </c>
      <c r="I319" s="8" t="str" cm="1">
        <f t="array" ref="I319">_xlfn.IFS(C319&lt;=15,"Children and Young Adolescents", C319&gt;64, "Seniors", TRUE, "Working Age")</f>
        <v>Seniors</v>
      </c>
      <c r="J319" s="6">
        <f>VLOOKUP(F319,Analysis!$F$1:$G$5,2,FALSE)</f>
        <v>2509.1716796874912</v>
      </c>
      <c r="K319">
        <f t="shared" si="16"/>
        <v>636.4</v>
      </c>
      <c r="L319">
        <f t="shared" si="17"/>
        <v>636.41</v>
      </c>
      <c r="M319">
        <f t="shared" si="18"/>
        <v>636.41</v>
      </c>
      <c r="N319" s="5" t="str">
        <f t="shared" si="19"/>
        <v>February 2022</v>
      </c>
    </row>
    <row r="320" spans="1:14" x14ac:dyDescent="0.25">
      <c r="A320" s="1">
        <v>44613</v>
      </c>
      <c r="B320" t="s">
        <v>73</v>
      </c>
      <c r="C320">
        <v>97</v>
      </c>
      <c r="D320" t="s">
        <v>9</v>
      </c>
      <c r="E320" t="s">
        <v>22</v>
      </c>
      <c r="F320" t="s">
        <v>16</v>
      </c>
      <c r="G320" t="s">
        <v>17</v>
      </c>
      <c r="H320">
        <v>4363.71</v>
      </c>
      <c r="I320" s="8" t="str" cm="1">
        <f t="array" ref="I320">_xlfn.IFS(C320&lt;=15,"Children and Young Adolescents", C320&gt;64, "Seniors", TRUE, "Working Age")</f>
        <v>Seniors</v>
      </c>
      <c r="J320" s="6">
        <f>VLOOKUP(F320,Analysis!$F$1:$G$5,2,FALSE)</f>
        <v>2509.1716796874912</v>
      </c>
      <c r="K320">
        <f t="shared" si="16"/>
        <v>4800.08</v>
      </c>
      <c r="L320">
        <f t="shared" si="17"/>
        <v>4800.09</v>
      </c>
      <c r="M320">
        <f t="shared" si="18"/>
        <v>4800.08</v>
      </c>
      <c r="N320" s="5" t="str">
        <f t="shared" si="19"/>
        <v>February 2022</v>
      </c>
    </row>
    <row r="321" spans="1:14" x14ac:dyDescent="0.25">
      <c r="A321" s="1">
        <v>44613</v>
      </c>
      <c r="B321" t="s">
        <v>390</v>
      </c>
      <c r="C321">
        <v>30</v>
      </c>
      <c r="D321" t="s">
        <v>14</v>
      </c>
      <c r="E321" t="s">
        <v>32</v>
      </c>
      <c r="F321" t="s">
        <v>23</v>
      </c>
      <c r="G321" t="s">
        <v>39</v>
      </c>
      <c r="H321">
        <v>1124.73</v>
      </c>
      <c r="I321" s="8" t="str" cm="1">
        <f t="array" ref="I321">_xlfn.IFS(C321&lt;=15,"Children and Young Adolescents", C321&gt;64, "Seniors", TRUE, "Working Age")</f>
        <v>Working Age</v>
      </c>
      <c r="J321" s="6">
        <f>VLOOKUP(F321,Analysis!$F$1:$G$5,2,FALSE)</f>
        <v>2440.2966694490838</v>
      </c>
      <c r="K321">
        <f t="shared" si="16"/>
        <v>1237.2</v>
      </c>
      <c r="L321">
        <f t="shared" si="17"/>
        <v>1237.21</v>
      </c>
      <c r="M321">
        <f t="shared" si="18"/>
        <v>1237.2</v>
      </c>
      <c r="N321" s="5" t="str">
        <f t="shared" si="19"/>
        <v>February 2022</v>
      </c>
    </row>
    <row r="322" spans="1:14" x14ac:dyDescent="0.25">
      <c r="A322" s="1">
        <v>44613</v>
      </c>
      <c r="B322" t="s">
        <v>2496</v>
      </c>
      <c r="C322">
        <v>32</v>
      </c>
      <c r="D322" t="s">
        <v>14</v>
      </c>
      <c r="E322" t="s">
        <v>22</v>
      </c>
      <c r="F322" t="s">
        <v>11</v>
      </c>
      <c r="G322" t="s">
        <v>39</v>
      </c>
      <c r="H322">
        <v>4916.0200000000004</v>
      </c>
      <c r="I322" s="8" t="str" cm="1">
        <f t="array" ref="I322">_xlfn.IFS(C322&lt;=15,"Children and Young Adolescents", C322&gt;64, "Seniors", TRUE, "Working Age")</f>
        <v>Working Age</v>
      </c>
      <c r="J322" s="6">
        <f>VLOOKUP(F322,Analysis!$F$1:$G$5,2,FALSE)</f>
        <v>2503.6022787783854</v>
      </c>
      <c r="K322">
        <f t="shared" si="16"/>
        <v>5407.62</v>
      </c>
      <c r="L322">
        <f t="shared" si="17"/>
        <v>5407.63</v>
      </c>
      <c r="M322">
        <f t="shared" si="18"/>
        <v>5407.62</v>
      </c>
      <c r="N322" s="5" t="str">
        <f t="shared" si="19"/>
        <v>February 2022</v>
      </c>
    </row>
    <row r="323" spans="1:14" x14ac:dyDescent="0.25">
      <c r="A323" s="1">
        <v>44613</v>
      </c>
      <c r="B323" t="s">
        <v>3489</v>
      </c>
      <c r="C323">
        <v>12</v>
      </c>
      <c r="D323" t="s">
        <v>9</v>
      </c>
      <c r="E323" t="s">
        <v>32</v>
      </c>
      <c r="F323" t="s">
        <v>11</v>
      </c>
      <c r="G323" t="s">
        <v>39</v>
      </c>
      <c r="H323">
        <v>4311.8500000000004</v>
      </c>
      <c r="I323" s="8" t="str" cm="1">
        <f t="array" ref="I323">_xlfn.IFS(C323&lt;=15,"Children and Young Adolescents", C323&gt;64, "Seniors", TRUE, "Working Age")</f>
        <v>Children and Young Adolescents</v>
      </c>
      <c r="J323" s="6">
        <f>VLOOKUP(F323,Analysis!$F$1:$G$5,2,FALSE)</f>
        <v>2503.6022787783854</v>
      </c>
      <c r="K323">
        <f t="shared" ref="K323:K386" si="20">ROUNDDOWN(H323*1.1,2)</f>
        <v>4743.03</v>
      </c>
      <c r="L323">
        <f t="shared" ref="L323:L386" si="21">ROUNDUP(H323*1.1,2)</f>
        <v>4743.04</v>
      </c>
      <c r="M323">
        <f t="shared" ref="M323:M386" si="22">ROUND(H323*1.1,2)</f>
        <v>4743.04</v>
      </c>
      <c r="N323" s="5" t="str">
        <f t="shared" ref="N323:N386" si="23">TEXT(A323,"mmmm yyyy")</f>
        <v>February 2022</v>
      </c>
    </row>
    <row r="324" spans="1:14" x14ac:dyDescent="0.25">
      <c r="A324" s="1">
        <v>44614</v>
      </c>
      <c r="B324" t="s">
        <v>4383</v>
      </c>
      <c r="C324">
        <v>92</v>
      </c>
      <c r="D324" t="s">
        <v>21</v>
      </c>
      <c r="E324" t="s">
        <v>19</v>
      </c>
      <c r="F324" t="s">
        <v>29</v>
      </c>
      <c r="G324" t="s">
        <v>36</v>
      </c>
      <c r="H324">
        <v>396.14</v>
      </c>
      <c r="I324" s="8" t="str" cm="1">
        <f t="array" ref="I324">_xlfn.IFS(C324&lt;=15,"Children and Young Adolescents", C324&gt;64, "Seniors", TRUE, "Working Age")</f>
        <v>Seniors</v>
      </c>
      <c r="J324" s="6">
        <f>VLOOKUP(F324,Analysis!$F$1:$G$5,2,FALSE)</f>
        <v>2496.7676064256989</v>
      </c>
      <c r="K324">
        <f t="shared" si="20"/>
        <v>435.75</v>
      </c>
      <c r="L324">
        <f t="shared" si="21"/>
        <v>435.76</v>
      </c>
      <c r="M324">
        <f t="shared" si="22"/>
        <v>435.75</v>
      </c>
      <c r="N324" s="5" t="str">
        <f t="shared" si="23"/>
        <v>February 2022</v>
      </c>
    </row>
    <row r="325" spans="1:14" x14ac:dyDescent="0.25">
      <c r="A325" s="1">
        <v>44614</v>
      </c>
      <c r="B325" t="s">
        <v>2523</v>
      </c>
      <c r="C325">
        <v>60</v>
      </c>
      <c r="D325" t="s">
        <v>21</v>
      </c>
      <c r="E325" t="s">
        <v>5032</v>
      </c>
      <c r="F325" t="s">
        <v>16</v>
      </c>
      <c r="G325" t="s">
        <v>36</v>
      </c>
      <c r="H325">
        <v>525.79</v>
      </c>
      <c r="I325" s="8" t="str" cm="1">
        <f t="array" ref="I325">_xlfn.IFS(C325&lt;=15,"Children and Young Adolescents", C325&gt;64, "Seniors", TRUE, "Working Age")</f>
        <v>Working Age</v>
      </c>
      <c r="J325" s="6">
        <f>VLOOKUP(F325,Analysis!$F$1:$G$5,2,FALSE)</f>
        <v>2509.1716796874912</v>
      </c>
      <c r="K325">
        <f t="shared" si="20"/>
        <v>578.36</v>
      </c>
      <c r="L325">
        <f t="shared" si="21"/>
        <v>578.37</v>
      </c>
      <c r="M325">
        <f t="shared" si="22"/>
        <v>578.37</v>
      </c>
      <c r="N325" s="5" t="str">
        <f t="shared" si="23"/>
        <v>February 2022</v>
      </c>
    </row>
    <row r="326" spans="1:14" x14ac:dyDescent="0.25">
      <c r="A326" s="1">
        <v>44614</v>
      </c>
      <c r="B326" t="s">
        <v>646</v>
      </c>
      <c r="C326">
        <v>90</v>
      </c>
      <c r="D326" t="s">
        <v>9</v>
      </c>
      <c r="E326" t="s">
        <v>19</v>
      </c>
      <c r="F326" t="s">
        <v>16</v>
      </c>
      <c r="G326" t="s">
        <v>17</v>
      </c>
      <c r="H326">
        <v>2623.99</v>
      </c>
      <c r="I326" s="8" t="str" cm="1">
        <f t="array" ref="I326">_xlfn.IFS(C326&lt;=15,"Children and Young Adolescents", C326&gt;64, "Seniors", TRUE, "Working Age")</f>
        <v>Seniors</v>
      </c>
      <c r="J326" s="6">
        <f>VLOOKUP(F326,Analysis!$F$1:$G$5,2,FALSE)</f>
        <v>2509.1716796874912</v>
      </c>
      <c r="K326">
        <f t="shared" si="20"/>
        <v>2886.38</v>
      </c>
      <c r="L326">
        <f t="shared" si="21"/>
        <v>2886.3900000000003</v>
      </c>
      <c r="M326">
        <f t="shared" si="22"/>
        <v>2886.39</v>
      </c>
      <c r="N326" s="5" t="str">
        <f t="shared" si="23"/>
        <v>February 2022</v>
      </c>
    </row>
    <row r="327" spans="1:14" x14ac:dyDescent="0.25">
      <c r="A327" s="1">
        <v>44614</v>
      </c>
      <c r="B327" t="s">
        <v>1300</v>
      </c>
      <c r="C327">
        <v>4</v>
      </c>
      <c r="D327" t="s">
        <v>21</v>
      </c>
      <c r="E327" t="s">
        <v>25</v>
      </c>
      <c r="F327" t="s">
        <v>16</v>
      </c>
      <c r="G327" t="s">
        <v>12</v>
      </c>
      <c r="H327">
        <v>2560.25</v>
      </c>
      <c r="I327" s="8" t="str" cm="1">
        <f t="array" ref="I327">_xlfn.IFS(C327&lt;=15,"Children and Young Adolescents", C327&gt;64, "Seniors", TRUE, "Working Age")</f>
        <v>Children and Young Adolescents</v>
      </c>
      <c r="J327" s="6">
        <f>VLOOKUP(F327,Analysis!$F$1:$G$5,2,FALSE)</f>
        <v>2509.1716796874912</v>
      </c>
      <c r="K327">
        <f t="shared" si="20"/>
        <v>2816.27</v>
      </c>
      <c r="L327">
        <f t="shared" si="21"/>
        <v>2816.28</v>
      </c>
      <c r="M327">
        <f t="shared" si="22"/>
        <v>2816.28</v>
      </c>
      <c r="N327" s="5" t="str">
        <f t="shared" si="23"/>
        <v>February 2022</v>
      </c>
    </row>
    <row r="328" spans="1:14" x14ac:dyDescent="0.25">
      <c r="A328" s="1">
        <v>44614</v>
      </c>
      <c r="B328" t="s">
        <v>1210</v>
      </c>
      <c r="C328">
        <v>29</v>
      </c>
      <c r="D328" t="s">
        <v>9</v>
      </c>
      <c r="E328" t="s">
        <v>19</v>
      </c>
      <c r="F328" t="s">
        <v>23</v>
      </c>
      <c r="G328" t="s">
        <v>39</v>
      </c>
      <c r="H328">
        <v>3873.2</v>
      </c>
      <c r="I328" s="8" t="str" cm="1">
        <f t="array" ref="I328">_xlfn.IFS(C328&lt;=15,"Children and Young Adolescents", C328&gt;64, "Seniors", TRUE, "Working Age")</f>
        <v>Working Age</v>
      </c>
      <c r="J328" s="6">
        <f>VLOOKUP(F328,Analysis!$F$1:$G$5,2,FALSE)</f>
        <v>2440.2966694490838</v>
      </c>
      <c r="K328">
        <f t="shared" si="20"/>
        <v>4260.5200000000004</v>
      </c>
      <c r="L328">
        <f t="shared" si="21"/>
        <v>4260.5200000000004</v>
      </c>
      <c r="M328">
        <f t="shared" si="22"/>
        <v>4260.5200000000004</v>
      </c>
      <c r="N328" s="5" t="str">
        <f t="shared" si="23"/>
        <v>February 2022</v>
      </c>
    </row>
    <row r="329" spans="1:14" x14ac:dyDescent="0.25">
      <c r="A329" s="1">
        <v>44614</v>
      </c>
      <c r="B329" t="s">
        <v>1494</v>
      </c>
      <c r="C329">
        <v>14</v>
      </c>
      <c r="D329" t="s">
        <v>21</v>
      </c>
      <c r="E329" t="s">
        <v>25</v>
      </c>
      <c r="F329" t="s">
        <v>11</v>
      </c>
      <c r="G329" t="s">
        <v>17</v>
      </c>
      <c r="H329">
        <v>2927.56</v>
      </c>
      <c r="I329" s="8" t="str" cm="1">
        <f t="array" ref="I329">_xlfn.IFS(C329&lt;=15,"Children and Young Adolescents", C329&gt;64, "Seniors", TRUE, "Working Age")</f>
        <v>Children and Young Adolescents</v>
      </c>
      <c r="J329" s="6">
        <f>VLOOKUP(F329,Analysis!$F$1:$G$5,2,FALSE)</f>
        <v>2503.6022787783854</v>
      </c>
      <c r="K329">
        <f t="shared" si="20"/>
        <v>3220.31</v>
      </c>
      <c r="L329">
        <f t="shared" si="21"/>
        <v>3220.32</v>
      </c>
      <c r="M329">
        <f t="shared" si="22"/>
        <v>3220.32</v>
      </c>
      <c r="N329" s="5" t="str">
        <f t="shared" si="23"/>
        <v>February 2022</v>
      </c>
    </row>
    <row r="330" spans="1:14" x14ac:dyDescent="0.25">
      <c r="A330" s="1">
        <v>44614</v>
      </c>
      <c r="B330" t="s">
        <v>1413</v>
      </c>
      <c r="C330">
        <v>56</v>
      </c>
      <c r="D330" t="s">
        <v>21</v>
      </c>
      <c r="E330" t="s">
        <v>25</v>
      </c>
      <c r="F330" t="s">
        <v>11</v>
      </c>
      <c r="G330" t="s">
        <v>39</v>
      </c>
      <c r="H330">
        <v>1592.84</v>
      </c>
      <c r="I330" s="8" t="str" cm="1">
        <f t="array" ref="I330">_xlfn.IFS(C330&lt;=15,"Children and Young Adolescents", C330&gt;64, "Seniors", TRUE, "Working Age")</f>
        <v>Working Age</v>
      </c>
      <c r="J330" s="6">
        <f>VLOOKUP(F330,Analysis!$F$1:$G$5,2,FALSE)</f>
        <v>2503.6022787783854</v>
      </c>
      <c r="K330">
        <f t="shared" si="20"/>
        <v>1752.12</v>
      </c>
      <c r="L330">
        <f t="shared" si="21"/>
        <v>1752.1299999999999</v>
      </c>
      <c r="M330">
        <f t="shared" si="22"/>
        <v>1752.12</v>
      </c>
      <c r="N330" s="5" t="str">
        <f t="shared" si="23"/>
        <v>February 2022</v>
      </c>
    </row>
    <row r="331" spans="1:14" x14ac:dyDescent="0.25">
      <c r="A331" s="1">
        <v>44615</v>
      </c>
      <c r="B331" t="s">
        <v>2677</v>
      </c>
      <c r="C331">
        <v>27</v>
      </c>
      <c r="D331" t="s">
        <v>14</v>
      </c>
      <c r="E331" t="s">
        <v>22</v>
      </c>
      <c r="F331" t="s">
        <v>29</v>
      </c>
      <c r="G331" t="s">
        <v>39</v>
      </c>
      <c r="H331">
        <v>4064.59</v>
      </c>
      <c r="I331" s="8" t="str" cm="1">
        <f t="array" ref="I331">_xlfn.IFS(C331&lt;=15,"Children and Young Adolescents", C331&gt;64, "Seniors", TRUE, "Working Age")</f>
        <v>Working Age</v>
      </c>
      <c r="J331" s="6">
        <f>VLOOKUP(F331,Analysis!$F$1:$G$5,2,FALSE)</f>
        <v>2496.7676064256989</v>
      </c>
      <c r="K331">
        <f t="shared" si="20"/>
        <v>4471.04</v>
      </c>
      <c r="L331">
        <f t="shared" si="21"/>
        <v>4471.05</v>
      </c>
      <c r="M331">
        <f t="shared" si="22"/>
        <v>4471.05</v>
      </c>
      <c r="N331" s="5" t="str">
        <f t="shared" si="23"/>
        <v>February 2022</v>
      </c>
    </row>
    <row r="332" spans="1:14" x14ac:dyDescent="0.25">
      <c r="A332" s="1">
        <v>44615</v>
      </c>
      <c r="B332" t="s">
        <v>2671</v>
      </c>
      <c r="C332">
        <v>5</v>
      </c>
      <c r="D332" t="s">
        <v>9</v>
      </c>
      <c r="E332" t="s">
        <v>25</v>
      </c>
      <c r="F332" t="s">
        <v>11</v>
      </c>
      <c r="G332" t="s">
        <v>17</v>
      </c>
      <c r="H332">
        <v>510.95</v>
      </c>
      <c r="I332" s="8" t="str" cm="1">
        <f t="array" ref="I332">_xlfn.IFS(C332&lt;=15,"Children and Young Adolescents", C332&gt;64, "Seniors", TRUE, "Working Age")</f>
        <v>Children and Young Adolescents</v>
      </c>
      <c r="J332" s="6">
        <f>VLOOKUP(F332,Analysis!$F$1:$G$5,2,FALSE)</f>
        <v>2503.6022787783854</v>
      </c>
      <c r="K332">
        <f t="shared" si="20"/>
        <v>562.04</v>
      </c>
      <c r="L332">
        <f t="shared" si="21"/>
        <v>562.04999999999995</v>
      </c>
      <c r="M332">
        <f t="shared" si="22"/>
        <v>562.04999999999995</v>
      </c>
      <c r="N332" s="5" t="str">
        <f t="shared" si="23"/>
        <v>February 2022</v>
      </c>
    </row>
    <row r="333" spans="1:14" x14ac:dyDescent="0.25">
      <c r="A333" s="1">
        <v>44615</v>
      </c>
      <c r="B333" t="s">
        <v>982</v>
      </c>
      <c r="C333">
        <v>46</v>
      </c>
      <c r="D333" t="s">
        <v>14</v>
      </c>
      <c r="E333" t="s">
        <v>22</v>
      </c>
      <c r="F333" t="s">
        <v>11</v>
      </c>
      <c r="G333" t="s">
        <v>27</v>
      </c>
      <c r="H333">
        <v>4848.66</v>
      </c>
      <c r="I333" s="8" t="str" cm="1">
        <f t="array" ref="I333">_xlfn.IFS(C333&lt;=15,"Children and Young Adolescents", C333&gt;64, "Seniors", TRUE, "Working Age")</f>
        <v>Working Age</v>
      </c>
      <c r="J333" s="6">
        <f>VLOOKUP(F333,Analysis!$F$1:$G$5,2,FALSE)</f>
        <v>2503.6022787783854</v>
      </c>
      <c r="K333">
        <f t="shared" si="20"/>
        <v>5333.52</v>
      </c>
      <c r="L333">
        <f t="shared" si="21"/>
        <v>5333.5300000000007</v>
      </c>
      <c r="M333">
        <f t="shared" si="22"/>
        <v>5333.53</v>
      </c>
      <c r="N333" s="5" t="str">
        <f t="shared" si="23"/>
        <v>February 2022</v>
      </c>
    </row>
    <row r="334" spans="1:14" x14ac:dyDescent="0.25">
      <c r="A334" s="1">
        <v>44615</v>
      </c>
      <c r="B334" t="s">
        <v>4582</v>
      </c>
      <c r="C334">
        <v>53</v>
      </c>
      <c r="D334" t="s">
        <v>14</v>
      </c>
      <c r="E334" t="s">
        <v>5032</v>
      </c>
      <c r="F334" t="s">
        <v>29</v>
      </c>
      <c r="G334" t="s">
        <v>27</v>
      </c>
      <c r="H334">
        <v>3463.57</v>
      </c>
      <c r="I334" s="8" t="str" cm="1">
        <f t="array" ref="I334">_xlfn.IFS(C334&lt;=15,"Children and Young Adolescents", C334&gt;64, "Seniors", TRUE, "Working Age")</f>
        <v>Working Age</v>
      </c>
      <c r="J334" s="6">
        <f>VLOOKUP(F334,Analysis!$F$1:$G$5,2,FALSE)</f>
        <v>2496.7676064256989</v>
      </c>
      <c r="K334">
        <f t="shared" si="20"/>
        <v>3809.92</v>
      </c>
      <c r="L334">
        <f t="shared" si="21"/>
        <v>3809.9300000000003</v>
      </c>
      <c r="M334">
        <f t="shared" si="22"/>
        <v>3809.93</v>
      </c>
      <c r="N334" s="5" t="str">
        <f t="shared" si="23"/>
        <v>February 2022</v>
      </c>
    </row>
    <row r="335" spans="1:14" x14ac:dyDescent="0.25">
      <c r="A335" s="1">
        <v>44615</v>
      </c>
      <c r="B335" t="s">
        <v>4375</v>
      </c>
      <c r="C335">
        <v>19</v>
      </c>
      <c r="D335" t="s">
        <v>9</v>
      </c>
      <c r="E335" t="s">
        <v>22</v>
      </c>
      <c r="F335" t="s">
        <v>16</v>
      </c>
      <c r="G335" t="s">
        <v>27</v>
      </c>
      <c r="H335">
        <v>1062.78</v>
      </c>
      <c r="I335" s="8" t="str" cm="1">
        <f t="array" ref="I335">_xlfn.IFS(C335&lt;=15,"Children and Young Adolescents", C335&gt;64, "Seniors", TRUE, "Working Age")</f>
        <v>Working Age</v>
      </c>
      <c r="J335" s="6">
        <f>VLOOKUP(F335,Analysis!$F$1:$G$5,2,FALSE)</f>
        <v>2509.1716796874912</v>
      </c>
      <c r="K335">
        <f t="shared" si="20"/>
        <v>1169.05</v>
      </c>
      <c r="L335">
        <f t="shared" si="21"/>
        <v>1169.06</v>
      </c>
      <c r="M335">
        <f t="shared" si="22"/>
        <v>1169.06</v>
      </c>
      <c r="N335" s="5" t="str">
        <f t="shared" si="23"/>
        <v>February 2022</v>
      </c>
    </row>
    <row r="336" spans="1:14" x14ac:dyDescent="0.25">
      <c r="A336" s="1">
        <v>44616</v>
      </c>
      <c r="B336" t="s">
        <v>3553</v>
      </c>
      <c r="C336">
        <v>31</v>
      </c>
      <c r="D336" t="s">
        <v>9</v>
      </c>
      <c r="E336" t="s">
        <v>34</v>
      </c>
      <c r="F336" t="s">
        <v>23</v>
      </c>
      <c r="G336" t="s">
        <v>36</v>
      </c>
      <c r="H336">
        <v>4088.68</v>
      </c>
      <c r="I336" s="8" t="str" cm="1">
        <f t="array" ref="I336">_xlfn.IFS(C336&lt;=15,"Children and Young Adolescents", C336&gt;64, "Seniors", TRUE, "Working Age")</f>
        <v>Working Age</v>
      </c>
      <c r="J336" s="6">
        <f>VLOOKUP(F336,Analysis!$F$1:$G$5,2,FALSE)</f>
        <v>2440.2966694490838</v>
      </c>
      <c r="K336">
        <f t="shared" si="20"/>
        <v>4497.54</v>
      </c>
      <c r="L336">
        <f t="shared" si="21"/>
        <v>4497.55</v>
      </c>
      <c r="M336">
        <f t="shared" si="22"/>
        <v>4497.55</v>
      </c>
      <c r="N336" s="5" t="str">
        <f t="shared" si="23"/>
        <v>February 2022</v>
      </c>
    </row>
    <row r="337" spans="1:14" x14ac:dyDescent="0.25">
      <c r="A337" s="1">
        <v>44616</v>
      </c>
      <c r="B337" t="s">
        <v>784</v>
      </c>
      <c r="C337">
        <v>19</v>
      </c>
      <c r="D337" t="s">
        <v>14</v>
      </c>
      <c r="E337" t="s">
        <v>34</v>
      </c>
      <c r="F337" t="s">
        <v>29</v>
      </c>
      <c r="G337" t="s">
        <v>36</v>
      </c>
      <c r="H337">
        <v>4039.41</v>
      </c>
      <c r="I337" s="8" t="str" cm="1">
        <f t="array" ref="I337">_xlfn.IFS(C337&lt;=15,"Children and Young Adolescents", C337&gt;64, "Seniors", TRUE, "Working Age")</f>
        <v>Working Age</v>
      </c>
      <c r="J337" s="6">
        <f>VLOOKUP(F337,Analysis!$F$1:$G$5,2,FALSE)</f>
        <v>2496.7676064256989</v>
      </c>
      <c r="K337">
        <f t="shared" si="20"/>
        <v>4443.3500000000004</v>
      </c>
      <c r="L337">
        <f t="shared" si="21"/>
        <v>4443.3600000000006</v>
      </c>
      <c r="M337">
        <f t="shared" si="22"/>
        <v>4443.3500000000004</v>
      </c>
      <c r="N337" s="5" t="str">
        <f t="shared" si="23"/>
        <v>February 2022</v>
      </c>
    </row>
    <row r="338" spans="1:14" x14ac:dyDescent="0.25">
      <c r="A338" s="1">
        <v>44617</v>
      </c>
      <c r="B338" t="s">
        <v>4496</v>
      </c>
      <c r="C338">
        <v>91</v>
      </c>
      <c r="D338" t="s">
        <v>14</v>
      </c>
      <c r="E338" t="s">
        <v>15</v>
      </c>
      <c r="F338" t="s">
        <v>29</v>
      </c>
      <c r="G338" t="s">
        <v>27</v>
      </c>
      <c r="H338">
        <v>3899.58</v>
      </c>
      <c r="I338" s="8" t="str" cm="1">
        <f t="array" ref="I338">_xlfn.IFS(C338&lt;=15,"Children and Young Adolescents", C338&gt;64, "Seniors", TRUE, "Working Age")</f>
        <v>Seniors</v>
      </c>
      <c r="J338" s="6">
        <f>VLOOKUP(F338,Analysis!$F$1:$G$5,2,FALSE)</f>
        <v>2496.7676064256989</v>
      </c>
      <c r="K338">
        <f t="shared" si="20"/>
        <v>4289.53</v>
      </c>
      <c r="L338">
        <f t="shared" si="21"/>
        <v>4289.54</v>
      </c>
      <c r="M338">
        <f t="shared" si="22"/>
        <v>4289.54</v>
      </c>
      <c r="N338" s="5" t="str">
        <f t="shared" si="23"/>
        <v>February 2022</v>
      </c>
    </row>
    <row r="339" spans="1:14" x14ac:dyDescent="0.25">
      <c r="A339" s="1">
        <v>44617</v>
      </c>
      <c r="B339" t="s">
        <v>192</v>
      </c>
      <c r="C339">
        <v>42</v>
      </c>
      <c r="D339" t="s">
        <v>21</v>
      </c>
      <c r="E339" t="s">
        <v>15</v>
      </c>
      <c r="F339" t="s">
        <v>23</v>
      </c>
      <c r="G339" t="s">
        <v>12</v>
      </c>
      <c r="H339">
        <v>1654.85</v>
      </c>
      <c r="I339" s="8" t="str" cm="1">
        <f t="array" ref="I339">_xlfn.IFS(C339&lt;=15,"Children and Young Adolescents", C339&gt;64, "Seniors", TRUE, "Working Age")</f>
        <v>Working Age</v>
      </c>
      <c r="J339" s="6">
        <f>VLOOKUP(F339,Analysis!$F$1:$G$5,2,FALSE)</f>
        <v>2440.2966694490838</v>
      </c>
      <c r="K339">
        <f t="shared" si="20"/>
        <v>1820.33</v>
      </c>
      <c r="L339">
        <f t="shared" si="21"/>
        <v>1820.34</v>
      </c>
      <c r="M339">
        <f t="shared" si="22"/>
        <v>1820.34</v>
      </c>
      <c r="N339" s="5" t="str">
        <f t="shared" si="23"/>
        <v>February 2022</v>
      </c>
    </row>
    <row r="340" spans="1:14" x14ac:dyDescent="0.25">
      <c r="A340" s="1">
        <v>44617</v>
      </c>
      <c r="B340" t="s">
        <v>3278</v>
      </c>
      <c r="C340">
        <v>14</v>
      </c>
      <c r="D340" t="s">
        <v>14</v>
      </c>
      <c r="E340" t="s">
        <v>22</v>
      </c>
      <c r="F340" t="s">
        <v>29</v>
      </c>
      <c r="G340" t="s">
        <v>36</v>
      </c>
      <c r="H340">
        <v>567.12</v>
      </c>
      <c r="I340" s="8" t="str" cm="1">
        <f t="array" ref="I340">_xlfn.IFS(C340&lt;=15,"Children and Young Adolescents", C340&gt;64, "Seniors", TRUE, "Working Age")</f>
        <v>Children and Young Adolescents</v>
      </c>
      <c r="J340" s="6">
        <f>VLOOKUP(F340,Analysis!$F$1:$G$5,2,FALSE)</f>
        <v>2496.7676064256989</v>
      </c>
      <c r="K340">
        <f t="shared" si="20"/>
        <v>623.83000000000004</v>
      </c>
      <c r="L340">
        <f t="shared" si="21"/>
        <v>623.84</v>
      </c>
      <c r="M340">
        <f t="shared" si="22"/>
        <v>623.83000000000004</v>
      </c>
      <c r="N340" s="5" t="str">
        <f t="shared" si="23"/>
        <v>February 2022</v>
      </c>
    </row>
    <row r="341" spans="1:14" x14ac:dyDescent="0.25">
      <c r="A341" s="1">
        <v>44617</v>
      </c>
      <c r="B341" t="s">
        <v>4194</v>
      </c>
      <c r="C341">
        <v>8</v>
      </c>
      <c r="D341" t="s">
        <v>21</v>
      </c>
      <c r="E341" t="s">
        <v>22</v>
      </c>
      <c r="F341" t="s">
        <v>23</v>
      </c>
      <c r="G341" t="s">
        <v>12</v>
      </c>
      <c r="H341">
        <v>4308.93</v>
      </c>
      <c r="I341" s="8" t="str" cm="1">
        <f t="array" ref="I341">_xlfn.IFS(C341&lt;=15,"Children and Young Adolescents", C341&gt;64, "Seniors", TRUE, "Working Age")</f>
        <v>Children and Young Adolescents</v>
      </c>
      <c r="J341" s="6">
        <f>VLOOKUP(F341,Analysis!$F$1:$G$5,2,FALSE)</f>
        <v>2440.2966694490838</v>
      </c>
      <c r="K341">
        <f t="shared" si="20"/>
        <v>4739.82</v>
      </c>
      <c r="L341">
        <f t="shared" si="21"/>
        <v>4739.83</v>
      </c>
      <c r="M341">
        <f t="shared" si="22"/>
        <v>4739.82</v>
      </c>
      <c r="N341" s="5" t="str">
        <f t="shared" si="23"/>
        <v>February 2022</v>
      </c>
    </row>
    <row r="342" spans="1:14" x14ac:dyDescent="0.25">
      <c r="A342" s="1">
        <v>44617</v>
      </c>
      <c r="B342" t="s">
        <v>1114</v>
      </c>
      <c r="C342">
        <v>34</v>
      </c>
      <c r="D342" t="s">
        <v>14</v>
      </c>
      <c r="E342" t="s">
        <v>34</v>
      </c>
      <c r="F342" t="s">
        <v>16</v>
      </c>
      <c r="G342" t="s">
        <v>39</v>
      </c>
      <c r="H342">
        <v>2901.58</v>
      </c>
      <c r="I342" s="8" t="str" cm="1">
        <f t="array" ref="I342">_xlfn.IFS(C342&lt;=15,"Children and Young Adolescents", C342&gt;64, "Seniors", TRUE, "Working Age")</f>
        <v>Working Age</v>
      </c>
      <c r="J342" s="6">
        <f>VLOOKUP(F342,Analysis!$F$1:$G$5,2,FALSE)</f>
        <v>2509.1716796874912</v>
      </c>
      <c r="K342">
        <f t="shared" si="20"/>
        <v>3191.73</v>
      </c>
      <c r="L342">
        <f t="shared" si="21"/>
        <v>3191.7400000000002</v>
      </c>
      <c r="M342">
        <f t="shared" si="22"/>
        <v>3191.74</v>
      </c>
      <c r="N342" s="5" t="str">
        <f t="shared" si="23"/>
        <v>February 2022</v>
      </c>
    </row>
    <row r="343" spans="1:14" x14ac:dyDescent="0.25">
      <c r="A343" s="1">
        <v>44617</v>
      </c>
      <c r="B343" t="s">
        <v>2679</v>
      </c>
      <c r="C343">
        <v>61</v>
      </c>
      <c r="D343" t="s">
        <v>21</v>
      </c>
      <c r="E343" t="s">
        <v>34</v>
      </c>
      <c r="F343" t="s">
        <v>11</v>
      </c>
      <c r="G343" t="s">
        <v>39</v>
      </c>
      <c r="H343">
        <v>2489.81</v>
      </c>
      <c r="I343" s="8" t="str" cm="1">
        <f t="array" ref="I343">_xlfn.IFS(C343&lt;=15,"Children and Young Adolescents", C343&gt;64, "Seniors", TRUE, "Working Age")</f>
        <v>Working Age</v>
      </c>
      <c r="J343" s="6">
        <f>VLOOKUP(F343,Analysis!$F$1:$G$5,2,FALSE)</f>
        <v>2503.6022787783854</v>
      </c>
      <c r="K343">
        <f t="shared" si="20"/>
        <v>2738.79</v>
      </c>
      <c r="L343">
        <f t="shared" si="21"/>
        <v>2738.8</v>
      </c>
      <c r="M343">
        <f t="shared" si="22"/>
        <v>2738.79</v>
      </c>
      <c r="N343" s="5" t="str">
        <f t="shared" si="23"/>
        <v>February 2022</v>
      </c>
    </row>
    <row r="344" spans="1:14" x14ac:dyDescent="0.25">
      <c r="A344" s="1">
        <v>44617</v>
      </c>
      <c r="B344" t="s">
        <v>102</v>
      </c>
      <c r="C344">
        <v>21</v>
      </c>
      <c r="D344" t="s">
        <v>9</v>
      </c>
      <c r="E344" t="s">
        <v>34</v>
      </c>
      <c r="F344" t="s">
        <v>29</v>
      </c>
      <c r="G344" t="s">
        <v>39</v>
      </c>
      <c r="H344">
        <v>1118.98</v>
      </c>
      <c r="I344" s="8" t="str" cm="1">
        <f t="array" ref="I344">_xlfn.IFS(C344&lt;=15,"Children and Young Adolescents", C344&gt;64, "Seniors", TRUE, "Working Age")</f>
        <v>Working Age</v>
      </c>
      <c r="J344" s="6">
        <f>VLOOKUP(F344,Analysis!$F$1:$G$5,2,FALSE)</f>
        <v>2496.7676064256989</v>
      </c>
      <c r="K344">
        <f t="shared" si="20"/>
        <v>1230.8699999999999</v>
      </c>
      <c r="L344">
        <f t="shared" si="21"/>
        <v>1230.8799999999999</v>
      </c>
      <c r="M344">
        <f t="shared" si="22"/>
        <v>1230.8800000000001</v>
      </c>
      <c r="N344" s="5" t="str">
        <f t="shared" si="23"/>
        <v>February 2022</v>
      </c>
    </row>
    <row r="345" spans="1:14" x14ac:dyDescent="0.25">
      <c r="A345" s="1">
        <v>44617</v>
      </c>
      <c r="B345" t="s">
        <v>3616</v>
      </c>
      <c r="C345">
        <v>52</v>
      </c>
      <c r="D345" t="s">
        <v>21</v>
      </c>
      <c r="E345" t="s">
        <v>22</v>
      </c>
      <c r="F345" t="s">
        <v>29</v>
      </c>
      <c r="G345" t="s">
        <v>36</v>
      </c>
      <c r="H345">
        <v>2039.54</v>
      </c>
      <c r="I345" s="8" t="str" cm="1">
        <f t="array" ref="I345">_xlfn.IFS(C345&lt;=15,"Children and Young Adolescents", C345&gt;64, "Seniors", TRUE, "Working Age")</f>
        <v>Working Age</v>
      </c>
      <c r="J345" s="6">
        <f>VLOOKUP(F345,Analysis!$F$1:$G$5,2,FALSE)</f>
        <v>2496.7676064256989</v>
      </c>
      <c r="K345">
        <f t="shared" si="20"/>
        <v>2243.4899999999998</v>
      </c>
      <c r="L345">
        <f t="shared" si="21"/>
        <v>2243.5</v>
      </c>
      <c r="M345">
        <f t="shared" si="22"/>
        <v>2243.4899999999998</v>
      </c>
      <c r="N345" s="5" t="str">
        <f t="shared" si="23"/>
        <v>February 2022</v>
      </c>
    </row>
    <row r="346" spans="1:14" x14ac:dyDescent="0.25">
      <c r="A346" s="1">
        <v>44618</v>
      </c>
      <c r="B346" t="s">
        <v>2831</v>
      </c>
      <c r="C346">
        <v>2</v>
      </c>
      <c r="D346" t="s">
        <v>14</v>
      </c>
      <c r="E346" t="s">
        <v>25</v>
      </c>
      <c r="F346" t="s">
        <v>23</v>
      </c>
      <c r="G346" t="s">
        <v>12</v>
      </c>
      <c r="H346">
        <v>1625.16</v>
      </c>
      <c r="I346" s="8" t="str" cm="1">
        <f t="array" ref="I346">_xlfn.IFS(C346&lt;=15,"Children and Young Adolescents", C346&gt;64, "Seniors", TRUE, "Working Age")</f>
        <v>Children and Young Adolescents</v>
      </c>
      <c r="J346" s="6">
        <f>VLOOKUP(F346,Analysis!$F$1:$G$5,2,FALSE)</f>
        <v>2440.2966694490838</v>
      </c>
      <c r="K346">
        <f t="shared" si="20"/>
        <v>1787.67</v>
      </c>
      <c r="L346">
        <f t="shared" si="21"/>
        <v>1787.68</v>
      </c>
      <c r="M346">
        <f t="shared" si="22"/>
        <v>1787.68</v>
      </c>
      <c r="N346" s="5" t="str">
        <f t="shared" si="23"/>
        <v>February 2022</v>
      </c>
    </row>
    <row r="347" spans="1:14" x14ac:dyDescent="0.25">
      <c r="A347" s="1">
        <v>44618</v>
      </c>
      <c r="B347" t="s">
        <v>4940</v>
      </c>
      <c r="C347">
        <v>12</v>
      </c>
      <c r="D347" t="s">
        <v>9</v>
      </c>
      <c r="E347" t="s">
        <v>10</v>
      </c>
      <c r="F347" t="s">
        <v>29</v>
      </c>
      <c r="G347" t="s">
        <v>17</v>
      </c>
      <c r="H347">
        <v>1182.43</v>
      </c>
      <c r="I347" s="8" t="str" cm="1">
        <f t="array" ref="I347">_xlfn.IFS(C347&lt;=15,"Children and Young Adolescents", C347&gt;64, "Seniors", TRUE, "Working Age")</f>
        <v>Children and Young Adolescents</v>
      </c>
      <c r="J347" s="6">
        <f>VLOOKUP(F347,Analysis!$F$1:$G$5,2,FALSE)</f>
        <v>2496.7676064256989</v>
      </c>
      <c r="K347">
        <f t="shared" si="20"/>
        <v>1300.67</v>
      </c>
      <c r="L347">
        <f t="shared" si="21"/>
        <v>1300.68</v>
      </c>
      <c r="M347">
        <f t="shared" si="22"/>
        <v>1300.67</v>
      </c>
      <c r="N347" s="5" t="str">
        <f t="shared" si="23"/>
        <v>February 2022</v>
      </c>
    </row>
    <row r="348" spans="1:14" x14ac:dyDescent="0.25">
      <c r="A348" s="1">
        <v>44618</v>
      </c>
      <c r="B348" t="s">
        <v>4833</v>
      </c>
      <c r="C348">
        <v>1</v>
      </c>
      <c r="D348" t="s">
        <v>14</v>
      </c>
      <c r="E348" t="s">
        <v>10</v>
      </c>
      <c r="F348" t="s">
        <v>23</v>
      </c>
      <c r="G348" t="s">
        <v>17</v>
      </c>
      <c r="H348">
        <v>3135.58</v>
      </c>
      <c r="I348" s="8" t="str" cm="1">
        <f t="array" ref="I348">_xlfn.IFS(C348&lt;=15,"Children and Young Adolescents", C348&gt;64, "Seniors", TRUE, "Working Age")</f>
        <v>Children and Young Adolescents</v>
      </c>
      <c r="J348" s="6">
        <f>VLOOKUP(F348,Analysis!$F$1:$G$5,2,FALSE)</f>
        <v>2440.2966694490838</v>
      </c>
      <c r="K348">
        <f t="shared" si="20"/>
        <v>3449.13</v>
      </c>
      <c r="L348">
        <f t="shared" si="21"/>
        <v>3449.1400000000003</v>
      </c>
      <c r="M348">
        <f t="shared" si="22"/>
        <v>3449.14</v>
      </c>
      <c r="N348" s="5" t="str">
        <f t="shared" si="23"/>
        <v>February 2022</v>
      </c>
    </row>
    <row r="349" spans="1:14" x14ac:dyDescent="0.25">
      <c r="A349" s="1">
        <v>44618</v>
      </c>
      <c r="B349" t="s">
        <v>3648</v>
      </c>
      <c r="C349">
        <v>81</v>
      </c>
      <c r="D349" t="s">
        <v>9</v>
      </c>
      <c r="E349" t="s">
        <v>19</v>
      </c>
      <c r="F349" t="s">
        <v>11</v>
      </c>
      <c r="G349" t="s">
        <v>12</v>
      </c>
      <c r="H349">
        <v>2620.59</v>
      </c>
      <c r="I349" s="8" t="str" cm="1">
        <f t="array" ref="I349">_xlfn.IFS(C349&lt;=15,"Children and Young Adolescents", C349&gt;64, "Seniors", TRUE, "Working Age")</f>
        <v>Seniors</v>
      </c>
      <c r="J349" s="6">
        <f>VLOOKUP(F349,Analysis!$F$1:$G$5,2,FALSE)</f>
        <v>2503.6022787783854</v>
      </c>
      <c r="K349">
        <f t="shared" si="20"/>
        <v>2882.64</v>
      </c>
      <c r="L349">
        <f t="shared" si="21"/>
        <v>2882.65</v>
      </c>
      <c r="M349">
        <f t="shared" si="22"/>
        <v>2882.65</v>
      </c>
      <c r="N349" s="5" t="str">
        <f t="shared" si="23"/>
        <v>February 2022</v>
      </c>
    </row>
    <row r="350" spans="1:14" x14ac:dyDescent="0.25">
      <c r="A350" s="1">
        <v>44618</v>
      </c>
      <c r="B350" t="s">
        <v>4615</v>
      </c>
      <c r="C350">
        <v>41</v>
      </c>
      <c r="D350" t="s">
        <v>21</v>
      </c>
      <c r="E350" t="s">
        <v>10</v>
      </c>
      <c r="F350" t="s">
        <v>11</v>
      </c>
      <c r="G350" t="s">
        <v>27</v>
      </c>
      <c r="H350">
        <v>921.86</v>
      </c>
      <c r="I350" s="8" t="str" cm="1">
        <f t="array" ref="I350">_xlfn.IFS(C350&lt;=15,"Children and Young Adolescents", C350&gt;64, "Seniors", TRUE, "Working Age")</f>
        <v>Working Age</v>
      </c>
      <c r="J350" s="6">
        <f>VLOOKUP(F350,Analysis!$F$1:$G$5,2,FALSE)</f>
        <v>2503.6022787783854</v>
      </c>
      <c r="K350">
        <f t="shared" si="20"/>
        <v>1014.04</v>
      </c>
      <c r="L350">
        <f t="shared" si="21"/>
        <v>1014.05</v>
      </c>
      <c r="M350">
        <f t="shared" si="22"/>
        <v>1014.05</v>
      </c>
      <c r="N350" s="5" t="str">
        <f t="shared" si="23"/>
        <v>February 2022</v>
      </c>
    </row>
    <row r="351" spans="1:14" x14ac:dyDescent="0.25">
      <c r="A351" s="1">
        <v>44618</v>
      </c>
      <c r="B351" t="s">
        <v>1762</v>
      </c>
      <c r="C351">
        <v>71</v>
      </c>
      <c r="D351" t="s">
        <v>14</v>
      </c>
      <c r="E351" t="s">
        <v>34</v>
      </c>
      <c r="F351" t="s">
        <v>16</v>
      </c>
      <c r="G351" t="s">
        <v>39</v>
      </c>
      <c r="H351">
        <v>3540.71</v>
      </c>
      <c r="I351" s="8" t="str" cm="1">
        <f t="array" ref="I351">_xlfn.IFS(C351&lt;=15,"Children and Young Adolescents", C351&gt;64, "Seniors", TRUE, "Working Age")</f>
        <v>Seniors</v>
      </c>
      <c r="J351" s="6">
        <f>VLOOKUP(F351,Analysis!$F$1:$G$5,2,FALSE)</f>
        <v>2509.1716796874912</v>
      </c>
      <c r="K351">
        <f t="shared" si="20"/>
        <v>3894.78</v>
      </c>
      <c r="L351">
        <f t="shared" si="21"/>
        <v>3894.7900000000004</v>
      </c>
      <c r="M351">
        <f t="shared" si="22"/>
        <v>3894.78</v>
      </c>
      <c r="N351" s="5" t="str">
        <f t="shared" si="23"/>
        <v>February 2022</v>
      </c>
    </row>
    <row r="352" spans="1:14" x14ac:dyDescent="0.25">
      <c r="A352" s="1">
        <v>44618</v>
      </c>
      <c r="B352" t="s">
        <v>3839</v>
      </c>
      <c r="C352">
        <v>73</v>
      </c>
      <c r="D352" t="s">
        <v>14</v>
      </c>
      <c r="E352" t="s">
        <v>19</v>
      </c>
      <c r="F352" t="s">
        <v>16</v>
      </c>
      <c r="G352" t="s">
        <v>27</v>
      </c>
      <c r="H352">
        <v>4169.93</v>
      </c>
      <c r="I352" s="8" t="str" cm="1">
        <f t="array" ref="I352">_xlfn.IFS(C352&lt;=15,"Children and Young Adolescents", C352&gt;64, "Seniors", TRUE, "Working Age")</f>
        <v>Seniors</v>
      </c>
      <c r="J352" s="6">
        <f>VLOOKUP(F352,Analysis!$F$1:$G$5,2,FALSE)</f>
        <v>2509.1716796874912</v>
      </c>
      <c r="K352">
        <f t="shared" si="20"/>
        <v>4586.92</v>
      </c>
      <c r="L352">
        <f t="shared" si="21"/>
        <v>4586.93</v>
      </c>
      <c r="M352">
        <f t="shared" si="22"/>
        <v>4586.92</v>
      </c>
      <c r="N352" s="5" t="str">
        <f t="shared" si="23"/>
        <v>February 2022</v>
      </c>
    </row>
    <row r="353" spans="1:14" x14ac:dyDescent="0.25">
      <c r="A353" s="1">
        <v>44618</v>
      </c>
      <c r="B353" t="s">
        <v>2119</v>
      </c>
      <c r="C353">
        <v>91</v>
      </c>
      <c r="D353" t="s">
        <v>9</v>
      </c>
      <c r="E353" t="s">
        <v>25</v>
      </c>
      <c r="F353" t="s">
        <v>11</v>
      </c>
      <c r="G353" t="s">
        <v>39</v>
      </c>
      <c r="H353">
        <v>499.77</v>
      </c>
      <c r="I353" s="8" t="str" cm="1">
        <f t="array" ref="I353">_xlfn.IFS(C353&lt;=15,"Children and Young Adolescents", C353&gt;64, "Seniors", TRUE, "Working Age")</f>
        <v>Seniors</v>
      </c>
      <c r="J353" s="6">
        <f>VLOOKUP(F353,Analysis!$F$1:$G$5,2,FALSE)</f>
        <v>2503.6022787783854</v>
      </c>
      <c r="K353">
        <f t="shared" si="20"/>
        <v>549.74</v>
      </c>
      <c r="L353">
        <f t="shared" si="21"/>
        <v>549.75</v>
      </c>
      <c r="M353">
        <f t="shared" si="22"/>
        <v>549.75</v>
      </c>
      <c r="N353" s="5" t="str">
        <f t="shared" si="23"/>
        <v>February 2022</v>
      </c>
    </row>
    <row r="354" spans="1:14" x14ac:dyDescent="0.25">
      <c r="A354" s="1">
        <v>44618</v>
      </c>
      <c r="B354" t="s">
        <v>596</v>
      </c>
      <c r="C354">
        <v>7</v>
      </c>
      <c r="D354" t="s">
        <v>21</v>
      </c>
      <c r="E354" t="s">
        <v>15</v>
      </c>
      <c r="F354" t="s">
        <v>16</v>
      </c>
      <c r="G354" t="s">
        <v>27</v>
      </c>
      <c r="H354">
        <v>4096.79</v>
      </c>
      <c r="I354" s="8" t="str" cm="1">
        <f t="array" ref="I354">_xlfn.IFS(C354&lt;=15,"Children and Young Adolescents", C354&gt;64, "Seniors", TRUE, "Working Age")</f>
        <v>Children and Young Adolescents</v>
      </c>
      <c r="J354" s="6">
        <f>VLOOKUP(F354,Analysis!$F$1:$G$5,2,FALSE)</f>
        <v>2509.1716796874912</v>
      </c>
      <c r="K354">
        <f t="shared" si="20"/>
        <v>4506.46</v>
      </c>
      <c r="L354">
        <f t="shared" si="21"/>
        <v>4506.47</v>
      </c>
      <c r="M354">
        <f t="shared" si="22"/>
        <v>4506.47</v>
      </c>
      <c r="N354" s="5" t="str">
        <f t="shared" si="23"/>
        <v>February 2022</v>
      </c>
    </row>
    <row r="355" spans="1:14" x14ac:dyDescent="0.25">
      <c r="A355" s="1">
        <v>44619</v>
      </c>
      <c r="B355" t="s">
        <v>3941</v>
      </c>
      <c r="C355">
        <v>82</v>
      </c>
      <c r="D355" t="s">
        <v>21</v>
      </c>
      <c r="E355" t="s">
        <v>34</v>
      </c>
      <c r="F355" t="s">
        <v>23</v>
      </c>
      <c r="G355" t="s">
        <v>39</v>
      </c>
      <c r="H355">
        <v>1852.2</v>
      </c>
      <c r="I355" s="8" t="str" cm="1">
        <f t="array" ref="I355">_xlfn.IFS(C355&lt;=15,"Children and Young Adolescents", C355&gt;64, "Seniors", TRUE, "Working Age")</f>
        <v>Seniors</v>
      </c>
      <c r="J355" s="6">
        <f>VLOOKUP(F355,Analysis!$F$1:$G$5,2,FALSE)</f>
        <v>2440.2966694490838</v>
      </c>
      <c r="K355">
        <f t="shared" si="20"/>
        <v>2037.42</v>
      </c>
      <c r="L355">
        <f t="shared" si="21"/>
        <v>2037.42</v>
      </c>
      <c r="M355">
        <f t="shared" si="22"/>
        <v>2037.42</v>
      </c>
      <c r="N355" s="5" t="str">
        <f t="shared" si="23"/>
        <v>February 2022</v>
      </c>
    </row>
    <row r="356" spans="1:14" x14ac:dyDescent="0.25">
      <c r="A356" s="1">
        <v>44619</v>
      </c>
      <c r="B356" t="s">
        <v>1985</v>
      </c>
      <c r="C356">
        <v>63</v>
      </c>
      <c r="D356" t="s">
        <v>21</v>
      </c>
      <c r="E356" t="s">
        <v>19</v>
      </c>
      <c r="F356" t="s">
        <v>29</v>
      </c>
      <c r="G356" t="s">
        <v>17</v>
      </c>
      <c r="H356">
        <v>1362.34</v>
      </c>
      <c r="I356" s="8" t="str" cm="1">
        <f t="array" ref="I356">_xlfn.IFS(C356&lt;=15,"Children and Young Adolescents", C356&gt;64, "Seniors", TRUE, "Working Age")</f>
        <v>Working Age</v>
      </c>
      <c r="J356" s="6">
        <f>VLOOKUP(F356,Analysis!$F$1:$G$5,2,FALSE)</f>
        <v>2496.7676064256989</v>
      </c>
      <c r="K356">
        <f t="shared" si="20"/>
        <v>1498.57</v>
      </c>
      <c r="L356">
        <f t="shared" si="21"/>
        <v>1498.58</v>
      </c>
      <c r="M356">
        <f t="shared" si="22"/>
        <v>1498.57</v>
      </c>
      <c r="N356" s="5" t="str">
        <f t="shared" si="23"/>
        <v>February 2022</v>
      </c>
    </row>
    <row r="357" spans="1:14" x14ac:dyDescent="0.25">
      <c r="A357" s="1">
        <v>44619</v>
      </c>
      <c r="B357" t="s">
        <v>1964</v>
      </c>
      <c r="C357">
        <v>91</v>
      </c>
      <c r="D357" t="s">
        <v>14</v>
      </c>
      <c r="E357" t="s">
        <v>25</v>
      </c>
      <c r="F357" t="s">
        <v>29</v>
      </c>
      <c r="G357" t="s">
        <v>27</v>
      </c>
      <c r="H357">
        <v>2643.06</v>
      </c>
      <c r="I357" s="8" t="str" cm="1">
        <f t="array" ref="I357">_xlfn.IFS(C357&lt;=15,"Children and Young Adolescents", C357&gt;64, "Seniors", TRUE, "Working Age")</f>
        <v>Seniors</v>
      </c>
      <c r="J357" s="6">
        <f>VLOOKUP(F357,Analysis!$F$1:$G$5,2,FALSE)</f>
        <v>2496.7676064256989</v>
      </c>
      <c r="K357">
        <f t="shared" si="20"/>
        <v>2907.36</v>
      </c>
      <c r="L357">
        <f t="shared" si="21"/>
        <v>2907.3700000000003</v>
      </c>
      <c r="M357">
        <f t="shared" si="22"/>
        <v>2907.37</v>
      </c>
      <c r="N357" s="5" t="str">
        <f t="shared" si="23"/>
        <v>February 2022</v>
      </c>
    </row>
    <row r="358" spans="1:14" x14ac:dyDescent="0.25">
      <c r="A358" s="1">
        <v>44619</v>
      </c>
      <c r="B358" t="s">
        <v>86</v>
      </c>
      <c r="C358">
        <v>93</v>
      </c>
      <c r="D358" t="s">
        <v>9</v>
      </c>
      <c r="E358" t="s">
        <v>32</v>
      </c>
      <c r="F358" t="s">
        <v>29</v>
      </c>
      <c r="G358" t="s">
        <v>39</v>
      </c>
      <c r="H358">
        <v>3925.3</v>
      </c>
      <c r="I358" s="8" t="str" cm="1">
        <f t="array" ref="I358">_xlfn.IFS(C358&lt;=15,"Children and Young Adolescents", C358&gt;64, "Seniors", TRUE, "Working Age")</f>
        <v>Seniors</v>
      </c>
      <c r="J358" s="6">
        <f>VLOOKUP(F358,Analysis!$F$1:$G$5,2,FALSE)</f>
        <v>2496.7676064256989</v>
      </c>
      <c r="K358">
        <f t="shared" si="20"/>
        <v>4317.83</v>
      </c>
      <c r="L358">
        <f t="shared" si="21"/>
        <v>4317.83</v>
      </c>
      <c r="M358">
        <f t="shared" si="22"/>
        <v>4317.83</v>
      </c>
      <c r="N358" s="5" t="str">
        <f t="shared" si="23"/>
        <v>February 2022</v>
      </c>
    </row>
    <row r="359" spans="1:14" x14ac:dyDescent="0.25">
      <c r="A359" s="1">
        <v>44619</v>
      </c>
      <c r="B359" t="s">
        <v>1782</v>
      </c>
      <c r="C359">
        <v>1</v>
      </c>
      <c r="D359" t="s">
        <v>14</v>
      </c>
      <c r="E359" t="s">
        <v>19</v>
      </c>
      <c r="F359" t="s">
        <v>16</v>
      </c>
      <c r="G359" t="s">
        <v>39</v>
      </c>
      <c r="H359">
        <v>3500.16</v>
      </c>
      <c r="I359" s="8" t="str" cm="1">
        <f t="array" ref="I359">_xlfn.IFS(C359&lt;=15,"Children and Young Adolescents", C359&gt;64, "Seniors", TRUE, "Working Age")</f>
        <v>Children and Young Adolescents</v>
      </c>
      <c r="J359" s="6">
        <f>VLOOKUP(F359,Analysis!$F$1:$G$5,2,FALSE)</f>
        <v>2509.1716796874912</v>
      </c>
      <c r="K359">
        <f t="shared" si="20"/>
        <v>3850.17</v>
      </c>
      <c r="L359">
        <f t="shared" si="21"/>
        <v>3850.1800000000003</v>
      </c>
      <c r="M359">
        <f t="shared" si="22"/>
        <v>3850.18</v>
      </c>
      <c r="N359" s="5" t="str">
        <f t="shared" si="23"/>
        <v>February 2022</v>
      </c>
    </row>
    <row r="360" spans="1:14" x14ac:dyDescent="0.25">
      <c r="A360" s="1">
        <v>44619</v>
      </c>
      <c r="B360" t="s">
        <v>529</v>
      </c>
      <c r="C360">
        <v>17</v>
      </c>
      <c r="D360" t="s">
        <v>14</v>
      </c>
      <c r="E360" t="s">
        <v>34</v>
      </c>
      <c r="F360" t="s">
        <v>16</v>
      </c>
      <c r="G360" t="s">
        <v>17</v>
      </c>
      <c r="H360">
        <v>2356.5100000000002</v>
      </c>
      <c r="I360" s="8" t="str" cm="1">
        <f t="array" ref="I360">_xlfn.IFS(C360&lt;=15,"Children and Young Adolescents", C360&gt;64, "Seniors", TRUE, "Working Age")</f>
        <v>Working Age</v>
      </c>
      <c r="J360" s="6">
        <f>VLOOKUP(F360,Analysis!$F$1:$G$5,2,FALSE)</f>
        <v>2509.1716796874912</v>
      </c>
      <c r="K360">
        <f t="shared" si="20"/>
        <v>2592.16</v>
      </c>
      <c r="L360">
        <f t="shared" si="21"/>
        <v>2592.17</v>
      </c>
      <c r="M360">
        <f t="shared" si="22"/>
        <v>2592.16</v>
      </c>
      <c r="N360" s="5" t="str">
        <f t="shared" si="23"/>
        <v>February 2022</v>
      </c>
    </row>
    <row r="361" spans="1:14" x14ac:dyDescent="0.25">
      <c r="A361" s="1">
        <v>44620</v>
      </c>
      <c r="B361" t="s">
        <v>2499</v>
      </c>
      <c r="C361">
        <v>33</v>
      </c>
      <c r="D361" t="s">
        <v>9</v>
      </c>
      <c r="E361" t="s">
        <v>32</v>
      </c>
      <c r="F361" t="s">
        <v>23</v>
      </c>
      <c r="G361" t="s">
        <v>17</v>
      </c>
      <c r="H361">
        <v>324.8</v>
      </c>
      <c r="I361" s="8" t="str" cm="1">
        <f t="array" ref="I361">_xlfn.IFS(C361&lt;=15,"Children and Young Adolescents", C361&gt;64, "Seniors", TRUE, "Working Age")</f>
        <v>Working Age</v>
      </c>
      <c r="J361" s="6">
        <f>VLOOKUP(F361,Analysis!$F$1:$G$5,2,FALSE)</f>
        <v>2440.2966694490838</v>
      </c>
      <c r="K361">
        <f t="shared" si="20"/>
        <v>357.28</v>
      </c>
      <c r="L361">
        <f t="shared" si="21"/>
        <v>357.28</v>
      </c>
      <c r="M361">
        <f t="shared" si="22"/>
        <v>357.28</v>
      </c>
      <c r="N361" s="5" t="str">
        <f t="shared" si="23"/>
        <v>February 2022</v>
      </c>
    </row>
    <row r="362" spans="1:14" x14ac:dyDescent="0.25">
      <c r="A362" s="1">
        <v>44620</v>
      </c>
      <c r="B362" t="s">
        <v>3186</v>
      </c>
      <c r="C362">
        <v>96</v>
      </c>
      <c r="D362" t="s">
        <v>9</v>
      </c>
      <c r="E362" t="s">
        <v>22</v>
      </c>
      <c r="F362" t="s">
        <v>16</v>
      </c>
      <c r="G362" t="s">
        <v>12</v>
      </c>
      <c r="H362">
        <v>4042.66</v>
      </c>
      <c r="I362" s="8" t="str" cm="1">
        <f t="array" ref="I362">_xlfn.IFS(C362&lt;=15,"Children and Young Adolescents", C362&gt;64, "Seniors", TRUE, "Working Age")</f>
        <v>Seniors</v>
      </c>
      <c r="J362" s="6">
        <f>VLOOKUP(F362,Analysis!$F$1:$G$5,2,FALSE)</f>
        <v>2509.1716796874912</v>
      </c>
      <c r="K362">
        <f t="shared" si="20"/>
        <v>4446.92</v>
      </c>
      <c r="L362">
        <f t="shared" si="21"/>
        <v>4446.93</v>
      </c>
      <c r="M362">
        <f t="shared" si="22"/>
        <v>4446.93</v>
      </c>
      <c r="N362" s="5" t="str">
        <f t="shared" si="23"/>
        <v>February 2022</v>
      </c>
    </row>
    <row r="363" spans="1:14" x14ac:dyDescent="0.25">
      <c r="A363" s="1">
        <v>44620</v>
      </c>
      <c r="B363" t="s">
        <v>228</v>
      </c>
      <c r="C363">
        <v>39</v>
      </c>
      <c r="D363" t="s">
        <v>14</v>
      </c>
      <c r="E363" t="s">
        <v>22</v>
      </c>
      <c r="F363" t="s">
        <v>16</v>
      </c>
      <c r="G363" t="s">
        <v>27</v>
      </c>
      <c r="H363">
        <v>4741.07</v>
      </c>
      <c r="I363" s="8" t="str" cm="1">
        <f t="array" ref="I363">_xlfn.IFS(C363&lt;=15,"Children and Young Adolescents", C363&gt;64, "Seniors", TRUE, "Working Age")</f>
        <v>Working Age</v>
      </c>
      <c r="J363" s="6">
        <f>VLOOKUP(F363,Analysis!$F$1:$G$5,2,FALSE)</f>
        <v>2509.1716796874912</v>
      </c>
      <c r="K363">
        <f t="shared" si="20"/>
        <v>5215.17</v>
      </c>
      <c r="L363">
        <f t="shared" si="21"/>
        <v>5215.18</v>
      </c>
      <c r="M363">
        <f t="shared" si="22"/>
        <v>5215.18</v>
      </c>
      <c r="N363" s="5" t="str">
        <f t="shared" si="23"/>
        <v>February 2022</v>
      </c>
    </row>
    <row r="364" spans="1:14" x14ac:dyDescent="0.25">
      <c r="A364" s="1">
        <v>44620</v>
      </c>
      <c r="B364" t="s">
        <v>743</v>
      </c>
      <c r="C364">
        <v>58</v>
      </c>
      <c r="D364" t="s">
        <v>21</v>
      </c>
      <c r="E364" t="s">
        <v>22</v>
      </c>
      <c r="F364" t="s">
        <v>11</v>
      </c>
      <c r="G364" t="s">
        <v>36</v>
      </c>
      <c r="H364">
        <v>3316.63</v>
      </c>
      <c r="I364" s="8" t="str" cm="1">
        <f t="array" ref="I364">_xlfn.IFS(C364&lt;=15,"Children and Young Adolescents", C364&gt;64, "Seniors", TRUE, "Working Age")</f>
        <v>Working Age</v>
      </c>
      <c r="J364" s="6">
        <f>VLOOKUP(F364,Analysis!$F$1:$G$5,2,FALSE)</f>
        <v>2503.6022787783854</v>
      </c>
      <c r="K364">
        <f t="shared" si="20"/>
        <v>3648.29</v>
      </c>
      <c r="L364">
        <f t="shared" si="21"/>
        <v>3648.3</v>
      </c>
      <c r="M364">
        <f t="shared" si="22"/>
        <v>3648.29</v>
      </c>
      <c r="N364" s="5" t="str">
        <f t="shared" si="23"/>
        <v>February 2022</v>
      </c>
    </row>
    <row r="365" spans="1:14" x14ac:dyDescent="0.25">
      <c r="A365" s="1">
        <v>44620</v>
      </c>
      <c r="B365" t="s">
        <v>3963</v>
      </c>
      <c r="C365">
        <v>80</v>
      </c>
      <c r="D365" t="s">
        <v>21</v>
      </c>
      <c r="E365" t="s">
        <v>10</v>
      </c>
      <c r="F365" t="s">
        <v>29</v>
      </c>
      <c r="G365" t="s">
        <v>39</v>
      </c>
      <c r="H365">
        <v>1944.84</v>
      </c>
      <c r="I365" s="8" t="str" cm="1">
        <f t="array" ref="I365">_xlfn.IFS(C365&lt;=15,"Children and Young Adolescents", C365&gt;64, "Seniors", TRUE, "Working Age")</f>
        <v>Seniors</v>
      </c>
      <c r="J365" s="6">
        <f>VLOOKUP(F365,Analysis!$F$1:$G$5,2,FALSE)</f>
        <v>2496.7676064256989</v>
      </c>
      <c r="K365">
        <f t="shared" si="20"/>
        <v>2139.3200000000002</v>
      </c>
      <c r="L365">
        <f t="shared" si="21"/>
        <v>2139.3300000000004</v>
      </c>
      <c r="M365">
        <f t="shared" si="22"/>
        <v>2139.3200000000002</v>
      </c>
      <c r="N365" s="5" t="str">
        <f t="shared" si="23"/>
        <v>February 2022</v>
      </c>
    </row>
    <row r="366" spans="1:14" x14ac:dyDescent="0.25">
      <c r="A366" s="1">
        <v>44620</v>
      </c>
      <c r="B366" t="s">
        <v>4046</v>
      </c>
      <c r="C366">
        <v>69</v>
      </c>
      <c r="D366" t="s">
        <v>9</v>
      </c>
      <c r="E366" t="s">
        <v>22</v>
      </c>
      <c r="F366" t="s">
        <v>16</v>
      </c>
      <c r="G366" t="s">
        <v>27</v>
      </c>
      <c r="H366">
        <v>1407.71</v>
      </c>
      <c r="I366" s="8" t="str" cm="1">
        <f t="array" ref="I366">_xlfn.IFS(C366&lt;=15,"Children and Young Adolescents", C366&gt;64, "Seniors", TRUE, "Working Age")</f>
        <v>Seniors</v>
      </c>
      <c r="J366" s="6">
        <f>VLOOKUP(F366,Analysis!$F$1:$G$5,2,FALSE)</f>
        <v>2509.1716796874912</v>
      </c>
      <c r="K366">
        <f t="shared" si="20"/>
        <v>1548.48</v>
      </c>
      <c r="L366">
        <f t="shared" si="21"/>
        <v>1548.49</v>
      </c>
      <c r="M366">
        <f t="shared" si="22"/>
        <v>1548.48</v>
      </c>
      <c r="N366" s="5" t="str">
        <f t="shared" si="23"/>
        <v>February 2022</v>
      </c>
    </row>
    <row r="367" spans="1:14" x14ac:dyDescent="0.25">
      <c r="A367" s="1">
        <v>44620</v>
      </c>
      <c r="B367" t="s">
        <v>4780</v>
      </c>
      <c r="C367">
        <v>59</v>
      </c>
      <c r="D367" t="s">
        <v>14</v>
      </c>
      <c r="E367" t="s">
        <v>15</v>
      </c>
      <c r="F367" t="s">
        <v>29</v>
      </c>
      <c r="G367" t="s">
        <v>17</v>
      </c>
      <c r="H367">
        <v>4558.49</v>
      </c>
      <c r="I367" s="8" t="str" cm="1">
        <f t="array" ref="I367">_xlfn.IFS(C367&lt;=15,"Children and Young Adolescents", C367&gt;64, "Seniors", TRUE, "Working Age")</f>
        <v>Working Age</v>
      </c>
      <c r="J367" s="6">
        <f>VLOOKUP(F367,Analysis!$F$1:$G$5,2,FALSE)</f>
        <v>2496.7676064256989</v>
      </c>
      <c r="K367">
        <f t="shared" si="20"/>
        <v>5014.33</v>
      </c>
      <c r="L367">
        <f t="shared" si="21"/>
        <v>5014.34</v>
      </c>
      <c r="M367">
        <f t="shared" si="22"/>
        <v>5014.34</v>
      </c>
      <c r="N367" s="5" t="str">
        <f t="shared" si="23"/>
        <v>February 2022</v>
      </c>
    </row>
    <row r="368" spans="1:14" x14ac:dyDescent="0.25">
      <c r="A368" s="1">
        <v>44620</v>
      </c>
      <c r="B368" t="s">
        <v>3697</v>
      </c>
      <c r="C368">
        <v>61</v>
      </c>
      <c r="D368" t="s">
        <v>9</v>
      </c>
      <c r="E368" t="s">
        <v>34</v>
      </c>
      <c r="F368" t="s">
        <v>11</v>
      </c>
      <c r="G368" t="s">
        <v>17</v>
      </c>
      <c r="H368">
        <v>103.51</v>
      </c>
      <c r="I368" s="8" t="str" cm="1">
        <f t="array" ref="I368">_xlfn.IFS(C368&lt;=15,"Children and Young Adolescents", C368&gt;64, "Seniors", TRUE, "Working Age")</f>
        <v>Working Age</v>
      </c>
      <c r="J368" s="6">
        <f>VLOOKUP(F368,Analysis!$F$1:$G$5,2,FALSE)</f>
        <v>2503.6022787783854</v>
      </c>
      <c r="K368">
        <f t="shared" si="20"/>
        <v>113.86</v>
      </c>
      <c r="L368">
        <f t="shared" si="21"/>
        <v>113.87</v>
      </c>
      <c r="M368">
        <f t="shared" si="22"/>
        <v>113.86</v>
      </c>
      <c r="N368" s="5" t="str">
        <f t="shared" si="23"/>
        <v>February 2022</v>
      </c>
    </row>
    <row r="369" spans="1:14" x14ac:dyDescent="0.25">
      <c r="A369" s="1">
        <v>44620</v>
      </c>
      <c r="B369" t="s">
        <v>2828</v>
      </c>
      <c r="C369">
        <v>1</v>
      </c>
      <c r="D369" t="s">
        <v>9</v>
      </c>
      <c r="E369" t="s">
        <v>15</v>
      </c>
      <c r="F369" t="s">
        <v>11</v>
      </c>
      <c r="G369" t="s">
        <v>36</v>
      </c>
      <c r="H369">
        <v>1060.9000000000001</v>
      </c>
      <c r="I369" s="8" t="str" cm="1">
        <f t="array" ref="I369">_xlfn.IFS(C369&lt;=15,"Children and Young Adolescents", C369&gt;64, "Seniors", TRUE, "Working Age")</f>
        <v>Children and Young Adolescents</v>
      </c>
      <c r="J369" s="6">
        <f>VLOOKUP(F369,Analysis!$F$1:$G$5,2,FALSE)</f>
        <v>2503.6022787783854</v>
      </c>
      <c r="K369">
        <f t="shared" si="20"/>
        <v>1166.99</v>
      </c>
      <c r="L369">
        <f t="shared" si="21"/>
        <v>1166.99</v>
      </c>
      <c r="M369">
        <f t="shared" si="22"/>
        <v>1166.99</v>
      </c>
      <c r="N369" s="5" t="str">
        <f t="shared" si="23"/>
        <v>February 2022</v>
      </c>
    </row>
    <row r="370" spans="1:14" x14ac:dyDescent="0.25">
      <c r="A370" s="1">
        <v>44620</v>
      </c>
      <c r="B370" t="s">
        <v>4525</v>
      </c>
      <c r="C370">
        <v>59</v>
      </c>
      <c r="D370" t="s">
        <v>21</v>
      </c>
      <c r="E370" t="s">
        <v>22</v>
      </c>
      <c r="F370" t="s">
        <v>16</v>
      </c>
      <c r="G370" t="s">
        <v>27</v>
      </c>
      <c r="H370">
        <v>2866.44</v>
      </c>
      <c r="I370" s="8" t="str" cm="1">
        <f t="array" ref="I370">_xlfn.IFS(C370&lt;=15,"Children and Young Adolescents", C370&gt;64, "Seniors", TRUE, "Working Age")</f>
        <v>Working Age</v>
      </c>
      <c r="J370" s="6">
        <f>VLOOKUP(F370,Analysis!$F$1:$G$5,2,FALSE)</f>
        <v>2509.1716796874912</v>
      </c>
      <c r="K370">
        <f t="shared" si="20"/>
        <v>3153.08</v>
      </c>
      <c r="L370">
        <f t="shared" si="21"/>
        <v>3153.09</v>
      </c>
      <c r="M370">
        <f t="shared" si="22"/>
        <v>3153.08</v>
      </c>
      <c r="N370" s="5" t="str">
        <f t="shared" si="23"/>
        <v>February 2022</v>
      </c>
    </row>
    <row r="371" spans="1:14" x14ac:dyDescent="0.25">
      <c r="A371" s="1">
        <v>44620</v>
      </c>
      <c r="B371" t="s">
        <v>2464</v>
      </c>
      <c r="C371">
        <v>70</v>
      </c>
      <c r="D371" t="s">
        <v>9</v>
      </c>
      <c r="E371" t="s">
        <v>34</v>
      </c>
      <c r="F371" t="s">
        <v>16</v>
      </c>
      <c r="G371" t="s">
        <v>12</v>
      </c>
      <c r="H371">
        <v>2888.05</v>
      </c>
      <c r="I371" s="8" t="str" cm="1">
        <f t="array" ref="I371">_xlfn.IFS(C371&lt;=15,"Children and Young Adolescents", C371&gt;64, "Seniors", TRUE, "Working Age")</f>
        <v>Seniors</v>
      </c>
      <c r="J371" s="6">
        <f>VLOOKUP(F371,Analysis!$F$1:$G$5,2,FALSE)</f>
        <v>2509.1716796874912</v>
      </c>
      <c r="K371">
        <f t="shared" si="20"/>
        <v>3176.85</v>
      </c>
      <c r="L371">
        <f t="shared" si="21"/>
        <v>3176.86</v>
      </c>
      <c r="M371">
        <f t="shared" si="22"/>
        <v>3176.86</v>
      </c>
      <c r="N371" s="5" t="str">
        <f t="shared" si="23"/>
        <v>February 2022</v>
      </c>
    </row>
    <row r="372" spans="1:14" x14ac:dyDescent="0.25">
      <c r="A372" s="1">
        <v>44621</v>
      </c>
      <c r="B372" t="s">
        <v>220</v>
      </c>
      <c r="C372">
        <v>55</v>
      </c>
      <c r="D372" t="s">
        <v>14</v>
      </c>
      <c r="E372" t="s">
        <v>19</v>
      </c>
      <c r="F372" t="s">
        <v>23</v>
      </c>
      <c r="G372" t="s">
        <v>12</v>
      </c>
      <c r="H372">
        <v>718.99</v>
      </c>
      <c r="I372" s="8" t="str" cm="1">
        <f t="array" ref="I372">_xlfn.IFS(C372&lt;=15,"Children and Young Adolescents", C372&gt;64, "Seniors", TRUE, "Working Age")</f>
        <v>Working Age</v>
      </c>
      <c r="J372" s="6">
        <f>VLOOKUP(F372,Analysis!$F$1:$G$5,2,FALSE)</f>
        <v>2440.2966694490838</v>
      </c>
      <c r="K372">
        <f t="shared" si="20"/>
        <v>790.88</v>
      </c>
      <c r="L372">
        <f t="shared" si="21"/>
        <v>790.89</v>
      </c>
      <c r="M372">
        <f t="shared" si="22"/>
        <v>790.89</v>
      </c>
      <c r="N372" s="5" t="str">
        <f t="shared" si="23"/>
        <v>March 2022</v>
      </c>
    </row>
    <row r="373" spans="1:14" x14ac:dyDescent="0.25">
      <c r="A373" s="1">
        <v>44621</v>
      </c>
      <c r="B373" t="s">
        <v>3662</v>
      </c>
      <c r="C373">
        <v>0</v>
      </c>
      <c r="D373" t="s">
        <v>9</v>
      </c>
      <c r="E373" t="s">
        <v>34</v>
      </c>
      <c r="F373" t="s">
        <v>11</v>
      </c>
      <c r="G373" t="s">
        <v>36</v>
      </c>
      <c r="H373">
        <v>325.2</v>
      </c>
      <c r="I373" s="8" t="str" cm="1">
        <f t="array" ref="I373">_xlfn.IFS(C373&lt;=15,"Children and Young Adolescents", C373&gt;64, "Seniors", TRUE, "Working Age")</f>
        <v>Children and Young Adolescents</v>
      </c>
      <c r="J373" s="6">
        <f>VLOOKUP(F373,Analysis!$F$1:$G$5,2,FALSE)</f>
        <v>2503.6022787783854</v>
      </c>
      <c r="K373">
        <f t="shared" si="20"/>
        <v>357.72</v>
      </c>
      <c r="L373">
        <f t="shared" si="21"/>
        <v>357.72</v>
      </c>
      <c r="M373">
        <f t="shared" si="22"/>
        <v>357.72</v>
      </c>
      <c r="N373" s="5" t="str">
        <f t="shared" si="23"/>
        <v>March 2022</v>
      </c>
    </row>
    <row r="374" spans="1:14" x14ac:dyDescent="0.25">
      <c r="A374" s="1">
        <v>44621</v>
      </c>
      <c r="B374" t="s">
        <v>537</v>
      </c>
      <c r="C374">
        <v>28</v>
      </c>
      <c r="D374" t="s">
        <v>9</v>
      </c>
      <c r="E374" t="s">
        <v>19</v>
      </c>
      <c r="F374" t="s">
        <v>29</v>
      </c>
      <c r="G374" t="s">
        <v>27</v>
      </c>
      <c r="H374">
        <v>3438.05</v>
      </c>
      <c r="I374" s="8" t="str" cm="1">
        <f t="array" ref="I374">_xlfn.IFS(C374&lt;=15,"Children and Young Adolescents", C374&gt;64, "Seniors", TRUE, "Working Age")</f>
        <v>Working Age</v>
      </c>
      <c r="J374" s="6">
        <f>VLOOKUP(F374,Analysis!$F$1:$G$5,2,FALSE)</f>
        <v>2496.7676064256989</v>
      </c>
      <c r="K374">
        <f t="shared" si="20"/>
        <v>3781.85</v>
      </c>
      <c r="L374">
        <f t="shared" si="21"/>
        <v>3781.86</v>
      </c>
      <c r="M374">
        <f t="shared" si="22"/>
        <v>3781.86</v>
      </c>
      <c r="N374" s="5" t="str">
        <f t="shared" si="23"/>
        <v>March 2022</v>
      </c>
    </row>
    <row r="375" spans="1:14" x14ac:dyDescent="0.25">
      <c r="A375" s="1">
        <v>44621</v>
      </c>
      <c r="B375" t="s">
        <v>4337</v>
      </c>
      <c r="C375">
        <v>6</v>
      </c>
      <c r="D375" t="s">
        <v>14</v>
      </c>
      <c r="E375" t="s">
        <v>15</v>
      </c>
      <c r="F375" t="s">
        <v>11</v>
      </c>
      <c r="G375" t="s">
        <v>12</v>
      </c>
      <c r="H375">
        <v>4759.76</v>
      </c>
      <c r="I375" s="8" t="str" cm="1">
        <f t="array" ref="I375">_xlfn.IFS(C375&lt;=15,"Children and Young Adolescents", C375&gt;64, "Seniors", TRUE, "Working Age")</f>
        <v>Children and Young Adolescents</v>
      </c>
      <c r="J375" s="6">
        <f>VLOOKUP(F375,Analysis!$F$1:$G$5,2,FALSE)</f>
        <v>2503.6022787783854</v>
      </c>
      <c r="K375">
        <f t="shared" si="20"/>
        <v>5235.7299999999996</v>
      </c>
      <c r="L375">
        <f t="shared" si="21"/>
        <v>5235.74</v>
      </c>
      <c r="M375">
        <f t="shared" si="22"/>
        <v>5235.74</v>
      </c>
      <c r="N375" s="5" t="str">
        <f t="shared" si="23"/>
        <v>March 2022</v>
      </c>
    </row>
    <row r="376" spans="1:14" x14ac:dyDescent="0.25">
      <c r="A376" s="1">
        <v>44621</v>
      </c>
      <c r="B376" t="s">
        <v>2965</v>
      </c>
      <c r="C376">
        <v>73</v>
      </c>
      <c r="D376" t="s">
        <v>14</v>
      </c>
      <c r="E376" t="s">
        <v>15</v>
      </c>
      <c r="F376" t="s">
        <v>23</v>
      </c>
      <c r="G376" t="s">
        <v>12</v>
      </c>
      <c r="H376">
        <v>164.08</v>
      </c>
      <c r="I376" s="8" t="str" cm="1">
        <f t="array" ref="I376">_xlfn.IFS(C376&lt;=15,"Children and Young Adolescents", C376&gt;64, "Seniors", TRUE, "Working Age")</f>
        <v>Seniors</v>
      </c>
      <c r="J376" s="6">
        <f>VLOOKUP(F376,Analysis!$F$1:$G$5,2,FALSE)</f>
        <v>2440.2966694490838</v>
      </c>
      <c r="K376">
        <f t="shared" si="20"/>
        <v>180.48</v>
      </c>
      <c r="L376">
        <f t="shared" si="21"/>
        <v>180.48999999999998</v>
      </c>
      <c r="M376">
        <f t="shared" si="22"/>
        <v>180.49</v>
      </c>
      <c r="N376" s="5" t="str">
        <f t="shared" si="23"/>
        <v>March 2022</v>
      </c>
    </row>
    <row r="377" spans="1:14" x14ac:dyDescent="0.25">
      <c r="A377" s="1">
        <v>44621</v>
      </c>
      <c r="B377" t="s">
        <v>1816</v>
      </c>
      <c r="C377">
        <v>46</v>
      </c>
      <c r="D377" t="s">
        <v>14</v>
      </c>
      <c r="E377" t="s">
        <v>25</v>
      </c>
      <c r="F377" t="s">
        <v>16</v>
      </c>
      <c r="G377" t="s">
        <v>39</v>
      </c>
      <c r="H377">
        <v>4727.32</v>
      </c>
      <c r="I377" s="8" t="str" cm="1">
        <f t="array" ref="I377">_xlfn.IFS(C377&lt;=15,"Children and Young Adolescents", C377&gt;64, "Seniors", TRUE, "Working Age")</f>
        <v>Working Age</v>
      </c>
      <c r="J377" s="6">
        <f>VLOOKUP(F377,Analysis!$F$1:$G$5,2,FALSE)</f>
        <v>2509.1716796874912</v>
      </c>
      <c r="K377">
        <f t="shared" si="20"/>
        <v>5200.05</v>
      </c>
      <c r="L377">
        <f t="shared" si="21"/>
        <v>5200.0600000000004</v>
      </c>
      <c r="M377">
        <f t="shared" si="22"/>
        <v>5200.05</v>
      </c>
      <c r="N377" s="5" t="str">
        <f t="shared" si="23"/>
        <v>March 2022</v>
      </c>
    </row>
    <row r="378" spans="1:14" x14ac:dyDescent="0.25">
      <c r="A378" s="1">
        <v>44622</v>
      </c>
      <c r="B378" t="s">
        <v>600</v>
      </c>
      <c r="C378">
        <v>75</v>
      </c>
      <c r="D378" t="s">
        <v>14</v>
      </c>
      <c r="E378" t="s">
        <v>19</v>
      </c>
      <c r="F378" t="s">
        <v>23</v>
      </c>
      <c r="G378" t="s">
        <v>12</v>
      </c>
      <c r="H378">
        <v>4398.3900000000003</v>
      </c>
      <c r="I378" s="8" t="str" cm="1">
        <f t="array" ref="I378">_xlfn.IFS(C378&lt;=15,"Children and Young Adolescents", C378&gt;64, "Seniors", TRUE, "Working Age")</f>
        <v>Seniors</v>
      </c>
      <c r="J378" s="6">
        <f>VLOOKUP(F378,Analysis!$F$1:$G$5,2,FALSE)</f>
        <v>2440.2966694490838</v>
      </c>
      <c r="K378">
        <f t="shared" si="20"/>
        <v>4838.22</v>
      </c>
      <c r="L378">
        <f t="shared" si="21"/>
        <v>4838.2300000000005</v>
      </c>
      <c r="M378">
        <f t="shared" si="22"/>
        <v>4838.2299999999996</v>
      </c>
      <c r="N378" s="5" t="str">
        <f t="shared" si="23"/>
        <v>March 2022</v>
      </c>
    </row>
    <row r="379" spans="1:14" x14ac:dyDescent="0.25">
      <c r="A379" s="1">
        <v>44623</v>
      </c>
      <c r="B379" t="s">
        <v>4038</v>
      </c>
      <c r="C379">
        <v>35</v>
      </c>
      <c r="D379" t="s">
        <v>21</v>
      </c>
      <c r="E379" t="s">
        <v>19</v>
      </c>
      <c r="F379" t="s">
        <v>23</v>
      </c>
      <c r="G379" t="s">
        <v>27</v>
      </c>
      <c r="H379">
        <v>3490.35</v>
      </c>
      <c r="I379" s="8" t="str" cm="1">
        <f t="array" ref="I379">_xlfn.IFS(C379&lt;=15,"Children and Young Adolescents", C379&gt;64, "Seniors", TRUE, "Working Age")</f>
        <v>Working Age</v>
      </c>
      <c r="J379" s="6">
        <f>VLOOKUP(F379,Analysis!$F$1:$G$5,2,FALSE)</f>
        <v>2440.2966694490838</v>
      </c>
      <c r="K379">
        <f t="shared" si="20"/>
        <v>3839.38</v>
      </c>
      <c r="L379">
        <f t="shared" si="21"/>
        <v>3839.3900000000003</v>
      </c>
      <c r="M379">
        <f t="shared" si="22"/>
        <v>3839.39</v>
      </c>
      <c r="N379" s="5" t="str">
        <f t="shared" si="23"/>
        <v>March 2022</v>
      </c>
    </row>
    <row r="380" spans="1:14" x14ac:dyDescent="0.25">
      <c r="A380" s="1">
        <v>44623</v>
      </c>
      <c r="B380" t="s">
        <v>2348</v>
      </c>
      <c r="C380">
        <v>55</v>
      </c>
      <c r="D380" t="s">
        <v>9</v>
      </c>
      <c r="E380" t="s">
        <v>19</v>
      </c>
      <c r="F380" t="s">
        <v>16</v>
      </c>
      <c r="G380" t="s">
        <v>39</v>
      </c>
      <c r="H380">
        <v>644.97</v>
      </c>
      <c r="I380" s="8" t="str" cm="1">
        <f t="array" ref="I380">_xlfn.IFS(C380&lt;=15,"Children and Young Adolescents", C380&gt;64, "Seniors", TRUE, "Working Age")</f>
        <v>Working Age</v>
      </c>
      <c r="J380" s="6">
        <f>VLOOKUP(F380,Analysis!$F$1:$G$5,2,FALSE)</f>
        <v>2509.1716796874912</v>
      </c>
      <c r="K380">
        <f t="shared" si="20"/>
        <v>709.46</v>
      </c>
      <c r="L380">
        <f t="shared" si="21"/>
        <v>709.47</v>
      </c>
      <c r="M380">
        <f t="shared" si="22"/>
        <v>709.47</v>
      </c>
      <c r="N380" s="5" t="str">
        <f t="shared" si="23"/>
        <v>March 2022</v>
      </c>
    </row>
    <row r="381" spans="1:14" x14ac:dyDescent="0.25">
      <c r="A381" s="1">
        <v>44623</v>
      </c>
      <c r="B381" t="s">
        <v>2510</v>
      </c>
      <c r="C381">
        <v>45</v>
      </c>
      <c r="D381" t="s">
        <v>14</v>
      </c>
      <c r="E381" t="s">
        <v>25</v>
      </c>
      <c r="F381" t="s">
        <v>23</v>
      </c>
      <c r="G381" t="s">
        <v>39</v>
      </c>
      <c r="H381">
        <v>2754.93</v>
      </c>
      <c r="I381" s="8" t="str" cm="1">
        <f t="array" ref="I381">_xlfn.IFS(C381&lt;=15,"Children and Young Adolescents", C381&gt;64, "Seniors", TRUE, "Working Age")</f>
        <v>Working Age</v>
      </c>
      <c r="J381" s="6">
        <f>VLOOKUP(F381,Analysis!$F$1:$G$5,2,FALSE)</f>
        <v>2440.2966694490838</v>
      </c>
      <c r="K381">
        <f t="shared" si="20"/>
        <v>3030.42</v>
      </c>
      <c r="L381">
        <f t="shared" si="21"/>
        <v>3030.4300000000003</v>
      </c>
      <c r="M381">
        <f t="shared" si="22"/>
        <v>3030.42</v>
      </c>
      <c r="N381" s="5" t="str">
        <f t="shared" si="23"/>
        <v>March 2022</v>
      </c>
    </row>
    <row r="382" spans="1:14" x14ac:dyDescent="0.25">
      <c r="A382" s="1">
        <v>44623</v>
      </c>
      <c r="B382" t="s">
        <v>3960</v>
      </c>
      <c r="C382">
        <v>11</v>
      </c>
      <c r="D382" t="s">
        <v>14</v>
      </c>
      <c r="E382" t="s">
        <v>25</v>
      </c>
      <c r="F382" t="s">
        <v>23</v>
      </c>
      <c r="G382" t="s">
        <v>39</v>
      </c>
      <c r="H382">
        <v>3484.22</v>
      </c>
      <c r="I382" s="8" t="str" cm="1">
        <f t="array" ref="I382">_xlfn.IFS(C382&lt;=15,"Children and Young Adolescents", C382&gt;64, "Seniors", TRUE, "Working Age")</f>
        <v>Children and Young Adolescents</v>
      </c>
      <c r="J382" s="6">
        <f>VLOOKUP(F382,Analysis!$F$1:$G$5,2,FALSE)</f>
        <v>2440.2966694490838</v>
      </c>
      <c r="K382">
        <f t="shared" si="20"/>
        <v>3832.64</v>
      </c>
      <c r="L382">
        <f t="shared" si="21"/>
        <v>3832.65</v>
      </c>
      <c r="M382">
        <f t="shared" si="22"/>
        <v>3832.64</v>
      </c>
      <c r="N382" s="5" t="str">
        <f t="shared" si="23"/>
        <v>March 2022</v>
      </c>
    </row>
    <row r="383" spans="1:14" x14ac:dyDescent="0.25">
      <c r="A383" s="1">
        <v>44623</v>
      </c>
      <c r="B383" t="s">
        <v>3740</v>
      </c>
      <c r="C383">
        <v>43</v>
      </c>
      <c r="D383" t="s">
        <v>21</v>
      </c>
      <c r="E383" t="s">
        <v>25</v>
      </c>
      <c r="F383" t="s">
        <v>11</v>
      </c>
      <c r="G383" t="s">
        <v>27</v>
      </c>
      <c r="H383">
        <v>2210.5100000000002</v>
      </c>
      <c r="I383" s="8" t="str" cm="1">
        <f t="array" ref="I383">_xlfn.IFS(C383&lt;=15,"Children and Young Adolescents", C383&gt;64, "Seniors", TRUE, "Working Age")</f>
        <v>Working Age</v>
      </c>
      <c r="J383" s="6">
        <f>VLOOKUP(F383,Analysis!$F$1:$G$5,2,FALSE)</f>
        <v>2503.6022787783854</v>
      </c>
      <c r="K383">
        <f t="shared" si="20"/>
        <v>2431.56</v>
      </c>
      <c r="L383">
        <f t="shared" si="21"/>
        <v>2431.5700000000002</v>
      </c>
      <c r="M383">
        <f t="shared" si="22"/>
        <v>2431.56</v>
      </c>
      <c r="N383" s="5" t="str">
        <f t="shared" si="23"/>
        <v>March 2022</v>
      </c>
    </row>
    <row r="384" spans="1:14" x14ac:dyDescent="0.25">
      <c r="A384" s="1">
        <v>44624</v>
      </c>
      <c r="B384" t="s">
        <v>1431</v>
      </c>
      <c r="C384">
        <v>89</v>
      </c>
      <c r="D384" t="s">
        <v>21</v>
      </c>
      <c r="E384" t="s">
        <v>25</v>
      </c>
      <c r="F384" t="s">
        <v>23</v>
      </c>
      <c r="G384" t="s">
        <v>17</v>
      </c>
      <c r="H384">
        <v>4010.29</v>
      </c>
      <c r="I384" s="8" t="str" cm="1">
        <f t="array" ref="I384">_xlfn.IFS(C384&lt;=15,"Children and Young Adolescents", C384&gt;64, "Seniors", TRUE, "Working Age")</f>
        <v>Seniors</v>
      </c>
      <c r="J384" s="6">
        <f>VLOOKUP(F384,Analysis!$F$1:$G$5,2,FALSE)</f>
        <v>2440.2966694490838</v>
      </c>
      <c r="K384">
        <f t="shared" si="20"/>
        <v>4411.3100000000004</v>
      </c>
      <c r="L384">
        <f t="shared" si="21"/>
        <v>4411.3200000000006</v>
      </c>
      <c r="M384">
        <f t="shared" si="22"/>
        <v>4411.32</v>
      </c>
      <c r="N384" s="5" t="str">
        <f t="shared" si="23"/>
        <v>March 2022</v>
      </c>
    </row>
    <row r="385" spans="1:14" x14ac:dyDescent="0.25">
      <c r="A385" s="1">
        <v>44624</v>
      </c>
      <c r="B385" t="s">
        <v>1325</v>
      </c>
      <c r="C385">
        <v>71</v>
      </c>
      <c r="D385" t="s">
        <v>9</v>
      </c>
      <c r="E385" t="s">
        <v>32</v>
      </c>
      <c r="F385" t="s">
        <v>29</v>
      </c>
      <c r="G385" t="s">
        <v>39</v>
      </c>
      <c r="H385">
        <v>683.61</v>
      </c>
      <c r="I385" s="8" t="str" cm="1">
        <f t="array" ref="I385">_xlfn.IFS(C385&lt;=15,"Children and Young Adolescents", C385&gt;64, "Seniors", TRUE, "Working Age")</f>
        <v>Seniors</v>
      </c>
      <c r="J385" s="6">
        <f>VLOOKUP(F385,Analysis!$F$1:$G$5,2,FALSE)</f>
        <v>2496.7676064256989</v>
      </c>
      <c r="K385">
        <f t="shared" si="20"/>
        <v>751.97</v>
      </c>
      <c r="L385">
        <f t="shared" si="21"/>
        <v>751.98</v>
      </c>
      <c r="M385">
        <f t="shared" si="22"/>
        <v>751.97</v>
      </c>
      <c r="N385" s="5" t="str">
        <f t="shared" si="23"/>
        <v>March 2022</v>
      </c>
    </row>
    <row r="386" spans="1:14" x14ac:dyDescent="0.25">
      <c r="A386" s="1">
        <v>44624</v>
      </c>
      <c r="B386" t="s">
        <v>4313</v>
      </c>
      <c r="C386">
        <v>6</v>
      </c>
      <c r="D386" t="s">
        <v>21</v>
      </c>
      <c r="E386" t="s">
        <v>5032</v>
      </c>
      <c r="F386" t="s">
        <v>29</v>
      </c>
      <c r="G386" t="s">
        <v>27</v>
      </c>
      <c r="H386">
        <v>4164.17</v>
      </c>
      <c r="I386" s="8" t="str" cm="1">
        <f t="array" ref="I386">_xlfn.IFS(C386&lt;=15,"Children and Young Adolescents", C386&gt;64, "Seniors", TRUE, "Working Age")</f>
        <v>Children and Young Adolescents</v>
      </c>
      <c r="J386" s="6">
        <f>VLOOKUP(F386,Analysis!$F$1:$G$5,2,FALSE)</f>
        <v>2496.7676064256989</v>
      </c>
      <c r="K386">
        <f t="shared" si="20"/>
        <v>4580.58</v>
      </c>
      <c r="L386">
        <f t="shared" si="21"/>
        <v>4580.59</v>
      </c>
      <c r="M386">
        <f t="shared" si="22"/>
        <v>4580.59</v>
      </c>
      <c r="N386" s="5" t="str">
        <f t="shared" si="23"/>
        <v>March 2022</v>
      </c>
    </row>
    <row r="387" spans="1:14" x14ac:dyDescent="0.25">
      <c r="A387" s="1">
        <v>44624</v>
      </c>
      <c r="B387" t="s">
        <v>3176</v>
      </c>
      <c r="C387">
        <v>61</v>
      </c>
      <c r="D387" t="s">
        <v>21</v>
      </c>
      <c r="E387" t="s">
        <v>5032</v>
      </c>
      <c r="F387" t="s">
        <v>23</v>
      </c>
      <c r="G387" t="s">
        <v>12</v>
      </c>
      <c r="H387">
        <v>1329.66</v>
      </c>
      <c r="I387" s="8" t="str" cm="1">
        <f t="array" ref="I387">_xlfn.IFS(C387&lt;=15,"Children and Young Adolescents", C387&gt;64, "Seniors", TRUE, "Working Age")</f>
        <v>Working Age</v>
      </c>
      <c r="J387" s="6">
        <f>VLOOKUP(F387,Analysis!$F$1:$G$5,2,FALSE)</f>
        <v>2440.2966694490838</v>
      </c>
      <c r="K387">
        <f t="shared" ref="K387:K450" si="24">ROUNDDOWN(H387*1.1,2)</f>
        <v>1462.62</v>
      </c>
      <c r="L387">
        <f t="shared" ref="L387:L450" si="25">ROUNDUP(H387*1.1,2)</f>
        <v>1462.6299999999999</v>
      </c>
      <c r="M387">
        <f t="shared" ref="M387:M450" si="26">ROUND(H387*1.1,2)</f>
        <v>1462.63</v>
      </c>
      <c r="N387" s="5" t="str">
        <f t="shared" ref="N387:N450" si="27">TEXT(A387,"mmmm yyyy")</f>
        <v>March 2022</v>
      </c>
    </row>
    <row r="388" spans="1:14" x14ac:dyDescent="0.25">
      <c r="A388" s="1">
        <v>44624</v>
      </c>
      <c r="B388" t="s">
        <v>3878</v>
      </c>
      <c r="C388">
        <v>82</v>
      </c>
      <c r="D388" t="s">
        <v>21</v>
      </c>
      <c r="E388" t="s">
        <v>19</v>
      </c>
      <c r="F388" t="s">
        <v>23</v>
      </c>
      <c r="G388" t="s">
        <v>12</v>
      </c>
      <c r="H388">
        <v>832.62</v>
      </c>
      <c r="I388" s="8" t="str" cm="1">
        <f t="array" ref="I388">_xlfn.IFS(C388&lt;=15,"Children and Young Adolescents", C388&gt;64, "Seniors", TRUE, "Working Age")</f>
        <v>Seniors</v>
      </c>
      <c r="J388" s="6">
        <f>VLOOKUP(F388,Analysis!$F$1:$G$5,2,FALSE)</f>
        <v>2440.2966694490838</v>
      </c>
      <c r="K388">
        <f t="shared" si="24"/>
        <v>915.88</v>
      </c>
      <c r="L388">
        <f t="shared" si="25"/>
        <v>915.89</v>
      </c>
      <c r="M388">
        <f t="shared" si="26"/>
        <v>915.88</v>
      </c>
      <c r="N388" s="5" t="str">
        <f t="shared" si="27"/>
        <v>March 2022</v>
      </c>
    </row>
    <row r="389" spans="1:14" x14ac:dyDescent="0.25">
      <c r="A389" s="1">
        <v>44624</v>
      </c>
      <c r="B389" t="s">
        <v>855</v>
      </c>
      <c r="C389">
        <v>63</v>
      </c>
      <c r="D389" t="s">
        <v>14</v>
      </c>
      <c r="E389" t="s">
        <v>15</v>
      </c>
      <c r="F389" t="s">
        <v>29</v>
      </c>
      <c r="G389" t="s">
        <v>12</v>
      </c>
      <c r="H389">
        <v>2503.4</v>
      </c>
      <c r="I389" s="8" t="str" cm="1">
        <f t="array" ref="I389">_xlfn.IFS(C389&lt;=15,"Children and Young Adolescents", C389&gt;64, "Seniors", TRUE, "Working Age")</f>
        <v>Working Age</v>
      </c>
      <c r="J389" s="6">
        <f>VLOOKUP(F389,Analysis!$F$1:$G$5,2,FALSE)</f>
        <v>2496.7676064256989</v>
      </c>
      <c r="K389">
        <f t="shared" si="24"/>
        <v>2753.74</v>
      </c>
      <c r="L389">
        <f t="shared" si="25"/>
        <v>2753.74</v>
      </c>
      <c r="M389">
        <f t="shared" si="26"/>
        <v>2753.74</v>
      </c>
      <c r="N389" s="5" t="str">
        <f t="shared" si="27"/>
        <v>March 2022</v>
      </c>
    </row>
    <row r="390" spans="1:14" x14ac:dyDescent="0.25">
      <c r="A390" s="1">
        <v>44624</v>
      </c>
      <c r="B390" t="s">
        <v>4357</v>
      </c>
      <c r="C390">
        <v>61</v>
      </c>
      <c r="D390" t="s">
        <v>14</v>
      </c>
      <c r="E390" t="s">
        <v>25</v>
      </c>
      <c r="F390" t="s">
        <v>16</v>
      </c>
      <c r="G390" t="s">
        <v>39</v>
      </c>
      <c r="H390">
        <v>554.52</v>
      </c>
      <c r="I390" s="8" t="str" cm="1">
        <f t="array" ref="I390">_xlfn.IFS(C390&lt;=15,"Children and Young Adolescents", C390&gt;64, "Seniors", TRUE, "Working Age")</f>
        <v>Working Age</v>
      </c>
      <c r="J390" s="6">
        <f>VLOOKUP(F390,Analysis!$F$1:$G$5,2,FALSE)</f>
        <v>2509.1716796874912</v>
      </c>
      <c r="K390">
        <f t="shared" si="24"/>
        <v>609.97</v>
      </c>
      <c r="L390">
        <f t="shared" si="25"/>
        <v>609.98</v>
      </c>
      <c r="M390">
        <f t="shared" si="26"/>
        <v>609.97</v>
      </c>
      <c r="N390" s="5" t="str">
        <f t="shared" si="27"/>
        <v>March 2022</v>
      </c>
    </row>
    <row r="391" spans="1:14" x14ac:dyDescent="0.25">
      <c r="A391" s="1">
        <v>44624</v>
      </c>
      <c r="B391" t="s">
        <v>849</v>
      </c>
      <c r="C391">
        <v>80</v>
      </c>
      <c r="D391" t="s">
        <v>21</v>
      </c>
      <c r="E391" t="s">
        <v>15</v>
      </c>
      <c r="F391" t="s">
        <v>29</v>
      </c>
      <c r="G391" t="s">
        <v>17</v>
      </c>
      <c r="H391">
        <v>4279.93</v>
      </c>
      <c r="I391" s="8" t="str" cm="1">
        <f t="array" ref="I391">_xlfn.IFS(C391&lt;=15,"Children and Young Adolescents", C391&gt;64, "Seniors", TRUE, "Working Age")</f>
        <v>Seniors</v>
      </c>
      <c r="J391" s="6">
        <f>VLOOKUP(F391,Analysis!$F$1:$G$5,2,FALSE)</f>
        <v>2496.7676064256989</v>
      </c>
      <c r="K391">
        <f t="shared" si="24"/>
        <v>4707.92</v>
      </c>
      <c r="L391">
        <f t="shared" si="25"/>
        <v>4707.93</v>
      </c>
      <c r="M391">
        <f t="shared" si="26"/>
        <v>4707.92</v>
      </c>
      <c r="N391" s="5" t="str">
        <f t="shared" si="27"/>
        <v>March 2022</v>
      </c>
    </row>
    <row r="392" spans="1:14" x14ac:dyDescent="0.25">
      <c r="A392" s="1">
        <v>44625</v>
      </c>
      <c r="B392" t="s">
        <v>1509</v>
      </c>
      <c r="C392">
        <v>90</v>
      </c>
      <c r="D392" t="s">
        <v>14</v>
      </c>
      <c r="E392" t="s">
        <v>25</v>
      </c>
      <c r="F392" t="s">
        <v>23</v>
      </c>
      <c r="G392" t="s">
        <v>12</v>
      </c>
      <c r="H392">
        <v>1645.61</v>
      </c>
      <c r="I392" s="8" t="str" cm="1">
        <f t="array" ref="I392">_xlfn.IFS(C392&lt;=15,"Children and Young Adolescents", C392&gt;64, "Seniors", TRUE, "Working Age")</f>
        <v>Seniors</v>
      </c>
      <c r="J392" s="6">
        <f>VLOOKUP(F392,Analysis!$F$1:$G$5,2,FALSE)</f>
        <v>2440.2966694490838</v>
      </c>
      <c r="K392">
        <f t="shared" si="24"/>
        <v>1810.17</v>
      </c>
      <c r="L392">
        <f t="shared" si="25"/>
        <v>1810.18</v>
      </c>
      <c r="M392">
        <f t="shared" si="26"/>
        <v>1810.17</v>
      </c>
      <c r="N392" s="5" t="str">
        <f t="shared" si="27"/>
        <v>March 2022</v>
      </c>
    </row>
    <row r="393" spans="1:14" x14ac:dyDescent="0.25">
      <c r="A393" s="1">
        <v>44625</v>
      </c>
      <c r="B393" t="s">
        <v>1346</v>
      </c>
      <c r="C393">
        <v>70</v>
      </c>
      <c r="D393" t="s">
        <v>9</v>
      </c>
      <c r="E393" t="s">
        <v>10</v>
      </c>
      <c r="F393" t="s">
        <v>11</v>
      </c>
      <c r="G393" t="s">
        <v>12</v>
      </c>
      <c r="H393">
        <v>4113.71</v>
      </c>
      <c r="I393" s="8" t="str" cm="1">
        <f t="array" ref="I393">_xlfn.IFS(C393&lt;=15,"Children and Young Adolescents", C393&gt;64, "Seniors", TRUE, "Working Age")</f>
        <v>Seniors</v>
      </c>
      <c r="J393" s="6">
        <f>VLOOKUP(F393,Analysis!$F$1:$G$5,2,FALSE)</f>
        <v>2503.6022787783854</v>
      </c>
      <c r="K393">
        <f t="shared" si="24"/>
        <v>4525.08</v>
      </c>
      <c r="L393">
        <f t="shared" si="25"/>
        <v>4525.09</v>
      </c>
      <c r="M393">
        <f t="shared" si="26"/>
        <v>4525.08</v>
      </c>
      <c r="N393" s="5" t="str">
        <f t="shared" si="27"/>
        <v>March 2022</v>
      </c>
    </row>
    <row r="394" spans="1:14" x14ac:dyDescent="0.25">
      <c r="A394" s="1">
        <v>44625</v>
      </c>
      <c r="B394" t="s">
        <v>4300</v>
      </c>
      <c r="C394">
        <v>8</v>
      </c>
      <c r="D394" t="s">
        <v>9</v>
      </c>
      <c r="E394" t="s">
        <v>19</v>
      </c>
      <c r="F394" t="s">
        <v>29</v>
      </c>
      <c r="G394" t="s">
        <v>36</v>
      </c>
      <c r="H394">
        <v>3799.58</v>
      </c>
      <c r="I394" s="8" t="str" cm="1">
        <f t="array" ref="I394">_xlfn.IFS(C394&lt;=15,"Children and Young Adolescents", C394&gt;64, "Seniors", TRUE, "Working Age")</f>
        <v>Children and Young Adolescents</v>
      </c>
      <c r="J394" s="6">
        <f>VLOOKUP(F394,Analysis!$F$1:$G$5,2,FALSE)</f>
        <v>2496.7676064256989</v>
      </c>
      <c r="K394">
        <f t="shared" si="24"/>
        <v>4179.53</v>
      </c>
      <c r="L394">
        <f t="shared" si="25"/>
        <v>4179.54</v>
      </c>
      <c r="M394">
        <f t="shared" si="26"/>
        <v>4179.54</v>
      </c>
      <c r="N394" s="5" t="str">
        <f t="shared" si="27"/>
        <v>March 2022</v>
      </c>
    </row>
    <row r="395" spans="1:14" x14ac:dyDescent="0.25">
      <c r="A395" s="1">
        <v>44625</v>
      </c>
      <c r="B395" t="s">
        <v>4342</v>
      </c>
      <c r="C395">
        <v>75</v>
      </c>
      <c r="D395" t="s">
        <v>9</v>
      </c>
      <c r="E395" t="s">
        <v>32</v>
      </c>
      <c r="F395" t="s">
        <v>11</v>
      </c>
      <c r="G395" t="s">
        <v>17</v>
      </c>
      <c r="H395">
        <v>1616.89</v>
      </c>
      <c r="I395" s="8" t="str" cm="1">
        <f t="array" ref="I395">_xlfn.IFS(C395&lt;=15,"Children and Young Adolescents", C395&gt;64, "Seniors", TRUE, "Working Age")</f>
        <v>Seniors</v>
      </c>
      <c r="J395" s="6">
        <f>VLOOKUP(F395,Analysis!$F$1:$G$5,2,FALSE)</f>
        <v>2503.6022787783854</v>
      </c>
      <c r="K395">
        <f t="shared" si="24"/>
        <v>1778.57</v>
      </c>
      <c r="L395">
        <f t="shared" si="25"/>
        <v>1778.58</v>
      </c>
      <c r="M395">
        <f t="shared" si="26"/>
        <v>1778.58</v>
      </c>
      <c r="N395" s="5" t="str">
        <f t="shared" si="27"/>
        <v>March 2022</v>
      </c>
    </row>
    <row r="396" spans="1:14" x14ac:dyDescent="0.25">
      <c r="A396" s="1">
        <v>44625</v>
      </c>
      <c r="B396" t="s">
        <v>4214</v>
      </c>
      <c r="C396">
        <v>57</v>
      </c>
      <c r="D396" t="s">
        <v>21</v>
      </c>
      <c r="E396" t="s">
        <v>22</v>
      </c>
      <c r="F396" t="s">
        <v>11</v>
      </c>
      <c r="G396" t="s">
        <v>39</v>
      </c>
      <c r="H396">
        <v>4072.89</v>
      </c>
      <c r="I396" s="8" t="str" cm="1">
        <f t="array" ref="I396">_xlfn.IFS(C396&lt;=15,"Children and Young Adolescents", C396&gt;64, "Seniors", TRUE, "Working Age")</f>
        <v>Working Age</v>
      </c>
      <c r="J396" s="6">
        <f>VLOOKUP(F396,Analysis!$F$1:$G$5,2,FALSE)</f>
        <v>2503.6022787783854</v>
      </c>
      <c r="K396">
        <f t="shared" si="24"/>
        <v>4480.17</v>
      </c>
      <c r="L396">
        <f t="shared" si="25"/>
        <v>4480.18</v>
      </c>
      <c r="M396">
        <f t="shared" si="26"/>
        <v>4480.18</v>
      </c>
      <c r="N396" s="5" t="str">
        <f t="shared" si="27"/>
        <v>March 2022</v>
      </c>
    </row>
    <row r="397" spans="1:14" x14ac:dyDescent="0.25">
      <c r="A397" s="1">
        <v>44625</v>
      </c>
      <c r="B397" t="s">
        <v>4684</v>
      </c>
      <c r="C397">
        <v>13</v>
      </c>
      <c r="D397" t="s">
        <v>9</v>
      </c>
      <c r="E397" t="s">
        <v>5032</v>
      </c>
      <c r="F397" t="s">
        <v>11</v>
      </c>
      <c r="G397" t="s">
        <v>17</v>
      </c>
      <c r="H397">
        <v>3074.33</v>
      </c>
      <c r="I397" s="8" t="str" cm="1">
        <f t="array" ref="I397">_xlfn.IFS(C397&lt;=15,"Children and Young Adolescents", C397&gt;64, "Seniors", TRUE, "Working Age")</f>
        <v>Children and Young Adolescents</v>
      </c>
      <c r="J397" s="6">
        <f>VLOOKUP(F397,Analysis!$F$1:$G$5,2,FALSE)</f>
        <v>2503.6022787783854</v>
      </c>
      <c r="K397">
        <f t="shared" si="24"/>
        <v>3381.76</v>
      </c>
      <c r="L397">
        <f t="shared" si="25"/>
        <v>3381.7700000000004</v>
      </c>
      <c r="M397">
        <f t="shared" si="26"/>
        <v>3381.76</v>
      </c>
      <c r="N397" s="5" t="str">
        <f t="shared" si="27"/>
        <v>March 2022</v>
      </c>
    </row>
    <row r="398" spans="1:14" x14ac:dyDescent="0.25">
      <c r="A398" s="1">
        <v>44626</v>
      </c>
      <c r="B398" t="s">
        <v>947</v>
      </c>
      <c r="C398">
        <v>41</v>
      </c>
      <c r="D398" t="s">
        <v>21</v>
      </c>
      <c r="E398" t="s">
        <v>15</v>
      </c>
      <c r="F398" t="s">
        <v>29</v>
      </c>
      <c r="G398" t="s">
        <v>27</v>
      </c>
      <c r="H398">
        <v>3410.87</v>
      </c>
      <c r="I398" s="8" t="str" cm="1">
        <f t="array" ref="I398">_xlfn.IFS(C398&lt;=15,"Children and Young Adolescents", C398&gt;64, "Seniors", TRUE, "Working Age")</f>
        <v>Working Age</v>
      </c>
      <c r="J398" s="6">
        <f>VLOOKUP(F398,Analysis!$F$1:$G$5,2,FALSE)</f>
        <v>2496.7676064256989</v>
      </c>
      <c r="K398">
        <f t="shared" si="24"/>
        <v>3751.95</v>
      </c>
      <c r="L398">
        <f t="shared" si="25"/>
        <v>3751.96</v>
      </c>
      <c r="M398">
        <f t="shared" si="26"/>
        <v>3751.96</v>
      </c>
      <c r="N398" s="5" t="str">
        <f t="shared" si="27"/>
        <v>March 2022</v>
      </c>
    </row>
    <row r="399" spans="1:14" x14ac:dyDescent="0.25">
      <c r="A399" s="1">
        <v>44626</v>
      </c>
      <c r="B399" t="s">
        <v>1878</v>
      </c>
      <c r="C399">
        <v>40</v>
      </c>
      <c r="D399" t="s">
        <v>14</v>
      </c>
      <c r="E399" t="s">
        <v>34</v>
      </c>
      <c r="F399" t="s">
        <v>16</v>
      </c>
      <c r="G399" t="s">
        <v>39</v>
      </c>
      <c r="H399">
        <v>3661.59</v>
      </c>
      <c r="I399" s="8" t="str" cm="1">
        <f t="array" ref="I399">_xlfn.IFS(C399&lt;=15,"Children and Young Adolescents", C399&gt;64, "Seniors", TRUE, "Working Age")</f>
        <v>Working Age</v>
      </c>
      <c r="J399" s="6">
        <f>VLOOKUP(F399,Analysis!$F$1:$G$5,2,FALSE)</f>
        <v>2509.1716796874912</v>
      </c>
      <c r="K399">
        <f t="shared" si="24"/>
        <v>4027.74</v>
      </c>
      <c r="L399">
        <f t="shared" si="25"/>
        <v>4027.75</v>
      </c>
      <c r="M399">
        <f t="shared" si="26"/>
        <v>4027.75</v>
      </c>
      <c r="N399" s="5" t="str">
        <f t="shared" si="27"/>
        <v>March 2022</v>
      </c>
    </row>
    <row r="400" spans="1:14" x14ac:dyDescent="0.25">
      <c r="A400" s="1">
        <v>44626</v>
      </c>
      <c r="B400" t="s">
        <v>2689</v>
      </c>
      <c r="C400">
        <v>73</v>
      </c>
      <c r="D400" t="s">
        <v>14</v>
      </c>
      <c r="E400" t="s">
        <v>22</v>
      </c>
      <c r="F400" t="s">
        <v>16</v>
      </c>
      <c r="G400" t="s">
        <v>36</v>
      </c>
      <c r="H400">
        <v>1905.88</v>
      </c>
      <c r="I400" s="8" t="str" cm="1">
        <f t="array" ref="I400">_xlfn.IFS(C400&lt;=15,"Children and Young Adolescents", C400&gt;64, "Seniors", TRUE, "Working Age")</f>
        <v>Seniors</v>
      </c>
      <c r="J400" s="6">
        <f>VLOOKUP(F400,Analysis!$F$1:$G$5,2,FALSE)</f>
        <v>2509.1716796874912</v>
      </c>
      <c r="K400">
        <f t="shared" si="24"/>
        <v>2096.46</v>
      </c>
      <c r="L400">
        <f t="shared" si="25"/>
        <v>2096.4700000000003</v>
      </c>
      <c r="M400">
        <f t="shared" si="26"/>
        <v>2096.4699999999998</v>
      </c>
      <c r="N400" s="5" t="str">
        <f t="shared" si="27"/>
        <v>March 2022</v>
      </c>
    </row>
    <row r="401" spans="1:14" x14ac:dyDescent="0.25">
      <c r="A401" s="1">
        <v>44626</v>
      </c>
      <c r="B401" t="s">
        <v>3580</v>
      </c>
      <c r="C401">
        <v>89</v>
      </c>
      <c r="D401" t="s">
        <v>21</v>
      </c>
      <c r="E401" t="s">
        <v>34</v>
      </c>
      <c r="F401" t="s">
        <v>23</v>
      </c>
      <c r="G401" t="s">
        <v>17</v>
      </c>
      <c r="H401">
        <v>1561.5</v>
      </c>
      <c r="I401" s="8" t="str" cm="1">
        <f t="array" ref="I401">_xlfn.IFS(C401&lt;=15,"Children and Young Adolescents", C401&gt;64, "Seniors", TRUE, "Working Age")</f>
        <v>Seniors</v>
      </c>
      <c r="J401" s="6">
        <f>VLOOKUP(F401,Analysis!$F$1:$G$5,2,FALSE)</f>
        <v>2440.2966694490838</v>
      </c>
      <c r="K401">
        <f t="shared" si="24"/>
        <v>1717.65</v>
      </c>
      <c r="L401">
        <f t="shared" si="25"/>
        <v>1717.65</v>
      </c>
      <c r="M401">
        <f t="shared" si="26"/>
        <v>1717.65</v>
      </c>
      <c r="N401" s="5" t="str">
        <f t="shared" si="27"/>
        <v>March 2022</v>
      </c>
    </row>
    <row r="402" spans="1:14" x14ac:dyDescent="0.25">
      <c r="A402" s="1">
        <v>44626</v>
      </c>
      <c r="B402" t="s">
        <v>66</v>
      </c>
      <c r="C402">
        <v>75</v>
      </c>
      <c r="D402" t="s">
        <v>14</v>
      </c>
      <c r="E402" t="s">
        <v>32</v>
      </c>
      <c r="F402" t="s">
        <v>23</v>
      </c>
      <c r="G402" t="s">
        <v>17</v>
      </c>
      <c r="H402">
        <v>1922.07</v>
      </c>
      <c r="I402" s="8" t="str" cm="1">
        <f t="array" ref="I402">_xlfn.IFS(C402&lt;=15,"Children and Young Adolescents", C402&gt;64, "Seniors", TRUE, "Working Age")</f>
        <v>Seniors</v>
      </c>
      <c r="J402" s="6">
        <f>VLOOKUP(F402,Analysis!$F$1:$G$5,2,FALSE)</f>
        <v>2440.2966694490838</v>
      </c>
      <c r="K402">
        <f t="shared" si="24"/>
        <v>2114.27</v>
      </c>
      <c r="L402">
        <f t="shared" si="25"/>
        <v>2114.2800000000002</v>
      </c>
      <c r="M402">
        <f t="shared" si="26"/>
        <v>2114.2800000000002</v>
      </c>
      <c r="N402" s="5" t="str">
        <f t="shared" si="27"/>
        <v>March 2022</v>
      </c>
    </row>
    <row r="403" spans="1:14" x14ac:dyDescent="0.25">
      <c r="A403" s="1">
        <v>44626</v>
      </c>
      <c r="B403" t="s">
        <v>244</v>
      </c>
      <c r="C403">
        <v>64</v>
      </c>
      <c r="D403" t="s">
        <v>14</v>
      </c>
      <c r="E403" t="s">
        <v>22</v>
      </c>
      <c r="F403" t="s">
        <v>11</v>
      </c>
      <c r="G403" t="s">
        <v>12</v>
      </c>
      <c r="H403">
        <v>4490.3900000000003</v>
      </c>
      <c r="I403" s="8" t="str" cm="1">
        <f t="array" ref="I403">_xlfn.IFS(C403&lt;=15,"Children and Young Adolescents", C403&gt;64, "Seniors", TRUE, "Working Age")</f>
        <v>Working Age</v>
      </c>
      <c r="J403" s="6">
        <f>VLOOKUP(F403,Analysis!$F$1:$G$5,2,FALSE)</f>
        <v>2503.6022787783854</v>
      </c>
      <c r="K403">
        <f t="shared" si="24"/>
        <v>4939.42</v>
      </c>
      <c r="L403">
        <f t="shared" si="25"/>
        <v>4939.43</v>
      </c>
      <c r="M403">
        <f t="shared" si="26"/>
        <v>4939.43</v>
      </c>
      <c r="N403" s="5" t="str">
        <f t="shared" si="27"/>
        <v>March 2022</v>
      </c>
    </row>
    <row r="404" spans="1:14" x14ac:dyDescent="0.25">
      <c r="A404" s="1">
        <v>44626</v>
      </c>
      <c r="B404" t="s">
        <v>3260</v>
      </c>
      <c r="C404">
        <v>75</v>
      </c>
      <c r="D404" t="s">
        <v>9</v>
      </c>
      <c r="E404" t="s">
        <v>22</v>
      </c>
      <c r="F404" t="s">
        <v>23</v>
      </c>
      <c r="G404" t="s">
        <v>12</v>
      </c>
      <c r="H404">
        <v>1321.76</v>
      </c>
      <c r="I404" s="8" t="str" cm="1">
        <f t="array" ref="I404">_xlfn.IFS(C404&lt;=15,"Children and Young Adolescents", C404&gt;64, "Seniors", TRUE, "Working Age")</f>
        <v>Seniors</v>
      </c>
      <c r="J404" s="6">
        <f>VLOOKUP(F404,Analysis!$F$1:$G$5,2,FALSE)</f>
        <v>2440.2966694490838</v>
      </c>
      <c r="K404">
        <f t="shared" si="24"/>
        <v>1453.93</v>
      </c>
      <c r="L404">
        <f t="shared" si="25"/>
        <v>1453.94</v>
      </c>
      <c r="M404">
        <f t="shared" si="26"/>
        <v>1453.94</v>
      </c>
      <c r="N404" s="5" t="str">
        <f t="shared" si="27"/>
        <v>March 2022</v>
      </c>
    </row>
    <row r="405" spans="1:14" x14ac:dyDescent="0.25">
      <c r="A405" s="1">
        <v>44626</v>
      </c>
      <c r="B405" t="s">
        <v>1904</v>
      </c>
      <c r="C405">
        <v>77</v>
      </c>
      <c r="D405" t="s">
        <v>9</v>
      </c>
      <c r="E405" t="s">
        <v>10</v>
      </c>
      <c r="F405" t="s">
        <v>11</v>
      </c>
      <c r="G405" t="s">
        <v>27</v>
      </c>
      <c r="H405">
        <v>4673.33</v>
      </c>
      <c r="I405" s="8" t="str" cm="1">
        <f t="array" ref="I405">_xlfn.IFS(C405&lt;=15,"Children and Young Adolescents", C405&gt;64, "Seniors", TRUE, "Working Age")</f>
        <v>Seniors</v>
      </c>
      <c r="J405" s="6">
        <f>VLOOKUP(F405,Analysis!$F$1:$G$5,2,FALSE)</f>
        <v>2503.6022787783854</v>
      </c>
      <c r="K405">
        <f t="shared" si="24"/>
        <v>5140.66</v>
      </c>
      <c r="L405">
        <f t="shared" si="25"/>
        <v>5140.67</v>
      </c>
      <c r="M405">
        <f t="shared" si="26"/>
        <v>5140.66</v>
      </c>
      <c r="N405" s="5" t="str">
        <f t="shared" si="27"/>
        <v>March 2022</v>
      </c>
    </row>
    <row r="406" spans="1:14" x14ac:dyDescent="0.25">
      <c r="A406" s="1">
        <v>44626</v>
      </c>
      <c r="B406" t="s">
        <v>4980</v>
      </c>
      <c r="C406">
        <v>17</v>
      </c>
      <c r="D406" t="s">
        <v>14</v>
      </c>
      <c r="E406" t="s">
        <v>15</v>
      </c>
      <c r="F406" t="s">
        <v>16</v>
      </c>
      <c r="G406" t="s">
        <v>17</v>
      </c>
      <c r="H406">
        <v>4767.28</v>
      </c>
      <c r="I406" s="8" t="str" cm="1">
        <f t="array" ref="I406">_xlfn.IFS(C406&lt;=15,"Children and Young Adolescents", C406&gt;64, "Seniors", TRUE, "Working Age")</f>
        <v>Working Age</v>
      </c>
      <c r="J406" s="6">
        <f>VLOOKUP(F406,Analysis!$F$1:$G$5,2,FALSE)</f>
        <v>2509.1716796874912</v>
      </c>
      <c r="K406">
        <f t="shared" si="24"/>
        <v>5244</v>
      </c>
      <c r="L406">
        <f t="shared" si="25"/>
        <v>5244.01</v>
      </c>
      <c r="M406">
        <f t="shared" si="26"/>
        <v>5244.01</v>
      </c>
      <c r="N406" s="5" t="str">
        <f t="shared" si="27"/>
        <v>March 2022</v>
      </c>
    </row>
    <row r="407" spans="1:14" x14ac:dyDescent="0.25">
      <c r="A407" s="1">
        <v>44626</v>
      </c>
      <c r="B407" t="s">
        <v>854</v>
      </c>
      <c r="C407">
        <v>66</v>
      </c>
      <c r="D407" t="s">
        <v>21</v>
      </c>
      <c r="E407" t="s">
        <v>25</v>
      </c>
      <c r="F407" t="s">
        <v>23</v>
      </c>
      <c r="G407" t="s">
        <v>12</v>
      </c>
      <c r="H407">
        <v>572.75</v>
      </c>
      <c r="I407" s="8" t="str" cm="1">
        <f t="array" ref="I407">_xlfn.IFS(C407&lt;=15,"Children and Young Adolescents", C407&gt;64, "Seniors", TRUE, "Working Age")</f>
        <v>Seniors</v>
      </c>
      <c r="J407" s="6">
        <f>VLOOKUP(F407,Analysis!$F$1:$G$5,2,FALSE)</f>
        <v>2440.2966694490838</v>
      </c>
      <c r="K407">
        <f t="shared" si="24"/>
        <v>630.02</v>
      </c>
      <c r="L407">
        <f t="shared" si="25"/>
        <v>630.03</v>
      </c>
      <c r="M407">
        <f t="shared" si="26"/>
        <v>630.03</v>
      </c>
      <c r="N407" s="5" t="str">
        <f t="shared" si="27"/>
        <v>March 2022</v>
      </c>
    </row>
    <row r="408" spans="1:14" x14ac:dyDescent="0.25">
      <c r="A408" s="1">
        <v>44626</v>
      </c>
      <c r="B408" t="s">
        <v>2352</v>
      </c>
      <c r="C408">
        <v>72</v>
      </c>
      <c r="D408" t="s">
        <v>21</v>
      </c>
      <c r="E408" t="s">
        <v>19</v>
      </c>
      <c r="F408" t="s">
        <v>23</v>
      </c>
      <c r="G408" t="s">
        <v>12</v>
      </c>
      <c r="H408">
        <v>1278.22</v>
      </c>
      <c r="I408" s="8" t="str" cm="1">
        <f t="array" ref="I408">_xlfn.IFS(C408&lt;=15,"Children and Young Adolescents", C408&gt;64, "Seniors", TRUE, "Working Age")</f>
        <v>Seniors</v>
      </c>
      <c r="J408" s="6">
        <f>VLOOKUP(F408,Analysis!$F$1:$G$5,2,FALSE)</f>
        <v>2440.2966694490838</v>
      </c>
      <c r="K408">
        <f t="shared" si="24"/>
        <v>1406.04</v>
      </c>
      <c r="L408">
        <f t="shared" si="25"/>
        <v>1406.05</v>
      </c>
      <c r="M408">
        <f t="shared" si="26"/>
        <v>1406.04</v>
      </c>
      <c r="N408" s="5" t="str">
        <f t="shared" si="27"/>
        <v>March 2022</v>
      </c>
    </row>
    <row r="409" spans="1:14" x14ac:dyDescent="0.25">
      <c r="A409" s="1">
        <v>44626</v>
      </c>
      <c r="B409" t="s">
        <v>4380</v>
      </c>
      <c r="C409">
        <v>7</v>
      </c>
      <c r="D409" t="s">
        <v>14</v>
      </c>
      <c r="E409" t="s">
        <v>10</v>
      </c>
      <c r="F409" t="s">
        <v>23</v>
      </c>
      <c r="G409" t="s">
        <v>36</v>
      </c>
      <c r="H409">
        <v>3889.16</v>
      </c>
      <c r="I409" s="8" t="str" cm="1">
        <f t="array" ref="I409">_xlfn.IFS(C409&lt;=15,"Children and Young Adolescents", C409&gt;64, "Seniors", TRUE, "Working Age")</f>
        <v>Children and Young Adolescents</v>
      </c>
      <c r="J409" s="6">
        <f>VLOOKUP(F409,Analysis!$F$1:$G$5,2,FALSE)</f>
        <v>2440.2966694490838</v>
      </c>
      <c r="K409">
        <f t="shared" si="24"/>
        <v>4278.07</v>
      </c>
      <c r="L409">
        <f t="shared" si="25"/>
        <v>4278.08</v>
      </c>
      <c r="M409">
        <f t="shared" si="26"/>
        <v>4278.08</v>
      </c>
      <c r="N409" s="5" t="str">
        <f t="shared" si="27"/>
        <v>March 2022</v>
      </c>
    </row>
    <row r="410" spans="1:14" x14ac:dyDescent="0.25">
      <c r="A410" s="1">
        <v>44627</v>
      </c>
      <c r="B410" t="s">
        <v>2776</v>
      </c>
      <c r="C410">
        <v>14</v>
      </c>
      <c r="D410" t="s">
        <v>21</v>
      </c>
      <c r="E410" t="s">
        <v>34</v>
      </c>
      <c r="F410" t="s">
        <v>29</v>
      </c>
      <c r="G410" t="s">
        <v>36</v>
      </c>
      <c r="H410">
        <v>606.1</v>
      </c>
      <c r="I410" s="8" t="str" cm="1">
        <f t="array" ref="I410">_xlfn.IFS(C410&lt;=15,"Children and Young Adolescents", C410&gt;64, "Seniors", TRUE, "Working Age")</f>
        <v>Children and Young Adolescents</v>
      </c>
      <c r="J410" s="6">
        <f>VLOOKUP(F410,Analysis!$F$1:$G$5,2,FALSE)</f>
        <v>2496.7676064256989</v>
      </c>
      <c r="K410">
        <f t="shared" si="24"/>
        <v>666.71</v>
      </c>
      <c r="L410">
        <f t="shared" si="25"/>
        <v>666.71</v>
      </c>
      <c r="M410">
        <f t="shared" si="26"/>
        <v>666.71</v>
      </c>
      <c r="N410" s="5" t="str">
        <f t="shared" si="27"/>
        <v>March 2022</v>
      </c>
    </row>
    <row r="411" spans="1:14" x14ac:dyDescent="0.25">
      <c r="A411" s="1">
        <v>44627</v>
      </c>
      <c r="B411" t="s">
        <v>3565</v>
      </c>
      <c r="C411">
        <v>53</v>
      </c>
      <c r="D411" t="s">
        <v>14</v>
      </c>
      <c r="E411" t="s">
        <v>25</v>
      </c>
      <c r="F411" t="s">
        <v>16</v>
      </c>
      <c r="G411" t="s">
        <v>36</v>
      </c>
      <c r="H411">
        <v>126.72</v>
      </c>
      <c r="I411" s="8" t="str" cm="1">
        <f t="array" ref="I411">_xlfn.IFS(C411&lt;=15,"Children and Young Adolescents", C411&gt;64, "Seniors", TRUE, "Working Age")</f>
        <v>Working Age</v>
      </c>
      <c r="J411" s="6">
        <f>VLOOKUP(F411,Analysis!$F$1:$G$5,2,FALSE)</f>
        <v>2509.1716796874912</v>
      </c>
      <c r="K411">
        <f t="shared" si="24"/>
        <v>139.38999999999999</v>
      </c>
      <c r="L411">
        <f t="shared" si="25"/>
        <v>139.39999999999998</v>
      </c>
      <c r="M411">
        <f t="shared" si="26"/>
        <v>139.38999999999999</v>
      </c>
      <c r="N411" s="5" t="str">
        <f t="shared" si="27"/>
        <v>March 2022</v>
      </c>
    </row>
    <row r="412" spans="1:14" x14ac:dyDescent="0.25">
      <c r="A412" s="1">
        <v>44627</v>
      </c>
      <c r="B412" t="s">
        <v>2891</v>
      </c>
      <c r="C412">
        <v>96</v>
      </c>
      <c r="D412" t="s">
        <v>14</v>
      </c>
      <c r="E412" t="s">
        <v>15</v>
      </c>
      <c r="F412" t="s">
        <v>29</v>
      </c>
      <c r="G412" t="s">
        <v>17</v>
      </c>
      <c r="H412">
        <v>3094.54</v>
      </c>
      <c r="I412" s="8" t="str" cm="1">
        <f t="array" ref="I412">_xlfn.IFS(C412&lt;=15,"Children and Young Adolescents", C412&gt;64, "Seniors", TRUE, "Working Age")</f>
        <v>Seniors</v>
      </c>
      <c r="J412" s="6">
        <f>VLOOKUP(F412,Analysis!$F$1:$G$5,2,FALSE)</f>
        <v>2496.7676064256989</v>
      </c>
      <c r="K412">
        <f t="shared" si="24"/>
        <v>3403.99</v>
      </c>
      <c r="L412">
        <f t="shared" si="25"/>
        <v>3404</v>
      </c>
      <c r="M412">
        <f t="shared" si="26"/>
        <v>3403.99</v>
      </c>
      <c r="N412" s="5" t="str">
        <f t="shared" si="27"/>
        <v>March 2022</v>
      </c>
    </row>
    <row r="413" spans="1:14" x14ac:dyDescent="0.25">
      <c r="A413" s="1">
        <v>44627</v>
      </c>
      <c r="B413" t="s">
        <v>2917</v>
      </c>
      <c r="C413">
        <v>43</v>
      </c>
      <c r="D413" t="s">
        <v>14</v>
      </c>
      <c r="E413" t="s">
        <v>32</v>
      </c>
      <c r="F413" t="s">
        <v>16</v>
      </c>
      <c r="G413" t="s">
        <v>17</v>
      </c>
      <c r="H413">
        <v>768.73</v>
      </c>
      <c r="I413" s="8" t="str" cm="1">
        <f t="array" ref="I413">_xlfn.IFS(C413&lt;=15,"Children and Young Adolescents", C413&gt;64, "Seniors", TRUE, "Working Age")</f>
        <v>Working Age</v>
      </c>
      <c r="J413" s="6">
        <f>VLOOKUP(F413,Analysis!$F$1:$G$5,2,FALSE)</f>
        <v>2509.1716796874912</v>
      </c>
      <c r="K413">
        <f t="shared" si="24"/>
        <v>845.6</v>
      </c>
      <c r="L413">
        <f t="shared" si="25"/>
        <v>845.61</v>
      </c>
      <c r="M413">
        <f t="shared" si="26"/>
        <v>845.6</v>
      </c>
      <c r="N413" s="5" t="str">
        <f t="shared" si="27"/>
        <v>March 2022</v>
      </c>
    </row>
    <row r="414" spans="1:14" x14ac:dyDescent="0.25">
      <c r="A414" s="1">
        <v>44627</v>
      </c>
      <c r="B414" t="s">
        <v>3984</v>
      </c>
      <c r="C414">
        <v>19</v>
      </c>
      <c r="D414" t="s">
        <v>9</v>
      </c>
      <c r="E414" t="s">
        <v>10</v>
      </c>
      <c r="F414" t="s">
        <v>23</v>
      </c>
      <c r="G414" t="s">
        <v>12</v>
      </c>
      <c r="H414">
        <v>4594.43</v>
      </c>
      <c r="I414" s="8" t="str" cm="1">
        <f t="array" ref="I414">_xlfn.IFS(C414&lt;=15,"Children and Young Adolescents", C414&gt;64, "Seniors", TRUE, "Working Age")</f>
        <v>Working Age</v>
      </c>
      <c r="J414" s="6">
        <f>VLOOKUP(F414,Analysis!$F$1:$G$5,2,FALSE)</f>
        <v>2440.2966694490838</v>
      </c>
      <c r="K414">
        <f t="shared" si="24"/>
        <v>5053.87</v>
      </c>
      <c r="L414">
        <f t="shared" si="25"/>
        <v>5053.88</v>
      </c>
      <c r="M414">
        <f t="shared" si="26"/>
        <v>5053.87</v>
      </c>
      <c r="N414" s="5" t="str">
        <f t="shared" si="27"/>
        <v>March 2022</v>
      </c>
    </row>
    <row r="415" spans="1:14" x14ac:dyDescent="0.25">
      <c r="A415" s="1">
        <v>44627</v>
      </c>
      <c r="B415" t="s">
        <v>2623</v>
      </c>
      <c r="C415">
        <v>87</v>
      </c>
      <c r="D415" t="s">
        <v>14</v>
      </c>
      <c r="E415" t="s">
        <v>25</v>
      </c>
      <c r="F415" t="s">
        <v>23</v>
      </c>
      <c r="G415" t="s">
        <v>39</v>
      </c>
      <c r="H415">
        <v>4819.6899999999996</v>
      </c>
      <c r="I415" s="8" t="str" cm="1">
        <f t="array" ref="I415">_xlfn.IFS(C415&lt;=15,"Children and Young Adolescents", C415&gt;64, "Seniors", TRUE, "Working Age")</f>
        <v>Seniors</v>
      </c>
      <c r="J415" s="6">
        <f>VLOOKUP(F415,Analysis!$F$1:$G$5,2,FALSE)</f>
        <v>2440.2966694490838</v>
      </c>
      <c r="K415">
        <f t="shared" si="24"/>
        <v>5301.65</v>
      </c>
      <c r="L415">
        <f t="shared" si="25"/>
        <v>5301.66</v>
      </c>
      <c r="M415">
        <f t="shared" si="26"/>
        <v>5301.66</v>
      </c>
      <c r="N415" s="5" t="str">
        <f t="shared" si="27"/>
        <v>March 2022</v>
      </c>
    </row>
    <row r="416" spans="1:14" x14ac:dyDescent="0.25">
      <c r="A416" s="1">
        <v>44627</v>
      </c>
      <c r="B416" t="s">
        <v>456</v>
      </c>
      <c r="C416">
        <v>29</v>
      </c>
      <c r="D416" t="s">
        <v>9</v>
      </c>
      <c r="E416" t="s">
        <v>32</v>
      </c>
      <c r="F416" t="s">
        <v>29</v>
      </c>
      <c r="G416" t="s">
        <v>36</v>
      </c>
      <c r="H416">
        <v>648.45000000000005</v>
      </c>
      <c r="I416" s="8" t="str" cm="1">
        <f t="array" ref="I416">_xlfn.IFS(C416&lt;=15,"Children and Young Adolescents", C416&gt;64, "Seniors", TRUE, "Working Age")</f>
        <v>Working Age</v>
      </c>
      <c r="J416" s="6">
        <f>VLOOKUP(F416,Analysis!$F$1:$G$5,2,FALSE)</f>
        <v>2496.7676064256989</v>
      </c>
      <c r="K416">
        <f t="shared" si="24"/>
        <v>713.29</v>
      </c>
      <c r="L416">
        <f t="shared" si="25"/>
        <v>713.3</v>
      </c>
      <c r="M416">
        <f t="shared" si="26"/>
        <v>713.3</v>
      </c>
      <c r="N416" s="5" t="str">
        <f t="shared" si="27"/>
        <v>March 2022</v>
      </c>
    </row>
    <row r="417" spans="1:14" x14ac:dyDescent="0.25">
      <c r="A417" s="1">
        <v>44627</v>
      </c>
      <c r="B417" t="s">
        <v>4776</v>
      </c>
      <c r="C417">
        <v>0</v>
      </c>
      <c r="D417" t="s">
        <v>14</v>
      </c>
      <c r="E417" t="s">
        <v>19</v>
      </c>
      <c r="F417" t="s">
        <v>23</v>
      </c>
      <c r="G417" t="s">
        <v>39</v>
      </c>
      <c r="H417">
        <v>2250.6</v>
      </c>
      <c r="I417" s="8" t="str" cm="1">
        <f t="array" ref="I417">_xlfn.IFS(C417&lt;=15,"Children and Young Adolescents", C417&gt;64, "Seniors", TRUE, "Working Age")</f>
        <v>Children and Young Adolescents</v>
      </c>
      <c r="J417" s="6">
        <f>VLOOKUP(F417,Analysis!$F$1:$G$5,2,FALSE)</f>
        <v>2440.2966694490838</v>
      </c>
      <c r="K417">
        <f t="shared" si="24"/>
        <v>2475.66</v>
      </c>
      <c r="L417">
        <f t="shared" si="25"/>
        <v>2475.66</v>
      </c>
      <c r="M417">
        <f t="shared" si="26"/>
        <v>2475.66</v>
      </c>
      <c r="N417" s="5" t="str">
        <f t="shared" si="27"/>
        <v>March 2022</v>
      </c>
    </row>
    <row r="418" spans="1:14" x14ac:dyDescent="0.25">
      <c r="A418" s="1">
        <v>44627</v>
      </c>
      <c r="B418" t="s">
        <v>4009</v>
      </c>
      <c r="C418">
        <v>6</v>
      </c>
      <c r="D418" t="s">
        <v>21</v>
      </c>
      <c r="E418" t="s">
        <v>22</v>
      </c>
      <c r="F418" t="s">
        <v>11</v>
      </c>
      <c r="G418" t="s">
        <v>39</v>
      </c>
      <c r="H418">
        <v>1518.75</v>
      </c>
      <c r="I418" s="8" t="str" cm="1">
        <f t="array" ref="I418">_xlfn.IFS(C418&lt;=15,"Children and Young Adolescents", C418&gt;64, "Seniors", TRUE, "Working Age")</f>
        <v>Children and Young Adolescents</v>
      </c>
      <c r="J418" s="6">
        <f>VLOOKUP(F418,Analysis!$F$1:$G$5,2,FALSE)</f>
        <v>2503.6022787783854</v>
      </c>
      <c r="K418">
        <f t="shared" si="24"/>
        <v>1670.62</v>
      </c>
      <c r="L418">
        <f t="shared" si="25"/>
        <v>1670.6299999999999</v>
      </c>
      <c r="M418">
        <f t="shared" si="26"/>
        <v>1670.63</v>
      </c>
      <c r="N418" s="5" t="str">
        <f t="shared" si="27"/>
        <v>March 2022</v>
      </c>
    </row>
    <row r="419" spans="1:14" x14ac:dyDescent="0.25">
      <c r="A419" s="1">
        <v>44628</v>
      </c>
      <c r="B419" t="s">
        <v>4836</v>
      </c>
      <c r="C419">
        <v>78</v>
      </c>
      <c r="D419" t="s">
        <v>14</v>
      </c>
      <c r="E419" t="s">
        <v>32</v>
      </c>
      <c r="F419" t="s">
        <v>11</v>
      </c>
      <c r="G419" t="s">
        <v>36</v>
      </c>
      <c r="H419">
        <v>3843.16</v>
      </c>
      <c r="I419" s="8" t="str" cm="1">
        <f t="array" ref="I419">_xlfn.IFS(C419&lt;=15,"Children and Young Adolescents", C419&gt;64, "Seniors", TRUE, "Working Age")</f>
        <v>Seniors</v>
      </c>
      <c r="J419" s="6">
        <f>VLOOKUP(F419,Analysis!$F$1:$G$5,2,FALSE)</f>
        <v>2503.6022787783854</v>
      </c>
      <c r="K419">
        <f t="shared" si="24"/>
        <v>4227.47</v>
      </c>
      <c r="L419">
        <f t="shared" si="25"/>
        <v>4227.4800000000005</v>
      </c>
      <c r="M419">
        <f t="shared" si="26"/>
        <v>4227.4799999999996</v>
      </c>
      <c r="N419" s="5" t="str">
        <f t="shared" si="27"/>
        <v>March 2022</v>
      </c>
    </row>
    <row r="420" spans="1:14" x14ac:dyDescent="0.25">
      <c r="A420" s="1">
        <v>44628</v>
      </c>
      <c r="B420" t="s">
        <v>2994</v>
      </c>
      <c r="C420">
        <v>53</v>
      </c>
      <c r="D420" t="s">
        <v>9</v>
      </c>
      <c r="E420" t="s">
        <v>34</v>
      </c>
      <c r="F420" t="s">
        <v>16</v>
      </c>
      <c r="G420" t="s">
        <v>36</v>
      </c>
      <c r="H420">
        <v>561.6</v>
      </c>
      <c r="I420" s="8" t="str" cm="1">
        <f t="array" ref="I420">_xlfn.IFS(C420&lt;=15,"Children and Young Adolescents", C420&gt;64, "Seniors", TRUE, "Working Age")</f>
        <v>Working Age</v>
      </c>
      <c r="J420" s="6">
        <f>VLOOKUP(F420,Analysis!$F$1:$G$5,2,FALSE)</f>
        <v>2509.1716796874912</v>
      </c>
      <c r="K420">
        <f t="shared" si="24"/>
        <v>617.76</v>
      </c>
      <c r="L420">
        <f t="shared" si="25"/>
        <v>617.76</v>
      </c>
      <c r="M420">
        <f t="shared" si="26"/>
        <v>617.76</v>
      </c>
      <c r="N420" s="5" t="str">
        <f t="shared" si="27"/>
        <v>March 2022</v>
      </c>
    </row>
    <row r="421" spans="1:14" x14ac:dyDescent="0.25">
      <c r="A421" s="1">
        <v>44628</v>
      </c>
      <c r="B421" t="s">
        <v>383</v>
      </c>
      <c r="C421">
        <v>16</v>
      </c>
      <c r="D421" t="s">
        <v>14</v>
      </c>
      <c r="E421" t="s">
        <v>25</v>
      </c>
      <c r="F421" t="s">
        <v>16</v>
      </c>
      <c r="G421" t="s">
        <v>27</v>
      </c>
      <c r="H421">
        <v>1784.11</v>
      </c>
      <c r="I421" s="8" t="str" cm="1">
        <f t="array" ref="I421">_xlfn.IFS(C421&lt;=15,"Children and Young Adolescents", C421&gt;64, "Seniors", TRUE, "Working Age")</f>
        <v>Working Age</v>
      </c>
      <c r="J421" s="6">
        <f>VLOOKUP(F421,Analysis!$F$1:$G$5,2,FALSE)</f>
        <v>2509.1716796874912</v>
      </c>
      <c r="K421">
        <f t="shared" si="24"/>
        <v>1962.52</v>
      </c>
      <c r="L421">
        <f t="shared" si="25"/>
        <v>1962.53</v>
      </c>
      <c r="M421">
        <f t="shared" si="26"/>
        <v>1962.52</v>
      </c>
      <c r="N421" s="5" t="str">
        <f t="shared" si="27"/>
        <v>March 2022</v>
      </c>
    </row>
    <row r="422" spans="1:14" x14ac:dyDescent="0.25">
      <c r="A422" s="1">
        <v>44628</v>
      </c>
      <c r="B422" t="s">
        <v>3781</v>
      </c>
      <c r="C422">
        <v>42</v>
      </c>
      <c r="D422" t="s">
        <v>9</v>
      </c>
      <c r="E422" t="s">
        <v>19</v>
      </c>
      <c r="F422" t="s">
        <v>11</v>
      </c>
      <c r="G422" t="s">
        <v>17</v>
      </c>
      <c r="H422">
        <v>4885.25</v>
      </c>
      <c r="I422" s="8" t="str" cm="1">
        <f t="array" ref="I422">_xlfn.IFS(C422&lt;=15,"Children and Young Adolescents", C422&gt;64, "Seniors", TRUE, "Working Age")</f>
        <v>Working Age</v>
      </c>
      <c r="J422" s="6">
        <f>VLOOKUP(F422,Analysis!$F$1:$G$5,2,FALSE)</f>
        <v>2503.6022787783854</v>
      </c>
      <c r="K422">
        <f t="shared" si="24"/>
        <v>5373.77</v>
      </c>
      <c r="L422">
        <f t="shared" si="25"/>
        <v>5373.7800000000007</v>
      </c>
      <c r="M422">
        <f t="shared" si="26"/>
        <v>5373.78</v>
      </c>
      <c r="N422" s="5" t="str">
        <f t="shared" si="27"/>
        <v>March 2022</v>
      </c>
    </row>
    <row r="423" spans="1:14" x14ac:dyDescent="0.25">
      <c r="A423" s="1">
        <v>44628</v>
      </c>
      <c r="B423" t="s">
        <v>1645</v>
      </c>
      <c r="C423">
        <v>12</v>
      </c>
      <c r="D423" t="s">
        <v>14</v>
      </c>
      <c r="E423" t="s">
        <v>34</v>
      </c>
      <c r="F423" t="s">
        <v>16</v>
      </c>
      <c r="G423" t="s">
        <v>39</v>
      </c>
      <c r="H423">
        <v>206.39</v>
      </c>
      <c r="I423" s="8" t="str" cm="1">
        <f t="array" ref="I423">_xlfn.IFS(C423&lt;=15,"Children and Young Adolescents", C423&gt;64, "Seniors", TRUE, "Working Age")</f>
        <v>Children and Young Adolescents</v>
      </c>
      <c r="J423" s="6">
        <f>VLOOKUP(F423,Analysis!$F$1:$G$5,2,FALSE)</f>
        <v>2509.1716796874912</v>
      </c>
      <c r="K423">
        <f t="shared" si="24"/>
        <v>227.02</v>
      </c>
      <c r="L423">
        <f t="shared" si="25"/>
        <v>227.03</v>
      </c>
      <c r="M423">
        <f t="shared" si="26"/>
        <v>227.03</v>
      </c>
      <c r="N423" s="5" t="str">
        <f t="shared" si="27"/>
        <v>March 2022</v>
      </c>
    </row>
    <row r="424" spans="1:14" x14ac:dyDescent="0.25">
      <c r="A424" s="1">
        <v>44628</v>
      </c>
      <c r="B424" t="s">
        <v>3827</v>
      </c>
      <c r="C424">
        <v>11</v>
      </c>
      <c r="D424" t="s">
        <v>9</v>
      </c>
      <c r="E424" t="s">
        <v>15</v>
      </c>
      <c r="F424" t="s">
        <v>23</v>
      </c>
      <c r="G424" t="s">
        <v>39</v>
      </c>
      <c r="H424">
        <v>3166.68</v>
      </c>
      <c r="I424" s="8" t="str" cm="1">
        <f t="array" ref="I424">_xlfn.IFS(C424&lt;=15,"Children and Young Adolescents", C424&gt;64, "Seniors", TRUE, "Working Age")</f>
        <v>Children and Young Adolescents</v>
      </c>
      <c r="J424" s="6">
        <f>VLOOKUP(F424,Analysis!$F$1:$G$5,2,FALSE)</f>
        <v>2440.2966694490838</v>
      </c>
      <c r="K424">
        <f t="shared" si="24"/>
        <v>3483.34</v>
      </c>
      <c r="L424">
        <f t="shared" si="25"/>
        <v>3483.3500000000004</v>
      </c>
      <c r="M424">
        <f t="shared" si="26"/>
        <v>3483.35</v>
      </c>
      <c r="N424" s="5" t="str">
        <f t="shared" si="27"/>
        <v>March 2022</v>
      </c>
    </row>
    <row r="425" spans="1:14" x14ac:dyDescent="0.25">
      <c r="A425" s="1">
        <v>44628</v>
      </c>
      <c r="B425" t="s">
        <v>2035</v>
      </c>
      <c r="C425">
        <v>26</v>
      </c>
      <c r="D425" t="s">
        <v>21</v>
      </c>
      <c r="E425" t="s">
        <v>34</v>
      </c>
      <c r="F425" t="s">
        <v>29</v>
      </c>
      <c r="G425" t="s">
        <v>36</v>
      </c>
      <c r="H425">
        <v>3729.92</v>
      </c>
      <c r="I425" s="8" t="str" cm="1">
        <f t="array" ref="I425">_xlfn.IFS(C425&lt;=15,"Children and Young Adolescents", C425&gt;64, "Seniors", TRUE, "Working Age")</f>
        <v>Working Age</v>
      </c>
      <c r="J425" s="6">
        <f>VLOOKUP(F425,Analysis!$F$1:$G$5,2,FALSE)</f>
        <v>2496.7676064256989</v>
      </c>
      <c r="K425">
        <f t="shared" si="24"/>
        <v>4102.91</v>
      </c>
      <c r="L425">
        <f t="shared" si="25"/>
        <v>4102.92</v>
      </c>
      <c r="M425">
        <f t="shared" si="26"/>
        <v>4102.91</v>
      </c>
      <c r="N425" s="5" t="str">
        <f t="shared" si="27"/>
        <v>March 2022</v>
      </c>
    </row>
    <row r="426" spans="1:14" x14ac:dyDescent="0.25">
      <c r="A426" s="1">
        <v>44628</v>
      </c>
      <c r="B426" t="s">
        <v>4532</v>
      </c>
      <c r="C426">
        <v>25</v>
      </c>
      <c r="D426" t="s">
        <v>21</v>
      </c>
      <c r="E426" t="s">
        <v>5032</v>
      </c>
      <c r="F426" t="s">
        <v>23</v>
      </c>
      <c r="G426" t="s">
        <v>12</v>
      </c>
      <c r="H426">
        <v>2106.2399999999998</v>
      </c>
      <c r="I426" s="8" t="str" cm="1">
        <f t="array" ref="I426">_xlfn.IFS(C426&lt;=15,"Children and Young Adolescents", C426&gt;64, "Seniors", TRUE, "Working Age")</f>
        <v>Working Age</v>
      </c>
      <c r="J426" s="6">
        <f>VLOOKUP(F426,Analysis!$F$1:$G$5,2,FALSE)</f>
        <v>2440.2966694490838</v>
      </c>
      <c r="K426">
        <f t="shared" si="24"/>
        <v>2316.86</v>
      </c>
      <c r="L426">
        <f t="shared" si="25"/>
        <v>2316.8700000000003</v>
      </c>
      <c r="M426">
        <f t="shared" si="26"/>
        <v>2316.86</v>
      </c>
      <c r="N426" s="5" t="str">
        <f t="shared" si="27"/>
        <v>March 2022</v>
      </c>
    </row>
    <row r="427" spans="1:14" x14ac:dyDescent="0.25">
      <c r="A427" s="1">
        <v>44629</v>
      </c>
      <c r="B427" t="s">
        <v>2101</v>
      </c>
      <c r="C427">
        <v>96</v>
      </c>
      <c r="D427" t="s">
        <v>14</v>
      </c>
      <c r="E427" t="s">
        <v>22</v>
      </c>
      <c r="F427" t="s">
        <v>11</v>
      </c>
      <c r="G427" t="s">
        <v>36</v>
      </c>
      <c r="H427">
        <v>835.47</v>
      </c>
      <c r="I427" s="8" t="str" cm="1">
        <f t="array" ref="I427">_xlfn.IFS(C427&lt;=15,"Children and Young Adolescents", C427&gt;64, "Seniors", TRUE, "Working Age")</f>
        <v>Seniors</v>
      </c>
      <c r="J427" s="6">
        <f>VLOOKUP(F427,Analysis!$F$1:$G$5,2,FALSE)</f>
        <v>2503.6022787783854</v>
      </c>
      <c r="K427">
        <f t="shared" si="24"/>
        <v>919.01</v>
      </c>
      <c r="L427">
        <f t="shared" si="25"/>
        <v>919.02</v>
      </c>
      <c r="M427">
        <f t="shared" si="26"/>
        <v>919.02</v>
      </c>
      <c r="N427" s="5" t="str">
        <f t="shared" si="27"/>
        <v>March 2022</v>
      </c>
    </row>
    <row r="428" spans="1:14" x14ac:dyDescent="0.25">
      <c r="A428" s="1">
        <v>44629</v>
      </c>
      <c r="B428" t="s">
        <v>746</v>
      </c>
      <c r="C428">
        <v>82</v>
      </c>
      <c r="D428" t="s">
        <v>21</v>
      </c>
      <c r="E428" t="s">
        <v>22</v>
      </c>
      <c r="F428" t="s">
        <v>29</v>
      </c>
      <c r="G428" t="s">
        <v>17</v>
      </c>
      <c r="H428">
        <v>4677.55</v>
      </c>
      <c r="I428" s="8" t="str" cm="1">
        <f t="array" ref="I428">_xlfn.IFS(C428&lt;=15,"Children and Young Adolescents", C428&gt;64, "Seniors", TRUE, "Working Age")</f>
        <v>Seniors</v>
      </c>
      <c r="J428" s="6">
        <f>VLOOKUP(F428,Analysis!$F$1:$G$5,2,FALSE)</f>
        <v>2496.7676064256989</v>
      </c>
      <c r="K428">
        <f t="shared" si="24"/>
        <v>5145.3</v>
      </c>
      <c r="L428">
        <f t="shared" si="25"/>
        <v>5145.3100000000004</v>
      </c>
      <c r="M428">
        <f t="shared" si="26"/>
        <v>5145.3100000000004</v>
      </c>
      <c r="N428" s="5" t="str">
        <f t="shared" si="27"/>
        <v>March 2022</v>
      </c>
    </row>
    <row r="429" spans="1:14" x14ac:dyDescent="0.25">
      <c r="A429" s="1">
        <v>44629</v>
      </c>
      <c r="B429" t="s">
        <v>3780</v>
      </c>
      <c r="C429">
        <v>88</v>
      </c>
      <c r="D429" t="s">
        <v>9</v>
      </c>
      <c r="E429" t="s">
        <v>25</v>
      </c>
      <c r="F429" t="s">
        <v>29</v>
      </c>
      <c r="G429" t="s">
        <v>39</v>
      </c>
      <c r="H429">
        <v>1856.35</v>
      </c>
      <c r="I429" s="8" t="str" cm="1">
        <f t="array" ref="I429">_xlfn.IFS(C429&lt;=15,"Children and Young Adolescents", C429&gt;64, "Seniors", TRUE, "Working Age")</f>
        <v>Seniors</v>
      </c>
      <c r="J429" s="6">
        <f>VLOOKUP(F429,Analysis!$F$1:$G$5,2,FALSE)</f>
        <v>2496.7676064256989</v>
      </c>
      <c r="K429">
        <f t="shared" si="24"/>
        <v>2041.98</v>
      </c>
      <c r="L429">
        <f t="shared" si="25"/>
        <v>2041.99</v>
      </c>
      <c r="M429">
        <f t="shared" si="26"/>
        <v>2041.99</v>
      </c>
      <c r="N429" s="5" t="str">
        <f t="shared" si="27"/>
        <v>March 2022</v>
      </c>
    </row>
    <row r="430" spans="1:14" x14ac:dyDescent="0.25">
      <c r="A430" s="1">
        <v>44629</v>
      </c>
      <c r="B430" t="s">
        <v>3524</v>
      </c>
      <c r="C430">
        <v>50</v>
      </c>
      <c r="D430" t="s">
        <v>9</v>
      </c>
      <c r="E430" t="s">
        <v>10</v>
      </c>
      <c r="F430" t="s">
        <v>23</v>
      </c>
      <c r="G430" t="s">
        <v>27</v>
      </c>
      <c r="H430">
        <v>1986.75</v>
      </c>
      <c r="I430" s="8" t="str" cm="1">
        <f t="array" ref="I430">_xlfn.IFS(C430&lt;=15,"Children and Young Adolescents", C430&gt;64, "Seniors", TRUE, "Working Age")</f>
        <v>Working Age</v>
      </c>
      <c r="J430" s="6">
        <f>VLOOKUP(F430,Analysis!$F$1:$G$5,2,FALSE)</f>
        <v>2440.2966694490838</v>
      </c>
      <c r="K430">
        <f t="shared" si="24"/>
        <v>2185.42</v>
      </c>
      <c r="L430">
        <f t="shared" si="25"/>
        <v>2185.4300000000003</v>
      </c>
      <c r="M430">
        <f t="shared" si="26"/>
        <v>2185.4299999999998</v>
      </c>
      <c r="N430" s="5" t="str">
        <f t="shared" si="27"/>
        <v>March 2022</v>
      </c>
    </row>
    <row r="431" spans="1:14" x14ac:dyDescent="0.25">
      <c r="A431" s="1">
        <v>44629</v>
      </c>
      <c r="B431" t="s">
        <v>1479</v>
      </c>
      <c r="C431">
        <v>2</v>
      </c>
      <c r="D431" t="s">
        <v>21</v>
      </c>
      <c r="E431" t="s">
        <v>22</v>
      </c>
      <c r="F431" t="s">
        <v>16</v>
      </c>
      <c r="G431" t="s">
        <v>17</v>
      </c>
      <c r="H431">
        <v>1552.21</v>
      </c>
      <c r="I431" s="8" t="str" cm="1">
        <f t="array" ref="I431">_xlfn.IFS(C431&lt;=15,"Children and Young Adolescents", C431&gt;64, "Seniors", TRUE, "Working Age")</f>
        <v>Children and Young Adolescents</v>
      </c>
      <c r="J431" s="6">
        <f>VLOOKUP(F431,Analysis!$F$1:$G$5,2,FALSE)</f>
        <v>2509.1716796874912</v>
      </c>
      <c r="K431">
        <f t="shared" si="24"/>
        <v>1707.43</v>
      </c>
      <c r="L431">
        <f t="shared" si="25"/>
        <v>1707.44</v>
      </c>
      <c r="M431">
        <f t="shared" si="26"/>
        <v>1707.43</v>
      </c>
      <c r="N431" s="5" t="str">
        <f t="shared" si="27"/>
        <v>March 2022</v>
      </c>
    </row>
    <row r="432" spans="1:14" x14ac:dyDescent="0.25">
      <c r="A432" s="1">
        <v>44629</v>
      </c>
      <c r="B432" t="s">
        <v>2811</v>
      </c>
      <c r="C432">
        <v>52</v>
      </c>
      <c r="D432" t="s">
        <v>21</v>
      </c>
      <c r="E432" t="s">
        <v>32</v>
      </c>
      <c r="F432" t="s">
        <v>11</v>
      </c>
      <c r="G432" t="s">
        <v>17</v>
      </c>
      <c r="H432">
        <v>4939.47</v>
      </c>
      <c r="I432" s="8" t="str" cm="1">
        <f t="array" ref="I432">_xlfn.IFS(C432&lt;=15,"Children and Young Adolescents", C432&gt;64, "Seniors", TRUE, "Working Age")</f>
        <v>Working Age</v>
      </c>
      <c r="J432" s="6">
        <f>VLOOKUP(F432,Analysis!$F$1:$G$5,2,FALSE)</f>
        <v>2503.6022787783854</v>
      </c>
      <c r="K432">
        <f t="shared" si="24"/>
        <v>5433.41</v>
      </c>
      <c r="L432">
        <f t="shared" si="25"/>
        <v>5433.42</v>
      </c>
      <c r="M432">
        <f t="shared" si="26"/>
        <v>5433.42</v>
      </c>
      <c r="N432" s="5" t="str">
        <f t="shared" si="27"/>
        <v>March 2022</v>
      </c>
    </row>
    <row r="433" spans="1:14" x14ac:dyDescent="0.25">
      <c r="A433" s="1">
        <v>44629</v>
      </c>
      <c r="B433" t="s">
        <v>4946</v>
      </c>
      <c r="C433">
        <v>72</v>
      </c>
      <c r="D433" t="s">
        <v>14</v>
      </c>
      <c r="E433" t="s">
        <v>25</v>
      </c>
      <c r="F433" t="s">
        <v>29</v>
      </c>
      <c r="G433" t="s">
        <v>12</v>
      </c>
      <c r="H433">
        <v>2608.0100000000002</v>
      </c>
      <c r="I433" s="8" t="str" cm="1">
        <f t="array" ref="I433">_xlfn.IFS(C433&lt;=15,"Children and Young Adolescents", C433&gt;64, "Seniors", TRUE, "Working Age")</f>
        <v>Seniors</v>
      </c>
      <c r="J433" s="6">
        <f>VLOOKUP(F433,Analysis!$F$1:$G$5,2,FALSE)</f>
        <v>2496.7676064256989</v>
      </c>
      <c r="K433">
        <f t="shared" si="24"/>
        <v>2868.81</v>
      </c>
      <c r="L433">
        <f t="shared" si="25"/>
        <v>2868.82</v>
      </c>
      <c r="M433">
        <f t="shared" si="26"/>
        <v>2868.81</v>
      </c>
      <c r="N433" s="5" t="str">
        <f t="shared" si="27"/>
        <v>March 2022</v>
      </c>
    </row>
    <row r="434" spans="1:14" x14ac:dyDescent="0.25">
      <c r="A434" s="1">
        <v>44630</v>
      </c>
      <c r="B434" t="s">
        <v>2630</v>
      </c>
      <c r="C434">
        <v>82</v>
      </c>
      <c r="D434" t="s">
        <v>21</v>
      </c>
      <c r="E434" t="s">
        <v>10</v>
      </c>
      <c r="F434" t="s">
        <v>29</v>
      </c>
      <c r="G434" t="s">
        <v>27</v>
      </c>
      <c r="H434">
        <v>4572.24</v>
      </c>
      <c r="I434" s="8" t="str" cm="1">
        <f t="array" ref="I434">_xlfn.IFS(C434&lt;=15,"Children and Young Adolescents", C434&gt;64, "Seniors", TRUE, "Working Age")</f>
        <v>Seniors</v>
      </c>
      <c r="J434" s="6">
        <f>VLOOKUP(F434,Analysis!$F$1:$G$5,2,FALSE)</f>
        <v>2496.7676064256989</v>
      </c>
      <c r="K434">
        <f t="shared" si="24"/>
        <v>5029.46</v>
      </c>
      <c r="L434">
        <f t="shared" si="25"/>
        <v>5029.47</v>
      </c>
      <c r="M434">
        <f t="shared" si="26"/>
        <v>5029.46</v>
      </c>
      <c r="N434" s="5" t="str">
        <f t="shared" si="27"/>
        <v>March 2022</v>
      </c>
    </row>
    <row r="435" spans="1:14" x14ac:dyDescent="0.25">
      <c r="A435" s="1">
        <v>44630</v>
      </c>
      <c r="B435" t="s">
        <v>3813</v>
      </c>
      <c r="C435">
        <v>15</v>
      </c>
      <c r="D435" t="s">
        <v>21</v>
      </c>
      <c r="E435" t="s">
        <v>10</v>
      </c>
      <c r="F435" t="s">
        <v>11</v>
      </c>
      <c r="G435" t="s">
        <v>27</v>
      </c>
      <c r="H435">
        <v>2251.09</v>
      </c>
      <c r="I435" s="8" t="str" cm="1">
        <f t="array" ref="I435">_xlfn.IFS(C435&lt;=15,"Children and Young Adolescents", C435&gt;64, "Seniors", TRUE, "Working Age")</f>
        <v>Children and Young Adolescents</v>
      </c>
      <c r="J435" s="6">
        <f>VLOOKUP(F435,Analysis!$F$1:$G$5,2,FALSE)</f>
        <v>2503.6022787783854</v>
      </c>
      <c r="K435">
        <f t="shared" si="24"/>
        <v>2476.19</v>
      </c>
      <c r="L435">
        <f t="shared" si="25"/>
        <v>2476.2000000000003</v>
      </c>
      <c r="M435">
        <f t="shared" si="26"/>
        <v>2476.1999999999998</v>
      </c>
      <c r="N435" s="5" t="str">
        <f t="shared" si="27"/>
        <v>March 2022</v>
      </c>
    </row>
    <row r="436" spans="1:14" x14ac:dyDescent="0.25">
      <c r="A436" s="1">
        <v>44630</v>
      </c>
      <c r="B436" t="s">
        <v>304</v>
      </c>
      <c r="C436">
        <v>94</v>
      </c>
      <c r="D436" t="s">
        <v>14</v>
      </c>
      <c r="E436" t="s">
        <v>25</v>
      </c>
      <c r="F436" t="s">
        <v>11</v>
      </c>
      <c r="G436" t="s">
        <v>27</v>
      </c>
      <c r="H436">
        <v>3636.44</v>
      </c>
      <c r="I436" s="8" t="str" cm="1">
        <f t="array" ref="I436">_xlfn.IFS(C436&lt;=15,"Children and Young Adolescents", C436&gt;64, "Seniors", TRUE, "Working Age")</f>
        <v>Seniors</v>
      </c>
      <c r="J436" s="6">
        <f>VLOOKUP(F436,Analysis!$F$1:$G$5,2,FALSE)</f>
        <v>2503.6022787783854</v>
      </c>
      <c r="K436">
        <f t="shared" si="24"/>
        <v>4000.08</v>
      </c>
      <c r="L436">
        <f t="shared" si="25"/>
        <v>4000.09</v>
      </c>
      <c r="M436">
        <f t="shared" si="26"/>
        <v>4000.08</v>
      </c>
      <c r="N436" s="5" t="str">
        <f t="shared" si="27"/>
        <v>March 2022</v>
      </c>
    </row>
    <row r="437" spans="1:14" x14ac:dyDescent="0.25">
      <c r="A437" s="1">
        <v>44630</v>
      </c>
      <c r="B437" t="s">
        <v>1950</v>
      </c>
      <c r="C437">
        <v>80</v>
      </c>
      <c r="D437" t="s">
        <v>14</v>
      </c>
      <c r="E437" t="s">
        <v>15</v>
      </c>
      <c r="F437" t="s">
        <v>23</v>
      </c>
      <c r="G437" t="s">
        <v>27</v>
      </c>
      <c r="H437">
        <v>2438.3200000000002</v>
      </c>
      <c r="I437" s="8" t="str" cm="1">
        <f t="array" ref="I437">_xlfn.IFS(C437&lt;=15,"Children and Young Adolescents", C437&gt;64, "Seniors", TRUE, "Working Age")</f>
        <v>Seniors</v>
      </c>
      <c r="J437" s="6">
        <f>VLOOKUP(F437,Analysis!$F$1:$G$5,2,FALSE)</f>
        <v>2440.2966694490838</v>
      </c>
      <c r="K437">
        <f t="shared" si="24"/>
        <v>2682.15</v>
      </c>
      <c r="L437">
        <f t="shared" si="25"/>
        <v>2682.1600000000003</v>
      </c>
      <c r="M437">
        <f t="shared" si="26"/>
        <v>2682.15</v>
      </c>
      <c r="N437" s="5" t="str">
        <f t="shared" si="27"/>
        <v>March 2022</v>
      </c>
    </row>
    <row r="438" spans="1:14" x14ac:dyDescent="0.25">
      <c r="A438" s="1">
        <v>44630</v>
      </c>
      <c r="B438" t="s">
        <v>2722</v>
      </c>
      <c r="C438">
        <v>41</v>
      </c>
      <c r="D438" t="s">
        <v>21</v>
      </c>
      <c r="E438" t="s">
        <v>5032</v>
      </c>
      <c r="F438" t="s">
        <v>23</v>
      </c>
      <c r="G438" t="s">
        <v>27</v>
      </c>
      <c r="H438">
        <v>1320.78</v>
      </c>
      <c r="I438" s="8" t="str" cm="1">
        <f t="array" ref="I438">_xlfn.IFS(C438&lt;=15,"Children and Young Adolescents", C438&gt;64, "Seniors", TRUE, "Working Age")</f>
        <v>Working Age</v>
      </c>
      <c r="J438" s="6">
        <f>VLOOKUP(F438,Analysis!$F$1:$G$5,2,FALSE)</f>
        <v>2440.2966694490838</v>
      </c>
      <c r="K438">
        <f t="shared" si="24"/>
        <v>1452.85</v>
      </c>
      <c r="L438">
        <f t="shared" si="25"/>
        <v>1452.86</v>
      </c>
      <c r="M438">
        <f t="shared" si="26"/>
        <v>1452.86</v>
      </c>
      <c r="N438" s="5" t="str">
        <f t="shared" si="27"/>
        <v>March 2022</v>
      </c>
    </row>
    <row r="439" spans="1:14" x14ac:dyDescent="0.25">
      <c r="A439" s="1">
        <v>44630</v>
      </c>
      <c r="B439" t="s">
        <v>82</v>
      </c>
      <c r="C439">
        <v>61</v>
      </c>
      <c r="D439" t="s">
        <v>21</v>
      </c>
      <c r="E439" t="s">
        <v>10</v>
      </c>
      <c r="F439" t="s">
        <v>16</v>
      </c>
      <c r="G439" t="s">
        <v>36</v>
      </c>
      <c r="H439">
        <v>3232.17</v>
      </c>
      <c r="I439" s="8" t="str" cm="1">
        <f t="array" ref="I439">_xlfn.IFS(C439&lt;=15,"Children and Young Adolescents", C439&gt;64, "Seniors", TRUE, "Working Age")</f>
        <v>Working Age</v>
      </c>
      <c r="J439" s="6">
        <f>VLOOKUP(F439,Analysis!$F$1:$G$5,2,FALSE)</f>
        <v>2509.1716796874912</v>
      </c>
      <c r="K439">
        <f t="shared" si="24"/>
        <v>3555.38</v>
      </c>
      <c r="L439">
        <f t="shared" si="25"/>
        <v>3555.3900000000003</v>
      </c>
      <c r="M439">
        <f t="shared" si="26"/>
        <v>3555.39</v>
      </c>
      <c r="N439" s="5" t="str">
        <f t="shared" si="27"/>
        <v>March 2022</v>
      </c>
    </row>
    <row r="440" spans="1:14" x14ac:dyDescent="0.25">
      <c r="A440" s="1">
        <v>44630</v>
      </c>
      <c r="B440" t="s">
        <v>236</v>
      </c>
      <c r="C440">
        <v>65</v>
      </c>
      <c r="D440" t="s">
        <v>9</v>
      </c>
      <c r="E440" t="s">
        <v>32</v>
      </c>
      <c r="F440" t="s">
        <v>11</v>
      </c>
      <c r="G440" t="s">
        <v>12</v>
      </c>
      <c r="H440">
        <v>1936.39</v>
      </c>
      <c r="I440" s="8" t="str" cm="1">
        <f t="array" ref="I440">_xlfn.IFS(C440&lt;=15,"Children and Young Adolescents", C440&gt;64, "Seniors", TRUE, "Working Age")</f>
        <v>Seniors</v>
      </c>
      <c r="J440" s="6">
        <f>VLOOKUP(F440,Analysis!$F$1:$G$5,2,FALSE)</f>
        <v>2503.6022787783854</v>
      </c>
      <c r="K440">
        <f t="shared" si="24"/>
        <v>2130.02</v>
      </c>
      <c r="L440">
        <f t="shared" si="25"/>
        <v>2130.0300000000002</v>
      </c>
      <c r="M440">
        <f t="shared" si="26"/>
        <v>2130.0300000000002</v>
      </c>
      <c r="N440" s="5" t="str">
        <f t="shared" si="27"/>
        <v>March 2022</v>
      </c>
    </row>
    <row r="441" spans="1:14" x14ac:dyDescent="0.25">
      <c r="A441" s="1">
        <v>44630</v>
      </c>
      <c r="B441" t="s">
        <v>4585</v>
      </c>
      <c r="C441">
        <v>38</v>
      </c>
      <c r="D441" t="s">
        <v>21</v>
      </c>
      <c r="E441" t="s">
        <v>34</v>
      </c>
      <c r="F441" t="s">
        <v>11</v>
      </c>
      <c r="G441" t="s">
        <v>39</v>
      </c>
      <c r="H441">
        <v>2611.84</v>
      </c>
      <c r="I441" s="8" t="str" cm="1">
        <f t="array" ref="I441">_xlfn.IFS(C441&lt;=15,"Children and Young Adolescents", C441&gt;64, "Seniors", TRUE, "Working Age")</f>
        <v>Working Age</v>
      </c>
      <c r="J441" s="6">
        <f>VLOOKUP(F441,Analysis!$F$1:$G$5,2,FALSE)</f>
        <v>2503.6022787783854</v>
      </c>
      <c r="K441">
        <f t="shared" si="24"/>
        <v>2873.02</v>
      </c>
      <c r="L441">
        <f t="shared" si="25"/>
        <v>2873.03</v>
      </c>
      <c r="M441">
        <f t="shared" si="26"/>
        <v>2873.02</v>
      </c>
      <c r="N441" s="5" t="str">
        <f t="shared" si="27"/>
        <v>March 2022</v>
      </c>
    </row>
    <row r="442" spans="1:14" x14ac:dyDescent="0.25">
      <c r="A442" s="1">
        <v>44631</v>
      </c>
      <c r="B442" t="s">
        <v>1908</v>
      </c>
      <c r="C442">
        <v>2</v>
      </c>
      <c r="D442" t="s">
        <v>9</v>
      </c>
      <c r="E442" t="s">
        <v>34</v>
      </c>
      <c r="F442" t="s">
        <v>23</v>
      </c>
      <c r="G442" t="s">
        <v>36</v>
      </c>
      <c r="H442">
        <v>4762.53</v>
      </c>
      <c r="I442" s="8" t="str" cm="1">
        <f t="array" ref="I442">_xlfn.IFS(C442&lt;=15,"Children and Young Adolescents", C442&gt;64, "Seniors", TRUE, "Working Age")</f>
        <v>Children and Young Adolescents</v>
      </c>
      <c r="J442" s="6">
        <f>VLOOKUP(F442,Analysis!$F$1:$G$5,2,FALSE)</f>
        <v>2440.2966694490838</v>
      </c>
      <c r="K442">
        <f t="shared" si="24"/>
        <v>5238.78</v>
      </c>
      <c r="L442">
        <f t="shared" si="25"/>
        <v>5238.79</v>
      </c>
      <c r="M442">
        <f t="shared" si="26"/>
        <v>5238.78</v>
      </c>
      <c r="N442" s="5" t="str">
        <f t="shared" si="27"/>
        <v>March 2022</v>
      </c>
    </row>
    <row r="443" spans="1:14" x14ac:dyDescent="0.25">
      <c r="A443" s="1">
        <v>44631</v>
      </c>
      <c r="B443" t="s">
        <v>1364</v>
      </c>
      <c r="C443">
        <v>3</v>
      </c>
      <c r="D443" t="s">
        <v>9</v>
      </c>
      <c r="E443" t="s">
        <v>19</v>
      </c>
      <c r="F443" t="s">
        <v>29</v>
      </c>
      <c r="G443" t="s">
        <v>39</v>
      </c>
      <c r="H443">
        <v>2918.5</v>
      </c>
      <c r="I443" s="8" t="str" cm="1">
        <f t="array" ref="I443">_xlfn.IFS(C443&lt;=15,"Children and Young Adolescents", C443&gt;64, "Seniors", TRUE, "Working Age")</f>
        <v>Children and Young Adolescents</v>
      </c>
      <c r="J443" s="6">
        <f>VLOOKUP(F443,Analysis!$F$1:$G$5,2,FALSE)</f>
        <v>2496.7676064256989</v>
      </c>
      <c r="K443">
        <f t="shared" si="24"/>
        <v>3210.35</v>
      </c>
      <c r="L443">
        <f t="shared" si="25"/>
        <v>3210.35</v>
      </c>
      <c r="M443">
        <f t="shared" si="26"/>
        <v>3210.35</v>
      </c>
      <c r="N443" s="5" t="str">
        <f t="shared" si="27"/>
        <v>March 2022</v>
      </c>
    </row>
    <row r="444" spans="1:14" x14ac:dyDescent="0.25">
      <c r="A444" s="1">
        <v>44631</v>
      </c>
      <c r="B444" t="s">
        <v>2482</v>
      </c>
      <c r="C444">
        <v>34</v>
      </c>
      <c r="D444" t="s">
        <v>21</v>
      </c>
      <c r="E444" t="s">
        <v>19</v>
      </c>
      <c r="F444" t="s">
        <v>23</v>
      </c>
      <c r="G444" t="s">
        <v>17</v>
      </c>
      <c r="H444">
        <v>3264.5</v>
      </c>
      <c r="I444" s="8" t="str" cm="1">
        <f t="array" ref="I444">_xlfn.IFS(C444&lt;=15,"Children and Young Adolescents", C444&gt;64, "Seniors", TRUE, "Working Age")</f>
        <v>Working Age</v>
      </c>
      <c r="J444" s="6">
        <f>VLOOKUP(F444,Analysis!$F$1:$G$5,2,FALSE)</f>
        <v>2440.2966694490838</v>
      </c>
      <c r="K444">
        <f t="shared" si="24"/>
        <v>3590.95</v>
      </c>
      <c r="L444">
        <f t="shared" si="25"/>
        <v>3590.95</v>
      </c>
      <c r="M444">
        <f t="shared" si="26"/>
        <v>3590.95</v>
      </c>
      <c r="N444" s="5" t="str">
        <f t="shared" si="27"/>
        <v>March 2022</v>
      </c>
    </row>
    <row r="445" spans="1:14" x14ac:dyDescent="0.25">
      <c r="A445" s="1">
        <v>44631</v>
      </c>
      <c r="B445" t="s">
        <v>2612</v>
      </c>
      <c r="C445">
        <v>71</v>
      </c>
      <c r="D445" t="s">
        <v>21</v>
      </c>
      <c r="E445" t="s">
        <v>32</v>
      </c>
      <c r="F445" t="s">
        <v>29</v>
      </c>
      <c r="G445" t="s">
        <v>27</v>
      </c>
      <c r="H445">
        <v>2539.61</v>
      </c>
      <c r="I445" s="8" t="str" cm="1">
        <f t="array" ref="I445">_xlfn.IFS(C445&lt;=15,"Children and Young Adolescents", C445&gt;64, "Seniors", TRUE, "Working Age")</f>
        <v>Seniors</v>
      </c>
      <c r="J445" s="6">
        <f>VLOOKUP(F445,Analysis!$F$1:$G$5,2,FALSE)</f>
        <v>2496.7676064256989</v>
      </c>
      <c r="K445">
        <f t="shared" si="24"/>
        <v>2793.57</v>
      </c>
      <c r="L445">
        <f t="shared" si="25"/>
        <v>2793.5800000000004</v>
      </c>
      <c r="M445">
        <f t="shared" si="26"/>
        <v>2793.57</v>
      </c>
      <c r="N445" s="5" t="str">
        <f t="shared" si="27"/>
        <v>March 2022</v>
      </c>
    </row>
    <row r="446" spans="1:14" x14ac:dyDescent="0.25">
      <c r="A446" s="1">
        <v>44631</v>
      </c>
      <c r="B446" t="s">
        <v>864</v>
      </c>
      <c r="C446">
        <v>51</v>
      </c>
      <c r="D446" t="s">
        <v>9</v>
      </c>
      <c r="E446" t="s">
        <v>25</v>
      </c>
      <c r="F446" t="s">
        <v>16</v>
      </c>
      <c r="G446" t="s">
        <v>27</v>
      </c>
      <c r="H446">
        <v>343.76</v>
      </c>
      <c r="I446" s="8" t="str" cm="1">
        <f t="array" ref="I446">_xlfn.IFS(C446&lt;=15,"Children and Young Adolescents", C446&gt;64, "Seniors", TRUE, "Working Age")</f>
        <v>Working Age</v>
      </c>
      <c r="J446" s="6">
        <f>VLOOKUP(F446,Analysis!$F$1:$G$5,2,FALSE)</f>
        <v>2509.1716796874912</v>
      </c>
      <c r="K446">
        <f t="shared" si="24"/>
        <v>378.13</v>
      </c>
      <c r="L446">
        <f t="shared" si="25"/>
        <v>378.14</v>
      </c>
      <c r="M446">
        <f t="shared" si="26"/>
        <v>378.14</v>
      </c>
      <c r="N446" s="5" t="str">
        <f t="shared" si="27"/>
        <v>March 2022</v>
      </c>
    </row>
    <row r="447" spans="1:14" x14ac:dyDescent="0.25">
      <c r="A447" s="1">
        <v>44632</v>
      </c>
      <c r="B447" t="s">
        <v>4826</v>
      </c>
      <c r="C447">
        <v>35</v>
      </c>
      <c r="D447" t="s">
        <v>21</v>
      </c>
      <c r="E447" t="s">
        <v>15</v>
      </c>
      <c r="F447" t="s">
        <v>11</v>
      </c>
      <c r="G447" t="s">
        <v>36</v>
      </c>
      <c r="H447">
        <v>4762.8</v>
      </c>
      <c r="I447" s="8" t="str" cm="1">
        <f t="array" ref="I447">_xlfn.IFS(C447&lt;=15,"Children and Young Adolescents", C447&gt;64, "Seniors", TRUE, "Working Age")</f>
        <v>Working Age</v>
      </c>
      <c r="J447" s="6">
        <f>VLOOKUP(F447,Analysis!$F$1:$G$5,2,FALSE)</f>
        <v>2503.6022787783854</v>
      </c>
      <c r="K447">
        <f t="shared" si="24"/>
        <v>5239.08</v>
      </c>
      <c r="L447">
        <f t="shared" si="25"/>
        <v>5239.08</v>
      </c>
      <c r="M447">
        <f t="shared" si="26"/>
        <v>5239.08</v>
      </c>
      <c r="N447" s="5" t="str">
        <f t="shared" si="27"/>
        <v>March 2022</v>
      </c>
    </row>
    <row r="448" spans="1:14" x14ac:dyDescent="0.25">
      <c r="A448" s="1">
        <v>44632</v>
      </c>
      <c r="B448" t="s">
        <v>937</v>
      </c>
      <c r="C448">
        <v>36</v>
      </c>
      <c r="D448" t="s">
        <v>21</v>
      </c>
      <c r="E448" t="s">
        <v>19</v>
      </c>
      <c r="F448" t="s">
        <v>29</v>
      </c>
      <c r="G448" t="s">
        <v>5033</v>
      </c>
      <c r="H448">
        <v>2164.91</v>
      </c>
      <c r="I448" s="8" t="str" cm="1">
        <f t="array" ref="I448">_xlfn.IFS(C448&lt;=15,"Children and Young Adolescents", C448&gt;64, "Seniors", TRUE, "Working Age")</f>
        <v>Working Age</v>
      </c>
      <c r="J448" s="6">
        <f>VLOOKUP(F448,Analysis!$F$1:$G$5,2,FALSE)</f>
        <v>2496.7676064256989</v>
      </c>
      <c r="K448">
        <f t="shared" si="24"/>
        <v>2381.4</v>
      </c>
      <c r="L448">
        <f t="shared" si="25"/>
        <v>2381.4100000000003</v>
      </c>
      <c r="M448">
        <f t="shared" si="26"/>
        <v>2381.4</v>
      </c>
      <c r="N448" s="5" t="str">
        <f t="shared" si="27"/>
        <v>March 2022</v>
      </c>
    </row>
    <row r="449" spans="1:14" x14ac:dyDescent="0.25">
      <c r="A449" s="1">
        <v>44632</v>
      </c>
      <c r="B449" t="s">
        <v>3419</v>
      </c>
      <c r="C449">
        <v>26</v>
      </c>
      <c r="D449" t="s">
        <v>9</v>
      </c>
      <c r="E449" t="s">
        <v>19</v>
      </c>
      <c r="F449" t="s">
        <v>16</v>
      </c>
      <c r="G449" t="s">
        <v>17</v>
      </c>
      <c r="H449">
        <v>4188.43</v>
      </c>
      <c r="I449" s="8" t="str" cm="1">
        <f t="array" ref="I449">_xlfn.IFS(C449&lt;=15,"Children and Young Adolescents", C449&gt;64, "Seniors", TRUE, "Working Age")</f>
        <v>Working Age</v>
      </c>
      <c r="J449" s="6">
        <f>VLOOKUP(F449,Analysis!$F$1:$G$5,2,FALSE)</f>
        <v>2509.1716796874912</v>
      </c>
      <c r="K449">
        <f t="shared" si="24"/>
        <v>4607.2700000000004</v>
      </c>
      <c r="L449">
        <f t="shared" si="25"/>
        <v>4607.2800000000007</v>
      </c>
      <c r="M449">
        <f t="shared" si="26"/>
        <v>4607.2700000000004</v>
      </c>
      <c r="N449" s="5" t="str">
        <f t="shared" si="27"/>
        <v>March 2022</v>
      </c>
    </row>
    <row r="450" spans="1:14" x14ac:dyDescent="0.25">
      <c r="A450" s="1">
        <v>44632</v>
      </c>
      <c r="B450" t="s">
        <v>4895</v>
      </c>
      <c r="C450">
        <v>77</v>
      </c>
      <c r="D450" t="s">
        <v>9</v>
      </c>
      <c r="E450" t="s">
        <v>34</v>
      </c>
      <c r="F450" t="s">
        <v>11</v>
      </c>
      <c r="G450" t="s">
        <v>17</v>
      </c>
      <c r="H450">
        <v>4947.6400000000003</v>
      </c>
      <c r="I450" s="8" t="str" cm="1">
        <f t="array" ref="I450">_xlfn.IFS(C450&lt;=15,"Children and Young Adolescents", C450&gt;64, "Seniors", TRUE, "Working Age")</f>
        <v>Seniors</v>
      </c>
      <c r="J450" s="6">
        <f>VLOOKUP(F450,Analysis!$F$1:$G$5,2,FALSE)</f>
        <v>2503.6022787783854</v>
      </c>
      <c r="K450">
        <f t="shared" si="24"/>
        <v>5442.4</v>
      </c>
      <c r="L450">
        <f t="shared" si="25"/>
        <v>5442.41</v>
      </c>
      <c r="M450">
        <f t="shared" si="26"/>
        <v>5442.4</v>
      </c>
      <c r="N450" s="5" t="str">
        <f t="shared" si="27"/>
        <v>March 2022</v>
      </c>
    </row>
    <row r="451" spans="1:14" x14ac:dyDescent="0.25">
      <c r="A451" s="1">
        <v>44632</v>
      </c>
      <c r="B451" t="s">
        <v>1659</v>
      </c>
      <c r="C451">
        <v>35</v>
      </c>
      <c r="D451" t="s">
        <v>21</v>
      </c>
      <c r="E451" t="s">
        <v>5032</v>
      </c>
      <c r="F451" t="s">
        <v>29</v>
      </c>
      <c r="G451" t="s">
        <v>12</v>
      </c>
      <c r="H451">
        <v>1819.47</v>
      </c>
      <c r="I451" s="8" t="str" cm="1">
        <f t="array" ref="I451">_xlfn.IFS(C451&lt;=15,"Children and Young Adolescents", C451&gt;64, "Seniors", TRUE, "Working Age")</f>
        <v>Working Age</v>
      </c>
      <c r="J451" s="6">
        <f>VLOOKUP(F451,Analysis!$F$1:$G$5,2,FALSE)</f>
        <v>2496.7676064256989</v>
      </c>
      <c r="K451">
        <f t="shared" ref="K451:K514" si="28">ROUNDDOWN(H451*1.1,2)</f>
        <v>2001.41</v>
      </c>
      <c r="L451">
        <f t="shared" ref="L451:L514" si="29">ROUNDUP(H451*1.1,2)</f>
        <v>2001.42</v>
      </c>
      <c r="M451">
        <f t="shared" ref="M451:M514" si="30">ROUND(H451*1.1,2)</f>
        <v>2001.42</v>
      </c>
      <c r="N451" s="5" t="str">
        <f t="shared" ref="N451:N514" si="31">TEXT(A451,"mmmm yyyy")</f>
        <v>March 2022</v>
      </c>
    </row>
    <row r="452" spans="1:14" x14ac:dyDescent="0.25">
      <c r="A452" s="1">
        <v>44632</v>
      </c>
      <c r="B452" t="s">
        <v>1412</v>
      </c>
      <c r="C452">
        <v>26</v>
      </c>
      <c r="D452" t="s">
        <v>21</v>
      </c>
      <c r="E452" t="s">
        <v>22</v>
      </c>
      <c r="F452" t="s">
        <v>29</v>
      </c>
      <c r="G452" t="s">
        <v>17</v>
      </c>
      <c r="H452">
        <v>1807.56</v>
      </c>
      <c r="I452" s="8" t="str" cm="1">
        <f t="array" ref="I452">_xlfn.IFS(C452&lt;=15,"Children and Young Adolescents", C452&gt;64, "Seniors", TRUE, "Working Age")</f>
        <v>Working Age</v>
      </c>
      <c r="J452" s="6">
        <f>VLOOKUP(F452,Analysis!$F$1:$G$5,2,FALSE)</f>
        <v>2496.7676064256989</v>
      </c>
      <c r="K452">
        <f t="shared" si="28"/>
        <v>1988.31</v>
      </c>
      <c r="L452">
        <f t="shared" si="29"/>
        <v>1988.32</v>
      </c>
      <c r="M452">
        <f t="shared" si="30"/>
        <v>1988.32</v>
      </c>
      <c r="N452" s="5" t="str">
        <f t="shared" si="31"/>
        <v>March 2022</v>
      </c>
    </row>
    <row r="453" spans="1:14" x14ac:dyDescent="0.25">
      <c r="A453" s="1">
        <v>44632</v>
      </c>
      <c r="B453" t="s">
        <v>842</v>
      </c>
      <c r="C453">
        <v>26</v>
      </c>
      <c r="D453" t="s">
        <v>14</v>
      </c>
      <c r="E453" t="s">
        <v>19</v>
      </c>
      <c r="F453" t="s">
        <v>23</v>
      </c>
      <c r="G453" t="s">
        <v>39</v>
      </c>
      <c r="H453">
        <v>2427.61</v>
      </c>
      <c r="I453" s="8" t="str" cm="1">
        <f t="array" ref="I453">_xlfn.IFS(C453&lt;=15,"Children and Young Adolescents", C453&gt;64, "Seniors", TRUE, "Working Age")</f>
        <v>Working Age</v>
      </c>
      <c r="J453" s="6">
        <f>VLOOKUP(F453,Analysis!$F$1:$G$5,2,FALSE)</f>
        <v>2440.2966694490838</v>
      </c>
      <c r="K453">
        <f t="shared" si="28"/>
        <v>2670.37</v>
      </c>
      <c r="L453">
        <f t="shared" si="29"/>
        <v>2670.38</v>
      </c>
      <c r="M453">
        <f t="shared" si="30"/>
        <v>2670.37</v>
      </c>
      <c r="N453" s="5" t="str">
        <f t="shared" si="31"/>
        <v>March 2022</v>
      </c>
    </row>
    <row r="454" spans="1:14" x14ac:dyDescent="0.25">
      <c r="A454" s="1">
        <v>44633</v>
      </c>
      <c r="B454" t="s">
        <v>116</v>
      </c>
      <c r="C454">
        <v>92</v>
      </c>
      <c r="D454" t="s">
        <v>14</v>
      </c>
      <c r="E454" t="s">
        <v>15</v>
      </c>
      <c r="F454" t="s">
        <v>23</v>
      </c>
      <c r="G454" t="s">
        <v>17</v>
      </c>
      <c r="H454">
        <v>1286.1400000000001</v>
      </c>
      <c r="I454" s="8" t="str" cm="1">
        <f t="array" ref="I454">_xlfn.IFS(C454&lt;=15,"Children and Young Adolescents", C454&gt;64, "Seniors", TRUE, "Working Age")</f>
        <v>Seniors</v>
      </c>
      <c r="J454" s="6">
        <f>VLOOKUP(F454,Analysis!$F$1:$G$5,2,FALSE)</f>
        <v>2440.2966694490838</v>
      </c>
      <c r="K454">
        <f t="shared" si="28"/>
        <v>1414.75</v>
      </c>
      <c r="L454">
        <f t="shared" si="29"/>
        <v>1414.76</v>
      </c>
      <c r="M454">
        <f t="shared" si="30"/>
        <v>1414.75</v>
      </c>
      <c r="N454" s="5" t="str">
        <f t="shared" si="31"/>
        <v>March 2022</v>
      </c>
    </row>
    <row r="455" spans="1:14" x14ac:dyDescent="0.25">
      <c r="A455" s="1">
        <v>44633</v>
      </c>
      <c r="B455" t="s">
        <v>1086</v>
      </c>
      <c r="C455">
        <v>90</v>
      </c>
      <c r="D455" t="s">
        <v>14</v>
      </c>
      <c r="E455" t="s">
        <v>25</v>
      </c>
      <c r="F455" t="s">
        <v>11</v>
      </c>
      <c r="G455" t="s">
        <v>12</v>
      </c>
      <c r="H455">
        <v>2149.85</v>
      </c>
      <c r="I455" s="8" t="str" cm="1">
        <f t="array" ref="I455">_xlfn.IFS(C455&lt;=15,"Children and Young Adolescents", C455&gt;64, "Seniors", TRUE, "Working Age")</f>
        <v>Seniors</v>
      </c>
      <c r="J455" s="6">
        <f>VLOOKUP(F455,Analysis!$F$1:$G$5,2,FALSE)</f>
        <v>2503.6022787783854</v>
      </c>
      <c r="K455">
        <f t="shared" si="28"/>
        <v>2364.83</v>
      </c>
      <c r="L455">
        <f t="shared" si="29"/>
        <v>2364.84</v>
      </c>
      <c r="M455">
        <f t="shared" si="30"/>
        <v>2364.84</v>
      </c>
      <c r="N455" s="5" t="str">
        <f t="shared" si="31"/>
        <v>March 2022</v>
      </c>
    </row>
    <row r="456" spans="1:14" x14ac:dyDescent="0.25">
      <c r="A456" s="1">
        <v>44633</v>
      </c>
      <c r="B456" t="s">
        <v>2177</v>
      </c>
      <c r="C456">
        <v>22</v>
      </c>
      <c r="D456" t="s">
        <v>21</v>
      </c>
      <c r="E456" t="s">
        <v>15</v>
      </c>
      <c r="F456" t="s">
        <v>11</v>
      </c>
      <c r="G456" t="s">
        <v>17</v>
      </c>
      <c r="H456">
        <v>3625.28</v>
      </c>
      <c r="I456" s="8" t="str" cm="1">
        <f t="array" ref="I456">_xlfn.IFS(C456&lt;=15,"Children and Young Adolescents", C456&gt;64, "Seniors", TRUE, "Working Age")</f>
        <v>Working Age</v>
      </c>
      <c r="J456" s="6">
        <f>VLOOKUP(F456,Analysis!$F$1:$G$5,2,FALSE)</f>
        <v>2503.6022787783854</v>
      </c>
      <c r="K456">
        <f t="shared" si="28"/>
        <v>3987.8</v>
      </c>
      <c r="L456">
        <f t="shared" si="29"/>
        <v>3987.8100000000004</v>
      </c>
      <c r="M456">
        <f t="shared" si="30"/>
        <v>3987.81</v>
      </c>
      <c r="N456" s="5" t="str">
        <f t="shared" si="31"/>
        <v>March 2022</v>
      </c>
    </row>
    <row r="457" spans="1:14" x14ac:dyDescent="0.25">
      <c r="A457" s="1">
        <v>44633</v>
      </c>
      <c r="B457" t="s">
        <v>1354</v>
      </c>
      <c r="C457">
        <v>77</v>
      </c>
      <c r="D457" t="s">
        <v>21</v>
      </c>
      <c r="E457" t="s">
        <v>15</v>
      </c>
      <c r="F457" t="s">
        <v>11</v>
      </c>
      <c r="G457" t="s">
        <v>12</v>
      </c>
      <c r="H457">
        <v>2195.02</v>
      </c>
      <c r="I457" s="8" t="str" cm="1">
        <f t="array" ref="I457">_xlfn.IFS(C457&lt;=15,"Children and Young Adolescents", C457&gt;64, "Seniors", TRUE, "Working Age")</f>
        <v>Seniors</v>
      </c>
      <c r="J457" s="6">
        <f>VLOOKUP(F457,Analysis!$F$1:$G$5,2,FALSE)</f>
        <v>2503.6022787783854</v>
      </c>
      <c r="K457">
        <f t="shared" si="28"/>
        <v>2414.52</v>
      </c>
      <c r="L457">
        <f t="shared" si="29"/>
        <v>2414.5300000000002</v>
      </c>
      <c r="M457">
        <f t="shared" si="30"/>
        <v>2414.52</v>
      </c>
      <c r="N457" s="5" t="str">
        <f t="shared" si="31"/>
        <v>March 2022</v>
      </c>
    </row>
    <row r="458" spans="1:14" x14ac:dyDescent="0.25">
      <c r="A458" s="1">
        <v>44633</v>
      </c>
      <c r="B458" t="s">
        <v>1048</v>
      </c>
      <c r="C458">
        <v>84</v>
      </c>
      <c r="D458" t="s">
        <v>9</v>
      </c>
      <c r="E458" t="s">
        <v>5032</v>
      </c>
      <c r="F458" t="s">
        <v>16</v>
      </c>
      <c r="G458" t="s">
        <v>27</v>
      </c>
      <c r="H458">
        <v>3214.32</v>
      </c>
      <c r="I458" s="8" t="str" cm="1">
        <f t="array" ref="I458">_xlfn.IFS(C458&lt;=15,"Children and Young Adolescents", C458&gt;64, "Seniors", TRUE, "Working Age")</f>
        <v>Seniors</v>
      </c>
      <c r="J458" s="6">
        <f>VLOOKUP(F458,Analysis!$F$1:$G$5,2,FALSE)</f>
        <v>2509.1716796874912</v>
      </c>
      <c r="K458">
        <f t="shared" si="28"/>
        <v>3535.75</v>
      </c>
      <c r="L458">
        <f t="shared" si="29"/>
        <v>3535.76</v>
      </c>
      <c r="M458">
        <f t="shared" si="30"/>
        <v>3535.75</v>
      </c>
      <c r="N458" s="5" t="str">
        <f t="shared" si="31"/>
        <v>March 2022</v>
      </c>
    </row>
    <row r="459" spans="1:14" x14ac:dyDescent="0.25">
      <c r="A459" s="1">
        <v>44633</v>
      </c>
      <c r="B459" t="s">
        <v>4599</v>
      </c>
      <c r="C459">
        <v>54</v>
      </c>
      <c r="D459" t="s">
        <v>21</v>
      </c>
      <c r="E459" t="s">
        <v>19</v>
      </c>
      <c r="F459" t="s">
        <v>16</v>
      </c>
      <c r="G459" t="s">
        <v>36</v>
      </c>
      <c r="H459">
        <v>1329.15</v>
      </c>
      <c r="I459" s="8" t="str" cm="1">
        <f t="array" ref="I459">_xlfn.IFS(C459&lt;=15,"Children and Young Adolescents", C459&gt;64, "Seniors", TRUE, "Working Age")</f>
        <v>Working Age</v>
      </c>
      <c r="J459" s="6">
        <f>VLOOKUP(F459,Analysis!$F$1:$G$5,2,FALSE)</f>
        <v>2509.1716796874912</v>
      </c>
      <c r="K459">
        <f t="shared" si="28"/>
        <v>1462.06</v>
      </c>
      <c r="L459">
        <f t="shared" si="29"/>
        <v>1462.07</v>
      </c>
      <c r="M459">
        <f t="shared" si="30"/>
        <v>1462.07</v>
      </c>
      <c r="N459" s="5" t="str">
        <f t="shared" si="31"/>
        <v>March 2022</v>
      </c>
    </row>
    <row r="460" spans="1:14" x14ac:dyDescent="0.25">
      <c r="A460" s="1">
        <v>44633</v>
      </c>
      <c r="B460" t="s">
        <v>2579</v>
      </c>
      <c r="C460">
        <v>4</v>
      </c>
      <c r="D460" t="s">
        <v>14</v>
      </c>
      <c r="E460" t="s">
        <v>19</v>
      </c>
      <c r="F460" t="s">
        <v>23</v>
      </c>
      <c r="G460" t="s">
        <v>12</v>
      </c>
      <c r="H460">
        <v>642.32000000000005</v>
      </c>
      <c r="I460" s="8" t="str" cm="1">
        <f t="array" ref="I460">_xlfn.IFS(C460&lt;=15,"Children and Young Adolescents", C460&gt;64, "Seniors", TRUE, "Working Age")</f>
        <v>Children and Young Adolescents</v>
      </c>
      <c r="J460" s="6">
        <f>VLOOKUP(F460,Analysis!$F$1:$G$5,2,FALSE)</f>
        <v>2440.2966694490838</v>
      </c>
      <c r="K460">
        <f t="shared" si="28"/>
        <v>706.55</v>
      </c>
      <c r="L460">
        <f t="shared" si="29"/>
        <v>706.56</v>
      </c>
      <c r="M460">
        <f t="shared" si="30"/>
        <v>706.55</v>
      </c>
      <c r="N460" s="5" t="str">
        <f t="shared" si="31"/>
        <v>March 2022</v>
      </c>
    </row>
    <row r="461" spans="1:14" x14ac:dyDescent="0.25">
      <c r="A461" s="1">
        <v>44633</v>
      </c>
      <c r="B461" t="s">
        <v>2107</v>
      </c>
      <c r="C461">
        <v>51</v>
      </c>
      <c r="D461" t="s">
        <v>21</v>
      </c>
      <c r="E461" t="s">
        <v>15</v>
      </c>
      <c r="F461" t="s">
        <v>16</v>
      </c>
      <c r="G461" t="s">
        <v>36</v>
      </c>
      <c r="H461">
        <v>38.04</v>
      </c>
      <c r="I461" s="8" t="str" cm="1">
        <f t="array" ref="I461">_xlfn.IFS(C461&lt;=15,"Children and Young Adolescents", C461&gt;64, "Seniors", TRUE, "Working Age")</f>
        <v>Working Age</v>
      </c>
      <c r="J461" s="6">
        <f>VLOOKUP(F461,Analysis!$F$1:$G$5,2,FALSE)</f>
        <v>2509.1716796874912</v>
      </c>
      <c r="K461">
        <f t="shared" si="28"/>
        <v>41.84</v>
      </c>
      <c r="L461">
        <f t="shared" si="29"/>
        <v>41.85</v>
      </c>
      <c r="M461">
        <f t="shared" si="30"/>
        <v>41.84</v>
      </c>
      <c r="N461" s="5" t="str">
        <f t="shared" si="31"/>
        <v>March 2022</v>
      </c>
    </row>
    <row r="462" spans="1:14" x14ac:dyDescent="0.25">
      <c r="A462" s="1">
        <v>44633</v>
      </c>
      <c r="B462" t="s">
        <v>616</v>
      </c>
      <c r="C462">
        <v>92</v>
      </c>
      <c r="D462" t="s">
        <v>14</v>
      </c>
      <c r="E462" t="s">
        <v>19</v>
      </c>
      <c r="F462" t="s">
        <v>11</v>
      </c>
      <c r="G462" t="s">
        <v>36</v>
      </c>
      <c r="H462">
        <v>2085.39</v>
      </c>
      <c r="I462" s="8" t="str" cm="1">
        <f t="array" ref="I462">_xlfn.IFS(C462&lt;=15,"Children and Young Adolescents", C462&gt;64, "Seniors", TRUE, "Working Age")</f>
        <v>Seniors</v>
      </c>
      <c r="J462" s="6">
        <f>VLOOKUP(F462,Analysis!$F$1:$G$5,2,FALSE)</f>
        <v>2503.6022787783854</v>
      </c>
      <c r="K462">
        <f t="shared" si="28"/>
        <v>2293.92</v>
      </c>
      <c r="L462">
        <f t="shared" si="29"/>
        <v>2293.9300000000003</v>
      </c>
      <c r="M462">
        <f t="shared" si="30"/>
        <v>2293.9299999999998</v>
      </c>
      <c r="N462" s="5" t="str">
        <f t="shared" si="31"/>
        <v>March 2022</v>
      </c>
    </row>
    <row r="463" spans="1:14" x14ac:dyDescent="0.25">
      <c r="A463" s="1">
        <v>44633</v>
      </c>
      <c r="B463" t="s">
        <v>1931</v>
      </c>
      <c r="C463">
        <v>51</v>
      </c>
      <c r="D463" t="s">
        <v>14</v>
      </c>
      <c r="E463" t="s">
        <v>34</v>
      </c>
      <c r="F463" t="s">
        <v>29</v>
      </c>
      <c r="G463" t="s">
        <v>12</v>
      </c>
      <c r="H463">
        <v>1189.1300000000001</v>
      </c>
      <c r="I463" s="8" t="str" cm="1">
        <f t="array" ref="I463">_xlfn.IFS(C463&lt;=15,"Children and Young Adolescents", C463&gt;64, "Seniors", TRUE, "Working Age")</f>
        <v>Working Age</v>
      </c>
      <c r="J463" s="6">
        <f>VLOOKUP(F463,Analysis!$F$1:$G$5,2,FALSE)</f>
        <v>2496.7676064256989</v>
      </c>
      <c r="K463">
        <f t="shared" si="28"/>
        <v>1308.04</v>
      </c>
      <c r="L463">
        <f t="shared" si="29"/>
        <v>1308.05</v>
      </c>
      <c r="M463">
        <f t="shared" si="30"/>
        <v>1308.04</v>
      </c>
      <c r="N463" s="5" t="str">
        <f t="shared" si="31"/>
        <v>March 2022</v>
      </c>
    </row>
    <row r="464" spans="1:14" x14ac:dyDescent="0.25">
      <c r="A464" s="1">
        <v>44634</v>
      </c>
      <c r="B464" t="s">
        <v>4320</v>
      </c>
      <c r="C464">
        <v>0</v>
      </c>
      <c r="D464" t="s">
        <v>14</v>
      </c>
      <c r="E464" t="s">
        <v>32</v>
      </c>
      <c r="F464" t="s">
        <v>16</v>
      </c>
      <c r="G464" t="s">
        <v>12</v>
      </c>
      <c r="H464">
        <v>2983.36</v>
      </c>
      <c r="I464" s="8" t="str" cm="1">
        <f t="array" ref="I464">_xlfn.IFS(C464&lt;=15,"Children and Young Adolescents", C464&gt;64, "Seniors", TRUE, "Working Age")</f>
        <v>Children and Young Adolescents</v>
      </c>
      <c r="J464" s="6">
        <f>VLOOKUP(F464,Analysis!$F$1:$G$5,2,FALSE)</f>
        <v>2509.1716796874912</v>
      </c>
      <c r="K464">
        <f t="shared" si="28"/>
        <v>3281.69</v>
      </c>
      <c r="L464">
        <f t="shared" si="29"/>
        <v>3281.7000000000003</v>
      </c>
      <c r="M464">
        <f t="shared" si="30"/>
        <v>3281.7</v>
      </c>
      <c r="N464" s="5" t="str">
        <f t="shared" si="31"/>
        <v>March 2022</v>
      </c>
    </row>
    <row r="465" spans="1:14" x14ac:dyDescent="0.25">
      <c r="A465" s="1">
        <v>44634</v>
      </c>
      <c r="B465" t="s">
        <v>1100</v>
      </c>
      <c r="C465">
        <v>67</v>
      </c>
      <c r="D465" t="s">
        <v>21</v>
      </c>
      <c r="E465" t="s">
        <v>34</v>
      </c>
      <c r="F465" t="s">
        <v>29</v>
      </c>
      <c r="G465" t="s">
        <v>17</v>
      </c>
      <c r="H465">
        <v>3843.72</v>
      </c>
      <c r="I465" s="8" t="str" cm="1">
        <f t="array" ref="I465">_xlfn.IFS(C465&lt;=15,"Children and Young Adolescents", C465&gt;64, "Seniors", TRUE, "Working Age")</f>
        <v>Seniors</v>
      </c>
      <c r="J465" s="6">
        <f>VLOOKUP(F465,Analysis!$F$1:$G$5,2,FALSE)</f>
        <v>2496.7676064256989</v>
      </c>
      <c r="K465">
        <f t="shared" si="28"/>
        <v>4228.09</v>
      </c>
      <c r="L465">
        <f t="shared" si="29"/>
        <v>4228.1000000000004</v>
      </c>
      <c r="M465">
        <f t="shared" si="30"/>
        <v>4228.09</v>
      </c>
      <c r="N465" s="5" t="str">
        <f t="shared" si="31"/>
        <v>March 2022</v>
      </c>
    </row>
    <row r="466" spans="1:14" x14ac:dyDescent="0.25">
      <c r="A466" s="1">
        <v>44634</v>
      </c>
      <c r="B466" t="s">
        <v>403</v>
      </c>
      <c r="C466">
        <v>83</v>
      </c>
      <c r="D466" t="s">
        <v>9</v>
      </c>
      <c r="E466" t="s">
        <v>19</v>
      </c>
      <c r="F466" t="s">
        <v>11</v>
      </c>
      <c r="G466" t="s">
        <v>39</v>
      </c>
      <c r="H466">
        <v>909.52</v>
      </c>
      <c r="I466" s="8" t="str" cm="1">
        <f t="array" ref="I466">_xlfn.IFS(C466&lt;=15,"Children and Young Adolescents", C466&gt;64, "Seniors", TRUE, "Working Age")</f>
        <v>Seniors</v>
      </c>
      <c r="J466" s="6">
        <f>VLOOKUP(F466,Analysis!$F$1:$G$5,2,FALSE)</f>
        <v>2503.6022787783854</v>
      </c>
      <c r="K466">
        <f t="shared" si="28"/>
        <v>1000.47</v>
      </c>
      <c r="L466">
        <f t="shared" si="29"/>
        <v>1000.48</v>
      </c>
      <c r="M466">
        <f t="shared" si="30"/>
        <v>1000.47</v>
      </c>
      <c r="N466" s="5" t="str">
        <f t="shared" si="31"/>
        <v>March 2022</v>
      </c>
    </row>
    <row r="467" spans="1:14" x14ac:dyDescent="0.25">
      <c r="A467" s="1">
        <v>44634</v>
      </c>
      <c r="B467" t="s">
        <v>4506</v>
      </c>
      <c r="C467">
        <v>50</v>
      </c>
      <c r="D467" t="s">
        <v>9</v>
      </c>
      <c r="E467" t="s">
        <v>10</v>
      </c>
      <c r="F467" t="s">
        <v>16</v>
      </c>
      <c r="G467" t="s">
        <v>39</v>
      </c>
      <c r="H467">
        <v>3262.71</v>
      </c>
      <c r="I467" s="8" t="str" cm="1">
        <f t="array" ref="I467">_xlfn.IFS(C467&lt;=15,"Children and Young Adolescents", C467&gt;64, "Seniors", TRUE, "Working Age")</f>
        <v>Working Age</v>
      </c>
      <c r="J467" s="6">
        <f>VLOOKUP(F467,Analysis!$F$1:$G$5,2,FALSE)</f>
        <v>2509.1716796874912</v>
      </c>
      <c r="K467">
        <f t="shared" si="28"/>
        <v>3588.98</v>
      </c>
      <c r="L467">
        <f t="shared" si="29"/>
        <v>3588.9900000000002</v>
      </c>
      <c r="M467">
        <f t="shared" si="30"/>
        <v>3588.98</v>
      </c>
      <c r="N467" s="5" t="str">
        <f t="shared" si="31"/>
        <v>March 2022</v>
      </c>
    </row>
    <row r="468" spans="1:14" x14ac:dyDescent="0.25">
      <c r="A468" s="1">
        <v>44634</v>
      </c>
      <c r="B468" t="s">
        <v>2691</v>
      </c>
      <c r="C468">
        <v>62</v>
      </c>
      <c r="D468" t="s">
        <v>14</v>
      </c>
      <c r="E468" t="s">
        <v>15</v>
      </c>
      <c r="F468" t="s">
        <v>29</v>
      </c>
      <c r="G468" t="s">
        <v>36</v>
      </c>
      <c r="H468">
        <v>1347.79</v>
      </c>
      <c r="I468" s="8" t="str" cm="1">
        <f t="array" ref="I468">_xlfn.IFS(C468&lt;=15,"Children and Young Adolescents", C468&gt;64, "Seniors", TRUE, "Working Age")</f>
        <v>Working Age</v>
      </c>
      <c r="J468" s="6">
        <f>VLOOKUP(F468,Analysis!$F$1:$G$5,2,FALSE)</f>
        <v>2496.7676064256989</v>
      </c>
      <c r="K468">
        <f t="shared" si="28"/>
        <v>1482.56</v>
      </c>
      <c r="L468">
        <f t="shared" si="29"/>
        <v>1482.57</v>
      </c>
      <c r="M468">
        <f t="shared" si="30"/>
        <v>1482.57</v>
      </c>
      <c r="N468" s="5" t="str">
        <f t="shared" si="31"/>
        <v>March 2022</v>
      </c>
    </row>
    <row r="469" spans="1:14" x14ac:dyDescent="0.25">
      <c r="A469" s="1">
        <v>44634</v>
      </c>
      <c r="B469" t="s">
        <v>1843</v>
      </c>
      <c r="C469">
        <v>92</v>
      </c>
      <c r="D469" t="s">
        <v>9</v>
      </c>
      <c r="E469" t="s">
        <v>15</v>
      </c>
      <c r="F469" t="s">
        <v>11</v>
      </c>
      <c r="G469" t="s">
        <v>5033</v>
      </c>
      <c r="H469">
        <v>1499.29</v>
      </c>
      <c r="I469" s="8" t="str" cm="1">
        <f t="array" ref="I469">_xlfn.IFS(C469&lt;=15,"Children and Young Adolescents", C469&gt;64, "Seniors", TRUE, "Working Age")</f>
        <v>Seniors</v>
      </c>
      <c r="J469" s="6">
        <f>VLOOKUP(F469,Analysis!$F$1:$G$5,2,FALSE)</f>
        <v>2503.6022787783854</v>
      </c>
      <c r="K469">
        <f t="shared" si="28"/>
        <v>1649.21</v>
      </c>
      <c r="L469">
        <f t="shared" si="29"/>
        <v>1649.22</v>
      </c>
      <c r="M469">
        <f t="shared" si="30"/>
        <v>1649.22</v>
      </c>
      <c r="N469" s="5" t="str">
        <f t="shared" si="31"/>
        <v>March 2022</v>
      </c>
    </row>
    <row r="470" spans="1:14" x14ac:dyDescent="0.25">
      <c r="A470" s="1">
        <v>44634</v>
      </c>
      <c r="B470" t="s">
        <v>1362</v>
      </c>
      <c r="C470">
        <v>20</v>
      </c>
      <c r="D470" t="s">
        <v>9</v>
      </c>
      <c r="E470" t="s">
        <v>25</v>
      </c>
      <c r="F470" t="s">
        <v>11</v>
      </c>
      <c r="G470" t="s">
        <v>12</v>
      </c>
      <c r="H470">
        <v>3194.3</v>
      </c>
      <c r="I470" s="8" t="str" cm="1">
        <f t="array" ref="I470">_xlfn.IFS(C470&lt;=15,"Children and Young Adolescents", C470&gt;64, "Seniors", TRUE, "Working Age")</f>
        <v>Working Age</v>
      </c>
      <c r="J470" s="6">
        <f>VLOOKUP(F470,Analysis!$F$1:$G$5,2,FALSE)</f>
        <v>2503.6022787783854</v>
      </c>
      <c r="K470">
        <f t="shared" si="28"/>
        <v>3513.73</v>
      </c>
      <c r="L470">
        <f t="shared" si="29"/>
        <v>3513.73</v>
      </c>
      <c r="M470">
        <f t="shared" si="30"/>
        <v>3513.73</v>
      </c>
      <c r="N470" s="5" t="str">
        <f t="shared" si="31"/>
        <v>March 2022</v>
      </c>
    </row>
    <row r="471" spans="1:14" x14ac:dyDescent="0.25">
      <c r="A471" s="1">
        <v>44634</v>
      </c>
      <c r="B471" t="s">
        <v>2264</v>
      </c>
      <c r="C471">
        <v>8</v>
      </c>
      <c r="D471" t="s">
        <v>9</v>
      </c>
      <c r="E471" t="s">
        <v>25</v>
      </c>
      <c r="F471" t="s">
        <v>29</v>
      </c>
      <c r="G471" t="s">
        <v>12</v>
      </c>
      <c r="H471">
        <v>3712.32</v>
      </c>
      <c r="I471" s="8" t="str" cm="1">
        <f t="array" ref="I471">_xlfn.IFS(C471&lt;=15,"Children and Young Adolescents", C471&gt;64, "Seniors", TRUE, "Working Age")</f>
        <v>Children and Young Adolescents</v>
      </c>
      <c r="J471" s="6">
        <f>VLOOKUP(F471,Analysis!$F$1:$G$5,2,FALSE)</f>
        <v>2496.7676064256989</v>
      </c>
      <c r="K471">
        <f t="shared" si="28"/>
        <v>4083.55</v>
      </c>
      <c r="L471">
        <f t="shared" si="29"/>
        <v>4083.5600000000004</v>
      </c>
      <c r="M471">
        <f t="shared" si="30"/>
        <v>4083.55</v>
      </c>
      <c r="N471" s="5" t="str">
        <f t="shared" si="31"/>
        <v>March 2022</v>
      </c>
    </row>
    <row r="472" spans="1:14" x14ac:dyDescent="0.25">
      <c r="A472" s="1">
        <v>44634</v>
      </c>
      <c r="B472" t="s">
        <v>3988</v>
      </c>
      <c r="C472">
        <v>78</v>
      </c>
      <c r="D472" t="s">
        <v>14</v>
      </c>
      <c r="E472" t="s">
        <v>22</v>
      </c>
      <c r="F472" t="s">
        <v>11</v>
      </c>
      <c r="G472" t="s">
        <v>39</v>
      </c>
      <c r="H472">
        <v>383.15</v>
      </c>
      <c r="I472" s="8" t="str" cm="1">
        <f t="array" ref="I472">_xlfn.IFS(C472&lt;=15,"Children and Young Adolescents", C472&gt;64, "Seniors", TRUE, "Working Age")</f>
        <v>Seniors</v>
      </c>
      <c r="J472" s="6">
        <f>VLOOKUP(F472,Analysis!$F$1:$G$5,2,FALSE)</f>
        <v>2503.6022787783854</v>
      </c>
      <c r="K472">
        <f t="shared" si="28"/>
        <v>421.46</v>
      </c>
      <c r="L472">
        <f t="shared" si="29"/>
        <v>421.46999999999997</v>
      </c>
      <c r="M472">
        <f t="shared" si="30"/>
        <v>421.47</v>
      </c>
      <c r="N472" s="5" t="str">
        <f t="shared" si="31"/>
        <v>March 2022</v>
      </c>
    </row>
    <row r="473" spans="1:14" x14ac:dyDescent="0.25">
      <c r="A473" s="1">
        <v>44635</v>
      </c>
      <c r="B473" t="s">
        <v>2904</v>
      </c>
      <c r="C473">
        <v>86</v>
      </c>
      <c r="D473" t="s">
        <v>21</v>
      </c>
      <c r="E473" t="s">
        <v>10</v>
      </c>
      <c r="F473" t="s">
        <v>11</v>
      </c>
      <c r="G473" t="s">
        <v>39</v>
      </c>
      <c r="H473">
        <v>4951.5200000000004</v>
      </c>
      <c r="I473" s="8" t="str" cm="1">
        <f t="array" ref="I473">_xlfn.IFS(C473&lt;=15,"Children and Young Adolescents", C473&gt;64, "Seniors", TRUE, "Working Age")</f>
        <v>Seniors</v>
      </c>
      <c r="J473" s="6">
        <f>VLOOKUP(F473,Analysis!$F$1:$G$5,2,FALSE)</f>
        <v>2503.6022787783854</v>
      </c>
      <c r="K473">
        <f t="shared" si="28"/>
        <v>5446.67</v>
      </c>
      <c r="L473">
        <f t="shared" si="29"/>
        <v>5446.68</v>
      </c>
      <c r="M473">
        <f t="shared" si="30"/>
        <v>5446.67</v>
      </c>
      <c r="N473" s="5" t="str">
        <f t="shared" si="31"/>
        <v>March 2022</v>
      </c>
    </row>
    <row r="474" spans="1:14" x14ac:dyDescent="0.25">
      <c r="A474" s="1">
        <v>44635</v>
      </c>
      <c r="B474" t="s">
        <v>4823</v>
      </c>
      <c r="C474">
        <v>36</v>
      </c>
      <c r="D474" t="s">
        <v>14</v>
      </c>
      <c r="E474" t="s">
        <v>32</v>
      </c>
      <c r="F474" t="s">
        <v>11</v>
      </c>
      <c r="G474" t="s">
        <v>12</v>
      </c>
      <c r="H474">
        <v>607.47</v>
      </c>
      <c r="I474" s="8" t="str" cm="1">
        <f t="array" ref="I474">_xlfn.IFS(C474&lt;=15,"Children and Young Adolescents", C474&gt;64, "Seniors", TRUE, "Working Age")</f>
        <v>Working Age</v>
      </c>
      <c r="J474" s="6">
        <f>VLOOKUP(F474,Analysis!$F$1:$G$5,2,FALSE)</f>
        <v>2503.6022787783854</v>
      </c>
      <c r="K474">
        <f t="shared" si="28"/>
        <v>668.21</v>
      </c>
      <c r="L474">
        <f t="shared" si="29"/>
        <v>668.22</v>
      </c>
      <c r="M474">
        <f t="shared" si="30"/>
        <v>668.22</v>
      </c>
      <c r="N474" s="5" t="str">
        <f t="shared" si="31"/>
        <v>March 2022</v>
      </c>
    </row>
    <row r="475" spans="1:14" x14ac:dyDescent="0.25">
      <c r="A475" s="1">
        <v>44635</v>
      </c>
      <c r="B475" t="s">
        <v>1284</v>
      </c>
      <c r="C475">
        <v>43</v>
      </c>
      <c r="D475" t="s">
        <v>9</v>
      </c>
      <c r="E475" t="s">
        <v>22</v>
      </c>
      <c r="F475" t="s">
        <v>16</v>
      </c>
      <c r="G475" t="s">
        <v>27</v>
      </c>
      <c r="H475">
        <v>1292.93</v>
      </c>
      <c r="I475" s="8" t="str" cm="1">
        <f t="array" ref="I475">_xlfn.IFS(C475&lt;=15,"Children and Young Adolescents", C475&gt;64, "Seniors", TRUE, "Working Age")</f>
        <v>Working Age</v>
      </c>
      <c r="J475" s="6">
        <f>VLOOKUP(F475,Analysis!$F$1:$G$5,2,FALSE)</f>
        <v>2509.1716796874912</v>
      </c>
      <c r="K475">
        <f t="shared" si="28"/>
        <v>1422.22</v>
      </c>
      <c r="L475">
        <f t="shared" si="29"/>
        <v>1422.23</v>
      </c>
      <c r="M475">
        <f t="shared" si="30"/>
        <v>1422.22</v>
      </c>
      <c r="N475" s="5" t="str">
        <f t="shared" si="31"/>
        <v>March 2022</v>
      </c>
    </row>
    <row r="476" spans="1:14" x14ac:dyDescent="0.25">
      <c r="A476" s="1">
        <v>44635</v>
      </c>
      <c r="B476" t="s">
        <v>1052</v>
      </c>
      <c r="C476">
        <v>19</v>
      </c>
      <c r="D476" t="s">
        <v>9</v>
      </c>
      <c r="E476" t="s">
        <v>15</v>
      </c>
      <c r="F476" t="s">
        <v>11</v>
      </c>
      <c r="G476" t="s">
        <v>39</v>
      </c>
      <c r="H476">
        <v>3148</v>
      </c>
      <c r="I476" s="8" t="str" cm="1">
        <f t="array" ref="I476">_xlfn.IFS(C476&lt;=15,"Children and Young Adolescents", C476&gt;64, "Seniors", TRUE, "Working Age")</f>
        <v>Working Age</v>
      </c>
      <c r="J476" s="6">
        <f>VLOOKUP(F476,Analysis!$F$1:$G$5,2,FALSE)</f>
        <v>2503.6022787783854</v>
      </c>
      <c r="K476">
        <f t="shared" si="28"/>
        <v>3462.8</v>
      </c>
      <c r="L476">
        <f t="shared" si="29"/>
        <v>3462.8</v>
      </c>
      <c r="M476">
        <f t="shared" si="30"/>
        <v>3462.8</v>
      </c>
      <c r="N476" s="5" t="str">
        <f t="shared" si="31"/>
        <v>March 2022</v>
      </c>
    </row>
    <row r="477" spans="1:14" x14ac:dyDescent="0.25">
      <c r="A477" s="1">
        <v>44635</v>
      </c>
      <c r="B477" t="s">
        <v>3859</v>
      </c>
      <c r="C477">
        <v>64</v>
      </c>
      <c r="D477" t="s">
        <v>21</v>
      </c>
      <c r="E477" t="s">
        <v>22</v>
      </c>
      <c r="F477" t="s">
        <v>11</v>
      </c>
      <c r="G477" t="s">
        <v>39</v>
      </c>
      <c r="H477">
        <v>4362.62</v>
      </c>
      <c r="I477" s="8" t="str" cm="1">
        <f t="array" ref="I477">_xlfn.IFS(C477&lt;=15,"Children and Young Adolescents", C477&gt;64, "Seniors", TRUE, "Working Age")</f>
        <v>Working Age</v>
      </c>
      <c r="J477" s="6">
        <f>VLOOKUP(F477,Analysis!$F$1:$G$5,2,FALSE)</f>
        <v>2503.6022787783854</v>
      </c>
      <c r="K477">
        <f t="shared" si="28"/>
        <v>4798.88</v>
      </c>
      <c r="L477">
        <f t="shared" si="29"/>
        <v>4798.8900000000003</v>
      </c>
      <c r="M477">
        <f t="shared" si="30"/>
        <v>4798.88</v>
      </c>
      <c r="N477" s="5" t="str">
        <f t="shared" si="31"/>
        <v>March 2022</v>
      </c>
    </row>
    <row r="478" spans="1:14" x14ac:dyDescent="0.25">
      <c r="A478" s="1">
        <v>44635</v>
      </c>
      <c r="B478" t="s">
        <v>258</v>
      </c>
      <c r="C478">
        <v>86</v>
      </c>
      <c r="D478" t="s">
        <v>14</v>
      </c>
      <c r="E478" t="s">
        <v>22</v>
      </c>
      <c r="F478" t="s">
        <v>29</v>
      </c>
      <c r="G478" t="s">
        <v>27</v>
      </c>
      <c r="H478">
        <v>2409.96</v>
      </c>
      <c r="I478" s="8" t="str" cm="1">
        <f t="array" ref="I478">_xlfn.IFS(C478&lt;=15,"Children and Young Adolescents", C478&gt;64, "Seniors", TRUE, "Working Age")</f>
        <v>Seniors</v>
      </c>
      <c r="J478" s="6">
        <f>VLOOKUP(F478,Analysis!$F$1:$G$5,2,FALSE)</f>
        <v>2496.7676064256989</v>
      </c>
      <c r="K478">
        <f t="shared" si="28"/>
        <v>2650.95</v>
      </c>
      <c r="L478">
        <f t="shared" si="29"/>
        <v>2650.96</v>
      </c>
      <c r="M478">
        <f t="shared" si="30"/>
        <v>2650.96</v>
      </c>
      <c r="N478" s="5" t="str">
        <f t="shared" si="31"/>
        <v>March 2022</v>
      </c>
    </row>
    <row r="479" spans="1:14" x14ac:dyDescent="0.25">
      <c r="A479" s="1">
        <v>44636</v>
      </c>
      <c r="B479" t="s">
        <v>3730</v>
      </c>
      <c r="C479">
        <v>5</v>
      </c>
      <c r="D479" t="s">
        <v>14</v>
      </c>
      <c r="E479" t="s">
        <v>34</v>
      </c>
      <c r="F479" t="s">
        <v>16</v>
      </c>
      <c r="G479" t="s">
        <v>36</v>
      </c>
      <c r="H479">
        <v>3196.24</v>
      </c>
      <c r="I479" s="8" t="str" cm="1">
        <f t="array" ref="I479">_xlfn.IFS(C479&lt;=15,"Children and Young Adolescents", C479&gt;64, "Seniors", TRUE, "Working Age")</f>
        <v>Children and Young Adolescents</v>
      </c>
      <c r="J479" s="6">
        <f>VLOOKUP(F479,Analysis!$F$1:$G$5,2,FALSE)</f>
        <v>2509.1716796874912</v>
      </c>
      <c r="K479">
        <f t="shared" si="28"/>
        <v>3515.86</v>
      </c>
      <c r="L479">
        <f t="shared" si="29"/>
        <v>3515.8700000000003</v>
      </c>
      <c r="M479">
        <f t="shared" si="30"/>
        <v>3515.86</v>
      </c>
      <c r="N479" s="5" t="str">
        <f t="shared" si="31"/>
        <v>March 2022</v>
      </c>
    </row>
    <row r="480" spans="1:14" x14ac:dyDescent="0.25">
      <c r="A480" s="1">
        <v>44636</v>
      </c>
      <c r="B480" t="s">
        <v>417</v>
      </c>
      <c r="C480">
        <v>14</v>
      </c>
      <c r="D480" t="s">
        <v>9</v>
      </c>
      <c r="E480" t="s">
        <v>10</v>
      </c>
      <c r="F480" t="s">
        <v>29</v>
      </c>
      <c r="G480" t="s">
        <v>17</v>
      </c>
      <c r="H480">
        <v>154.71</v>
      </c>
      <c r="I480" s="8" t="str" cm="1">
        <f t="array" ref="I480">_xlfn.IFS(C480&lt;=15,"Children and Young Adolescents", C480&gt;64, "Seniors", TRUE, "Working Age")</f>
        <v>Children and Young Adolescents</v>
      </c>
      <c r="J480" s="6">
        <f>VLOOKUP(F480,Analysis!$F$1:$G$5,2,FALSE)</f>
        <v>2496.7676064256989</v>
      </c>
      <c r="K480">
        <f t="shared" si="28"/>
        <v>170.18</v>
      </c>
      <c r="L480">
        <f t="shared" si="29"/>
        <v>170.19</v>
      </c>
      <c r="M480">
        <f t="shared" si="30"/>
        <v>170.18</v>
      </c>
      <c r="N480" s="5" t="str">
        <f t="shared" si="31"/>
        <v>March 2022</v>
      </c>
    </row>
    <row r="481" spans="1:14" x14ac:dyDescent="0.25">
      <c r="A481" s="1">
        <v>44636</v>
      </c>
      <c r="B481" t="s">
        <v>3028</v>
      </c>
      <c r="C481">
        <v>35</v>
      </c>
      <c r="D481" t="s">
        <v>9</v>
      </c>
      <c r="E481" t="s">
        <v>25</v>
      </c>
      <c r="F481" t="s">
        <v>23</v>
      </c>
      <c r="G481" t="s">
        <v>17</v>
      </c>
      <c r="H481">
        <v>3073.89</v>
      </c>
      <c r="I481" s="8" t="str" cm="1">
        <f t="array" ref="I481">_xlfn.IFS(C481&lt;=15,"Children and Young Adolescents", C481&gt;64, "Seniors", TRUE, "Working Age")</f>
        <v>Working Age</v>
      </c>
      <c r="J481" s="6">
        <f>VLOOKUP(F481,Analysis!$F$1:$G$5,2,FALSE)</f>
        <v>2440.2966694490838</v>
      </c>
      <c r="K481">
        <f t="shared" si="28"/>
        <v>3381.27</v>
      </c>
      <c r="L481">
        <f t="shared" si="29"/>
        <v>3381.28</v>
      </c>
      <c r="M481">
        <f t="shared" si="30"/>
        <v>3381.28</v>
      </c>
      <c r="N481" s="5" t="str">
        <f t="shared" si="31"/>
        <v>March 2022</v>
      </c>
    </row>
    <row r="482" spans="1:14" x14ac:dyDescent="0.25">
      <c r="A482" s="1">
        <v>44636</v>
      </c>
      <c r="B482" t="s">
        <v>3656</v>
      </c>
      <c r="C482">
        <v>34</v>
      </c>
      <c r="D482" t="s">
        <v>14</v>
      </c>
      <c r="E482" t="s">
        <v>25</v>
      </c>
      <c r="F482" t="s">
        <v>16</v>
      </c>
      <c r="G482" t="s">
        <v>17</v>
      </c>
      <c r="H482">
        <v>896.62</v>
      </c>
      <c r="I482" s="8" t="str" cm="1">
        <f t="array" ref="I482">_xlfn.IFS(C482&lt;=15,"Children and Young Adolescents", C482&gt;64, "Seniors", TRUE, "Working Age")</f>
        <v>Working Age</v>
      </c>
      <c r="J482" s="6">
        <f>VLOOKUP(F482,Analysis!$F$1:$G$5,2,FALSE)</f>
        <v>2509.1716796874912</v>
      </c>
      <c r="K482">
        <f t="shared" si="28"/>
        <v>986.28</v>
      </c>
      <c r="L482">
        <f t="shared" si="29"/>
        <v>986.29</v>
      </c>
      <c r="M482">
        <f t="shared" si="30"/>
        <v>986.28</v>
      </c>
      <c r="N482" s="5" t="str">
        <f t="shared" si="31"/>
        <v>March 2022</v>
      </c>
    </row>
    <row r="483" spans="1:14" x14ac:dyDescent="0.25">
      <c r="A483" s="1">
        <v>44636</v>
      </c>
      <c r="B483" t="s">
        <v>2194</v>
      </c>
      <c r="C483">
        <v>73</v>
      </c>
      <c r="D483" t="s">
        <v>14</v>
      </c>
      <c r="E483" t="s">
        <v>15</v>
      </c>
      <c r="F483" t="s">
        <v>23</v>
      </c>
      <c r="G483" t="s">
        <v>36</v>
      </c>
      <c r="H483">
        <v>1503.28</v>
      </c>
      <c r="I483" s="8" t="str" cm="1">
        <f t="array" ref="I483">_xlfn.IFS(C483&lt;=15,"Children and Young Adolescents", C483&gt;64, "Seniors", TRUE, "Working Age")</f>
        <v>Seniors</v>
      </c>
      <c r="J483" s="6">
        <f>VLOOKUP(F483,Analysis!$F$1:$G$5,2,FALSE)</f>
        <v>2440.2966694490838</v>
      </c>
      <c r="K483">
        <f t="shared" si="28"/>
        <v>1653.6</v>
      </c>
      <c r="L483">
        <f t="shared" si="29"/>
        <v>1653.61</v>
      </c>
      <c r="M483">
        <f t="shared" si="30"/>
        <v>1653.61</v>
      </c>
      <c r="N483" s="5" t="str">
        <f t="shared" si="31"/>
        <v>March 2022</v>
      </c>
    </row>
    <row r="484" spans="1:14" x14ac:dyDescent="0.25">
      <c r="A484" s="1">
        <v>44636</v>
      </c>
      <c r="B484" t="s">
        <v>4710</v>
      </c>
      <c r="C484">
        <v>90</v>
      </c>
      <c r="D484" t="s">
        <v>9</v>
      </c>
      <c r="E484" t="s">
        <v>25</v>
      </c>
      <c r="F484" t="s">
        <v>23</v>
      </c>
      <c r="G484" t="s">
        <v>36</v>
      </c>
      <c r="H484">
        <v>84.89</v>
      </c>
      <c r="I484" s="8" t="str" cm="1">
        <f t="array" ref="I484">_xlfn.IFS(C484&lt;=15,"Children and Young Adolescents", C484&gt;64, "Seniors", TRUE, "Working Age")</f>
        <v>Seniors</v>
      </c>
      <c r="J484" s="6">
        <f>VLOOKUP(F484,Analysis!$F$1:$G$5,2,FALSE)</f>
        <v>2440.2966694490838</v>
      </c>
      <c r="K484">
        <f t="shared" si="28"/>
        <v>93.37</v>
      </c>
      <c r="L484">
        <f t="shared" si="29"/>
        <v>93.38000000000001</v>
      </c>
      <c r="M484">
        <f t="shared" si="30"/>
        <v>93.38</v>
      </c>
      <c r="N484" s="5" t="str">
        <f t="shared" si="31"/>
        <v>March 2022</v>
      </c>
    </row>
    <row r="485" spans="1:14" x14ac:dyDescent="0.25">
      <c r="A485" s="1">
        <v>44637</v>
      </c>
      <c r="B485" t="s">
        <v>3095</v>
      </c>
      <c r="C485">
        <v>48</v>
      </c>
      <c r="D485" t="s">
        <v>14</v>
      </c>
      <c r="E485" t="s">
        <v>15</v>
      </c>
      <c r="F485" t="s">
        <v>23</v>
      </c>
      <c r="G485" t="s">
        <v>27</v>
      </c>
      <c r="H485">
        <v>2802.62</v>
      </c>
      <c r="I485" s="8" t="str" cm="1">
        <f t="array" ref="I485">_xlfn.IFS(C485&lt;=15,"Children and Young Adolescents", C485&gt;64, "Seniors", TRUE, "Working Age")</f>
        <v>Working Age</v>
      </c>
      <c r="J485" s="6">
        <f>VLOOKUP(F485,Analysis!$F$1:$G$5,2,FALSE)</f>
        <v>2440.2966694490838</v>
      </c>
      <c r="K485">
        <f t="shared" si="28"/>
        <v>3082.88</v>
      </c>
      <c r="L485">
        <f t="shared" si="29"/>
        <v>3082.8900000000003</v>
      </c>
      <c r="M485">
        <f t="shared" si="30"/>
        <v>3082.88</v>
      </c>
      <c r="N485" s="5" t="str">
        <f t="shared" si="31"/>
        <v>March 2022</v>
      </c>
    </row>
    <row r="486" spans="1:14" x14ac:dyDescent="0.25">
      <c r="A486" s="1">
        <v>44637</v>
      </c>
      <c r="B486" t="s">
        <v>3961</v>
      </c>
      <c r="C486">
        <v>44</v>
      </c>
      <c r="D486" t="s">
        <v>21</v>
      </c>
      <c r="E486" t="s">
        <v>19</v>
      </c>
      <c r="F486" t="s">
        <v>16</v>
      </c>
      <c r="G486" t="s">
        <v>12</v>
      </c>
      <c r="H486">
        <v>2641.68</v>
      </c>
      <c r="I486" s="8" t="str" cm="1">
        <f t="array" ref="I486">_xlfn.IFS(C486&lt;=15,"Children and Young Adolescents", C486&gt;64, "Seniors", TRUE, "Working Age")</f>
        <v>Working Age</v>
      </c>
      <c r="J486" s="6">
        <f>VLOOKUP(F486,Analysis!$F$1:$G$5,2,FALSE)</f>
        <v>2509.1716796874912</v>
      </c>
      <c r="K486">
        <f t="shared" si="28"/>
        <v>2905.84</v>
      </c>
      <c r="L486">
        <f t="shared" si="29"/>
        <v>2905.8500000000004</v>
      </c>
      <c r="M486">
        <f t="shared" si="30"/>
        <v>2905.85</v>
      </c>
      <c r="N486" s="5" t="str">
        <f t="shared" si="31"/>
        <v>March 2022</v>
      </c>
    </row>
    <row r="487" spans="1:14" x14ac:dyDescent="0.25">
      <c r="A487" s="1">
        <v>44637</v>
      </c>
      <c r="B487" t="s">
        <v>1388</v>
      </c>
      <c r="C487">
        <v>1</v>
      </c>
      <c r="D487" t="s">
        <v>21</v>
      </c>
      <c r="E487" t="s">
        <v>15</v>
      </c>
      <c r="F487" t="s">
        <v>16</v>
      </c>
      <c r="G487" t="s">
        <v>39</v>
      </c>
      <c r="H487">
        <v>4960.49</v>
      </c>
      <c r="I487" s="8" t="str" cm="1">
        <f t="array" ref="I487">_xlfn.IFS(C487&lt;=15,"Children and Young Adolescents", C487&gt;64, "Seniors", TRUE, "Working Age")</f>
        <v>Children and Young Adolescents</v>
      </c>
      <c r="J487" s="6">
        <f>VLOOKUP(F487,Analysis!$F$1:$G$5,2,FALSE)</f>
        <v>2509.1716796874912</v>
      </c>
      <c r="K487">
        <f t="shared" si="28"/>
        <v>5456.53</v>
      </c>
      <c r="L487">
        <f t="shared" si="29"/>
        <v>5456.54</v>
      </c>
      <c r="M487">
        <f t="shared" si="30"/>
        <v>5456.54</v>
      </c>
      <c r="N487" s="5" t="str">
        <f t="shared" si="31"/>
        <v>March 2022</v>
      </c>
    </row>
    <row r="488" spans="1:14" x14ac:dyDescent="0.25">
      <c r="A488" s="1">
        <v>44637</v>
      </c>
      <c r="B488" t="s">
        <v>1022</v>
      </c>
      <c r="C488">
        <v>19</v>
      </c>
      <c r="D488" t="s">
        <v>9</v>
      </c>
      <c r="E488" t="s">
        <v>19</v>
      </c>
      <c r="F488" t="s">
        <v>29</v>
      </c>
      <c r="G488" t="s">
        <v>39</v>
      </c>
      <c r="H488">
        <v>2342.44</v>
      </c>
      <c r="I488" s="8" t="str" cm="1">
        <f t="array" ref="I488">_xlfn.IFS(C488&lt;=15,"Children and Young Adolescents", C488&gt;64, "Seniors", TRUE, "Working Age")</f>
        <v>Working Age</v>
      </c>
      <c r="J488" s="6">
        <f>VLOOKUP(F488,Analysis!$F$1:$G$5,2,FALSE)</f>
        <v>2496.7676064256989</v>
      </c>
      <c r="K488">
        <f t="shared" si="28"/>
        <v>2576.6799999999998</v>
      </c>
      <c r="L488">
        <f t="shared" si="29"/>
        <v>2576.69</v>
      </c>
      <c r="M488">
        <f t="shared" si="30"/>
        <v>2576.6799999999998</v>
      </c>
      <c r="N488" s="5" t="str">
        <f t="shared" si="31"/>
        <v>March 2022</v>
      </c>
    </row>
    <row r="489" spans="1:14" x14ac:dyDescent="0.25">
      <c r="A489" s="1">
        <v>44637</v>
      </c>
      <c r="B489" t="s">
        <v>1372</v>
      </c>
      <c r="C489">
        <v>89</v>
      </c>
      <c r="D489" t="s">
        <v>14</v>
      </c>
      <c r="E489" t="s">
        <v>32</v>
      </c>
      <c r="F489" t="s">
        <v>29</v>
      </c>
      <c r="G489" t="s">
        <v>17</v>
      </c>
      <c r="H489">
        <v>2482.36</v>
      </c>
      <c r="I489" s="8" t="str" cm="1">
        <f t="array" ref="I489">_xlfn.IFS(C489&lt;=15,"Children and Young Adolescents", C489&gt;64, "Seniors", TRUE, "Working Age")</f>
        <v>Seniors</v>
      </c>
      <c r="J489" s="6">
        <f>VLOOKUP(F489,Analysis!$F$1:$G$5,2,FALSE)</f>
        <v>2496.7676064256989</v>
      </c>
      <c r="K489">
        <f t="shared" si="28"/>
        <v>2730.59</v>
      </c>
      <c r="L489">
        <f t="shared" si="29"/>
        <v>2730.6000000000004</v>
      </c>
      <c r="M489">
        <f t="shared" si="30"/>
        <v>2730.6</v>
      </c>
      <c r="N489" s="5" t="str">
        <f t="shared" si="31"/>
        <v>March 2022</v>
      </c>
    </row>
    <row r="490" spans="1:14" x14ac:dyDescent="0.25">
      <c r="A490" s="1">
        <v>44637</v>
      </c>
      <c r="B490" t="s">
        <v>1443</v>
      </c>
      <c r="C490">
        <v>75</v>
      </c>
      <c r="D490" t="s">
        <v>21</v>
      </c>
      <c r="E490" t="s">
        <v>34</v>
      </c>
      <c r="F490" t="s">
        <v>11</v>
      </c>
      <c r="G490" t="s">
        <v>39</v>
      </c>
      <c r="H490">
        <v>3730.73</v>
      </c>
      <c r="I490" s="8" t="str" cm="1">
        <f t="array" ref="I490">_xlfn.IFS(C490&lt;=15,"Children and Young Adolescents", C490&gt;64, "Seniors", TRUE, "Working Age")</f>
        <v>Seniors</v>
      </c>
      <c r="J490" s="6">
        <f>VLOOKUP(F490,Analysis!$F$1:$G$5,2,FALSE)</f>
        <v>2503.6022787783854</v>
      </c>
      <c r="K490">
        <f t="shared" si="28"/>
        <v>4103.8</v>
      </c>
      <c r="L490">
        <f t="shared" si="29"/>
        <v>4103.8100000000004</v>
      </c>
      <c r="M490">
        <f t="shared" si="30"/>
        <v>4103.8</v>
      </c>
      <c r="N490" s="5" t="str">
        <f t="shared" si="31"/>
        <v>March 2022</v>
      </c>
    </row>
    <row r="491" spans="1:14" x14ac:dyDescent="0.25">
      <c r="A491" s="1">
        <v>44637</v>
      </c>
      <c r="B491" t="s">
        <v>4788</v>
      </c>
      <c r="C491">
        <v>15</v>
      </c>
      <c r="D491" t="s">
        <v>21</v>
      </c>
      <c r="E491" t="s">
        <v>34</v>
      </c>
      <c r="F491" t="s">
        <v>16</v>
      </c>
      <c r="G491" t="s">
        <v>39</v>
      </c>
      <c r="H491">
        <v>2308.2199999999998</v>
      </c>
      <c r="I491" s="8" t="str" cm="1">
        <f t="array" ref="I491">_xlfn.IFS(C491&lt;=15,"Children and Young Adolescents", C491&gt;64, "Seniors", TRUE, "Working Age")</f>
        <v>Children and Young Adolescents</v>
      </c>
      <c r="J491" s="6">
        <f>VLOOKUP(F491,Analysis!$F$1:$G$5,2,FALSE)</f>
        <v>2509.1716796874912</v>
      </c>
      <c r="K491">
        <f t="shared" si="28"/>
        <v>2539.04</v>
      </c>
      <c r="L491">
        <f t="shared" si="29"/>
        <v>2539.0500000000002</v>
      </c>
      <c r="M491">
        <f t="shared" si="30"/>
        <v>2539.04</v>
      </c>
      <c r="N491" s="5" t="str">
        <f t="shared" si="31"/>
        <v>March 2022</v>
      </c>
    </row>
    <row r="492" spans="1:14" x14ac:dyDescent="0.25">
      <c r="A492" s="1">
        <v>44637</v>
      </c>
      <c r="B492" t="s">
        <v>3443</v>
      </c>
      <c r="C492">
        <v>64</v>
      </c>
      <c r="D492" t="s">
        <v>14</v>
      </c>
      <c r="E492" t="s">
        <v>25</v>
      </c>
      <c r="F492" t="s">
        <v>11</v>
      </c>
      <c r="G492" t="s">
        <v>12</v>
      </c>
      <c r="H492">
        <v>308.94</v>
      </c>
      <c r="I492" s="8" t="str" cm="1">
        <f t="array" ref="I492">_xlfn.IFS(C492&lt;=15,"Children and Young Adolescents", C492&gt;64, "Seniors", TRUE, "Working Age")</f>
        <v>Working Age</v>
      </c>
      <c r="J492" s="6">
        <f>VLOOKUP(F492,Analysis!$F$1:$G$5,2,FALSE)</f>
        <v>2503.6022787783854</v>
      </c>
      <c r="K492">
        <f t="shared" si="28"/>
        <v>339.83</v>
      </c>
      <c r="L492">
        <f t="shared" si="29"/>
        <v>339.84</v>
      </c>
      <c r="M492">
        <f t="shared" si="30"/>
        <v>339.83</v>
      </c>
      <c r="N492" s="5" t="str">
        <f t="shared" si="31"/>
        <v>March 2022</v>
      </c>
    </row>
    <row r="493" spans="1:14" x14ac:dyDescent="0.25">
      <c r="A493" s="1">
        <v>44638</v>
      </c>
      <c r="B493" t="s">
        <v>4385</v>
      </c>
      <c r="C493">
        <v>38</v>
      </c>
      <c r="D493" t="s">
        <v>21</v>
      </c>
      <c r="E493" t="s">
        <v>5032</v>
      </c>
      <c r="F493" t="s">
        <v>11</v>
      </c>
      <c r="G493" t="s">
        <v>39</v>
      </c>
      <c r="H493">
        <v>4909.67</v>
      </c>
      <c r="I493" s="8" t="str" cm="1">
        <f t="array" ref="I493">_xlfn.IFS(C493&lt;=15,"Children and Young Adolescents", C493&gt;64, "Seniors", TRUE, "Working Age")</f>
        <v>Working Age</v>
      </c>
      <c r="J493" s="6">
        <f>VLOOKUP(F493,Analysis!$F$1:$G$5,2,FALSE)</f>
        <v>2503.6022787783854</v>
      </c>
      <c r="K493">
        <f t="shared" si="28"/>
        <v>5400.63</v>
      </c>
      <c r="L493">
        <f t="shared" si="29"/>
        <v>5400.64</v>
      </c>
      <c r="M493">
        <f t="shared" si="30"/>
        <v>5400.64</v>
      </c>
      <c r="N493" s="5" t="str">
        <f t="shared" si="31"/>
        <v>March 2022</v>
      </c>
    </row>
    <row r="494" spans="1:14" x14ac:dyDescent="0.25">
      <c r="A494" s="1">
        <v>44638</v>
      </c>
      <c r="B494" t="s">
        <v>4384</v>
      </c>
      <c r="C494">
        <v>92</v>
      </c>
      <c r="D494" t="s">
        <v>9</v>
      </c>
      <c r="E494" t="s">
        <v>19</v>
      </c>
      <c r="F494" t="s">
        <v>29</v>
      </c>
      <c r="G494" t="s">
        <v>39</v>
      </c>
      <c r="H494">
        <v>2638.17</v>
      </c>
      <c r="I494" s="8" t="str" cm="1">
        <f t="array" ref="I494">_xlfn.IFS(C494&lt;=15,"Children and Young Adolescents", C494&gt;64, "Seniors", TRUE, "Working Age")</f>
        <v>Seniors</v>
      </c>
      <c r="J494" s="6">
        <f>VLOOKUP(F494,Analysis!$F$1:$G$5,2,FALSE)</f>
        <v>2496.7676064256989</v>
      </c>
      <c r="K494">
        <f t="shared" si="28"/>
        <v>2901.98</v>
      </c>
      <c r="L494">
        <f t="shared" si="29"/>
        <v>2901.9900000000002</v>
      </c>
      <c r="M494">
        <f t="shared" si="30"/>
        <v>2901.99</v>
      </c>
      <c r="N494" s="5" t="str">
        <f t="shared" si="31"/>
        <v>March 2022</v>
      </c>
    </row>
    <row r="495" spans="1:14" x14ac:dyDescent="0.25">
      <c r="A495" s="1">
        <v>44638</v>
      </c>
      <c r="B495" t="s">
        <v>2255</v>
      </c>
      <c r="C495">
        <v>15</v>
      </c>
      <c r="D495" t="s">
        <v>21</v>
      </c>
      <c r="E495" t="s">
        <v>10</v>
      </c>
      <c r="F495" t="s">
        <v>11</v>
      </c>
      <c r="G495" t="s">
        <v>36</v>
      </c>
      <c r="H495">
        <v>3921.06</v>
      </c>
      <c r="I495" s="8" t="str" cm="1">
        <f t="array" ref="I495">_xlfn.IFS(C495&lt;=15,"Children and Young Adolescents", C495&gt;64, "Seniors", TRUE, "Working Age")</f>
        <v>Children and Young Adolescents</v>
      </c>
      <c r="J495" s="6">
        <f>VLOOKUP(F495,Analysis!$F$1:$G$5,2,FALSE)</f>
        <v>2503.6022787783854</v>
      </c>
      <c r="K495">
        <f t="shared" si="28"/>
        <v>4313.16</v>
      </c>
      <c r="L495">
        <f t="shared" si="29"/>
        <v>4313.17</v>
      </c>
      <c r="M495">
        <f t="shared" si="30"/>
        <v>4313.17</v>
      </c>
      <c r="N495" s="5" t="str">
        <f t="shared" si="31"/>
        <v>March 2022</v>
      </c>
    </row>
    <row r="496" spans="1:14" x14ac:dyDescent="0.25">
      <c r="A496" s="1">
        <v>44638</v>
      </c>
      <c r="B496" t="s">
        <v>538</v>
      </c>
      <c r="C496">
        <v>61</v>
      </c>
      <c r="D496" t="s">
        <v>14</v>
      </c>
      <c r="E496" t="s">
        <v>10</v>
      </c>
      <c r="F496" t="s">
        <v>29</v>
      </c>
      <c r="G496" t="s">
        <v>27</v>
      </c>
      <c r="H496">
        <v>516.75</v>
      </c>
      <c r="I496" s="8" t="str" cm="1">
        <f t="array" ref="I496">_xlfn.IFS(C496&lt;=15,"Children and Young Adolescents", C496&gt;64, "Seniors", TRUE, "Working Age")</f>
        <v>Working Age</v>
      </c>
      <c r="J496" s="6">
        <f>VLOOKUP(F496,Analysis!$F$1:$G$5,2,FALSE)</f>
        <v>2496.7676064256989</v>
      </c>
      <c r="K496">
        <f t="shared" si="28"/>
        <v>568.41999999999996</v>
      </c>
      <c r="L496">
        <f t="shared" si="29"/>
        <v>568.42999999999995</v>
      </c>
      <c r="M496">
        <f t="shared" si="30"/>
        <v>568.42999999999995</v>
      </c>
      <c r="N496" s="5" t="str">
        <f t="shared" si="31"/>
        <v>March 2022</v>
      </c>
    </row>
    <row r="497" spans="1:14" x14ac:dyDescent="0.25">
      <c r="A497" s="1">
        <v>44638</v>
      </c>
      <c r="B497" t="s">
        <v>4244</v>
      </c>
      <c r="C497">
        <v>81</v>
      </c>
      <c r="D497" t="s">
        <v>14</v>
      </c>
      <c r="E497" t="s">
        <v>32</v>
      </c>
      <c r="F497" t="s">
        <v>23</v>
      </c>
      <c r="G497" t="s">
        <v>17</v>
      </c>
      <c r="H497">
        <v>1620.18</v>
      </c>
      <c r="I497" s="8" t="str" cm="1">
        <f t="array" ref="I497">_xlfn.IFS(C497&lt;=15,"Children and Young Adolescents", C497&gt;64, "Seniors", TRUE, "Working Age")</f>
        <v>Seniors</v>
      </c>
      <c r="J497" s="6">
        <f>VLOOKUP(F497,Analysis!$F$1:$G$5,2,FALSE)</f>
        <v>2440.2966694490838</v>
      </c>
      <c r="K497">
        <f t="shared" si="28"/>
        <v>1782.19</v>
      </c>
      <c r="L497">
        <f t="shared" si="29"/>
        <v>1782.2</v>
      </c>
      <c r="M497">
        <f t="shared" si="30"/>
        <v>1782.2</v>
      </c>
      <c r="N497" s="5" t="str">
        <f t="shared" si="31"/>
        <v>March 2022</v>
      </c>
    </row>
    <row r="498" spans="1:14" x14ac:dyDescent="0.25">
      <c r="A498" s="1">
        <v>44638</v>
      </c>
      <c r="B498" t="s">
        <v>3761</v>
      </c>
      <c r="C498">
        <v>4</v>
      </c>
      <c r="D498" t="s">
        <v>14</v>
      </c>
      <c r="E498" t="s">
        <v>10</v>
      </c>
      <c r="F498" t="s">
        <v>11</v>
      </c>
      <c r="G498" t="s">
        <v>36</v>
      </c>
      <c r="H498">
        <v>1609.89</v>
      </c>
      <c r="I498" s="8" t="str" cm="1">
        <f t="array" ref="I498">_xlfn.IFS(C498&lt;=15,"Children and Young Adolescents", C498&gt;64, "Seniors", TRUE, "Working Age")</f>
        <v>Children and Young Adolescents</v>
      </c>
      <c r="J498" s="6">
        <f>VLOOKUP(F498,Analysis!$F$1:$G$5,2,FALSE)</f>
        <v>2503.6022787783854</v>
      </c>
      <c r="K498">
        <f t="shared" si="28"/>
        <v>1770.87</v>
      </c>
      <c r="L498">
        <f t="shared" si="29"/>
        <v>1770.8799999999999</v>
      </c>
      <c r="M498">
        <f t="shared" si="30"/>
        <v>1770.88</v>
      </c>
      <c r="N498" s="5" t="str">
        <f t="shared" si="31"/>
        <v>March 2022</v>
      </c>
    </row>
    <row r="499" spans="1:14" x14ac:dyDescent="0.25">
      <c r="A499" s="1">
        <v>44638</v>
      </c>
      <c r="B499" t="s">
        <v>4950</v>
      </c>
      <c r="C499">
        <v>19</v>
      </c>
      <c r="D499" t="s">
        <v>21</v>
      </c>
      <c r="E499" t="s">
        <v>10</v>
      </c>
      <c r="F499" t="s">
        <v>11</v>
      </c>
      <c r="G499" t="s">
        <v>27</v>
      </c>
      <c r="H499">
        <v>2168.2199999999998</v>
      </c>
      <c r="I499" s="8" t="str" cm="1">
        <f t="array" ref="I499">_xlfn.IFS(C499&lt;=15,"Children and Young Adolescents", C499&gt;64, "Seniors", TRUE, "Working Age")</f>
        <v>Working Age</v>
      </c>
      <c r="J499" s="6">
        <f>VLOOKUP(F499,Analysis!$F$1:$G$5,2,FALSE)</f>
        <v>2503.6022787783854</v>
      </c>
      <c r="K499">
        <f t="shared" si="28"/>
        <v>2385.04</v>
      </c>
      <c r="L499">
        <f t="shared" si="29"/>
        <v>2385.0500000000002</v>
      </c>
      <c r="M499">
        <f t="shared" si="30"/>
        <v>2385.04</v>
      </c>
      <c r="N499" s="5" t="str">
        <f t="shared" si="31"/>
        <v>March 2022</v>
      </c>
    </row>
    <row r="500" spans="1:14" x14ac:dyDescent="0.25">
      <c r="A500" s="1">
        <v>44638</v>
      </c>
      <c r="B500" t="s">
        <v>1716</v>
      </c>
      <c r="C500">
        <v>27</v>
      </c>
      <c r="D500" t="s">
        <v>9</v>
      </c>
      <c r="E500" t="s">
        <v>32</v>
      </c>
      <c r="F500" t="s">
        <v>11</v>
      </c>
      <c r="G500" t="s">
        <v>27</v>
      </c>
      <c r="H500">
        <v>3782.98</v>
      </c>
      <c r="I500" s="8" t="str" cm="1">
        <f t="array" ref="I500">_xlfn.IFS(C500&lt;=15,"Children and Young Adolescents", C500&gt;64, "Seniors", TRUE, "Working Age")</f>
        <v>Working Age</v>
      </c>
      <c r="J500" s="6">
        <f>VLOOKUP(F500,Analysis!$F$1:$G$5,2,FALSE)</f>
        <v>2503.6022787783854</v>
      </c>
      <c r="K500">
        <f t="shared" si="28"/>
        <v>4161.2700000000004</v>
      </c>
      <c r="L500">
        <f t="shared" si="29"/>
        <v>4161.2800000000007</v>
      </c>
      <c r="M500">
        <f t="shared" si="30"/>
        <v>4161.28</v>
      </c>
      <c r="N500" s="5" t="str">
        <f t="shared" si="31"/>
        <v>March 2022</v>
      </c>
    </row>
    <row r="501" spans="1:14" x14ac:dyDescent="0.25">
      <c r="A501" s="1">
        <v>44638</v>
      </c>
      <c r="B501" t="s">
        <v>4669</v>
      </c>
      <c r="C501">
        <v>29</v>
      </c>
      <c r="D501" t="s">
        <v>9</v>
      </c>
      <c r="E501" t="s">
        <v>10</v>
      </c>
      <c r="F501" t="s">
        <v>29</v>
      </c>
      <c r="G501" t="s">
        <v>12</v>
      </c>
      <c r="H501">
        <v>2760.81</v>
      </c>
      <c r="I501" s="8" t="str" cm="1">
        <f t="array" ref="I501">_xlfn.IFS(C501&lt;=15,"Children and Young Adolescents", C501&gt;64, "Seniors", TRUE, "Working Age")</f>
        <v>Working Age</v>
      </c>
      <c r="J501" s="6">
        <f>VLOOKUP(F501,Analysis!$F$1:$G$5,2,FALSE)</f>
        <v>2496.7676064256989</v>
      </c>
      <c r="K501">
        <f t="shared" si="28"/>
        <v>3036.89</v>
      </c>
      <c r="L501">
        <f t="shared" si="29"/>
        <v>3036.9</v>
      </c>
      <c r="M501">
        <f t="shared" si="30"/>
        <v>3036.89</v>
      </c>
      <c r="N501" s="5" t="str">
        <f t="shared" si="31"/>
        <v>March 2022</v>
      </c>
    </row>
    <row r="502" spans="1:14" x14ac:dyDescent="0.25">
      <c r="A502" s="1">
        <v>44638</v>
      </c>
      <c r="B502" t="s">
        <v>1995</v>
      </c>
      <c r="C502">
        <v>77</v>
      </c>
      <c r="D502" t="s">
        <v>9</v>
      </c>
      <c r="E502" t="s">
        <v>15</v>
      </c>
      <c r="F502" t="s">
        <v>11</v>
      </c>
      <c r="G502" t="s">
        <v>12</v>
      </c>
      <c r="H502">
        <v>2873.39</v>
      </c>
      <c r="I502" s="8" t="str" cm="1">
        <f t="array" ref="I502">_xlfn.IFS(C502&lt;=15,"Children and Young Adolescents", C502&gt;64, "Seniors", TRUE, "Working Age")</f>
        <v>Seniors</v>
      </c>
      <c r="J502" s="6">
        <f>VLOOKUP(F502,Analysis!$F$1:$G$5,2,FALSE)</f>
        <v>2503.6022787783854</v>
      </c>
      <c r="K502">
        <f t="shared" si="28"/>
        <v>3160.72</v>
      </c>
      <c r="L502">
        <f t="shared" si="29"/>
        <v>3160.73</v>
      </c>
      <c r="M502">
        <f t="shared" si="30"/>
        <v>3160.73</v>
      </c>
      <c r="N502" s="5" t="str">
        <f t="shared" si="31"/>
        <v>March 2022</v>
      </c>
    </row>
    <row r="503" spans="1:14" x14ac:dyDescent="0.25">
      <c r="A503" s="1">
        <v>44638</v>
      </c>
      <c r="B503" t="s">
        <v>1889</v>
      </c>
      <c r="C503">
        <v>77</v>
      </c>
      <c r="D503" t="s">
        <v>21</v>
      </c>
      <c r="E503" t="s">
        <v>22</v>
      </c>
      <c r="F503" t="s">
        <v>23</v>
      </c>
      <c r="G503" t="s">
        <v>36</v>
      </c>
      <c r="H503">
        <v>282.79000000000002</v>
      </c>
      <c r="I503" s="8" t="str" cm="1">
        <f t="array" ref="I503">_xlfn.IFS(C503&lt;=15,"Children and Young Adolescents", C503&gt;64, "Seniors", TRUE, "Working Age")</f>
        <v>Seniors</v>
      </c>
      <c r="J503" s="6">
        <f>VLOOKUP(F503,Analysis!$F$1:$G$5,2,FALSE)</f>
        <v>2440.2966694490838</v>
      </c>
      <c r="K503">
        <f t="shared" si="28"/>
        <v>311.06</v>
      </c>
      <c r="L503">
        <f t="shared" si="29"/>
        <v>311.07</v>
      </c>
      <c r="M503">
        <f t="shared" si="30"/>
        <v>311.07</v>
      </c>
      <c r="N503" s="5" t="str">
        <f t="shared" si="31"/>
        <v>March 2022</v>
      </c>
    </row>
    <row r="504" spans="1:14" x14ac:dyDescent="0.25">
      <c r="A504" s="1">
        <v>44638</v>
      </c>
      <c r="B504" t="s">
        <v>738</v>
      </c>
      <c r="C504">
        <v>35</v>
      </c>
      <c r="D504" t="s">
        <v>14</v>
      </c>
      <c r="E504" t="s">
        <v>32</v>
      </c>
      <c r="F504" t="s">
        <v>11</v>
      </c>
      <c r="G504" t="s">
        <v>17</v>
      </c>
      <c r="H504">
        <v>2526.91</v>
      </c>
      <c r="I504" s="8" t="str" cm="1">
        <f t="array" ref="I504">_xlfn.IFS(C504&lt;=15,"Children and Young Adolescents", C504&gt;64, "Seniors", TRUE, "Working Age")</f>
        <v>Working Age</v>
      </c>
      <c r="J504" s="6">
        <f>VLOOKUP(F504,Analysis!$F$1:$G$5,2,FALSE)</f>
        <v>2503.6022787783854</v>
      </c>
      <c r="K504">
        <f t="shared" si="28"/>
        <v>2779.6</v>
      </c>
      <c r="L504">
        <f t="shared" si="29"/>
        <v>2779.61</v>
      </c>
      <c r="M504">
        <f t="shared" si="30"/>
        <v>2779.6</v>
      </c>
      <c r="N504" s="5" t="str">
        <f t="shared" si="31"/>
        <v>March 2022</v>
      </c>
    </row>
    <row r="505" spans="1:14" x14ac:dyDescent="0.25">
      <c r="A505" s="1">
        <v>44638</v>
      </c>
      <c r="B505" t="s">
        <v>4638</v>
      </c>
      <c r="C505">
        <v>0</v>
      </c>
      <c r="D505" t="s">
        <v>9</v>
      </c>
      <c r="E505" t="s">
        <v>32</v>
      </c>
      <c r="F505" t="s">
        <v>11</v>
      </c>
      <c r="G505" t="s">
        <v>39</v>
      </c>
      <c r="H505">
        <v>1070.0999999999999</v>
      </c>
      <c r="I505" s="8" t="str" cm="1">
        <f t="array" ref="I505">_xlfn.IFS(C505&lt;=15,"Children and Young Adolescents", C505&gt;64, "Seniors", TRUE, "Working Age")</f>
        <v>Children and Young Adolescents</v>
      </c>
      <c r="J505" s="6">
        <f>VLOOKUP(F505,Analysis!$F$1:$G$5,2,FALSE)</f>
        <v>2503.6022787783854</v>
      </c>
      <c r="K505">
        <f t="shared" si="28"/>
        <v>1177.1099999999999</v>
      </c>
      <c r="L505">
        <f t="shared" si="29"/>
        <v>1177.1099999999999</v>
      </c>
      <c r="M505">
        <f t="shared" si="30"/>
        <v>1177.1099999999999</v>
      </c>
      <c r="N505" s="5" t="str">
        <f t="shared" si="31"/>
        <v>March 2022</v>
      </c>
    </row>
    <row r="506" spans="1:14" x14ac:dyDescent="0.25">
      <c r="A506" s="1">
        <v>44639</v>
      </c>
      <c r="B506" t="s">
        <v>3077</v>
      </c>
      <c r="C506">
        <v>21</v>
      </c>
      <c r="D506" t="s">
        <v>21</v>
      </c>
      <c r="E506" t="s">
        <v>25</v>
      </c>
      <c r="F506" t="s">
        <v>11</v>
      </c>
      <c r="G506" t="s">
        <v>39</v>
      </c>
      <c r="H506">
        <v>4125.17</v>
      </c>
      <c r="I506" s="8" t="str" cm="1">
        <f t="array" ref="I506">_xlfn.IFS(C506&lt;=15,"Children and Young Adolescents", C506&gt;64, "Seniors", TRUE, "Working Age")</f>
        <v>Working Age</v>
      </c>
      <c r="J506" s="6">
        <f>VLOOKUP(F506,Analysis!$F$1:$G$5,2,FALSE)</f>
        <v>2503.6022787783854</v>
      </c>
      <c r="K506">
        <f t="shared" si="28"/>
        <v>4537.68</v>
      </c>
      <c r="L506">
        <f t="shared" si="29"/>
        <v>4537.6900000000005</v>
      </c>
      <c r="M506">
        <f t="shared" si="30"/>
        <v>4537.6899999999996</v>
      </c>
      <c r="N506" s="5" t="str">
        <f t="shared" si="31"/>
        <v>March 2022</v>
      </c>
    </row>
    <row r="507" spans="1:14" x14ac:dyDescent="0.25">
      <c r="A507" s="1">
        <v>44639</v>
      </c>
      <c r="B507" t="s">
        <v>500</v>
      </c>
      <c r="C507">
        <v>18</v>
      </c>
      <c r="D507" t="s">
        <v>14</v>
      </c>
      <c r="E507" t="s">
        <v>32</v>
      </c>
      <c r="F507" t="s">
        <v>16</v>
      </c>
      <c r="G507" t="s">
        <v>12</v>
      </c>
      <c r="H507">
        <v>3142.49</v>
      </c>
      <c r="I507" s="8" t="str" cm="1">
        <f t="array" ref="I507">_xlfn.IFS(C507&lt;=15,"Children and Young Adolescents", C507&gt;64, "Seniors", TRUE, "Working Age")</f>
        <v>Working Age</v>
      </c>
      <c r="J507" s="6">
        <f>VLOOKUP(F507,Analysis!$F$1:$G$5,2,FALSE)</f>
        <v>2509.1716796874912</v>
      </c>
      <c r="K507">
        <f t="shared" si="28"/>
        <v>3456.73</v>
      </c>
      <c r="L507">
        <f t="shared" si="29"/>
        <v>3456.7400000000002</v>
      </c>
      <c r="M507">
        <f t="shared" si="30"/>
        <v>3456.74</v>
      </c>
      <c r="N507" s="5" t="str">
        <f t="shared" si="31"/>
        <v>March 2022</v>
      </c>
    </row>
    <row r="508" spans="1:14" x14ac:dyDescent="0.25">
      <c r="A508" s="1">
        <v>44639</v>
      </c>
      <c r="B508" t="s">
        <v>2476</v>
      </c>
      <c r="C508">
        <v>51</v>
      </c>
      <c r="D508" t="s">
        <v>21</v>
      </c>
      <c r="E508" t="s">
        <v>15</v>
      </c>
      <c r="F508" t="s">
        <v>16</v>
      </c>
      <c r="G508" t="s">
        <v>12</v>
      </c>
      <c r="H508">
        <v>1630.69</v>
      </c>
      <c r="I508" s="8" t="str" cm="1">
        <f t="array" ref="I508">_xlfn.IFS(C508&lt;=15,"Children and Young Adolescents", C508&gt;64, "Seniors", TRUE, "Working Age")</f>
        <v>Working Age</v>
      </c>
      <c r="J508" s="6">
        <f>VLOOKUP(F508,Analysis!$F$1:$G$5,2,FALSE)</f>
        <v>2509.1716796874912</v>
      </c>
      <c r="K508">
        <f t="shared" si="28"/>
        <v>1793.75</v>
      </c>
      <c r="L508">
        <f t="shared" si="29"/>
        <v>1793.76</v>
      </c>
      <c r="M508">
        <f t="shared" si="30"/>
        <v>1793.76</v>
      </c>
      <c r="N508" s="5" t="str">
        <f t="shared" si="31"/>
        <v>March 2022</v>
      </c>
    </row>
    <row r="509" spans="1:14" x14ac:dyDescent="0.25">
      <c r="A509" s="1">
        <v>44639</v>
      </c>
      <c r="B509" t="s">
        <v>678</v>
      </c>
      <c r="C509">
        <v>85</v>
      </c>
      <c r="D509" t="s">
        <v>9</v>
      </c>
      <c r="E509" t="s">
        <v>19</v>
      </c>
      <c r="F509" t="s">
        <v>23</v>
      </c>
      <c r="G509" t="s">
        <v>12</v>
      </c>
      <c r="H509">
        <v>3902.99</v>
      </c>
      <c r="I509" s="8" t="str" cm="1">
        <f t="array" ref="I509">_xlfn.IFS(C509&lt;=15,"Children and Young Adolescents", C509&gt;64, "Seniors", TRUE, "Working Age")</f>
        <v>Seniors</v>
      </c>
      <c r="J509" s="6">
        <f>VLOOKUP(F509,Analysis!$F$1:$G$5,2,FALSE)</f>
        <v>2440.2966694490838</v>
      </c>
      <c r="K509">
        <f t="shared" si="28"/>
        <v>4293.28</v>
      </c>
      <c r="L509">
        <f t="shared" si="29"/>
        <v>4293.29</v>
      </c>
      <c r="M509">
        <f t="shared" si="30"/>
        <v>4293.29</v>
      </c>
      <c r="N509" s="5" t="str">
        <f t="shared" si="31"/>
        <v>March 2022</v>
      </c>
    </row>
    <row r="510" spans="1:14" x14ac:dyDescent="0.25">
      <c r="A510" s="1">
        <v>44639</v>
      </c>
      <c r="B510" t="s">
        <v>1166</v>
      </c>
      <c r="C510">
        <v>95</v>
      </c>
      <c r="D510" t="s">
        <v>14</v>
      </c>
      <c r="E510" t="s">
        <v>5032</v>
      </c>
      <c r="F510" t="s">
        <v>29</v>
      </c>
      <c r="G510" t="s">
        <v>36</v>
      </c>
      <c r="H510">
        <v>2873.85</v>
      </c>
      <c r="I510" s="8" t="str" cm="1">
        <f t="array" ref="I510">_xlfn.IFS(C510&lt;=15,"Children and Young Adolescents", C510&gt;64, "Seniors", TRUE, "Working Age")</f>
        <v>Seniors</v>
      </c>
      <c r="J510" s="6">
        <f>VLOOKUP(F510,Analysis!$F$1:$G$5,2,FALSE)</f>
        <v>2496.7676064256989</v>
      </c>
      <c r="K510">
        <f t="shared" si="28"/>
        <v>3161.23</v>
      </c>
      <c r="L510">
        <f t="shared" si="29"/>
        <v>3161.2400000000002</v>
      </c>
      <c r="M510">
        <f t="shared" si="30"/>
        <v>3161.24</v>
      </c>
      <c r="N510" s="5" t="str">
        <f t="shared" si="31"/>
        <v>March 2022</v>
      </c>
    </row>
    <row r="511" spans="1:14" x14ac:dyDescent="0.25">
      <c r="A511" s="1">
        <v>44639</v>
      </c>
      <c r="B511" t="s">
        <v>4351</v>
      </c>
      <c r="C511">
        <v>55</v>
      </c>
      <c r="D511" t="s">
        <v>9</v>
      </c>
      <c r="E511" t="s">
        <v>15</v>
      </c>
      <c r="F511" t="s">
        <v>23</v>
      </c>
      <c r="G511" t="s">
        <v>36</v>
      </c>
      <c r="H511">
        <v>1506.29</v>
      </c>
      <c r="I511" s="8" t="str" cm="1">
        <f t="array" ref="I511">_xlfn.IFS(C511&lt;=15,"Children and Young Adolescents", C511&gt;64, "Seniors", TRUE, "Working Age")</f>
        <v>Working Age</v>
      </c>
      <c r="J511" s="6">
        <f>VLOOKUP(F511,Analysis!$F$1:$G$5,2,FALSE)</f>
        <v>2440.2966694490838</v>
      </c>
      <c r="K511">
        <f t="shared" si="28"/>
        <v>1656.91</v>
      </c>
      <c r="L511">
        <f t="shared" si="29"/>
        <v>1656.92</v>
      </c>
      <c r="M511">
        <f t="shared" si="30"/>
        <v>1656.92</v>
      </c>
      <c r="N511" s="5" t="str">
        <f t="shared" si="31"/>
        <v>March 2022</v>
      </c>
    </row>
    <row r="512" spans="1:14" x14ac:dyDescent="0.25">
      <c r="A512" s="1">
        <v>44639</v>
      </c>
      <c r="B512" t="s">
        <v>4151</v>
      </c>
      <c r="C512">
        <v>19</v>
      </c>
      <c r="D512" t="s">
        <v>9</v>
      </c>
      <c r="E512" t="s">
        <v>10</v>
      </c>
      <c r="F512" t="s">
        <v>23</v>
      </c>
      <c r="G512" t="s">
        <v>27</v>
      </c>
      <c r="H512">
        <v>1230.6300000000001</v>
      </c>
      <c r="I512" s="8" t="str" cm="1">
        <f t="array" ref="I512">_xlfn.IFS(C512&lt;=15,"Children and Young Adolescents", C512&gt;64, "Seniors", TRUE, "Working Age")</f>
        <v>Working Age</v>
      </c>
      <c r="J512" s="6">
        <f>VLOOKUP(F512,Analysis!$F$1:$G$5,2,FALSE)</f>
        <v>2440.2966694490838</v>
      </c>
      <c r="K512">
        <f t="shared" si="28"/>
        <v>1353.69</v>
      </c>
      <c r="L512">
        <f t="shared" si="29"/>
        <v>1353.7</v>
      </c>
      <c r="M512">
        <f t="shared" si="30"/>
        <v>1353.69</v>
      </c>
      <c r="N512" s="5" t="str">
        <f t="shared" si="31"/>
        <v>March 2022</v>
      </c>
    </row>
    <row r="513" spans="1:14" x14ac:dyDescent="0.25">
      <c r="A513" s="1">
        <v>44639</v>
      </c>
      <c r="B513" t="s">
        <v>2949</v>
      </c>
      <c r="C513">
        <v>78</v>
      </c>
      <c r="D513" t="s">
        <v>21</v>
      </c>
      <c r="E513" t="s">
        <v>5032</v>
      </c>
      <c r="F513" t="s">
        <v>29</v>
      </c>
      <c r="G513" t="s">
        <v>12</v>
      </c>
      <c r="H513">
        <v>2702.51</v>
      </c>
      <c r="I513" s="8" t="str" cm="1">
        <f t="array" ref="I513">_xlfn.IFS(C513&lt;=15,"Children and Young Adolescents", C513&gt;64, "Seniors", TRUE, "Working Age")</f>
        <v>Seniors</v>
      </c>
      <c r="J513" s="6">
        <f>VLOOKUP(F513,Analysis!$F$1:$G$5,2,FALSE)</f>
        <v>2496.7676064256989</v>
      </c>
      <c r="K513">
        <f t="shared" si="28"/>
        <v>2972.76</v>
      </c>
      <c r="L513">
        <f t="shared" si="29"/>
        <v>2972.7700000000004</v>
      </c>
      <c r="M513">
        <f t="shared" si="30"/>
        <v>2972.76</v>
      </c>
      <c r="N513" s="5" t="str">
        <f t="shared" si="31"/>
        <v>March 2022</v>
      </c>
    </row>
    <row r="514" spans="1:14" x14ac:dyDescent="0.25">
      <c r="A514" s="1">
        <v>44640</v>
      </c>
      <c r="B514" t="s">
        <v>1680</v>
      </c>
      <c r="C514">
        <v>28</v>
      </c>
      <c r="D514" t="s">
        <v>14</v>
      </c>
      <c r="E514" t="s">
        <v>34</v>
      </c>
      <c r="F514" t="s">
        <v>23</v>
      </c>
      <c r="G514" t="s">
        <v>39</v>
      </c>
      <c r="H514">
        <v>1034.56</v>
      </c>
      <c r="I514" s="8" t="str" cm="1">
        <f t="array" ref="I514">_xlfn.IFS(C514&lt;=15,"Children and Young Adolescents", C514&gt;64, "Seniors", TRUE, "Working Age")</f>
        <v>Working Age</v>
      </c>
      <c r="J514" s="6">
        <f>VLOOKUP(F514,Analysis!$F$1:$G$5,2,FALSE)</f>
        <v>2440.2966694490838</v>
      </c>
      <c r="K514">
        <f t="shared" si="28"/>
        <v>1138.01</v>
      </c>
      <c r="L514">
        <f t="shared" si="29"/>
        <v>1138.02</v>
      </c>
      <c r="M514">
        <f t="shared" si="30"/>
        <v>1138.02</v>
      </c>
      <c r="N514" s="5" t="str">
        <f t="shared" si="31"/>
        <v>March 2022</v>
      </c>
    </row>
    <row r="515" spans="1:14" x14ac:dyDescent="0.25">
      <c r="A515" s="1">
        <v>44640</v>
      </c>
      <c r="B515" t="s">
        <v>3554</v>
      </c>
      <c r="C515">
        <v>13</v>
      </c>
      <c r="D515" t="s">
        <v>14</v>
      </c>
      <c r="E515" t="s">
        <v>25</v>
      </c>
      <c r="F515" t="s">
        <v>29</v>
      </c>
      <c r="G515" t="s">
        <v>17</v>
      </c>
      <c r="H515">
        <v>70.23</v>
      </c>
      <c r="I515" s="8" t="str" cm="1">
        <f t="array" ref="I515">_xlfn.IFS(C515&lt;=15,"Children and Young Adolescents", C515&gt;64, "Seniors", TRUE, "Working Age")</f>
        <v>Children and Young Adolescents</v>
      </c>
      <c r="J515" s="6">
        <f>VLOOKUP(F515,Analysis!$F$1:$G$5,2,FALSE)</f>
        <v>2496.7676064256989</v>
      </c>
      <c r="K515">
        <f t="shared" ref="K515:K578" si="32">ROUNDDOWN(H515*1.1,2)</f>
        <v>77.25</v>
      </c>
      <c r="L515">
        <f t="shared" ref="L515:L578" si="33">ROUNDUP(H515*1.1,2)</f>
        <v>77.260000000000005</v>
      </c>
      <c r="M515">
        <f t="shared" ref="M515:M578" si="34">ROUND(H515*1.1,2)</f>
        <v>77.25</v>
      </c>
      <c r="N515" s="5" t="str">
        <f t="shared" ref="N515:N578" si="35">TEXT(A515,"mmmm yyyy")</f>
        <v>March 2022</v>
      </c>
    </row>
    <row r="516" spans="1:14" x14ac:dyDescent="0.25">
      <c r="A516" s="1">
        <v>44640</v>
      </c>
      <c r="B516" t="s">
        <v>3113</v>
      </c>
      <c r="C516">
        <v>11</v>
      </c>
      <c r="D516" t="s">
        <v>14</v>
      </c>
      <c r="E516" t="s">
        <v>15</v>
      </c>
      <c r="F516" t="s">
        <v>23</v>
      </c>
      <c r="G516" t="s">
        <v>12</v>
      </c>
      <c r="H516">
        <v>1469.06</v>
      </c>
      <c r="I516" s="8" t="str" cm="1">
        <f t="array" ref="I516">_xlfn.IFS(C516&lt;=15,"Children and Young Adolescents", C516&gt;64, "Seniors", TRUE, "Working Age")</f>
        <v>Children and Young Adolescents</v>
      </c>
      <c r="J516" s="6">
        <f>VLOOKUP(F516,Analysis!$F$1:$G$5,2,FALSE)</f>
        <v>2440.2966694490838</v>
      </c>
      <c r="K516">
        <f t="shared" si="32"/>
        <v>1615.96</v>
      </c>
      <c r="L516">
        <f t="shared" si="33"/>
        <v>1615.97</v>
      </c>
      <c r="M516">
        <f t="shared" si="34"/>
        <v>1615.97</v>
      </c>
      <c r="N516" s="5" t="str">
        <f t="shared" si="35"/>
        <v>March 2022</v>
      </c>
    </row>
    <row r="517" spans="1:14" x14ac:dyDescent="0.25">
      <c r="A517" s="1">
        <v>44640</v>
      </c>
      <c r="B517" t="s">
        <v>4329</v>
      </c>
      <c r="C517">
        <v>93</v>
      </c>
      <c r="D517" t="s">
        <v>9</v>
      </c>
      <c r="E517" t="s">
        <v>5032</v>
      </c>
      <c r="F517" t="s">
        <v>16</v>
      </c>
      <c r="G517" t="s">
        <v>12</v>
      </c>
      <c r="H517">
        <v>4506.07</v>
      </c>
      <c r="I517" s="8" t="str" cm="1">
        <f t="array" ref="I517">_xlfn.IFS(C517&lt;=15,"Children and Young Adolescents", C517&gt;64, "Seniors", TRUE, "Working Age")</f>
        <v>Seniors</v>
      </c>
      <c r="J517" s="6">
        <f>VLOOKUP(F517,Analysis!$F$1:$G$5,2,FALSE)</f>
        <v>2509.1716796874912</v>
      </c>
      <c r="K517">
        <f t="shared" si="32"/>
        <v>4956.67</v>
      </c>
      <c r="L517">
        <f t="shared" si="33"/>
        <v>4956.68</v>
      </c>
      <c r="M517">
        <f t="shared" si="34"/>
        <v>4956.68</v>
      </c>
      <c r="N517" s="5" t="str">
        <f t="shared" si="35"/>
        <v>March 2022</v>
      </c>
    </row>
    <row r="518" spans="1:14" x14ac:dyDescent="0.25">
      <c r="A518" s="1">
        <v>44640</v>
      </c>
      <c r="B518" t="s">
        <v>1965</v>
      </c>
      <c r="C518">
        <v>35</v>
      </c>
      <c r="D518" t="s">
        <v>14</v>
      </c>
      <c r="E518" t="s">
        <v>19</v>
      </c>
      <c r="F518" t="s">
        <v>11</v>
      </c>
      <c r="G518" t="s">
        <v>17</v>
      </c>
      <c r="H518">
        <v>4150.12</v>
      </c>
      <c r="I518" s="8" t="str" cm="1">
        <f t="array" ref="I518">_xlfn.IFS(C518&lt;=15,"Children and Young Adolescents", C518&gt;64, "Seniors", TRUE, "Working Age")</f>
        <v>Working Age</v>
      </c>
      <c r="J518" s="6">
        <f>VLOOKUP(F518,Analysis!$F$1:$G$5,2,FALSE)</f>
        <v>2503.6022787783854</v>
      </c>
      <c r="K518">
        <f t="shared" si="32"/>
        <v>4565.13</v>
      </c>
      <c r="L518">
        <f t="shared" si="33"/>
        <v>4565.1400000000003</v>
      </c>
      <c r="M518">
        <f t="shared" si="34"/>
        <v>4565.13</v>
      </c>
      <c r="N518" s="5" t="str">
        <f t="shared" si="35"/>
        <v>March 2022</v>
      </c>
    </row>
    <row r="519" spans="1:14" x14ac:dyDescent="0.25">
      <c r="A519" s="1">
        <v>44640</v>
      </c>
      <c r="B519" t="s">
        <v>942</v>
      </c>
      <c r="C519">
        <v>49</v>
      </c>
      <c r="D519" t="s">
        <v>21</v>
      </c>
      <c r="E519" t="s">
        <v>10</v>
      </c>
      <c r="F519" t="s">
        <v>23</v>
      </c>
      <c r="G519" t="s">
        <v>39</v>
      </c>
      <c r="H519">
        <v>502.87</v>
      </c>
      <c r="I519" s="8" t="str" cm="1">
        <f t="array" ref="I519">_xlfn.IFS(C519&lt;=15,"Children and Young Adolescents", C519&gt;64, "Seniors", TRUE, "Working Age")</f>
        <v>Working Age</v>
      </c>
      <c r="J519" s="6">
        <f>VLOOKUP(F519,Analysis!$F$1:$G$5,2,FALSE)</f>
        <v>2440.2966694490838</v>
      </c>
      <c r="K519">
        <f t="shared" si="32"/>
        <v>553.15</v>
      </c>
      <c r="L519">
        <f t="shared" si="33"/>
        <v>553.16</v>
      </c>
      <c r="M519">
        <f t="shared" si="34"/>
        <v>553.16</v>
      </c>
      <c r="N519" s="5" t="str">
        <f t="shared" si="35"/>
        <v>March 2022</v>
      </c>
    </row>
    <row r="520" spans="1:14" x14ac:dyDescent="0.25">
      <c r="A520" s="1">
        <v>44640</v>
      </c>
      <c r="B520" t="s">
        <v>3316</v>
      </c>
      <c r="C520">
        <v>64</v>
      </c>
      <c r="D520" t="s">
        <v>21</v>
      </c>
      <c r="E520" t="s">
        <v>19</v>
      </c>
      <c r="F520" t="s">
        <v>11</v>
      </c>
      <c r="G520" t="s">
        <v>17</v>
      </c>
      <c r="H520">
        <v>1991.88</v>
      </c>
      <c r="I520" s="8" t="str" cm="1">
        <f t="array" ref="I520">_xlfn.IFS(C520&lt;=15,"Children and Young Adolescents", C520&gt;64, "Seniors", TRUE, "Working Age")</f>
        <v>Working Age</v>
      </c>
      <c r="J520" s="6">
        <f>VLOOKUP(F520,Analysis!$F$1:$G$5,2,FALSE)</f>
        <v>2503.6022787783854</v>
      </c>
      <c r="K520">
        <f t="shared" si="32"/>
        <v>2191.06</v>
      </c>
      <c r="L520">
        <f t="shared" si="33"/>
        <v>2191.0700000000002</v>
      </c>
      <c r="M520">
        <f t="shared" si="34"/>
        <v>2191.0700000000002</v>
      </c>
      <c r="N520" s="5" t="str">
        <f t="shared" si="35"/>
        <v>March 2022</v>
      </c>
    </row>
    <row r="521" spans="1:14" x14ac:dyDescent="0.25">
      <c r="A521" s="1">
        <v>44640</v>
      </c>
      <c r="B521" t="s">
        <v>946</v>
      </c>
      <c r="C521">
        <v>44</v>
      </c>
      <c r="D521" t="s">
        <v>14</v>
      </c>
      <c r="E521" t="s">
        <v>25</v>
      </c>
      <c r="F521" t="s">
        <v>11</v>
      </c>
      <c r="G521" t="s">
        <v>39</v>
      </c>
      <c r="H521">
        <v>4722.3900000000003</v>
      </c>
      <c r="I521" s="8" t="str" cm="1">
        <f t="array" ref="I521">_xlfn.IFS(C521&lt;=15,"Children and Young Adolescents", C521&gt;64, "Seniors", TRUE, "Working Age")</f>
        <v>Working Age</v>
      </c>
      <c r="J521" s="6">
        <f>VLOOKUP(F521,Analysis!$F$1:$G$5,2,FALSE)</f>
        <v>2503.6022787783854</v>
      </c>
      <c r="K521">
        <f t="shared" si="32"/>
        <v>5194.62</v>
      </c>
      <c r="L521">
        <f t="shared" si="33"/>
        <v>5194.63</v>
      </c>
      <c r="M521">
        <f t="shared" si="34"/>
        <v>5194.63</v>
      </c>
      <c r="N521" s="5" t="str">
        <f t="shared" si="35"/>
        <v>March 2022</v>
      </c>
    </row>
    <row r="522" spans="1:14" x14ac:dyDescent="0.25">
      <c r="A522" s="1">
        <v>44640</v>
      </c>
      <c r="B522" t="s">
        <v>1229</v>
      </c>
      <c r="C522">
        <v>74</v>
      </c>
      <c r="D522" t="s">
        <v>21</v>
      </c>
      <c r="E522" t="s">
        <v>10</v>
      </c>
      <c r="F522" t="s">
        <v>11</v>
      </c>
      <c r="G522" t="s">
        <v>36</v>
      </c>
      <c r="H522">
        <v>4413.6099999999997</v>
      </c>
      <c r="I522" s="8" t="str" cm="1">
        <f t="array" ref="I522">_xlfn.IFS(C522&lt;=15,"Children and Young Adolescents", C522&gt;64, "Seniors", TRUE, "Working Age")</f>
        <v>Seniors</v>
      </c>
      <c r="J522" s="6">
        <f>VLOOKUP(F522,Analysis!$F$1:$G$5,2,FALSE)</f>
        <v>2503.6022787783854</v>
      </c>
      <c r="K522">
        <f t="shared" si="32"/>
        <v>4854.97</v>
      </c>
      <c r="L522">
        <f t="shared" si="33"/>
        <v>4854.9800000000005</v>
      </c>
      <c r="M522">
        <f t="shared" si="34"/>
        <v>4854.97</v>
      </c>
      <c r="N522" s="5" t="str">
        <f t="shared" si="35"/>
        <v>March 2022</v>
      </c>
    </row>
    <row r="523" spans="1:14" x14ac:dyDescent="0.25">
      <c r="A523" s="1">
        <v>44641</v>
      </c>
      <c r="B523" t="s">
        <v>1553</v>
      </c>
      <c r="C523">
        <v>30</v>
      </c>
      <c r="D523" t="s">
        <v>14</v>
      </c>
      <c r="E523" t="s">
        <v>25</v>
      </c>
      <c r="F523" t="s">
        <v>16</v>
      </c>
      <c r="G523" t="s">
        <v>39</v>
      </c>
      <c r="H523">
        <v>3945.41</v>
      </c>
      <c r="I523" s="8" t="str" cm="1">
        <f t="array" ref="I523">_xlfn.IFS(C523&lt;=15,"Children and Young Adolescents", C523&gt;64, "Seniors", TRUE, "Working Age")</f>
        <v>Working Age</v>
      </c>
      <c r="J523" s="6">
        <f>VLOOKUP(F523,Analysis!$F$1:$G$5,2,FALSE)</f>
        <v>2509.1716796874912</v>
      </c>
      <c r="K523">
        <f t="shared" si="32"/>
        <v>4339.95</v>
      </c>
      <c r="L523">
        <f t="shared" si="33"/>
        <v>4339.96</v>
      </c>
      <c r="M523">
        <f t="shared" si="34"/>
        <v>4339.95</v>
      </c>
      <c r="N523" s="5" t="str">
        <f t="shared" si="35"/>
        <v>March 2022</v>
      </c>
    </row>
    <row r="524" spans="1:14" x14ac:dyDescent="0.25">
      <c r="A524" s="1">
        <v>44641</v>
      </c>
      <c r="B524" t="s">
        <v>303</v>
      </c>
      <c r="C524">
        <v>45</v>
      </c>
      <c r="D524" t="s">
        <v>21</v>
      </c>
      <c r="E524" t="s">
        <v>19</v>
      </c>
      <c r="F524" t="s">
        <v>11</v>
      </c>
      <c r="G524" t="s">
        <v>17</v>
      </c>
      <c r="H524">
        <v>4989.6499999999996</v>
      </c>
      <c r="I524" s="8" t="str" cm="1">
        <f t="array" ref="I524">_xlfn.IFS(C524&lt;=15,"Children and Young Adolescents", C524&gt;64, "Seniors", TRUE, "Working Age")</f>
        <v>Working Age</v>
      </c>
      <c r="J524" s="6">
        <f>VLOOKUP(F524,Analysis!$F$1:$G$5,2,FALSE)</f>
        <v>2503.6022787783854</v>
      </c>
      <c r="K524">
        <f t="shared" si="32"/>
        <v>5488.61</v>
      </c>
      <c r="L524">
        <f t="shared" si="33"/>
        <v>5488.62</v>
      </c>
      <c r="M524">
        <f t="shared" si="34"/>
        <v>5488.62</v>
      </c>
      <c r="N524" s="5" t="str">
        <f t="shared" si="35"/>
        <v>March 2022</v>
      </c>
    </row>
    <row r="525" spans="1:14" x14ac:dyDescent="0.25">
      <c r="A525" s="1">
        <v>44641</v>
      </c>
      <c r="B525" t="s">
        <v>276</v>
      </c>
      <c r="C525">
        <v>85</v>
      </c>
      <c r="D525" t="s">
        <v>14</v>
      </c>
      <c r="E525" t="s">
        <v>34</v>
      </c>
      <c r="F525" t="s">
        <v>29</v>
      </c>
      <c r="G525" t="s">
        <v>12</v>
      </c>
      <c r="H525">
        <v>2693.46</v>
      </c>
      <c r="I525" s="8" t="str" cm="1">
        <f t="array" ref="I525">_xlfn.IFS(C525&lt;=15,"Children and Young Adolescents", C525&gt;64, "Seniors", TRUE, "Working Age")</f>
        <v>Seniors</v>
      </c>
      <c r="J525" s="6">
        <f>VLOOKUP(F525,Analysis!$F$1:$G$5,2,FALSE)</f>
        <v>2496.7676064256989</v>
      </c>
      <c r="K525">
        <f t="shared" si="32"/>
        <v>2962.8</v>
      </c>
      <c r="L525">
        <f t="shared" si="33"/>
        <v>2962.8100000000004</v>
      </c>
      <c r="M525">
        <f t="shared" si="34"/>
        <v>2962.81</v>
      </c>
      <c r="N525" s="5" t="str">
        <f t="shared" si="35"/>
        <v>March 2022</v>
      </c>
    </row>
    <row r="526" spans="1:14" x14ac:dyDescent="0.25">
      <c r="A526" s="1">
        <v>44641</v>
      </c>
      <c r="B526" t="s">
        <v>2270</v>
      </c>
      <c r="C526">
        <v>2</v>
      </c>
      <c r="D526" t="s">
        <v>9</v>
      </c>
      <c r="E526" t="s">
        <v>32</v>
      </c>
      <c r="F526" t="s">
        <v>11</v>
      </c>
      <c r="G526" t="s">
        <v>27</v>
      </c>
      <c r="H526">
        <v>1178.68</v>
      </c>
      <c r="I526" s="8" t="str" cm="1">
        <f t="array" ref="I526">_xlfn.IFS(C526&lt;=15,"Children and Young Adolescents", C526&gt;64, "Seniors", TRUE, "Working Age")</f>
        <v>Children and Young Adolescents</v>
      </c>
      <c r="J526" s="6">
        <f>VLOOKUP(F526,Analysis!$F$1:$G$5,2,FALSE)</f>
        <v>2503.6022787783854</v>
      </c>
      <c r="K526">
        <f t="shared" si="32"/>
        <v>1296.54</v>
      </c>
      <c r="L526">
        <f t="shared" si="33"/>
        <v>1296.55</v>
      </c>
      <c r="M526">
        <f t="shared" si="34"/>
        <v>1296.55</v>
      </c>
      <c r="N526" s="5" t="str">
        <f t="shared" si="35"/>
        <v>March 2022</v>
      </c>
    </row>
    <row r="527" spans="1:14" x14ac:dyDescent="0.25">
      <c r="A527" s="1">
        <v>44641</v>
      </c>
      <c r="B527" t="s">
        <v>2626</v>
      </c>
      <c r="C527">
        <v>46</v>
      </c>
      <c r="D527" t="s">
        <v>14</v>
      </c>
      <c r="E527" t="s">
        <v>10</v>
      </c>
      <c r="F527" t="s">
        <v>11</v>
      </c>
      <c r="G527" t="s">
        <v>36</v>
      </c>
      <c r="H527">
        <v>3100.25</v>
      </c>
      <c r="I527" s="8" t="str" cm="1">
        <f t="array" ref="I527">_xlfn.IFS(C527&lt;=15,"Children and Young Adolescents", C527&gt;64, "Seniors", TRUE, "Working Age")</f>
        <v>Working Age</v>
      </c>
      <c r="J527" s="6">
        <f>VLOOKUP(F527,Analysis!$F$1:$G$5,2,FALSE)</f>
        <v>2503.6022787783854</v>
      </c>
      <c r="K527">
        <f t="shared" si="32"/>
        <v>3410.27</v>
      </c>
      <c r="L527">
        <f t="shared" si="33"/>
        <v>3410.28</v>
      </c>
      <c r="M527">
        <f t="shared" si="34"/>
        <v>3410.28</v>
      </c>
      <c r="N527" s="5" t="str">
        <f t="shared" si="35"/>
        <v>March 2022</v>
      </c>
    </row>
    <row r="528" spans="1:14" x14ac:dyDescent="0.25">
      <c r="A528" s="1">
        <v>44641</v>
      </c>
      <c r="B528" t="s">
        <v>5004</v>
      </c>
      <c r="C528">
        <v>39</v>
      </c>
      <c r="D528" t="s">
        <v>14</v>
      </c>
      <c r="E528" t="s">
        <v>10</v>
      </c>
      <c r="F528" t="s">
        <v>23</v>
      </c>
      <c r="G528" t="s">
        <v>12</v>
      </c>
      <c r="H528">
        <v>1451.74</v>
      </c>
      <c r="I528" s="8" t="str" cm="1">
        <f t="array" ref="I528">_xlfn.IFS(C528&lt;=15,"Children and Young Adolescents", C528&gt;64, "Seniors", TRUE, "Working Age")</f>
        <v>Working Age</v>
      </c>
      <c r="J528" s="6">
        <f>VLOOKUP(F528,Analysis!$F$1:$G$5,2,FALSE)</f>
        <v>2440.2966694490838</v>
      </c>
      <c r="K528">
        <f t="shared" si="32"/>
        <v>1596.91</v>
      </c>
      <c r="L528">
        <f t="shared" si="33"/>
        <v>1596.92</v>
      </c>
      <c r="M528">
        <f t="shared" si="34"/>
        <v>1596.91</v>
      </c>
      <c r="N528" s="5" t="str">
        <f t="shared" si="35"/>
        <v>March 2022</v>
      </c>
    </row>
    <row r="529" spans="1:14" x14ac:dyDescent="0.25">
      <c r="A529" s="1">
        <v>44641</v>
      </c>
      <c r="B529" t="s">
        <v>1304</v>
      </c>
      <c r="C529">
        <v>34</v>
      </c>
      <c r="D529" t="s">
        <v>9</v>
      </c>
      <c r="E529" t="s">
        <v>19</v>
      </c>
      <c r="F529" t="s">
        <v>29</v>
      </c>
      <c r="G529" t="s">
        <v>12</v>
      </c>
      <c r="H529">
        <v>2784.02</v>
      </c>
      <c r="I529" s="8" t="str" cm="1">
        <f t="array" ref="I529">_xlfn.IFS(C529&lt;=15,"Children and Young Adolescents", C529&gt;64, "Seniors", TRUE, "Working Age")</f>
        <v>Working Age</v>
      </c>
      <c r="J529" s="6">
        <f>VLOOKUP(F529,Analysis!$F$1:$G$5,2,FALSE)</f>
        <v>2496.7676064256989</v>
      </c>
      <c r="K529">
        <f t="shared" si="32"/>
        <v>3062.42</v>
      </c>
      <c r="L529">
        <f t="shared" si="33"/>
        <v>3062.4300000000003</v>
      </c>
      <c r="M529">
        <f t="shared" si="34"/>
        <v>3062.42</v>
      </c>
      <c r="N529" s="5" t="str">
        <f t="shared" si="35"/>
        <v>March 2022</v>
      </c>
    </row>
    <row r="530" spans="1:14" x14ac:dyDescent="0.25">
      <c r="A530" s="1">
        <v>44641</v>
      </c>
      <c r="B530" t="s">
        <v>4234</v>
      </c>
      <c r="C530">
        <v>0</v>
      </c>
      <c r="D530" t="s">
        <v>14</v>
      </c>
      <c r="E530" t="s">
        <v>25</v>
      </c>
      <c r="F530" t="s">
        <v>16</v>
      </c>
      <c r="G530" t="s">
        <v>12</v>
      </c>
      <c r="H530">
        <v>3136.39</v>
      </c>
      <c r="I530" s="8" t="str" cm="1">
        <f t="array" ref="I530">_xlfn.IFS(C530&lt;=15,"Children and Young Adolescents", C530&gt;64, "Seniors", TRUE, "Working Age")</f>
        <v>Children and Young Adolescents</v>
      </c>
      <c r="J530" s="6">
        <f>VLOOKUP(F530,Analysis!$F$1:$G$5,2,FALSE)</f>
        <v>2509.1716796874912</v>
      </c>
      <c r="K530">
        <f t="shared" si="32"/>
        <v>3450.02</v>
      </c>
      <c r="L530">
        <f t="shared" si="33"/>
        <v>3450.03</v>
      </c>
      <c r="M530">
        <f t="shared" si="34"/>
        <v>3450.03</v>
      </c>
      <c r="N530" s="5" t="str">
        <f t="shared" si="35"/>
        <v>March 2022</v>
      </c>
    </row>
    <row r="531" spans="1:14" x14ac:dyDescent="0.25">
      <c r="A531" s="1">
        <v>44641</v>
      </c>
      <c r="B531" t="s">
        <v>2022</v>
      </c>
      <c r="C531">
        <v>1</v>
      </c>
      <c r="D531" t="s">
        <v>9</v>
      </c>
      <c r="E531" t="s">
        <v>25</v>
      </c>
      <c r="F531" t="s">
        <v>11</v>
      </c>
      <c r="G531" t="s">
        <v>12</v>
      </c>
      <c r="H531">
        <v>1519.46</v>
      </c>
      <c r="I531" s="8" t="str" cm="1">
        <f t="array" ref="I531">_xlfn.IFS(C531&lt;=15,"Children and Young Adolescents", C531&gt;64, "Seniors", TRUE, "Working Age")</f>
        <v>Children and Young Adolescents</v>
      </c>
      <c r="J531" s="6">
        <f>VLOOKUP(F531,Analysis!$F$1:$G$5,2,FALSE)</f>
        <v>2503.6022787783854</v>
      </c>
      <c r="K531">
        <f t="shared" si="32"/>
        <v>1671.4</v>
      </c>
      <c r="L531">
        <f t="shared" si="33"/>
        <v>1671.41</v>
      </c>
      <c r="M531">
        <f t="shared" si="34"/>
        <v>1671.41</v>
      </c>
      <c r="N531" s="5" t="str">
        <f t="shared" si="35"/>
        <v>March 2022</v>
      </c>
    </row>
    <row r="532" spans="1:14" x14ac:dyDescent="0.25">
      <c r="A532" s="1">
        <v>44641</v>
      </c>
      <c r="B532" t="s">
        <v>4891</v>
      </c>
      <c r="C532">
        <v>58</v>
      </c>
      <c r="D532" t="s">
        <v>9</v>
      </c>
      <c r="E532" t="s">
        <v>10</v>
      </c>
      <c r="F532" t="s">
        <v>11</v>
      </c>
      <c r="G532" t="s">
        <v>17</v>
      </c>
      <c r="H532">
        <v>890.37</v>
      </c>
      <c r="I532" s="8" t="str" cm="1">
        <f t="array" ref="I532">_xlfn.IFS(C532&lt;=15,"Children and Young Adolescents", C532&gt;64, "Seniors", TRUE, "Working Age")</f>
        <v>Working Age</v>
      </c>
      <c r="J532" s="6">
        <f>VLOOKUP(F532,Analysis!$F$1:$G$5,2,FALSE)</f>
        <v>2503.6022787783854</v>
      </c>
      <c r="K532">
        <f t="shared" si="32"/>
        <v>979.4</v>
      </c>
      <c r="L532">
        <f t="shared" si="33"/>
        <v>979.41</v>
      </c>
      <c r="M532">
        <f t="shared" si="34"/>
        <v>979.41</v>
      </c>
      <c r="N532" s="5" t="str">
        <f t="shared" si="35"/>
        <v>March 2022</v>
      </c>
    </row>
    <row r="533" spans="1:14" x14ac:dyDescent="0.25">
      <c r="A533" s="1">
        <v>44641</v>
      </c>
      <c r="B533" t="s">
        <v>2199</v>
      </c>
      <c r="C533">
        <v>72</v>
      </c>
      <c r="D533" t="s">
        <v>21</v>
      </c>
      <c r="E533" t="s">
        <v>15</v>
      </c>
      <c r="F533" t="s">
        <v>16</v>
      </c>
      <c r="G533" t="s">
        <v>39</v>
      </c>
      <c r="H533">
        <v>312.37</v>
      </c>
      <c r="I533" s="8" t="str" cm="1">
        <f t="array" ref="I533">_xlfn.IFS(C533&lt;=15,"Children and Young Adolescents", C533&gt;64, "Seniors", TRUE, "Working Age")</f>
        <v>Seniors</v>
      </c>
      <c r="J533" s="6">
        <f>VLOOKUP(F533,Analysis!$F$1:$G$5,2,FALSE)</f>
        <v>2509.1716796874912</v>
      </c>
      <c r="K533">
        <f t="shared" si="32"/>
        <v>343.6</v>
      </c>
      <c r="L533">
        <f t="shared" si="33"/>
        <v>343.61</v>
      </c>
      <c r="M533">
        <f t="shared" si="34"/>
        <v>343.61</v>
      </c>
      <c r="N533" s="5" t="str">
        <f t="shared" si="35"/>
        <v>March 2022</v>
      </c>
    </row>
    <row r="534" spans="1:14" x14ac:dyDescent="0.25">
      <c r="A534" s="1">
        <v>44641</v>
      </c>
      <c r="B534" t="s">
        <v>4552</v>
      </c>
      <c r="C534">
        <v>88</v>
      </c>
      <c r="D534" t="s">
        <v>14</v>
      </c>
      <c r="E534" t="s">
        <v>19</v>
      </c>
      <c r="F534" t="s">
        <v>29</v>
      </c>
      <c r="G534" t="s">
        <v>17</v>
      </c>
      <c r="H534">
        <v>1110.3499999999999</v>
      </c>
      <c r="I534" s="8" t="str" cm="1">
        <f t="array" ref="I534">_xlfn.IFS(C534&lt;=15,"Children and Young Adolescents", C534&gt;64, "Seniors", TRUE, "Working Age")</f>
        <v>Seniors</v>
      </c>
      <c r="J534" s="6">
        <f>VLOOKUP(F534,Analysis!$F$1:$G$5,2,FALSE)</f>
        <v>2496.7676064256989</v>
      </c>
      <c r="K534">
        <f t="shared" si="32"/>
        <v>1221.3800000000001</v>
      </c>
      <c r="L534">
        <f t="shared" si="33"/>
        <v>1221.3900000000001</v>
      </c>
      <c r="M534">
        <f t="shared" si="34"/>
        <v>1221.3900000000001</v>
      </c>
      <c r="N534" s="5" t="str">
        <f t="shared" si="35"/>
        <v>March 2022</v>
      </c>
    </row>
    <row r="535" spans="1:14" x14ac:dyDescent="0.25">
      <c r="A535" s="1">
        <v>44642</v>
      </c>
      <c r="B535" t="s">
        <v>4137</v>
      </c>
      <c r="C535">
        <v>83</v>
      </c>
      <c r="D535" t="s">
        <v>9</v>
      </c>
      <c r="E535" t="s">
        <v>32</v>
      </c>
      <c r="F535" t="s">
        <v>29</v>
      </c>
      <c r="G535" t="s">
        <v>39</v>
      </c>
      <c r="H535">
        <v>3329.75</v>
      </c>
      <c r="I535" s="8" t="str" cm="1">
        <f t="array" ref="I535">_xlfn.IFS(C535&lt;=15,"Children and Young Adolescents", C535&gt;64, "Seniors", TRUE, "Working Age")</f>
        <v>Seniors</v>
      </c>
      <c r="J535" s="6">
        <f>VLOOKUP(F535,Analysis!$F$1:$G$5,2,FALSE)</f>
        <v>2496.7676064256989</v>
      </c>
      <c r="K535">
        <f t="shared" si="32"/>
        <v>3662.72</v>
      </c>
      <c r="L535">
        <f t="shared" si="33"/>
        <v>3662.73</v>
      </c>
      <c r="M535">
        <f t="shared" si="34"/>
        <v>3662.73</v>
      </c>
      <c r="N535" s="5" t="str">
        <f t="shared" si="35"/>
        <v>March 2022</v>
      </c>
    </row>
    <row r="536" spans="1:14" x14ac:dyDescent="0.25">
      <c r="A536" s="1">
        <v>44642</v>
      </c>
      <c r="B536" t="s">
        <v>3542</v>
      </c>
      <c r="C536">
        <v>5</v>
      </c>
      <c r="D536" t="s">
        <v>14</v>
      </c>
      <c r="E536" t="s">
        <v>22</v>
      </c>
      <c r="F536" t="s">
        <v>11</v>
      </c>
      <c r="G536" t="s">
        <v>36</v>
      </c>
      <c r="H536">
        <v>698.93</v>
      </c>
      <c r="I536" s="8" t="str" cm="1">
        <f t="array" ref="I536">_xlfn.IFS(C536&lt;=15,"Children and Young Adolescents", C536&gt;64, "Seniors", TRUE, "Working Age")</f>
        <v>Children and Young Adolescents</v>
      </c>
      <c r="J536" s="6">
        <f>VLOOKUP(F536,Analysis!$F$1:$G$5,2,FALSE)</f>
        <v>2503.6022787783854</v>
      </c>
      <c r="K536">
        <f t="shared" si="32"/>
        <v>768.82</v>
      </c>
      <c r="L536">
        <f t="shared" si="33"/>
        <v>768.83</v>
      </c>
      <c r="M536">
        <f t="shared" si="34"/>
        <v>768.82</v>
      </c>
      <c r="N536" s="5" t="str">
        <f t="shared" si="35"/>
        <v>March 2022</v>
      </c>
    </row>
    <row r="537" spans="1:14" x14ac:dyDescent="0.25">
      <c r="A537" s="1">
        <v>44642</v>
      </c>
      <c r="B537" t="s">
        <v>4744</v>
      </c>
      <c r="C537">
        <v>98</v>
      </c>
      <c r="D537" t="s">
        <v>21</v>
      </c>
      <c r="E537" t="s">
        <v>32</v>
      </c>
      <c r="F537" t="s">
        <v>23</v>
      </c>
      <c r="G537" t="s">
        <v>36</v>
      </c>
      <c r="H537">
        <v>4460.2</v>
      </c>
      <c r="I537" s="8" t="str" cm="1">
        <f t="array" ref="I537">_xlfn.IFS(C537&lt;=15,"Children and Young Adolescents", C537&gt;64, "Seniors", TRUE, "Working Age")</f>
        <v>Seniors</v>
      </c>
      <c r="J537" s="6">
        <f>VLOOKUP(F537,Analysis!$F$1:$G$5,2,FALSE)</f>
        <v>2440.2966694490838</v>
      </c>
      <c r="K537">
        <f t="shared" si="32"/>
        <v>4906.22</v>
      </c>
      <c r="L537">
        <f t="shared" si="33"/>
        <v>4906.22</v>
      </c>
      <c r="M537">
        <f t="shared" si="34"/>
        <v>4906.22</v>
      </c>
      <c r="N537" s="5" t="str">
        <f t="shared" si="35"/>
        <v>March 2022</v>
      </c>
    </row>
    <row r="538" spans="1:14" x14ac:dyDescent="0.25">
      <c r="A538" s="1">
        <v>44642</v>
      </c>
      <c r="B538" t="s">
        <v>238</v>
      </c>
      <c r="C538">
        <v>21</v>
      </c>
      <c r="D538" t="s">
        <v>14</v>
      </c>
      <c r="E538" t="s">
        <v>5032</v>
      </c>
      <c r="F538" t="s">
        <v>16</v>
      </c>
      <c r="G538" t="s">
        <v>17</v>
      </c>
      <c r="H538">
        <v>3714.63</v>
      </c>
      <c r="I538" s="8" t="str" cm="1">
        <f t="array" ref="I538">_xlfn.IFS(C538&lt;=15,"Children and Young Adolescents", C538&gt;64, "Seniors", TRUE, "Working Age")</f>
        <v>Working Age</v>
      </c>
      <c r="J538" s="6">
        <f>VLOOKUP(F538,Analysis!$F$1:$G$5,2,FALSE)</f>
        <v>2509.1716796874912</v>
      </c>
      <c r="K538">
        <f t="shared" si="32"/>
        <v>4086.09</v>
      </c>
      <c r="L538">
        <f t="shared" si="33"/>
        <v>4086.1000000000004</v>
      </c>
      <c r="M538">
        <f t="shared" si="34"/>
        <v>4086.09</v>
      </c>
      <c r="N538" s="5" t="str">
        <f t="shared" si="35"/>
        <v>March 2022</v>
      </c>
    </row>
    <row r="539" spans="1:14" x14ac:dyDescent="0.25">
      <c r="A539" s="1">
        <v>44642</v>
      </c>
      <c r="B539" t="s">
        <v>3248</v>
      </c>
      <c r="C539">
        <v>36</v>
      </c>
      <c r="D539" t="s">
        <v>9</v>
      </c>
      <c r="E539" t="s">
        <v>19</v>
      </c>
      <c r="F539" t="s">
        <v>29</v>
      </c>
      <c r="G539" t="s">
        <v>36</v>
      </c>
      <c r="H539">
        <v>1546.53</v>
      </c>
      <c r="I539" s="8" t="str" cm="1">
        <f t="array" ref="I539">_xlfn.IFS(C539&lt;=15,"Children and Young Adolescents", C539&gt;64, "Seniors", TRUE, "Working Age")</f>
        <v>Working Age</v>
      </c>
      <c r="J539" s="6">
        <f>VLOOKUP(F539,Analysis!$F$1:$G$5,2,FALSE)</f>
        <v>2496.7676064256989</v>
      </c>
      <c r="K539">
        <f t="shared" si="32"/>
        <v>1701.18</v>
      </c>
      <c r="L539">
        <f t="shared" si="33"/>
        <v>1701.19</v>
      </c>
      <c r="M539">
        <f t="shared" si="34"/>
        <v>1701.18</v>
      </c>
      <c r="N539" s="5" t="str">
        <f t="shared" si="35"/>
        <v>March 2022</v>
      </c>
    </row>
    <row r="540" spans="1:14" x14ac:dyDescent="0.25">
      <c r="A540" s="1">
        <v>44642</v>
      </c>
      <c r="B540" t="s">
        <v>3114</v>
      </c>
      <c r="C540">
        <v>74</v>
      </c>
      <c r="D540" t="s">
        <v>21</v>
      </c>
      <c r="E540" t="s">
        <v>25</v>
      </c>
      <c r="F540" t="s">
        <v>23</v>
      </c>
      <c r="G540" t="s">
        <v>12</v>
      </c>
      <c r="H540">
        <v>3905.67</v>
      </c>
      <c r="I540" s="8" t="str" cm="1">
        <f t="array" ref="I540">_xlfn.IFS(C540&lt;=15,"Children and Young Adolescents", C540&gt;64, "Seniors", TRUE, "Working Age")</f>
        <v>Seniors</v>
      </c>
      <c r="J540" s="6">
        <f>VLOOKUP(F540,Analysis!$F$1:$G$5,2,FALSE)</f>
        <v>2440.2966694490838</v>
      </c>
      <c r="K540">
        <f t="shared" si="32"/>
        <v>4296.2299999999996</v>
      </c>
      <c r="L540">
        <f t="shared" si="33"/>
        <v>4296.24</v>
      </c>
      <c r="M540">
        <f t="shared" si="34"/>
        <v>4296.24</v>
      </c>
      <c r="N540" s="5" t="str">
        <f t="shared" si="35"/>
        <v>March 2022</v>
      </c>
    </row>
    <row r="541" spans="1:14" x14ac:dyDescent="0.25">
      <c r="A541" s="1">
        <v>44642</v>
      </c>
      <c r="B541" t="s">
        <v>2729</v>
      </c>
      <c r="C541">
        <v>80</v>
      </c>
      <c r="D541" t="s">
        <v>14</v>
      </c>
      <c r="E541" t="s">
        <v>15</v>
      </c>
      <c r="F541" t="s">
        <v>16</v>
      </c>
      <c r="G541" t="s">
        <v>39</v>
      </c>
      <c r="H541">
        <v>582.70000000000005</v>
      </c>
      <c r="I541" s="8" t="str" cm="1">
        <f t="array" ref="I541">_xlfn.IFS(C541&lt;=15,"Children and Young Adolescents", C541&gt;64, "Seniors", TRUE, "Working Age")</f>
        <v>Seniors</v>
      </c>
      <c r="J541" s="6">
        <f>VLOOKUP(F541,Analysis!$F$1:$G$5,2,FALSE)</f>
        <v>2509.1716796874912</v>
      </c>
      <c r="K541">
        <f t="shared" si="32"/>
        <v>640.97</v>
      </c>
      <c r="L541">
        <f t="shared" si="33"/>
        <v>640.97</v>
      </c>
      <c r="M541">
        <f t="shared" si="34"/>
        <v>640.97</v>
      </c>
      <c r="N541" s="5" t="str">
        <f t="shared" si="35"/>
        <v>March 2022</v>
      </c>
    </row>
    <row r="542" spans="1:14" x14ac:dyDescent="0.25">
      <c r="A542" s="1">
        <v>44642</v>
      </c>
      <c r="B542" t="s">
        <v>152</v>
      </c>
      <c r="C542">
        <v>96</v>
      </c>
      <c r="D542" t="s">
        <v>21</v>
      </c>
      <c r="E542" t="s">
        <v>34</v>
      </c>
      <c r="F542" t="s">
        <v>11</v>
      </c>
      <c r="G542" t="s">
        <v>39</v>
      </c>
      <c r="H542">
        <v>1601.65</v>
      </c>
      <c r="I542" s="8" t="str" cm="1">
        <f t="array" ref="I542">_xlfn.IFS(C542&lt;=15,"Children and Young Adolescents", C542&gt;64, "Seniors", TRUE, "Working Age")</f>
        <v>Seniors</v>
      </c>
      <c r="J542" s="6">
        <f>VLOOKUP(F542,Analysis!$F$1:$G$5,2,FALSE)</f>
        <v>2503.6022787783854</v>
      </c>
      <c r="K542">
        <f t="shared" si="32"/>
        <v>1761.81</v>
      </c>
      <c r="L542">
        <f t="shared" si="33"/>
        <v>1761.82</v>
      </c>
      <c r="M542">
        <f t="shared" si="34"/>
        <v>1761.82</v>
      </c>
      <c r="N542" s="5" t="str">
        <f t="shared" si="35"/>
        <v>March 2022</v>
      </c>
    </row>
    <row r="543" spans="1:14" x14ac:dyDescent="0.25">
      <c r="A543" s="1">
        <v>44642</v>
      </c>
      <c r="B543" t="s">
        <v>3118</v>
      </c>
      <c r="C543">
        <v>13</v>
      </c>
      <c r="D543" t="s">
        <v>14</v>
      </c>
      <c r="E543" t="s">
        <v>19</v>
      </c>
      <c r="F543" t="s">
        <v>23</v>
      </c>
      <c r="G543" t="s">
        <v>36</v>
      </c>
      <c r="H543">
        <v>292.38</v>
      </c>
      <c r="I543" s="8" t="str" cm="1">
        <f t="array" ref="I543">_xlfn.IFS(C543&lt;=15,"Children and Young Adolescents", C543&gt;64, "Seniors", TRUE, "Working Age")</f>
        <v>Children and Young Adolescents</v>
      </c>
      <c r="J543" s="6">
        <f>VLOOKUP(F543,Analysis!$F$1:$G$5,2,FALSE)</f>
        <v>2440.2966694490838</v>
      </c>
      <c r="K543">
        <f t="shared" si="32"/>
        <v>321.61</v>
      </c>
      <c r="L543">
        <f t="shared" si="33"/>
        <v>321.62</v>
      </c>
      <c r="M543">
        <f t="shared" si="34"/>
        <v>321.62</v>
      </c>
      <c r="N543" s="5" t="str">
        <f t="shared" si="35"/>
        <v>March 2022</v>
      </c>
    </row>
    <row r="544" spans="1:14" x14ac:dyDescent="0.25">
      <c r="A544" s="1">
        <v>44643</v>
      </c>
      <c r="B544" t="s">
        <v>2114</v>
      </c>
      <c r="C544">
        <v>71</v>
      </c>
      <c r="D544" t="s">
        <v>9</v>
      </c>
      <c r="E544" t="s">
        <v>22</v>
      </c>
      <c r="F544" t="s">
        <v>29</v>
      </c>
      <c r="G544" t="s">
        <v>17</v>
      </c>
      <c r="H544">
        <v>1205.02</v>
      </c>
      <c r="I544" s="8" t="str" cm="1">
        <f t="array" ref="I544">_xlfn.IFS(C544&lt;=15,"Children and Young Adolescents", C544&gt;64, "Seniors", TRUE, "Working Age")</f>
        <v>Seniors</v>
      </c>
      <c r="J544" s="6">
        <f>VLOOKUP(F544,Analysis!$F$1:$G$5,2,FALSE)</f>
        <v>2496.7676064256989</v>
      </c>
      <c r="K544">
        <f t="shared" si="32"/>
        <v>1325.52</v>
      </c>
      <c r="L544">
        <f t="shared" si="33"/>
        <v>1325.53</v>
      </c>
      <c r="M544">
        <f t="shared" si="34"/>
        <v>1325.52</v>
      </c>
      <c r="N544" s="5" t="str">
        <f t="shared" si="35"/>
        <v>March 2022</v>
      </c>
    </row>
    <row r="545" spans="1:14" x14ac:dyDescent="0.25">
      <c r="A545" s="1">
        <v>44643</v>
      </c>
      <c r="B545" t="s">
        <v>2498</v>
      </c>
      <c r="C545">
        <v>8</v>
      </c>
      <c r="D545" t="s">
        <v>14</v>
      </c>
      <c r="E545" t="s">
        <v>32</v>
      </c>
      <c r="F545" t="s">
        <v>23</v>
      </c>
      <c r="G545" t="s">
        <v>36</v>
      </c>
      <c r="H545">
        <v>4268.42</v>
      </c>
      <c r="I545" s="8" t="str" cm="1">
        <f t="array" ref="I545">_xlfn.IFS(C545&lt;=15,"Children and Young Adolescents", C545&gt;64, "Seniors", TRUE, "Working Age")</f>
        <v>Children and Young Adolescents</v>
      </c>
      <c r="J545" s="6">
        <f>VLOOKUP(F545,Analysis!$F$1:$G$5,2,FALSE)</f>
        <v>2440.2966694490838</v>
      </c>
      <c r="K545">
        <f t="shared" si="32"/>
        <v>4695.26</v>
      </c>
      <c r="L545">
        <f t="shared" si="33"/>
        <v>4695.2700000000004</v>
      </c>
      <c r="M545">
        <f t="shared" si="34"/>
        <v>4695.26</v>
      </c>
      <c r="N545" s="5" t="str">
        <f t="shared" si="35"/>
        <v>March 2022</v>
      </c>
    </row>
    <row r="546" spans="1:14" x14ac:dyDescent="0.25">
      <c r="A546" s="1">
        <v>44643</v>
      </c>
      <c r="B546" t="s">
        <v>4043</v>
      </c>
      <c r="C546">
        <v>29</v>
      </c>
      <c r="D546" t="s">
        <v>21</v>
      </c>
      <c r="E546" t="s">
        <v>5032</v>
      </c>
      <c r="F546" t="s">
        <v>29</v>
      </c>
      <c r="G546" t="s">
        <v>39</v>
      </c>
      <c r="H546">
        <v>3570.36</v>
      </c>
      <c r="I546" s="8" t="str" cm="1">
        <f t="array" ref="I546">_xlfn.IFS(C546&lt;=15,"Children and Young Adolescents", C546&gt;64, "Seniors", TRUE, "Working Age")</f>
        <v>Working Age</v>
      </c>
      <c r="J546" s="6">
        <f>VLOOKUP(F546,Analysis!$F$1:$G$5,2,FALSE)</f>
        <v>2496.7676064256989</v>
      </c>
      <c r="K546">
        <f t="shared" si="32"/>
        <v>3927.39</v>
      </c>
      <c r="L546">
        <f t="shared" si="33"/>
        <v>3927.4</v>
      </c>
      <c r="M546">
        <f t="shared" si="34"/>
        <v>3927.4</v>
      </c>
      <c r="N546" s="5" t="str">
        <f t="shared" si="35"/>
        <v>March 2022</v>
      </c>
    </row>
    <row r="547" spans="1:14" x14ac:dyDescent="0.25">
      <c r="A547" s="1">
        <v>44643</v>
      </c>
      <c r="B547" t="s">
        <v>369</v>
      </c>
      <c r="C547">
        <v>52</v>
      </c>
      <c r="D547" t="s">
        <v>21</v>
      </c>
      <c r="E547" t="s">
        <v>10</v>
      </c>
      <c r="F547" t="s">
        <v>29</v>
      </c>
      <c r="G547" t="s">
        <v>12</v>
      </c>
      <c r="H547">
        <v>732.85</v>
      </c>
      <c r="I547" s="8" t="str" cm="1">
        <f t="array" ref="I547">_xlfn.IFS(C547&lt;=15,"Children and Young Adolescents", C547&gt;64, "Seniors", TRUE, "Working Age")</f>
        <v>Working Age</v>
      </c>
      <c r="J547" s="6">
        <f>VLOOKUP(F547,Analysis!$F$1:$G$5,2,FALSE)</f>
        <v>2496.7676064256989</v>
      </c>
      <c r="K547">
        <f t="shared" si="32"/>
        <v>806.13</v>
      </c>
      <c r="L547">
        <f t="shared" si="33"/>
        <v>806.14</v>
      </c>
      <c r="M547">
        <f t="shared" si="34"/>
        <v>806.14</v>
      </c>
      <c r="N547" s="5" t="str">
        <f t="shared" si="35"/>
        <v>March 2022</v>
      </c>
    </row>
    <row r="548" spans="1:14" x14ac:dyDescent="0.25">
      <c r="A548" s="1">
        <v>44643</v>
      </c>
      <c r="B548" t="s">
        <v>1587</v>
      </c>
      <c r="C548">
        <v>4</v>
      </c>
      <c r="D548" t="s">
        <v>9</v>
      </c>
      <c r="E548" t="s">
        <v>15</v>
      </c>
      <c r="F548" t="s">
        <v>23</v>
      </c>
      <c r="G548" t="s">
        <v>36</v>
      </c>
      <c r="H548">
        <v>1520.8</v>
      </c>
      <c r="I548" s="8" t="str" cm="1">
        <f t="array" ref="I548">_xlfn.IFS(C548&lt;=15,"Children and Young Adolescents", C548&gt;64, "Seniors", TRUE, "Working Age")</f>
        <v>Children and Young Adolescents</v>
      </c>
      <c r="J548" s="6">
        <f>VLOOKUP(F548,Analysis!$F$1:$G$5,2,FALSE)</f>
        <v>2440.2966694490838</v>
      </c>
      <c r="K548">
        <f t="shared" si="32"/>
        <v>1672.88</v>
      </c>
      <c r="L548">
        <f t="shared" si="33"/>
        <v>1672.88</v>
      </c>
      <c r="M548">
        <f t="shared" si="34"/>
        <v>1672.88</v>
      </c>
      <c r="N548" s="5" t="str">
        <f t="shared" si="35"/>
        <v>March 2022</v>
      </c>
    </row>
    <row r="549" spans="1:14" x14ac:dyDescent="0.25">
      <c r="A549" s="1">
        <v>44643</v>
      </c>
      <c r="B549" t="s">
        <v>1677</v>
      </c>
      <c r="C549">
        <v>11</v>
      </c>
      <c r="D549" t="s">
        <v>21</v>
      </c>
      <c r="E549" t="s">
        <v>10</v>
      </c>
      <c r="F549" t="s">
        <v>11</v>
      </c>
      <c r="G549" t="s">
        <v>17</v>
      </c>
      <c r="H549">
        <v>1015.47</v>
      </c>
      <c r="I549" s="8" t="str" cm="1">
        <f t="array" ref="I549">_xlfn.IFS(C549&lt;=15,"Children and Young Adolescents", C549&gt;64, "Seniors", TRUE, "Working Age")</f>
        <v>Children and Young Adolescents</v>
      </c>
      <c r="J549" s="6">
        <f>VLOOKUP(F549,Analysis!$F$1:$G$5,2,FALSE)</f>
        <v>2503.6022787783854</v>
      </c>
      <c r="K549">
        <f t="shared" si="32"/>
        <v>1117.01</v>
      </c>
      <c r="L549">
        <f t="shared" si="33"/>
        <v>1117.02</v>
      </c>
      <c r="M549">
        <f t="shared" si="34"/>
        <v>1117.02</v>
      </c>
      <c r="N549" s="5" t="str">
        <f t="shared" si="35"/>
        <v>March 2022</v>
      </c>
    </row>
    <row r="550" spans="1:14" x14ac:dyDescent="0.25">
      <c r="A550" s="1">
        <v>44644</v>
      </c>
      <c r="B550" t="s">
        <v>427</v>
      </c>
      <c r="C550">
        <v>29</v>
      </c>
      <c r="D550" t="s">
        <v>9</v>
      </c>
      <c r="E550" t="s">
        <v>22</v>
      </c>
      <c r="F550" t="s">
        <v>16</v>
      </c>
      <c r="G550" t="s">
        <v>12</v>
      </c>
      <c r="H550">
        <v>2160.39</v>
      </c>
      <c r="I550" s="8" t="str" cm="1">
        <f t="array" ref="I550">_xlfn.IFS(C550&lt;=15,"Children and Young Adolescents", C550&gt;64, "Seniors", TRUE, "Working Age")</f>
        <v>Working Age</v>
      </c>
      <c r="J550" s="6">
        <f>VLOOKUP(F550,Analysis!$F$1:$G$5,2,FALSE)</f>
        <v>2509.1716796874912</v>
      </c>
      <c r="K550">
        <f t="shared" si="32"/>
        <v>2376.42</v>
      </c>
      <c r="L550">
        <f t="shared" si="33"/>
        <v>2376.4300000000003</v>
      </c>
      <c r="M550">
        <f t="shared" si="34"/>
        <v>2376.4299999999998</v>
      </c>
      <c r="N550" s="5" t="str">
        <f t="shared" si="35"/>
        <v>March 2022</v>
      </c>
    </row>
    <row r="551" spans="1:14" x14ac:dyDescent="0.25">
      <c r="A551" s="1">
        <v>44644</v>
      </c>
      <c r="B551" t="s">
        <v>2289</v>
      </c>
      <c r="C551">
        <v>5</v>
      </c>
      <c r="D551" t="s">
        <v>14</v>
      </c>
      <c r="E551" t="s">
        <v>34</v>
      </c>
      <c r="F551" t="s">
        <v>29</v>
      </c>
      <c r="G551" t="s">
        <v>39</v>
      </c>
      <c r="H551">
        <v>2262.5700000000002</v>
      </c>
      <c r="I551" s="8" t="str" cm="1">
        <f t="array" ref="I551">_xlfn.IFS(C551&lt;=15,"Children and Young Adolescents", C551&gt;64, "Seniors", TRUE, "Working Age")</f>
        <v>Children and Young Adolescents</v>
      </c>
      <c r="J551" s="6">
        <f>VLOOKUP(F551,Analysis!$F$1:$G$5,2,FALSE)</f>
        <v>2496.7676064256989</v>
      </c>
      <c r="K551">
        <f t="shared" si="32"/>
        <v>2488.8200000000002</v>
      </c>
      <c r="L551">
        <f t="shared" si="33"/>
        <v>2488.8300000000004</v>
      </c>
      <c r="M551">
        <f t="shared" si="34"/>
        <v>2488.83</v>
      </c>
      <c r="N551" s="5" t="str">
        <f t="shared" si="35"/>
        <v>March 2022</v>
      </c>
    </row>
    <row r="552" spans="1:14" x14ac:dyDescent="0.25">
      <c r="A552" s="1">
        <v>44644</v>
      </c>
      <c r="B552" t="s">
        <v>140</v>
      </c>
      <c r="C552">
        <v>35</v>
      </c>
      <c r="D552" t="s">
        <v>14</v>
      </c>
      <c r="E552" t="s">
        <v>19</v>
      </c>
      <c r="F552" t="s">
        <v>23</v>
      </c>
      <c r="G552" t="s">
        <v>17</v>
      </c>
      <c r="H552">
        <v>4977.8999999999996</v>
      </c>
      <c r="I552" s="8" t="str" cm="1">
        <f t="array" ref="I552">_xlfn.IFS(C552&lt;=15,"Children and Young Adolescents", C552&gt;64, "Seniors", TRUE, "Working Age")</f>
        <v>Working Age</v>
      </c>
      <c r="J552" s="6">
        <f>VLOOKUP(F552,Analysis!$F$1:$G$5,2,FALSE)</f>
        <v>2440.2966694490838</v>
      </c>
      <c r="K552">
        <f t="shared" si="32"/>
        <v>5475.69</v>
      </c>
      <c r="L552">
        <f t="shared" si="33"/>
        <v>5475.69</v>
      </c>
      <c r="M552">
        <f t="shared" si="34"/>
        <v>5475.69</v>
      </c>
      <c r="N552" s="5" t="str">
        <f t="shared" si="35"/>
        <v>March 2022</v>
      </c>
    </row>
    <row r="553" spans="1:14" x14ac:dyDescent="0.25">
      <c r="A553" s="1">
        <v>44644</v>
      </c>
      <c r="B553" t="s">
        <v>2462</v>
      </c>
      <c r="C553">
        <v>57</v>
      </c>
      <c r="D553" t="s">
        <v>9</v>
      </c>
      <c r="E553" t="s">
        <v>19</v>
      </c>
      <c r="F553" t="s">
        <v>16</v>
      </c>
      <c r="G553" t="s">
        <v>12</v>
      </c>
      <c r="H553">
        <v>2519.0100000000002</v>
      </c>
      <c r="I553" s="8" t="str" cm="1">
        <f t="array" ref="I553">_xlfn.IFS(C553&lt;=15,"Children and Young Adolescents", C553&gt;64, "Seniors", TRUE, "Working Age")</f>
        <v>Working Age</v>
      </c>
      <c r="J553" s="6">
        <f>VLOOKUP(F553,Analysis!$F$1:$G$5,2,FALSE)</f>
        <v>2509.1716796874912</v>
      </c>
      <c r="K553">
        <f t="shared" si="32"/>
        <v>2770.91</v>
      </c>
      <c r="L553">
        <f t="shared" si="33"/>
        <v>2770.92</v>
      </c>
      <c r="M553">
        <f t="shared" si="34"/>
        <v>2770.91</v>
      </c>
      <c r="N553" s="5" t="str">
        <f t="shared" si="35"/>
        <v>March 2022</v>
      </c>
    </row>
    <row r="554" spans="1:14" x14ac:dyDescent="0.25">
      <c r="A554" s="1">
        <v>44645</v>
      </c>
      <c r="B554" t="s">
        <v>1134</v>
      </c>
      <c r="C554">
        <v>20</v>
      </c>
      <c r="D554" t="s">
        <v>14</v>
      </c>
      <c r="E554" t="s">
        <v>34</v>
      </c>
      <c r="F554" t="s">
        <v>11</v>
      </c>
      <c r="G554" t="s">
        <v>39</v>
      </c>
      <c r="H554">
        <v>289.44</v>
      </c>
      <c r="I554" s="8" t="str" cm="1">
        <f t="array" ref="I554">_xlfn.IFS(C554&lt;=15,"Children and Young Adolescents", C554&gt;64, "Seniors", TRUE, "Working Age")</f>
        <v>Working Age</v>
      </c>
      <c r="J554" s="6">
        <f>VLOOKUP(F554,Analysis!$F$1:$G$5,2,FALSE)</f>
        <v>2503.6022787783854</v>
      </c>
      <c r="K554">
        <f t="shared" si="32"/>
        <v>318.38</v>
      </c>
      <c r="L554">
        <f t="shared" si="33"/>
        <v>318.39</v>
      </c>
      <c r="M554">
        <f t="shared" si="34"/>
        <v>318.38</v>
      </c>
      <c r="N554" s="5" t="str">
        <f t="shared" si="35"/>
        <v>March 2022</v>
      </c>
    </row>
    <row r="555" spans="1:14" x14ac:dyDescent="0.25">
      <c r="A555" s="1">
        <v>44645</v>
      </c>
      <c r="B555" t="s">
        <v>2396</v>
      </c>
      <c r="C555">
        <v>83</v>
      </c>
      <c r="D555" t="s">
        <v>9</v>
      </c>
      <c r="E555" t="s">
        <v>22</v>
      </c>
      <c r="F555" t="s">
        <v>16</v>
      </c>
      <c r="G555" t="s">
        <v>39</v>
      </c>
      <c r="H555">
        <v>4956.9799999999996</v>
      </c>
      <c r="I555" s="8" t="str" cm="1">
        <f t="array" ref="I555">_xlfn.IFS(C555&lt;=15,"Children and Young Adolescents", C555&gt;64, "Seniors", TRUE, "Working Age")</f>
        <v>Seniors</v>
      </c>
      <c r="J555" s="6">
        <f>VLOOKUP(F555,Analysis!$F$1:$G$5,2,FALSE)</f>
        <v>2509.1716796874912</v>
      </c>
      <c r="K555">
        <f t="shared" si="32"/>
        <v>5452.67</v>
      </c>
      <c r="L555">
        <f t="shared" si="33"/>
        <v>5452.68</v>
      </c>
      <c r="M555">
        <f t="shared" si="34"/>
        <v>5452.68</v>
      </c>
      <c r="N555" s="5" t="str">
        <f t="shared" si="35"/>
        <v>March 2022</v>
      </c>
    </row>
    <row r="556" spans="1:14" x14ac:dyDescent="0.25">
      <c r="A556" s="1">
        <v>44645</v>
      </c>
      <c r="B556" t="s">
        <v>2241</v>
      </c>
      <c r="C556">
        <v>93</v>
      </c>
      <c r="D556" t="s">
        <v>14</v>
      </c>
      <c r="E556" t="s">
        <v>22</v>
      </c>
      <c r="F556" t="s">
        <v>29</v>
      </c>
      <c r="G556" t="s">
        <v>17</v>
      </c>
      <c r="H556">
        <v>4175.42</v>
      </c>
      <c r="I556" s="8" t="str" cm="1">
        <f t="array" ref="I556">_xlfn.IFS(C556&lt;=15,"Children and Young Adolescents", C556&gt;64, "Seniors", TRUE, "Working Age")</f>
        <v>Seniors</v>
      </c>
      <c r="J556" s="6">
        <f>VLOOKUP(F556,Analysis!$F$1:$G$5,2,FALSE)</f>
        <v>2496.7676064256989</v>
      </c>
      <c r="K556">
        <f t="shared" si="32"/>
        <v>4592.96</v>
      </c>
      <c r="L556">
        <f t="shared" si="33"/>
        <v>4592.97</v>
      </c>
      <c r="M556">
        <f t="shared" si="34"/>
        <v>4592.96</v>
      </c>
      <c r="N556" s="5" t="str">
        <f t="shared" si="35"/>
        <v>March 2022</v>
      </c>
    </row>
    <row r="557" spans="1:14" x14ac:dyDescent="0.25">
      <c r="A557" s="1">
        <v>44645</v>
      </c>
      <c r="B557" t="s">
        <v>977</v>
      </c>
      <c r="C557">
        <v>59</v>
      </c>
      <c r="D557" t="s">
        <v>21</v>
      </c>
      <c r="E557" t="s">
        <v>32</v>
      </c>
      <c r="F557" t="s">
        <v>29</v>
      </c>
      <c r="G557" t="s">
        <v>39</v>
      </c>
      <c r="H557">
        <v>779.36</v>
      </c>
      <c r="I557" s="8" t="str" cm="1">
        <f t="array" ref="I557">_xlfn.IFS(C557&lt;=15,"Children and Young Adolescents", C557&gt;64, "Seniors", TRUE, "Working Age")</f>
        <v>Working Age</v>
      </c>
      <c r="J557" s="6">
        <f>VLOOKUP(F557,Analysis!$F$1:$G$5,2,FALSE)</f>
        <v>2496.7676064256989</v>
      </c>
      <c r="K557">
        <f t="shared" si="32"/>
        <v>857.29</v>
      </c>
      <c r="L557">
        <f t="shared" si="33"/>
        <v>857.3</v>
      </c>
      <c r="M557">
        <f t="shared" si="34"/>
        <v>857.3</v>
      </c>
      <c r="N557" s="5" t="str">
        <f t="shared" si="35"/>
        <v>March 2022</v>
      </c>
    </row>
    <row r="558" spans="1:14" x14ac:dyDescent="0.25">
      <c r="A558" s="1">
        <v>44645</v>
      </c>
      <c r="B558" t="s">
        <v>119</v>
      </c>
      <c r="C558">
        <v>15</v>
      </c>
      <c r="D558" t="s">
        <v>9</v>
      </c>
      <c r="E558" t="s">
        <v>19</v>
      </c>
      <c r="F558" t="s">
        <v>23</v>
      </c>
      <c r="G558" t="s">
        <v>17</v>
      </c>
      <c r="H558">
        <v>1995</v>
      </c>
      <c r="I558" s="8" t="str" cm="1">
        <f t="array" ref="I558">_xlfn.IFS(C558&lt;=15,"Children and Young Adolescents", C558&gt;64, "Seniors", TRUE, "Working Age")</f>
        <v>Children and Young Adolescents</v>
      </c>
      <c r="J558" s="6">
        <f>VLOOKUP(F558,Analysis!$F$1:$G$5,2,FALSE)</f>
        <v>2440.2966694490838</v>
      </c>
      <c r="K558">
        <f t="shared" si="32"/>
        <v>2194.5</v>
      </c>
      <c r="L558">
        <f t="shared" si="33"/>
        <v>2194.5</v>
      </c>
      <c r="M558">
        <f t="shared" si="34"/>
        <v>2194.5</v>
      </c>
      <c r="N558" s="5" t="str">
        <f t="shared" si="35"/>
        <v>March 2022</v>
      </c>
    </row>
    <row r="559" spans="1:14" x14ac:dyDescent="0.25">
      <c r="A559" s="1">
        <v>44645</v>
      </c>
      <c r="B559" t="s">
        <v>4537</v>
      </c>
      <c r="C559">
        <v>96</v>
      </c>
      <c r="D559" t="s">
        <v>9</v>
      </c>
      <c r="E559" t="s">
        <v>22</v>
      </c>
      <c r="F559" t="s">
        <v>16</v>
      </c>
      <c r="G559" t="s">
        <v>36</v>
      </c>
      <c r="H559">
        <v>3190.62</v>
      </c>
      <c r="I559" s="8" t="str" cm="1">
        <f t="array" ref="I559">_xlfn.IFS(C559&lt;=15,"Children and Young Adolescents", C559&gt;64, "Seniors", TRUE, "Working Age")</f>
        <v>Seniors</v>
      </c>
      <c r="J559" s="6">
        <f>VLOOKUP(F559,Analysis!$F$1:$G$5,2,FALSE)</f>
        <v>2509.1716796874912</v>
      </c>
      <c r="K559">
        <f t="shared" si="32"/>
        <v>3509.68</v>
      </c>
      <c r="L559">
        <f t="shared" si="33"/>
        <v>3509.69</v>
      </c>
      <c r="M559">
        <f t="shared" si="34"/>
        <v>3509.68</v>
      </c>
      <c r="N559" s="5" t="str">
        <f t="shared" si="35"/>
        <v>March 2022</v>
      </c>
    </row>
    <row r="560" spans="1:14" x14ac:dyDescent="0.25">
      <c r="A560" s="1">
        <v>44645</v>
      </c>
      <c r="B560" t="s">
        <v>462</v>
      </c>
      <c r="C560">
        <v>29</v>
      </c>
      <c r="D560" t="s">
        <v>21</v>
      </c>
      <c r="E560" t="s">
        <v>34</v>
      </c>
      <c r="F560" t="s">
        <v>16</v>
      </c>
      <c r="G560" t="s">
        <v>36</v>
      </c>
      <c r="H560">
        <v>2112.5</v>
      </c>
      <c r="I560" s="8" t="str" cm="1">
        <f t="array" ref="I560">_xlfn.IFS(C560&lt;=15,"Children and Young Adolescents", C560&gt;64, "Seniors", TRUE, "Working Age")</f>
        <v>Working Age</v>
      </c>
      <c r="J560" s="6">
        <f>VLOOKUP(F560,Analysis!$F$1:$G$5,2,FALSE)</f>
        <v>2509.1716796874912</v>
      </c>
      <c r="K560">
        <f t="shared" si="32"/>
        <v>2323.75</v>
      </c>
      <c r="L560">
        <f t="shared" si="33"/>
        <v>2323.75</v>
      </c>
      <c r="M560">
        <f t="shared" si="34"/>
        <v>2323.75</v>
      </c>
      <c r="N560" s="5" t="str">
        <f t="shared" si="35"/>
        <v>March 2022</v>
      </c>
    </row>
    <row r="561" spans="1:14" x14ac:dyDescent="0.25">
      <c r="A561" s="1">
        <v>44646</v>
      </c>
      <c r="B561" t="s">
        <v>1007</v>
      </c>
      <c r="C561">
        <v>40</v>
      </c>
      <c r="D561" t="s">
        <v>21</v>
      </c>
      <c r="E561" t="s">
        <v>15</v>
      </c>
      <c r="F561" t="s">
        <v>23</v>
      </c>
      <c r="G561" t="s">
        <v>27</v>
      </c>
      <c r="H561">
        <v>4556.17</v>
      </c>
      <c r="I561" s="8" t="str" cm="1">
        <f t="array" ref="I561">_xlfn.IFS(C561&lt;=15,"Children and Young Adolescents", C561&gt;64, "Seniors", TRUE, "Working Age")</f>
        <v>Working Age</v>
      </c>
      <c r="J561" s="6">
        <f>VLOOKUP(F561,Analysis!$F$1:$G$5,2,FALSE)</f>
        <v>2440.2966694490838</v>
      </c>
      <c r="K561">
        <f t="shared" si="32"/>
        <v>5011.78</v>
      </c>
      <c r="L561">
        <f t="shared" si="33"/>
        <v>5011.79</v>
      </c>
      <c r="M561">
        <f t="shared" si="34"/>
        <v>5011.79</v>
      </c>
      <c r="N561" s="5" t="str">
        <f t="shared" si="35"/>
        <v>March 2022</v>
      </c>
    </row>
    <row r="562" spans="1:14" x14ac:dyDescent="0.25">
      <c r="A562" s="1">
        <v>44646</v>
      </c>
      <c r="B562" t="s">
        <v>3815</v>
      </c>
      <c r="C562">
        <v>12</v>
      </c>
      <c r="D562" t="s">
        <v>9</v>
      </c>
      <c r="E562" t="s">
        <v>10</v>
      </c>
      <c r="F562" t="s">
        <v>11</v>
      </c>
      <c r="G562" t="s">
        <v>27</v>
      </c>
      <c r="H562">
        <v>4025.06</v>
      </c>
      <c r="I562" s="8" t="str" cm="1">
        <f t="array" ref="I562">_xlfn.IFS(C562&lt;=15,"Children and Young Adolescents", C562&gt;64, "Seniors", TRUE, "Working Age")</f>
        <v>Children and Young Adolescents</v>
      </c>
      <c r="J562" s="6">
        <f>VLOOKUP(F562,Analysis!$F$1:$G$5,2,FALSE)</f>
        <v>2503.6022787783854</v>
      </c>
      <c r="K562">
        <f t="shared" si="32"/>
        <v>4427.5600000000004</v>
      </c>
      <c r="L562">
        <f t="shared" si="33"/>
        <v>4427.5700000000006</v>
      </c>
      <c r="M562">
        <f t="shared" si="34"/>
        <v>4427.57</v>
      </c>
      <c r="N562" s="5" t="str">
        <f t="shared" si="35"/>
        <v>March 2022</v>
      </c>
    </row>
    <row r="563" spans="1:14" x14ac:dyDescent="0.25">
      <c r="A563" s="1">
        <v>44646</v>
      </c>
      <c r="B563" t="s">
        <v>1105</v>
      </c>
      <c r="C563">
        <v>23</v>
      </c>
      <c r="D563" t="s">
        <v>9</v>
      </c>
      <c r="E563" t="s">
        <v>19</v>
      </c>
      <c r="F563" t="s">
        <v>11</v>
      </c>
      <c r="G563" t="s">
        <v>39</v>
      </c>
      <c r="H563">
        <v>2193.92</v>
      </c>
      <c r="I563" s="8" t="str" cm="1">
        <f t="array" ref="I563">_xlfn.IFS(C563&lt;=15,"Children and Young Adolescents", C563&gt;64, "Seniors", TRUE, "Working Age")</f>
        <v>Working Age</v>
      </c>
      <c r="J563" s="6">
        <f>VLOOKUP(F563,Analysis!$F$1:$G$5,2,FALSE)</f>
        <v>2503.6022787783854</v>
      </c>
      <c r="K563">
        <f t="shared" si="32"/>
        <v>2413.31</v>
      </c>
      <c r="L563">
        <f t="shared" si="33"/>
        <v>2413.3200000000002</v>
      </c>
      <c r="M563">
        <f t="shared" si="34"/>
        <v>2413.31</v>
      </c>
      <c r="N563" s="5" t="str">
        <f t="shared" si="35"/>
        <v>March 2022</v>
      </c>
    </row>
    <row r="564" spans="1:14" x14ac:dyDescent="0.25">
      <c r="A564" s="1">
        <v>44646</v>
      </c>
      <c r="B564" t="s">
        <v>4764</v>
      </c>
      <c r="C564">
        <v>93</v>
      </c>
      <c r="D564" t="s">
        <v>21</v>
      </c>
      <c r="E564" t="s">
        <v>5032</v>
      </c>
      <c r="F564" t="s">
        <v>16</v>
      </c>
      <c r="G564" t="s">
        <v>36</v>
      </c>
      <c r="H564">
        <v>589.6</v>
      </c>
      <c r="I564" s="8" t="str" cm="1">
        <f t="array" ref="I564">_xlfn.IFS(C564&lt;=15,"Children and Young Adolescents", C564&gt;64, "Seniors", TRUE, "Working Age")</f>
        <v>Seniors</v>
      </c>
      <c r="J564" s="6">
        <f>VLOOKUP(F564,Analysis!$F$1:$G$5,2,FALSE)</f>
        <v>2509.1716796874912</v>
      </c>
      <c r="K564">
        <f t="shared" si="32"/>
        <v>648.55999999999995</v>
      </c>
      <c r="L564">
        <f t="shared" si="33"/>
        <v>648.55999999999995</v>
      </c>
      <c r="M564">
        <f t="shared" si="34"/>
        <v>648.55999999999995</v>
      </c>
      <c r="N564" s="5" t="str">
        <f t="shared" si="35"/>
        <v>March 2022</v>
      </c>
    </row>
    <row r="565" spans="1:14" x14ac:dyDescent="0.25">
      <c r="A565" s="1">
        <v>44646</v>
      </c>
      <c r="B565" t="s">
        <v>3732</v>
      </c>
      <c r="C565">
        <v>67</v>
      </c>
      <c r="D565" t="s">
        <v>14</v>
      </c>
      <c r="E565" t="s">
        <v>22</v>
      </c>
      <c r="F565" t="s">
        <v>11</v>
      </c>
      <c r="G565" t="s">
        <v>39</v>
      </c>
      <c r="H565">
        <v>2256.77</v>
      </c>
      <c r="I565" s="8" t="str" cm="1">
        <f t="array" ref="I565">_xlfn.IFS(C565&lt;=15,"Children and Young Adolescents", C565&gt;64, "Seniors", TRUE, "Working Age")</f>
        <v>Seniors</v>
      </c>
      <c r="J565" s="6">
        <f>VLOOKUP(F565,Analysis!$F$1:$G$5,2,FALSE)</f>
        <v>2503.6022787783854</v>
      </c>
      <c r="K565">
        <f t="shared" si="32"/>
        <v>2482.44</v>
      </c>
      <c r="L565">
        <f t="shared" si="33"/>
        <v>2482.4500000000003</v>
      </c>
      <c r="M565">
        <f t="shared" si="34"/>
        <v>2482.4499999999998</v>
      </c>
      <c r="N565" s="5" t="str">
        <f t="shared" si="35"/>
        <v>March 2022</v>
      </c>
    </row>
    <row r="566" spans="1:14" x14ac:dyDescent="0.25">
      <c r="A566" s="1">
        <v>44646</v>
      </c>
      <c r="B566" t="s">
        <v>811</v>
      </c>
      <c r="C566">
        <v>30</v>
      </c>
      <c r="D566" t="s">
        <v>21</v>
      </c>
      <c r="E566" t="s">
        <v>10</v>
      </c>
      <c r="F566" t="s">
        <v>11</v>
      </c>
      <c r="G566" t="s">
        <v>12</v>
      </c>
      <c r="H566">
        <v>4237.68</v>
      </c>
      <c r="I566" s="8" t="str" cm="1">
        <f t="array" ref="I566">_xlfn.IFS(C566&lt;=15,"Children and Young Adolescents", C566&gt;64, "Seniors", TRUE, "Working Age")</f>
        <v>Working Age</v>
      </c>
      <c r="J566" s="6">
        <f>VLOOKUP(F566,Analysis!$F$1:$G$5,2,FALSE)</f>
        <v>2503.6022787783854</v>
      </c>
      <c r="K566">
        <f t="shared" si="32"/>
        <v>4661.4399999999996</v>
      </c>
      <c r="L566">
        <f t="shared" si="33"/>
        <v>4661.45</v>
      </c>
      <c r="M566">
        <f t="shared" si="34"/>
        <v>4661.45</v>
      </c>
      <c r="N566" s="5" t="str">
        <f t="shared" si="35"/>
        <v>March 2022</v>
      </c>
    </row>
    <row r="567" spans="1:14" x14ac:dyDescent="0.25">
      <c r="A567" s="1">
        <v>44646</v>
      </c>
      <c r="B567" t="s">
        <v>3333</v>
      </c>
      <c r="C567">
        <v>22</v>
      </c>
      <c r="D567" t="s">
        <v>9</v>
      </c>
      <c r="E567" t="s">
        <v>34</v>
      </c>
      <c r="F567" t="s">
        <v>29</v>
      </c>
      <c r="G567" t="s">
        <v>12</v>
      </c>
      <c r="H567">
        <v>2046.45</v>
      </c>
      <c r="I567" s="8" t="str" cm="1">
        <f t="array" ref="I567">_xlfn.IFS(C567&lt;=15,"Children and Young Adolescents", C567&gt;64, "Seniors", TRUE, "Working Age")</f>
        <v>Working Age</v>
      </c>
      <c r="J567" s="6">
        <f>VLOOKUP(F567,Analysis!$F$1:$G$5,2,FALSE)</f>
        <v>2496.7676064256989</v>
      </c>
      <c r="K567">
        <f t="shared" si="32"/>
        <v>2251.09</v>
      </c>
      <c r="L567">
        <f t="shared" si="33"/>
        <v>2251.1000000000004</v>
      </c>
      <c r="M567">
        <f t="shared" si="34"/>
        <v>2251.1</v>
      </c>
      <c r="N567" s="5" t="str">
        <f t="shared" si="35"/>
        <v>March 2022</v>
      </c>
    </row>
    <row r="568" spans="1:14" x14ac:dyDescent="0.25">
      <c r="A568" s="1">
        <v>44646</v>
      </c>
      <c r="B568" t="s">
        <v>260</v>
      </c>
      <c r="C568">
        <v>29</v>
      </c>
      <c r="D568" t="s">
        <v>14</v>
      </c>
      <c r="E568" t="s">
        <v>34</v>
      </c>
      <c r="F568" t="s">
        <v>16</v>
      </c>
      <c r="G568" t="s">
        <v>39</v>
      </c>
      <c r="H568">
        <v>1030.0899999999999</v>
      </c>
      <c r="I568" s="8" t="str" cm="1">
        <f t="array" ref="I568">_xlfn.IFS(C568&lt;=15,"Children and Young Adolescents", C568&gt;64, "Seniors", TRUE, "Working Age")</f>
        <v>Working Age</v>
      </c>
      <c r="J568" s="6">
        <f>VLOOKUP(F568,Analysis!$F$1:$G$5,2,FALSE)</f>
        <v>2509.1716796874912</v>
      </c>
      <c r="K568">
        <f t="shared" si="32"/>
        <v>1133.0899999999999</v>
      </c>
      <c r="L568">
        <f t="shared" si="33"/>
        <v>1133.0999999999999</v>
      </c>
      <c r="M568">
        <f t="shared" si="34"/>
        <v>1133.0999999999999</v>
      </c>
      <c r="N568" s="5" t="str">
        <f t="shared" si="35"/>
        <v>March 2022</v>
      </c>
    </row>
    <row r="569" spans="1:14" x14ac:dyDescent="0.25">
      <c r="A569" s="1">
        <v>44646</v>
      </c>
      <c r="B569" t="s">
        <v>2603</v>
      </c>
      <c r="C569">
        <v>44</v>
      </c>
      <c r="D569" t="s">
        <v>14</v>
      </c>
      <c r="E569" t="s">
        <v>25</v>
      </c>
      <c r="F569" t="s">
        <v>16</v>
      </c>
      <c r="G569" t="s">
        <v>39</v>
      </c>
      <c r="H569">
        <v>2844.06</v>
      </c>
      <c r="I569" s="8" t="str" cm="1">
        <f t="array" ref="I569">_xlfn.IFS(C569&lt;=15,"Children and Young Adolescents", C569&gt;64, "Seniors", TRUE, "Working Age")</f>
        <v>Working Age</v>
      </c>
      <c r="J569" s="6">
        <f>VLOOKUP(F569,Analysis!$F$1:$G$5,2,FALSE)</f>
        <v>2509.1716796874912</v>
      </c>
      <c r="K569">
        <f t="shared" si="32"/>
        <v>3128.46</v>
      </c>
      <c r="L569">
        <f t="shared" si="33"/>
        <v>3128.4700000000003</v>
      </c>
      <c r="M569">
        <f t="shared" si="34"/>
        <v>3128.47</v>
      </c>
      <c r="N569" s="5" t="str">
        <f t="shared" si="35"/>
        <v>March 2022</v>
      </c>
    </row>
    <row r="570" spans="1:14" x14ac:dyDescent="0.25">
      <c r="A570" s="1">
        <v>44646</v>
      </c>
      <c r="B570" t="s">
        <v>44</v>
      </c>
      <c r="C570">
        <v>25</v>
      </c>
      <c r="D570" t="s">
        <v>14</v>
      </c>
      <c r="E570" t="s">
        <v>32</v>
      </c>
      <c r="F570" t="s">
        <v>29</v>
      </c>
      <c r="G570" t="s">
        <v>17</v>
      </c>
      <c r="H570">
        <v>3218.47</v>
      </c>
      <c r="I570" s="8" t="str" cm="1">
        <f t="array" ref="I570">_xlfn.IFS(C570&lt;=15,"Children and Young Adolescents", C570&gt;64, "Seniors", TRUE, "Working Age")</f>
        <v>Working Age</v>
      </c>
      <c r="J570" s="6">
        <f>VLOOKUP(F570,Analysis!$F$1:$G$5,2,FALSE)</f>
        <v>2496.7676064256989</v>
      </c>
      <c r="K570">
        <f t="shared" si="32"/>
        <v>3540.31</v>
      </c>
      <c r="L570">
        <f t="shared" si="33"/>
        <v>3540.32</v>
      </c>
      <c r="M570">
        <f t="shared" si="34"/>
        <v>3540.32</v>
      </c>
      <c r="N570" s="5" t="str">
        <f t="shared" si="35"/>
        <v>March 2022</v>
      </c>
    </row>
    <row r="571" spans="1:14" x14ac:dyDescent="0.25">
      <c r="A571" s="1">
        <v>44647</v>
      </c>
      <c r="B571" t="s">
        <v>2757</v>
      </c>
      <c r="C571">
        <v>21</v>
      </c>
      <c r="D571" t="s">
        <v>21</v>
      </c>
      <c r="E571" t="s">
        <v>10</v>
      </c>
      <c r="F571" t="s">
        <v>16</v>
      </c>
      <c r="G571" t="s">
        <v>12</v>
      </c>
      <c r="H571">
        <v>2879.91</v>
      </c>
      <c r="I571" s="8" t="str" cm="1">
        <f t="array" ref="I571">_xlfn.IFS(C571&lt;=15,"Children and Young Adolescents", C571&gt;64, "Seniors", TRUE, "Working Age")</f>
        <v>Working Age</v>
      </c>
      <c r="J571" s="6">
        <f>VLOOKUP(F571,Analysis!$F$1:$G$5,2,FALSE)</f>
        <v>2509.1716796874912</v>
      </c>
      <c r="K571">
        <f t="shared" si="32"/>
        <v>3167.9</v>
      </c>
      <c r="L571">
        <f t="shared" si="33"/>
        <v>3167.9100000000003</v>
      </c>
      <c r="M571">
        <f t="shared" si="34"/>
        <v>3167.9</v>
      </c>
      <c r="N571" s="5" t="str">
        <f t="shared" si="35"/>
        <v>March 2022</v>
      </c>
    </row>
    <row r="572" spans="1:14" x14ac:dyDescent="0.25">
      <c r="A572" s="1">
        <v>44648</v>
      </c>
      <c r="B572" t="s">
        <v>202</v>
      </c>
      <c r="C572">
        <v>13</v>
      </c>
      <c r="D572" t="s">
        <v>14</v>
      </c>
      <c r="E572" t="s">
        <v>15</v>
      </c>
      <c r="F572" t="s">
        <v>29</v>
      </c>
      <c r="G572" t="s">
        <v>17</v>
      </c>
      <c r="H572">
        <v>2752</v>
      </c>
      <c r="I572" s="8" t="str" cm="1">
        <f t="array" ref="I572">_xlfn.IFS(C572&lt;=15,"Children and Young Adolescents", C572&gt;64, "Seniors", TRUE, "Working Age")</f>
        <v>Children and Young Adolescents</v>
      </c>
      <c r="J572" s="6">
        <f>VLOOKUP(F572,Analysis!$F$1:$G$5,2,FALSE)</f>
        <v>2496.7676064256989</v>
      </c>
      <c r="K572">
        <f t="shared" si="32"/>
        <v>3027.2</v>
      </c>
      <c r="L572">
        <f t="shared" si="33"/>
        <v>3027.2</v>
      </c>
      <c r="M572">
        <f t="shared" si="34"/>
        <v>3027.2</v>
      </c>
      <c r="N572" s="5" t="str">
        <f t="shared" si="35"/>
        <v>March 2022</v>
      </c>
    </row>
    <row r="573" spans="1:14" x14ac:dyDescent="0.25">
      <c r="A573" s="1">
        <v>44648</v>
      </c>
      <c r="B573" t="s">
        <v>3242</v>
      </c>
      <c r="C573">
        <v>7</v>
      </c>
      <c r="D573" t="s">
        <v>14</v>
      </c>
      <c r="E573" t="s">
        <v>5032</v>
      </c>
      <c r="F573" t="s">
        <v>11</v>
      </c>
      <c r="G573" t="s">
        <v>12</v>
      </c>
      <c r="H573">
        <v>1448.87</v>
      </c>
      <c r="I573" s="8" t="str" cm="1">
        <f t="array" ref="I573">_xlfn.IFS(C573&lt;=15,"Children and Young Adolescents", C573&gt;64, "Seniors", TRUE, "Working Age")</f>
        <v>Children and Young Adolescents</v>
      </c>
      <c r="J573" s="6">
        <f>VLOOKUP(F573,Analysis!$F$1:$G$5,2,FALSE)</f>
        <v>2503.6022787783854</v>
      </c>
      <c r="K573">
        <f t="shared" si="32"/>
        <v>1593.75</v>
      </c>
      <c r="L573">
        <f t="shared" si="33"/>
        <v>1593.76</v>
      </c>
      <c r="M573">
        <f t="shared" si="34"/>
        <v>1593.76</v>
      </c>
      <c r="N573" s="5" t="str">
        <f t="shared" si="35"/>
        <v>March 2022</v>
      </c>
    </row>
    <row r="574" spans="1:14" x14ac:dyDescent="0.25">
      <c r="A574" s="1">
        <v>44648</v>
      </c>
      <c r="B574" t="s">
        <v>848</v>
      </c>
      <c r="C574">
        <v>50</v>
      </c>
      <c r="D574" t="s">
        <v>9</v>
      </c>
      <c r="E574" t="s">
        <v>34</v>
      </c>
      <c r="F574" t="s">
        <v>23</v>
      </c>
      <c r="G574" t="s">
        <v>17</v>
      </c>
      <c r="H574">
        <v>545.44000000000005</v>
      </c>
      <c r="I574" s="8" t="str" cm="1">
        <f t="array" ref="I574">_xlfn.IFS(C574&lt;=15,"Children and Young Adolescents", C574&gt;64, "Seniors", TRUE, "Working Age")</f>
        <v>Working Age</v>
      </c>
      <c r="J574" s="6">
        <f>VLOOKUP(F574,Analysis!$F$1:$G$5,2,FALSE)</f>
        <v>2440.2966694490838</v>
      </c>
      <c r="K574">
        <f t="shared" si="32"/>
        <v>599.98</v>
      </c>
      <c r="L574">
        <f t="shared" si="33"/>
        <v>599.99</v>
      </c>
      <c r="M574">
        <f t="shared" si="34"/>
        <v>599.98</v>
      </c>
      <c r="N574" s="5" t="str">
        <f t="shared" si="35"/>
        <v>March 2022</v>
      </c>
    </row>
    <row r="575" spans="1:14" x14ac:dyDescent="0.25">
      <c r="A575" s="1">
        <v>44648</v>
      </c>
      <c r="B575" t="s">
        <v>3282</v>
      </c>
      <c r="C575">
        <v>30</v>
      </c>
      <c r="D575" t="s">
        <v>9</v>
      </c>
      <c r="E575" t="s">
        <v>22</v>
      </c>
      <c r="F575" t="s">
        <v>11</v>
      </c>
      <c r="G575" t="s">
        <v>27</v>
      </c>
      <c r="H575">
        <v>3103.98</v>
      </c>
      <c r="I575" s="8" t="str" cm="1">
        <f t="array" ref="I575">_xlfn.IFS(C575&lt;=15,"Children and Young Adolescents", C575&gt;64, "Seniors", TRUE, "Working Age")</f>
        <v>Working Age</v>
      </c>
      <c r="J575" s="6">
        <f>VLOOKUP(F575,Analysis!$F$1:$G$5,2,FALSE)</f>
        <v>2503.6022787783854</v>
      </c>
      <c r="K575">
        <f t="shared" si="32"/>
        <v>3414.37</v>
      </c>
      <c r="L575">
        <f t="shared" si="33"/>
        <v>3414.38</v>
      </c>
      <c r="M575">
        <f t="shared" si="34"/>
        <v>3414.38</v>
      </c>
      <c r="N575" s="5" t="str">
        <f t="shared" si="35"/>
        <v>March 2022</v>
      </c>
    </row>
    <row r="576" spans="1:14" x14ac:dyDescent="0.25">
      <c r="A576" s="1">
        <v>44648</v>
      </c>
      <c r="B576" t="s">
        <v>1604</v>
      </c>
      <c r="C576">
        <v>73</v>
      </c>
      <c r="D576" t="s">
        <v>21</v>
      </c>
      <c r="E576" t="s">
        <v>15</v>
      </c>
      <c r="F576" t="s">
        <v>11</v>
      </c>
      <c r="G576" t="s">
        <v>27</v>
      </c>
      <c r="H576">
        <v>717.87</v>
      </c>
      <c r="I576" s="8" t="str" cm="1">
        <f t="array" ref="I576">_xlfn.IFS(C576&lt;=15,"Children and Young Adolescents", C576&gt;64, "Seniors", TRUE, "Working Age")</f>
        <v>Seniors</v>
      </c>
      <c r="J576" s="6">
        <f>VLOOKUP(F576,Analysis!$F$1:$G$5,2,FALSE)</f>
        <v>2503.6022787783854</v>
      </c>
      <c r="K576">
        <f t="shared" si="32"/>
        <v>789.65</v>
      </c>
      <c r="L576">
        <f t="shared" si="33"/>
        <v>789.66</v>
      </c>
      <c r="M576">
        <f t="shared" si="34"/>
        <v>789.66</v>
      </c>
      <c r="N576" s="5" t="str">
        <f t="shared" si="35"/>
        <v>March 2022</v>
      </c>
    </row>
    <row r="577" spans="1:14" x14ac:dyDescent="0.25">
      <c r="A577" s="1">
        <v>44648</v>
      </c>
      <c r="B577" t="s">
        <v>3420</v>
      </c>
      <c r="C577">
        <v>14</v>
      </c>
      <c r="D577" t="s">
        <v>21</v>
      </c>
      <c r="E577" t="s">
        <v>22</v>
      </c>
      <c r="F577" t="s">
        <v>29</v>
      </c>
      <c r="G577" t="s">
        <v>12</v>
      </c>
      <c r="H577">
        <v>1961.4</v>
      </c>
      <c r="I577" s="8" t="str" cm="1">
        <f t="array" ref="I577">_xlfn.IFS(C577&lt;=15,"Children and Young Adolescents", C577&gt;64, "Seniors", TRUE, "Working Age")</f>
        <v>Children and Young Adolescents</v>
      </c>
      <c r="J577" s="6">
        <f>VLOOKUP(F577,Analysis!$F$1:$G$5,2,FALSE)</f>
        <v>2496.7676064256989</v>
      </c>
      <c r="K577">
        <f t="shared" si="32"/>
        <v>2157.54</v>
      </c>
      <c r="L577">
        <f t="shared" si="33"/>
        <v>2157.54</v>
      </c>
      <c r="M577">
        <f t="shared" si="34"/>
        <v>2157.54</v>
      </c>
      <c r="N577" s="5" t="str">
        <f t="shared" si="35"/>
        <v>March 2022</v>
      </c>
    </row>
    <row r="578" spans="1:14" x14ac:dyDescent="0.25">
      <c r="A578" s="1">
        <v>44648</v>
      </c>
      <c r="B578" t="s">
        <v>2211</v>
      </c>
      <c r="C578">
        <v>23</v>
      </c>
      <c r="D578" t="s">
        <v>14</v>
      </c>
      <c r="E578" t="s">
        <v>10</v>
      </c>
      <c r="F578" t="s">
        <v>16</v>
      </c>
      <c r="G578" t="s">
        <v>12</v>
      </c>
      <c r="H578">
        <v>584.54999999999995</v>
      </c>
      <c r="I578" s="8" t="str" cm="1">
        <f t="array" ref="I578">_xlfn.IFS(C578&lt;=15,"Children and Young Adolescents", C578&gt;64, "Seniors", TRUE, "Working Age")</f>
        <v>Working Age</v>
      </c>
      <c r="J578" s="6">
        <f>VLOOKUP(F578,Analysis!$F$1:$G$5,2,FALSE)</f>
        <v>2509.1716796874912</v>
      </c>
      <c r="K578">
        <f t="shared" si="32"/>
        <v>643</v>
      </c>
      <c r="L578">
        <f t="shared" si="33"/>
        <v>643.01</v>
      </c>
      <c r="M578">
        <f t="shared" si="34"/>
        <v>643.01</v>
      </c>
      <c r="N578" s="5" t="str">
        <f t="shared" si="35"/>
        <v>March 2022</v>
      </c>
    </row>
    <row r="579" spans="1:14" x14ac:dyDescent="0.25">
      <c r="A579" s="1">
        <v>44649</v>
      </c>
      <c r="B579" t="s">
        <v>4897</v>
      </c>
      <c r="C579">
        <v>1</v>
      </c>
      <c r="D579" t="s">
        <v>14</v>
      </c>
      <c r="E579" t="s">
        <v>10</v>
      </c>
      <c r="F579" t="s">
        <v>11</v>
      </c>
      <c r="G579" t="s">
        <v>36</v>
      </c>
      <c r="H579">
        <v>894.2</v>
      </c>
      <c r="I579" s="8" t="str" cm="1">
        <f t="array" ref="I579">_xlfn.IFS(C579&lt;=15,"Children and Young Adolescents", C579&gt;64, "Seniors", TRUE, "Working Age")</f>
        <v>Children and Young Adolescents</v>
      </c>
      <c r="J579" s="6">
        <f>VLOOKUP(F579,Analysis!$F$1:$G$5,2,FALSE)</f>
        <v>2503.6022787783854</v>
      </c>
      <c r="K579">
        <f t="shared" ref="K579:K642" si="36">ROUNDDOWN(H579*1.1,2)</f>
        <v>983.62</v>
      </c>
      <c r="L579">
        <f t="shared" ref="L579:L642" si="37">ROUNDUP(H579*1.1,2)</f>
        <v>983.62</v>
      </c>
      <c r="M579">
        <f t="shared" ref="M579:M642" si="38">ROUND(H579*1.1,2)</f>
        <v>983.62</v>
      </c>
      <c r="N579" s="5" t="str">
        <f t="shared" ref="N579:N642" si="39">TEXT(A579,"mmmm yyyy")</f>
        <v>March 2022</v>
      </c>
    </row>
    <row r="580" spans="1:14" x14ac:dyDescent="0.25">
      <c r="A580" s="1">
        <v>44649</v>
      </c>
      <c r="B580" t="s">
        <v>3704</v>
      </c>
      <c r="C580">
        <v>46</v>
      </c>
      <c r="D580" t="s">
        <v>9</v>
      </c>
      <c r="E580" t="s">
        <v>32</v>
      </c>
      <c r="F580" t="s">
        <v>11</v>
      </c>
      <c r="G580" t="s">
        <v>27</v>
      </c>
      <c r="H580">
        <v>2685.14</v>
      </c>
      <c r="I580" s="8" t="str" cm="1">
        <f t="array" ref="I580">_xlfn.IFS(C580&lt;=15,"Children and Young Adolescents", C580&gt;64, "Seniors", TRUE, "Working Age")</f>
        <v>Working Age</v>
      </c>
      <c r="J580" s="6">
        <f>VLOOKUP(F580,Analysis!$F$1:$G$5,2,FALSE)</f>
        <v>2503.6022787783854</v>
      </c>
      <c r="K580">
        <f t="shared" si="36"/>
        <v>2953.65</v>
      </c>
      <c r="L580">
        <f t="shared" si="37"/>
        <v>2953.6600000000003</v>
      </c>
      <c r="M580">
        <f t="shared" si="38"/>
        <v>2953.65</v>
      </c>
      <c r="N580" s="5" t="str">
        <f t="shared" si="39"/>
        <v>March 2022</v>
      </c>
    </row>
    <row r="581" spans="1:14" x14ac:dyDescent="0.25">
      <c r="A581" s="1">
        <v>44649</v>
      </c>
      <c r="B581" t="s">
        <v>1915</v>
      </c>
      <c r="C581">
        <v>52</v>
      </c>
      <c r="D581" t="s">
        <v>14</v>
      </c>
      <c r="E581" t="s">
        <v>19</v>
      </c>
      <c r="F581" t="s">
        <v>11</v>
      </c>
      <c r="G581" t="s">
        <v>39</v>
      </c>
      <c r="H581">
        <v>2876.91</v>
      </c>
      <c r="I581" s="8" t="str" cm="1">
        <f t="array" ref="I581">_xlfn.IFS(C581&lt;=15,"Children and Young Adolescents", C581&gt;64, "Seniors", TRUE, "Working Age")</f>
        <v>Working Age</v>
      </c>
      <c r="J581" s="6">
        <f>VLOOKUP(F581,Analysis!$F$1:$G$5,2,FALSE)</f>
        <v>2503.6022787783854</v>
      </c>
      <c r="K581">
        <f t="shared" si="36"/>
        <v>3164.6</v>
      </c>
      <c r="L581">
        <f t="shared" si="37"/>
        <v>3164.61</v>
      </c>
      <c r="M581">
        <f t="shared" si="38"/>
        <v>3164.6</v>
      </c>
      <c r="N581" s="5" t="str">
        <f t="shared" si="39"/>
        <v>March 2022</v>
      </c>
    </row>
    <row r="582" spans="1:14" x14ac:dyDescent="0.25">
      <c r="A582" s="1">
        <v>44649</v>
      </c>
      <c r="B582" t="s">
        <v>1831</v>
      </c>
      <c r="C582">
        <v>48</v>
      </c>
      <c r="D582" t="s">
        <v>21</v>
      </c>
      <c r="E582" t="s">
        <v>10</v>
      </c>
      <c r="F582" t="s">
        <v>11</v>
      </c>
      <c r="G582" t="s">
        <v>39</v>
      </c>
      <c r="H582">
        <v>2233.91</v>
      </c>
      <c r="I582" s="8" t="str" cm="1">
        <f t="array" ref="I582">_xlfn.IFS(C582&lt;=15,"Children and Young Adolescents", C582&gt;64, "Seniors", TRUE, "Working Age")</f>
        <v>Working Age</v>
      </c>
      <c r="J582" s="6">
        <f>VLOOKUP(F582,Analysis!$F$1:$G$5,2,FALSE)</f>
        <v>2503.6022787783854</v>
      </c>
      <c r="K582">
        <f t="shared" si="36"/>
        <v>2457.3000000000002</v>
      </c>
      <c r="L582">
        <f t="shared" si="37"/>
        <v>2457.3100000000004</v>
      </c>
      <c r="M582">
        <f t="shared" si="38"/>
        <v>2457.3000000000002</v>
      </c>
      <c r="N582" s="5" t="str">
        <f t="shared" si="39"/>
        <v>March 2022</v>
      </c>
    </row>
    <row r="583" spans="1:14" x14ac:dyDescent="0.25">
      <c r="A583" s="1">
        <v>44649</v>
      </c>
      <c r="B583" t="s">
        <v>2605</v>
      </c>
      <c r="C583">
        <v>76</v>
      </c>
      <c r="D583" t="s">
        <v>21</v>
      </c>
      <c r="E583" t="s">
        <v>15</v>
      </c>
      <c r="F583" t="s">
        <v>23</v>
      </c>
      <c r="G583" t="s">
        <v>36</v>
      </c>
      <c r="H583">
        <v>1180.72</v>
      </c>
      <c r="I583" s="8" t="str" cm="1">
        <f t="array" ref="I583">_xlfn.IFS(C583&lt;=15,"Children and Young Adolescents", C583&gt;64, "Seniors", TRUE, "Working Age")</f>
        <v>Seniors</v>
      </c>
      <c r="J583" s="6">
        <f>VLOOKUP(F583,Analysis!$F$1:$G$5,2,FALSE)</f>
        <v>2440.2966694490838</v>
      </c>
      <c r="K583">
        <f t="shared" si="36"/>
        <v>1298.79</v>
      </c>
      <c r="L583">
        <f t="shared" si="37"/>
        <v>1298.8</v>
      </c>
      <c r="M583">
        <f t="shared" si="38"/>
        <v>1298.79</v>
      </c>
      <c r="N583" s="5" t="str">
        <f t="shared" si="39"/>
        <v>March 2022</v>
      </c>
    </row>
    <row r="584" spans="1:14" x14ac:dyDescent="0.25">
      <c r="A584" s="1">
        <v>44649</v>
      </c>
      <c r="B584" t="s">
        <v>4876</v>
      </c>
      <c r="C584">
        <v>48</v>
      </c>
      <c r="D584" t="s">
        <v>9</v>
      </c>
      <c r="E584" t="s">
        <v>25</v>
      </c>
      <c r="F584" t="s">
        <v>29</v>
      </c>
      <c r="G584" t="s">
        <v>17</v>
      </c>
      <c r="H584">
        <v>4822.29</v>
      </c>
      <c r="I584" s="8" t="str" cm="1">
        <f t="array" ref="I584">_xlfn.IFS(C584&lt;=15,"Children and Young Adolescents", C584&gt;64, "Seniors", TRUE, "Working Age")</f>
        <v>Working Age</v>
      </c>
      <c r="J584" s="6">
        <f>VLOOKUP(F584,Analysis!$F$1:$G$5,2,FALSE)</f>
        <v>2496.7676064256989</v>
      </c>
      <c r="K584">
        <f t="shared" si="36"/>
        <v>5304.51</v>
      </c>
      <c r="L584">
        <f t="shared" si="37"/>
        <v>5304.52</v>
      </c>
      <c r="M584">
        <f t="shared" si="38"/>
        <v>5304.52</v>
      </c>
      <c r="N584" s="5" t="str">
        <f t="shared" si="39"/>
        <v>March 2022</v>
      </c>
    </row>
    <row r="585" spans="1:14" x14ac:dyDescent="0.25">
      <c r="A585" s="1">
        <v>44649</v>
      </c>
      <c r="B585" t="s">
        <v>3630</v>
      </c>
      <c r="C585">
        <v>71</v>
      </c>
      <c r="D585" t="s">
        <v>9</v>
      </c>
      <c r="E585" t="s">
        <v>25</v>
      </c>
      <c r="F585" t="s">
        <v>29</v>
      </c>
      <c r="G585" t="s">
        <v>36</v>
      </c>
      <c r="H585">
        <v>2909.05</v>
      </c>
      <c r="I585" s="8" t="str" cm="1">
        <f t="array" ref="I585">_xlfn.IFS(C585&lt;=15,"Children and Young Adolescents", C585&gt;64, "Seniors", TRUE, "Working Age")</f>
        <v>Seniors</v>
      </c>
      <c r="J585" s="6">
        <f>VLOOKUP(F585,Analysis!$F$1:$G$5,2,FALSE)</f>
        <v>2496.7676064256989</v>
      </c>
      <c r="K585">
        <f t="shared" si="36"/>
        <v>3199.95</v>
      </c>
      <c r="L585">
        <f t="shared" si="37"/>
        <v>3199.96</v>
      </c>
      <c r="M585">
        <f t="shared" si="38"/>
        <v>3199.96</v>
      </c>
      <c r="N585" s="5" t="str">
        <f t="shared" si="39"/>
        <v>March 2022</v>
      </c>
    </row>
    <row r="586" spans="1:14" x14ac:dyDescent="0.25">
      <c r="A586" s="1">
        <v>44649</v>
      </c>
      <c r="B586" t="s">
        <v>979</v>
      </c>
      <c r="C586">
        <v>85</v>
      </c>
      <c r="D586" t="s">
        <v>14</v>
      </c>
      <c r="E586" t="s">
        <v>15</v>
      </c>
      <c r="F586" t="s">
        <v>23</v>
      </c>
      <c r="G586" t="s">
        <v>17</v>
      </c>
      <c r="H586">
        <v>1671.45</v>
      </c>
      <c r="I586" s="8" t="str" cm="1">
        <f t="array" ref="I586">_xlfn.IFS(C586&lt;=15,"Children and Young Adolescents", C586&gt;64, "Seniors", TRUE, "Working Age")</f>
        <v>Seniors</v>
      </c>
      <c r="J586" s="6">
        <f>VLOOKUP(F586,Analysis!$F$1:$G$5,2,FALSE)</f>
        <v>2440.2966694490838</v>
      </c>
      <c r="K586">
        <f t="shared" si="36"/>
        <v>1838.59</v>
      </c>
      <c r="L586">
        <f t="shared" si="37"/>
        <v>1838.6</v>
      </c>
      <c r="M586">
        <f t="shared" si="38"/>
        <v>1838.6</v>
      </c>
      <c r="N586" s="5" t="str">
        <f t="shared" si="39"/>
        <v>March 2022</v>
      </c>
    </row>
    <row r="587" spans="1:14" x14ac:dyDescent="0.25">
      <c r="A587" s="1">
        <v>44650</v>
      </c>
      <c r="B587" t="s">
        <v>1377</v>
      </c>
      <c r="C587">
        <v>49</v>
      </c>
      <c r="D587" t="s">
        <v>9</v>
      </c>
      <c r="E587" t="s">
        <v>15</v>
      </c>
      <c r="F587" t="s">
        <v>11</v>
      </c>
      <c r="G587" t="s">
        <v>17</v>
      </c>
      <c r="H587">
        <v>2470.6799999999998</v>
      </c>
      <c r="I587" s="8" t="str" cm="1">
        <f t="array" ref="I587">_xlfn.IFS(C587&lt;=15,"Children and Young Adolescents", C587&gt;64, "Seniors", TRUE, "Working Age")</f>
        <v>Working Age</v>
      </c>
      <c r="J587" s="6">
        <f>VLOOKUP(F587,Analysis!$F$1:$G$5,2,FALSE)</f>
        <v>2503.6022787783854</v>
      </c>
      <c r="K587">
        <f t="shared" si="36"/>
        <v>2717.74</v>
      </c>
      <c r="L587">
        <f t="shared" si="37"/>
        <v>2717.75</v>
      </c>
      <c r="M587">
        <f t="shared" si="38"/>
        <v>2717.75</v>
      </c>
      <c r="N587" s="5" t="str">
        <f t="shared" si="39"/>
        <v>March 2022</v>
      </c>
    </row>
    <row r="588" spans="1:14" x14ac:dyDescent="0.25">
      <c r="A588" s="1">
        <v>44650</v>
      </c>
      <c r="B588" t="s">
        <v>3970</v>
      </c>
      <c r="C588">
        <v>60</v>
      </c>
      <c r="D588" t="s">
        <v>9</v>
      </c>
      <c r="E588" t="s">
        <v>15</v>
      </c>
      <c r="F588" t="s">
        <v>11</v>
      </c>
      <c r="G588" t="s">
        <v>27</v>
      </c>
      <c r="H588">
        <v>1181.22</v>
      </c>
      <c r="I588" s="8" t="str" cm="1">
        <f t="array" ref="I588">_xlfn.IFS(C588&lt;=15,"Children and Young Adolescents", C588&gt;64, "Seniors", TRUE, "Working Age")</f>
        <v>Working Age</v>
      </c>
      <c r="J588" s="6">
        <f>VLOOKUP(F588,Analysis!$F$1:$G$5,2,FALSE)</f>
        <v>2503.6022787783854</v>
      </c>
      <c r="K588">
        <f t="shared" si="36"/>
        <v>1299.3399999999999</v>
      </c>
      <c r="L588">
        <f t="shared" si="37"/>
        <v>1299.3499999999999</v>
      </c>
      <c r="M588">
        <f t="shared" si="38"/>
        <v>1299.3399999999999</v>
      </c>
      <c r="N588" s="5" t="str">
        <f t="shared" si="39"/>
        <v>March 2022</v>
      </c>
    </row>
    <row r="589" spans="1:14" x14ac:dyDescent="0.25">
      <c r="A589" s="1">
        <v>44650</v>
      </c>
      <c r="B589" t="s">
        <v>2716</v>
      </c>
      <c r="C589">
        <v>85</v>
      </c>
      <c r="D589" t="s">
        <v>9</v>
      </c>
      <c r="E589" t="s">
        <v>25</v>
      </c>
      <c r="F589" t="s">
        <v>23</v>
      </c>
      <c r="G589" t="s">
        <v>12</v>
      </c>
      <c r="H589">
        <v>1347.94</v>
      </c>
      <c r="I589" s="8" t="str" cm="1">
        <f t="array" ref="I589">_xlfn.IFS(C589&lt;=15,"Children and Young Adolescents", C589&gt;64, "Seniors", TRUE, "Working Age")</f>
        <v>Seniors</v>
      </c>
      <c r="J589" s="6">
        <f>VLOOKUP(F589,Analysis!$F$1:$G$5,2,FALSE)</f>
        <v>2440.2966694490838</v>
      </c>
      <c r="K589">
        <f t="shared" si="36"/>
        <v>1482.73</v>
      </c>
      <c r="L589">
        <f t="shared" si="37"/>
        <v>1482.74</v>
      </c>
      <c r="M589">
        <f t="shared" si="38"/>
        <v>1482.73</v>
      </c>
      <c r="N589" s="5" t="str">
        <f t="shared" si="39"/>
        <v>March 2022</v>
      </c>
    </row>
    <row r="590" spans="1:14" x14ac:dyDescent="0.25">
      <c r="A590" s="1">
        <v>44650</v>
      </c>
      <c r="B590" t="s">
        <v>68</v>
      </c>
      <c r="C590">
        <v>84</v>
      </c>
      <c r="D590" t="s">
        <v>9</v>
      </c>
      <c r="E590" t="s">
        <v>34</v>
      </c>
      <c r="F590" t="s">
        <v>16</v>
      </c>
      <c r="G590" t="s">
        <v>39</v>
      </c>
      <c r="H590">
        <v>4460.76</v>
      </c>
      <c r="I590" s="8" t="str" cm="1">
        <f t="array" ref="I590">_xlfn.IFS(C590&lt;=15,"Children and Young Adolescents", C590&gt;64, "Seniors", TRUE, "Working Age")</f>
        <v>Seniors</v>
      </c>
      <c r="J590" s="6">
        <f>VLOOKUP(F590,Analysis!$F$1:$G$5,2,FALSE)</f>
        <v>2509.1716796874912</v>
      </c>
      <c r="K590">
        <f t="shared" si="36"/>
        <v>4906.83</v>
      </c>
      <c r="L590">
        <f t="shared" si="37"/>
        <v>4906.84</v>
      </c>
      <c r="M590">
        <f t="shared" si="38"/>
        <v>4906.84</v>
      </c>
      <c r="N590" s="5" t="str">
        <f t="shared" si="39"/>
        <v>March 2022</v>
      </c>
    </row>
    <row r="591" spans="1:14" x14ac:dyDescent="0.25">
      <c r="A591" s="1">
        <v>44650</v>
      </c>
      <c r="B591" t="s">
        <v>509</v>
      </c>
      <c r="C591">
        <v>18</v>
      </c>
      <c r="D591" t="s">
        <v>14</v>
      </c>
      <c r="E591" t="s">
        <v>19</v>
      </c>
      <c r="F591" t="s">
        <v>16</v>
      </c>
      <c r="G591" t="s">
        <v>36</v>
      </c>
      <c r="H591">
        <v>4822.53</v>
      </c>
      <c r="I591" s="8" t="str" cm="1">
        <f t="array" ref="I591">_xlfn.IFS(C591&lt;=15,"Children and Young Adolescents", C591&gt;64, "Seniors", TRUE, "Working Age")</f>
        <v>Working Age</v>
      </c>
      <c r="J591" s="6">
        <f>VLOOKUP(F591,Analysis!$F$1:$G$5,2,FALSE)</f>
        <v>2509.1716796874912</v>
      </c>
      <c r="K591">
        <f t="shared" si="36"/>
        <v>5304.78</v>
      </c>
      <c r="L591">
        <f t="shared" si="37"/>
        <v>5304.79</v>
      </c>
      <c r="M591">
        <f t="shared" si="38"/>
        <v>5304.78</v>
      </c>
      <c r="N591" s="5" t="str">
        <f t="shared" si="39"/>
        <v>March 2022</v>
      </c>
    </row>
    <row r="592" spans="1:14" x14ac:dyDescent="0.25">
      <c r="A592" s="1">
        <v>44650</v>
      </c>
      <c r="B592" t="s">
        <v>2815</v>
      </c>
      <c r="C592">
        <v>2</v>
      </c>
      <c r="D592" t="s">
        <v>14</v>
      </c>
      <c r="E592" t="s">
        <v>32</v>
      </c>
      <c r="F592" t="s">
        <v>29</v>
      </c>
      <c r="G592" t="s">
        <v>39</v>
      </c>
      <c r="H592">
        <v>2906.4</v>
      </c>
      <c r="I592" s="8" t="str" cm="1">
        <f t="array" ref="I592">_xlfn.IFS(C592&lt;=15,"Children and Young Adolescents", C592&gt;64, "Seniors", TRUE, "Working Age")</f>
        <v>Children and Young Adolescents</v>
      </c>
      <c r="J592" s="6">
        <f>VLOOKUP(F592,Analysis!$F$1:$G$5,2,FALSE)</f>
        <v>2496.7676064256989</v>
      </c>
      <c r="K592">
        <f t="shared" si="36"/>
        <v>3197.04</v>
      </c>
      <c r="L592">
        <f t="shared" si="37"/>
        <v>3197.04</v>
      </c>
      <c r="M592">
        <f t="shared" si="38"/>
        <v>3197.04</v>
      </c>
      <c r="N592" s="5" t="str">
        <f t="shared" si="39"/>
        <v>March 2022</v>
      </c>
    </row>
    <row r="593" spans="1:14" x14ac:dyDescent="0.25">
      <c r="A593" s="1">
        <v>44650</v>
      </c>
      <c r="B593" t="s">
        <v>1306</v>
      </c>
      <c r="C593">
        <v>55</v>
      </c>
      <c r="D593" t="s">
        <v>21</v>
      </c>
      <c r="E593" t="s">
        <v>32</v>
      </c>
      <c r="F593" t="s">
        <v>23</v>
      </c>
      <c r="G593" t="s">
        <v>39</v>
      </c>
      <c r="H593">
        <v>1009.6</v>
      </c>
      <c r="I593" s="8" t="str" cm="1">
        <f t="array" ref="I593">_xlfn.IFS(C593&lt;=15,"Children and Young Adolescents", C593&gt;64, "Seniors", TRUE, "Working Age")</f>
        <v>Working Age</v>
      </c>
      <c r="J593" s="6">
        <f>VLOOKUP(F593,Analysis!$F$1:$G$5,2,FALSE)</f>
        <v>2440.2966694490838</v>
      </c>
      <c r="K593">
        <f t="shared" si="36"/>
        <v>1110.56</v>
      </c>
      <c r="L593">
        <f t="shared" si="37"/>
        <v>1110.56</v>
      </c>
      <c r="M593">
        <f t="shared" si="38"/>
        <v>1110.56</v>
      </c>
      <c r="N593" s="5" t="str">
        <f t="shared" si="39"/>
        <v>March 2022</v>
      </c>
    </row>
    <row r="594" spans="1:14" x14ac:dyDescent="0.25">
      <c r="A594" s="1">
        <v>44650</v>
      </c>
      <c r="B594" t="s">
        <v>1498</v>
      </c>
      <c r="C594">
        <v>22</v>
      </c>
      <c r="D594" t="s">
        <v>21</v>
      </c>
      <c r="E594" t="s">
        <v>19</v>
      </c>
      <c r="F594" t="s">
        <v>29</v>
      </c>
      <c r="G594" t="s">
        <v>27</v>
      </c>
      <c r="H594">
        <v>998.9</v>
      </c>
      <c r="I594" s="8" t="str" cm="1">
        <f t="array" ref="I594">_xlfn.IFS(C594&lt;=15,"Children and Young Adolescents", C594&gt;64, "Seniors", TRUE, "Working Age")</f>
        <v>Working Age</v>
      </c>
      <c r="J594" s="6">
        <f>VLOOKUP(F594,Analysis!$F$1:$G$5,2,FALSE)</f>
        <v>2496.7676064256989</v>
      </c>
      <c r="K594">
        <f t="shared" si="36"/>
        <v>1098.79</v>
      </c>
      <c r="L594">
        <f t="shared" si="37"/>
        <v>1098.79</v>
      </c>
      <c r="M594">
        <f t="shared" si="38"/>
        <v>1098.79</v>
      </c>
      <c r="N594" s="5" t="str">
        <f t="shared" si="39"/>
        <v>March 2022</v>
      </c>
    </row>
    <row r="595" spans="1:14" x14ac:dyDescent="0.25">
      <c r="A595" s="1">
        <v>44650</v>
      </c>
      <c r="B595" t="s">
        <v>1525</v>
      </c>
      <c r="C595">
        <v>67</v>
      </c>
      <c r="D595" t="s">
        <v>14</v>
      </c>
      <c r="E595" t="s">
        <v>15</v>
      </c>
      <c r="F595" t="s">
        <v>11</v>
      </c>
      <c r="G595" t="s">
        <v>36</v>
      </c>
      <c r="H595">
        <v>2320.06</v>
      </c>
      <c r="I595" s="8" t="str" cm="1">
        <f t="array" ref="I595">_xlfn.IFS(C595&lt;=15,"Children and Young Adolescents", C595&gt;64, "Seniors", TRUE, "Working Age")</f>
        <v>Seniors</v>
      </c>
      <c r="J595" s="6">
        <f>VLOOKUP(F595,Analysis!$F$1:$G$5,2,FALSE)</f>
        <v>2503.6022787783854</v>
      </c>
      <c r="K595">
        <f t="shared" si="36"/>
        <v>2552.06</v>
      </c>
      <c r="L595">
        <f t="shared" si="37"/>
        <v>2552.0700000000002</v>
      </c>
      <c r="M595">
        <f t="shared" si="38"/>
        <v>2552.0700000000002</v>
      </c>
      <c r="N595" s="5" t="str">
        <f t="shared" si="39"/>
        <v>March 2022</v>
      </c>
    </row>
    <row r="596" spans="1:14" x14ac:dyDescent="0.25">
      <c r="A596" s="1">
        <v>44650</v>
      </c>
      <c r="B596" t="s">
        <v>499</v>
      </c>
      <c r="C596">
        <v>11</v>
      </c>
      <c r="D596" t="s">
        <v>9</v>
      </c>
      <c r="E596" t="s">
        <v>22</v>
      </c>
      <c r="F596" t="s">
        <v>16</v>
      </c>
      <c r="G596" t="s">
        <v>17</v>
      </c>
      <c r="H596">
        <v>3275.8</v>
      </c>
      <c r="I596" s="8" t="str" cm="1">
        <f t="array" ref="I596">_xlfn.IFS(C596&lt;=15,"Children and Young Adolescents", C596&gt;64, "Seniors", TRUE, "Working Age")</f>
        <v>Children and Young Adolescents</v>
      </c>
      <c r="J596" s="6">
        <f>VLOOKUP(F596,Analysis!$F$1:$G$5,2,FALSE)</f>
        <v>2509.1716796874912</v>
      </c>
      <c r="K596">
        <f t="shared" si="36"/>
        <v>3603.38</v>
      </c>
      <c r="L596">
        <f t="shared" si="37"/>
        <v>3603.38</v>
      </c>
      <c r="M596">
        <f t="shared" si="38"/>
        <v>3603.38</v>
      </c>
      <c r="N596" s="5" t="str">
        <f t="shared" si="39"/>
        <v>March 2022</v>
      </c>
    </row>
    <row r="597" spans="1:14" x14ac:dyDescent="0.25">
      <c r="A597" s="1">
        <v>44650</v>
      </c>
      <c r="B597" t="s">
        <v>3622</v>
      </c>
      <c r="C597">
        <v>27</v>
      </c>
      <c r="D597" t="s">
        <v>21</v>
      </c>
      <c r="E597" t="s">
        <v>32</v>
      </c>
      <c r="F597" t="s">
        <v>11</v>
      </c>
      <c r="G597" t="s">
        <v>39</v>
      </c>
      <c r="H597">
        <v>1109.0899999999999</v>
      </c>
      <c r="I597" s="8" t="str" cm="1">
        <f t="array" ref="I597">_xlfn.IFS(C597&lt;=15,"Children and Young Adolescents", C597&gt;64, "Seniors", TRUE, "Working Age")</f>
        <v>Working Age</v>
      </c>
      <c r="J597" s="6">
        <f>VLOOKUP(F597,Analysis!$F$1:$G$5,2,FALSE)</f>
        <v>2503.6022787783854</v>
      </c>
      <c r="K597">
        <f t="shared" si="36"/>
        <v>1219.99</v>
      </c>
      <c r="L597">
        <f t="shared" si="37"/>
        <v>1220</v>
      </c>
      <c r="M597">
        <f t="shared" si="38"/>
        <v>1220</v>
      </c>
      <c r="N597" s="5" t="str">
        <f t="shared" si="39"/>
        <v>March 2022</v>
      </c>
    </row>
    <row r="598" spans="1:14" x14ac:dyDescent="0.25">
      <c r="A598" s="1">
        <v>44650</v>
      </c>
      <c r="B598" t="s">
        <v>2163</v>
      </c>
      <c r="C598">
        <v>91</v>
      </c>
      <c r="D598" t="s">
        <v>21</v>
      </c>
      <c r="E598" t="s">
        <v>32</v>
      </c>
      <c r="F598" t="s">
        <v>16</v>
      </c>
      <c r="G598" t="s">
        <v>27</v>
      </c>
      <c r="H598">
        <v>2872.43</v>
      </c>
      <c r="I598" s="8" t="str" cm="1">
        <f t="array" ref="I598">_xlfn.IFS(C598&lt;=15,"Children and Young Adolescents", C598&gt;64, "Seniors", TRUE, "Working Age")</f>
        <v>Seniors</v>
      </c>
      <c r="J598" s="6">
        <f>VLOOKUP(F598,Analysis!$F$1:$G$5,2,FALSE)</f>
        <v>2509.1716796874912</v>
      </c>
      <c r="K598">
        <f t="shared" si="36"/>
        <v>3159.67</v>
      </c>
      <c r="L598">
        <f t="shared" si="37"/>
        <v>3159.6800000000003</v>
      </c>
      <c r="M598">
        <f t="shared" si="38"/>
        <v>3159.67</v>
      </c>
      <c r="N598" s="5" t="str">
        <f t="shared" si="39"/>
        <v>March 2022</v>
      </c>
    </row>
    <row r="599" spans="1:14" x14ac:dyDescent="0.25">
      <c r="A599" s="1">
        <v>44650</v>
      </c>
      <c r="B599" t="s">
        <v>1089</v>
      </c>
      <c r="C599">
        <v>93</v>
      </c>
      <c r="D599" t="s">
        <v>9</v>
      </c>
      <c r="E599" t="s">
        <v>22</v>
      </c>
      <c r="F599" t="s">
        <v>29</v>
      </c>
      <c r="G599" t="s">
        <v>27</v>
      </c>
      <c r="H599">
        <v>4192.04</v>
      </c>
      <c r="I599" s="8" t="str" cm="1">
        <f t="array" ref="I599">_xlfn.IFS(C599&lt;=15,"Children and Young Adolescents", C599&gt;64, "Seniors", TRUE, "Working Age")</f>
        <v>Seniors</v>
      </c>
      <c r="J599" s="6">
        <f>VLOOKUP(F599,Analysis!$F$1:$G$5,2,FALSE)</f>
        <v>2496.7676064256989</v>
      </c>
      <c r="K599">
        <f t="shared" si="36"/>
        <v>4611.24</v>
      </c>
      <c r="L599">
        <f t="shared" si="37"/>
        <v>4611.25</v>
      </c>
      <c r="M599">
        <f t="shared" si="38"/>
        <v>4611.24</v>
      </c>
      <c r="N599" s="5" t="str">
        <f t="shared" si="39"/>
        <v>March 2022</v>
      </c>
    </row>
    <row r="600" spans="1:14" x14ac:dyDescent="0.25">
      <c r="A600" s="1">
        <v>44650</v>
      </c>
      <c r="B600" t="s">
        <v>888</v>
      </c>
      <c r="C600">
        <v>44</v>
      </c>
      <c r="D600" t="s">
        <v>21</v>
      </c>
      <c r="E600" t="s">
        <v>5032</v>
      </c>
      <c r="F600" t="s">
        <v>23</v>
      </c>
      <c r="G600" t="s">
        <v>39</v>
      </c>
      <c r="H600">
        <v>2480.14</v>
      </c>
      <c r="I600" s="8" t="str" cm="1">
        <f t="array" ref="I600">_xlfn.IFS(C600&lt;=15,"Children and Young Adolescents", C600&gt;64, "Seniors", TRUE, "Working Age")</f>
        <v>Working Age</v>
      </c>
      <c r="J600" s="6">
        <f>VLOOKUP(F600,Analysis!$F$1:$G$5,2,FALSE)</f>
        <v>2440.2966694490838</v>
      </c>
      <c r="K600">
        <f t="shared" si="36"/>
        <v>2728.15</v>
      </c>
      <c r="L600">
        <f t="shared" si="37"/>
        <v>2728.1600000000003</v>
      </c>
      <c r="M600">
        <f t="shared" si="38"/>
        <v>2728.15</v>
      </c>
      <c r="N600" s="5" t="str">
        <f t="shared" si="39"/>
        <v>March 2022</v>
      </c>
    </row>
    <row r="601" spans="1:14" x14ac:dyDescent="0.25">
      <c r="A601" s="1">
        <v>44651</v>
      </c>
      <c r="B601" t="s">
        <v>3684</v>
      </c>
      <c r="C601">
        <v>80</v>
      </c>
      <c r="D601" t="s">
        <v>21</v>
      </c>
      <c r="E601" t="s">
        <v>25</v>
      </c>
      <c r="F601" t="s">
        <v>23</v>
      </c>
      <c r="G601" t="s">
        <v>39</v>
      </c>
      <c r="H601">
        <v>3181.77</v>
      </c>
      <c r="I601" s="8" t="str" cm="1">
        <f t="array" ref="I601">_xlfn.IFS(C601&lt;=15,"Children and Young Adolescents", C601&gt;64, "Seniors", TRUE, "Working Age")</f>
        <v>Seniors</v>
      </c>
      <c r="J601" s="6">
        <f>VLOOKUP(F601,Analysis!$F$1:$G$5,2,FALSE)</f>
        <v>2440.2966694490838</v>
      </c>
      <c r="K601">
        <f t="shared" si="36"/>
        <v>3499.94</v>
      </c>
      <c r="L601">
        <f t="shared" si="37"/>
        <v>3499.9500000000003</v>
      </c>
      <c r="M601">
        <f t="shared" si="38"/>
        <v>3499.95</v>
      </c>
      <c r="N601" s="5" t="str">
        <f t="shared" si="39"/>
        <v>March 2022</v>
      </c>
    </row>
    <row r="602" spans="1:14" x14ac:dyDescent="0.25">
      <c r="A602" s="1">
        <v>44651</v>
      </c>
      <c r="B602" t="s">
        <v>2895</v>
      </c>
      <c r="C602">
        <v>12</v>
      </c>
      <c r="D602" t="s">
        <v>14</v>
      </c>
      <c r="E602" t="s">
        <v>10</v>
      </c>
      <c r="F602" t="s">
        <v>23</v>
      </c>
      <c r="G602" t="s">
        <v>17</v>
      </c>
      <c r="H602">
        <v>1032.23</v>
      </c>
      <c r="I602" s="8" t="str" cm="1">
        <f t="array" ref="I602">_xlfn.IFS(C602&lt;=15,"Children and Young Adolescents", C602&gt;64, "Seniors", TRUE, "Working Age")</f>
        <v>Children and Young Adolescents</v>
      </c>
      <c r="J602" s="6">
        <f>VLOOKUP(F602,Analysis!$F$1:$G$5,2,FALSE)</f>
        <v>2440.2966694490838</v>
      </c>
      <c r="K602">
        <f t="shared" si="36"/>
        <v>1135.45</v>
      </c>
      <c r="L602">
        <f t="shared" si="37"/>
        <v>1135.46</v>
      </c>
      <c r="M602">
        <f t="shared" si="38"/>
        <v>1135.45</v>
      </c>
      <c r="N602" s="5" t="str">
        <f t="shared" si="39"/>
        <v>March 2022</v>
      </c>
    </row>
    <row r="603" spans="1:14" x14ac:dyDescent="0.25">
      <c r="A603" s="1">
        <v>44651</v>
      </c>
      <c r="B603" t="s">
        <v>2625</v>
      </c>
      <c r="C603">
        <v>2</v>
      </c>
      <c r="D603" t="s">
        <v>14</v>
      </c>
      <c r="E603" t="s">
        <v>10</v>
      </c>
      <c r="F603" t="s">
        <v>29</v>
      </c>
      <c r="G603" t="s">
        <v>36</v>
      </c>
      <c r="H603">
        <v>3963.8</v>
      </c>
      <c r="I603" s="8" t="str" cm="1">
        <f t="array" ref="I603">_xlfn.IFS(C603&lt;=15,"Children and Young Adolescents", C603&gt;64, "Seniors", TRUE, "Working Age")</f>
        <v>Children and Young Adolescents</v>
      </c>
      <c r="J603" s="6">
        <f>VLOOKUP(F603,Analysis!$F$1:$G$5,2,FALSE)</f>
        <v>2496.7676064256989</v>
      </c>
      <c r="K603">
        <f t="shared" si="36"/>
        <v>4360.18</v>
      </c>
      <c r="L603">
        <f t="shared" si="37"/>
        <v>4360.18</v>
      </c>
      <c r="M603">
        <f t="shared" si="38"/>
        <v>4360.18</v>
      </c>
      <c r="N603" s="5" t="str">
        <f t="shared" si="39"/>
        <v>March 2022</v>
      </c>
    </row>
    <row r="604" spans="1:14" x14ac:dyDescent="0.25">
      <c r="A604" s="1">
        <v>44651</v>
      </c>
      <c r="B604" t="s">
        <v>1786</v>
      </c>
      <c r="C604">
        <v>40</v>
      </c>
      <c r="D604" t="s">
        <v>14</v>
      </c>
      <c r="E604" t="s">
        <v>25</v>
      </c>
      <c r="F604" t="s">
        <v>29</v>
      </c>
      <c r="G604" t="s">
        <v>36</v>
      </c>
      <c r="H604">
        <v>3420.27</v>
      </c>
      <c r="I604" s="8" t="str" cm="1">
        <f t="array" ref="I604">_xlfn.IFS(C604&lt;=15,"Children and Young Adolescents", C604&gt;64, "Seniors", TRUE, "Working Age")</f>
        <v>Working Age</v>
      </c>
      <c r="J604" s="6">
        <f>VLOOKUP(F604,Analysis!$F$1:$G$5,2,FALSE)</f>
        <v>2496.7676064256989</v>
      </c>
      <c r="K604">
        <f t="shared" si="36"/>
        <v>3762.29</v>
      </c>
      <c r="L604">
        <f t="shared" si="37"/>
        <v>3762.3</v>
      </c>
      <c r="M604">
        <f t="shared" si="38"/>
        <v>3762.3</v>
      </c>
      <c r="N604" s="5" t="str">
        <f t="shared" si="39"/>
        <v>March 2022</v>
      </c>
    </row>
    <row r="605" spans="1:14" x14ac:dyDescent="0.25">
      <c r="A605" s="1">
        <v>44651</v>
      </c>
      <c r="B605" t="s">
        <v>1455</v>
      </c>
      <c r="C605">
        <v>42</v>
      </c>
      <c r="D605" t="s">
        <v>21</v>
      </c>
      <c r="E605" t="s">
        <v>22</v>
      </c>
      <c r="F605" t="s">
        <v>16</v>
      </c>
      <c r="G605" t="s">
        <v>17</v>
      </c>
      <c r="H605">
        <v>3075.44</v>
      </c>
      <c r="I605" s="8" t="str" cm="1">
        <f t="array" ref="I605">_xlfn.IFS(C605&lt;=15,"Children and Young Adolescents", C605&gt;64, "Seniors", TRUE, "Working Age")</f>
        <v>Working Age</v>
      </c>
      <c r="J605" s="6">
        <f>VLOOKUP(F605,Analysis!$F$1:$G$5,2,FALSE)</f>
        <v>2509.1716796874912</v>
      </c>
      <c r="K605">
        <f t="shared" si="36"/>
        <v>3382.98</v>
      </c>
      <c r="L605">
        <f t="shared" si="37"/>
        <v>3382.9900000000002</v>
      </c>
      <c r="M605">
        <f t="shared" si="38"/>
        <v>3382.98</v>
      </c>
      <c r="N605" s="5" t="str">
        <f t="shared" si="39"/>
        <v>March 2022</v>
      </c>
    </row>
    <row r="606" spans="1:14" x14ac:dyDescent="0.25">
      <c r="A606" s="1">
        <v>44652</v>
      </c>
      <c r="B606" t="s">
        <v>1008</v>
      </c>
      <c r="C606">
        <v>75</v>
      </c>
      <c r="D606" t="s">
        <v>9</v>
      </c>
      <c r="E606" t="s">
        <v>5032</v>
      </c>
      <c r="F606" t="s">
        <v>16</v>
      </c>
      <c r="G606" t="s">
        <v>17</v>
      </c>
      <c r="H606">
        <v>1574.28</v>
      </c>
      <c r="I606" s="8" t="str" cm="1">
        <f t="array" ref="I606">_xlfn.IFS(C606&lt;=15,"Children and Young Adolescents", C606&gt;64, "Seniors", TRUE, "Working Age")</f>
        <v>Seniors</v>
      </c>
      <c r="J606" s="6">
        <f>VLOOKUP(F606,Analysis!$F$1:$G$5,2,FALSE)</f>
        <v>2509.1716796874912</v>
      </c>
      <c r="K606">
        <f t="shared" si="36"/>
        <v>1731.7</v>
      </c>
      <c r="L606">
        <f t="shared" si="37"/>
        <v>1731.71</v>
      </c>
      <c r="M606">
        <f t="shared" si="38"/>
        <v>1731.71</v>
      </c>
      <c r="N606" s="5" t="str">
        <f t="shared" si="39"/>
        <v>April 2022</v>
      </c>
    </row>
    <row r="607" spans="1:14" x14ac:dyDescent="0.25">
      <c r="A607" s="1">
        <v>44652</v>
      </c>
      <c r="B607" t="s">
        <v>2932</v>
      </c>
      <c r="C607">
        <v>26</v>
      </c>
      <c r="D607" t="s">
        <v>9</v>
      </c>
      <c r="E607" t="s">
        <v>10</v>
      </c>
      <c r="F607" t="s">
        <v>16</v>
      </c>
      <c r="G607" t="s">
        <v>27</v>
      </c>
      <c r="H607">
        <v>1778.91</v>
      </c>
      <c r="I607" s="8" t="str" cm="1">
        <f t="array" ref="I607">_xlfn.IFS(C607&lt;=15,"Children and Young Adolescents", C607&gt;64, "Seniors", TRUE, "Working Age")</f>
        <v>Working Age</v>
      </c>
      <c r="J607" s="6">
        <f>VLOOKUP(F607,Analysis!$F$1:$G$5,2,FALSE)</f>
        <v>2509.1716796874912</v>
      </c>
      <c r="K607">
        <f t="shared" si="36"/>
        <v>1956.8</v>
      </c>
      <c r="L607">
        <f t="shared" si="37"/>
        <v>1956.81</v>
      </c>
      <c r="M607">
        <f t="shared" si="38"/>
        <v>1956.8</v>
      </c>
      <c r="N607" s="5" t="str">
        <f t="shared" si="39"/>
        <v>April 2022</v>
      </c>
    </row>
    <row r="608" spans="1:14" x14ac:dyDescent="0.25">
      <c r="A608" s="1">
        <v>44652</v>
      </c>
      <c r="B608" t="s">
        <v>2282</v>
      </c>
      <c r="C608">
        <v>66</v>
      </c>
      <c r="D608" t="s">
        <v>21</v>
      </c>
      <c r="E608" t="s">
        <v>32</v>
      </c>
      <c r="F608" t="s">
        <v>29</v>
      </c>
      <c r="G608" t="s">
        <v>39</v>
      </c>
      <c r="H608">
        <v>4242.8</v>
      </c>
      <c r="I608" s="8" t="str" cm="1">
        <f t="array" ref="I608">_xlfn.IFS(C608&lt;=15,"Children and Young Adolescents", C608&gt;64, "Seniors", TRUE, "Working Age")</f>
        <v>Seniors</v>
      </c>
      <c r="J608" s="6">
        <f>VLOOKUP(F608,Analysis!$F$1:$G$5,2,FALSE)</f>
        <v>2496.7676064256989</v>
      </c>
      <c r="K608">
        <f t="shared" si="36"/>
        <v>4667.08</v>
      </c>
      <c r="L608">
        <f t="shared" si="37"/>
        <v>4667.08</v>
      </c>
      <c r="M608">
        <f t="shared" si="38"/>
        <v>4667.08</v>
      </c>
      <c r="N608" s="5" t="str">
        <f t="shared" si="39"/>
        <v>April 2022</v>
      </c>
    </row>
    <row r="609" spans="1:14" x14ac:dyDescent="0.25">
      <c r="A609" s="1">
        <v>44652</v>
      </c>
      <c r="B609" t="s">
        <v>1162</v>
      </c>
      <c r="C609">
        <v>51</v>
      </c>
      <c r="D609" t="s">
        <v>9</v>
      </c>
      <c r="E609" t="s">
        <v>25</v>
      </c>
      <c r="F609" t="s">
        <v>29</v>
      </c>
      <c r="G609" t="s">
        <v>27</v>
      </c>
      <c r="H609">
        <v>3073.22</v>
      </c>
      <c r="I609" s="8" t="str" cm="1">
        <f t="array" ref="I609">_xlfn.IFS(C609&lt;=15,"Children and Young Adolescents", C609&gt;64, "Seniors", TRUE, "Working Age")</f>
        <v>Working Age</v>
      </c>
      <c r="J609" s="6">
        <f>VLOOKUP(F609,Analysis!$F$1:$G$5,2,FALSE)</f>
        <v>2496.7676064256989</v>
      </c>
      <c r="K609">
        <f t="shared" si="36"/>
        <v>3380.54</v>
      </c>
      <c r="L609">
        <f t="shared" si="37"/>
        <v>3380.55</v>
      </c>
      <c r="M609">
        <f t="shared" si="38"/>
        <v>3380.54</v>
      </c>
      <c r="N609" s="5" t="str">
        <f t="shared" si="39"/>
        <v>April 2022</v>
      </c>
    </row>
    <row r="610" spans="1:14" x14ac:dyDescent="0.25">
      <c r="A610" s="1">
        <v>44652</v>
      </c>
      <c r="B610" t="s">
        <v>2276</v>
      </c>
      <c r="C610">
        <v>80</v>
      </c>
      <c r="D610" t="s">
        <v>21</v>
      </c>
      <c r="E610" t="s">
        <v>15</v>
      </c>
      <c r="F610" t="s">
        <v>29</v>
      </c>
      <c r="G610" t="s">
        <v>36</v>
      </c>
      <c r="H610">
        <v>2850.12</v>
      </c>
      <c r="I610" s="8" t="str" cm="1">
        <f t="array" ref="I610">_xlfn.IFS(C610&lt;=15,"Children and Young Adolescents", C610&gt;64, "Seniors", TRUE, "Working Age")</f>
        <v>Seniors</v>
      </c>
      <c r="J610" s="6">
        <f>VLOOKUP(F610,Analysis!$F$1:$G$5,2,FALSE)</f>
        <v>2496.7676064256989</v>
      </c>
      <c r="K610">
        <f t="shared" si="36"/>
        <v>3135.13</v>
      </c>
      <c r="L610">
        <f t="shared" si="37"/>
        <v>3135.1400000000003</v>
      </c>
      <c r="M610">
        <f t="shared" si="38"/>
        <v>3135.13</v>
      </c>
      <c r="N610" s="5" t="str">
        <f t="shared" si="39"/>
        <v>April 2022</v>
      </c>
    </row>
    <row r="611" spans="1:14" x14ac:dyDescent="0.25">
      <c r="A611" s="1">
        <v>44652</v>
      </c>
      <c r="B611" t="s">
        <v>2703</v>
      </c>
      <c r="C611">
        <v>82</v>
      </c>
      <c r="D611" t="s">
        <v>9</v>
      </c>
      <c r="E611" t="s">
        <v>5032</v>
      </c>
      <c r="F611" t="s">
        <v>16</v>
      </c>
      <c r="G611" t="s">
        <v>17</v>
      </c>
      <c r="H611">
        <v>3338.96</v>
      </c>
      <c r="I611" s="8" t="str" cm="1">
        <f t="array" ref="I611">_xlfn.IFS(C611&lt;=15,"Children and Young Adolescents", C611&gt;64, "Seniors", TRUE, "Working Age")</f>
        <v>Seniors</v>
      </c>
      <c r="J611" s="6">
        <f>VLOOKUP(F611,Analysis!$F$1:$G$5,2,FALSE)</f>
        <v>2509.1716796874912</v>
      </c>
      <c r="K611">
        <f t="shared" si="36"/>
        <v>3672.85</v>
      </c>
      <c r="L611">
        <f t="shared" si="37"/>
        <v>3672.86</v>
      </c>
      <c r="M611">
        <f t="shared" si="38"/>
        <v>3672.86</v>
      </c>
      <c r="N611" s="5" t="str">
        <f t="shared" si="39"/>
        <v>April 2022</v>
      </c>
    </row>
    <row r="612" spans="1:14" x14ac:dyDescent="0.25">
      <c r="A612" s="1">
        <v>44652</v>
      </c>
      <c r="B612" t="s">
        <v>2005</v>
      </c>
      <c r="C612">
        <v>95</v>
      </c>
      <c r="D612" t="s">
        <v>21</v>
      </c>
      <c r="E612" t="s">
        <v>25</v>
      </c>
      <c r="F612" t="s">
        <v>16</v>
      </c>
      <c r="G612" t="s">
        <v>39</v>
      </c>
      <c r="H612">
        <v>3769.91</v>
      </c>
      <c r="I612" s="8" t="str" cm="1">
        <f t="array" ref="I612">_xlfn.IFS(C612&lt;=15,"Children and Young Adolescents", C612&gt;64, "Seniors", TRUE, "Working Age")</f>
        <v>Seniors</v>
      </c>
      <c r="J612" s="6">
        <f>VLOOKUP(F612,Analysis!$F$1:$G$5,2,FALSE)</f>
        <v>2509.1716796874912</v>
      </c>
      <c r="K612">
        <f t="shared" si="36"/>
        <v>4146.8999999999996</v>
      </c>
      <c r="L612">
        <f t="shared" si="37"/>
        <v>4146.91</v>
      </c>
      <c r="M612">
        <f t="shared" si="38"/>
        <v>4146.8999999999996</v>
      </c>
      <c r="N612" s="5" t="str">
        <f t="shared" si="39"/>
        <v>April 2022</v>
      </c>
    </row>
    <row r="613" spans="1:14" x14ac:dyDescent="0.25">
      <c r="A613" s="1">
        <v>44652</v>
      </c>
      <c r="B613" t="s">
        <v>2268</v>
      </c>
      <c r="C613">
        <v>35</v>
      </c>
      <c r="D613" t="s">
        <v>9</v>
      </c>
      <c r="E613" t="s">
        <v>25</v>
      </c>
      <c r="F613" t="s">
        <v>16</v>
      </c>
      <c r="G613" t="s">
        <v>12</v>
      </c>
      <c r="H613">
        <v>3710.47</v>
      </c>
      <c r="I613" s="8" t="str" cm="1">
        <f t="array" ref="I613">_xlfn.IFS(C613&lt;=15,"Children and Young Adolescents", C613&gt;64, "Seniors", TRUE, "Working Age")</f>
        <v>Working Age</v>
      </c>
      <c r="J613" s="6">
        <f>VLOOKUP(F613,Analysis!$F$1:$G$5,2,FALSE)</f>
        <v>2509.1716796874912</v>
      </c>
      <c r="K613">
        <f t="shared" si="36"/>
        <v>4081.51</v>
      </c>
      <c r="L613">
        <f t="shared" si="37"/>
        <v>4081.5200000000004</v>
      </c>
      <c r="M613">
        <f t="shared" si="38"/>
        <v>4081.52</v>
      </c>
      <c r="N613" s="5" t="str">
        <f t="shared" si="39"/>
        <v>April 2022</v>
      </c>
    </row>
    <row r="614" spans="1:14" x14ac:dyDescent="0.25">
      <c r="A614" s="1">
        <v>44652</v>
      </c>
      <c r="B614" t="s">
        <v>2564</v>
      </c>
      <c r="C614">
        <v>35</v>
      </c>
      <c r="D614" t="s">
        <v>9</v>
      </c>
      <c r="E614" t="s">
        <v>22</v>
      </c>
      <c r="F614" t="s">
        <v>29</v>
      </c>
      <c r="G614" t="s">
        <v>27</v>
      </c>
      <c r="H614">
        <v>3808.2</v>
      </c>
      <c r="I614" s="8" t="str" cm="1">
        <f t="array" ref="I614">_xlfn.IFS(C614&lt;=15,"Children and Young Adolescents", C614&gt;64, "Seniors", TRUE, "Working Age")</f>
        <v>Working Age</v>
      </c>
      <c r="J614" s="6">
        <f>VLOOKUP(F614,Analysis!$F$1:$G$5,2,FALSE)</f>
        <v>2496.7676064256989</v>
      </c>
      <c r="K614">
        <f t="shared" si="36"/>
        <v>4189.0200000000004</v>
      </c>
      <c r="L614">
        <f t="shared" si="37"/>
        <v>4189.0200000000004</v>
      </c>
      <c r="M614">
        <f t="shared" si="38"/>
        <v>4189.0200000000004</v>
      </c>
      <c r="N614" s="5" t="str">
        <f t="shared" si="39"/>
        <v>April 2022</v>
      </c>
    </row>
    <row r="615" spans="1:14" x14ac:dyDescent="0.25">
      <c r="A615" s="1">
        <v>44652</v>
      </c>
      <c r="B615" t="s">
        <v>3031</v>
      </c>
      <c r="C615">
        <v>26</v>
      </c>
      <c r="D615" t="s">
        <v>9</v>
      </c>
      <c r="E615" t="s">
        <v>19</v>
      </c>
      <c r="F615" t="s">
        <v>11</v>
      </c>
      <c r="G615" t="s">
        <v>36</v>
      </c>
      <c r="H615">
        <v>4358.2299999999996</v>
      </c>
      <c r="I615" s="8" t="str" cm="1">
        <f t="array" ref="I615">_xlfn.IFS(C615&lt;=15,"Children and Young Adolescents", C615&gt;64, "Seniors", TRUE, "Working Age")</f>
        <v>Working Age</v>
      </c>
      <c r="J615" s="6">
        <f>VLOOKUP(F615,Analysis!$F$1:$G$5,2,FALSE)</f>
        <v>2503.6022787783854</v>
      </c>
      <c r="K615">
        <f t="shared" si="36"/>
        <v>4794.05</v>
      </c>
      <c r="L615">
        <f t="shared" si="37"/>
        <v>4794.0600000000004</v>
      </c>
      <c r="M615">
        <f t="shared" si="38"/>
        <v>4794.05</v>
      </c>
      <c r="N615" s="5" t="str">
        <f t="shared" si="39"/>
        <v>April 2022</v>
      </c>
    </row>
    <row r="616" spans="1:14" x14ac:dyDescent="0.25">
      <c r="A616" s="1">
        <v>44653</v>
      </c>
      <c r="B616" t="s">
        <v>2457</v>
      </c>
      <c r="C616">
        <v>88</v>
      </c>
      <c r="D616" t="s">
        <v>9</v>
      </c>
      <c r="E616" t="s">
        <v>25</v>
      </c>
      <c r="F616" t="s">
        <v>16</v>
      </c>
      <c r="G616" t="s">
        <v>5033</v>
      </c>
      <c r="H616">
        <v>4687.7700000000004</v>
      </c>
      <c r="I616" s="8" t="str" cm="1">
        <f t="array" ref="I616">_xlfn.IFS(C616&lt;=15,"Children and Young Adolescents", C616&gt;64, "Seniors", TRUE, "Working Age")</f>
        <v>Seniors</v>
      </c>
      <c r="J616" s="6">
        <f>VLOOKUP(F616,Analysis!$F$1:$G$5,2,FALSE)</f>
        <v>2509.1716796874912</v>
      </c>
      <c r="K616">
        <f t="shared" si="36"/>
        <v>5156.54</v>
      </c>
      <c r="L616">
        <f t="shared" si="37"/>
        <v>5156.55</v>
      </c>
      <c r="M616">
        <f t="shared" si="38"/>
        <v>5156.55</v>
      </c>
      <c r="N616" s="5" t="str">
        <f t="shared" si="39"/>
        <v>April 2022</v>
      </c>
    </row>
    <row r="617" spans="1:14" x14ac:dyDescent="0.25">
      <c r="A617" s="1">
        <v>44653</v>
      </c>
      <c r="B617" t="s">
        <v>2165</v>
      </c>
      <c r="C617">
        <v>17</v>
      </c>
      <c r="D617" t="s">
        <v>21</v>
      </c>
      <c r="E617" t="s">
        <v>32</v>
      </c>
      <c r="F617" t="s">
        <v>16</v>
      </c>
      <c r="G617" t="s">
        <v>17</v>
      </c>
      <c r="H617">
        <v>4853.9799999999996</v>
      </c>
      <c r="I617" s="8" t="str" cm="1">
        <f t="array" ref="I617">_xlfn.IFS(C617&lt;=15,"Children and Young Adolescents", C617&gt;64, "Seniors", TRUE, "Working Age")</f>
        <v>Working Age</v>
      </c>
      <c r="J617" s="6">
        <f>VLOOKUP(F617,Analysis!$F$1:$G$5,2,FALSE)</f>
        <v>2509.1716796874912</v>
      </c>
      <c r="K617">
        <f t="shared" si="36"/>
        <v>5339.37</v>
      </c>
      <c r="L617">
        <f t="shared" si="37"/>
        <v>5339.38</v>
      </c>
      <c r="M617">
        <f t="shared" si="38"/>
        <v>5339.38</v>
      </c>
      <c r="N617" s="5" t="str">
        <f t="shared" si="39"/>
        <v>April 2022</v>
      </c>
    </row>
    <row r="618" spans="1:14" x14ac:dyDescent="0.25">
      <c r="A618" s="1">
        <v>44653</v>
      </c>
      <c r="B618" t="s">
        <v>5025</v>
      </c>
      <c r="C618">
        <v>67</v>
      </c>
      <c r="D618" t="s">
        <v>9</v>
      </c>
      <c r="E618" t="s">
        <v>34</v>
      </c>
      <c r="F618" t="s">
        <v>23</v>
      </c>
      <c r="G618" t="s">
        <v>17</v>
      </c>
      <c r="H618">
        <v>2069.06</v>
      </c>
      <c r="I618" s="8" t="str" cm="1">
        <f t="array" ref="I618">_xlfn.IFS(C618&lt;=15,"Children and Young Adolescents", C618&gt;64, "Seniors", TRUE, "Working Age")</f>
        <v>Seniors</v>
      </c>
      <c r="J618" s="6">
        <f>VLOOKUP(F618,Analysis!$F$1:$G$5,2,FALSE)</f>
        <v>2440.2966694490838</v>
      </c>
      <c r="K618">
        <f t="shared" si="36"/>
        <v>2275.96</v>
      </c>
      <c r="L618">
        <f t="shared" si="37"/>
        <v>2275.9700000000003</v>
      </c>
      <c r="M618">
        <f t="shared" si="38"/>
        <v>2275.9699999999998</v>
      </c>
      <c r="N618" s="5" t="str">
        <f t="shared" si="39"/>
        <v>April 2022</v>
      </c>
    </row>
    <row r="619" spans="1:14" x14ac:dyDescent="0.25">
      <c r="A619" s="1">
        <v>44654</v>
      </c>
      <c r="B619" t="s">
        <v>323</v>
      </c>
      <c r="C619">
        <v>26</v>
      </c>
      <c r="D619" t="s">
        <v>9</v>
      </c>
      <c r="E619" t="s">
        <v>10</v>
      </c>
      <c r="F619" t="s">
        <v>16</v>
      </c>
      <c r="G619" t="s">
        <v>12</v>
      </c>
      <c r="H619">
        <v>3925.51</v>
      </c>
      <c r="I619" s="8" t="str" cm="1">
        <f t="array" ref="I619">_xlfn.IFS(C619&lt;=15,"Children and Young Adolescents", C619&gt;64, "Seniors", TRUE, "Working Age")</f>
        <v>Working Age</v>
      </c>
      <c r="J619" s="6">
        <f>VLOOKUP(F619,Analysis!$F$1:$G$5,2,FALSE)</f>
        <v>2509.1716796874912</v>
      </c>
      <c r="K619">
        <f t="shared" si="36"/>
        <v>4318.0600000000004</v>
      </c>
      <c r="L619">
        <f t="shared" si="37"/>
        <v>4318.0700000000006</v>
      </c>
      <c r="M619">
        <f t="shared" si="38"/>
        <v>4318.0600000000004</v>
      </c>
      <c r="N619" s="5" t="str">
        <f t="shared" si="39"/>
        <v>April 2022</v>
      </c>
    </row>
    <row r="620" spans="1:14" x14ac:dyDescent="0.25">
      <c r="A620" s="1">
        <v>44654</v>
      </c>
      <c r="B620" t="s">
        <v>4247</v>
      </c>
      <c r="C620">
        <v>84</v>
      </c>
      <c r="D620" t="s">
        <v>14</v>
      </c>
      <c r="E620" t="s">
        <v>19</v>
      </c>
      <c r="F620" t="s">
        <v>23</v>
      </c>
      <c r="G620" t="s">
        <v>17</v>
      </c>
      <c r="H620">
        <v>46.63</v>
      </c>
      <c r="I620" s="8" t="str" cm="1">
        <f t="array" ref="I620">_xlfn.IFS(C620&lt;=15,"Children and Young Adolescents", C620&gt;64, "Seniors", TRUE, "Working Age")</f>
        <v>Seniors</v>
      </c>
      <c r="J620" s="6">
        <f>VLOOKUP(F620,Analysis!$F$1:$G$5,2,FALSE)</f>
        <v>2440.2966694490838</v>
      </c>
      <c r="K620">
        <f t="shared" si="36"/>
        <v>51.29</v>
      </c>
      <c r="L620">
        <f t="shared" si="37"/>
        <v>51.3</v>
      </c>
      <c r="M620">
        <f t="shared" si="38"/>
        <v>51.29</v>
      </c>
      <c r="N620" s="5" t="str">
        <f t="shared" si="39"/>
        <v>April 2022</v>
      </c>
    </row>
    <row r="621" spans="1:14" x14ac:dyDescent="0.25">
      <c r="A621" s="1">
        <v>44654</v>
      </c>
      <c r="B621" t="s">
        <v>1811</v>
      </c>
      <c r="C621">
        <v>72</v>
      </c>
      <c r="D621" t="s">
        <v>9</v>
      </c>
      <c r="E621" t="s">
        <v>22</v>
      </c>
      <c r="F621" t="s">
        <v>16</v>
      </c>
      <c r="G621" t="s">
        <v>27</v>
      </c>
      <c r="H621">
        <v>4236.1499999999996</v>
      </c>
      <c r="I621" s="8" t="str" cm="1">
        <f t="array" ref="I621">_xlfn.IFS(C621&lt;=15,"Children and Young Adolescents", C621&gt;64, "Seniors", TRUE, "Working Age")</f>
        <v>Seniors</v>
      </c>
      <c r="J621" s="6">
        <f>VLOOKUP(F621,Analysis!$F$1:$G$5,2,FALSE)</f>
        <v>2509.1716796874912</v>
      </c>
      <c r="K621">
        <f t="shared" si="36"/>
        <v>4659.76</v>
      </c>
      <c r="L621">
        <f t="shared" si="37"/>
        <v>4659.7700000000004</v>
      </c>
      <c r="M621">
        <f t="shared" si="38"/>
        <v>4659.7700000000004</v>
      </c>
      <c r="N621" s="5" t="str">
        <f t="shared" si="39"/>
        <v>April 2022</v>
      </c>
    </row>
    <row r="622" spans="1:14" x14ac:dyDescent="0.25">
      <c r="A622" s="1">
        <v>44654</v>
      </c>
      <c r="B622" t="s">
        <v>4167</v>
      </c>
      <c r="C622">
        <v>16</v>
      </c>
      <c r="D622" t="s">
        <v>9</v>
      </c>
      <c r="E622" t="s">
        <v>32</v>
      </c>
      <c r="F622" t="s">
        <v>23</v>
      </c>
      <c r="G622" t="s">
        <v>17</v>
      </c>
      <c r="H622">
        <v>4197.54</v>
      </c>
      <c r="I622" s="8" t="str" cm="1">
        <f t="array" ref="I622">_xlfn.IFS(C622&lt;=15,"Children and Young Adolescents", C622&gt;64, "Seniors", TRUE, "Working Age")</f>
        <v>Working Age</v>
      </c>
      <c r="J622" s="6">
        <f>VLOOKUP(F622,Analysis!$F$1:$G$5,2,FALSE)</f>
        <v>2440.2966694490838</v>
      </c>
      <c r="K622">
        <f t="shared" si="36"/>
        <v>4617.29</v>
      </c>
      <c r="L622">
        <f t="shared" si="37"/>
        <v>4617.3</v>
      </c>
      <c r="M622">
        <f t="shared" si="38"/>
        <v>4617.29</v>
      </c>
      <c r="N622" s="5" t="str">
        <f t="shared" si="39"/>
        <v>April 2022</v>
      </c>
    </row>
    <row r="623" spans="1:14" x14ac:dyDescent="0.25">
      <c r="A623" s="1">
        <v>44655</v>
      </c>
      <c r="B623" t="s">
        <v>2440</v>
      </c>
      <c r="C623">
        <v>32</v>
      </c>
      <c r="D623" t="s">
        <v>21</v>
      </c>
      <c r="E623" t="s">
        <v>15</v>
      </c>
      <c r="F623" t="s">
        <v>11</v>
      </c>
      <c r="G623" t="s">
        <v>12</v>
      </c>
      <c r="H623">
        <v>2481.65</v>
      </c>
      <c r="I623" s="8" t="str" cm="1">
        <f t="array" ref="I623">_xlfn.IFS(C623&lt;=15,"Children and Young Adolescents", C623&gt;64, "Seniors", TRUE, "Working Age")</f>
        <v>Working Age</v>
      </c>
      <c r="J623" s="6">
        <f>VLOOKUP(F623,Analysis!$F$1:$G$5,2,FALSE)</f>
        <v>2503.6022787783854</v>
      </c>
      <c r="K623">
        <f t="shared" si="36"/>
        <v>2729.81</v>
      </c>
      <c r="L623">
        <f t="shared" si="37"/>
        <v>2729.82</v>
      </c>
      <c r="M623">
        <f t="shared" si="38"/>
        <v>2729.82</v>
      </c>
      <c r="N623" s="5" t="str">
        <f t="shared" si="39"/>
        <v>April 2022</v>
      </c>
    </row>
    <row r="624" spans="1:14" x14ac:dyDescent="0.25">
      <c r="A624" s="1">
        <v>44655</v>
      </c>
      <c r="B624" t="s">
        <v>659</v>
      </c>
      <c r="C624">
        <v>79</v>
      </c>
      <c r="D624" t="s">
        <v>21</v>
      </c>
      <c r="E624" t="s">
        <v>25</v>
      </c>
      <c r="F624" t="s">
        <v>23</v>
      </c>
      <c r="G624" t="s">
        <v>36</v>
      </c>
      <c r="H624">
        <v>1616.52</v>
      </c>
      <c r="I624" s="8" t="str" cm="1">
        <f t="array" ref="I624">_xlfn.IFS(C624&lt;=15,"Children and Young Adolescents", C624&gt;64, "Seniors", TRUE, "Working Age")</f>
        <v>Seniors</v>
      </c>
      <c r="J624" s="6">
        <f>VLOOKUP(F624,Analysis!$F$1:$G$5,2,FALSE)</f>
        <v>2440.2966694490838</v>
      </c>
      <c r="K624">
        <f t="shared" si="36"/>
        <v>1778.17</v>
      </c>
      <c r="L624">
        <f t="shared" si="37"/>
        <v>1778.18</v>
      </c>
      <c r="M624">
        <f t="shared" si="38"/>
        <v>1778.17</v>
      </c>
      <c r="N624" s="5" t="str">
        <f t="shared" si="39"/>
        <v>April 2022</v>
      </c>
    </row>
    <row r="625" spans="1:14" x14ac:dyDescent="0.25">
      <c r="A625" s="1">
        <v>44655</v>
      </c>
      <c r="B625" t="s">
        <v>2362</v>
      </c>
      <c r="C625">
        <v>94</v>
      </c>
      <c r="D625" t="s">
        <v>9</v>
      </c>
      <c r="E625" t="s">
        <v>10</v>
      </c>
      <c r="F625" t="s">
        <v>23</v>
      </c>
      <c r="G625" t="s">
        <v>39</v>
      </c>
      <c r="H625">
        <v>2623.33</v>
      </c>
      <c r="I625" s="8" t="str" cm="1">
        <f t="array" ref="I625">_xlfn.IFS(C625&lt;=15,"Children and Young Adolescents", C625&gt;64, "Seniors", TRUE, "Working Age")</f>
        <v>Seniors</v>
      </c>
      <c r="J625" s="6">
        <f>VLOOKUP(F625,Analysis!$F$1:$G$5,2,FALSE)</f>
        <v>2440.2966694490838</v>
      </c>
      <c r="K625">
        <f t="shared" si="36"/>
        <v>2885.66</v>
      </c>
      <c r="L625">
        <f t="shared" si="37"/>
        <v>2885.67</v>
      </c>
      <c r="M625">
        <f t="shared" si="38"/>
        <v>2885.66</v>
      </c>
      <c r="N625" s="5" t="str">
        <f t="shared" si="39"/>
        <v>April 2022</v>
      </c>
    </row>
    <row r="626" spans="1:14" x14ac:dyDescent="0.25">
      <c r="A626" s="1">
        <v>44655</v>
      </c>
      <c r="B626" t="s">
        <v>908</v>
      </c>
      <c r="C626">
        <v>30</v>
      </c>
      <c r="D626" t="s">
        <v>14</v>
      </c>
      <c r="E626" t="s">
        <v>5032</v>
      </c>
      <c r="F626" t="s">
        <v>29</v>
      </c>
      <c r="G626" t="s">
        <v>39</v>
      </c>
      <c r="H626">
        <v>2459.5500000000002</v>
      </c>
      <c r="I626" s="8" t="str" cm="1">
        <f t="array" ref="I626">_xlfn.IFS(C626&lt;=15,"Children and Young Adolescents", C626&gt;64, "Seniors", TRUE, "Working Age")</f>
        <v>Working Age</v>
      </c>
      <c r="J626" s="6">
        <f>VLOOKUP(F626,Analysis!$F$1:$G$5,2,FALSE)</f>
        <v>2496.7676064256989</v>
      </c>
      <c r="K626">
        <f t="shared" si="36"/>
        <v>2705.5</v>
      </c>
      <c r="L626">
        <f t="shared" si="37"/>
        <v>2705.51</v>
      </c>
      <c r="M626">
        <f t="shared" si="38"/>
        <v>2705.51</v>
      </c>
      <c r="N626" s="5" t="str">
        <f t="shared" si="39"/>
        <v>April 2022</v>
      </c>
    </row>
    <row r="627" spans="1:14" x14ac:dyDescent="0.25">
      <c r="A627" s="1">
        <v>44655</v>
      </c>
      <c r="B627" t="s">
        <v>766</v>
      </c>
      <c r="C627">
        <v>35</v>
      </c>
      <c r="D627" t="s">
        <v>9</v>
      </c>
      <c r="E627" t="s">
        <v>22</v>
      </c>
      <c r="F627" t="s">
        <v>23</v>
      </c>
      <c r="G627" t="s">
        <v>36</v>
      </c>
      <c r="H627">
        <v>1988.31</v>
      </c>
      <c r="I627" s="8" t="str" cm="1">
        <f t="array" ref="I627">_xlfn.IFS(C627&lt;=15,"Children and Young Adolescents", C627&gt;64, "Seniors", TRUE, "Working Age")</f>
        <v>Working Age</v>
      </c>
      <c r="J627" s="6">
        <f>VLOOKUP(F627,Analysis!$F$1:$G$5,2,FALSE)</f>
        <v>2440.2966694490838</v>
      </c>
      <c r="K627">
        <f t="shared" si="36"/>
        <v>2187.14</v>
      </c>
      <c r="L627">
        <f t="shared" si="37"/>
        <v>2187.15</v>
      </c>
      <c r="M627">
        <f t="shared" si="38"/>
        <v>2187.14</v>
      </c>
      <c r="N627" s="5" t="str">
        <f t="shared" si="39"/>
        <v>April 2022</v>
      </c>
    </row>
    <row r="628" spans="1:14" x14ac:dyDescent="0.25">
      <c r="A628" s="1">
        <v>44655</v>
      </c>
      <c r="B628" t="s">
        <v>3596</v>
      </c>
      <c r="C628">
        <v>85</v>
      </c>
      <c r="D628" t="s">
        <v>9</v>
      </c>
      <c r="E628" t="s">
        <v>34</v>
      </c>
      <c r="F628" t="s">
        <v>23</v>
      </c>
      <c r="G628" t="s">
        <v>17</v>
      </c>
      <c r="H628">
        <v>3126.41</v>
      </c>
      <c r="I628" s="8" t="str" cm="1">
        <f t="array" ref="I628">_xlfn.IFS(C628&lt;=15,"Children and Young Adolescents", C628&gt;64, "Seniors", TRUE, "Working Age")</f>
        <v>Seniors</v>
      </c>
      <c r="J628" s="6">
        <f>VLOOKUP(F628,Analysis!$F$1:$G$5,2,FALSE)</f>
        <v>2440.2966694490838</v>
      </c>
      <c r="K628">
        <f t="shared" si="36"/>
        <v>3439.05</v>
      </c>
      <c r="L628">
        <f t="shared" si="37"/>
        <v>3439.0600000000004</v>
      </c>
      <c r="M628">
        <f t="shared" si="38"/>
        <v>3439.05</v>
      </c>
      <c r="N628" s="5" t="str">
        <f t="shared" si="39"/>
        <v>April 2022</v>
      </c>
    </row>
    <row r="629" spans="1:14" x14ac:dyDescent="0.25">
      <c r="A629" s="1">
        <v>44655</v>
      </c>
      <c r="B629" t="s">
        <v>4892</v>
      </c>
      <c r="C629">
        <v>19</v>
      </c>
      <c r="D629" t="s">
        <v>21</v>
      </c>
      <c r="E629" t="s">
        <v>15</v>
      </c>
      <c r="F629" t="s">
        <v>23</v>
      </c>
      <c r="G629" t="s">
        <v>36</v>
      </c>
      <c r="H629">
        <v>2237.98</v>
      </c>
      <c r="I629" s="8" t="str" cm="1">
        <f t="array" ref="I629">_xlfn.IFS(C629&lt;=15,"Children and Young Adolescents", C629&gt;64, "Seniors", TRUE, "Working Age")</f>
        <v>Working Age</v>
      </c>
      <c r="J629" s="6">
        <f>VLOOKUP(F629,Analysis!$F$1:$G$5,2,FALSE)</f>
        <v>2440.2966694490838</v>
      </c>
      <c r="K629">
        <f t="shared" si="36"/>
        <v>2461.77</v>
      </c>
      <c r="L629">
        <f t="shared" si="37"/>
        <v>2461.7800000000002</v>
      </c>
      <c r="M629">
        <f t="shared" si="38"/>
        <v>2461.7800000000002</v>
      </c>
      <c r="N629" s="5" t="str">
        <f t="shared" si="39"/>
        <v>April 2022</v>
      </c>
    </row>
    <row r="630" spans="1:14" x14ac:dyDescent="0.25">
      <c r="A630" s="1">
        <v>44656</v>
      </c>
      <c r="B630" t="s">
        <v>3508</v>
      </c>
      <c r="C630">
        <v>46</v>
      </c>
      <c r="D630" t="s">
        <v>21</v>
      </c>
      <c r="E630" t="s">
        <v>5032</v>
      </c>
      <c r="F630" t="s">
        <v>16</v>
      </c>
      <c r="G630" t="s">
        <v>12</v>
      </c>
      <c r="H630">
        <v>3202.11</v>
      </c>
      <c r="I630" s="8" t="str" cm="1">
        <f t="array" ref="I630">_xlfn.IFS(C630&lt;=15,"Children and Young Adolescents", C630&gt;64, "Seniors", TRUE, "Working Age")</f>
        <v>Working Age</v>
      </c>
      <c r="J630" s="6">
        <f>VLOOKUP(F630,Analysis!$F$1:$G$5,2,FALSE)</f>
        <v>2509.1716796874912</v>
      </c>
      <c r="K630">
        <f t="shared" si="36"/>
        <v>3522.32</v>
      </c>
      <c r="L630">
        <f t="shared" si="37"/>
        <v>3522.3300000000004</v>
      </c>
      <c r="M630">
        <f t="shared" si="38"/>
        <v>3522.32</v>
      </c>
      <c r="N630" s="5" t="str">
        <f t="shared" si="39"/>
        <v>April 2022</v>
      </c>
    </row>
    <row r="631" spans="1:14" x14ac:dyDescent="0.25">
      <c r="A631" s="1">
        <v>44656</v>
      </c>
      <c r="B631" t="s">
        <v>4392</v>
      </c>
      <c r="C631">
        <v>87</v>
      </c>
      <c r="D631" t="s">
        <v>21</v>
      </c>
      <c r="E631" t="s">
        <v>22</v>
      </c>
      <c r="F631" t="s">
        <v>29</v>
      </c>
      <c r="G631" t="s">
        <v>27</v>
      </c>
      <c r="H631">
        <v>4257.1499999999996</v>
      </c>
      <c r="I631" s="8" t="str" cm="1">
        <f t="array" ref="I631">_xlfn.IFS(C631&lt;=15,"Children and Young Adolescents", C631&gt;64, "Seniors", TRUE, "Working Age")</f>
        <v>Seniors</v>
      </c>
      <c r="J631" s="6">
        <f>VLOOKUP(F631,Analysis!$F$1:$G$5,2,FALSE)</f>
        <v>2496.7676064256989</v>
      </c>
      <c r="K631">
        <f t="shared" si="36"/>
        <v>4682.8599999999997</v>
      </c>
      <c r="L631">
        <f t="shared" si="37"/>
        <v>4682.87</v>
      </c>
      <c r="M631">
        <f t="shared" si="38"/>
        <v>4682.87</v>
      </c>
      <c r="N631" s="5" t="str">
        <f t="shared" si="39"/>
        <v>April 2022</v>
      </c>
    </row>
    <row r="632" spans="1:14" x14ac:dyDescent="0.25">
      <c r="A632" s="1">
        <v>44656</v>
      </c>
      <c r="B632" t="s">
        <v>3771</v>
      </c>
      <c r="C632">
        <v>63</v>
      </c>
      <c r="D632" t="s">
        <v>9</v>
      </c>
      <c r="E632" t="s">
        <v>5032</v>
      </c>
      <c r="F632" t="s">
        <v>16</v>
      </c>
      <c r="G632" t="s">
        <v>12</v>
      </c>
      <c r="H632">
        <v>4041.58</v>
      </c>
      <c r="I632" s="8" t="str" cm="1">
        <f t="array" ref="I632">_xlfn.IFS(C632&lt;=15,"Children and Young Adolescents", C632&gt;64, "Seniors", TRUE, "Working Age")</f>
        <v>Working Age</v>
      </c>
      <c r="J632" s="6">
        <f>VLOOKUP(F632,Analysis!$F$1:$G$5,2,FALSE)</f>
        <v>2509.1716796874912</v>
      </c>
      <c r="K632">
        <f t="shared" si="36"/>
        <v>4445.7299999999996</v>
      </c>
      <c r="L632">
        <f t="shared" si="37"/>
        <v>4445.74</v>
      </c>
      <c r="M632">
        <f t="shared" si="38"/>
        <v>4445.74</v>
      </c>
      <c r="N632" s="5" t="str">
        <f t="shared" si="39"/>
        <v>April 2022</v>
      </c>
    </row>
    <row r="633" spans="1:14" x14ac:dyDescent="0.25">
      <c r="A633" s="1">
        <v>44656</v>
      </c>
      <c r="B633" t="s">
        <v>100</v>
      </c>
      <c r="C633">
        <v>77</v>
      </c>
      <c r="D633" t="s">
        <v>14</v>
      </c>
      <c r="E633" t="s">
        <v>10</v>
      </c>
      <c r="F633" t="s">
        <v>16</v>
      </c>
      <c r="G633" t="s">
        <v>27</v>
      </c>
      <c r="H633">
        <v>918.96</v>
      </c>
      <c r="I633" s="8" t="str" cm="1">
        <f t="array" ref="I633">_xlfn.IFS(C633&lt;=15,"Children and Young Adolescents", C633&gt;64, "Seniors", TRUE, "Working Age")</f>
        <v>Seniors</v>
      </c>
      <c r="J633" s="6">
        <f>VLOOKUP(F633,Analysis!$F$1:$G$5,2,FALSE)</f>
        <v>2509.1716796874912</v>
      </c>
      <c r="K633">
        <f t="shared" si="36"/>
        <v>1010.85</v>
      </c>
      <c r="L633">
        <f t="shared" si="37"/>
        <v>1010.86</v>
      </c>
      <c r="M633">
        <f t="shared" si="38"/>
        <v>1010.86</v>
      </c>
      <c r="N633" s="5" t="str">
        <f t="shared" si="39"/>
        <v>April 2022</v>
      </c>
    </row>
    <row r="634" spans="1:14" x14ac:dyDescent="0.25">
      <c r="A634" s="1">
        <v>44656</v>
      </c>
      <c r="B634" t="s">
        <v>4219</v>
      </c>
      <c r="C634">
        <v>27</v>
      </c>
      <c r="D634" t="s">
        <v>9</v>
      </c>
      <c r="E634" t="s">
        <v>15</v>
      </c>
      <c r="F634" t="s">
        <v>11</v>
      </c>
      <c r="G634" t="s">
        <v>39</v>
      </c>
      <c r="H634">
        <v>4059.73</v>
      </c>
      <c r="I634" s="8" t="str" cm="1">
        <f t="array" ref="I634">_xlfn.IFS(C634&lt;=15,"Children and Young Adolescents", C634&gt;64, "Seniors", TRUE, "Working Age")</f>
        <v>Working Age</v>
      </c>
      <c r="J634" s="6">
        <f>VLOOKUP(F634,Analysis!$F$1:$G$5,2,FALSE)</f>
        <v>2503.6022787783854</v>
      </c>
      <c r="K634">
        <f t="shared" si="36"/>
        <v>4465.7</v>
      </c>
      <c r="L634">
        <f t="shared" si="37"/>
        <v>4465.71</v>
      </c>
      <c r="M634">
        <f t="shared" si="38"/>
        <v>4465.7</v>
      </c>
      <c r="N634" s="5" t="str">
        <f t="shared" si="39"/>
        <v>April 2022</v>
      </c>
    </row>
    <row r="635" spans="1:14" x14ac:dyDescent="0.25">
      <c r="A635" s="1">
        <v>44656</v>
      </c>
      <c r="B635" t="s">
        <v>232</v>
      </c>
      <c r="C635">
        <v>19</v>
      </c>
      <c r="D635" t="s">
        <v>21</v>
      </c>
      <c r="E635" t="s">
        <v>15</v>
      </c>
      <c r="F635" t="s">
        <v>29</v>
      </c>
      <c r="G635" t="s">
        <v>17</v>
      </c>
      <c r="H635">
        <v>1095.21</v>
      </c>
      <c r="I635" s="8" t="str" cm="1">
        <f t="array" ref="I635">_xlfn.IFS(C635&lt;=15,"Children and Young Adolescents", C635&gt;64, "Seniors", TRUE, "Working Age")</f>
        <v>Working Age</v>
      </c>
      <c r="J635" s="6">
        <f>VLOOKUP(F635,Analysis!$F$1:$G$5,2,FALSE)</f>
        <v>2496.7676064256989</v>
      </c>
      <c r="K635">
        <f t="shared" si="36"/>
        <v>1204.73</v>
      </c>
      <c r="L635">
        <f t="shared" si="37"/>
        <v>1204.74</v>
      </c>
      <c r="M635">
        <f t="shared" si="38"/>
        <v>1204.73</v>
      </c>
      <c r="N635" s="5" t="str">
        <f t="shared" si="39"/>
        <v>April 2022</v>
      </c>
    </row>
    <row r="636" spans="1:14" x14ac:dyDescent="0.25">
      <c r="A636" s="1">
        <v>44656</v>
      </c>
      <c r="B636" t="s">
        <v>4293</v>
      </c>
      <c r="C636">
        <v>24</v>
      </c>
      <c r="D636" t="s">
        <v>9</v>
      </c>
      <c r="E636" t="s">
        <v>5032</v>
      </c>
      <c r="F636" t="s">
        <v>23</v>
      </c>
      <c r="G636" t="s">
        <v>17</v>
      </c>
      <c r="H636">
        <v>616.53</v>
      </c>
      <c r="I636" s="8" t="str" cm="1">
        <f t="array" ref="I636">_xlfn.IFS(C636&lt;=15,"Children and Young Adolescents", C636&gt;64, "Seniors", TRUE, "Working Age")</f>
        <v>Working Age</v>
      </c>
      <c r="J636" s="6">
        <f>VLOOKUP(F636,Analysis!$F$1:$G$5,2,FALSE)</f>
        <v>2440.2966694490838</v>
      </c>
      <c r="K636">
        <f t="shared" si="36"/>
        <v>678.18</v>
      </c>
      <c r="L636">
        <f t="shared" si="37"/>
        <v>678.18999999999994</v>
      </c>
      <c r="M636">
        <f t="shared" si="38"/>
        <v>678.18</v>
      </c>
      <c r="N636" s="5" t="str">
        <f t="shared" si="39"/>
        <v>April 2022</v>
      </c>
    </row>
    <row r="637" spans="1:14" x14ac:dyDescent="0.25">
      <c r="A637" s="1">
        <v>44656</v>
      </c>
      <c r="B637" t="s">
        <v>97</v>
      </c>
      <c r="C637">
        <v>14</v>
      </c>
      <c r="D637" t="s">
        <v>14</v>
      </c>
      <c r="E637" t="s">
        <v>19</v>
      </c>
      <c r="F637" t="s">
        <v>29</v>
      </c>
      <c r="G637" t="s">
        <v>27</v>
      </c>
      <c r="H637">
        <v>365.2</v>
      </c>
      <c r="I637" s="8" t="str" cm="1">
        <f t="array" ref="I637">_xlfn.IFS(C637&lt;=15,"Children and Young Adolescents", C637&gt;64, "Seniors", TRUE, "Working Age")</f>
        <v>Children and Young Adolescents</v>
      </c>
      <c r="J637" s="6">
        <f>VLOOKUP(F637,Analysis!$F$1:$G$5,2,FALSE)</f>
        <v>2496.7676064256989</v>
      </c>
      <c r="K637">
        <f t="shared" si="36"/>
        <v>401.72</v>
      </c>
      <c r="L637">
        <f t="shared" si="37"/>
        <v>401.72</v>
      </c>
      <c r="M637">
        <f t="shared" si="38"/>
        <v>401.72</v>
      </c>
      <c r="N637" s="5" t="str">
        <f t="shared" si="39"/>
        <v>April 2022</v>
      </c>
    </row>
    <row r="638" spans="1:14" x14ac:dyDescent="0.25">
      <c r="A638" s="1">
        <v>44656</v>
      </c>
      <c r="B638" t="s">
        <v>2121</v>
      </c>
      <c r="C638">
        <v>68</v>
      </c>
      <c r="D638" t="s">
        <v>21</v>
      </c>
      <c r="E638" t="s">
        <v>15</v>
      </c>
      <c r="F638" t="s">
        <v>29</v>
      </c>
      <c r="G638" t="s">
        <v>36</v>
      </c>
      <c r="H638">
        <v>791.68</v>
      </c>
      <c r="I638" s="8" t="str" cm="1">
        <f t="array" ref="I638">_xlfn.IFS(C638&lt;=15,"Children and Young Adolescents", C638&gt;64, "Seniors", TRUE, "Working Age")</f>
        <v>Seniors</v>
      </c>
      <c r="J638" s="6">
        <f>VLOOKUP(F638,Analysis!$F$1:$G$5,2,FALSE)</f>
        <v>2496.7676064256989</v>
      </c>
      <c r="K638">
        <f t="shared" si="36"/>
        <v>870.84</v>
      </c>
      <c r="L638">
        <f t="shared" si="37"/>
        <v>870.85</v>
      </c>
      <c r="M638">
        <f t="shared" si="38"/>
        <v>870.85</v>
      </c>
      <c r="N638" s="5" t="str">
        <f t="shared" si="39"/>
        <v>April 2022</v>
      </c>
    </row>
    <row r="639" spans="1:14" x14ac:dyDescent="0.25">
      <c r="A639" s="1">
        <v>44656</v>
      </c>
      <c r="B639" t="s">
        <v>2724</v>
      </c>
      <c r="C639">
        <v>63</v>
      </c>
      <c r="D639" t="s">
        <v>9</v>
      </c>
      <c r="E639" t="s">
        <v>19</v>
      </c>
      <c r="F639" t="s">
        <v>23</v>
      </c>
      <c r="G639" t="s">
        <v>36</v>
      </c>
      <c r="H639">
        <v>952.51</v>
      </c>
      <c r="I639" s="8" t="str" cm="1">
        <f t="array" ref="I639">_xlfn.IFS(C639&lt;=15,"Children and Young Adolescents", C639&gt;64, "Seniors", TRUE, "Working Age")</f>
        <v>Working Age</v>
      </c>
      <c r="J639" s="6">
        <f>VLOOKUP(F639,Analysis!$F$1:$G$5,2,FALSE)</f>
        <v>2440.2966694490838</v>
      </c>
      <c r="K639">
        <f t="shared" si="36"/>
        <v>1047.76</v>
      </c>
      <c r="L639">
        <f t="shared" si="37"/>
        <v>1047.77</v>
      </c>
      <c r="M639">
        <f t="shared" si="38"/>
        <v>1047.76</v>
      </c>
      <c r="N639" s="5" t="str">
        <f t="shared" si="39"/>
        <v>April 2022</v>
      </c>
    </row>
    <row r="640" spans="1:14" x14ac:dyDescent="0.25">
      <c r="A640" s="1">
        <v>44657</v>
      </c>
      <c r="B640" t="s">
        <v>862</v>
      </c>
      <c r="C640">
        <v>19</v>
      </c>
      <c r="D640" t="s">
        <v>21</v>
      </c>
      <c r="E640" t="s">
        <v>15</v>
      </c>
      <c r="F640" t="s">
        <v>29</v>
      </c>
      <c r="G640" t="s">
        <v>17</v>
      </c>
      <c r="H640">
        <v>180.83</v>
      </c>
      <c r="I640" s="8" t="str" cm="1">
        <f t="array" ref="I640">_xlfn.IFS(C640&lt;=15,"Children and Young Adolescents", C640&gt;64, "Seniors", TRUE, "Working Age")</f>
        <v>Working Age</v>
      </c>
      <c r="J640" s="6">
        <f>VLOOKUP(F640,Analysis!$F$1:$G$5,2,FALSE)</f>
        <v>2496.7676064256989</v>
      </c>
      <c r="K640">
        <f t="shared" si="36"/>
        <v>198.91</v>
      </c>
      <c r="L640">
        <f t="shared" si="37"/>
        <v>198.92</v>
      </c>
      <c r="M640">
        <f t="shared" si="38"/>
        <v>198.91</v>
      </c>
      <c r="N640" s="5" t="str">
        <f t="shared" si="39"/>
        <v>April 2022</v>
      </c>
    </row>
    <row r="641" spans="1:14" x14ac:dyDescent="0.25">
      <c r="A641" s="1">
        <v>44657</v>
      </c>
      <c r="B641" t="s">
        <v>2176</v>
      </c>
      <c r="C641">
        <v>94</v>
      </c>
      <c r="D641" t="s">
        <v>14</v>
      </c>
      <c r="E641" t="s">
        <v>5032</v>
      </c>
      <c r="F641" t="s">
        <v>23</v>
      </c>
      <c r="G641" t="s">
        <v>17</v>
      </c>
      <c r="H641">
        <v>343.1</v>
      </c>
      <c r="I641" s="8" t="str" cm="1">
        <f t="array" ref="I641">_xlfn.IFS(C641&lt;=15,"Children and Young Adolescents", C641&gt;64, "Seniors", TRUE, "Working Age")</f>
        <v>Seniors</v>
      </c>
      <c r="J641" s="6">
        <f>VLOOKUP(F641,Analysis!$F$1:$G$5,2,FALSE)</f>
        <v>2440.2966694490838</v>
      </c>
      <c r="K641">
        <f t="shared" si="36"/>
        <v>377.41</v>
      </c>
      <c r="L641">
        <f t="shared" si="37"/>
        <v>377.41</v>
      </c>
      <c r="M641">
        <f t="shared" si="38"/>
        <v>377.41</v>
      </c>
      <c r="N641" s="5" t="str">
        <f t="shared" si="39"/>
        <v>April 2022</v>
      </c>
    </row>
    <row r="642" spans="1:14" x14ac:dyDescent="0.25">
      <c r="A642" s="1">
        <v>44657</v>
      </c>
      <c r="B642" t="s">
        <v>1574</v>
      </c>
      <c r="C642">
        <v>32</v>
      </c>
      <c r="D642" t="s">
        <v>9</v>
      </c>
      <c r="E642" t="s">
        <v>25</v>
      </c>
      <c r="F642" t="s">
        <v>16</v>
      </c>
      <c r="G642" t="s">
        <v>17</v>
      </c>
      <c r="H642">
        <v>4358.8500000000004</v>
      </c>
      <c r="I642" s="8" t="str" cm="1">
        <f t="array" ref="I642">_xlfn.IFS(C642&lt;=15,"Children and Young Adolescents", C642&gt;64, "Seniors", TRUE, "Working Age")</f>
        <v>Working Age</v>
      </c>
      <c r="J642" s="6">
        <f>VLOOKUP(F642,Analysis!$F$1:$G$5,2,FALSE)</f>
        <v>2509.1716796874912</v>
      </c>
      <c r="K642">
        <f t="shared" si="36"/>
        <v>4794.7299999999996</v>
      </c>
      <c r="L642">
        <f t="shared" si="37"/>
        <v>4794.74</v>
      </c>
      <c r="M642">
        <f t="shared" si="38"/>
        <v>4794.74</v>
      </c>
      <c r="N642" s="5" t="str">
        <f t="shared" si="39"/>
        <v>April 2022</v>
      </c>
    </row>
    <row r="643" spans="1:14" x14ac:dyDescent="0.25">
      <c r="A643" s="1">
        <v>44657</v>
      </c>
      <c r="B643" t="s">
        <v>2414</v>
      </c>
      <c r="C643">
        <v>99</v>
      </c>
      <c r="D643" t="s">
        <v>9</v>
      </c>
      <c r="E643" t="s">
        <v>15</v>
      </c>
      <c r="F643" t="s">
        <v>11</v>
      </c>
      <c r="G643" t="s">
        <v>17</v>
      </c>
      <c r="H643">
        <v>112.07</v>
      </c>
      <c r="I643" s="8" t="str" cm="1">
        <f t="array" ref="I643">_xlfn.IFS(C643&lt;=15,"Children and Young Adolescents", C643&gt;64, "Seniors", TRUE, "Working Age")</f>
        <v>Seniors</v>
      </c>
      <c r="J643" s="6">
        <f>VLOOKUP(F643,Analysis!$F$1:$G$5,2,FALSE)</f>
        <v>2503.6022787783854</v>
      </c>
      <c r="K643">
        <f t="shared" ref="K643:K706" si="40">ROUNDDOWN(H643*1.1,2)</f>
        <v>123.27</v>
      </c>
      <c r="L643">
        <f t="shared" ref="L643:L706" si="41">ROUNDUP(H643*1.1,2)</f>
        <v>123.28</v>
      </c>
      <c r="M643">
        <f t="shared" ref="M643:M706" si="42">ROUND(H643*1.1,2)</f>
        <v>123.28</v>
      </c>
      <c r="N643" s="5" t="str">
        <f t="shared" ref="N643:N706" si="43">TEXT(A643,"mmmm yyyy")</f>
        <v>April 2022</v>
      </c>
    </row>
    <row r="644" spans="1:14" x14ac:dyDescent="0.25">
      <c r="A644" s="1">
        <v>44657</v>
      </c>
      <c r="B644" t="s">
        <v>3751</v>
      </c>
      <c r="C644">
        <v>26</v>
      </c>
      <c r="D644" t="s">
        <v>21</v>
      </c>
      <c r="E644" t="s">
        <v>32</v>
      </c>
      <c r="F644" t="s">
        <v>23</v>
      </c>
      <c r="G644" t="s">
        <v>17</v>
      </c>
      <c r="H644">
        <v>2213.52</v>
      </c>
      <c r="I644" s="8" t="str" cm="1">
        <f t="array" ref="I644">_xlfn.IFS(C644&lt;=15,"Children and Young Adolescents", C644&gt;64, "Seniors", TRUE, "Working Age")</f>
        <v>Working Age</v>
      </c>
      <c r="J644" s="6">
        <f>VLOOKUP(F644,Analysis!$F$1:$G$5,2,FALSE)</f>
        <v>2440.2966694490838</v>
      </c>
      <c r="K644">
        <f t="shared" si="40"/>
        <v>2434.87</v>
      </c>
      <c r="L644">
        <f t="shared" si="41"/>
        <v>2434.88</v>
      </c>
      <c r="M644">
        <f t="shared" si="42"/>
        <v>2434.87</v>
      </c>
      <c r="N644" s="5" t="str">
        <f t="shared" si="43"/>
        <v>April 2022</v>
      </c>
    </row>
    <row r="645" spans="1:14" x14ac:dyDescent="0.25">
      <c r="A645" s="1">
        <v>44657</v>
      </c>
      <c r="B645" t="s">
        <v>4893</v>
      </c>
      <c r="C645">
        <v>45</v>
      </c>
      <c r="D645" t="s">
        <v>9</v>
      </c>
      <c r="E645" t="s">
        <v>10</v>
      </c>
      <c r="F645" t="s">
        <v>23</v>
      </c>
      <c r="G645" t="s">
        <v>36</v>
      </c>
      <c r="H645">
        <v>473.03</v>
      </c>
      <c r="I645" s="8" t="str" cm="1">
        <f t="array" ref="I645">_xlfn.IFS(C645&lt;=15,"Children and Young Adolescents", C645&gt;64, "Seniors", TRUE, "Working Age")</f>
        <v>Working Age</v>
      </c>
      <c r="J645" s="6">
        <f>VLOOKUP(F645,Analysis!$F$1:$G$5,2,FALSE)</f>
        <v>2440.2966694490838</v>
      </c>
      <c r="K645">
        <f t="shared" si="40"/>
        <v>520.33000000000004</v>
      </c>
      <c r="L645">
        <f t="shared" si="41"/>
        <v>520.34</v>
      </c>
      <c r="M645">
        <f t="shared" si="42"/>
        <v>520.33000000000004</v>
      </c>
      <c r="N645" s="5" t="str">
        <f t="shared" si="43"/>
        <v>April 2022</v>
      </c>
    </row>
    <row r="646" spans="1:14" x14ac:dyDescent="0.25">
      <c r="A646" s="1">
        <v>44657</v>
      </c>
      <c r="B646" t="s">
        <v>1507</v>
      </c>
      <c r="C646">
        <v>52</v>
      </c>
      <c r="D646" t="s">
        <v>21</v>
      </c>
      <c r="E646" t="s">
        <v>25</v>
      </c>
      <c r="F646" t="s">
        <v>16</v>
      </c>
      <c r="G646" t="s">
        <v>36</v>
      </c>
      <c r="H646">
        <v>4860.42</v>
      </c>
      <c r="I646" s="8" t="str" cm="1">
        <f t="array" ref="I646">_xlfn.IFS(C646&lt;=15,"Children and Young Adolescents", C646&gt;64, "Seniors", TRUE, "Working Age")</f>
        <v>Working Age</v>
      </c>
      <c r="J646" s="6">
        <f>VLOOKUP(F646,Analysis!$F$1:$G$5,2,FALSE)</f>
        <v>2509.1716796874912</v>
      </c>
      <c r="K646">
        <f t="shared" si="40"/>
        <v>5346.46</v>
      </c>
      <c r="L646">
        <f t="shared" si="41"/>
        <v>5346.47</v>
      </c>
      <c r="M646">
        <f t="shared" si="42"/>
        <v>5346.46</v>
      </c>
      <c r="N646" s="5" t="str">
        <f t="shared" si="43"/>
        <v>April 2022</v>
      </c>
    </row>
    <row r="647" spans="1:14" x14ac:dyDescent="0.25">
      <c r="A647" s="1">
        <v>44657</v>
      </c>
      <c r="B647" t="s">
        <v>2169</v>
      </c>
      <c r="C647">
        <v>55</v>
      </c>
      <c r="D647" t="s">
        <v>21</v>
      </c>
      <c r="E647" t="s">
        <v>32</v>
      </c>
      <c r="F647" t="s">
        <v>11</v>
      </c>
      <c r="G647" t="s">
        <v>36</v>
      </c>
      <c r="H647">
        <v>985.06</v>
      </c>
      <c r="I647" s="8" t="str" cm="1">
        <f t="array" ref="I647">_xlfn.IFS(C647&lt;=15,"Children and Young Adolescents", C647&gt;64, "Seniors", TRUE, "Working Age")</f>
        <v>Working Age</v>
      </c>
      <c r="J647" s="6">
        <f>VLOOKUP(F647,Analysis!$F$1:$G$5,2,FALSE)</f>
        <v>2503.6022787783854</v>
      </c>
      <c r="K647">
        <f t="shared" si="40"/>
        <v>1083.56</v>
      </c>
      <c r="L647">
        <f t="shared" si="41"/>
        <v>1083.57</v>
      </c>
      <c r="M647">
        <f t="shared" si="42"/>
        <v>1083.57</v>
      </c>
      <c r="N647" s="5" t="str">
        <f t="shared" si="43"/>
        <v>April 2022</v>
      </c>
    </row>
    <row r="648" spans="1:14" x14ac:dyDescent="0.25">
      <c r="A648" s="1">
        <v>44658</v>
      </c>
      <c r="B648" t="s">
        <v>1191</v>
      </c>
      <c r="C648">
        <v>15</v>
      </c>
      <c r="D648" t="s">
        <v>21</v>
      </c>
      <c r="E648" t="s">
        <v>5032</v>
      </c>
      <c r="F648" t="s">
        <v>11</v>
      </c>
      <c r="G648" t="s">
        <v>36</v>
      </c>
      <c r="H648">
        <v>4040.72</v>
      </c>
      <c r="I648" s="8" t="str" cm="1">
        <f t="array" ref="I648">_xlfn.IFS(C648&lt;=15,"Children and Young Adolescents", C648&gt;64, "Seniors", TRUE, "Working Age")</f>
        <v>Children and Young Adolescents</v>
      </c>
      <c r="J648" s="6">
        <f>VLOOKUP(F648,Analysis!$F$1:$G$5,2,FALSE)</f>
        <v>2503.6022787783854</v>
      </c>
      <c r="K648">
        <f t="shared" si="40"/>
        <v>4444.79</v>
      </c>
      <c r="L648">
        <f t="shared" si="41"/>
        <v>4444.8</v>
      </c>
      <c r="M648">
        <f t="shared" si="42"/>
        <v>4444.79</v>
      </c>
      <c r="N648" s="5" t="str">
        <f t="shared" si="43"/>
        <v>April 2022</v>
      </c>
    </row>
    <row r="649" spans="1:14" x14ac:dyDescent="0.25">
      <c r="A649" s="1">
        <v>44658</v>
      </c>
      <c r="B649" t="s">
        <v>1132</v>
      </c>
      <c r="C649">
        <v>93</v>
      </c>
      <c r="D649" t="s">
        <v>14</v>
      </c>
      <c r="E649" t="s">
        <v>10</v>
      </c>
      <c r="F649" t="s">
        <v>11</v>
      </c>
      <c r="G649" t="s">
        <v>17</v>
      </c>
      <c r="H649">
        <v>1914.01</v>
      </c>
      <c r="I649" s="8" t="str" cm="1">
        <f t="array" ref="I649">_xlfn.IFS(C649&lt;=15,"Children and Young Adolescents", C649&gt;64, "Seniors", TRUE, "Working Age")</f>
        <v>Seniors</v>
      </c>
      <c r="J649" s="6">
        <f>VLOOKUP(F649,Analysis!$F$1:$G$5,2,FALSE)</f>
        <v>2503.6022787783854</v>
      </c>
      <c r="K649">
        <f t="shared" si="40"/>
        <v>2105.41</v>
      </c>
      <c r="L649">
        <f t="shared" si="41"/>
        <v>2105.42</v>
      </c>
      <c r="M649">
        <f t="shared" si="42"/>
        <v>2105.41</v>
      </c>
      <c r="N649" s="5" t="str">
        <f t="shared" si="43"/>
        <v>April 2022</v>
      </c>
    </row>
    <row r="650" spans="1:14" x14ac:dyDescent="0.25">
      <c r="A650" s="1">
        <v>44658</v>
      </c>
      <c r="B650" t="s">
        <v>2641</v>
      </c>
      <c r="C650">
        <v>15</v>
      </c>
      <c r="D650" t="s">
        <v>14</v>
      </c>
      <c r="E650" t="s">
        <v>22</v>
      </c>
      <c r="F650" t="s">
        <v>11</v>
      </c>
      <c r="G650" t="s">
        <v>27</v>
      </c>
      <c r="H650">
        <v>3920.21</v>
      </c>
      <c r="I650" s="8" t="str" cm="1">
        <f t="array" ref="I650">_xlfn.IFS(C650&lt;=15,"Children and Young Adolescents", C650&gt;64, "Seniors", TRUE, "Working Age")</f>
        <v>Children and Young Adolescents</v>
      </c>
      <c r="J650" s="6">
        <f>VLOOKUP(F650,Analysis!$F$1:$G$5,2,FALSE)</f>
        <v>2503.6022787783854</v>
      </c>
      <c r="K650">
        <f t="shared" si="40"/>
        <v>4312.2299999999996</v>
      </c>
      <c r="L650">
        <f t="shared" si="41"/>
        <v>4312.24</v>
      </c>
      <c r="M650">
        <f t="shared" si="42"/>
        <v>4312.2299999999996</v>
      </c>
      <c r="N650" s="5" t="str">
        <f t="shared" si="43"/>
        <v>April 2022</v>
      </c>
    </row>
    <row r="651" spans="1:14" x14ac:dyDescent="0.25">
      <c r="A651" s="1">
        <v>44658</v>
      </c>
      <c r="B651" t="s">
        <v>1704</v>
      </c>
      <c r="C651">
        <v>75</v>
      </c>
      <c r="D651" t="s">
        <v>14</v>
      </c>
      <c r="E651" t="s">
        <v>34</v>
      </c>
      <c r="F651" t="s">
        <v>29</v>
      </c>
      <c r="G651" t="s">
        <v>39</v>
      </c>
      <c r="H651">
        <v>3583.55</v>
      </c>
      <c r="I651" s="8" t="str" cm="1">
        <f t="array" ref="I651">_xlfn.IFS(C651&lt;=15,"Children and Young Adolescents", C651&gt;64, "Seniors", TRUE, "Working Age")</f>
        <v>Seniors</v>
      </c>
      <c r="J651" s="6">
        <f>VLOOKUP(F651,Analysis!$F$1:$G$5,2,FALSE)</f>
        <v>2496.7676064256989</v>
      </c>
      <c r="K651">
        <f t="shared" si="40"/>
        <v>3941.9</v>
      </c>
      <c r="L651">
        <f t="shared" si="41"/>
        <v>3941.9100000000003</v>
      </c>
      <c r="M651">
        <f t="shared" si="42"/>
        <v>3941.91</v>
      </c>
      <c r="N651" s="5" t="str">
        <f t="shared" si="43"/>
        <v>April 2022</v>
      </c>
    </row>
    <row r="652" spans="1:14" x14ac:dyDescent="0.25">
      <c r="A652" s="1">
        <v>44658</v>
      </c>
      <c r="B652" t="s">
        <v>470</v>
      </c>
      <c r="C652">
        <v>14</v>
      </c>
      <c r="D652" t="s">
        <v>9</v>
      </c>
      <c r="E652" t="s">
        <v>10</v>
      </c>
      <c r="F652" t="s">
        <v>16</v>
      </c>
      <c r="G652" t="s">
        <v>12</v>
      </c>
      <c r="H652">
        <v>2748.47</v>
      </c>
      <c r="I652" s="8" t="str" cm="1">
        <f t="array" ref="I652">_xlfn.IFS(C652&lt;=15,"Children and Young Adolescents", C652&gt;64, "Seniors", TRUE, "Working Age")</f>
        <v>Children and Young Adolescents</v>
      </c>
      <c r="J652" s="6">
        <f>VLOOKUP(F652,Analysis!$F$1:$G$5,2,FALSE)</f>
        <v>2509.1716796874912</v>
      </c>
      <c r="K652">
        <f t="shared" si="40"/>
        <v>3023.31</v>
      </c>
      <c r="L652">
        <f t="shared" si="41"/>
        <v>3023.32</v>
      </c>
      <c r="M652">
        <f t="shared" si="42"/>
        <v>3023.32</v>
      </c>
      <c r="N652" s="5" t="str">
        <f t="shared" si="43"/>
        <v>April 2022</v>
      </c>
    </row>
    <row r="653" spans="1:14" x14ac:dyDescent="0.25">
      <c r="A653" s="1">
        <v>44658</v>
      </c>
      <c r="B653" t="s">
        <v>2000</v>
      </c>
      <c r="C653">
        <v>79</v>
      </c>
      <c r="D653" t="s">
        <v>21</v>
      </c>
      <c r="E653" t="s">
        <v>34</v>
      </c>
      <c r="F653" t="s">
        <v>23</v>
      </c>
      <c r="G653" t="s">
        <v>39</v>
      </c>
      <c r="H653">
        <v>2496.19</v>
      </c>
      <c r="I653" s="8" t="str" cm="1">
        <f t="array" ref="I653">_xlfn.IFS(C653&lt;=15,"Children and Young Adolescents", C653&gt;64, "Seniors", TRUE, "Working Age")</f>
        <v>Seniors</v>
      </c>
      <c r="J653" s="6">
        <f>VLOOKUP(F653,Analysis!$F$1:$G$5,2,FALSE)</f>
        <v>2440.2966694490838</v>
      </c>
      <c r="K653">
        <f t="shared" si="40"/>
        <v>2745.8</v>
      </c>
      <c r="L653">
        <f t="shared" si="41"/>
        <v>2745.8100000000004</v>
      </c>
      <c r="M653">
        <f t="shared" si="42"/>
        <v>2745.81</v>
      </c>
      <c r="N653" s="5" t="str">
        <f t="shared" si="43"/>
        <v>April 2022</v>
      </c>
    </row>
    <row r="654" spans="1:14" x14ac:dyDescent="0.25">
      <c r="A654" s="1">
        <v>44658</v>
      </c>
      <c r="B654" t="s">
        <v>157</v>
      </c>
      <c r="C654">
        <v>28</v>
      </c>
      <c r="D654" t="s">
        <v>21</v>
      </c>
      <c r="E654" t="s">
        <v>10</v>
      </c>
      <c r="F654" t="s">
        <v>16</v>
      </c>
      <c r="G654" t="s">
        <v>12</v>
      </c>
      <c r="H654">
        <v>415.93</v>
      </c>
      <c r="I654" s="8" t="str" cm="1">
        <f t="array" ref="I654">_xlfn.IFS(C654&lt;=15,"Children and Young Adolescents", C654&gt;64, "Seniors", TRUE, "Working Age")</f>
        <v>Working Age</v>
      </c>
      <c r="J654" s="6">
        <f>VLOOKUP(F654,Analysis!$F$1:$G$5,2,FALSE)</f>
        <v>2509.1716796874912</v>
      </c>
      <c r="K654">
        <f t="shared" si="40"/>
        <v>457.52</v>
      </c>
      <c r="L654">
        <f t="shared" si="41"/>
        <v>457.53</v>
      </c>
      <c r="M654">
        <f t="shared" si="42"/>
        <v>457.52</v>
      </c>
      <c r="N654" s="5" t="str">
        <f t="shared" si="43"/>
        <v>April 2022</v>
      </c>
    </row>
    <row r="655" spans="1:14" x14ac:dyDescent="0.25">
      <c r="A655" s="1">
        <v>44659</v>
      </c>
      <c r="B655" t="s">
        <v>1961</v>
      </c>
      <c r="C655">
        <v>84</v>
      </c>
      <c r="D655" t="s">
        <v>21</v>
      </c>
      <c r="E655" t="s">
        <v>32</v>
      </c>
      <c r="F655" t="s">
        <v>11</v>
      </c>
      <c r="G655" t="s">
        <v>12</v>
      </c>
      <c r="H655">
        <v>4721.6899999999996</v>
      </c>
      <c r="I655" s="8" t="str" cm="1">
        <f t="array" ref="I655">_xlfn.IFS(C655&lt;=15,"Children and Young Adolescents", C655&gt;64, "Seniors", TRUE, "Working Age")</f>
        <v>Seniors</v>
      </c>
      <c r="J655" s="6">
        <f>VLOOKUP(F655,Analysis!$F$1:$G$5,2,FALSE)</f>
        <v>2503.6022787783854</v>
      </c>
      <c r="K655">
        <f t="shared" si="40"/>
        <v>5193.8500000000004</v>
      </c>
      <c r="L655">
        <f t="shared" si="41"/>
        <v>5193.8600000000006</v>
      </c>
      <c r="M655">
        <f t="shared" si="42"/>
        <v>5193.8599999999997</v>
      </c>
      <c r="N655" s="5" t="str">
        <f t="shared" si="43"/>
        <v>April 2022</v>
      </c>
    </row>
    <row r="656" spans="1:14" x14ac:dyDescent="0.25">
      <c r="A656" s="1">
        <v>44659</v>
      </c>
      <c r="B656" t="s">
        <v>3905</v>
      </c>
      <c r="C656">
        <v>77</v>
      </c>
      <c r="D656" t="s">
        <v>9</v>
      </c>
      <c r="E656" t="s">
        <v>32</v>
      </c>
      <c r="F656" t="s">
        <v>23</v>
      </c>
      <c r="G656" t="s">
        <v>12</v>
      </c>
      <c r="H656">
        <v>4970.47</v>
      </c>
      <c r="I656" s="8" t="str" cm="1">
        <f t="array" ref="I656">_xlfn.IFS(C656&lt;=15,"Children and Young Adolescents", C656&gt;64, "Seniors", TRUE, "Working Age")</f>
        <v>Seniors</v>
      </c>
      <c r="J656" s="6">
        <f>VLOOKUP(F656,Analysis!$F$1:$G$5,2,FALSE)</f>
        <v>2440.2966694490838</v>
      </c>
      <c r="K656">
        <f t="shared" si="40"/>
        <v>5467.51</v>
      </c>
      <c r="L656">
        <f t="shared" si="41"/>
        <v>5467.52</v>
      </c>
      <c r="M656">
        <f t="shared" si="42"/>
        <v>5467.52</v>
      </c>
      <c r="N656" s="5" t="str">
        <f t="shared" si="43"/>
        <v>April 2022</v>
      </c>
    </row>
    <row r="657" spans="1:14" x14ac:dyDescent="0.25">
      <c r="A657" s="1">
        <v>44659</v>
      </c>
      <c r="B657" t="s">
        <v>4483</v>
      </c>
      <c r="C657">
        <v>68</v>
      </c>
      <c r="D657" t="s">
        <v>14</v>
      </c>
      <c r="E657" t="s">
        <v>15</v>
      </c>
      <c r="F657" t="s">
        <v>11</v>
      </c>
      <c r="G657" t="s">
        <v>39</v>
      </c>
      <c r="H657">
        <v>3340.3</v>
      </c>
      <c r="I657" s="8" t="str" cm="1">
        <f t="array" ref="I657">_xlfn.IFS(C657&lt;=15,"Children and Young Adolescents", C657&gt;64, "Seniors", TRUE, "Working Age")</f>
        <v>Seniors</v>
      </c>
      <c r="J657" s="6">
        <f>VLOOKUP(F657,Analysis!$F$1:$G$5,2,FALSE)</f>
        <v>2503.6022787783854</v>
      </c>
      <c r="K657">
        <f t="shared" si="40"/>
        <v>3674.33</v>
      </c>
      <c r="L657">
        <f t="shared" si="41"/>
        <v>3674.33</v>
      </c>
      <c r="M657">
        <f t="shared" si="42"/>
        <v>3674.33</v>
      </c>
      <c r="N657" s="5" t="str">
        <f t="shared" si="43"/>
        <v>April 2022</v>
      </c>
    </row>
    <row r="658" spans="1:14" x14ac:dyDescent="0.25">
      <c r="A658" s="1">
        <v>44659</v>
      </c>
      <c r="B658" t="s">
        <v>3627</v>
      </c>
      <c r="C658">
        <v>36</v>
      </c>
      <c r="D658" t="s">
        <v>14</v>
      </c>
      <c r="E658" t="s">
        <v>10</v>
      </c>
      <c r="F658" t="s">
        <v>11</v>
      </c>
      <c r="G658" t="s">
        <v>27</v>
      </c>
      <c r="H658">
        <v>3364.86</v>
      </c>
      <c r="I658" s="8" t="str" cm="1">
        <f t="array" ref="I658">_xlfn.IFS(C658&lt;=15,"Children and Young Adolescents", C658&gt;64, "Seniors", TRUE, "Working Age")</f>
        <v>Working Age</v>
      </c>
      <c r="J658" s="6">
        <f>VLOOKUP(F658,Analysis!$F$1:$G$5,2,FALSE)</f>
        <v>2503.6022787783854</v>
      </c>
      <c r="K658">
        <f t="shared" si="40"/>
        <v>3701.34</v>
      </c>
      <c r="L658">
        <f t="shared" si="41"/>
        <v>3701.3500000000004</v>
      </c>
      <c r="M658">
        <f t="shared" si="42"/>
        <v>3701.35</v>
      </c>
      <c r="N658" s="5" t="str">
        <f t="shared" si="43"/>
        <v>April 2022</v>
      </c>
    </row>
    <row r="659" spans="1:14" x14ac:dyDescent="0.25">
      <c r="A659" s="1">
        <v>44659</v>
      </c>
      <c r="B659" t="s">
        <v>3883</v>
      </c>
      <c r="C659">
        <v>19</v>
      </c>
      <c r="D659" t="s">
        <v>14</v>
      </c>
      <c r="E659" t="s">
        <v>19</v>
      </c>
      <c r="F659" t="s">
        <v>11</v>
      </c>
      <c r="G659" t="s">
        <v>39</v>
      </c>
      <c r="H659">
        <v>755.7</v>
      </c>
      <c r="I659" s="8" t="str" cm="1">
        <f t="array" ref="I659">_xlfn.IFS(C659&lt;=15,"Children and Young Adolescents", C659&gt;64, "Seniors", TRUE, "Working Age")</f>
        <v>Working Age</v>
      </c>
      <c r="J659" s="6">
        <f>VLOOKUP(F659,Analysis!$F$1:$G$5,2,FALSE)</f>
        <v>2503.6022787783854</v>
      </c>
      <c r="K659">
        <f t="shared" si="40"/>
        <v>831.27</v>
      </c>
      <c r="L659">
        <f t="shared" si="41"/>
        <v>831.27</v>
      </c>
      <c r="M659">
        <f t="shared" si="42"/>
        <v>831.27</v>
      </c>
      <c r="N659" s="5" t="str">
        <f t="shared" si="43"/>
        <v>April 2022</v>
      </c>
    </row>
    <row r="660" spans="1:14" x14ac:dyDescent="0.25">
      <c r="A660" s="1">
        <v>44660</v>
      </c>
      <c r="B660" t="s">
        <v>3319</v>
      </c>
      <c r="C660">
        <v>54</v>
      </c>
      <c r="D660" t="s">
        <v>9</v>
      </c>
      <c r="E660" t="s">
        <v>22</v>
      </c>
      <c r="F660" t="s">
        <v>23</v>
      </c>
      <c r="G660" t="s">
        <v>17</v>
      </c>
      <c r="H660">
        <v>636.83000000000004</v>
      </c>
      <c r="I660" s="8" t="str" cm="1">
        <f t="array" ref="I660">_xlfn.IFS(C660&lt;=15,"Children and Young Adolescents", C660&gt;64, "Seniors", TRUE, "Working Age")</f>
        <v>Working Age</v>
      </c>
      <c r="J660" s="6">
        <f>VLOOKUP(F660,Analysis!$F$1:$G$5,2,FALSE)</f>
        <v>2440.2966694490838</v>
      </c>
      <c r="K660">
        <f t="shared" si="40"/>
        <v>700.51</v>
      </c>
      <c r="L660">
        <f t="shared" si="41"/>
        <v>700.52</v>
      </c>
      <c r="M660">
        <f t="shared" si="42"/>
        <v>700.51</v>
      </c>
      <c r="N660" s="5" t="str">
        <f t="shared" si="43"/>
        <v>April 2022</v>
      </c>
    </row>
    <row r="661" spans="1:14" x14ac:dyDescent="0.25">
      <c r="A661" s="1">
        <v>44660</v>
      </c>
      <c r="B661" t="s">
        <v>4117</v>
      </c>
      <c r="C661">
        <v>53</v>
      </c>
      <c r="D661" t="s">
        <v>21</v>
      </c>
      <c r="E661" t="s">
        <v>10</v>
      </c>
      <c r="F661" t="s">
        <v>11</v>
      </c>
      <c r="G661" t="s">
        <v>12</v>
      </c>
      <c r="H661">
        <v>170.68</v>
      </c>
      <c r="I661" s="8" t="str" cm="1">
        <f t="array" ref="I661">_xlfn.IFS(C661&lt;=15,"Children and Young Adolescents", C661&gt;64, "Seniors", TRUE, "Working Age")</f>
        <v>Working Age</v>
      </c>
      <c r="J661" s="6">
        <f>VLOOKUP(F661,Analysis!$F$1:$G$5,2,FALSE)</f>
        <v>2503.6022787783854</v>
      </c>
      <c r="K661">
        <f t="shared" si="40"/>
        <v>187.74</v>
      </c>
      <c r="L661">
        <f t="shared" si="41"/>
        <v>187.75</v>
      </c>
      <c r="M661">
        <f t="shared" si="42"/>
        <v>187.75</v>
      </c>
      <c r="N661" s="5" t="str">
        <f t="shared" si="43"/>
        <v>April 2022</v>
      </c>
    </row>
    <row r="662" spans="1:14" x14ac:dyDescent="0.25">
      <c r="A662" s="1">
        <v>44660</v>
      </c>
      <c r="B662" t="s">
        <v>1540</v>
      </c>
      <c r="C662">
        <v>32</v>
      </c>
      <c r="D662" t="s">
        <v>14</v>
      </c>
      <c r="E662" t="s">
        <v>19</v>
      </c>
      <c r="F662" t="s">
        <v>23</v>
      </c>
      <c r="G662" t="s">
        <v>36</v>
      </c>
      <c r="H662">
        <v>3162.54</v>
      </c>
      <c r="I662" s="8" t="str" cm="1">
        <f t="array" ref="I662">_xlfn.IFS(C662&lt;=15,"Children and Young Adolescents", C662&gt;64, "Seniors", TRUE, "Working Age")</f>
        <v>Working Age</v>
      </c>
      <c r="J662" s="6">
        <f>VLOOKUP(F662,Analysis!$F$1:$G$5,2,FALSE)</f>
        <v>2440.2966694490838</v>
      </c>
      <c r="K662">
        <f t="shared" si="40"/>
        <v>3478.79</v>
      </c>
      <c r="L662">
        <f t="shared" si="41"/>
        <v>3478.8</v>
      </c>
      <c r="M662">
        <f t="shared" si="42"/>
        <v>3478.79</v>
      </c>
      <c r="N662" s="5" t="str">
        <f t="shared" si="43"/>
        <v>April 2022</v>
      </c>
    </row>
    <row r="663" spans="1:14" x14ac:dyDescent="0.25">
      <c r="A663" s="1">
        <v>44660</v>
      </c>
      <c r="B663" t="s">
        <v>4865</v>
      </c>
      <c r="C663">
        <v>17</v>
      </c>
      <c r="D663" t="s">
        <v>9</v>
      </c>
      <c r="E663" t="s">
        <v>10</v>
      </c>
      <c r="F663" t="s">
        <v>29</v>
      </c>
      <c r="G663" t="s">
        <v>12</v>
      </c>
      <c r="H663">
        <v>1104.06</v>
      </c>
      <c r="I663" s="8" t="str" cm="1">
        <f t="array" ref="I663">_xlfn.IFS(C663&lt;=15,"Children and Young Adolescents", C663&gt;64, "Seniors", TRUE, "Working Age")</f>
        <v>Working Age</v>
      </c>
      <c r="J663" s="6">
        <f>VLOOKUP(F663,Analysis!$F$1:$G$5,2,FALSE)</f>
        <v>2496.7676064256989</v>
      </c>
      <c r="K663">
        <f t="shared" si="40"/>
        <v>1214.46</v>
      </c>
      <c r="L663">
        <f t="shared" si="41"/>
        <v>1214.47</v>
      </c>
      <c r="M663">
        <f t="shared" si="42"/>
        <v>1214.47</v>
      </c>
      <c r="N663" s="5" t="str">
        <f t="shared" si="43"/>
        <v>April 2022</v>
      </c>
    </row>
    <row r="664" spans="1:14" x14ac:dyDescent="0.25">
      <c r="A664" s="1">
        <v>44660</v>
      </c>
      <c r="B664" t="s">
        <v>4814</v>
      </c>
      <c r="C664">
        <v>5</v>
      </c>
      <c r="D664" t="s">
        <v>21</v>
      </c>
      <c r="E664" t="s">
        <v>25</v>
      </c>
      <c r="F664" t="s">
        <v>23</v>
      </c>
      <c r="G664" t="s">
        <v>27</v>
      </c>
      <c r="H664">
        <v>2520.12</v>
      </c>
      <c r="I664" s="8" t="str" cm="1">
        <f t="array" ref="I664">_xlfn.IFS(C664&lt;=15,"Children and Young Adolescents", C664&gt;64, "Seniors", TRUE, "Working Age")</f>
        <v>Children and Young Adolescents</v>
      </c>
      <c r="J664" s="6">
        <f>VLOOKUP(F664,Analysis!$F$1:$G$5,2,FALSE)</f>
        <v>2440.2966694490838</v>
      </c>
      <c r="K664">
        <f t="shared" si="40"/>
        <v>2772.13</v>
      </c>
      <c r="L664">
        <f t="shared" si="41"/>
        <v>2772.1400000000003</v>
      </c>
      <c r="M664">
        <f t="shared" si="42"/>
        <v>2772.13</v>
      </c>
      <c r="N664" s="5" t="str">
        <f t="shared" si="43"/>
        <v>April 2022</v>
      </c>
    </row>
    <row r="665" spans="1:14" x14ac:dyDescent="0.25">
      <c r="A665" s="1">
        <v>44660</v>
      </c>
      <c r="B665" t="s">
        <v>1408</v>
      </c>
      <c r="C665">
        <v>87</v>
      </c>
      <c r="D665" t="s">
        <v>9</v>
      </c>
      <c r="E665" t="s">
        <v>34</v>
      </c>
      <c r="F665" t="s">
        <v>11</v>
      </c>
      <c r="G665" t="s">
        <v>39</v>
      </c>
      <c r="H665">
        <v>3209.54</v>
      </c>
      <c r="I665" s="8" t="str" cm="1">
        <f t="array" ref="I665">_xlfn.IFS(C665&lt;=15,"Children and Young Adolescents", C665&gt;64, "Seniors", TRUE, "Working Age")</f>
        <v>Seniors</v>
      </c>
      <c r="J665" s="6">
        <f>VLOOKUP(F665,Analysis!$F$1:$G$5,2,FALSE)</f>
        <v>2503.6022787783854</v>
      </c>
      <c r="K665">
        <f t="shared" si="40"/>
        <v>3530.49</v>
      </c>
      <c r="L665">
        <f t="shared" si="41"/>
        <v>3530.5</v>
      </c>
      <c r="M665">
        <f t="shared" si="42"/>
        <v>3530.49</v>
      </c>
      <c r="N665" s="5" t="str">
        <f t="shared" si="43"/>
        <v>April 2022</v>
      </c>
    </row>
    <row r="666" spans="1:14" x14ac:dyDescent="0.25">
      <c r="A666" s="1">
        <v>44660</v>
      </c>
      <c r="B666" t="s">
        <v>2463</v>
      </c>
      <c r="C666">
        <v>68</v>
      </c>
      <c r="D666" t="s">
        <v>9</v>
      </c>
      <c r="E666" t="s">
        <v>19</v>
      </c>
      <c r="F666" t="s">
        <v>11</v>
      </c>
      <c r="G666" t="s">
        <v>17</v>
      </c>
      <c r="H666">
        <v>3694.49</v>
      </c>
      <c r="I666" s="8" t="str" cm="1">
        <f t="array" ref="I666">_xlfn.IFS(C666&lt;=15,"Children and Young Adolescents", C666&gt;64, "Seniors", TRUE, "Working Age")</f>
        <v>Seniors</v>
      </c>
      <c r="J666" s="6">
        <f>VLOOKUP(F666,Analysis!$F$1:$G$5,2,FALSE)</f>
        <v>2503.6022787783854</v>
      </c>
      <c r="K666">
        <f t="shared" si="40"/>
        <v>4063.93</v>
      </c>
      <c r="L666">
        <f t="shared" si="41"/>
        <v>4063.94</v>
      </c>
      <c r="M666">
        <f t="shared" si="42"/>
        <v>4063.94</v>
      </c>
      <c r="N666" s="5" t="str">
        <f t="shared" si="43"/>
        <v>April 2022</v>
      </c>
    </row>
    <row r="667" spans="1:14" x14ac:dyDescent="0.25">
      <c r="A667" s="1">
        <v>44660</v>
      </c>
      <c r="B667" t="s">
        <v>18</v>
      </c>
      <c r="C667">
        <v>69</v>
      </c>
      <c r="D667" t="s">
        <v>9</v>
      </c>
      <c r="E667" t="s">
        <v>19</v>
      </c>
      <c r="F667" t="s">
        <v>16</v>
      </c>
      <c r="G667" t="s">
        <v>12</v>
      </c>
      <c r="H667">
        <v>3388.38</v>
      </c>
      <c r="I667" s="8" t="str" cm="1">
        <f t="array" ref="I667">_xlfn.IFS(C667&lt;=15,"Children and Young Adolescents", C667&gt;64, "Seniors", TRUE, "Working Age")</f>
        <v>Seniors</v>
      </c>
      <c r="J667" s="6">
        <f>VLOOKUP(F667,Analysis!$F$1:$G$5,2,FALSE)</f>
        <v>2509.1716796874912</v>
      </c>
      <c r="K667">
        <f t="shared" si="40"/>
        <v>3727.21</v>
      </c>
      <c r="L667">
        <f t="shared" si="41"/>
        <v>3727.2200000000003</v>
      </c>
      <c r="M667">
        <f t="shared" si="42"/>
        <v>3727.22</v>
      </c>
      <c r="N667" s="5" t="str">
        <f t="shared" si="43"/>
        <v>April 2022</v>
      </c>
    </row>
    <row r="668" spans="1:14" x14ac:dyDescent="0.25">
      <c r="A668" s="1">
        <v>44660</v>
      </c>
      <c r="B668" t="s">
        <v>1681</v>
      </c>
      <c r="C668">
        <v>50</v>
      </c>
      <c r="D668" t="s">
        <v>14</v>
      </c>
      <c r="E668" t="s">
        <v>25</v>
      </c>
      <c r="F668" t="s">
        <v>11</v>
      </c>
      <c r="G668" t="s">
        <v>17</v>
      </c>
      <c r="H668">
        <v>3250.43</v>
      </c>
      <c r="I668" s="8" t="str" cm="1">
        <f t="array" ref="I668">_xlfn.IFS(C668&lt;=15,"Children and Young Adolescents", C668&gt;64, "Seniors", TRUE, "Working Age")</f>
        <v>Working Age</v>
      </c>
      <c r="J668" s="6">
        <f>VLOOKUP(F668,Analysis!$F$1:$G$5,2,FALSE)</f>
        <v>2503.6022787783854</v>
      </c>
      <c r="K668">
        <f t="shared" si="40"/>
        <v>3575.47</v>
      </c>
      <c r="L668">
        <f t="shared" si="41"/>
        <v>3575.48</v>
      </c>
      <c r="M668">
        <f t="shared" si="42"/>
        <v>3575.47</v>
      </c>
      <c r="N668" s="5" t="str">
        <f t="shared" si="43"/>
        <v>April 2022</v>
      </c>
    </row>
    <row r="669" spans="1:14" x14ac:dyDescent="0.25">
      <c r="A669" s="1">
        <v>44661</v>
      </c>
      <c r="B669" t="s">
        <v>930</v>
      </c>
      <c r="C669">
        <v>78</v>
      </c>
      <c r="D669" t="s">
        <v>21</v>
      </c>
      <c r="E669" t="s">
        <v>5032</v>
      </c>
      <c r="F669" t="s">
        <v>16</v>
      </c>
      <c r="G669" t="s">
        <v>5033</v>
      </c>
      <c r="H669">
        <v>3089.92</v>
      </c>
      <c r="I669" s="8" t="str" cm="1">
        <f t="array" ref="I669">_xlfn.IFS(C669&lt;=15,"Children and Young Adolescents", C669&gt;64, "Seniors", TRUE, "Working Age")</f>
        <v>Seniors</v>
      </c>
      <c r="J669" s="6">
        <f>VLOOKUP(F669,Analysis!$F$1:$G$5,2,FALSE)</f>
        <v>2509.1716796874912</v>
      </c>
      <c r="K669">
        <f t="shared" si="40"/>
        <v>3398.91</v>
      </c>
      <c r="L669">
        <f t="shared" si="41"/>
        <v>3398.92</v>
      </c>
      <c r="M669">
        <f t="shared" si="42"/>
        <v>3398.91</v>
      </c>
      <c r="N669" s="5" t="str">
        <f t="shared" si="43"/>
        <v>April 2022</v>
      </c>
    </row>
    <row r="670" spans="1:14" x14ac:dyDescent="0.25">
      <c r="A670" s="1">
        <v>44661</v>
      </c>
      <c r="B670" t="s">
        <v>1121</v>
      </c>
      <c r="C670">
        <v>2</v>
      </c>
      <c r="D670" t="s">
        <v>21</v>
      </c>
      <c r="E670" t="s">
        <v>25</v>
      </c>
      <c r="F670" t="s">
        <v>11</v>
      </c>
      <c r="G670" t="s">
        <v>17</v>
      </c>
      <c r="H670">
        <v>927.24</v>
      </c>
      <c r="I670" s="8" t="str" cm="1">
        <f t="array" ref="I670">_xlfn.IFS(C670&lt;=15,"Children and Young Adolescents", C670&gt;64, "Seniors", TRUE, "Working Age")</f>
        <v>Children and Young Adolescents</v>
      </c>
      <c r="J670" s="6">
        <f>VLOOKUP(F670,Analysis!$F$1:$G$5,2,FALSE)</f>
        <v>2503.6022787783854</v>
      </c>
      <c r="K670">
        <f t="shared" si="40"/>
        <v>1019.96</v>
      </c>
      <c r="L670">
        <f t="shared" si="41"/>
        <v>1019.97</v>
      </c>
      <c r="M670">
        <f t="shared" si="42"/>
        <v>1019.96</v>
      </c>
      <c r="N670" s="5" t="str">
        <f t="shared" si="43"/>
        <v>April 2022</v>
      </c>
    </row>
    <row r="671" spans="1:14" x14ac:dyDescent="0.25">
      <c r="A671" s="1">
        <v>44661</v>
      </c>
      <c r="B671" t="s">
        <v>2144</v>
      </c>
      <c r="C671">
        <v>63</v>
      </c>
      <c r="D671" t="s">
        <v>9</v>
      </c>
      <c r="E671" t="s">
        <v>32</v>
      </c>
      <c r="F671" t="s">
        <v>16</v>
      </c>
      <c r="G671" t="s">
        <v>17</v>
      </c>
      <c r="H671">
        <v>4702.41</v>
      </c>
      <c r="I671" s="8" t="str" cm="1">
        <f t="array" ref="I671">_xlfn.IFS(C671&lt;=15,"Children and Young Adolescents", C671&gt;64, "Seniors", TRUE, "Working Age")</f>
        <v>Working Age</v>
      </c>
      <c r="J671" s="6">
        <f>VLOOKUP(F671,Analysis!$F$1:$G$5,2,FALSE)</f>
        <v>2509.1716796874912</v>
      </c>
      <c r="K671">
        <f t="shared" si="40"/>
        <v>5172.6499999999996</v>
      </c>
      <c r="L671">
        <f t="shared" si="41"/>
        <v>5172.66</v>
      </c>
      <c r="M671">
        <f t="shared" si="42"/>
        <v>5172.6499999999996</v>
      </c>
      <c r="N671" s="5" t="str">
        <f t="shared" si="43"/>
        <v>April 2022</v>
      </c>
    </row>
    <row r="672" spans="1:14" x14ac:dyDescent="0.25">
      <c r="A672" s="1">
        <v>44661</v>
      </c>
      <c r="B672" t="s">
        <v>4183</v>
      </c>
      <c r="C672">
        <v>84</v>
      </c>
      <c r="D672" t="s">
        <v>9</v>
      </c>
      <c r="E672" t="s">
        <v>32</v>
      </c>
      <c r="F672" t="s">
        <v>23</v>
      </c>
      <c r="G672" t="s">
        <v>36</v>
      </c>
      <c r="H672">
        <v>3678.3</v>
      </c>
      <c r="I672" s="8" t="str" cm="1">
        <f t="array" ref="I672">_xlfn.IFS(C672&lt;=15,"Children and Young Adolescents", C672&gt;64, "Seniors", TRUE, "Working Age")</f>
        <v>Seniors</v>
      </c>
      <c r="J672" s="6">
        <f>VLOOKUP(F672,Analysis!$F$1:$G$5,2,FALSE)</f>
        <v>2440.2966694490838</v>
      </c>
      <c r="K672">
        <f t="shared" si="40"/>
        <v>4046.13</v>
      </c>
      <c r="L672">
        <f t="shared" si="41"/>
        <v>4046.13</v>
      </c>
      <c r="M672">
        <f t="shared" si="42"/>
        <v>4046.13</v>
      </c>
      <c r="N672" s="5" t="str">
        <f t="shared" si="43"/>
        <v>April 2022</v>
      </c>
    </row>
    <row r="673" spans="1:14" x14ac:dyDescent="0.25">
      <c r="A673" s="1">
        <v>44661</v>
      </c>
      <c r="B673" t="s">
        <v>4732</v>
      </c>
      <c r="C673">
        <v>68</v>
      </c>
      <c r="D673" t="s">
        <v>14</v>
      </c>
      <c r="E673" t="s">
        <v>22</v>
      </c>
      <c r="F673" t="s">
        <v>16</v>
      </c>
      <c r="G673" t="s">
        <v>17</v>
      </c>
      <c r="H673">
        <v>2916.47</v>
      </c>
      <c r="I673" s="8" t="str" cm="1">
        <f t="array" ref="I673">_xlfn.IFS(C673&lt;=15,"Children and Young Adolescents", C673&gt;64, "Seniors", TRUE, "Working Age")</f>
        <v>Seniors</v>
      </c>
      <c r="J673" s="6">
        <f>VLOOKUP(F673,Analysis!$F$1:$G$5,2,FALSE)</f>
        <v>2509.1716796874912</v>
      </c>
      <c r="K673">
        <f t="shared" si="40"/>
        <v>3208.11</v>
      </c>
      <c r="L673">
        <f t="shared" si="41"/>
        <v>3208.1200000000003</v>
      </c>
      <c r="M673">
        <f t="shared" si="42"/>
        <v>3208.12</v>
      </c>
      <c r="N673" s="5" t="str">
        <f t="shared" si="43"/>
        <v>April 2022</v>
      </c>
    </row>
    <row r="674" spans="1:14" x14ac:dyDescent="0.25">
      <c r="A674" s="1">
        <v>44661</v>
      </c>
      <c r="B674" t="s">
        <v>1909</v>
      </c>
      <c r="C674">
        <v>35</v>
      </c>
      <c r="D674" t="s">
        <v>21</v>
      </c>
      <c r="E674" t="s">
        <v>19</v>
      </c>
      <c r="F674" t="s">
        <v>23</v>
      </c>
      <c r="G674" t="s">
        <v>17</v>
      </c>
      <c r="H674">
        <v>3450.45</v>
      </c>
      <c r="I674" s="8" t="str" cm="1">
        <f t="array" ref="I674">_xlfn.IFS(C674&lt;=15,"Children and Young Adolescents", C674&gt;64, "Seniors", TRUE, "Working Age")</f>
        <v>Working Age</v>
      </c>
      <c r="J674" s="6">
        <f>VLOOKUP(F674,Analysis!$F$1:$G$5,2,FALSE)</f>
        <v>2440.2966694490838</v>
      </c>
      <c r="K674">
        <f t="shared" si="40"/>
        <v>3795.49</v>
      </c>
      <c r="L674">
        <f t="shared" si="41"/>
        <v>3795.5</v>
      </c>
      <c r="M674">
        <f t="shared" si="42"/>
        <v>3795.5</v>
      </c>
      <c r="N674" s="5" t="str">
        <f t="shared" si="43"/>
        <v>April 2022</v>
      </c>
    </row>
    <row r="675" spans="1:14" x14ac:dyDescent="0.25">
      <c r="A675" s="1">
        <v>44661</v>
      </c>
      <c r="B675" t="s">
        <v>313</v>
      </c>
      <c r="C675">
        <v>62</v>
      </c>
      <c r="D675" t="s">
        <v>21</v>
      </c>
      <c r="E675" t="s">
        <v>25</v>
      </c>
      <c r="F675" t="s">
        <v>11</v>
      </c>
      <c r="G675" t="s">
        <v>27</v>
      </c>
      <c r="H675">
        <v>1747.45</v>
      </c>
      <c r="I675" s="8" t="str" cm="1">
        <f t="array" ref="I675">_xlfn.IFS(C675&lt;=15,"Children and Young Adolescents", C675&gt;64, "Seniors", TRUE, "Working Age")</f>
        <v>Working Age</v>
      </c>
      <c r="J675" s="6">
        <f>VLOOKUP(F675,Analysis!$F$1:$G$5,2,FALSE)</f>
        <v>2503.6022787783854</v>
      </c>
      <c r="K675">
        <f t="shared" si="40"/>
        <v>1922.19</v>
      </c>
      <c r="L675">
        <f t="shared" si="41"/>
        <v>1922.2</v>
      </c>
      <c r="M675">
        <f t="shared" si="42"/>
        <v>1922.2</v>
      </c>
      <c r="N675" s="5" t="str">
        <f t="shared" si="43"/>
        <v>April 2022</v>
      </c>
    </row>
    <row r="676" spans="1:14" x14ac:dyDescent="0.25">
      <c r="A676" s="1">
        <v>44661</v>
      </c>
      <c r="B676" t="s">
        <v>4037</v>
      </c>
      <c r="C676">
        <v>29</v>
      </c>
      <c r="D676" t="s">
        <v>14</v>
      </c>
      <c r="E676" t="s">
        <v>10</v>
      </c>
      <c r="F676" t="s">
        <v>29</v>
      </c>
      <c r="G676" t="s">
        <v>27</v>
      </c>
      <c r="H676">
        <v>4331.84</v>
      </c>
      <c r="I676" s="8" t="str" cm="1">
        <f t="array" ref="I676">_xlfn.IFS(C676&lt;=15,"Children and Young Adolescents", C676&gt;64, "Seniors", TRUE, "Working Age")</f>
        <v>Working Age</v>
      </c>
      <c r="J676" s="6">
        <f>VLOOKUP(F676,Analysis!$F$1:$G$5,2,FALSE)</f>
        <v>2496.7676064256989</v>
      </c>
      <c r="K676">
        <f t="shared" si="40"/>
        <v>4765.0200000000004</v>
      </c>
      <c r="L676">
        <f t="shared" si="41"/>
        <v>4765.0300000000007</v>
      </c>
      <c r="M676">
        <f t="shared" si="42"/>
        <v>4765.0200000000004</v>
      </c>
      <c r="N676" s="5" t="str">
        <f t="shared" si="43"/>
        <v>April 2022</v>
      </c>
    </row>
    <row r="677" spans="1:14" x14ac:dyDescent="0.25">
      <c r="A677" s="1">
        <v>44661</v>
      </c>
      <c r="B677" t="s">
        <v>3136</v>
      </c>
      <c r="C677">
        <v>34</v>
      </c>
      <c r="D677" t="s">
        <v>14</v>
      </c>
      <c r="E677" t="s">
        <v>22</v>
      </c>
      <c r="F677" t="s">
        <v>29</v>
      </c>
      <c r="G677" t="s">
        <v>36</v>
      </c>
      <c r="H677">
        <v>767</v>
      </c>
      <c r="I677" s="8" t="str" cm="1">
        <f t="array" ref="I677">_xlfn.IFS(C677&lt;=15,"Children and Young Adolescents", C677&gt;64, "Seniors", TRUE, "Working Age")</f>
        <v>Working Age</v>
      </c>
      <c r="J677" s="6">
        <f>VLOOKUP(F677,Analysis!$F$1:$G$5,2,FALSE)</f>
        <v>2496.7676064256989</v>
      </c>
      <c r="K677">
        <f t="shared" si="40"/>
        <v>843.7</v>
      </c>
      <c r="L677">
        <f t="shared" si="41"/>
        <v>843.7</v>
      </c>
      <c r="M677">
        <f t="shared" si="42"/>
        <v>843.7</v>
      </c>
      <c r="N677" s="5" t="str">
        <f t="shared" si="43"/>
        <v>April 2022</v>
      </c>
    </row>
    <row r="678" spans="1:14" x14ac:dyDescent="0.25">
      <c r="A678" s="1">
        <v>44661</v>
      </c>
      <c r="B678" t="s">
        <v>3510</v>
      </c>
      <c r="C678">
        <v>70</v>
      </c>
      <c r="D678" t="s">
        <v>14</v>
      </c>
      <c r="E678" t="s">
        <v>10</v>
      </c>
      <c r="F678" t="s">
        <v>23</v>
      </c>
      <c r="G678" t="s">
        <v>17</v>
      </c>
      <c r="H678">
        <v>1724.18</v>
      </c>
      <c r="I678" s="8" t="str" cm="1">
        <f t="array" ref="I678">_xlfn.IFS(C678&lt;=15,"Children and Young Adolescents", C678&gt;64, "Seniors", TRUE, "Working Age")</f>
        <v>Seniors</v>
      </c>
      <c r="J678" s="6">
        <f>VLOOKUP(F678,Analysis!$F$1:$G$5,2,FALSE)</f>
        <v>2440.2966694490838</v>
      </c>
      <c r="K678">
        <f t="shared" si="40"/>
        <v>1896.59</v>
      </c>
      <c r="L678">
        <f t="shared" si="41"/>
        <v>1896.6</v>
      </c>
      <c r="M678">
        <f t="shared" si="42"/>
        <v>1896.6</v>
      </c>
      <c r="N678" s="5" t="str">
        <f t="shared" si="43"/>
        <v>April 2022</v>
      </c>
    </row>
    <row r="679" spans="1:14" x14ac:dyDescent="0.25">
      <c r="A679" s="1">
        <v>44662</v>
      </c>
      <c r="B679" t="s">
        <v>1516</v>
      </c>
      <c r="C679">
        <v>57</v>
      </c>
      <c r="D679" t="s">
        <v>14</v>
      </c>
      <c r="E679" t="s">
        <v>5032</v>
      </c>
      <c r="F679" t="s">
        <v>23</v>
      </c>
      <c r="G679" t="s">
        <v>17</v>
      </c>
      <c r="H679">
        <v>2182.5700000000002</v>
      </c>
      <c r="I679" s="8" t="str" cm="1">
        <f t="array" ref="I679">_xlfn.IFS(C679&lt;=15,"Children and Young Adolescents", C679&gt;64, "Seniors", TRUE, "Working Age")</f>
        <v>Working Age</v>
      </c>
      <c r="J679" s="6">
        <f>VLOOKUP(F679,Analysis!$F$1:$G$5,2,FALSE)</f>
        <v>2440.2966694490838</v>
      </c>
      <c r="K679">
        <f t="shared" si="40"/>
        <v>2400.8200000000002</v>
      </c>
      <c r="L679">
        <f t="shared" si="41"/>
        <v>2400.8300000000004</v>
      </c>
      <c r="M679">
        <f t="shared" si="42"/>
        <v>2400.83</v>
      </c>
      <c r="N679" s="5" t="str">
        <f t="shared" si="43"/>
        <v>April 2022</v>
      </c>
    </row>
    <row r="680" spans="1:14" x14ac:dyDescent="0.25">
      <c r="A680" s="1">
        <v>44662</v>
      </c>
      <c r="B680" t="s">
        <v>3965</v>
      </c>
      <c r="C680">
        <v>60</v>
      </c>
      <c r="D680" t="s">
        <v>9</v>
      </c>
      <c r="E680" t="s">
        <v>34</v>
      </c>
      <c r="F680" t="s">
        <v>23</v>
      </c>
      <c r="G680" t="s">
        <v>27</v>
      </c>
      <c r="H680">
        <v>2149.4899999999998</v>
      </c>
      <c r="I680" s="8" t="str" cm="1">
        <f t="array" ref="I680">_xlfn.IFS(C680&lt;=15,"Children and Young Adolescents", C680&gt;64, "Seniors", TRUE, "Working Age")</f>
        <v>Working Age</v>
      </c>
      <c r="J680" s="6">
        <f>VLOOKUP(F680,Analysis!$F$1:$G$5,2,FALSE)</f>
        <v>2440.2966694490838</v>
      </c>
      <c r="K680">
        <f t="shared" si="40"/>
        <v>2364.4299999999998</v>
      </c>
      <c r="L680">
        <f t="shared" si="41"/>
        <v>2364.44</v>
      </c>
      <c r="M680">
        <f t="shared" si="42"/>
        <v>2364.44</v>
      </c>
      <c r="N680" s="5" t="str">
        <f t="shared" si="43"/>
        <v>April 2022</v>
      </c>
    </row>
    <row r="681" spans="1:14" x14ac:dyDescent="0.25">
      <c r="A681" s="1">
        <v>44662</v>
      </c>
      <c r="B681" t="s">
        <v>624</v>
      </c>
      <c r="C681">
        <v>92</v>
      </c>
      <c r="D681" t="s">
        <v>21</v>
      </c>
      <c r="E681" t="s">
        <v>19</v>
      </c>
      <c r="F681" t="s">
        <v>29</v>
      </c>
      <c r="G681" t="s">
        <v>36</v>
      </c>
      <c r="H681">
        <v>592.69000000000005</v>
      </c>
      <c r="I681" s="8" t="str" cm="1">
        <f t="array" ref="I681">_xlfn.IFS(C681&lt;=15,"Children and Young Adolescents", C681&gt;64, "Seniors", TRUE, "Working Age")</f>
        <v>Seniors</v>
      </c>
      <c r="J681" s="6">
        <f>VLOOKUP(F681,Analysis!$F$1:$G$5,2,FALSE)</f>
        <v>2496.7676064256989</v>
      </c>
      <c r="K681">
        <f t="shared" si="40"/>
        <v>651.95000000000005</v>
      </c>
      <c r="L681">
        <f t="shared" si="41"/>
        <v>651.96</v>
      </c>
      <c r="M681">
        <f t="shared" si="42"/>
        <v>651.96</v>
      </c>
      <c r="N681" s="5" t="str">
        <f t="shared" si="43"/>
        <v>April 2022</v>
      </c>
    </row>
    <row r="682" spans="1:14" x14ac:dyDescent="0.25">
      <c r="A682" s="1">
        <v>44662</v>
      </c>
      <c r="B682" t="s">
        <v>3060</v>
      </c>
      <c r="C682">
        <v>77</v>
      </c>
      <c r="D682" t="s">
        <v>14</v>
      </c>
      <c r="E682" t="s">
        <v>25</v>
      </c>
      <c r="F682" t="s">
        <v>29</v>
      </c>
      <c r="G682" t="s">
        <v>36</v>
      </c>
      <c r="H682">
        <v>386.48</v>
      </c>
      <c r="I682" s="8" t="str" cm="1">
        <f t="array" ref="I682">_xlfn.IFS(C682&lt;=15,"Children and Young Adolescents", C682&gt;64, "Seniors", TRUE, "Working Age")</f>
        <v>Seniors</v>
      </c>
      <c r="J682" s="6">
        <f>VLOOKUP(F682,Analysis!$F$1:$G$5,2,FALSE)</f>
        <v>2496.7676064256989</v>
      </c>
      <c r="K682">
        <f t="shared" si="40"/>
        <v>425.12</v>
      </c>
      <c r="L682">
        <f t="shared" si="41"/>
        <v>425.13</v>
      </c>
      <c r="M682">
        <f t="shared" si="42"/>
        <v>425.13</v>
      </c>
      <c r="N682" s="5" t="str">
        <f t="shared" si="43"/>
        <v>April 2022</v>
      </c>
    </row>
    <row r="683" spans="1:14" x14ac:dyDescent="0.25">
      <c r="A683" s="1">
        <v>44662</v>
      </c>
      <c r="B683" t="s">
        <v>2012</v>
      </c>
      <c r="C683">
        <v>80</v>
      </c>
      <c r="D683" t="s">
        <v>14</v>
      </c>
      <c r="E683" t="s">
        <v>32</v>
      </c>
      <c r="F683" t="s">
        <v>29</v>
      </c>
      <c r="G683" t="s">
        <v>12</v>
      </c>
      <c r="H683">
        <v>4648.28</v>
      </c>
      <c r="I683" s="8" t="str" cm="1">
        <f t="array" ref="I683">_xlfn.IFS(C683&lt;=15,"Children and Young Adolescents", C683&gt;64, "Seniors", TRUE, "Working Age")</f>
        <v>Seniors</v>
      </c>
      <c r="J683" s="6">
        <f>VLOOKUP(F683,Analysis!$F$1:$G$5,2,FALSE)</f>
        <v>2496.7676064256989</v>
      </c>
      <c r="K683">
        <f t="shared" si="40"/>
        <v>5113.1000000000004</v>
      </c>
      <c r="L683">
        <f t="shared" si="41"/>
        <v>5113.1100000000006</v>
      </c>
      <c r="M683">
        <f t="shared" si="42"/>
        <v>5113.1099999999997</v>
      </c>
      <c r="N683" s="5" t="str">
        <f t="shared" si="43"/>
        <v>April 2022</v>
      </c>
    </row>
    <row r="684" spans="1:14" x14ac:dyDescent="0.25">
      <c r="A684" s="1">
        <v>44662</v>
      </c>
      <c r="B684" t="s">
        <v>1452</v>
      </c>
      <c r="C684">
        <v>25</v>
      </c>
      <c r="D684" t="s">
        <v>21</v>
      </c>
      <c r="E684" t="s">
        <v>15</v>
      </c>
      <c r="F684" t="s">
        <v>11</v>
      </c>
      <c r="G684" t="s">
        <v>36</v>
      </c>
      <c r="H684">
        <v>4682.22</v>
      </c>
      <c r="I684" s="8" t="str" cm="1">
        <f t="array" ref="I684">_xlfn.IFS(C684&lt;=15,"Children and Young Adolescents", C684&gt;64, "Seniors", TRUE, "Working Age")</f>
        <v>Working Age</v>
      </c>
      <c r="J684" s="6">
        <f>VLOOKUP(F684,Analysis!$F$1:$G$5,2,FALSE)</f>
        <v>2503.6022787783854</v>
      </c>
      <c r="K684">
        <f t="shared" si="40"/>
        <v>5150.4399999999996</v>
      </c>
      <c r="L684">
        <f t="shared" si="41"/>
        <v>5150.45</v>
      </c>
      <c r="M684">
        <f t="shared" si="42"/>
        <v>5150.4399999999996</v>
      </c>
      <c r="N684" s="5" t="str">
        <f t="shared" si="43"/>
        <v>April 2022</v>
      </c>
    </row>
    <row r="685" spans="1:14" x14ac:dyDescent="0.25">
      <c r="A685" s="1">
        <v>44662</v>
      </c>
      <c r="B685" t="s">
        <v>4307</v>
      </c>
      <c r="C685">
        <v>0</v>
      </c>
      <c r="D685" t="s">
        <v>9</v>
      </c>
      <c r="E685" t="s">
        <v>34</v>
      </c>
      <c r="F685" t="s">
        <v>11</v>
      </c>
      <c r="G685" t="s">
        <v>27</v>
      </c>
      <c r="H685">
        <v>3954.79</v>
      </c>
      <c r="I685" s="8" t="str" cm="1">
        <f t="array" ref="I685">_xlfn.IFS(C685&lt;=15,"Children and Young Adolescents", C685&gt;64, "Seniors", TRUE, "Working Age")</f>
        <v>Children and Young Adolescents</v>
      </c>
      <c r="J685" s="6">
        <f>VLOOKUP(F685,Analysis!$F$1:$G$5,2,FALSE)</f>
        <v>2503.6022787783854</v>
      </c>
      <c r="K685">
        <f t="shared" si="40"/>
        <v>4350.26</v>
      </c>
      <c r="L685">
        <f t="shared" si="41"/>
        <v>4350.2700000000004</v>
      </c>
      <c r="M685">
        <f t="shared" si="42"/>
        <v>4350.2700000000004</v>
      </c>
      <c r="N685" s="5" t="str">
        <f t="shared" si="43"/>
        <v>April 2022</v>
      </c>
    </row>
    <row r="686" spans="1:14" x14ac:dyDescent="0.25">
      <c r="A686" s="1">
        <v>44662</v>
      </c>
      <c r="B686" t="s">
        <v>3900</v>
      </c>
      <c r="C686">
        <v>9</v>
      </c>
      <c r="D686" t="s">
        <v>14</v>
      </c>
      <c r="E686" t="s">
        <v>34</v>
      </c>
      <c r="F686" t="s">
        <v>23</v>
      </c>
      <c r="G686" t="s">
        <v>17</v>
      </c>
      <c r="H686">
        <v>4673.8900000000003</v>
      </c>
      <c r="I686" s="8" t="str" cm="1">
        <f t="array" ref="I686">_xlfn.IFS(C686&lt;=15,"Children and Young Adolescents", C686&gt;64, "Seniors", TRUE, "Working Age")</f>
        <v>Children and Young Adolescents</v>
      </c>
      <c r="J686" s="6">
        <f>VLOOKUP(F686,Analysis!$F$1:$G$5,2,FALSE)</f>
        <v>2440.2966694490838</v>
      </c>
      <c r="K686">
        <f t="shared" si="40"/>
        <v>5141.2700000000004</v>
      </c>
      <c r="L686">
        <f t="shared" si="41"/>
        <v>5141.2800000000007</v>
      </c>
      <c r="M686">
        <f t="shared" si="42"/>
        <v>5141.28</v>
      </c>
      <c r="N686" s="5" t="str">
        <f t="shared" si="43"/>
        <v>April 2022</v>
      </c>
    </row>
    <row r="687" spans="1:14" x14ac:dyDescent="0.25">
      <c r="A687" s="1">
        <v>44663</v>
      </c>
      <c r="B687" t="s">
        <v>5010</v>
      </c>
      <c r="C687">
        <v>92</v>
      </c>
      <c r="D687" t="s">
        <v>9</v>
      </c>
      <c r="E687" t="s">
        <v>25</v>
      </c>
      <c r="F687" t="s">
        <v>16</v>
      </c>
      <c r="G687" t="s">
        <v>27</v>
      </c>
      <c r="H687">
        <v>2505.4499999999998</v>
      </c>
      <c r="I687" s="8" t="str" cm="1">
        <f t="array" ref="I687">_xlfn.IFS(C687&lt;=15,"Children and Young Adolescents", C687&gt;64, "Seniors", TRUE, "Working Age")</f>
        <v>Seniors</v>
      </c>
      <c r="J687" s="6">
        <f>VLOOKUP(F687,Analysis!$F$1:$G$5,2,FALSE)</f>
        <v>2509.1716796874912</v>
      </c>
      <c r="K687">
        <f t="shared" si="40"/>
        <v>2755.99</v>
      </c>
      <c r="L687">
        <f t="shared" si="41"/>
        <v>2756</v>
      </c>
      <c r="M687">
        <f t="shared" si="42"/>
        <v>2756</v>
      </c>
      <c r="N687" s="5" t="str">
        <f t="shared" si="43"/>
        <v>April 2022</v>
      </c>
    </row>
    <row r="688" spans="1:14" x14ac:dyDescent="0.25">
      <c r="A688" s="1">
        <v>44663</v>
      </c>
      <c r="B688" t="s">
        <v>1206</v>
      </c>
      <c r="C688">
        <v>31</v>
      </c>
      <c r="D688" t="s">
        <v>21</v>
      </c>
      <c r="E688" t="s">
        <v>34</v>
      </c>
      <c r="F688" t="s">
        <v>11</v>
      </c>
      <c r="G688" t="s">
        <v>39</v>
      </c>
      <c r="H688">
        <v>3482.94</v>
      </c>
      <c r="I688" s="8" t="str" cm="1">
        <f t="array" ref="I688">_xlfn.IFS(C688&lt;=15,"Children and Young Adolescents", C688&gt;64, "Seniors", TRUE, "Working Age")</f>
        <v>Working Age</v>
      </c>
      <c r="J688" s="6">
        <f>VLOOKUP(F688,Analysis!$F$1:$G$5,2,FALSE)</f>
        <v>2503.6022787783854</v>
      </c>
      <c r="K688">
        <f t="shared" si="40"/>
        <v>3831.23</v>
      </c>
      <c r="L688">
        <f t="shared" si="41"/>
        <v>3831.2400000000002</v>
      </c>
      <c r="M688">
        <f t="shared" si="42"/>
        <v>3831.23</v>
      </c>
      <c r="N688" s="5" t="str">
        <f t="shared" si="43"/>
        <v>April 2022</v>
      </c>
    </row>
    <row r="689" spans="1:14" x14ac:dyDescent="0.25">
      <c r="A689" s="1">
        <v>44663</v>
      </c>
      <c r="B689" t="s">
        <v>3807</v>
      </c>
      <c r="C689">
        <v>76</v>
      </c>
      <c r="D689" t="s">
        <v>9</v>
      </c>
      <c r="E689" t="s">
        <v>22</v>
      </c>
      <c r="F689" t="s">
        <v>23</v>
      </c>
      <c r="G689" t="s">
        <v>12</v>
      </c>
      <c r="H689">
        <v>2092.38</v>
      </c>
      <c r="I689" s="8" t="str" cm="1">
        <f t="array" ref="I689">_xlfn.IFS(C689&lt;=15,"Children and Young Adolescents", C689&gt;64, "Seniors", TRUE, "Working Age")</f>
        <v>Seniors</v>
      </c>
      <c r="J689" s="6">
        <f>VLOOKUP(F689,Analysis!$F$1:$G$5,2,FALSE)</f>
        <v>2440.2966694490838</v>
      </c>
      <c r="K689">
        <f t="shared" si="40"/>
        <v>2301.61</v>
      </c>
      <c r="L689">
        <f t="shared" si="41"/>
        <v>2301.6200000000003</v>
      </c>
      <c r="M689">
        <f t="shared" si="42"/>
        <v>2301.62</v>
      </c>
      <c r="N689" s="5" t="str">
        <f t="shared" si="43"/>
        <v>April 2022</v>
      </c>
    </row>
    <row r="690" spans="1:14" x14ac:dyDescent="0.25">
      <c r="A690" s="1">
        <v>44663</v>
      </c>
      <c r="B690" t="s">
        <v>4446</v>
      </c>
      <c r="C690">
        <v>12</v>
      </c>
      <c r="D690" t="s">
        <v>14</v>
      </c>
      <c r="E690" t="s">
        <v>22</v>
      </c>
      <c r="F690" t="s">
        <v>23</v>
      </c>
      <c r="G690" t="s">
        <v>12</v>
      </c>
      <c r="H690">
        <v>4832.6499999999996</v>
      </c>
      <c r="I690" s="8" t="str" cm="1">
        <f t="array" ref="I690">_xlfn.IFS(C690&lt;=15,"Children and Young Adolescents", C690&gt;64, "Seniors", TRUE, "Working Age")</f>
        <v>Children and Young Adolescents</v>
      </c>
      <c r="J690" s="6">
        <f>VLOOKUP(F690,Analysis!$F$1:$G$5,2,FALSE)</f>
        <v>2440.2966694490838</v>
      </c>
      <c r="K690">
        <f t="shared" si="40"/>
        <v>5315.91</v>
      </c>
      <c r="L690">
        <f t="shared" si="41"/>
        <v>5315.92</v>
      </c>
      <c r="M690">
        <f t="shared" si="42"/>
        <v>5315.92</v>
      </c>
      <c r="N690" s="5" t="str">
        <f t="shared" si="43"/>
        <v>April 2022</v>
      </c>
    </row>
    <row r="691" spans="1:14" x14ac:dyDescent="0.25">
      <c r="A691" s="1">
        <v>44663</v>
      </c>
      <c r="B691" t="s">
        <v>1291</v>
      </c>
      <c r="C691">
        <v>36</v>
      </c>
      <c r="D691" t="s">
        <v>14</v>
      </c>
      <c r="E691" t="s">
        <v>25</v>
      </c>
      <c r="F691" t="s">
        <v>23</v>
      </c>
      <c r="G691" t="s">
        <v>12</v>
      </c>
      <c r="H691">
        <v>2332.9</v>
      </c>
      <c r="I691" s="8" t="str" cm="1">
        <f t="array" ref="I691">_xlfn.IFS(C691&lt;=15,"Children and Young Adolescents", C691&gt;64, "Seniors", TRUE, "Working Age")</f>
        <v>Working Age</v>
      </c>
      <c r="J691" s="6">
        <f>VLOOKUP(F691,Analysis!$F$1:$G$5,2,FALSE)</f>
        <v>2440.2966694490838</v>
      </c>
      <c r="K691">
        <f t="shared" si="40"/>
        <v>2566.19</v>
      </c>
      <c r="L691">
        <f t="shared" si="41"/>
        <v>2566.19</v>
      </c>
      <c r="M691">
        <f t="shared" si="42"/>
        <v>2566.19</v>
      </c>
      <c r="N691" s="5" t="str">
        <f t="shared" si="43"/>
        <v>April 2022</v>
      </c>
    </row>
    <row r="692" spans="1:14" x14ac:dyDescent="0.25">
      <c r="A692" s="1">
        <v>44663</v>
      </c>
      <c r="B692" t="s">
        <v>2517</v>
      </c>
      <c r="C692">
        <v>31</v>
      </c>
      <c r="D692" t="s">
        <v>14</v>
      </c>
      <c r="E692" t="s">
        <v>10</v>
      </c>
      <c r="F692" t="s">
        <v>16</v>
      </c>
      <c r="G692" t="s">
        <v>12</v>
      </c>
      <c r="H692">
        <v>1342.8</v>
      </c>
      <c r="I692" s="8" t="str" cm="1">
        <f t="array" ref="I692">_xlfn.IFS(C692&lt;=15,"Children and Young Adolescents", C692&gt;64, "Seniors", TRUE, "Working Age")</f>
        <v>Working Age</v>
      </c>
      <c r="J692" s="6">
        <f>VLOOKUP(F692,Analysis!$F$1:$G$5,2,FALSE)</f>
        <v>2509.1716796874912</v>
      </c>
      <c r="K692">
        <f t="shared" si="40"/>
        <v>1477.08</v>
      </c>
      <c r="L692">
        <f t="shared" si="41"/>
        <v>1477.08</v>
      </c>
      <c r="M692">
        <f t="shared" si="42"/>
        <v>1477.08</v>
      </c>
      <c r="N692" s="5" t="str">
        <f t="shared" si="43"/>
        <v>April 2022</v>
      </c>
    </row>
    <row r="693" spans="1:14" x14ac:dyDescent="0.25">
      <c r="A693" s="1">
        <v>44663</v>
      </c>
      <c r="B693" t="s">
        <v>3015</v>
      </c>
      <c r="C693">
        <v>97</v>
      </c>
      <c r="D693" t="s">
        <v>14</v>
      </c>
      <c r="E693" t="s">
        <v>10</v>
      </c>
      <c r="F693" t="s">
        <v>11</v>
      </c>
      <c r="G693" t="s">
        <v>39</v>
      </c>
      <c r="H693">
        <v>3141.36</v>
      </c>
      <c r="I693" s="8" t="str" cm="1">
        <f t="array" ref="I693">_xlfn.IFS(C693&lt;=15,"Children and Young Adolescents", C693&gt;64, "Seniors", TRUE, "Working Age")</f>
        <v>Seniors</v>
      </c>
      <c r="J693" s="6">
        <f>VLOOKUP(F693,Analysis!$F$1:$G$5,2,FALSE)</f>
        <v>2503.6022787783854</v>
      </c>
      <c r="K693">
        <f t="shared" si="40"/>
        <v>3455.49</v>
      </c>
      <c r="L693">
        <f t="shared" si="41"/>
        <v>3455.5</v>
      </c>
      <c r="M693">
        <f t="shared" si="42"/>
        <v>3455.5</v>
      </c>
      <c r="N693" s="5" t="str">
        <f t="shared" si="43"/>
        <v>April 2022</v>
      </c>
    </row>
    <row r="694" spans="1:14" x14ac:dyDescent="0.25">
      <c r="A694" s="1">
        <v>44664</v>
      </c>
      <c r="B694" t="s">
        <v>4222</v>
      </c>
      <c r="C694">
        <v>92</v>
      </c>
      <c r="D694" t="s">
        <v>21</v>
      </c>
      <c r="E694" t="s">
        <v>19</v>
      </c>
      <c r="F694" t="s">
        <v>23</v>
      </c>
      <c r="G694" t="s">
        <v>36</v>
      </c>
      <c r="H694">
        <v>3174.65</v>
      </c>
      <c r="I694" s="8" t="str" cm="1">
        <f t="array" ref="I694">_xlfn.IFS(C694&lt;=15,"Children and Young Adolescents", C694&gt;64, "Seniors", TRUE, "Working Age")</f>
        <v>Seniors</v>
      </c>
      <c r="J694" s="6">
        <f>VLOOKUP(F694,Analysis!$F$1:$G$5,2,FALSE)</f>
        <v>2440.2966694490838</v>
      </c>
      <c r="K694">
        <f t="shared" si="40"/>
        <v>3492.11</v>
      </c>
      <c r="L694">
        <f t="shared" si="41"/>
        <v>3492.1200000000003</v>
      </c>
      <c r="M694">
        <f t="shared" si="42"/>
        <v>3492.12</v>
      </c>
      <c r="N694" s="5" t="str">
        <f t="shared" si="43"/>
        <v>April 2022</v>
      </c>
    </row>
    <row r="695" spans="1:14" x14ac:dyDescent="0.25">
      <c r="A695" s="1">
        <v>44664</v>
      </c>
      <c r="B695" t="s">
        <v>3884</v>
      </c>
      <c r="C695">
        <v>95</v>
      </c>
      <c r="D695" t="s">
        <v>14</v>
      </c>
      <c r="E695" t="s">
        <v>10</v>
      </c>
      <c r="F695" t="s">
        <v>16</v>
      </c>
      <c r="G695" t="s">
        <v>39</v>
      </c>
      <c r="H695">
        <v>591.87</v>
      </c>
      <c r="I695" s="8" t="str" cm="1">
        <f t="array" ref="I695">_xlfn.IFS(C695&lt;=15,"Children and Young Adolescents", C695&gt;64, "Seniors", TRUE, "Working Age")</f>
        <v>Seniors</v>
      </c>
      <c r="J695" s="6">
        <f>VLOOKUP(F695,Analysis!$F$1:$G$5,2,FALSE)</f>
        <v>2509.1716796874912</v>
      </c>
      <c r="K695">
        <f t="shared" si="40"/>
        <v>651.04999999999995</v>
      </c>
      <c r="L695">
        <f t="shared" si="41"/>
        <v>651.05999999999995</v>
      </c>
      <c r="M695">
        <f t="shared" si="42"/>
        <v>651.05999999999995</v>
      </c>
      <c r="N695" s="5" t="str">
        <f t="shared" si="43"/>
        <v>April 2022</v>
      </c>
    </row>
    <row r="696" spans="1:14" x14ac:dyDescent="0.25">
      <c r="A696" s="1">
        <v>44664</v>
      </c>
      <c r="B696" t="s">
        <v>3480</v>
      </c>
      <c r="C696">
        <v>24</v>
      </c>
      <c r="D696" t="s">
        <v>14</v>
      </c>
      <c r="E696" t="s">
        <v>34</v>
      </c>
      <c r="F696" t="s">
        <v>29</v>
      </c>
      <c r="G696" t="s">
        <v>12</v>
      </c>
      <c r="H696">
        <v>4576.46</v>
      </c>
      <c r="I696" s="8" t="str" cm="1">
        <f t="array" ref="I696">_xlfn.IFS(C696&lt;=15,"Children and Young Adolescents", C696&gt;64, "Seniors", TRUE, "Working Age")</f>
        <v>Working Age</v>
      </c>
      <c r="J696" s="6">
        <f>VLOOKUP(F696,Analysis!$F$1:$G$5,2,FALSE)</f>
        <v>2496.7676064256989</v>
      </c>
      <c r="K696">
        <f t="shared" si="40"/>
        <v>5034.1000000000004</v>
      </c>
      <c r="L696">
        <f t="shared" si="41"/>
        <v>5034.1100000000006</v>
      </c>
      <c r="M696">
        <f t="shared" si="42"/>
        <v>5034.1099999999997</v>
      </c>
      <c r="N696" s="5" t="str">
        <f t="shared" si="43"/>
        <v>April 2022</v>
      </c>
    </row>
    <row r="697" spans="1:14" x14ac:dyDescent="0.25">
      <c r="A697" s="1">
        <v>44664</v>
      </c>
      <c r="B697" t="s">
        <v>2033</v>
      </c>
      <c r="C697">
        <v>51</v>
      </c>
      <c r="D697" t="s">
        <v>14</v>
      </c>
      <c r="E697" t="s">
        <v>10</v>
      </c>
      <c r="F697" t="s">
        <v>11</v>
      </c>
      <c r="G697" t="s">
        <v>27</v>
      </c>
      <c r="H697">
        <v>486.94</v>
      </c>
      <c r="I697" s="8" t="str" cm="1">
        <f t="array" ref="I697">_xlfn.IFS(C697&lt;=15,"Children and Young Adolescents", C697&gt;64, "Seniors", TRUE, "Working Age")</f>
        <v>Working Age</v>
      </c>
      <c r="J697" s="6">
        <f>VLOOKUP(F697,Analysis!$F$1:$G$5,2,FALSE)</f>
        <v>2503.6022787783854</v>
      </c>
      <c r="K697">
        <f t="shared" si="40"/>
        <v>535.63</v>
      </c>
      <c r="L697">
        <f t="shared" si="41"/>
        <v>535.64</v>
      </c>
      <c r="M697">
        <f t="shared" si="42"/>
        <v>535.63</v>
      </c>
      <c r="N697" s="5" t="str">
        <f t="shared" si="43"/>
        <v>April 2022</v>
      </c>
    </row>
    <row r="698" spans="1:14" x14ac:dyDescent="0.25">
      <c r="A698" s="1">
        <v>44664</v>
      </c>
      <c r="B698" t="s">
        <v>2503</v>
      </c>
      <c r="C698">
        <v>91</v>
      </c>
      <c r="D698" t="s">
        <v>21</v>
      </c>
      <c r="E698" t="s">
        <v>19</v>
      </c>
      <c r="F698" t="s">
        <v>29</v>
      </c>
      <c r="G698" t="s">
        <v>17</v>
      </c>
      <c r="H698">
        <v>3414.04</v>
      </c>
      <c r="I698" s="8" t="str" cm="1">
        <f t="array" ref="I698">_xlfn.IFS(C698&lt;=15,"Children and Young Adolescents", C698&gt;64, "Seniors", TRUE, "Working Age")</f>
        <v>Seniors</v>
      </c>
      <c r="J698" s="6">
        <f>VLOOKUP(F698,Analysis!$F$1:$G$5,2,FALSE)</f>
        <v>2496.7676064256989</v>
      </c>
      <c r="K698">
        <f t="shared" si="40"/>
        <v>3755.44</v>
      </c>
      <c r="L698">
        <f t="shared" si="41"/>
        <v>3755.4500000000003</v>
      </c>
      <c r="M698">
        <f t="shared" si="42"/>
        <v>3755.44</v>
      </c>
      <c r="N698" s="5" t="str">
        <f t="shared" si="43"/>
        <v>April 2022</v>
      </c>
    </row>
    <row r="699" spans="1:14" x14ac:dyDescent="0.25">
      <c r="A699" s="1">
        <v>44664</v>
      </c>
      <c r="B699" t="s">
        <v>2222</v>
      </c>
      <c r="C699">
        <v>51</v>
      </c>
      <c r="D699" t="s">
        <v>14</v>
      </c>
      <c r="E699" t="s">
        <v>32</v>
      </c>
      <c r="F699" t="s">
        <v>16</v>
      </c>
      <c r="G699" t="s">
        <v>17</v>
      </c>
      <c r="H699">
        <v>2663.14</v>
      </c>
      <c r="I699" s="8" t="str" cm="1">
        <f t="array" ref="I699">_xlfn.IFS(C699&lt;=15,"Children and Young Adolescents", C699&gt;64, "Seniors", TRUE, "Working Age")</f>
        <v>Working Age</v>
      </c>
      <c r="J699" s="6">
        <f>VLOOKUP(F699,Analysis!$F$1:$G$5,2,FALSE)</f>
        <v>2509.1716796874912</v>
      </c>
      <c r="K699">
        <f t="shared" si="40"/>
        <v>2929.45</v>
      </c>
      <c r="L699">
        <f t="shared" si="41"/>
        <v>2929.46</v>
      </c>
      <c r="M699">
        <f t="shared" si="42"/>
        <v>2929.45</v>
      </c>
      <c r="N699" s="5" t="str">
        <f t="shared" si="43"/>
        <v>April 2022</v>
      </c>
    </row>
    <row r="700" spans="1:14" x14ac:dyDescent="0.25">
      <c r="A700" s="1">
        <v>44664</v>
      </c>
      <c r="B700" t="s">
        <v>3411</v>
      </c>
      <c r="C700">
        <v>88</v>
      </c>
      <c r="D700" t="s">
        <v>21</v>
      </c>
      <c r="E700" t="s">
        <v>5032</v>
      </c>
      <c r="F700" t="s">
        <v>29</v>
      </c>
      <c r="G700" t="s">
        <v>27</v>
      </c>
      <c r="H700">
        <v>2799.12</v>
      </c>
      <c r="I700" s="8" t="str" cm="1">
        <f t="array" ref="I700">_xlfn.IFS(C700&lt;=15,"Children and Young Adolescents", C700&gt;64, "Seniors", TRUE, "Working Age")</f>
        <v>Seniors</v>
      </c>
      <c r="J700" s="6">
        <f>VLOOKUP(F700,Analysis!$F$1:$G$5,2,FALSE)</f>
        <v>2496.7676064256989</v>
      </c>
      <c r="K700">
        <f t="shared" si="40"/>
        <v>3079.03</v>
      </c>
      <c r="L700">
        <f t="shared" si="41"/>
        <v>3079.0400000000004</v>
      </c>
      <c r="M700">
        <f t="shared" si="42"/>
        <v>3079.03</v>
      </c>
      <c r="N700" s="5" t="str">
        <f t="shared" si="43"/>
        <v>April 2022</v>
      </c>
    </row>
    <row r="701" spans="1:14" x14ac:dyDescent="0.25">
      <c r="A701" s="1">
        <v>44664</v>
      </c>
      <c r="B701" t="s">
        <v>2822</v>
      </c>
      <c r="C701">
        <v>88</v>
      </c>
      <c r="D701" t="s">
        <v>14</v>
      </c>
      <c r="E701" t="s">
        <v>15</v>
      </c>
      <c r="F701" t="s">
        <v>23</v>
      </c>
      <c r="G701" t="s">
        <v>17</v>
      </c>
      <c r="H701">
        <v>4580.28</v>
      </c>
      <c r="I701" s="8" t="str" cm="1">
        <f t="array" ref="I701">_xlfn.IFS(C701&lt;=15,"Children and Young Adolescents", C701&gt;64, "Seniors", TRUE, "Working Age")</f>
        <v>Seniors</v>
      </c>
      <c r="J701" s="6">
        <f>VLOOKUP(F701,Analysis!$F$1:$G$5,2,FALSE)</f>
        <v>2440.2966694490838</v>
      </c>
      <c r="K701">
        <f t="shared" si="40"/>
        <v>5038.3</v>
      </c>
      <c r="L701">
        <f t="shared" si="41"/>
        <v>5038.3100000000004</v>
      </c>
      <c r="M701">
        <f t="shared" si="42"/>
        <v>5038.3100000000004</v>
      </c>
      <c r="N701" s="5" t="str">
        <f t="shared" si="43"/>
        <v>April 2022</v>
      </c>
    </row>
    <row r="702" spans="1:14" x14ac:dyDescent="0.25">
      <c r="A702" s="1">
        <v>44664</v>
      </c>
      <c r="B702" t="s">
        <v>1395</v>
      </c>
      <c r="C702">
        <v>15</v>
      </c>
      <c r="D702" t="s">
        <v>21</v>
      </c>
      <c r="E702" t="s">
        <v>32</v>
      </c>
      <c r="F702" t="s">
        <v>29</v>
      </c>
      <c r="G702" t="s">
        <v>36</v>
      </c>
      <c r="H702">
        <v>4713.68</v>
      </c>
      <c r="I702" s="8" t="str" cm="1">
        <f t="array" ref="I702">_xlfn.IFS(C702&lt;=15,"Children and Young Adolescents", C702&gt;64, "Seniors", TRUE, "Working Age")</f>
        <v>Children and Young Adolescents</v>
      </c>
      <c r="J702" s="6">
        <f>VLOOKUP(F702,Analysis!$F$1:$G$5,2,FALSE)</f>
        <v>2496.7676064256989</v>
      </c>
      <c r="K702">
        <f t="shared" si="40"/>
        <v>5185.04</v>
      </c>
      <c r="L702">
        <f t="shared" si="41"/>
        <v>5185.05</v>
      </c>
      <c r="M702">
        <f t="shared" si="42"/>
        <v>5185.05</v>
      </c>
      <c r="N702" s="5" t="str">
        <f t="shared" si="43"/>
        <v>April 2022</v>
      </c>
    </row>
    <row r="703" spans="1:14" x14ac:dyDescent="0.25">
      <c r="A703" s="1">
        <v>44664</v>
      </c>
      <c r="B703" t="s">
        <v>3633</v>
      </c>
      <c r="C703">
        <v>80</v>
      </c>
      <c r="D703" t="s">
        <v>14</v>
      </c>
      <c r="E703" t="s">
        <v>10</v>
      </c>
      <c r="F703" t="s">
        <v>11</v>
      </c>
      <c r="G703" t="s">
        <v>17</v>
      </c>
      <c r="H703">
        <v>2231.41</v>
      </c>
      <c r="I703" s="8" t="str" cm="1">
        <f t="array" ref="I703">_xlfn.IFS(C703&lt;=15,"Children and Young Adolescents", C703&gt;64, "Seniors", TRUE, "Working Age")</f>
        <v>Seniors</v>
      </c>
      <c r="J703" s="6">
        <f>VLOOKUP(F703,Analysis!$F$1:$G$5,2,FALSE)</f>
        <v>2503.6022787783854</v>
      </c>
      <c r="K703">
        <f t="shared" si="40"/>
        <v>2454.5500000000002</v>
      </c>
      <c r="L703">
        <f t="shared" si="41"/>
        <v>2454.5600000000004</v>
      </c>
      <c r="M703">
        <f t="shared" si="42"/>
        <v>2454.5500000000002</v>
      </c>
      <c r="N703" s="5" t="str">
        <f t="shared" si="43"/>
        <v>April 2022</v>
      </c>
    </row>
    <row r="704" spans="1:14" x14ac:dyDescent="0.25">
      <c r="A704" s="1">
        <v>44665</v>
      </c>
      <c r="B704" t="s">
        <v>4179</v>
      </c>
      <c r="C704">
        <v>20</v>
      </c>
      <c r="D704" t="s">
        <v>9</v>
      </c>
      <c r="E704" t="s">
        <v>19</v>
      </c>
      <c r="F704" t="s">
        <v>29</v>
      </c>
      <c r="G704" t="s">
        <v>27</v>
      </c>
      <c r="H704">
        <v>4860.7700000000004</v>
      </c>
      <c r="I704" s="8" t="str" cm="1">
        <f t="array" ref="I704">_xlfn.IFS(C704&lt;=15,"Children and Young Adolescents", C704&gt;64, "Seniors", TRUE, "Working Age")</f>
        <v>Working Age</v>
      </c>
      <c r="J704" s="6">
        <f>VLOOKUP(F704,Analysis!$F$1:$G$5,2,FALSE)</f>
        <v>2496.7676064256989</v>
      </c>
      <c r="K704">
        <f t="shared" si="40"/>
        <v>5346.84</v>
      </c>
      <c r="L704">
        <f t="shared" si="41"/>
        <v>5346.85</v>
      </c>
      <c r="M704">
        <f t="shared" si="42"/>
        <v>5346.85</v>
      </c>
      <c r="N704" s="5" t="str">
        <f t="shared" si="43"/>
        <v>April 2022</v>
      </c>
    </row>
    <row r="705" spans="1:14" x14ac:dyDescent="0.25">
      <c r="A705" s="1">
        <v>44665</v>
      </c>
      <c r="B705" t="s">
        <v>916</v>
      </c>
      <c r="C705">
        <v>97</v>
      </c>
      <c r="D705" t="s">
        <v>21</v>
      </c>
      <c r="E705" t="s">
        <v>19</v>
      </c>
      <c r="F705" t="s">
        <v>29</v>
      </c>
      <c r="G705" t="s">
        <v>36</v>
      </c>
      <c r="H705">
        <v>2158.88</v>
      </c>
      <c r="I705" s="8" t="str" cm="1">
        <f t="array" ref="I705">_xlfn.IFS(C705&lt;=15,"Children and Young Adolescents", C705&gt;64, "Seniors", TRUE, "Working Age")</f>
        <v>Seniors</v>
      </c>
      <c r="J705" s="6">
        <f>VLOOKUP(F705,Analysis!$F$1:$G$5,2,FALSE)</f>
        <v>2496.7676064256989</v>
      </c>
      <c r="K705">
        <f t="shared" si="40"/>
        <v>2374.7600000000002</v>
      </c>
      <c r="L705">
        <f t="shared" si="41"/>
        <v>2374.7700000000004</v>
      </c>
      <c r="M705">
        <f t="shared" si="42"/>
        <v>2374.77</v>
      </c>
      <c r="N705" s="5" t="str">
        <f t="shared" si="43"/>
        <v>April 2022</v>
      </c>
    </row>
    <row r="706" spans="1:14" x14ac:dyDescent="0.25">
      <c r="A706" s="1">
        <v>44665</v>
      </c>
      <c r="B706" t="s">
        <v>46</v>
      </c>
      <c r="C706">
        <v>35</v>
      </c>
      <c r="D706" t="s">
        <v>21</v>
      </c>
      <c r="E706" t="s">
        <v>22</v>
      </c>
      <c r="F706" t="s">
        <v>23</v>
      </c>
      <c r="G706" t="s">
        <v>12</v>
      </c>
      <c r="H706">
        <v>4236.83</v>
      </c>
      <c r="I706" s="8" t="str" cm="1">
        <f t="array" ref="I706">_xlfn.IFS(C706&lt;=15,"Children and Young Adolescents", C706&gt;64, "Seniors", TRUE, "Working Age")</f>
        <v>Working Age</v>
      </c>
      <c r="J706" s="6">
        <f>VLOOKUP(F706,Analysis!$F$1:$G$5,2,FALSE)</f>
        <v>2440.2966694490838</v>
      </c>
      <c r="K706">
        <f t="shared" si="40"/>
        <v>4660.51</v>
      </c>
      <c r="L706">
        <f t="shared" si="41"/>
        <v>4660.5200000000004</v>
      </c>
      <c r="M706">
        <f t="shared" si="42"/>
        <v>4660.51</v>
      </c>
      <c r="N706" s="5" t="str">
        <f t="shared" si="43"/>
        <v>April 2022</v>
      </c>
    </row>
    <row r="707" spans="1:14" x14ac:dyDescent="0.25">
      <c r="A707" s="1">
        <v>44665</v>
      </c>
      <c r="B707" t="s">
        <v>160</v>
      </c>
      <c r="C707">
        <v>35</v>
      </c>
      <c r="D707" t="s">
        <v>9</v>
      </c>
      <c r="E707" t="s">
        <v>22</v>
      </c>
      <c r="F707" t="s">
        <v>23</v>
      </c>
      <c r="G707" t="s">
        <v>27</v>
      </c>
      <c r="H707">
        <v>1087.78</v>
      </c>
      <c r="I707" s="8" t="str" cm="1">
        <f t="array" ref="I707">_xlfn.IFS(C707&lt;=15,"Children and Young Adolescents", C707&gt;64, "Seniors", TRUE, "Working Age")</f>
        <v>Working Age</v>
      </c>
      <c r="J707" s="6">
        <f>VLOOKUP(F707,Analysis!$F$1:$G$5,2,FALSE)</f>
        <v>2440.2966694490838</v>
      </c>
      <c r="K707">
        <f t="shared" ref="K707:K770" si="44">ROUNDDOWN(H707*1.1,2)</f>
        <v>1196.55</v>
      </c>
      <c r="L707">
        <f t="shared" ref="L707:L770" si="45">ROUNDUP(H707*1.1,2)</f>
        <v>1196.56</v>
      </c>
      <c r="M707">
        <f t="shared" ref="M707:M770" si="46">ROUND(H707*1.1,2)</f>
        <v>1196.56</v>
      </c>
      <c r="N707" s="5" t="str">
        <f t="shared" ref="N707:N770" si="47">TEXT(A707,"mmmm yyyy")</f>
        <v>April 2022</v>
      </c>
    </row>
    <row r="708" spans="1:14" x14ac:dyDescent="0.25">
      <c r="A708" s="1">
        <v>44665</v>
      </c>
      <c r="B708" t="s">
        <v>3331</v>
      </c>
      <c r="C708">
        <v>35</v>
      </c>
      <c r="D708" t="s">
        <v>21</v>
      </c>
      <c r="E708" t="s">
        <v>25</v>
      </c>
      <c r="F708" t="s">
        <v>23</v>
      </c>
      <c r="G708" t="s">
        <v>12</v>
      </c>
      <c r="H708">
        <v>756.5</v>
      </c>
      <c r="I708" s="8" t="str" cm="1">
        <f t="array" ref="I708">_xlfn.IFS(C708&lt;=15,"Children and Young Adolescents", C708&gt;64, "Seniors", TRUE, "Working Age")</f>
        <v>Working Age</v>
      </c>
      <c r="J708" s="6">
        <f>VLOOKUP(F708,Analysis!$F$1:$G$5,2,FALSE)</f>
        <v>2440.2966694490838</v>
      </c>
      <c r="K708">
        <f t="shared" si="44"/>
        <v>832.15</v>
      </c>
      <c r="L708">
        <f t="shared" si="45"/>
        <v>832.15</v>
      </c>
      <c r="M708">
        <f t="shared" si="46"/>
        <v>832.15</v>
      </c>
      <c r="N708" s="5" t="str">
        <f t="shared" si="47"/>
        <v>April 2022</v>
      </c>
    </row>
    <row r="709" spans="1:14" x14ac:dyDescent="0.25">
      <c r="A709" s="1">
        <v>44665</v>
      </c>
      <c r="B709" t="s">
        <v>2333</v>
      </c>
      <c r="C709">
        <v>62</v>
      </c>
      <c r="D709" t="s">
        <v>21</v>
      </c>
      <c r="E709" t="s">
        <v>15</v>
      </c>
      <c r="F709" t="s">
        <v>16</v>
      </c>
      <c r="G709" t="s">
        <v>5033</v>
      </c>
      <c r="H709">
        <v>4533.55</v>
      </c>
      <c r="I709" s="8" t="str" cm="1">
        <f t="array" ref="I709">_xlfn.IFS(C709&lt;=15,"Children and Young Adolescents", C709&gt;64, "Seniors", TRUE, "Working Age")</f>
        <v>Working Age</v>
      </c>
      <c r="J709" s="6">
        <f>VLOOKUP(F709,Analysis!$F$1:$G$5,2,FALSE)</f>
        <v>2509.1716796874912</v>
      </c>
      <c r="K709">
        <f t="shared" si="44"/>
        <v>4986.8999999999996</v>
      </c>
      <c r="L709">
        <f t="shared" si="45"/>
        <v>4986.91</v>
      </c>
      <c r="M709">
        <f t="shared" si="46"/>
        <v>4986.91</v>
      </c>
      <c r="N709" s="5" t="str">
        <f t="shared" si="47"/>
        <v>April 2022</v>
      </c>
    </row>
    <row r="710" spans="1:14" x14ac:dyDescent="0.25">
      <c r="A710" s="1">
        <v>44665</v>
      </c>
      <c r="B710" t="s">
        <v>193</v>
      </c>
      <c r="C710">
        <v>51</v>
      </c>
      <c r="D710" t="s">
        <v>14</v>
      </c>
      <c r="E710" t="s">
        <v>34</v>
      </c>
      <c r="F710" t="s">
        <v>11</v>
      </c>
      <c r="G710" t="s">
        <v>36</v>
      </c>
      <c r="H710">
        <v>2265.2199999999998</v>
      </c>
      <c r="I710" s="8" t="str" cm="1">
        <f t="array" ref="I710">_xlfn.IFS(C710&lt;=15,"Children and Young Adolescents", C710&gt;64, "Seniors", TRUE, "Working Age")</f>
        <v>Working Age</v>
      </c>
      <c r="J710" s="6">
        <f>VLOOKUP(F710,Analysis!$F$1:$G$5,2,FALSE)</f>
        <v>2503.6022787783854</v>
      </c>
      <c r="K710">
        <f t="shared" si="44"/>
        <v>2491.7399999999998</v>
      </c>
      <c r="L710">
        <f t="shared" si="45"/>
        <v>2491.75</v>
      </c>
      <c r="M710">
        <f t="shared" si="46"/>
        <v>2491.7399999999998</v>
      </c>
      <c r="N710" s="5" t="str">
        <f t="shared" si="47"/>
        <v>April 2022</v>
      </c>
    </row>
    <row r="711" spans="1:14" x14ac:dyDescent="0.25">
      <c r="A711" s="1">
        <v>44665</v>
      </c>
      <c r="B711" t="s">
        <v>327</v>
      </c>
      <c r="C711">
        <v>17</v>
      </c>
      <c r="D711" t="s">
        <v>9</v>
      </c>
      <c r="E711" t="s">
        <v>19</v>
      </c>
      <c r="F711" t="s">
        <v>11</v>
      </c>
      <c r="G711" t="s">
        <v>39</v>
      </c>
      <c r="H711">
        <v>4785.46</v>
      </c>
      <c r="I711" s="8" t="str" cm="1">
        <f t="array" ref="I711">_xlfn.IFS(C711&lt;=15,"Children and Young Adolescents", C711&gt;64, "Seniors", TRUE, "Working Age")</f>
        <v>Working Age</v>
      </c>
      <c r="J711" s="6">
        <f>VLOOKUP(F711,Analysis!$F$1:$G$5,2,FALSE)</f>
        <v>2503.6022787783854</v>
      </c>
      <c r="K711">
        <f t="shared" si="44"/>
        <v>5264</v>
      </c>
      <c r="L711">
        <f t="shared" si="45"/>
        <v>5264.01</v>
      </c>
      <c r="M711">
        <f t="shared" si="46"/>
        <v>5264.01</v>
      </c>
      <c r="N711" s="5" t="str">
        <f t="shared" si="47"/>
        <v>April 2022</v>
      </c>
    </row>
    <row r="712" spans="1:14" x14ac:dyDescent="0.25">
      <c r="A712" s="1">
        <v>44665</v>
      </c>
      <c r="B712" t="s">
        <v>1349</v>
      </c>
      <c r="C712">
        <v>32</v>
      </c>
      <c r="D712" t="s">
        <v>14</v>
      </c>
      <c r="E712" t="s">
        <v>22</v>
      </c>
      <c r="F712" t="s">
        <v>16</v>
      </c>
      <c r="G712" t="s">
        <v>36</v>
      </c>
      <c r="H712">
        <v>2892.33</v>
      </c>
      <c r="I712" s="8" t="str" cm="1">
        <f t="array" ref="I712">_xlfn.IFS(C712&lt;=15,"Children and Young Adolescents", C712&gt;64, "Seniors", TRUE, "Working Age")</f>
        <v>Working Age</v>
      </c>
      <c r="J712" s="6">
        <f>VLOOKUP(F712,Analysis!$F$1:$G$5,2,FALSE)</f>
        <v>2509.1716796874912</v>
      </c>
      <c r="K712">
        <f t="shared" si="44"/>
        <v>3181.56</v>
      </c>
      <c r="L712">
        <f t="shared" si="45"/>
        <v>3181.57</v>
      </c>
      <c r="M712">
        <f t="shared" si="46"/>
        <v>3181.56</v>
      </c>
      <c r="N712" s="5" t="str">
        <f t="shared" si="47"/>
        <v>April 2022</v>
      </c>
    </row>
    <row r="713" spans="1:14" x14ac:dyDescent="0.25">
      <c r="A713" s="1">
        <v>44666</v>
      </c>
      <c r="B713" t="s">
        <v>94</v>
      </c>
      <c r="C713">
        <v>53</v>
      </c>
      <c r="D713" t="s">
        <v>14</v>
      </c>
      <c r="E713" t="s">
        <v>32</v>
      </c>
      <c r="F713" t="s">
        <v>11</v>
      </c>
      <c r="G713" t="s">
        <v>36</v>
      </c>
      <c r="H713">
        <v>498.84</v>
      </c>
      <c r="I713" s="8" t="str" cm="1">
        <f t="array" ref="I713">_xlfn.IFS(C713&lt;=15,"Children and Young Adolescents", C713&gt;64, "Seniors", TRUE, "Working Age")</f>
        <v>Working Age</v>
      </c>
      <c r="J713" s="6">
        <f>VLOOKUP(F713,Analysis!$F$1:$G$5,2,FALSE)</f>
        <v>2503.6022787783854</v>
      </c>
      <c r="K713">
        <f t="shared" si="44"/>
        <v>548.72</v>
      </c>
      <c r="L713">
        <f t="shared" si="45"/>
        <v>548.73</v>
      </c>
      <c r="M713">
        <f t="shared" si="46"/>
        <v>548.72</v>
      </c>
      <c r="N713" s="5" t="str">
        <f t="shared" si="47"/>
        <v>April 2022</v>
      </c>
    </row>
    <row r="714" spans="1:14" x14ac:dyDescent="0.25">
      <c r="A714" s="1">
        <v>44666</v>
      </c>
      <c r="B714" t="s">
        <v>3158</v>
      </c>
      <c r="C714">
        <v>99</v>
      </c>
      <c r="D714" t="s">
        <v>21</v>
      </c>
      <c r="E714" t="s">
        <v>10</v>
      </c>
      <c r="F714" t="s">
        <v>16</v>
      </c>
      <c r="G714" t="s">
        <v>17</v>
      </c>
      <c r="H714">
        <v>1875.07</v>
      </c>
      <c r="I714" s="8" t="str" cm="1">
        <f t="array" ref="I714">_xlfn.IFS(C714&lt;=15,"Children and Young Adolescents", C714&gt;64, "Seniors", TRUE, "Working Age")</f>
        <v>Seniors</v>
      </c>
      <c r="J714" s="6">
        <f>VLOOKUP(F714,Analysis!$F$1:$G$5,2,FALSE)</f>
        <v>2509.1716796874912</v>
      </c>
      <c r="K714">
        <f t="shared" si="44"/>
        <v>2062.5700000000002</v>
      </c>
      <c r="L714">
        <f t="shared" si="45"/>
        <v>2062.5800000000004</v>
      </c>
      <c r="M714">
        <f t="shared" si="46"/>
        <v>2062.58</v>
      </c>
      <c r="N714" s="5" t="str">
        <f t="shared" si="47"/>
        <v>April 2022</v>
      </c>
    </row>
    <row r="715" spans="1:14" x14ac:dyDescent="0.25">
      <c r="A715" s="1">
        <v>44666</v>
      </c>
      <c r="B715" t="s">
        <v>1914</v>
      </c>
      <c r="C715">
        <v>67</v>
      </c>
      <c r="D715" t="s">
        <v>14</v>
      </c>
      <c r="E715" t="s">
        <v>22</v>
      </c>
      <c r="F715" t="s">
        <v>16</v>
      </c>
      <c r="G715" t="s">
        <v>39</v>
      </c>
      <c r="H715">
        <v>2457.91</v>
      </c>
      <c r="I715" s="8" t="str" cm="1">
        <f t="array" ref="I715">_xlfn.IFS(C715&lt;=15,"Children and Young Adolescents", C715&gt;64, "Seniors", TRUE, "Working Age")</f>
        <v>Seniors</v>
      </c>
      <c r="J715" s="6">
        <f>VLOOKUP(F715,Analysis!$F$1:$G$5,2,FALSE)</f>
        <v>2509.1716796874912</v>
      </c>
      <c r="K715">
        <f t="shared" si="44"/>
        <v>2703.7</v>
      </c>
      <c r="L715">
        <f t="shared" si="45"/>
        <v>2703.71</v>
      </c>
      <c r="M715">
        <f t="shared" si="46"/>
        <v>2703.7</v>
      </c>
      <c r="N715" s="5" t="str">
        <f t="shared" si="47"/>
        <v>April 2022</v>
      </c>
    </row>
    <row r="716" spans="1:14" x14ac:dyDescent="0.25">
      <c r="A716" s="1">
        <v>44666</v>
      </c>
      <c r="B716" t="s">
        <v>3347</v>
      </c>
      <c r="C716">
        <v>72</v>
      </c>
      <c r="D716" t="s">
        <v>9</v>
      </c>
      <c r="E716" t="s">
        <v>34</v>
      </c>
      <c r="F716" t="s">
        <v>16</v>
      </c>
      <c r="G716" t="s">
        <v>36</v>
      </c>
      <c r="H716">
        <v>129.05000000000001</v>
      </c>
      <c r="I716" s="8" t="str" cm="1">
        <f t="array" ref="I716">_xlfn.IFS(C716&lt;=15,"Children and Young Adolescents", C716&gt;64, "Seniors", TRUE, "Working Age")</f>
        <v>Seniors</v>
      </c>
      <c r="J716" s="6">
        <f>VLOOKUP(F716,Analysis!$F$1:$G$5,2,FALSE)</f>
        <v>2509.1716796874912</v>
      </c>
      <c r="K716">
        <f t="shared" si="44"/>
        <v>141.94999999999999</v>
      </c>
      <c r="L716">
        <f t="shared" si="45"/>
        <v>141.95999999999998</v>
      </c>
      <c r="M716">
        <f t="shared" si="46"/>
        <v>141.96</v>
      </c>
      <c r="N716" s="5" t="str">
        <f t="shared" si="47"/>
        <v>April 2022</v>
      </c>
    </row>
    <row r="717" spans="1:14" x14ac:dyDescent="0.25">
      <c r="A717" s="1">
        <v>44667</v>
      </c>
      <c r="B717" t="s">
        <v>2304</v>
      </c>
      <c r="C717">
        <v>84</v>
      </c>
      <c r="D717" t="s">
        <v>9</v>
      </c>
      <c r="E717" t="s">
        <v>34</v>
      </c>
      <c r="F717" t="s">
        <v>29</v>
      </c>
      <c r="G717" t="s">
        <v>39</v>
      </c>
      <c r="H717">
        <v>4836.74</v>
      </c>
      <c r="I717" s="8" t="str" cm="1">
        <f t="array" ref="I717">_xlfn.IFS(C717&lt;=15,"Children and Young Adolescents", C717&gt;64, "Seniors", TRUE, "Working Age")</f>
        <v>Seniors</v>
      </c>
      <c r="J717" s="6">
        <f>VLOOKUP(F717,Analysis!$F$1:$G$5,2,FALSE)</f>
        <v>2496.7676064256989</v>
      </c>
      <c r="K717">
        <f t="shared" si="44"/>
        <v>5320.41</v>
      </c>
      <c r="L717">
        <f t="shared" si="45"/>
        <v>5320.42</v>
      </c>
      <c r="M717">
        <f t="shared" si="46"/>
        <v>5320.41</v>
      </c>
      <c r="N717" s="5" t="str">
        <f t="shared" si="47"/>
        <v>April 2022</v>
      </c>
    </row>
    <row r="718" spans="1:14" x14ac:dyDescent="0.25">
      <c r="A718" s="1">
        <v>44667</v>
      </c>
      <c r="B718" t="s">
        <v>1365</v>
      </c>
      <c r="C718">
        <v>59</v>
      </c>
      <c r="D718" t="s">
        <v>21</v>
      </c>
      <c r="E718" t="s">
        <v>5032</v>
      </c>
      <c r="F718" t="s">
        <v>23</v>
      </c>
      <c r="G718" t="s">
        <v>12</v>
      </c>
      <c r="H718">
        <v>4809.3999999999996</v>
      </c>
      <c r="I718" s="8" t="str" cm="1">
        <f t="array" ref="I718">_xlfn.IFS(C718&lt;=15,"Children and Young Adolescents", C718&gt;64, "Seniors", TRUE, "Working Age")</f>
        <v>Working Age</v>
      </c>
      <c r="J718" s="6">
        <f>VLOOKUP(F718,Analysis!$F$1:$G$5,2,FALSE)</f>
        <v>2440.2966694490838</v>
      </c>
      <c r="K718">
        <f t="shared" si="44"/>
        <v>5290.34</v>
      </c>
      <c r="L718">
        <f t="shared" si="45"/>
        <v>5290.34</v>
      </c>
      <c r="M718">
        <f t="shared" si="46"/>
        <v>5290.34</v>
      </c>
      <c r="N718" s="5" t="str">
        <f t="shared" si="47"/>
        <v>April 2022</v>
      </c>
    </row>
    <row r="719" spans="1:14" x14ac:dyDescent="0.25">
      <c r="A719" s="1">
        <v>44667</v>
      </c>
      <c r="B719" t="s">
        <v>4215</v>
      </c>
      <c r="C719">
        <v>44</v>
      </c>
      <c r="D719" t="s">
        <v>14</v>
      </c>
      <c r="E719" t="s">
        <v>22</v>
      </c>
      <c r="F719" t="s">
        <v>16</v>
      </c>
      <c r="G719" t="s">
        <v>39</v>
      </c>
      <c r="H719">
        <v>4736.43</v>
      </c>
      <c r="I719" s="8" t="str" cm="1">
        <f t="array" ref="I719">_xlfn.IFS(C719&lt;=15,"Children and Young Adolescents", C719&gt;64, "Seniors", TRUE, "Working Age")</f>
        <v>Working Age</v>
      </c>
      <c r="J719" s="6">
        <f>VLOOKUP(F719,Analysis!$F$1:$G$5,2,FALSE)</f>
        <v>2509.1716796874912</v>
      </c>
      <c r="K719">
        <f t="shared" si="44"/>
        <v>5210.07</v>
      </c>
      <c r="L719">
        <f t="shared" si="45"/>
        <v>5210.08</v>
      </c>
      <c r="M719">
        <f t="shared" si="46"/>
        <v>5210.07</v>
      </c>
      <c r="N719" s="5" t="str">
        <f t="shared" si="47"/>
        <v>April 2022</v>
      </c>
    </row>
    <row r="720" spans="1:14" x14ac:dyDescent="0.25">
      <c r="A720" s="1">
        <v>44667</v>
      </c>
      <c r="B720" t="s">
        <v>4405</v>
      </c>
      <c r="C720">
        <v>18</v>
      </c>
      <c r="D720" t="s">
        <v>14</v>
      </c>
      <c r="E720" t="s">
        <v>22</v>
      </c>
      <c r="F720" t="s">
        <v>11</v>
      </c>
      <c r="G720" t="s">
        <v>39</v>
      </c>
      <c r="H720">
        <v>1282.83</v>
      </c>
      <c r="I720" s="8" t="str" cm="1">
        <f t="array" ref="I720">_xlfn.IFS(C720&lt;=15,"Children and Young Adolescents", C720&gt;64, "Seniors", TRUE, "Working Age")</f>
        <v>Working Age</v>
      </c>
      <c r="J720" s="6">
        <f>VLOOKUP(F720,Analysis!$F$1:$G$5,2,FALSE)</f>
        <v>2503.6022787783854</v>
      </c>
      <c r="K720">
        <f t="shared" si="44"/>
        <v>1411.11</v>
      </c>
      <c r="L720">
        <f t="shared" si="45"/>
        <v>1411.12</v>
      </c>
      <c r="M720">
        <f t="shared" si="46"/>
        <v>1411.11</v>
      </c>
      <c r="N720" s="5" t="str">
        <f t="shared" si="47"/>
        <v>April 2022</v>
      </c>
    </row>
    <row r="721" spans="1:14" x14ac:dyDescent="0.25">
      <c r="A721" s="1">
        <v>44667</v>
      </c>
      <c r="B721" t="s">
        <v>3066</v>
      </c>
      <c r="C721">
        <v>57</v>
      </c>
      <c r="D721" t="s">
        <v>21</v>
      </c>
      <c r="E721" t="s">
        <v>34</v>
      </c>
      <c r="F721" t="s">
        <v>11</v>
      </c>
      <c r="G721" t="s">
        <v>17</v>
      </c>
      <c r="H721">
        <v>1784.71</v>
      </c>
      <c r="I721" s="8" t="str" cm="1">
        <f t="array" ref="I721">_xlfn.IFS(C721&lt;=15,"Children and Young Adolescents", C721&gt;64, "Seniors", TRUE, "Working Age")</f>
        <v>Working Age</v>
      </c>
      <c r="J721" s="6">
        <f>VLOOKUP(F721,Analysis!$F$1:$G$5,2,FALSE)</f>
        <v>2503.6022787783854</v>
      </c>
      <c r="K721">
        <f t="shared" si="44"/>
        <v>1963.18</v>
      </c>
      <c r="L721">
        <f t="shared" si="45"/>
        <v>1963.19</v>
      </c>
      <c r="M721">
        <f t="shared" si="46"/>
        <v>1963.18</v>
      </c>
      <c r="N721" s="5" t="str">
        <f t="shared" si="47"/>
        <v>April 2022</v>
      </c>
    </row>
    <row r="722" spans="1:14" x14ac:dyDescent="0.25">
      <c r="A722" s="1">
        <v>44667</v>
      </c>
      <c r="B722" t="s">
        <v>544</v>
      </c>
      <c r="C722">
        <v>73</v>
      </c>
      <c r="D722" t="s">
        <v>14</v>
      </c>
      <c r="E722" t="s">
        <v>5032</v>
      </c>
      <c r="F722" t="s">
        <v>11</v>
      </c>
      <c r="G722" t="s">
        <v>5033</v>
      </c>
      <c r="H722">
        <v>1695.57</v>
      </c>
      <c r="I722" s="8" t="str" cm="1">
        <f t="array" ref="I722">_xlfn.IFS(C722&lt;=15,"Children and Young Adolescents", C722&gt;64, "Seniors", TRUE, "Working Age")</f>
        <v>Seniors</v>
      </c>
      <c r="J722" s="6">
        <f>VLOOKUP(F722,Analysis!$F$1:$G$5,2,FALSE)</f>
        <v>2503.6022787783854</v>
      </c>
      <c r="K722">
        <f t="shared" si="44"/>
        <v>1865.12</v>
      </c>
      <c r="L722">
        <f t="shared" si="45"/>
        <v>1865.1299999999999</v>
      </c>
      <c r="M722">
        <f t="shared" si="46"/>
        <v>1865.13</v>
      </c>
      <c r="N722" s="5" t="str">
        <f t="shared" si="47"/>
        <v>April 2022</v>
      </c>
    </row>
    <row r="723" spans="1:14" x14ac:dyDescent="0.25">
      <c r="A723" s="1">
        <v>44667</v>
      </c>
      <c r="B723" t="s">
        <v>1324</v>
      </c>
      <c r="C723">
        <v>29</v>
      </c>
      <c r="D723" t="s">
        <v>21</v>
      </c>
      <c r="E723" t="s">
        <v>34</v>
      </c>
      <c r="F723" t="s">
        <v>16</v>
      </c>
      <c r="G723" t="s">
        <v>17</v>
      </c>
      <c r="H723">
        <v>1405.01</v>
      </c>
      <c r="I723" s="8" t="str" cm="1">
        <f t="array" ref="I723">_xlfn.IFS(C723&lt;=15,"Children and Young Adolescents", C723&gt;64, "Seniors", TRUE, "Working Age")</f>
        <v>Working Age</v>
      </c>
      <c r="J723" s="6">
        <f>VLOOKUP(F723,Analysis!$F$1:$G$5,2,FALSE)</f>
        <v>2509.1716796874912</v>
      </c>
      <c r="K723">
        <f t="shared" si="44"/>
        <v>1545.51</v>
      </c>
      <c r="L723">
        <f t="shared" si="45"/>
        <v>1545.52</v>
      </c>
      <c r="M723">
        <f t="shared" si="46"/>
        <v>1545.51</v>
      </c>
      <c r="N723" s="5" t="str">
        <f t="shared" si="47"/>
        <v>April 2022</v>
      </c>
    </row>
    <row r="724" spans="1:14" x14ac:dyDescent="0.25">
      <c r="A724" s="1">
        <v>44667</v>
      </c>
      <c r="B724" t="s">
        <v>2847</v>
      </c>
      <c r="C724">
        <v>38</v>
      </c>
      <c r="D724" t="s">
        <v>14</v>
      </c>
      <c r="E724" t="s">
        <v>25</v>
      </c>
      <c r="F724" t="s">
        <v>16</v>
      </c>
      <c r="G724" t="s">
        <v>36</v>
      </c>
      <c r="H724">
        <v>3989.91</v>
      </c>
      <c r="I724" s="8" t="str" cm="1">
        <f t="array" ref="I724">_xlfn.IFS(C724&lt;=15,"Children and Young Adolescents", C724&gt;64, "Seniors", TRUE, "Working Age")</f>
        <v>Working Age</v>
      </c>
      <c r="J724" s="6">
        <f>VLOOKUP(F724,Analysis!$F$1:$G$5,2,FALSE)</f>
        <v>2509.1716796874912</v>
      </c>
      <c r="K724">
        <f t="shared" si="44"/>
        <v>4388.8999999999996</v>
      </c>
      <c r="L724">
        <f t="shared" si="45"/>
        <v>4388.91</v>
      </c>
      <c r="M724">
        <f t="shared" si="46"/>
        <v>4388.8999999999996</v>
      </c>
      <c r="N724" s="5" t="str">
        <f t="shared" si="47"/>
        <v>April 2022</v>
      </c>
    </row>
    <row r="725" spans="1:14" x14ac:dyDescent="0.25">
      <c r="A725" s="1">
        <v>44667</v>
      </c>
      <c r="B725" t="s">
        <v>2979</v>
      </c>
      <c r="C725">
        <v>80</v>
      </c>
      <c r="D725" t="s">
        <v>21</v>
      </c>
      <c r="E725" t="s">
        <v>10</v>
      </c>
      <c r="F725" t="s">
        <v>29</v>
      </c>
      <c r="G725" t="s">
        <v>17</v>
      </c>
      <c r="H725">
        <v>4560.8900000000003</v>
      </c>
      <c r="I725" s="8" t="str" cm="1">
        <f t="array" ref="I725">_xlfn.IFS(C725&lt;=15,"Children and Young Adolescents", C725&gt;64, "Seniors", TRUE, "Working Age")</f>
        <v>Seniors</v>
      </c>
      <c r="J725" s="6">
        <f>VLOOKUP(F725,Analysis!$F$1:$G$5,2,FALSE)</f>
        <v>2496.7676064256989</v>
      </c>
      <c r="K725">
        <f t="shared" si="44"/>
        <v>5016.97</v>
      </c>
      <c r="L725">
        <f t="shared" si="45"/>
        <v>5016.9800000000005</v>
      </c>
      <c r="M725">
        <f t="shared" si="46"/>
        <v>5016.9799999999996</v>
      </c>
      <c r="N725" s="5" t="str">
        <f t="shared" si="47"/>
        <v>April 2022</v>
      </c>
    </row>
    <row r="726" spans="1:14" x14ac:dyDescent="0.25">
      <c r="A726" s="1">
        <v>44667</v>
      </c>
      <c r="B726" t="s">
        <v>4061</v>
      </c>
      <c r="C726">
        <v>99</v>
      </c>
      <c r="D726" t="s">
        <v>9</v>
      </c>
      <c r="E726" t="s">
        <v>15</v>
      </c>
      <c r="F726" t="s">
        <v>16</v>
      </c>
      <c r="G726" t="s">
        <v>39</v>
      </c>
      <c r="H726">
        <v>2300.5500000000002</v>
      </c>
      <c r="I726" s="8" t="str" cm="1">
        <f t="array" ref="I726">_xlfn.IFS(C726&lt;=15,"Children and Young Adolescents", C726&gt;64, "Seniors", TRUE, "Working Age")</f>
        <v>Seniors</v>
      </c>
      <c r="J726" s="6">
        <f>VLOOKUP(F726,Analysis!$F$1:$G$5,2,FALSE)</f>
        <v>2509.1716796874912</v>
      </c>
      <c r="K726">
        <f t="shared" si="44"/>
        <v>2530.6</v>
      </c>
      <c r="L726">
        <f t="shared" si="45"/>
        <v>2530.61</v>
      </c>
      <c r="M726">
        <f t="shared" si="46"/>
        <v>2530.61</v>
      </c>
      <c r="N726" s="5" t="str">
        <f t="shared" si="47"/>
        <v>April 2022</v>
      </c>
    </row>
    <row r="727" spans="1:14" x14ac:dyDescent="0.25">
      <c r="A727" s="1">
        <v>44668</v>
      </c>
      <c r="B727" t="s">
        <v>1791</v>
      </c>
      <c r="C727">
        <v>1</v>
      </c>
      <c r="D727" t="s">
        <v>14</v>
      </c>
      <c r="E727" t="s">
        <v>22</v>
      </c>
      <c r="F727" t="s">
        <v>29</v>
      </c>
      <c r="G727" t="s">
        <v>12</v>
      </c>
      <c r="H727">
        <v>1447.89</v>
      </c>
      <c r="I727" s="8" t="str" cm="1">
        <f t="array" ref="I727">_xlfn.IFS(C727&lt;=15,"Children and Young Adolescents", C727&gt;64, "Seniors", TRUE, "Working Age")</f>
        <v>Children and Young Adolescents</v>
      </c>
      <c r="J727" s="6">
        <f>VLOOKUP(F727,Analysis!$F$1:$G$5,2,FALSE)</f>
        <v>2496.7676064256989</v>
      </c>
      <c r="K727">
        <f t="shared" si="44"/>
        <v>1592.67</v>
      </c>
      <c r="L727">
        <f t="shared" si="45"/>
        <v>1592.68</v>
      </c>
      <c r="M727">
        <f t="shared" si="46"/>
        <v>1592.68</v>
      </c>
      <c r="N727" s="5" t="str">
        <f t="shared" si="47"/>
        <v>April 2022</v>
      </c>
    </row>
    <row r="728" spans="1:14" x14ac:dyDescent="0.25">
      <c r="A728" s="1">
        <v>44668</v>
      </c>
      <c r="B728" t="s">
        <v>2433</v>
      </c>
      <c r="C728">
        <v>42</v>
      </c>
      <c r="D728" t="s">
        <v>9</v>
      </c>
      <c r="E728" t="s">
        <v>5032</v>
      </c>
      <c r="F728" t="s">
        <v>11</v>
      </c>
      <c r="G728" t="s">
        <v>12</v>
      </c>
      <c r="H728">
        <v>4011.91</v>
      </c>
      <c r="I728" s="8" t="str" cm="1">
        <f t="array" ref="I728">_xlfn.IFS(C728&lt;=15,"Children and Young Adolescents", C728&gt;64, "Seniors", TRUE, "Working Age")</f>
        <v>Working Age</v>
      </c>
      <c r="J728" s="6">
        <f>VLOOKUP(F728,Analysis!$F$1:$G$5,2,FALSE)</f>
        <v>2503.6022787783854</v>
      </c>
      <c r="K728">
        <f t="shared" si="44"/>
        <v>4413.1000000000004</v>
      </c>
      <c r="L728">
        <f t="shared" si="45"/>
        <v>4413.1100000000006</v>
      </c>
      <c r="M728">
        <f t="shared" si="46"/>
        <v>4413.1000000000004</v>
      </c>
      <c r="N728" s="5" t="str">
        <f t="shared" si="47"/>
        <v>April 2022</v>
      </c>
    </row>
    <row r="729" spans="1:14" x14ac:dyDescent="0.25">
      <c r="A729" s="1">
        <v>44668</v>
      </c>
      <c r="B729" t="s">
        <v>4420</v>
      </c>
      <c r="C729">
        <v>8</v>
      </c>
      <c r="D729" t="s">
        <v>9</v>
      </c>
      <c r="E729" t="s">
        <v>34</v>
      </c>
      <c r="F729" t="s">
        <v>16</v>
      </c>
      <c r="G729" t="s">
        <v>27</v>
      </c>
      <c r="H729">
        <v>663.37</v>
      </c>
      <c r="I729" s="8" t="str" cm="1">
        <f t="array" ref="I729">_xlfn.IFS(C729&lt;=15,"Children and Young Adolescents", C729&gt;64, "Seniors", TRUE, "Working Age")</f>
        <v>Children and Young Adolescents</v>
      </c>
      <c r="J729" s="6">
        <f>VLOOKUP(F729,Analysis!$F$1:$G$5,2,FALSE)</f>
        <v>2509.1716796874912</v>
      </c>
      <c r="K729">
        <f t="shared" si="44"/>
        <v>729.7</v>
      </c>
      <c r="L729">
        <f t="shared" si="45"/>
        <v>729.71</v>
      </c>
      <c r="M729">
        <f t="shared" si="46"/>
        <v>729.71</v>
      </c>
      <c r="N729" s="5" t="str">
        <f t="shared" si="47"/>
        <v>April 2022</v>
      </c>
    </row>
    <row r="730" spans="1:14" x14ac:dyDescent="0.25">
      <c r="A730" s="1">
        <v>44668</v>
      </c>
      <c r="B730" t="s">
        <v>2167</v>
      </c>
      <c r="C730">
        <v>56</v>
      </c>
      <c r="D730" t="s">
        <v>9</v>
      </c>
      <c r="E730" t="s">
        <v>25</v>
      </c>
      <c r="F730" t="s">
        <v>16</v>
      </c>
      <c r="G730" t="s">
        <v>17</v>
      </c>
      <c r="H730">
        <v>3461.27</v>
      </c>
      <c r="I730" s="8" t="str" cm="1">
        <f t="array" ref="I730">_xlfn.IFS(C730&lt;=15,"Children and Young Adolescents", C730&gt;64, "Seniors", TRUE, "Working Age")</f>
        <v>Working Age</v>
      </c>
      <c r="J730" s="6">
        <f>VLOOKUP(F730,Analysis!$F$1:$G$5,2,FALSE)</f>
        <v>2509.1716796874912</v>
      </c>
      <c r="K730">
        <f t="shared" si="44"/>
        <v>3807.39</v>
      </c>
      <c r="L730">
        <f t="shared" si="45"/>
        <v>3807.4</v>
      </c>
      <c r="M730">
        <f t="shared" si="46"/>
        <v>3807.4</v>
      </c>
      <c r="N730" s="5" t="str">
        <f t="shared" si="47"/>
        <v>April 2022</v>
      </c>
    </row>
    <row r="731" spans="1:14" x14ac:dyDescent="0.25">
      <c r="A731" s="1">
        <v>44668</v>
      </c>
      <c r="B731" t="s">
        <v>688</v>
      </c>
      <c r="C731">
        <v>48</v>
      </c>
      <c r="D731" t="s">
        <v>14</v>
      </c>
      <c r="E731" t="s">
        <v>19</v>
      </c>
      <c r="F731" t="s">
        <v>29</v>
      </c>
      <c r="G731" t="s">
        <v>39</v>
      </c>
      <c r="H731">
        <v>331.56</v>
      </c>
      <c r="I731" s="8" t="str" cm="1">
        <f t="array" ref="I731">_xlfn.IFS(C731&lt;=15,"Children and Young Adolescents", C731&gt;64, "Seniors", TRUE, "Working Age")</f>
        <v>Working Age</v>
      </c>
      <c r="J731" s="6">
        <f>VLOOKUP(F731,Analysis!$F$1:$G$5,2,FALSE)</f>
        <v>2496.7676064256989</v>
      </c>
      <c r="K731">
        <f t="shared" si="44"/>
        <v>364.71</v>
      </c>
      <c r="L731">
        <f t="shared" si="45"/>
        <v>364.71999999999997</v>
      </c>
      <c r="M731">
        <f t="shared" si="46"/>
        <v>364.72</v>
      </c>
      <c r="N731" s="5" t="str">
        <f t="shared" si="47"/>
        <v>April 2022</v>
      </c>
    </row>
    <row r="732" spans="1:14" x14ac:dyDescent="0.25">
      <c r="A732" s="1">
        <v>44668</v>
      </c>
      <c r="B732" t="s">
        <v>2380</v>
      </c>
      <c r="C732">
        <v>99</v>
      </c>
      <c r="D732" t="s">
        <v>14</v>
      </c>
      <c r="E732" t="s">
        <v>34</v>
      </c>
      <c r="F732" t="s">
        <v>16</v>
      </c>
      <c r="G732" t="s">
        <v>39</v>
      </c>
      <c r="H732">
        <v>1245.45</v>
      </c>
      <c r="I732" s="8" t="str" cm="1">
        <f t="array" ref="I732">_xlfn.IFS(C732&lt;=15,"Children and Young Adolescents", C732&gt;64, "Seniors", TRUE, "Working Age")</f>
        <v>Seniors</v>
      </c>
      <c r="J732" s="6">
        <f>VLOOKUP(F732,Analysis!$F$1:$G$5,2,FALSE)</f>
        <v>2509.1716796874912</v>
      </c>
      <c r="K732">
        <f t="shared" si="44"/>
        <v>1369.99</v>
      </c>
      <c r="L732">
        <f t="shared" si="45"/>
        <v>1370</v>
      </c>
      <c r="M732">
        <f t="shared" si="46"/>
        <v>1370</v>
      </c>
      <c r="N732" s="5" t="str">
        <f t="shared" si="47"/>
        <v>April 2022</v>
      </c>
    </row>
    <row r="733" spans="1:14" x14ac:dyDescent="0.25">
      <c r="A733" s="1">
        <v>44668</v>
      </c>
      <c r="B733" t="s">
        <v>4092</v>
      </c>
      <c r="C733">
        <v>67</v>
      </c>
      <c r="D733" t="s">
        <v>9</v>
      </c>
      <c r="E733" t="s">
        <v>25</v>
      </c>
      <c r="F733" t="s">
        <v>23</v>
      </c>
      <c r="G733" t="s">
        <v>17</v>
      </c>
      <c r="H733">
        <v>3660.69</v>
      </c>
      <c r="I733" s="8" t="str" cm="1">
        <f t="array" ref="I733">_xlfn.IFS(C733&lt;=15,"Children and Young Adolescents", C733&gt;64, "Seniors", TRUE, "Working Age")</f>
        <v>Seniors</v>
      </c>
      <c r="J733" s="6">
        <f>VLOOKUP(F733,Analysis!$F$1:$G$5,2,FALSE)</f>
        <v>2440.2966694490838</v>
      </c>
      <c r="K733">
        <f t="shared" si="44"/>
        <v>4026.75</v>
      </c>
      <c r="L733">
        <f t="shared" si="45"/>
        <v>4026.76</v>
      </c>
      <c r="M733">
        <f t="shared" si="46"/>
        <v>4026.76</v>
      </c>
      <c r="N733" s="5" t="str">
        <f t="shared" si="47"/>
        <v>April 2022</v>
      </c>
    </row>
    <row r="734" spans="1:14" x14ac:dyDescent="0.25">
      <c r="A734" s="1">
        <v>44669</v>
      </c>
      <c r="B734" t="s">
        <v>2933</v>
      </c>
      <c r="C734">
        <v>13</v>
      </c>
      <c r="D734" t="s">
        <v>9</v>
      </c>
      <c r="E734" t="s">
        <v>10</v>
      </c>
      <c r="F734" t="s">
        <v>11</v>
      </c>
      <c r="G734" t="s">
        <v>36</v>
      </c>
      <c r="H734">
        <v>2016.5</v>
      </c>
      <c r="I734" s="8" t="str" cm="1">
        <f t="array" ref="I734">_xlfn.IFS(C734&lt;=15,"Children and Young Adolescents", C734&gt;64, "Seniors", TRUE, "Working Age")</f>
        <v>Children and Young Adolescents</v>
      </c>
      <c r="J734" s="6">
        <f>VLOOKUP(F734,Analysis!$F$1:$G$5,2,FALSE)</f>
        <v>2503.6022787783854</v>
      </c>
      <c r="K734">
        <f t="shared" si="44"/>
        <v>2218.15</v>
      </c>
      <c r="L734">
        <f t="shared" si="45"/>
        <v>2218.15</v>
      </c>
      <c r="M734">
        <f t="shared" si="46"/>
        <v>2218.15</v>
      </c>
      <c r="N734" s="5" t="str">
        <f t="shared" si="47"/>
        <v>April 2022</v>
      </c>
    </row>
    <row r="735" spans="1:14" x14ac:dyDescent="0.25">
      <c r="A735" s="1">
        <v>44669</v>
      </c>
      <c r="B735" t="s">
        <v>1470</v>
      </c>
      <c r="C735">
        <v>86</v>
      </c>
      <c r="D735" t="s">
        <v>21</v>
      </c>
      <c r="E735" t="s">
        <v>10</v>
      </c>
      <c r="F735" t="s">
        <v>23</v>
      </c>
      <c r="G735" t="s">
        <v>36</v>
      </c>
      <c r="H735">
        <v>1735.25</v>
      </c>
      <c r="I735" s="8" t="str" cm="1">
        <f t="array" ref="I735">_xlfn.IFS(C735&lt;=15,"Children and Young Adolescents", C735&gt;64, "Seniors", TRUE, "Working Age")</f>
        <v>Seniors</v>
      </c>
      <c r="J735" s="6">
        <f>VLOOKUP(F735,Analysis!$F$1:$G$5,2,FALSE)</f>
        <v>2440.2966694490838</v>
      </c>
      <c r="K735">
        <f t="shared" si="44"/>
        <v>1908.77</v>
      </c>
      <c r="L735">
        <f t="shared" si="45"/>
        <v>1908.78</v>
      </c>
      <c r="M735">
        <f t="shared" si="46"/>
        <v>1908.78</v>
      </c>
      <c r="N735" s="5" t="str">
        <f t="shared" si="47"/>
        <v>April 2022</v>
      </c>
    </row>
    <row r="736" spans="1:14" x14ac:dyDescent="0.25">
      <c r="A736" s="1">
        <v>44669</v>
      </c>
      <c r="B736" t="s">
        <v>92</v>
      </c>
      <c r="C736">
        <v>72</v>
      </c>
      <c r="D736" t="s">
        <v>21</v>
      </c>
      <c r="E736" t="s">
        <v>15</v>
      </c>
      <c r="F736" t="s">
        <v>16</v>
      </c>
      <c r="G736" t="s">
        <v>27</v>
      </c>
      <c r="H736">
        <v>2799.39</v>
      </c>
      <c r="I736" s="8" t="str" cm="1">
        <f t="array" ref="I736">_xlfn.IFS(C736&lt;=15,"Children and Young Adolescents", C736&gt;64, "Seniors", TRUE, "Working Age")</f>
        <v>Seniors</v>
      </c>
      <c r="J736" s="6">
        <f>VLOOKUP(F736,Analysis!$F$1:$G$5,2,FALSE)</f>
        <v>2509.1716796874912</v>
      </c>
      <c r="K736">
        <f t="shared" si="44"/>
        <v>3079.32</v>
      </c>
      <c r="L736">
        <f t="shared" si="45"/>
        <v>3079.3300000000004</v>
      </c>
      <c r="M736">
        <f t="shared" si="46"/>
        <v>3079.33</v>
      </c>
      <c r="N736" s="5" t="str">
        <f t="shared" si="47"/>
        <v>April 2022</v>
      </c>
    </row>
    <row r="737" spans="1:14" x14ac:dyDescent="0.25">
      <c r="A737" s="1">
        <v>44669</v>
      </c>
      <c r="B737" t="s">
        <v>2156</v>
      </c>
      <c r="C737">
        <v>4</v>
      </c>
      <c r="D737" t="s">
        <v>9</v>
      </c>
      <c r="E737" t="s">
        <v>19</v>
      </c>
      <c r="F737" t="s">
        <v>29</v>
      </c>
      <c r="G737" t="s">
        <v>17</v>
      </c>
      <c r="H737">
        <v>4224.92</v>
      </c>
      <c r="I737" s="8" t="str" cm="1">
        <f t="array" ref="I737">_xlfn.IFS(C737&lt;=15,"Children and Young Adolescents", C737&gt;64, "Seniors", TRUE, "Working Age")</f>
        <v>Children and Young Adolescents</v>
      </c>
      <c r="J737" s="6">
        <f>VLOOKUP(F737,Analysis!$F$1:$G$5,2,FALSE)</f>
        <v>2496.7676064256989</v>
      </c>
      <c r="K737">
        <f t="shared" si="44"/>
        <v>4647.41</v>
      </c>
      <c r="L737">
        <f t="shared" si="45"/>
        <v>4647.42</v>
      </c>
      <c r="M737">
        <f t="shared" si="46"/>
        <v>4647.41</v>
      </c>
      <c r="N737" s="5" t="str">
        <f t="shared" si="47"/>
        <v>April 2022</v>
      </c>
    </row>
    <row r="738" spans="1:14" x14ac:dyDescent="0.25">
      <c r="A738" s="1">
        <v>44669</v>
      </c>
      <c r="B738" t="s">
        <v>3515</v>
      </c>
      <c r="C738">
        <v>90</v>
      </c>
      <c r="D738" t="s">
        <v>14</v>
      </c>
      <c r="E738" t="s">
        <v>34</v>
      </c>
      <c r="F738" t="s">
        <v>29</v>
      </c>
      <c r="G738" t="s">
        <v>39</v>
      </c>
      <c r="H738">
        <v>3037.49</v>
      </c>
      <c r="I738" s="8" t="str" cm="1">
        <f t="array" ref="I738">_xlfn.IFS(C738&lt;=15,"Children and Young Adolescents", C738&gt;64, "Seniors", TRUE, "Working Age")</f>
        <v>Seniors</v>
      </c>
      <c r="J738" s="6">
        <f>VLOOKUP(F738,Analysis!$F$1:$G$5,2,FALSE)</f>
        <v>2496.7676064256989</v>
      </c>
      <c r="K738">
        <f t="shared" si="44"/>
        <v>3341.23</v>
      </c>
      <c r="L738">
        <f t="shared" si="45"/>
        <v>3341.2400000000002</v>
      </c>
      <c r="M738">
        <f t="shared" si="46"/>
        <v>3341.24</v>
      </c>
      <c r="N738" s="5" t="str">
        <f t="shared" si="47"/>
        <v>April 2022</v>
      </c>
    </row>
    <row r="739" spans="1:14" x14ac:dyDescent="0.25">
      <c r="A739" s="1">
        <v>44669</v>
      </c>
      <c r="B739" t="s">
        <v>978</v>
      </c>
      <c r="C739">
        <v>68</v>
      </c>
      <c r="D739" t="s">
        <v>9</v>
      </c>
      <c r="E739" t="s">
        <v>22</v>
      </c>
      <c r="F739" t="s">
        <v>11</v>
      </c>
      <c r="G739" t="s">
        <v>17</v>
      </c>
      <c r="H739">
        <v>1484.27</v>
      </c>
      <c r="I739" s="8" t="str" cm="1">
        <f t="array" ref="I739">_xlfn.IFS(C739&lt;=15,"Children and Young Adolescents", C739&gt;64, "Seniors", TRUE, "Working Age")</f>
        <v>Seniors</v>
      </c>
      <c r="J739" s="6">
        <f>VLOOKUP(F739,Analysis!$F$1:$G$5,2,FALSE)</f>
        <v>2503.6022787783854</v>
      </c>
      <c r="K739">
        <f t="shared" si="44"/>
        <v>1632.69</v>
      </c>
      <c r="L739">
        <f t="shared" si="45"/>
        <v>1632.7</v>
      </c>
      <c r="M739">
        <f t="shared" si="46"/>
        <v>1632.7</v>
      </c>
      <c r="N739" s="5" t="str">
        <f t="shared" si="47"/>
        <v>April 2022</v>
      </c>
    </row>
    <row r="740" spans="1:14" x14ac:dyDescent="0.25">
      <c r="A740" s="1">
        <v>44669</v>
      </c>
      <c r="B740" t="s">
        <v>31</v>
      </c>
      <c r="C740">
        <v>51</v>
      </c>
      <c r="D740" t="s">
        <v>14</v>
      </c>
      <c r="E740" t="s">
        <v>32</v>
      </c>
      <c r="F740" t="s">
        <v>16</v>
      </c>
      <c r="G740" t="s">
        <v>12</v>
      </c>
      <c r="H740">
        <v>3013.89</v>
      </c>
      <c r="I740" s="8" t="str" cm="1">
        <f t="array" ref="I740">_xlfn.IFS(C740&lt;=15,"Children and Young Adolescents", C740&gt;64, "Seniors", TRUE, "Working Age")</f>
        <v>Working Age</v>
      </c>
      <c r="J740" s="6">
        <f>VLOOKUP(F740,Analysis!$F$1:$G$5,2,FALSE)</f>
        <v>2509.1716796874912</v>
      </c>
      <c r="K740">
        <f t="shared" si="44"/>
        <v>3315.27</v>
      </c>
      <c r="L740">
        <f t="shared" si="45"/>
        <v>3315.28</v>
      </c>
      <c r="M740">
        <f t="shared" si="46"/>
        <v>3315.28</v>
      </c>
      <c r="N740" s="5" t="str">
        <f t="shared" si="47"/>
        <v>April 2022</v>
      </c>
    </row>
    <row r="741" spans="1:14" x14ac:dyDescent="0.25">
      <c r="A741" s="1">
        <v>44670</v>
      </c>
      <c r="B741" t="s">
        <v>2029</v>
      </c>
      <c r="C741">
        <v>33</v>
      </c>
      <c r="D741" t="s">
        <v>21</v>
      </c>
      <c r="E741" t="s">
        <v>22</v>
      </c>
      <c r="F741" t="s">
        <v>16</v>
      </c>
      <c r="G741" t="s">
        <v>36</v>
      </c>
      <c r="H741">
        <v>1815.12</v>
      </c>
      <c r="I741" s="8" t="str" cm="1">
        <f t="array" ref="I741">_xlfn.IFS(C741&lt;=15,"Children and Young Adolescents", C741&gt;64, "Seniors", TRUE, "Working Age")</f>
        <v>Working Age</v>
      </c>
      <c r="J741" s="6">
        <f>VLOOKUP(F741,Analysis!$F$1:$G$5,2,FALSE)</f>
        <v>2509.1716796874912</v>
      </c>
      <c r="K741">
        <f t="shared" si="44"/>
        <v>1996.63</v>
      </c>
      <c r="L741">
        <f t="shared" si="45"/>
        <v>1996.64</v>
      </c>
      <c r="M741">
        <f t="shared" si="46"/>
        <v>1996.63</v>
      </c>
      <c r="N741" s="5" t="str">
        <f t="shared" si="47"/>
        <v>April 2022</v>
      </c>
    </row>
    <row r="742" spans="1:14" x14ac:dyDescent="0.25">
      <c r="A742" s="1">
        <v>44670</v>
      </c>
      <c r="B742" t="s">
        <v>4456</v>
      </c>
      <c r="C742">
        <v>95</v>
      </c>
      <c r="D742" t="s">
        <v>9</v>
      </c>
      <c r="E742" t="s">
        <v>15</v>
      </c>
      <c r="F742" t="s">
        <v>29</v>
      </c>
      <c r="G742" t="s">
        <v>39</v>
      </c>
      <c r="H742">
        <v>3707.54</v>
      </c>
      <c r="I742" s="8" t="str" cm="1">
        <f t="array" ref="I742">_xlfn.IFS(C742&lt;=15,"Children and Young Adolescents", C742&gt;64, "Seniors", TRUE, "Working Age")</f>
        <v>Seniors</v>
      </c>
      <c r="J742" s="6">
        <f>VLOOKUP(F742,Analysis!$F$1:$G$5,2,FALSE)</f>
        <v>2496.7676064256989</v>
      </c>
      <c r="K742">
        <f t="shared" si="44"/>
        <v>4078.29</v>
      </c>
      <c r="L742">
        <f t="shared" si="45"/>
        <v>4078.3</v>
      </c>
      <c r="M742">
        <f t="shared" si="46"/>
        <v>4078.29</v>
      </c>
      <c r="N742" s="5" t="str">
        <f t="shared" si="47"/>
        <v>April 2022</v>
      </c>
    </row>
    <row r="743" spans="1:14" x14ac:dyDescent="0.25">
      <c r="A743" s="1">
        <v>44670</v>
      </c>
      <c r="B743" t="s">
        <v>722</v>
      </c>
      <c r="C743">
        <v>34</v>
      </c>
      <c r="D743" t="s">
        <v>14</v>
      </c>
      <c r="E743" t="s">
        <v>22</v>
      </c>
      <c r="F743" t="s">
        <v>23</v>
      </c>
      <c r="G743" t="s">
        <v>36</v>
      </c>
      <c r="H743">
        <v>4669.51</v>
      </c>
      <c r="I743" s="8" t="str" cm="1">
        <f t="array" ref="I743">_xlfn.IFS(C743&lt;=15,"Children and Young Adolescents", C743&gt;64, "Seniors", TRUE, "Working Age")</f>
        <v>Working Age</v>
      </c>
      <c r="J743" s="6">
        <f>VLOOKUP(F743,Analysis!$F$1:$G$5,2,FALSE)</f>
        <v>2440.2966694490838</v>
      </c>
      <c r="K743">
        <f t="shared" si="44"/>
        <v>5136.46</v>
      </c>
      <c r="L743">
        <f t="shared" si="45"/>
        <v>5136.47</v>
      </c>
      <c r="M743">
        <f t="shared" si="46"/>
        <v>5136.46</v>
      </c>
      <c r="N743" s="5" t="str">
        <f t="shared" si="47"/>
        <v>April 2022</v>
      </c>
    </row>
    <row r="744" spans="1:14" x14ac:dyDescent="0.25">
      <c r="A744" s="1">
        <v>44670</v>
      </c>
      <c r="B744" t="s">
        <v>1026</v>
      </c>
      <c r="C744">
        <v>59</v>
      </c>
      <c r="D744" t="s">
        <v>9</v>
      </c>
      <c r="E744" t="s">
        <v>34</v>
      </c>
      <c r="F744" t="s">
        <v>16</v>
      </c>
      <c r="G744" t="s">
        <v>12</v>
      </c>
      <c r="H744">
        <v>1656.35</v>
      </c>
      <c r="I744" s="8" t="str" cm="1">
        <f t="array" ref="I744">_xlfn.IFS(C744&lt;=15,"Children and Young Adolescents", C744&gt;64, "Seniors", TRUE, "Working Age")</f>
        <v>Working Age</v>
      </c>
      <c r="J744" s="6">
        <f>VLOOKUP(F744,Analysis!$F$1:$G$5,2,FALSE)</f>
        <v>2509.1716796874912</v>
      </c>
      <c r="K744">
        <f t="shared" si="44"/>
        <v>1821.98</v>
      </c>
      <c r="L744">
        <f t="shared" si="45"/>
        <v>1821.99</v>
      </c>
      <c r="M744">
        <f t="shared" si="46"/>
        <v>1821.99</v>
      </c>
      <c r="N744" s="5" t="str">
        <f t="shared" si="47"/>
        <v>April 2022</v>
      </c>
    </row>
    <row r="745" spans="1:14" x14ac:dyDescent="0.25">
      <c r="A745" s="1">
        <v>44670</v>
      </c>
      <c r="B745" t="s">
        <v>880</v>
      </c>
      <c r="C745">
        <v>93</v>
      </c>
      <c r="D745" t="s">
        <v>14</v>
      </c>
      <c r="E745" t="s">
        <v>25</v>
      </c>
      <c r="F745" t="s">
        <v>29</v>
      </c>
      <c r="G745" t="s">
        <v>39</v>
      </c>
      <c r="H745">
        <v>2223.11</v>
      </c>
      <c r="I745" s="8" t="str" cm="1">
        <f t="array" ref="I745">_xlfn.IFS(C745&lt;=15,"Children and Young Adolescents", C745&gt;64, "Seniors", TRUE, "Working Age")</f>
        <v>Seniors</v>
      </c>
      <c r="J745" s="6">
        <f>VLOOKUP(F745,Analysis!$F$1:$G$5,2,FALSE)</f>
        <v>2496.7676064256989</v>
      </c>
      <c r="K745">
        <f t="shared" si="44"/>
        <v>2445.42</v>
      </c>
      <c r="L745">
        <f t="shared" si="45"/>
        <v>2445.4300000000003</v>
      </c>
      <c r="M745">
        <f t="shared" si="46"/>
        <v>2445.42</v>
      </c>
      <c r="N745" s="5" t="str">
        <f t="shared" si="47"/>
        <v>April 2022</v>
      </c>
    </row>
    <row r="746" spans="1:14" x14ac:dyDescent="0.25">
      <c r="A746" s="1">
        <v>44671</v>
      </c>
      <c r="B746" t="s">
        <v>3889</v>
      </c>
      <c r="C746">
        <v>70</v>
      </c>
      <c r="D746" t="s">
        <v>9</v>
      </c>
      <c r="E746" t="s">
        <v>10</v>
      </c>
      <c r="F746" t="s">
        <v>29</v>
      </c>
      <c r="G746" t="s">
        <v>17</v>
      </c>
      <c r="H746">
        <v>626.75</v>
      </c>
      <c r="I746" s="8" t="str" cm="1">
        <f t="array" ref="I746">_xlfn.IFS(C746&lt;=15,"Children and Young Adolescents", C746&gt;64, "Seniors", TRUE, "Working Age")</f>
        <v>Seniors</v>
      </c>
      <c r="J746" s="6">
        <f>VLOOKUP(F746,Analysis!$F$1:$G$5,2,FALSE)</f>
        <v>2496.7676064256989</v>
      </c>
      <c r="K746">
        <f t="shared" si="44"/>
        <v>689.42</v>
      </c>
      <c r="L746">
        <f t="shared" si="45"/>
        <v>689.43</v>
      </c>
      <c r="M746">
        <f t="shared" si="46"/>
        <v>689.43</v>
      </c>
      <c r="N746" s="5" t="str">
        <f t="shared" si="47"/>
        <v>April 2022</v>
      </c>
    </row>
    <row r="747" spans="1:14" x14ac:dyDescent="0.25">
      <c r="A747" s="1">
        <v>44671</v>
      </c>
      <c r="B747" t="s">
        <v>478</v>
      </c>
      <c r="C747">
        <v>26</v>
      </c>
      <c r="D747" t="s">
        <v>14</v>
      </c>
      <c r="E747" t="s">
        <v>22</v>
      </c>
      <c r="F747" t="s">
        <v>16</v>
      </c>
      <c r="G747" t="s">
        <v>27</v>
      </c>
      <c r="H747">
        <v>2424.44</v>
      </c>
      <c r="I747" s="8" t="str" cm="1">
        <f t="array" ref="I747">_xlfn.IFS(C747&lt;=15,"Children and Young Adolescents", C747&gt;64, "Seniors", TRUE, "Working Age")</f>
        <v>Working Age</v>
      </c>
      <c r="J747" s="6">
        <f>VLOOKUP(F747,Analysis!$F$1:$G$5,2,FALSE)</f>
        <v>2509.1716796874912</v>
      </c>
      <c r="K747">
        <f t="shared" si="44"/>
        <v>2666.88</v>
      </c>
      <c r="L747">
        <f t="shared" si="45"/>
        <v>2666.8900000000003</v>
      </c>
      <c r="M747">
        <f t="shared" si="46"/>
        <v>2666.88</v>
      </c>
      <c r="N747" s="5" t="str">
        <f t="shared" si="47"/>
        <v>April 2022</v>
      </c>
    </row>
    <row r="748" spans="1:14" x14ac:dyDescent="0.25">
      <c r="A748" s="1">
        <v>44671</v>
      </c>
      <c r="B748" t="s">
        <v>4414</v>
      </c>
      <c r="C748">
        <v>25</v>
      </c>
      <c r="D748" t="s">
        <v>14</v>
      </c>
      <c r="E748" t="s">
        <v>25</v>
      </c>
      <c r="F748" t="s">
        <v>11</v>
      </c>
      <c r="G748" t="s">
        <v>36</v>
      </c>
      <c r="H748">
        <v>3556.23</v>
      </c>
      <c r="I748" s="8" t="str" cm="1">
        <f t="array" ref="I748">_xlfn.IFS(C748&lt;=15,"Children and Young Adolescents", C748&gt;64, "Seniors", TRUE, "Working Age")</f>
        <v>Working Age</v>
      </c>
      <c r="J748" s="6">
        <f>VLOOKUP(F748,Analysis!$F$1:$G$5,2,FALSE)</f>
        <v>2503.6022787783854</v>
      </c>
      <c r="K748">
        <f t="shared" si="44"/>
        <v>3911.85</v>
      </c>
      <c r="L748">
        <f t="shared" si="45"/>
        <v>3911.86</v>
      </c>
      <c r="M748">
        <f t="shared" si="46"/>
        <v>3911.85</v>
      </c>
      <c r="N748" s="5" t="str">
        <f t="shared" si="47"/>
        <v>April 2022</v>
      </c>
    </row>
    <row r="749" spans="1:14" x14ac:dyDescent="0.25">
      <c r="A749" s="1">
        <v>44671</v>
      </c>
      <c r="B749" t="s">
        <v>536</v>
      </c>
      <c r="C749">
        <v>26</v>
      </c>
      <c r="D749" t="s">
        <v>21</v>
      </c>
      <c r="E749" t="s">
        <v>34</v>
      </c>
      <c r="F749" t="s">
        <v>16</v>
      </c>
      <c r="G749" t="s">
        <v>27</v>
      </c>
      <c r="H749">
        <v>4148.12</v>
      </c>
      <c r="I749" s="8" t="str" cm="1">
        <f t="array" ref="I749">_xlfn.IFS(C749&lt;=15,"Children and Young Adolescents", C749&gt;64, "Seniors", TRUE, "Working Age")</f>
        <v>Working Age</v>
      </c>
      <c r="J749" s="6">
        <f>VLOOKUP(F749,Analysis!$F$1:$G$5,2,FALSE)</f>
        <v>2509.1716796874912</v>
      </c>
      <c r="K749">
        <f t="shared" si="44"/>
        <v>4562.93</v>
      </c>
      <c r="L749">
        <f t="shared" si="45"/>
        <v>4562.9400000000005</v>
      </c>
      <c r="M749">
        <f t="shared" si="46"/>
        <v>4562.93</v>
      </c>
      <c r="N749" s="5" t="str">
        <f t="shared" si="47"/>
        <v>April 2022</v>
      </c>
    </row>
    <row r="750" spans="1:14" x14ac:dyDescent="0.25">
      <c r="A750" s="1">
        <v>44671</v>
      </c>
      <c r="B750" t="s">
        <v>447</v>
      </c>
      <c r="C750">
        <v>53</v>
      </c>
      <c r="D750" t="s">
        <v>21</v>
      </c>
      <c r="E750" t="s">
        <v>15</v>
      </c>
      <c r="F750" t="s">
        <v>11</v>
      </c>
      <c r="G750" t="s">
        <v>17</v>
      </c>
      <c r="H750">
        <v>168.42</v>
      </c>
      <c r="I750" s="8" t="str" cm="1">
        <f t="array" ref="I750">_xlfn.IFS(C750&lt;=15,"Children and Young Adolescents", C750&gt;64, "Seniors", TRUE, "Working Age")</f>
        <v>Working Age</v>
      </c>
      <c r="J750" s="6">
        <f>VLOOKUP(F750,Analysis!$F$1:$G$5,2,FALSE)</f>
        <v>2503.6022787783854</v>
      </c>
      <c r="K750">
        <f t="shared" si="44"/>
        <v>185.26</v>
      </c>
      <c r="L750">
        <f t="shared" si="45"/>
        <v>185.26999999999998</v>
      </c>
      <c r="M750">
        <f t="shared" si="46"/>
        <v>185.26</v>
      </c>
      <c r="N750" s="5" t="str">
        <f t="shared" si="47"/>
        <v>April 2022</v>
      </c>
    </row>
    <row r="751" spans="1:14" x14ac:dyDescent="0.25">
      <c r="A751" s="1">
        <v>44671</v>
      </c>
      <c r="B751" t="s">
        <v>4184</v>
      </c>
      <c r="C751">
        <v>69</v>
      </c>
      <c r="D751" t="s">
        <v>14</v>
      </c>
      <c r="E751" t="s">
        <v>10</v>
      </c>
      <c r="F751" t="s">
        <v>29</v>
      </c>
      <c r="G751" t="s">
        <v>17</v>
      </c>
      <c r="H751">
        <v>2004.95</v>
      </c>
      <c r="I751" s="8" t="str" cm="1">
        <f t="array" ref="I751">_xlfn.IFS(C751&lt;=15,"Children and Young Adolescents", C751&gt;64, "Seniors", TRUE, "Working Age")</f>
        <v>Seniors</v>
      </c>
      <c r="J751" s="6">
        <f>VLOOKUP(F751,Analysis!$F$1:$G$5,2,FALSE)</f>
        <v>2496.7676064256989</v>
      </c>
      <c r="K751">
        <f t="shared" si="44"/>
        <v>2205.44</v>
      </c>
      <c r="L751">
        <f t="shared" si="45"/>
        <v>2205.4500000000003</v>
      </c>
      <c r="M751">
        <f t="shared" si="46"/>
        <v>2205.4499999999998</v>
      </c>
      <c r="N751" s="5" t="str">
        <f t="shared" si="47"/>
        <v>April 2022</v>
      </c>
    </row>
    <row r="752" spans="1:14" x14ac:dyDescent="0.25">
      <c r="A752" s="1">
        <v>44671</v>
      </c>
      <c r="B752" t="s">
        <v>2387</v>
      </c>
      <c r="C752">
        <v>41</v>
      </c>
      <c r="D752" t="s">
        <v>9</v>
      </c>
      <c r="E752" t="s">
        <v>25</v>
      </c>
      <c r="F752" t="s">
        <v>23</v>
      </c>
      <c r="G752" t="s">
        <v>36</v>
      </c>
      <c r="H752">
        <v>1907.18</v>
      </c>
      <c r="I752" s="8" t="str" cm="1">
        <f t="array" ref="I752">_xlfn.IFS(C752&lt;=15,"Children and Young Adolescents", C752&gt;64, "Seniors", TRUE, "Working Age")</f>
        <v>Working Age</v>
      </c>
      <c r="J752" s="6">
        <f>VLOOKUP(F752,Analysis!$F$1:$G$5,2,FALSE)</f>
        <v>2440.2966694490838</v>
      </c>
      <c r="K752">
        <f t="shared" si="44"/>
        <v>2097.89</v>
      </c>
      <c r="L752">
        <f t="shared" si="45"/>
        <v>2097.9</v>
      </c>
      <c r="M752">
        <f t="shared" si="46"/>
        <v>2097.9</v>
      </c>
      <c r="N752" s="5" t="str">
        <f t="shared" si="47"/>
        <v>April 2022</v>
      </c>
    </row>
    <row r="753" spans="1:14" x14ac:dyDescent="0.25">
      <c r="A753" s="1">
        <v>44672</v>
      </c>
      <c r="B753" t="s">
        <v>504</v>
      </c>
      <c r="C753">
        <v>47</v>
      </c>
      <c r="D753" t="s">
        <v>14</v>
      </c>
      <c r="E753" t="s">
        <v>10</v>
      </c>
      <c r="F753" t="s">
        <v>23</v>
      </c>
      <c r="G753" t="s">
        <v>36</v>
      </c>
      <c r="H753">
        <v>1459.39</v>
      </c>
      <c r="I753" s="8" t="str" cm="1">
        <f t="array" ref="I753">_xlfn.IFS(C753&lt;=15,"Children and Young Adolescents", C753&gt;64, "Seniors", TRUE, "Working Age")</f>
        <v>Working Age</v>
      </c>
      <c r="J753" s="6">
        <f>VLOOKUP(F753,Analysis!$F$1:$G$5,2,FALSE)</f>
        <v>2440.2966694490838</v>
      </c>
      <c r="K753">
        <f t="shared" si="44"/>
        <v>1605.32</v>
      </c>
      <c r="L753">
        <f t="shared" si="45"/>
        <v>1605.33</v>
      </c>
      <c r="M753">
        <f t="shared" si="46"/>
        <v>1605.33</v>
      </c>
      <c r="N753" s="5" t="str">
        <f t="shared" si="47"/>
        <v>April 2022</v>
      </c>
    </row>
    <row r="754" spans="1:14" x14ac:dyDescent="0.25">
      <c r="A754" s="1">
        <v>44672</v>
      </c>
      <c r="B754" t="s">
        <v>3964</v>
      </c>
      <c r="C754">
        <v>16</v>
      </c>
      <c r="D754" t="s">
        <v>14</v>
      </c>
      <c r="E754" t="s">
        <v>25</v>
      </c>
      <c r="F754" t="s">
        <v>23</v>
      </c>
      <c r="G754" t="s">
        <v>39</v>
      </c>
      <c r="H754">
        <v>4116.59</v>
      </c>
      <c r="I754" s="8" t="str" cm="1">
        <f t="array" ref="I754">_xlfn.IFS(C754&lt;=15,"Children and Young Adolescents", C754&gt;64, "Seniors", TRUE, "Working Age")</f>
        <v>Working Age</v>
      </c>
      <c r="J754" s="6">
        <f>VLOOKUP(F754,Analysis!$F$1:$G$5,2,FALSE)</f>
        <v>2440.2966694490838</v>
      </c>
      <c r="K754">
        <f t="shared" si="44"/>
        <v>4528.24</v>
      </c>
      <c r="L754">
        <f t="shared" si="45"/>
        <v>4528.25</v>
      </c>
      <c r="M754">
        <f t="shared" si="46"/>
        <v>4528.25</v>
      </c>
      <c r="N754" s="5" t="str">
        <f t="shared" si="47"/>
        <v>April 2022</v>
      </c>
    </row>
    <row r="755" spans="1:14" x14ac:dyDescent="0.25">
      <c r="A755" s="1">
        <v>44672</v>
      </c>
      <c r="B755" t="s">
        <v>1654</v>
      </c>
      <c r="C755">
        <v>82</v>
      </c>
      <c r="D755" t="s">
        <v>21</v>
      </c>
      <c r="E755" t="s">
        <v>34</v>
      </c>
      <c r="F755" t="s">
        <v>16</v>
      </c>
      <c r="G755" t="s">
        <v>36</v>
      </c>
      <c r="H755">
        <v>388.6</v>
      </c>
      <c r="I755" s="8" t="str" cm="1">
        <f t="array" ref="I755">_xlfn.IFS(C755&lt;=15,"Children and Young Adolescents", C755&gt;64, "Seniors", TRUE, "Working Age")</f>
        <v>Seniors</v>
      </c>
      <c r="J755" s="6">
        <f>VLOOKUP(F755,Analysis!$F$1:$G$5,2,FALSE)</f>
        <v>2509.1716796874912</v>
      </c>
      <c r="K755">
        <f t="shared" si="44"/>
        <v>427.46</v>
      </c>
      <c r="L755">
        <f t="shared" si="45"/>
        <v>427.46</v>
      </c>
      <c r="M755">
        <f t="shared" si="46"/>
        <v>427.46</v>
      </c>
      <c r="N755" s="5" t="str">
        <f t="shared" si="47"/>
        <v>April 2022</v>
      </c>
    </row>
    <row r="756" spans="1:14" x14ac:dyDescent="0.25">
      <c r="A756" s="1">
        <v>44672</v>
      </c>
      <c r="B756" t="s">
        <v>2867</v>
      </c>
      <c r="C756">
        <v>57</v>
      </c>
      <c r="D756" t="s">
        <v>9</v>
      </c>
      <c r="E756" t="s">
        <v>22</v>
      </c>
      <c r="F756" t="s">
        <v>29</v>
      </c>
      <c r="G756" t="s">
        <v>39</v>
      </c>
      <c r="H756">
        <v>2712.49</v>
      </c>
      <c r="I756" s="8" t="str" cm="1">
        <f t="array" ref="I756">_xlfn.IFS(C756&lt;=15,"Children and Young Adolescents", C756&gt;64, "Seniors", TRUE, "Working Age")</f>
        <v>Working Age</v>
      </c>
      <c r="J756" s="6">
        <f>VLOOKUP(F756,Analysis!$F$1:$G$5,2,FALSE)</f>
        <v>2496.7676064256989</v>
      </c>
      <c r="K756">
        <f t="shared" si="44"/>
        <v>2983.73</v>
      </c>
      <c r="L756">
        <f t="shared" si="45"/>
        <v>2983.7400000000002</v>
      </c>
      <c r="M756">
        <f t="shared" si="46"/>
        <v>2983.74</v>
      </c>
      <c r="N756" s="5" t="str">
        <f t="shared" si="47"/>
        <v>April 2022</v>
      </c>
    </row>
    <row r="757" spans="1:14" x14ac:dyDescent="0.25">
      <c r="A757" s="1">
        <v>44672</v>
      </c>
      <c r="B757" t="s">
        <v>1307</v>
      </c>
      <c r="C757">
        <v>9</v>
      </c>
      <c r="D757" t="s">
        <v>21</v>
      </c>
      <c r="E757" t="s">
        <v>32</v>
      </c>
      <c r="F757" t="s">
        <v>16</v>
      </c>
      <c r="G757" t="s">
        <v>36</v>
      </c>
      <c r="H757">
        <v>1708.35</v>
      </c>
      <c r="I757" s="8" t="str" cm="1">
        <f t="array" ref="I757">_xlfn.IFS(C757&lt;=15,"Children and Young Adolescents", C757&gt;64, "Seniors", TRUE, "Working Age")</f>
        <v>Children and Young Adolescents</v>
      </c>
      <c r="J757" s="6">
        <f>VLOOKUP(F757,Analysis!$F$1:$G$5,2,FALSE)</f>
        <v>2509.1716796874912</v>
      </c>
      <c r="K757">
        <f t="shared" si="44"/>
        <v>1879.18</v>
      </c>
      <c r="L757">
        <f t="shared" si="45"/>
        <v>1879.19</v>
      </c>
      <c r="M757">
        <f t="shared" si="46"/>
        <v>1879.19</v>
      </c>
      <c r="N757" s="5" t="str">
        <f t="shared" si="47"/>
        <v>April 2022</v>
      </c>
    </row>
    <row r="758" spans="1:14" x14ac:dyDescent="0.25">
      <c r="A758" s="1">
        <v>44673</v>
      </c>
      <c r="B758" t="s">
        <v>4752</v>
      </c>
      <c r="C758">
        <v>34</v>
      </c>
      <c r="D758" t="s">
        <v>9</v>
      </c>
      <c r="E758" t="s">
        <v>22</v>
      </c>
      <c r="F758" t="s">
        <v>11</v>
      </c>
      <c r="G758" t="s">
        <v>12</v>
      </c>
      <c r="H758">
        <v>1628.76</v>
      </c>
      <c r="I758" s="8" t="str" cm="1">
        <f t="array" ref="I758">_xlfn.IFS(C758&lt;=15,"Children and Young Adolescents", C758&gt;64, "Seniors", TRUE, "Working Age")</f>
        <v>Working Age</v>
      </c>
      <c r="J758" s="6">
        <f>VLOOKUP(F758,Analysis!$F$1:$G$5,2,FALSE)</f>
        <v>2503.6022787783854</v>
      </c>
      <c r="K758">
        <f t="shared" si="44"/>
        <v>1791.63</v>
      </c>
      <c r="L758">
        <f t="shared" si="45"/>
        <v>1791.64</v>
      </c>
      <c r="M758">
        <f t="shared" si="46"/>
        <v>1791.64</v>
      </c>
      <c r="N758" s="5" t="str">
        <f t="shared" si="47"/>
        <v>April 2022</v>
      </c>
    </row>
    <row r="759" spans="1:14" x14ac:dyDescent="0.25">
      <c r="A759" s="1">
        <v>44673</v>
      </c>
      <c r="B759" t="s">
        <v>3481</v>
      </c>
      <c r="C759">
        <v>82</v>
      </c>
      <c r="D759" t="s">
        <v>9</v>
      </c>
      <c r="E759" t="s">
        <v>34</v>
      </c>
      <c r="F759" t="s">
        <v>23</v>
      </c>
      <c r="G759" t="s">
        <v>39</v>
      </c>
      <c r="H759">
        <v>610.33000000000004</v>
      </c>
      <c r="I759" s="8" t="str" cm="1">
        <f t="array" ref="I759">_xlfn.IFS(C759&lt;=15,"Children and Young Adolescents", C759&gt;64, "Seniors", TRUE, "Working Age")</f>
        <v>Seniors</v>
      </c>
      <c r="J759" s="6">
        <f>VLOOKUP(F759,Analysis!$F$1:$G$5,2,FALSE)</f>
        <v>2440.2966694490838</v>
      </c>
      <c r="K759">
        <f t="shared" si="44"/>
        <v>671.36</v>
      </c>
      <c r="L759">
        <f t="shared" si="45"/>
        <v>671.37</v>
      </c>
      <c r="M759">
        <f t="shared" si="46"/>
        <v>671.36</v>
      </c>
      <c r="N759" s="5" t="str">
        <f t="shared" si="47"/>
        <v>April 2022</v>
      </c>
    </row>
    <row r="760" spans="1:14" x14ac:dyDescent="0.25">
      <c r="A760" s="1">
        <v>44673</v>
      </c>
      <c r="B760" t="s">
        <v>3150</v>
      </c>
      <c r="C760">
        <v>64</v>
      </c>
      <c r="D760" t="s">
        <v>21</v>
      </c>
      <c r="E760" t="s">
        <v>25</v>
      </c>
      <c r="F760" t="s">
        <v>29</v>
      </c>
      <c r="G760" t="s">
        <v>12</v>
      </c>
      <c r="H760">
        <v>200.22</v>
      </c>
      <c r="I760" s="8" t="str" cm="1">
        <f t="array" ref="I760">_xlfn.IFS(C760&lt;=15,"Children and Young Adolescents", C760&gt;64, "Seniors", TRUE, "Working Age")</f>
        <v>Working Age</v>
      </c>
      <c r="J760" s="6">
        <f>VLOOKUP(F760,Analysis!$F$1:$G$5,2,FALSE)</f>
        <v>2496.7676064256989</v>
      </c>
      <c r="K760">
        <f t="shared" si="44"/>
        <v>220.24</v>
      </c>
      <c r="L760">
        <f t="shared" si="45"/>
        <v>220.25</v>
      </c>
      <c r="M760">
        <f t="shared" si="46"/>
        <v>220.24</v>
      </c>
      <c r="N760" s="5" t="str">
        <f t="shared" si="47"/>
        <v>April 2022</v>
      </c>
    </row>
    <row r="761" spans="1:14" x14ac:dyDescent="0.25">
      <c r="A761" s="1">
        <v>44673</v>
      </c>
      <c r="B761" t="s">
        <v>3391</v>
      </c>
      <c r="C761">
        <v>78</v>
      </c>
      <c r="D761" t="s">
        <v>9</v>
      </c>
      <c r="E761" t="s">
        <v>32</v>
      </c>
      <c r="F761" t="s">
        <v>16</v>
      </c>
      <c r="G761" t="s">
        <v>12</v>
      </c>
      <c r="H761">
        <v>1805.47</v>
      </c>
      <c r="I761" s="8" t="str" cm="1">
        <f t="array" ref="I761">_xlfn.IFS(C761&lt;=15,"Children and Young Adolescents", C761&gt;64, "Seniors", TRUE, "Working Age")</f>
        <v>Seniors</v>
      </c>
      <c r="J761" s="6">
        <f>VLOOKUP(F761,Analysis!$F$1:$G$5,2,FALSE)</f>
        <v>2509.1716796874912</v>
      </c>
      <c r="K761">
        <f t="shared" si="44"/>
        <v>1986.01</v>
      </c>
      <c r="L761">
        <f t="shared" si="45"/>
        <v>1986.02</v>
      </c>
      <c r="M761">
        <f t="shared" si="46"/>
        <v>1986.02</v>
      </c>
      <c r="N761" s="5" t="str">
        <f t="shared" si="47"/>
        <v>April 2022</v>
      </c>
    </row>
    <row r="762" spans="1:14" x14ac:dyDescent="0.25">
      <c r="A762" s="1">
        <v>44674</v>
      </c>
      <c r="B762" t="s">
        <v>4667</v>
      </c>
      <c r="C762">
        <v>35</v>
      </c>
      <c r="D762" t="s">
        <v>9</v>
      </c>
      <c r="E762" t="s">
        <v>22</v>
      </c>
      <c r="F762" t="s">
        <v>29</v>
      </c>
      <c r="G762" t="s">
        <v>12</v>
      </c>
      <c r="H762">
        <v>3669.02</v>
      </c>
      <c r="I762" s="8" t="str" cm="1">
        <f t="array" ref="I762">_xlfn.IFS(C762&lt;=15,"Children and Young Adolescents", C762&gt;64, "Seniors", TRUE, "Working Age")</f>
        <v>Working Age</v>
      </c>
      <c r="J762" s="6">
        <f>VLOOKUP(F762,Analysis!$F$1:$G$5,2,FALSE)</f>
        <v>2496.7676064256989</v>
      </c>
      <c r="K762">
        <f t="shared" si="44"/>
        <v>4035.92</v>
      </c>
      <c r="L762">
        <f t="shared" si="45"/>
        <v>4035.9300000000003</v>
      </c>
      <c r="M762">
        <f t="shared" si="46"/>
        <v>4035.92</v>
      </c>
      <c r="N762" s="5" t="str">
        <f t="shared" si="47"/>
        <v>April 2022</v>
      </c>
    </row>
    <row r="763" spans="1:14" x14ac:dyDescent="0.25">
      <c r="A763" s="1">
        <v>44674</v>
      </c>
      <c r="B763" t="s">
        <v>1343</v>
      </c>
      <c r="C763">
        <v>10</v>
      </c>
      <c r="D763" t="s">
        <v>9</v>
      </c>
      <c r="E763" t="s">
        <v>34</v>
      </c>
      <c r="F763" t="s">
        <v>16</v>
      </c>
      <c r="G763" t="s">
        <v>12</v>
      </c>
      <c r="H763">
        <v>4943.4399999999996</v>
      </c>
      <c r="I763" s="8" t="str" cm="1">
        <f t="array" ref="I763">_xlfn.IFS(C763&lt;=15,"Children and Young Adolescents", C763&gt;64, "Seniors", TRUE, "Working Age")</f>
        <v>Children and Young Adolescents</v>
      </c>
      <c r="J763" s="6">
        <f>VLOOKUP(F763,Analysis!$F$1:$G$5,2,FALSE)</f>
        <v>2509.1716796874912</v>
      </c>
      <c r="K763">
        <f t="shared" si="44"/>
        <v>5437.78</v>
      </c>
      <c r="L763">
        <f t="shared" si="45"/>
        <v>5437.79</v>
      </c>
      <c r="M763">
        <f t="shared" si="46"/>
        <v>5437.78</v>
      </c>
      <c r="N763" s="5" t="str">
        <f t="shared" si="47"/>
        <v>April 2022</v>
      </c>
    </row>
    <row r="764" spans="1:14" x14ac:dyDescent="0.25">
      <c r="A764" s="1">
        <v>44674</v>
      </c>
      <c r="B764" t="s">
        <v>754</v>
      </c>
      <c r="C764">
        <v>72</v>
      </c>
      <c r="D764" t="s">
        <v>9</v>
      </c>
      <c r="E764" t="s">
        <v>34</v>
      </c>
      <c r="F764" t="s">
        <v>16</v>
      </c>
      <c r="G764" t="s">
        <v>39</v>
      </c>
      <c r="H764">
        <v>1672.92</v>
      </c>
      <c r="I764" s="8" t="str" cm="1">
        <f t="array" ref="I764">_xlfn.IFS(C764&lt;=15,"Children and Young Adolescents", C764&gt;64, "Seniors", TRUE, "Working Age")</f>
        <v>Seniors</v>
      </c>
      <c r="J764" s="6">
        <f>VLOOKUP(F764,Analysis!$F$1:$G$5,2,FALSE)</f>
        <v>2509.1716796874912</v>
      </c>
      <c r="K764">
        <f t="shared" si="44"/>
        <v>1840.21</v>
      </c>
      <c r="L764">
        <f t="shared" si="45"/>
        <v>1840.22</v>
      </c>
      <c r="M764">
        <f t="shared" si="46"/>
        <v>1840.21</v>
      </c>
      <c r="N764" s="5" t="str">
        <f t="shared" si="47"/>
        <v>April 2022</v>
      </c>
    </row>
    <row r="765" spans="1:14" x14ac:dyDescent="0.25">
      <c r="A765" s="1">
        <v>44674</v>
      </c>
      <c r="B765" t="s">
        <v>1146</v>
      </c>
      <c r="C765">
        <v>70</v>
      </c>
      <c r="D765" t="s">
        <v>9</v>
      </c>
      <c r="E765" t="s">
        <v>15</v>
      </c>
      <c r="F765" t="s">
        <v>16</v>
      </c>
      <c r="G765" t="s">
        <v>17</v>
      </c>
      <c r="H765">
        <v>3101.76</v>
      </c>
      <c r="I765" s="8" t="str" cm="1">
        <f t="array" ref="I765">_xlfn.IFS(C765&lt;=15,"Children and Young Adolescents", C765&gt;64, "Seniors", TRUE, "Working Age")</f>
        <v>Seniors</v>
      </c>
      <c r="J765" s="6">
        <f>VLOOKUP(F765,Analysis!$F$1:$G$5,2,FALSE)</f>
        <v>2509.1716796874912</v>
      </c>
      <c r="K765">
        <f t="shared" si="44"/>
        <v>3411.93</v>
      </c>
      <c r="L765">
        <f t="shared" si="45"/>
        <v>3411.94</v>
      </c>
      <c r="M765">
        <f t="shared" si="46"/>
        <v>3411.94</v>
      </c>
      <c r="N765" s="5" t="str">
        <f t="shared" si="47"/>
        <v>April 2022</v>
      </c>
    </row>
    <row r="766" spans="1:14" x14ac:dyDescent="0.25">
      <c r="A766" s="1">
        <v>44675</v>
      </c>
      <c r="B766" t="s">
        <v>719</v>
      </c>
      <c r="C766">
        <v>91</v>
      </c>
      <c r="D766" t="s">
        <v>9</v>
      </c>
      <c r="E766" t="s">
        <v>15</v>
      </c>
      <c r="F766" t="s">
        <v>11</v>
      </c>
      <c r="G766" t="s">
        <v>12</v>
      </c>
      <c r="H766">
        <v>1782.57</v>
      </c>
      <c r="I766" s="8" t="str" cm="1">
        <f t="array" ref="I766">_xlfn.IFS(C766&lt;=15,"Children and Young Adolescents", C766&gt;64, "Seniors", TRUE, "Working Age")</f>
        <v>Seniors</v>
      </c>
      <c r="J766" s="6">
        <f>VLOOKUP(F766,Analysis!$F$1:$G$5,2,FALSE)</f>
        <v>2503.6022787783854</v>
      </c>
      <c r="K766">
        <f t="shared" si="44"/>
        <v>1960.82</v>
      </c>
      <c r="L766">
        <f t="shared" si="45"/>
        <v>1960.83</v>
      </c>
      <c r="M766">
        <f t="shared" si="46"/>
        <v>1960.83</v>
      </c>
      <c r="N766" s="5" t="str">
        <f t="shared" si="47"/>
        <v>April 2022</v>
      </c>
    </row>
    <row r="767" spans="1:14" x14ac:dyDescent="0.25">
      <c r="A767" s="1">
        <v>44675</v>
      </c>
      <c r="B767" t="s">
        <v>330</v>
      </c>
      <c r="C767">
        <v>45</v>
      </c>
      <c r="D767" t="s">
        <v>21</v>
      </c>
      <c r="E767" t="s">
        <v>22</v>
      </c>
      <c r="F767" t="s">
        <v>11</v>
      </c>
      <c r="G767" t="s">
        <v>36</v>
      </c>
      <c r="H767">
        <v>3391.38</v>
      </c>
      <c r="I767" s="8" t="str" cm="1">
        <f t="array" ref="I767">_xlfn.IFS(C767&lt;=15,"Children and Young Adolescents", C767&gt;64, "Seniors", TRUE, "Working Age")</f>
        <v>Working Age</v>
      </c>
      <c r="J767" s="6">
        <f>VLOOKUP(F767,Analysis!$F$1:$G$5,2,FALSE)</f>
        <v>2503.6022787783854</v>
      </c>
      <c r="K767">
        <f t="shared" si="44"/>
        <v>3730.51</v>
      </c>
      <c r="L767">
        <f t="shared" si="45"/>
        <v>3730.5200000000004</v>
      </c>
      <c r="M767">
        <f t="shared" si="46"/>
        <v>3730.52</v>
      </c>
      <c r="N767" s="5" t="str">
        <f t="shared" si="47"/>
        <v>April 2022</v>
      </c>
    </row>
    <row r="768" spans="1:14" x14ac:dyDescent="0.25">
      <c r="A768" s="1">
        <v>44675</v>
      </c>
      <c r="B768" t="s">
        <v>3544</v>
      </c>
      <c r="C768">
        <v>99</v>
      </c>
      <c r="D768" t="s">
        <v>14</v>
      </c>
      <c r="E768" t="s">
        <v>32</v>
      </c>
      <c r="F768" t="s">
        <v>11</v>
      </c>
      <c r="G768" t="s">
        <v>36</v>
      </c>
      <c r="H768">
        <v>3068.27</v>
      </c>
      <c r="I768" s="8" t="str" cm="1">
        <f t="array" ref="I768">_xlfn.IFS(C768&lt;=15,"Children and Young Adolescents", C768&gt;64, "Seniors", TRUE, "Working Age")</f>
        <v>Seniors</v>
      </c>
      <c r="J768" s="6">
        <f>VLOOKUP(F768,Analysis!$F$1:$G$5,2,FALSE)</f>
        <v>2503.6022787783854</v>
      </c>
      <c r="K768">
        <f t="shared" si="44"/>
        <v>3375.09</v>
      </c>
      <c r="L768">
        <f t="shared" si="45"/>
        <v>3375.1000000000004</v>
      </c>
      <c r="M768">
        <f t="shared" si="46"/>
        <v>3375.1</v>
      </c>
      <c r="N768" s="5" t="str">
        <f t="shared" si="47"/>
        <v>April 2022</v>
      </c>
    </row>
    <row r="769" spans="1:14" x14ac:dyDescent="0.25">
      <c r="A769" s="1">
        <v>44675</v>
      </c>
      <c r="B769" t="s">
        <v>3712</v>
      </c>
      <c r="C769">
        <v>57</v>
      </c>
      <c r="D769" t="s">
        <v>21</v>
      </c>
      <c r="E769" t="s">
        <v>5032</v>
      </c>
      <c r="F769" t="s">
        <v>29</v>
      </c>
      <c r="G769" t="s">
        <v>17</v>
      </c>
      <c r="H769">
        <v>1911.8</v>
      </c>
      <c r="I769" s="8" t="str" cm="1">
        <f t="array" ref="I769">_xlfn.IFS(C769&lt;=15,"Children and Young Adolescents", C769&gt;64, "Seniors", TRUE, "Working Age")</f>
        <v>Working Age</v>
      </c>
      <c r="J769" s="6">
        <f>VLOOKUP(F769,Analysis!$F$1:$G$5,2,FALSE)</f>
        <v>2496.7676064256989</v>
      </c>
      <c r="K769">
        <f t="shared" si="44"/>
        <v>2102.98</v>
      </c>
      <c r="L769">
        <f t="shared" si="45"/>
        <v>2102.98</v>
      </c>
      <c r="M769">
        <f t="shared" si="46"/>
        <v>2102.98</v>
      </c>
      <c r="N769" s="5" t="str">
        <f t="shared" si="47"/>
        <v>April 2022</v>
      </c>
    </row>
    <row r="770" spans="1:14" x14ac:dyDescent="0.25">
      <c r="A770" s="1">
        <v>44675</v>
      </c>
      <c r="B770" t="s">
        <v>760</v>
      </c>
      <c r="C770">
        <v>21</v>
      </c>
      <c r="D770" t="s">
        <v>21</v>
      </c>
      <c r="E770" t="s">
        <v>32</v>
      </c>
      <c r="F770" t="s">
        <v>29</v>
      </c>
      <c r="G770" t="s">
        <v>39</v>
      </c>
      <c r="H770">
        <v>1444.44</v>
      </c>
      <c r="I770" s="8" t="str" cm="1">
        <f t="array" ref="I770">_xlfn.IFS(C770&lt;=15,"Children and Young Adolescents", C770&gt;64, "Seniors", TRUE, "Working Age")</f>
        <v>Working Age</v>
      </c>
      <c r="J770" s="6">
        <f>VLOOKUP(F770,Analysis!$F$1:$G$5,2,FALSE)</f>
        <v>2496.7676064256989</v>
      </c>
      <c r="K770">
        <f t="shared" si="44"/>
        <v>1588.88</v>
      </c>
      <c r="L770">
        <f t="shared" si="45"/>
        <v>1588.89</v>
      </c>
      <c r="M770">
        <f t="shared" si="46"/>
        <v>1588.88</v>
      </c>
      <c r="N770" s="5" t="str">
        <f t="shared" si="47"/>
        <v>April 2022</v>
      </c>
    </row>
    <row r="771" spans="1:14" x14ac:dyDescent="0.25">
      <c r="A771" s="1">
        <v>44675</v>
      </c>
      <c r="B771" t="s">
        <v>2018</v>
      </c>
      <c r="C771">
        <v>13</v>
      </c>
      <c r="D771" t="s">
        <v>21</v>
      </c>
      <c r="E771" t="s">
        <v>32</v>
      </c>
      <c r="F771" t="s">
        <v>11</v>
      </c>
      <c r="G771" t="s">
        <v>36</v>
      </c>
      <c r="H771">
        <v>1954.35</v>
      </c>
      <c r="I771" s="8" t="str" cm="1">
        <f t="array" ref="I771">_xlfn.IFS(C771&lt;=15,"Children and Young Adolescents", C771&gt;64, "Seniors", TRUE, "Working Age")</f>
        <v>Children and Young Adolescents</v>
      </c>
      <c r="J771" s="6">
        <f>VLOOKUP(F771,Analysis!$F$1:$G$5,2,FALSE)</f>
        <v>2503.6022787783854</v>
      </c>
      <c r="K771">
        <f t="shared" ref="K771:K834" si="48">ROUNDDOWN(H771*1.1,2)</f>
        <v>2149.7800000000002</v>
      </c>
      <c r="L771">
        <f t="shared" ref="L771:L834" si="49">ROUNDUP(H771*1.1,2)</f>
        <v>2149.7900000000004</v>
      </c>
      <c r="M771">
        <f t="shared" ref="M771:M834" si="50">ROUND(H771*1.1,2)</f>
        <v>2149.79</v>
      </c>
      <c r="N771" s="5" t="str">
        <f t="shared" ref="N771:N834" si="51">TEXT(A771,"mmmm yyyy")</f>
        <v>April 2022</v>
      </c>
    </row>
    <row r="772" spans="1:14" x14ac:dyDescent="0.25">
      <c r="A772" s="1">
        <v>44675</v>
      </c>
      <c r="B772" t="s">
        <v>3063</v>
      </c>
      <c r="C772">
        <v>18</v>
      </c>
      <c r="D772" t="s">
        <v>9</v>
      </c>
      <c r="E772" t="s">
        <v>32</v>
      </c>
      <c r="F772" t="s">
        <v>29</v>
      </c>
      <c r="G772" t="s">
        <v>17</v>
      </c>
      <c r="H772">
        <v>1939.8</v>
      </c>
      <c r="I772" s="8" t="str" cm="1">
        <f t="array" ref="I772">_xlfn.IFS(C772&lt;=15,"Children and Young Adolescents", C772&gt;64, "Seniors", TRUE, "Working Age")</f>
        <v>Working Age</v>
      </c>
      <c r="J772" s="6">
        <f>VLOOKUP(F772,Analysis!$F$1:$G$5,2,FALSE)</f>
        <v>2496.7676064256989</v>
      </c>
      <c r="K772">
        <f t="shared" si="48"/>
        <v>2133.7800000000002</v>
      </c>
      <c r="L772">
        <f t="shared" si="49"/>
        <v>2133.7800000000002</v>
      </c>
      <c r="M772">
        <f t="shared" si="50"/>
        <v>2133.7800000000002</v>
      </c>
      <c r="N772" s="5" t="str">
        <f t="shared" si="51"/>
        <v>April 2022</v>
      </c>
    </row>
    <row r="773" spans="1:14" x14ac:dyDescent="0.25">
      <c r="A773" s="1">
        <v>44675</v>
      </c>
      <c r="B773" t="s">
        <v>1299</v>
      </c>
      <c r="C773">
        <v>18</v>
      </c>
      <c r="D773" t="s">
        <v>9</v>
      </c>
      <c r="E773" t="s">
        <v>25</v>
      </c>
      <c r="F773" t="s">
        <v>16</v>
      </c>
      <c r="G773" t="s">
        <v>17</v>
      </c>
      <c r="H773">
        <v>1036.5</v>
      </c>
      <c r="I773" s="8" t="str" cm="1">
        <f t="array" ref="I773">_xlfn.IFS(C773&lt;=15,"Children and Young Adolescents", C773&gt;64, "Seniors", TRUE, "Working Age")</f>
        <v>Working Age</v>
      </c>
      <c r="J773" s="6">
        <f>VLOOKUP(F773,Analysis!$F$1:$G$5,2,FALSE)</f>
        <v>2509.1716796874912</v>
      </c>
      <c r="K773">
        <f t="shared" si="48"/>
        <v>1140.1500000000001</v>
      </c>
      <c r="L773">
        <f t="shared" si="49"/>
        <v>1140.1500000000001</v>
      </c>
      <c r="M773">
        <f t="shared" si="50"/>
        <v>1140.1500000000001</v>
      </c>
      <c r="N773" s="5" t="str">
        <f t="shared" si="51"/>
        <v>April 2022</v>
      </c>
    </row>
    <row r="774" spans="1:14" x14ac:dyDescent="0.25">
      <c r="A774" s="1">
        <v>44675</v>
      </c>
      <c r="B774" t="s">
        <v>3790</v>
      </c>
      <c r="C774">
        <v>98</v>
      </c>
      <c r="D774" t="s">
        <v>21</v>
      </c>
      <c r="E774" t="s">
        <v>34</v>
      </c>
      <c r="F774" t="s">
        <v>29</v>
      </c>
      <c r="G774" t="s">
        <v>27</v>
      </c>
      <c r="H774">
        <v>3369.79</v>
      </c>
      <c r="I774" s="8" t="str" cm="1">
        <f t="array" ref="I774">_xlfn.IFS(C774&lt;=15,"Children and Young Adolescents", C774&gt;64, "Seniors", TRUE, "Working Age")</f>
        <v>Seniors</v>
      </c>
      <c r="J774" s="6">
        <f>VLOOKUP(F774,Analysis!$F$1:$G$5,2,FALSE)</f>
        <v>2496.7676064256989</v>
      </c>
      <c r="K774">
        <f t="shared" si="48"/>
        <v>3706.76</v>
      </c>
      <c r="L774">
        <f t="shared" si="49"/>
        <v>3706.7700000000004</v>
      </c>
      <c r="M774">
        <f t="shared" si="50"/>
        <v>3706.77</v>
      </c>
      <c r="N774" s="5" t="str">
        <f t="shared" si="51"/>
        <v>April 2022</v>
      </c>
    </row>
    <row r="775" spans="1:14" x14ac:dyDescent="0.25">
      <c r="A775" s="1">
        <v>44675</v>
      </c>
      <c r="B775" t="s">
        <v>1066</v>
      </c>
      <c r="C775">
        <v>13</v>
      </c>
      <c r="D775" t="s">
        <v>21</v>
      </c>
      <c r="E775" t="s">
        <v>10</v>
      </c>
      <c r="F775" t="s">
        <v>11</v>
      </c>
      <c r="G775" t="s">
        <v>17</v>
      </c>
      <c r="H775">
        <v>2534.1799999999998</v>
      </c>
      <c r="I775" s="8" t="str" cm="1">
        <f t="array" ref="I775">_xlfn.IFS(C775&lt;=15,"Children and Young Adolescents", C775&gt;64, "Seniors", TRUE, "Working Age")</f>
        <v>Children and Young Adolescents</v>
      </c>
      <c r="J775" s="6">
        <f>VLOOKUP(F775,Analysis!$F$1:$G$5,2,FALSE)</f>
        <v>2503.6022787783854</v>
      </c>
      <c r="K775">
        <f t="shared" si="48"/>
        <v>2787.59</v>
      </c>
      <c r="L775">
        <f t="shared" si="49"/>
        <v>2787.6000000000004</v>
      </c>
      <c r="M775">
        <f t="shared" si="50"/>
        <v>2787.6</v>
      </c>
      <c r="N775" s="5" t="str">
        <f t="shared" si="51"/>
        <v>April 2022</v>
      </c>
    </row>
    <row r="776" spans="1:14" x14ac:dyDescent="0.25">
      <c r="A776" s="1">
        <v>44675</v>
      </c>
      <c r="B776" t="s">
        <v>2570</v>
      </c>
      <c r="C776">
        <v>16</v>
      </c>
      <c r="D776" t="s">
        <v>9</v>
      </c>
      <c r="E776" t="s">
        <v>22</v>
      </c>
      <c r="F776" t="s">
        <v>11</v>
      </c>
      <c r="G776" t="s">
        <v>12</v>
      </c>
      <c r="H776">
        <v>1106.43</v>
      </c>
      <c r="I776" s="8" t="str" cm="1">
        <f t="array" ref="I776">_xlfn.IFS(C776&lt;=15,"Children and Young Adolescents", C776&gt;64, "Seniors", TRUE, "Working Age")</f>
        <v>Working Age</v>
      </c>
      <c r="J776" s="6">
        <f>VLOOKUP(F776,Analysis!$F$1:$G$5,2,FALSE)</f>
        <v>2503.6022787783854</v>
      </c>
      <c r="K776">
        <f t="shared" si="48"/>
        <v>1217.07</v>
      </c>
      <c r="L776">
        <f t="shared" si="49"/>
        <v>1217.08</v>
      </c>
      <c r="M776">
        <f t="shared" si="50"/>
        <v>1217.07</v>
      </c>
      <c r="N776" s="5" t="str">
        <f t="shared" si="51"/>
        <v>April 2022</v>
      </c>
    </row>
    <row r="777" spans="1:14" x14ac:dyDescent="0.25">
      <c r="A777" s="1">
        <v>44675</v>
      </c>
      <c r="B777" t="s">
        <v>4231</v>
      </c>
      <c r="C777">
        <v>11</v>
      </c>
      <c r="D777" t="s">
        <v>9</v>
      </c>
      <c r="E777" t="s">
        <v>25</v>
      </c>
      <c r="F777" t="s">
        <v>23</v>
      </c>
      <c r="G777" t="s">
        <v>17</v>
      </c>
      <c r="H777">
        <v>561.25</v>
      </c>
      <c r="I777" s="8" t="str" cm="1">
        <f t="array" ref="I777">_xlfn.IFS(C777&lt;=15,"Children and Young Adolescents", C777&gt;64, "Seniors", TRUE, "Working Age")</f>
        <v>Children and Young Adolescents</v>
      </c>
      <c r="J777" s="6">
        <f>VLOOKUP(F777,Analysis!$F$1:$G$5,2,FALSE)</f>
        <v>2440.2966694490838</v>
      </c>
      <c r="K777">
        <f t="shared" si="48"/>
        <v>617.37</v>
      </c>
      <c r="L777">
        <f t="shared" si="49"/>
        <v>617.38</v>
      </c>
      <c r="M777">
        <f t="shared" si="50"/>
        <v>617.38</v>
      </c>
      <c r="N777" s="5" t="str">
        <f t="shared" si="51"/>
        <v>April 2022</v>
      </c>
    </row>
    <row r="778" spans="1:14" x14ac:dyDescent="0.25">
      <c r="A778" s="1">
        <v>44675</v>
      </c>
      <c r="B778" t="s">
        <v>1714</v>
      </c>
      <c r="C778">
        <v>86</v>
      </c>
      <c r="D778" t="s">
        <v>14</v>
      </c>
      <c r="E778" t="s">
        <v>34</v>
      </c>
      <c r="F778" t="s">
        <v>23</v>
      </c>
      <c r="G778" t="s">
        <v>27</v>
      </c>
      <c r="H778">
        <v>691.32</v>
      </c>
      <c r="I778" s="8" t="str" cm="1">
        <f t="array" ref="I778">_xlfn.IFS(C778&lt;=15,"Children and Young Adolescents", C778&gt;64, "Seniors", TRUE, "Working Age")</f>
        <v>Seniors</v>
      </c>
      <c r="J778" s="6">
        <f>VLOOKUP(F778,Analysis!$F$1:$G$5,2,FALSE)</f>
        <v>2440.2966694490838</v>
      </c>
      <c r="K778">
        <f t="shared" si="48"/>
        <v>760.45</v>
      </c>
      <c r="L778">
        <f t="shared" si="49"/>
        <v>760.46</v>
      </c>
      <c r="M778">
        <f t="shared" si="50"/>
        <v>760.45</v>
      </c>
      <c r="N778" s="5" t="str">
        <f t="shared" si="51"/>
        <v>April 2022</v>
      </c>
    </row>
    <row r="779" spans="1:14" x14ac:dyDescent="0.25">
      <c r="A779" s="1">
        <v>44676</v>
      </c>
      <c r="B779" t="s">
        <v>3804</v>
      </c>
      <c r="C779">
        <v>11</v>
      </c>
      <c r="D779" t="s">
        <v>21</v>
      </c>
      <c r="E779" t="s">
        <v>5032</v>
      </c>
      <c r="F779" t="s">
        <v>11</v>
      </c>
      <c r="G779" t="s">
        <v>17</v>
      </c>
      <c r="H779">
        <v>4685.3999999999996</v>
      </c>
      <c r="I779" s="8" t="str" cm="1">
        <f t="array" ref="I779">_xlfn.IFS(C779&lt;=15,"Children and Young Adolescents", C779&gt;64, "Seniors", TRUE, "Working Age")</f>
        <v>Children and Young Adolescents</v>
      </c>
      <c r="J779" s="6">
        <f>VLOOKUP(F779,Analysis!$F$1:$G$5,2,FALSE)</f>
        <v>2503.6022787783854</v>
      </c>
      <c r="K779">
        <f t="shared" si="48"/>
        <v>5153.9399999999996</v>
      </c>
      <c r="L779">
        <f t="shared" si="49"/>
        <v>5153.9399999999996</v>
      </c>
      <c r="M779">
        <f t="shared" si="50"/>
        <v>5153.9399999999996</v>
      </c>
      <c r="N779" s="5" t="str">
        <f t="shared" si="51"/>
        <v>April 2022</v>
      </c>
    </row>
    <row r="780" spans="1:14" x14ac:dyDescent="0.25">
      <c r="A780" s="1">
        <v>44676</v>
      </c>
      <c r="B780" t="s">
        <v>3012</v>
      </c>
      <c r="C780">
        <v>98</v>
      </c>
      <c r="D780" t="s">
        <v>9</v>
      </c>
      <c r="E780" t="s">
        <v>34</v>
      </c>
      <c r="F780" t="s">
        <v>29</v>
      </c>
      <c r="G780" t="s">
        <v>27</v>
      </c>
      <c r="H780">
        <v>4716.3999999999996</v>
      </c>
      <c r="I780" s="8" t="str" cm="1">
        <f t="array" ref="I780">_xlfn.IFS(C780&lt;=15,"Children and Young Adolescents", C780&gt;64, "Seniors", TRUE, "Working Age")</f>
        <v>Seniors</v>
      </c>
      <c r="J780" s="6">
        <f>VLOOKUP(F780,Analysis!$F$1:$G$5,2,FALSE)</f>
        <v>2496.7676064256989</v>
      </c>
      <c r="K780">
        <f t="shared" si="48"/>
        <v>5188.04</v>
      </c>
      <c r="L780">
        <f t="shared" si="49"/>
        <v>5188.04</v>
      </c>
      <c r="M780">
        <f t="shared" si="50"/>
        <v>5188.04</v>
      </c>
      <c r="N780" s="5" t="str">
        <f t="shared" si="51"/>
        <v>April 2022</v>
      </c>
    </row>
    <row r="781" spans="1:14" x14ac:dyDescent="0.25">
      <c r="A781" s="1">
        <v>44676</v>
      </c>
      <c r="B781" t="s">
        <v>828</v>
      </c>
      <c r="C781">
        <v>35</v>
      </c>
      <c r="D781" t="s">
        <v>21</v>
      </c>
      <c r="E781" t="s">
        <v>34</v>
      </c>
      <c r="F781" t="s">
        <v>23</v>
      </c>
      <c r="G781" t="s">
        <v>36</v>
      </c>
      <c r="H781">
        <v>1988.28</v>
      </c>
      <c r="I781" s="8" t="str" cm="1">
        <f t="array" ref="I781">_xlfn.IFS(C781&lt;=15,"Children and Young Adolescents", C781&gt;64, "Seniors", TRUE, "Working Age")</f>
        <v>Working Age</v>
      </c>
      <c r="J781" s="6">
        <f>VLOOKUP(F781,Analysis!$F$1:$G$5,2,FALSE)</f>
        <v>2440.2966694490838</v>
      </c>
      <c r="K781">
        <f t="shared" si="48"/>
        <v>2187.1</v>
      </c>
      <c r="L781">
        <f t="shared" si="49"/>
        <v>2187.11</v>
      </c>
      <c r="M781">
        <f t="shared" si="50"/>
        <v>2187.11</v>
      </c>
      <c r="N781" s="5" t="str">
        <f t="shared" si="51"/>
        <v>April 2022</v>
      </c>
    </row>
    <row r="782" spans="1:14" x14ac:dyDescent="0.25">
      <c r="A782" s="1">
        <v>44676</v>
      </c>
      <c r="B782" t="s">
        <v>1805</v>
      </c>
      <c r="C782">
        <v>65</v>
      </c>
      <c r="D782" t="s">
        <v>21</v>
      </c>
      <c r="E782" t="s">
        <v>22</v>
      </c>
      <c r="F782" t="s">
        <v>29</v>
      </c>
      <c r="G782" t="s">
        <v>12</v>
      </c>
      <c r="H782">
        <v>1116.0999999999999</v>
      </c>
      <c r="I782" s="8" t="str" cm="1">
        <f t="array" ref="I782">_xlfn.IFS(C782&lt;=15,"Children and Young Adolescents", C782&gt;64, "Seniors", TRUE, "Working Age")</f>
        <v>Seniors</v>
      </c>
      <c r="J782" s="6">
        <f>VLOOKUP(F782,Analysis!$F$1:$G$5,2,FALSE)</f>
        <v>2496.7676064256989</v>
      </c>
      <c r="K782">
        <f t="shared" si="48"/>
        <v>1227.71</v>
      </c>
      <c r="L782">
        <f t="shared" si="49"/>
        <v>1227.71</v>
      </c>
      <c r="M782">
        <f t="shared" si="50"/>
        <v>1227.71</v>
      </c>
      <c r="N782" s="5" t="str">
        <f t="shared" si="51"/>
        <v>April 2022</v>
      </c>
    </row>
    <row r="783" spans="1:14" x14ac:dyDescent="0.25">
      <c r="A783" s="1">
        <v>44676</v>
      </c>
      <c r="B783" t="s">
        <v>2057</v>
      </c>
      <c r="C783">
        <v>75</v>
      </c>
      <c r="D783" t="s">
        <v>9</v>
      </c>
      <c r="E783" t="s">
        <v>22</v>
      </c>
      <c r="F783" t="s">
        <v>11</v>
      </c>
      <c r="G783" t="s">
        <v>27</v>
      </c>
      <c r="H783">
        <v>2614.7399999999998</v>
      </c>
      <c r="I783" s="8" t="str" cm="1">
        <f t="array" ref="I783">_xlfn.IFS(C783&lt;=15,"Children and Young Adolescents", C783&gt;64, "Seniors", TRUE, "Working Age")</f>
        <v>Seniors</v>
      </c>
      <c r="J783" s="6">
        <f>VLOOKUP(F783,Analysis!$F$1:$G$5,2,FALSE)</f>
        <v>2503.6022787783854</v>
      </c>
      <c r="K783">
        <f t="shared" si="48"/>
        <v>2876.21</v>
      </c>
      <c r="L783">
        <f t="shared" si="49"/>
        <v>2876.2200000000003</v>
      </c>
      <c r="M783">
        <f t="shared" si="50"/>
        <v>2876.21</v>
      </c>
      <c r="N783" s="5" t="str">
        <f t="shared" si="51"/>
        <v>April 2022</v>
      </c>
    </row>
    <row r="784" spans="1:14" x14ac:dyDescent="0.25">
      <c r="A784" s="1">
        <v>44676</v>
      </c>
      <c r="B784" t="s">
        <v>4310</v>
      </c>
      <c r="C784">
        <v>60</v>
      </c>
      <c r="D784" t="s">
        <v>21</v>
      </c>
      <c r="E784" t="s">
        <v>19</v>
      </c>
      <c r="F784" t="s">
        <v>11</v>
      </c>
      <c r="G784" t="s">
        <v>39</v>
      </c>
      <c r="H784">
        <v>3091.33</v>
      </c>
      <c r="I784" s="8" t="str" cm="1">
        <f t="array" ref="I784">_xlfn.IFS(C784&lt;=15,"Children and Young Adolescents", C784&gt;64, "Seniors", TRUE, "Working Age")</f>
        <v>Working Age</v>
      </c>
      <c r="J784" s="6">
        <f>VLOOKUP(F784,Analysis!$F$1:$G$5,2,FALSE)</f>
        <v>2503.6022787783854</v>
      </c>
      <c r="K784">
        <f t="shared" si="48"/>
        <v>3400.46</v>
      </c>
      <c r="L784">
        <f t="shared" si="49"/>
        <v>3400.4700000000003</v>
      </c>
      <c r="M784">
        <f t="shared" si="50"/>
        <v>3400.46</v>
      </c>
      <c r="N784" s="5" t="str">
        <f t="shared" si="51"/>
        <v>April 2022</v>
      </c>
    </row>
    <row r="785" spans="1:14" x14ac:dyDescent="0.25">
      <c r="A785" s="1">
        <v>44676</v>
      </c>
      <c r="B785" t="s">
        <v>2736</v>
      </c>
      <c r="C785">
        <v>5</v>
      </c>
      <c r="D785" t="s">
        <v>21</v>
      </c>
      <c r="E785" t="s">
        <v>32</v>
      </c>
      <c r="F785" t="s">
        <v>11</v>
      </c>
      <c r="G785" t="s">
        <v>36</v>
      </c>
      <c r="H785">
        <v>4738.5200000000004</v>
      </c>
      <c r="I785" s="8" t="str" cm="1">
        <f t="array" ref="I785">_xlfn.IFS(C785&lt;=15,"Children and Young Adolescents", C785&gt;64, "Seniors", TRUE, "Working Age")</f>
        <v>Children and Young Adolescents</v>
      </c>
      <c r="J785" s="6">
        <f>VLOOKUP(F785,Analysis!$F$1:$G$5,2,FALSE)</f>
        <v>2503.6022787783854</v>
      </c>
      <c r="K785">
        <f t="shared" si="48"/>
        <v>5212.37</v>
      </c>
      <c r="L785">
        <f t="shared" si="49"/>
        <v>5212.38</v>
      </c>
      <c r="M785">
        <f t="shared" si="50"/>
        <v>5212.37</v>
      </c>
      <c r="N785" s="5" t="str">
        <f t="shared" si="51"/>
        <v>April 2022</v>
      </c>
    </row>
    <row r="786" spans="1:14" x14ac:dyDescent="0.25">
      <c r="A786" s="1">
        <v>44676</v>
      </c>
      <c r="B786" t="s">
        <v>1292</v>
      </c>
      <c r="C786">
        <v>76</v>
      </c>
      <c r="D786" t="s">
        <v>21</v>
      </c>
      <c r="E786" t="s">
        <v>15</v>
      </c>
      <c r="F786" t="s">
        <v>23</v>
      </c>
      <c r="G786" t="s">
        <v>27</v>
      </c>
      <c r="H786">
        <v>2543.4899999999998</v>
      </c>
      <c r="I786" s="8" t="str" cm="1">
        <f t="array" ref="I786">_xlfn.IFS(C786&lt;=15,"Children and Young Adolescents", C786&gt;64, "Seniors", TRUE, "Working Age")</f>
        <v>Seniors</v>
      </c>
      <c r="J786" s="6">
        <f>VLOOKUP(F786,Analysis!$F$1:$G$5,2,FALSE)</f>
        <v>2440.2966694490838</v>
      </c>
      <c r="K786">
        <f t="shared" si="48"/>
        <v>2797.83</v>
      </c>
      <c r="L786">
        <f t="shared" si="49"/>
        <v>2797.84</v>
      </c>
      <c r="M786">
        <f t="shared" si="50"/>
        <v>2797.84</v>
      </c>
      <c r="N786" s="5" t="str">
        <f t="shared" si="51"/>
        <v>April 2022</v>
      </c>
    </row>
    <row r="787" spans="1:14" x14ac:dyDescent="0.25">
      <c r="A787" s="1">
        <v>44676</v>
      </c>
      <c r="B787" t="s">
        <v>3043</v>
      </c>
      <c r="C787">
        <v>52</v>
      </c>
      <c r="D787" t="s">
        <v>21</v>
      </c>
      <c r="E787" t="s">
        <v>34</v>
      </c>
      <c r="F787" t="s">
        <v>23</v>
      </c>
      <c r="G787" t="s">
        <v>27</v>
      </c>
      <c r="H787">
        <v>1462.55</v>
      </c>
      <c r="I787" s="8" t="str" cm="1">
        <f t="array" ref="I787">_xlfn.IFS(C787&lt;=15,"Children and Young Adolescents", C787&gt;64, "Seniors", TRUE, "Working Age")</f>
        <v>Working Age</v>
      </c>
      <c r="J787" s="6">
        <f>VLOOKUP(F787,Analysis!$F$1:$G$5,2,FALSE)</f>
        <v>2440.2966694490838</v>
      </c>
      <c r="K787">
        <f t="shared" si="48"/>
        <v>1608.8</v>
      </c>
      <c r="L787">
        <f t="shared" si="49"/>
        <v>1608.81</v>
      </c>
      <c r="M787">
        <f t="shared" si="50"/>
        <v>1608.81</v>
      </c>
      <c r="N787" s="5" t="str">
        <f t="shared" si="51"/>
        <v>April 2022</v>
      </c>
    </row>
    <row r="788" spans="1:14" x14ac:dyDescent="0.25">
      <c r="A788" s="1">
        <v>44677</v>
      </c>
      <c r="B788" t="s">
        <v>4800</v>
      </c>
      <c r="C788">
        <v>27</v>
      </c>
      <c r="D788" t="s">
        <v>9</v>
      </c>
      <c r="E788" t="s">
        <v>25</v>
      </c>
      <c r="F788" t="s">
        <v>29</v>
      </c>
      <c r="G788" t="s">
        <v>39</v>
      </c>
      <c r="H788">
        <v>2137.04</v>
      </c>
      <c r="I788" s="8" t="str" cm="1">
        <f t="array" ref="I788">_xlfn.IFS(C788&lt;=15,"Children and Young Adolescents", C788&gt;64, "Seniors", TRUE, "Working Age")</f>
        <v>Working Age</v>
      </c>
      <c r="J788" s="6">
        <f>VLOOKUP(F788,Analysis!$F$1:$G$5,2,FALSE)</f>
        <v>2496.7676064256989</v>
      </c>
      <c r="K788">
        <f t="shared" si="48"/>
        <v>2350.7399999999998</v>
      </c>
      <c r="L788">
        <f t="shared" si="49"/>
        <v>2350.75</v>
      </c>
      <c r="M788">
        <f t="shared" si="50"/>
        <v>2350.7399999999998</v>
      </c>
      <c r="N788" s="5" t="str">
        <f t="shared" si="51"/>
        <v>April 2022</v>
      </c>
    </row>
    <row r="789" spans="1:14" x14ac:dyDescent="0.25">
      <c r="A789" s="1">
        <v>44677</v>
      </c>
      <c r="B789" t="s">
        <v>3857</v>
      </c>
      <c r="C789">
        <v>62</v>
      </c>
      <c r="D789" t="s">
        <v>14</v>
      </c>
      <c r="E789" t="s">
        <v>10</v>
      </c>
      <c r="F789" t="s">
        <v>11</v>
      </c>
      <c r="G789" t="s">
        <v>27</v>
      </c>
      <c r="H789">
        <v>1839.94</v>
      </c>
      <c r="I789" s="8" t="str" cm="1">
        <f t="array" ref="I789">_xlfn.IFS(C789&lt;=15,"Children and Young Adolescents", C789&gt;64, "Seniors", TRUE, "Working Age")</f>
        <v>Working Age</v>
      </c>
      <c r="J789" s="6">
        <f>VLOOKUP(F789,Analysis!$F$1:$G$5,2,FALSE)</f>
        <v>2503.6022787783854</v>
      </c>
      <c r="K789">
        <f t="shared" si="48"/>
        <v>2023.93</v>
      </c>
      <c r="L789">
        <f t="shared" si="49"/>
        <v>2023.94</v>
      </c>
      <c r="M789">
        <f t="shared" si="50"/>
        <v>2023.93</v>
      </c>
      <c r="N789" s="5" t="str">
        <f t="shared" si="51"/>
        <v>April 2022</v>
      </c>
    </row>
    <row r="790" spans="1:14" x14ac:dyDescent="0.25">
      <c r="A790" s="1">
        <v>44677</v>
      </c>
      <c r="B790" t="s">
        <v>4334</v>
      </c>
      <c r="C790">
        <v>64</v>
      </c>
      <c r="D790" t="s">
        <v>9</v>
      </c>
      <c r="E790" t="s">
        <v>10</v>
      </c>
      <c r="F790" t="s">
        <v>16</v>
      </c>
      <c r="G790" t="s">
        <v>12</v>
      </c>
      <c r="H790">
        <v>1487.3</v>
      </c>
      <c r="I790" s="8" t="str" cm="1">
        <f t="array" ref="I790">_xlfn.IFS(C790&lt;=15,"Children and Young Adolescents", C790&gt;64, "Seniors", TRUE, "Working Age")</f>
        <v>Working Age</v>
      </c>
      <c r="J790" s="6">
        <f>VLOOKUP(F790,Analysis!$F$1:$G$5,2,FALSE)</f>
        <v>2509.1716796874912</v>
      </c>
      <c r="K790">
        <f t="shared" si="48"/>
        <v>1636.03</v>
      </c>
      <c r="L790">
        <f t="shared" si="49"/>
        <v>1636.03</v>
      </c>
      <c r="M790">
        <f t="shared" si="50"/>
        <v>1636.03</v>
      </c>
      <c r="N790" s="5" t="str">
        <f t="shared" si="51"/>
        <v>April 2022</v>
      </c>
    </row>
    <row r="791" spans="1:14" x14ac:dyDescent="0.25">
      <c r="A791" s="1">
        <v>44677</v>
      </c>
      <c r="B791" t="s">
        <v>4984</v>
      </c>
      <c r="C791">
        <v>93</v>
      </c>
      <c r="D791" t="s">
        <v>14</v>
      </c>
      <c r="E791" t="s">
        <v>32</v>
      </c>
      <c r="F791" t="s">
        <v>16</v>
      </c>
      <c r="G791" t="s">
        <v>39</v>
      </c>
      <c r="H791">
        <v>1349.59</v>
      </c>
      <c r="I791" s="8" t="str" cm="1">
        <f t="array" ref="I791">_xlfn.IFS(C791&lt;=15,"Children and Young Adolescents", C791&gt;64, "Seniors", TRUE, "Working Age")</f>
        <v>Seniors</v>
      </c>
      <c r="J791" s="6">
        <f>VLOOKUP(F791,Analysis!$F$1:$G$5,2,FALSE)</f>
        <v>2509.1716796874912</v>
      </c>
      <c r="K791">
        <f t="shared" si="48"/>
        <v>1484.54</v>
      </c>
      <c r="L791">
        <f t="shared" si="49"/>
        <v>1484.55</v>
      </c>
      <c r="M791">
        <f t="shared" si="50"/>
        <v>1484.55</v>
      </c>
      <c r="N791" s="5" t="str">
        <f t="shared" si="51"/>
        <v>April 2022</v>
      </c>
    </row>
    <row r="792" spans="1:14" x14ac:dyDescent="0.25">
      <c r="A792" s="1">
        <v>44677</v>
      </c>
      <c r="B792" t="s">
        <v>2604</v>
      </c>
      <c r="C792">
        <v>94</v>
      </c>
      <c r="D792" t="s">
        <v>21</v>
      </c>
      <c r="E792" t="s">
        <v>10</v>
      </c>
      <c r="F792" t="s">
        <v>16</v>
      </c>
      <c r="G792" t="s">
        <v>36</v>
      </c>
      <c r="H792">
        <v>3567.5</v>
      </c>
      <c r="I792" s="8" t="str" cm="1">
        <f t="array" ref="I792">_xlfn.IFS(C792&lt;=15,"Children and Young Adolescents", C792&gt;64, "Seniors", TRUE, "Working Age")</f>
        <v>Seniors</v>
      </c>
      <c r="J792" s="6">
        <f>VLOOKUP(F792,Analysis!$F$1:$G$5,2,FALSE)</f>
        <v>2509.1716796874912</v>
      </c>
      <c r="K792">
        <f t="shared" si="48"/>
        <v>3924.25</v>
      </c>
      <c r="L792">
        <f t="shared" si="49"/>
        <v>3924.25</v>
      </c>
      <c r="M792">
        <f t="shared" si="50"/>
        <v>3924.25</v>
      </c>
      <c r="N792" s="5" t="str">
        <f t="shared" si="51"/>
        <v>April 2022</v>
      </c>
    </row>
    <row r="793" spans="1:14" x14ac:dyDescent="0.25">
      <c r="A793" s="1">
        <v>44677</v>
      </c>
      <c r="B793" t="s">
        <v>4276</v>
      </c>
      <c r="C793">
        <v>47</v>
      </c>
      <c r="D793" t="s">
        <v>21</v>
      </c>
      <c r="E793" t="s">
        <v>34</v>
      </c>
      <c r="F793" t="s">
        <v>16</v>
      </c>
      <c r="G793" t="s">
        <v>39</v>
      </c>
      <c r="H793">
        <v>2433</v>
      </c>
      <c r="I793" s="8" t="str" cm="1">
        <f t="array" ref="I793">_xlfn.IFS(C793&lt;=15,"Children and Young Adolescents", C793&gt;64, "Seniors", TRUE, "Working Age")</f>
        <v>Working Age</v>
      </c>
      <c r="J793" s="6">
        <f>VLOOKUP(F793,Analysis!$F$1:$G$5,2,FALSE)</f>
        <v>2509.1716796874912</v>
      </c>
      <c r="K793">
        <f t="shared" si="48"/>
        <v>2676.3</v>
      </c>
      <c r="L793">
        <f t="shared" si="49"/>
        <v>2676.3</v>
      </c>
      <c r="M793">
        <f t="shared" si="50"/>
        <v>2676.3</v>
      </c>
      <c r="N793" s="5" t="str">
        <f t="shared" si="51"/>
        <v>April 2022</v>
      </c>
    </row>
    <row r="794" spans="1:14" x14ac:dyDescent="0.25">
      <c r="A794" s="1">
        <v>44678</v>
      </c>
      <c r="B794" t="s">
        <v>649</v>
      </c>
      <c r="C794">
        <v>39</v>
      </c>
      <c r="D794" t="s">
        <v>14</v>
      </c>
      <c r="E794" t="s">
        <v>22</v>
      </c>
      <c r="F794" t="s">
        <v>23</v>
      </c>
      <c r="G794" t="s">
        <v>12</v>
      </c>
      <c r="H794">
        <v>2737.71</v>
      </c>
      <c r="I794" s="8" t="str" cm="1">
        <f t="array" ref="I794">_xlfn.IFS(C794&lt;=15,"Children and Young Adolescents", C794&gt;64, "Seniors", TRUE, "Working Age")</f>
        <v>Working Age</v>
      </c>
      <c r="J794" s="6">
        <f>VLOOKUP(F794,Analysis!$F$1:$G$5,2,FALSE)</f>
        <v>2440.2966694490838</v>
      </c>
      <c r="K794">
        <f t="shared" si="48"/>
        <v>3011.48</v>
      </c>
      <c r="L794">
        <f t="shared" si="49"/>
        <v>3011.4900000000002</v>
      </c>
      <c r="M794">
        <f t="shared" si="50"/>
        <v>3011.48</v>
      </c>
      <c r="N794" s="5" t="str">
        <f t="shared" si="51"/>
        <v>April 2022</v>
      </c>
    </row>
    <row r="795" spans="1:14" x14ac:dyDescent="0.25">
      <c r="A795" s="1">
        <v>44678</v>
      </c>
      <c r="B795" t="s">
        <v>4354</v>
      </c>
      <c r="C795">
        <v>95</v>
      </c>
      <c r="D795" t="s">
        <v>14</v>
      </c>
      <c r="E795" t="s">
        <v>32</v>
      </c>
      <c r="F795" t="s">
        <v>23</v>
      </c>
      <c r="G795" t="s">
        <v>36</v>
      </c>
      <c r="H795">
        <v>1769.57</v>
      </c>
      <c r="I795" s="8" t="str" cm="1">
        <f t="array" ref="I795">_xlfn.IFS(C795&lt;=15,"Children and Young Adolescents", C795&gt;64, "Seniors", TRUE, "Working Age")</f>
        <v>Seniors</v>
      </c>
      <c r="J795" s="6">
        <f>VLOOKUP(F795,Analysis!$F$1:$G$5,2,FALSE)</f>
        <v>2440.2966694490838</v>
      </c>
      <c r="K795">
        <f t="shared" si="48"/>
        <v>1946.52</v>
      </c>
      <c r="L795">
        <f t="shared" si="49"/>
        <v>1946.53</v>
      </c>
      <c r="M795">
        <f t="shared" si="50"/>
        <v>1946.53</v>
      </c>
      <c r="N795" s="5" t="str">
        <f t="shared" si="51"/>
        <v>April 2022</v>
      </c>
    </row>
    <row r="796" spans="1:14" x14ac:dyDescent="0.25">
      <c r="A796" s="1">
        <v>44678</v>
      </c>
      <c r="B796" t="s">
        <v>4387</v>
      </c>
      <c r="C796">
        <v>81</v>
      </c>
      <c r="D796" t="s">
        <v>21</v>
      </c>
      <c r="E796" t="s">
        <v>19</v>
      </c>
      <c r="F796" t="s">
        <v>16</v>
      </c>
      <c r="G796" t="s">
        <v>17</v>
      </c>
      <c r="H796">
        <v>1530.3</v>
      </c>
      <c r="I796" s="8" t="str" cm="1">
        <f t="array" ref="I796">_xlfn.IFS(C796&lt;=15,"Children and Young Adolescents", C796&gt;64, "Seniors", TRUE, "Working Age")</f>
        <v>Seniors</v>
      </c>
      <c r="J796" s="6">
        <f>VLOOKUP(F796,Analysis!$F$1:$G$5,2,FALSE)</f>
        <v>2509.1716796874912</v>
      </c>
      <c r="K796">
        <f t="shared" si="48"/>
        <v>1683.33</v>
      </c>
      <c r="L796">
        <f t="shared" si="49"/>
        <v>1683.33</v>
      </c>
      <c r="M796">
        <f t="shared" si="50"/>
        <v>1683.33</v>
      </c>
      <c r="N796" s="5" t="str">
        <f t="shared" si="51"/>
        <v>April 2022</v>
      </c>
    </row>
    <row r="797" spans="1:14" x14ac:dyDescent="0.25">
      <c r="A797" s="1">
        <v>44678</v>
      </c>
      <c r="B797" t="s">
        <v>3577</v>
      </c>
      <c r="C797">
        <v>68</v>
      </c>
      <c r="D797" t="s">
        <v>21</v>
      </c>
      <c r="E797" t="s">
        <v>15</v>
      </c>
      <c r="F797" t="s">
        <v>16</v>
      </c>
      <c r="G797" t="s">
        <v>12</v>
      </c>
      <c r="H797">
        <v>2002.1</v>
      </c>
      <c r="I797" s="8" t="str" cm="1">
        <f t="array" ref="I797">_xlfn.IFS(C797&lt;=15,"Children and Young Adolescents", C797&gt;64, "Seniors", TRUE, "Working Age")</f>
        <v>Seniors</v>
      </c>
      <c r="J797" s="6">
        <f>VLOOKUP(F797,Analysis!$F$1:$G$5,2,FALSE)</f>
        <v>2509.1716796874912</v>
      </c>
      <c r="K797">
        <f t="shared" si="48"/>
        <v>2202.31</v>
      </c>
      <c r="L797">
        <f t="shared" si="49"/>
        <v>2202.31</v>
      </c>
      <c r="M797">
        <f t="shared" si="50"/>
        <v>2202.31</v>
      </c>
      <c r="N797" s="5" t="str">
        <f t="shared" si="51"/>
        <v>April 2022</v>
      </c>
    </row>
    <row r="798" spans="1:14" x14ac:dyDescent="0.25">
      <c r="A798" s="1">
        <v>44678</v>
      </c>
      <c r="B798" t="s">
        <v>2628</v>
      </c>
      <c r="C798">
        <v>99</v>
      </c>
      <c r="D798" t="s">
        <v>21</v>
      </c>
      <c r="E798" t="s">
        <v>10</v>
      </c>
      <c r="F798" t="s">
        <v>23</v>
      </c>
      <c r="G798" t="s">
        <v>17</v>
      </c>
      <c r="H798">
        <v>2668.57</v>
      </c>
      <c r="I798" s="8" t="str" cm="1">
        <f t="array" ref="I798">_xlfn.IFS(C798&lt;=15,"Children and Young Adolescents", C798&gt;64, "Seniors", TRUE, "Working Age")</f>
        <v>Seniors</v>
      </c>
      <c r="J798" s="6">
        <f>VLOOKUP(F798,Analysis!$F$1:$G$5,2,FALSE)</f>
        <v>2440.2966694490838</v>
      </c>
      <c r="K798">
        <f t="shared" si="48"/>
        <v>2935.42</v>
      </c>
      <c r="L798">
        <f t="shared" si="49"/>
        <v>2935.4300000000003</v>
      </c>
      <c r="M798">
        <f t="shared" si="50"/>
        <v>2935.43</v>
      </c>
      <c r="N798" s="5" t="str">
        <f t="shared" si="51"/>
        <v>April 2022</v>
      </c>
    </row>
    <row r="799" spans="1:14" x14ac:dyDescent="0.25">
      <c r="A799" s="1">
        <v>44678</v>
      </c>
      <c r="B799" t="s">
        <v>3120</v>
      </c>
      <c r="C799">
        <v>19</v>
      </c>
      <c r="D799" t="s">
        <v>21</v>
      </c>
      <c r="E799" t="s">
        <v>22</v>
      </c>
      <c r="F799" t="s">
        <v>11</v>
      </c>
      <c r="G799" t="s">
        <v>39</v>
      </c>
      <c r="H799">
        <v>2640.64</v>
      </c>
      <c r="I799" s="8" t="str" cm="1">
        <f t="array" ref="I799">_xlfn.IFS(C799&lt;=15,"Children and Young Adolescents", C799&gt;64, "Seniors", TRUE, "Working Age")</f>
        <v>Working Age</v>
      </c>
      <c r="J799" s="6">
        <f>VLOOKUP(F799,Analysis!$F$1:$G$5,2,FALSE)</f>
        <v>2503.6022787783854</v>
      </c>
      <c r="K799">
        <f t="shared" si="48"/>
        <v>2904.7</v>
      </c>
      <c r="L799">
        <f t="shared" si="49"/>
        <v>2904.71</v>
      </c>
      <c r="M799">
        <f t="shared" si="50"/>
        <v>2904.7</v>
      </c>
      <c r="N799" s="5" t="str">
        <f t="shared" si="51"/>
        <v>April 2022</v>
      </c>
    </row>
    <row r="800" spans="1:14" x14ac:dyDescent="0.25">
      <c r="A800" s="1">
        <v>44678</v>
      </c>
      <c r="B800" t="s">
        <v>2316</v>
      </c>
      <c r="C800">
        <v>90</v>
      </c>
      <c r="D800" t="s">
        <v>9</v>
      </c>
      <c r="E800" t="s">
        <v>15</v>
      </c>
      <c r="F800" t="s">
        <v>16</v>
      </c>
      <c r="G800" t="s">
        <v>17</v>
      </c>
      <c r="H800">
        <v>4578.37</v>
      </c>
      <c r="I800" s="8" t="str" cm="1">
        <f t="array" ref="I800">_xlfn.IFS(C800&lt;=15,"Children and Young Adolescents", C800&gt;64, "Seniors", TRUE, "Working Age")</f>
        <v>Seniors</v>
      </c>
      <c r="J800" s="6">
        <f>VLOOKUP(F800,Analysis!$F$1:$G$5,2,FALSE)</f>
        <v>2509.1716796874912</v>
      </c>
      <c r="K800">
        <f t="shared" si="48"/>
        <v>5036.2</v>
      </c>
      <c r="L800">
        <f t="shared" si="49"/>
        <v>5036.21</v>
      </c>
      <c r="M800">
        <f t="shared" si="50"/>
        <v>5036.21</v>
      </c>
      <c r="N800" s="5" t="str">
        <f t="shared" si="51"/>
        <v>April 2022</v>
      </c>
    </row>
    <row r="801" spans="1:14" x14ac:dyDescent="0.25">
      <c r="A801" s="1">
        <v>44678</v>
      </c>
      <c r="B801" t="s">
        <v>3229</v>
      </c>
      <c r="C801">
        <v>64</v>
      </c>
      <c r="D801" t="s">
        <v>14</v>
      </c>
      <c r="E801" t="s">
        <v>25</v>
      </c>
      <c r="F801" t="s">
        <v>16</v>
      </c>
      <c r="G801" t="s">
        <v>36</v>
      </c>
      <c r="H801">
        <v>4306.12</v>
      </c>
      <c r="I801" s="8" t="str" cm="1">
        <f t="array" ref="I801">_xlfn.IFS(C801&lt;=15,"Children and Young Adolescents", C801&gt;64, "Seniors", TRUE, "Working Age")</f>
        <v>Working Age</v>
      </c>
      <c r="J801" s="6">
        <f>VLOOKUP(F801,Analysis!$F$1:$G$5,2,FALSE)</f>
        <v>2509.1716796874912</v>
      </c>
      <c r="K801">
        <f t="shared" si="48"/>
        <v>4736.7299999999996</v>
      </c>
      <c r="L801">
        <f t="shared" si="49"/>
        <v>4736.74</v>
      </c>
      <c r="M801">
        <f t="shared" si="50"/>
        <v>4736.7299999999996</v>
      </c>
      <c r="N801" s="5" t="str">
        <f t="shared" si="51"/>
        <v>April 2022</v>
      </c>
    </row>
    <row r="802" spans="1:14" x14ac:dyDescent="0.25">
      <c r="A802" s="1">
        <v>44679</v>
      </c>
      <c r="B802" t="s">
        <v>4804</v>
      </c>
      <c r="C802">
        <v>73</v>
      </c>
      <c r="D802" t="s">
        <v>14</v>
      </c>
      <c r="E802" t="s">
        <v>25</v>
      </c>
      <c r="F802" t="s">
        <v>11</v>
      </c>
      <c r="G802" t="s">
        <v>39</v>
      </c>
      <c r="H802">
        <v>427.69</v>
      </c>
      <c r="I802" s="8" t="str" cm="1">
        <f t="array" ref="I802">_xlfn.IFS(C802&lt;=15,"Children and Young Adolescents", C802&gt;64, "Seniors", TRUE, "Working Age")</f>
        <v>Seniors</v>
      </c>
      <c r="J802" s="6">
        <f>VLOOKUP(F802,Analysis!$F$1:$G$5,2,FALSE)</f>
        <v>2503.6022787783854</v>
      </c>
      <c r="K802">
        <f t="shared" si="48"/>
        <v>470.45</v>
      </c>
      <c r="L802">
        <f t="shared" si="49"/>
        <v>470.46</v>
      </c>
      <c r="M802">
        <f t="shared" si="50"/>
        <v>470.46</v>
      </c>
      <c r="N802" s="5" t="str">
        <f t="shared" si="51"/>
        <v>April 2022</v>
      </c>
    </row>
    <row r="803" spans="1:14" x14ac:dyDescent="0.25">
      <c r="A803" s="1">
        <v>44679</v>
      </c>
      <c r="B803" t="s">
        <v>2078</v>
      </c>
      <c r="C803">
        <v>97</v>
      </c>
      <c r="D803" t="s">
        <v>21</v>
      </c>
      <c r="E803" t="s">
        <v>34</v>
      </c>
      <c r="F803" t="s">
        <v>29</v>
      </c>
      <c r="G803" t="s">
        <v>17</v>
      </c>
      <c r="H803">
        <v>2273.96</v>
      </c>
      <c r="I803" s="8" t="str" cm="1">
        <f t="array" ref="I803">_xlfn.IFS(C803&lt;=15,"Children and Young Adolescents", C803&gt;64, "Seniors", TRUE, "Working Age")</f>
        <v>Seniors</v>
      </c>
      <c r="J803" s="6">
        <f>VLOOKUP(F803,Analysis!$F$1:$G$5,2,FALSE)</f>
        <v>2496.7676064256989</v>
      </c>
      <c r="K803">
        <f t="shared" si="48"/>
        <v>2501.35</v>
      </c>
      <c r="L803">
        <f t="shared" si="49"/>
        <v>2501.36</v>
      </c>
      <c r="M803">
        <f t="shared" si="50"/>
        <v>2501.36</v>
      </c>
      <c r="N803" s="5" t="str">
        <f t="shared" si="51"/>
        <v>April 2022</v>
      </c>
    </row>
    <row r="804" spans="1:14" x14ac:dyDescent="0.25">
      <c r="A804" s="1">
        <v>44679</v>
      </c>
      <c r="B804" t="s">
        <v>75</v>
      </c>
      <c r="C804">
        <v>81</v>
      </c>
      <c r="D804" t="s">
        <v>14</v>
      </c>
      <c r="E804" t="s">
        <v>25</v>
      </c>
      <c r="F804" t="s">
        <v>29</v>
      </c>
      <c r="G804" t="s">
        <v>27</v>
      </c>
      <c r="H804">
        <v>3139.33</v>
      </c>
      <c r="I804" s="8" t="str" cm="1">
        <f t="array" ref="I804">_xlfn.IFS(C804&lt;=15,"Children and Young Adolescents", C804&gt;64, "Seniors", TRUE, "Working Age")</f>
        <v>Seniors</v>
      </c>
      <c r="J804" s="6">
        <f>VLOOKUP(F804,Analysis!$F$1:$G$5,2,FALSE)</f>
        <v>2496.7676064256989</v>
      </c>
      <c r="K804">
        <f t="shared" si="48"/>
        <v>3453.26</v>
      </c>
      <c r="L804">
        <f t="shared" si="49"/>
        <v>3453.2700000000004</v>
      </c>
      <c r="M804">
        <f t="shared" si="50"/>
        <v>3453.26</v>
      </c>
      <c r="N804" s="5" t="str">
        <f t="shared" si="51"/>
        <v>April 2022</v>
      </c>
    </row>
    <row r="805" spans="1:14" x14ac:dyDescent="0.25">
      <c r="A805" s="1">
        <v>44679</v>
      </c>
      <c r="B805" t="s">
        <v>4670</v>
      </c>
      <c r="C805">
        <v>44</v>
      </c>
      <c r="D805" t="s">
        <v>21</v>
      </c>
      <c r="E805" t="s">
        <v>34</v>
      </c>
      <c r="F805" t="s">
        <v>11</v>
      </c>
      <c r="G805" t="s">
        <v>36</v>
      </c>
      <c r="H805">
        <v>232.28</v>
      </c>
      <c r="I805" s="8" t="str" cm="1">
        <f t="array" ref="I805">_xlfn.IFS(C805&lt;=15,"Children and Young Adolescents", C805&gt;64, "Seniors", TRUE, "Working Age")</f>
        <v>Working Age</v>
      </c>
      <c r="J805" s="6">
        <f>VLOOKUP(F805,Analysis!$F$1:$G$5,2,FALSE)</f>
        <v>2503.6022787783854</v>
      </c>
      <c r="K805">
        <f t="shared" si="48"/>
        <v>255.5</v>
      </c>
      <c r="L805">
        <f t="shared" si="49"/>
        <v>255.51</v>
      </c>
      <c r="M805">
        <f t="shared" si="50"/>
        <v>255.51</v>
      </c>
      <c r="N805" s="5" t="str">
        <f t="shared" si="51"/>
        <v>April 2022</v>
      </c>
    </row>
    <row r="806" spans="1:14" x14ac:dyDescent="0.25">
      <c r="A806" s="1">
        <v>44679</v>
      </c>
      <c r="B806" t="s">
        <v>2102</v>
      </c>
      <c r="C806">
        <v>54</v>
      </c>
      <c r="D806" t="s">
        <v>21</v>
      </c>
      <c r="E806" t="s">
        <v>22</v>
      </c>
      <c r="F806" t="s">
        <v>16</v>
      </c>
      <c r="G806" t="s">
        <v>39</v>
      </c>
      <c r="H806">
        <v>3437</v>
      </c>
      <c r="I806" s="8" t="str" cm="1">
        <f t="array" ref="I806">_xlfn.IFS(C806&lt;=15,"Children and Young Adolescents", C806&gt;64, "Seniors", TRUE, "Working Age")</f>
        <v>Working Age</v>
      </c>
      <c r="J806" s="6">
        <f>VLOOKUP(F806,Analysis!$F$1:$G$5,2,FALSE)</f>
        <v>2509.1716796874912</v>
      </c>
      <c r="K806">
        <f t="shared" si="48"/>
        <v>3780.7</v>
      </c>
      <c r="L806">
        <f t="shared" si="49"/>
        <v>3780.7</v>
      </c>
      <c r="M806">
        <f t="shared" si="50"/>
        <v>3780.7</v>
      </c>
      <c r="N806" s="5" t="str">
        <f t="shared" si="51"/>
        <v>April 2022</v>
      </c>
    </row>
    <row r="807" spans="1:14" x14ac:dyDescent="0.25">
      <c r="A807" s="1">
        <v>44679</v>
      </c>
      <c r="B807" t="s">
        <v>2501</v>
      </c>
      <c r="C807">
        <v>86</v>
      </c>
      <c r="D807" t="s">
        <v>14</v>
      </c>
      <c r="E807" t="s">
        <v>10</v>
      </c>
      <c r="F807" t="s">
        <v>11</v>
      </c>
      <c r="G807" t="s">
        <v>39</v>
      </c>
      <c r="H807">
        <v>2797.71</v>
      </c>
      <c r="I807" s="8" t="str" cm="1">
        <f t="array" ref="I807">_xlfn.IFS(C807&lt;=15,"Children and Young Adolescents", C807&gt;64, "Seniors", TRUE, "Working Age")</f>
        <v>Seniors</v>
      </c>
      <c r="J807" s="6">
        <f>VLOOKUP(F807,Analysis!$F$1:$G$5,2,FALSE)</f>
        <v>2503.6022787783854</v>
      </c>
      <c r="K807">
        <f t="shared" si="48"/>
        <v>3077.48</v>
      </c>
      <c r="L807">
        <f t="shared" si="49"/>
        <v>3077.4900000000002</v>
      </c>
      <c r="M807">
        <f t="shared" si="50"/>
        <v>3077.48</v>
      </c>
      <c r="N807" s="5" t="str">
        <f t="shared" si="51"/>
        <v>April 2022</v>
      </c>
    </row>
    <row r="808" spans="1:14" x14ac:dyDescent="0.25">
      <c r="A808" s="1">
        <v>44680</v>
      </c>
      <c r="B808" t="s">
        <v>1165</v>
      </c>
      <c r="C808">
        <v>46</v>
      </c>
      <c r="D808" t="s">
        <v>21</v>
      </c>
      <c r="E808" t="s">
        <v>22</v>
      </c>
      <c r="F808" t="s">
        <v>29</v>
      </c>
      <c r="G808" t="s">
        <v>27</v>
      </c>
      <c r="H808">
        <v>2175.02</v>
      </c>
      <c r="I808" s="8" t="str" cm="1">
        <f t="array" ref="I808">_xlfn.IFS(C808&lt;=15,"Children and Young Adolescents", C808&gt;64, "Seniors", TRUE, "Working Age")</f>
        <v>Working Age</v>
      </c>
      <c r="J808" s="6">
        <f>VLOOKUP(F808,Analysis!$F$1:$G$5,2,FALSE)</f>
        <v>2496.7676064256989</v>
      </c>
      <c r="K808">
        <f t="shared" si="48"/>
        <v>2392.52</v>
      </c>
      <c r="L808">
        <f t="shared" si="49"/>
        <v>2392.5300000000002</v>
      </c>
      <c r="M808">
        <f t="shared" si="50"/>
        <v>2392.52</v>
      </c>
      <c r="N808" s="5" t="str">
        <f t="shared" si="51"/>
        <v>April 2022</v>
      </c>
    </row>
    <row r="809" spans="1:14" x14ac:dyDescent="0.25">
      <c r="A809" s="1">
        <v>44680</v>
      </c>
      <c r="B809" t="s">
        <v>1523</v>
      </c>
      <c r="C809">
        <v>95</v>
      </c>
      <c r="D809" t="s">
        <v>14</v>
      </c>
      <c r="E809" t="s">
        <v>34</v>
      </c>
      <c r="F809" t="s">
        <v>16</v>
      </c>
      <c r="G809" t="s">
        <v>12</v>
      </c>
      <c r="H809">
        <v>1780.88</v>
      </c>
      <c r="I809" s="8" t="str" cm="1">
        <f t="array" ref="I809">_xlfn.IFS(C809&lt;=15,"Children and Young Adolescents", C809&gt;64, "Seniors", TRUE, "Working Age")</f>
        <v>Seniors</v>
      </c>
      <c r="J809" s="6">
        <f>VLOOKUP(F809,Analysis!$F$1:$G$5,2,FALSE)</f>
        <v>2509.1716796874912</v>
      </c>
      <c r="K809">
        <f t="shared" si="48"/>
        <v>1958.96</v>
      </c>
      <c r="L809">
        <f t="shared" si="49"/>
        <v>1958.97</v>
      </c>
      <c r="M809">
        <f t="shared" si="50"/>
        <v>1958.97</v>
      </c>
      <c r="N809" s="5" t="str">
        <f t="shared" si="51"/>
        <v>April 2022</v>
      </c>
    </row>
    <row r="810" spans="1:14" x14ac:dyDescent="0.25">
      <c r="A810" s="1">
        <v>44680</v>
      </c>
      <c r="B810" t="s">
        <v>630</v>
      </c>
      <c r="C810">
        <v>41</v>
      </c>
      <c r="D810" t="s">
        <v>21</v>
      </c>
      <c r="E810" t="s">
        <v>25</v>
      </c>
      <c r="F810" t="s">
        <v>23</v>
      </c>
      <c r="G810" t="s">
        <v>12</v>
      </c>
      <c r="H810">
        <v>4832.2700000000004</v>
      </c>
      <c r="I810" s="8" t="str" cm="1">
        <f t="array" ref="I810">_xlfn.IFS(C810&lt;=15,"Children and Young Adolescents", C810&gt;64, "Seniors", TRUE, "Working Age")</f>
        <v>Working Age</v>
      </c>
      <c r="J810" s="6">
        <f>VLOOKUP(F810,Analysis!$F$1:$G$5,2,FALSE)</f>
        <v>2440.2966694490838</v>
      </c>
      <c r="K810">
        <f t="shared" si="48"/>
        <v>5315.49</v>
      </c>
      <c r="L810">
        <f t="shared" si="49"/>
        <v>5315.5</v>
      </c>
      <c r="M810">
        <f t="shared" si="50"/>
        <v>5315.5</v>
      </c>
      <c r="N810" s="5" t="str">
        <f t="shared" si="51"/>
        <v>April 2022</v>
      </c>
    </row>
    <row r="811" spans="1:14" x14ac:dyDescent="0.25">
      <c r="A811" s="1">
        <v>44680</v>
      </c>
      <c r="B811" t="s">
        <v>4077</v>
      </c>
      <c r="C811">
        <v>31</v>
      </c>
      <c r="D811" t="s">
        <v>14</v>
      </c>
      <c r="E811" t="s">
        <v>32</v>
      </c>
      <c r="F811" t="s">
        <v>16</v>
      </c>
      <c r="G811" t="s">
        <v>17</v>
      </c>
      <c r="H811">
        <v>4008.38</v>
      </c>
      <c r="I811" s="8" t="str" cm="1">
        <f t="array" ref="I811">_xlfn.IFS(C811&lt;=15,"Children and Young Adolescents", C811&gt;64, "Seniors", TRUE, "Working Age")</f>
        <v>Working Age</v>
      </c>
      <c r="J811" s="6">
        <f>VLOOKUP(F811,Analysis!$F$1:$G$5,2,FALSE)</f>
        <v>2509.1716796874912</v>
      </c>
      <c r="K811">
        <f t="shared" si="48"/>
        <v>4409.21</v>
      </c>
      <c r="L811">
        <f t="shared" si="49"/>
        <v>4409.22</v>
      </c>
      <c r="M811">
        <f t="shared" si="50"/>
        <v>4409.22</v>
      </c>
      <c r="N811" s="5" t="str">
        <f t="shared" si="51"/>
        <v>April 2022</v>
      </c>
    </row>
    <row r="812" spans="1:14" x14ac:dyDescent="0.25">
      <c r="A812" s="1">
        <v>44680</v>
      </c>
      <c r="B812" t="s">
        <v>266</v>
      </c>
      <c r="C812">
        <v>67</v>
      </c>
      <c r="D812" t="s">
        <v>9</v>
      </c>
      <c r="E812" t="s">
        <v>25</v>
      </c>
      <c r="F812" t="s">
        <v>16</v>
      </c>
      <c r="G812" t="s">
        <v>12</v>
      </c>
      <c r="H812">
        <v>3387.18</v>
      </c>
      <c r="I812" s="8" t="str" cm="1">
        <f t="array" ref="I812">_xlfn.IFS(C812&lt;=15,"Children and Young Adolescents", C812&gt;64, "Seniors", TRUE, "Working Age")</f>
        <v>Seniors</v>
      </c>
      <c r="J812" s="6">
        <f>VLOOKUP(F812,Analysis!$F$1:$G$5,2,FALSE)</f>
        <v>2509.1716796874912</v>
      </c>
      <c r="K812">
        <f t="shared" si="48"/>
        <v>3725.89</v>
      </c>
      <c r="L812">
        <f t="shared" si="49"/>
        <v>3725.9</v>
      </c>
      <c r="M812">
        <f t="shared" si="50"/>
        <v>3725.9</v>
      </c>
      <c r="N812" s="5" t="str">
        <f t="shared" si="51"/>
        <v>April 2022</v>
      </c>
    </row>
    <row r="813" spans="1:14" x14ac:dyDescent="0.25">
      <c r="A813" s="1">
        <v>44680</v>
      </c>
      <c r="B813" t="s">
        <v>4679</v>
      </c>
      <c r="C813">
        <v>47</v>
      </c>
      <c r="D813" t="s">
        <v>14</v>
      </c>
      <c r="E813" t="s">
        <v>34</v>
      </c>
      <c r="F813" t="s">
        <v>11</v>
      </c>
      <c r="G813" t="s">
        <v>27</v>
      </c>
      <c r="H813">
        <v>3397.81</v>
      </c>
      <c r="I813" s="8" t="str" cm="1">
        <f t="array" ref="I813">_xlfn.IFS(C813&lt;=15,"Children and Young Adolescents", C813&gt;64, "Seniors", TRUE, "Working Age")</f>
        <v>Working Age</v>
      </c>
      <c r="J813" s="6">
        <f>VLOOKUP(F813,Analysis!$F$1:$G$5,2,FALSE)</f>
        <v>2503.6022787783854</v>
      </c>
      <c r="K813">
        <f t="shared" si="48"/>
        <v>3737.59</v>
      </c>
      <c r="L813">
        <f t="shared" si="49"/>
        <v>3737.6000000000004</v>
      </c>
      <c r="M813">
        <f t="shared" si="50"/>
        <v>3737.59</v>
      </c>
      <c r="N813" s="5" t="str">
        <f t="shared" si="51"/>
        <v>April 2022</v>
      </c>
    </row>
    <row r="814" spans="1:14" x14ac:dyDescent="0.25">
      <c r="A814" s="1">
        <v>44680</v>
      </c>
      <c r="B814" t="s">
        <v>2938</v>
      </c>
      <c r="C814">
        <v>38</v>
      </c>
      <c r="D814" t="s">
        <v>9</v>
      </c>
      <c r="E814" t="s">
        <v>10</v>
      </c>
      <c r="F814" t="s">
        <v>16</v>
      </c>
      <c r="G814" t="s">
        <v>12</v>
      </c>
      <c r="H814">
        <v>2143.04</v>
      </c>
      <c r="I814" s="8" t="str" cm="1">
        <f t="array" ref="I814">_xlfn.IFS(C814&lt;=15,"Children and Young Adolescents", C814&gt;64, "Seniors", TRUE, "Working Age")</f>
        <v>Working Age</v>
      </c>
      <c r="J814" s="6">
        <f>VLOOKUP(F814,Analysis!$F$1:$G$5,2,FALSE)</f>
        <v>2509.1716796874912</v>
      </c>
      <c r="K814">
        <f t="shared" si="48"/>
        <v>2357.34</v>
      </c>
      <c r="L814">
        <f t="shared" si="49"/>
        <v>2357.3500000000004</v>
      </c>
      <c r="M814">
        <f t="shared" si="50"/>
        <v>2357.34</v>
      </c>
      <c r="N814" s="5" t="str">
        <f t="shared" si="51"/>
        <v>April 2022</v>
      </c>
    </row>
    <row r="815" spans="1:14" x14ac:dyDescent="0.25">
      <c r="A815" s="1">
        <v>44681</v>
      </c>
      <c r="B815" t="s">
        <v>175</v>
      </c>
      <c r="C815">
        <v>93</v>
      </c>
      <c r="D815" t="s">
        <v>9</v>
      </c>
      <c r="E815" t="s">
        <v>15</v>
      </c>
      <c r="F815" t="s">
        <v>16</v>
      </c>
      <c r="G815" t="s">
        <v>27</v>
      </c>
      <c r="H815">
        <v>147.78</v>
      </c>
      <c r="I815" s="8" t="str" cm="1">
        <f t="array" ref="I815">_xlfn.IFS(C815&lt;=15,"Children and Young Adolescents", C815&gt;64, "Seniors", TRUE, "Working Age")</f>
        <v>Seniors</v>
      </c>
      <c r="J815" s="6">
        <f>VLOOKUP(F815,Analysis!$F$1:$G$5,2,FALSE)</f>
        <v>2509.1716796874912</v>
      </c>
      <c r="K815">
        <f t="shared" si="48"/>
        <v>162.55000000000001</v>
      </c>
      <c r="L815">
        <f t="shared" si="49"/>
        <v>162.56</v>
      </c>
      <c r="M815">
        <f t="shared" si="50"/>
        <v>162.56</v>
      </c>
      <c r="N815" s="5" t="str">
        <f t="shared" si="51"/>
        <v>April 2022</v>
      </c>
    </row>
    <row r="816" spans="1:14" x14ac:dyDescent="0.25">
      <c r="A816" s="1">
        <v>44681</v>
      </c>
      <c r="B816" t="s">
        <v>4116</v>
      </c>
      <c r="C816">
        <v>4</v>
      </c>
      <c r="D816" t="s">
        <v>9</v>
      </c>
      <c r="E816" t="s">
        <v>22</v>
      </c>
      <c r="F816" t="s">
        <v>16</v>
      </c>
      <c r="G816" t="s">
        <v>27</v>
      </c>
      <c r="H816">
        <v>2245.0100000000002</v>
      </c>
      <c r="I816" s="8" t="str" cm="1">
        <f t="array" ref="I816">_xlfn.IFS(C816&lt;=15,"Children and Young Adolescents", C816&gt;64, "Seniors", TRUE, "Working Age")</f>
        <v>Children and Young Adolescents</v>
      </c>
      <c r="J816" s="6">
        <f>VLOOKUP(F816,Analysis!$F$1:$G$5,2,FALSE)</f>
        <v>2509.1716796874912</v>
      </c>
      <c r="K816">
        <f t="shared" si="48"/>
        <v>2469.5100000000002</v>
      </c>
      <c r="L816">
        <f t="shared" si="49"/>
        <v>2469.5200000000004</v>
      </c>
      <c r="M816">
        <f t="shared" si="50"/>
        <v>2469.5100000000002</v>
      </c>
      <c r="N816" s="5" t="str">
        <f t="shared" si="51"/>
        <v>April 2022</v>
      </c>
    </row>
    <row r="817" spans="1:14" x14ac:dyDescent="0.25">
      <c r="A817" s="1">
        <v>44681</v>
      </c>
      <c r="B817" t="s">
        <v>1446</v>
      </c>
      <c r="C817">
        <v>67</v>
      </c>
      <c r="D817" t="s">
        <v>21</v>
      </c>
      <c r="E817" t="s">
        <v>22</v>
      </c>
      <c r="F817" t="s">
        <v>23</v>
      </c>
      <c r="G817" t="s">
        <v>17</v>
      </c>
      <c r="H817">
        <v>2892.04</v>
      </c>
      <c r="I817" s="8" t="str" cm="1">
        <f t="array" ref="I817">_xlfn.IFS(C817&lt;=15,"Children and Young Adolescents", C817&gt;64, "Seniors", TRUE, "Working Age")</f>
        <v>Seniors</v>
      </c>
      <c r="J817" s="6">
        <f>VLOOKUP(F817,Analysis!$F$1:$G$5,2,FALSE)</f>
        <v>2440.2966694490838</v>
      </c>
      <c r="K817">
        <f t="shared" si="48"/>
        <v>3181.24</v>
      </c>
      <c r="L817">
        <f t="shared" si="49"/>
        <v>3181.25</v>
      </c>
      <c r="M817">
        <f t="shared" si="50"/>
        <v>3181.24</v>
      </c>
      <c r="N817" s="5" t="str">
        <f t="shared" si="51"/>
        <v>April 2022</v>
      </c>
    </row>
    <row r="818" spans="1:14" x14ac:dyDescent="0.25">
      <c r="A818" s="1">
        <v>44681</v>
      </c>
      <c r="B818" t="s">
        <v>3090</v>
      </c>
      <c r="C818">
        <v>49</v>
      </c>
      <c r="D818" t="s">
        <v>21</v>
      </c>
      <c r="E818" t="s">
        <v>22</v>
      </c>
      <c r="F818" t="s">
        <v>23</v>
      </c>
      <c r="G818" t="s">
        <v>36</v>
      </c>
      <c r="H818">
        <v>1700.29</v>
      </c>
      <c r="I818" s="8" t="str" cm="1">
        <f t="array" ref="I818">_xlfn.IFS(C818&lt;=15,"Children and Young Adolescents", C818&gt;64, "Seniors", TRUE, "Working Age")</f>
        <v>Working Age</v>
      </c>
      <c r="J818" s="6">
        <f>VLOOKUP(F818,Analysis!$F$1:$G$5,2,FALSE)</f>
        <v>2440.2966694490838</v>
      </c>
      <c r="K818">
        <f t="shared" si="48"/>
        <v>1870.31</v>
      </c>
      <c r="L818">
        <f t="shared" si="49"/>
        <v>1870.32</v>
      </c>
      <c r="M818">
        <f t="shared" si="50"/>
        <v>1870.32</v>
      </c>
      <c r="N818" s="5" t="str">
        <f t="shared" si="51"/>
        <v>April 2022</v>
      </c>
    </row>
    <row r="819" spans="1:14" x14ac:dyDescent="0.25">
      <c r="A819" s="1">
        <v>44681</v>
      </c>
      <c r="B819" t="s">
        <v>4447</v>
      </c>
      <c r="C819">
        <v>66</v>
      </c>
      <c r="D819" t="s">
        <v>9</v>
      </c>
      <c r="E819" t="s">
        <v>25</v>
      </c>
      <c r="F819" t="s">
        <v>11</v>
      </c>
      <c r="G819" t="s">
        <v>27</v>
      </c>
      <c r="H819">
        <v>376.96</v>
      </c>
      <c r="I819" s="8" t="str" cm="1">
        <f t="array" ref="I819">_xlfn.IFS(C819&lt;=15,"Children and Young Adolescents", C819&gt;64, "Seniors", TRUE, "Working Age")</f>
        <v>Seniors</v>
      </c>
      <c r="J819" s="6">
        <f>VLOOKUP(F819,Analysis!$F$1:$G$5,2,FALSE)</f>
        <v>2503.6022787783854</v>
      </c>
      <c r="K819">
        <f t="shared" si="48"/>
        <v>414.65</v>
      </c>
      <c r="L819">
        <f t="shared" si="49"/>
        <v>414.65999999999997</v>
      </c>
      <c r="M819">
        <f t="shared" si="50"/>
        <v>414.66</v>
      </c>
      <c r="N819" s="5" t="str">
        <f t="shared" si="51"/>
        <v>April 2022</v>
      </c>
    </row>
    <row r="820" spans="1:14" x14ac:dyDescent="0.25">
      <c r="A820" s="1">
        <v>44682</v>
      </c>
      <c r="B820" t="s">
        <v>2765</v>
      </c>
      <c r="C820">
        <v>64</v>
      </c>
      <c r="D820" t="s">
        <v>21</v>
      </c>
      <c r="E820" t="s">
        <v>34</v>
      </c>
      <c r="F820" t="s">
        <v>11</v>
      </c>
      <c r="G820" t="s">
        <v>17</v>
      </c>
      <c r="H820">
        <v>1347.97</v>
      </c>
      <c r="I820" s="8" t="str" cm="1">
        <f t="array" ref="I820">_xlfn.IFS(C820&lt;=15,"Children and Young Adolescents", C820&gt;64, "Seniors", TRUE, "Working Age")</f>
        <v>Working Age</v>
      </c>
      <c r="J820" s="6">
        <f>VLOOKUP(F820,Analysis!$F$1:$G$5,2,FALSE)</f>
        <v>2503.6022787783854</v>
      </c>
      <c r="K820">
        <f t="shared" si="48"/>
        <v>1482.76</v>
      </c>
      <c r="L820">
        <f t="shared" si="49"/>
        <v>1482.77</v>
      </c>
      <c r="M820">
        <f t="shared" si="50"/>
        <v>1482.77</v>
      </c>
      <c r="N820" s="5" t="str">
        <f t="shared" si="51"/>
        <v>May 2022</v>
      </c>
    </row>
    <row r="821" spans="1:14" x14ac:dyDescent="0.25">
      <c r="A821" s="1">
        <v>44682</v>
      </c>
      <c r="B821" t="s">
        <v>4419</v>
      </c>
      <c r="C821">
        <v>38</v>
      </c>
      <c r="D821" t="s">
        <v>21</v>
      </c>
      <c r="E821" t="s">
        <v>25</v>
      </c>
      <c r="F821" t="s">
        <v>29</v>
      </c>
      <c r="G821" t="s">
        <v>39</v>
      </c>
      <c r="H821">
        <v>1367.8</v>
      </c>
      <c r="I821" s="8" t="str" cm="1">
        <f t="array" ref="I821">_xlfn.IFS(C821&lt;=15,"Children and Young Adolescents", C821&gt;64, "Seniors", TRUE, "Working Age")</f>
        <v>Working Age</v>
      </c>
      <c r="J821" s="6">
        <f>VLOOKUP(F821,Analysis!$F$1:$G$5,2,FALSE)</f>
        <v>2496.7676064256989</v>
      </c>
      <c r="K821">
        <f t="shared" si="48"/>
        <v>1504.58</v>
      </c>
      <c r="L821">
        <f t="shared" si="49"/>
        <v>1504.58</v>
      </c>
      <c r="M821">
        <f t="shared" si="50"/>
        <v>1504.58</v>
      </c>
      <c r="N821" s="5" t="str">
        <f t="shared" si="51"/>
        <v>May 2022</v>
      </c>
    </row>
    <row r="822" spans="1:14" x14ac:dyDescent="0.25">
      <c r="A822" s="1">
        <v>44682</v>
      </c>
      <c r="B822" t="s">
        <v>2361</v>
      </c>
      <c r="C822">
        <v>66</v>
      </c>
      <c r="D822" t="s">
        <v>21</v>
      </c>
      <c r="E822" t="s">
        <v>15</v>
      </c>
      <c r="F822" t="s">
        <v>16</v>
      </c>
      <c r="G822" t="s">
        <v>5033</v>
      </c>
      <c r="H822">
        <v>249.92</v>
      </c>
      <c r="I822" s="8" t="str" cm="1">
        <f t="array" ref="I822">_xlfn.IFS(C822&lt;=15,"Children and Young Adolescents", C822&gt;64, "Seniors", TRUE, "Working Age")</f>
        <v>Seniors</v>
      </c>
      <c r="J822" s="6">
        <f>VLOOKUP(F822,Analysis!$F$1:$G$5,2,FALSE)</f>
        <v>2509.1716796874912</v>
      </c>
      <c r="K822">
        <f t="shared" si="48"/>
        <v>274.91000000000003</v>
      </c>
      <c r="L822">
        <f t="shared" si="49"/>
        <v>274.92</v>
      </c>
      <c r="M822">
        <f t="shared" si="50"/>
        <v>274.91000000000003</v>
      </c>
      <c r="N822" s="5" t="str">
        <f t="shared" si="51"/>
        <v>May 2022</v>
      </c>
    </row>
    <row r="823" spans="1:14" x14ac:dyDescent="0.25">
      <c r="A823" s="1">
        <v>44682</v>
      </c>
      <c r="B823" t="s">
        <v>2251</v>
      </c>
      <c r="C823">
        <v>24</v>
      </c>
      <c r="D823" t="s">
        <v>9</v>
      </c>
      <c r="E823" t="s">
        <v>32</v>
      </c>
      <c r="F823" t="s">
        <v>23</v>
      </c>
      <c r="G823" t="s">
        <v>12</v>
      </c>
      <c r="H823">
        <v>4415.12</v>
      </c>
      <c r="I823" s="8" t="str" cm="1">
        <f t="array" ref="I823">_xlfn.IFS(C823&lt;=15,"Children and Young Adolescents", C823&gt;64, "Seniors", TRUE, "Working Age")</f>
        <v>Working Age</v>
      </c>
      <c r="J823" s="6">
        <f>VLOOKUP(F823,Analysis!$F$1:$G$5,2,FALSE)</f>
        <v>2440.2966694490838</v>
      </c>
      <c r="K823">
        <f t="shared" si="48"/>
        <v>4856.63</v>
      </c>
      <c r="L823">
        <f t="shared" si="49"/>
        <v>4856.6400000000003</v>
      </c>
      <c r="M823">
        <f t="shared" si="50"/>
        <v>4856.63</v>
      </c>
      <c r="N823" s="5" t="str">
        <f t="shared" si="51"/>
        <v>May 2022</v>
      </c>
    </row>
    <row r="824" spans="1:14" x14ac:dyDescent="0.25">
      <c r="A824" s="1">
        <v>44682</v>
      </c>
      <c r="B824" t="s">
        <v>881</v>
      </c>
      <c r="C824">
        <v>46</v>
      </c>
      <c r="D824" t="s">
        <v>9</v>
      </c>
      <c r="E824" t="s">
        <v>19</v>
      </c>
      <c r="F824" t="s">
        <v>29</v>
      </c>
      <c r="G824" t="s">
        <v>39</v>
      </c>
      <c r="H824">
        <v>1040.72</v>
      </c>
      <c r="I824" s="8" t="str" cm="1">
        <f t="array" ref="I824">_xlfn.IFS(C824&lt;=15,"Children and Young Adolescents", C824&gt;64, "Seniors", TRUE, "Working Age")</f>
        <v>Working Age</v>
      </c>
      <c r="J824" s="6">
        <f>VLOOKUP(F824,Analysis!$F$1:$G$5,2,FALSE)</f>
        <v>2496.7676064256989</v>
      </c>
      <c r="K824">
        <f t="shared" si="48"/>
        <v>1144.79</v>
      </c>
      <c r="L824">
        <f t="shared" si="49"/>
        <v>1144.8</v>
      </c>
      <c r="M824">
        <f t="shared" si="50"/>
        <v>1144.79</v>
      </c>
      <c r="N824" s="5" t="str">
        <f t="shared" si="51"/>
        <v>May 2022</v>
      </c>
    </row>
    <row r="825" spans="1:14" x14ac:dyDescent="0.25">
      <c r="A825" s="1">
        <v>44682</v>
      </c>
      <c r="B825" t="s">
        <v>4339</v>
      </c>
      <c r="C825">
        <v>7</v>
      </c>
      <c r="D825" t="s">
        <v>14</v>
      </c>
      <c r="E825" t="s">
        <v>10</v>
      </c>
      <c r="F825" t="s">
        <v>11</v>
      </c>
      <c r="G825" t="s">
        <v>17</v>
      </c>
      <c r="H825">
        <v>232.19</v>
      </c>
      <c r="I825" s="8" t="str" cm="1">
        <f t="array" ref="I825">_xlfn.IFS(C825&lt;=15,"Children and Young Adolescents", C825&gt;64, "Seniors", TRUE, "Working Age")</f>
        <v>Children and Young Adolescents</v>
      </c>
      <c r="J825" s="6">
        <f>VLOOKUP(F825,Analysis!$F$1:$G$5,2,FALSE)</f>
        <v>2503.6022787783854</v>
      </c>
      <c r="K825">
        <f t="shared" si="48"/>
        <v>255.4</v>
      </c>
      <c r="L825">
        <f t="shared" si="49"/>
        <v>255.41</v>
      </c>
      <c r="M825">
        <f t="shared" si="50"/>
        <v>255.41</v>
      </c>
      <c r="N825" s="5" t="str">
        <f t="shared" si="51"/>
        <v>May 2022</v>
      </c>
    </row>
    <row r="826" spans="1:14" x14ac:dyDescent="0.25">
      <c r="A826" s="1">
        <v>44682</v>
      </c>
      <c r="B826" t="s">
        <v>4277</v>
      </c>
      <c r="C826">
        <v>81</v>
      </c>
      <c r="D826" t="s">
        <v>14</v>
      </c>
      <c r="E826" t="s">
        <v>15</v>
      </c>
      <c r="F826" t="s">
        <v>29</v>
      </c>
      <c r="G826" t="s">
        <v>12</v>
      </c>
      <c r="H826">
        <v>3652.97</v>
      </c>
      <c r="I826" s="8" t="str" cm="1">
        <f t="array" ref="I826">_xlfn.IFS(C826&lt;=15,"Children and Young Adolescents", C826&gt;64, "Seniors", TRUE, "Working Age")</f>
        <v>Seniors</v>
      </c>
      <c r="J826" s="6">
        <f>VLOOKUP(F826,Analysis!$F$1:$G$5,2,FALSE)</f>
        <v>2496.7676064256989</v>
      </c>
      <c r="K826">
        <f t="shared" si="48"/>
        <v>4018.26</v>
      </c>
      <c r="L826">
        <f t="shared" si="49"/>
        <v>4018.2700000000004</v>
      </c>
      <c r="M826">
        <f t="shared" si="50"/>
        <v>4018.27</v>
      </c>
      <c r="N826" s="5" t="str">
        <f t="shared" si="51"/>
        <v>May 2022</v>
      </c>
    </row>
    <row r="827" spans="1:14" x14ac:dyDescent="0.25">
      <c r="A827" s="1">
        <v>44682</v>
      </c>
      <c r="B827" t="s">
        <v>970</v>
      </c>
      <c r="C827">
        <v>97</v>
      </c>
      <c r="D827" t="s">
        <v>9</v>
      </c>
      <c r="E827" t="s">
        <v>10</v>
      </c>
      <c r="F827" t="s">
        <v>16</v>
      </c>
      <c r="G827" t="s">
        <v>12</v>
      </c>
      <c r="H827">
        <v>2624.03</v>
      </c>
      <c r="I827" s="8" t="str" cm="1">
        <f t="array" ref="I827">_xlfn.IFS(C827&lt;=15,"Children and Young Adolescents", C827&gt;64, "Seniors", TRUE, "Working Age")</f>
        <v>Seniors</v>
      </c>
      <c r="J827" s="6">
        <f>VLOOKUP(F827,Analysis!$F$1:$G$5,2,FALSE)</f>
        <v>2509.1716796874912</v>
      </c>
      <c r="K827">
        <f t="shared" si="48"/>
        <v>2886.43</v>
      </c>
      <c r="L827">
        <f t="shared" si="49"/>
        <v>2886.44</v>
      </c>
      <c r="M827">
        <f t="shared" si="50"/>
        <v>2886.43</v>
      </c>
      <c r="N827" s="5" t="str">
        <f t="shared" si="51"/>
        <v>May 2022</v>
      </c>
    </row>
    <row r="828" spans="1:14" x14ac:dyDescent="0.25">
      <c r="A828" s="1">
        <v>44683</v>
      </c>
      <c r="B828" t="s">
        <v>804</v>
      </c>
      <c r="C828">
        <v>39</v>
      </c>
      <c r="D828" t="s">
        <v>9</v>
      </c>
      <c r="E828" t="s">
        <v>5032</v>
      </c>
      <c r="F828" t="s">
        <v>23</v>
      </c>
      <c r="G828" t="s">
        <v>17</v>
      </c>
      <c r="H828">
        <v>4890</v>
      </c>
      <c r="I828" s="8" t="str" cm="1">
        <f t="array" ref="I828">_xlfn.IFS(C828&lt;=15,"Children and Young Adolescents", C828&gt;64, "Seniors", TRUE, "Working Age")</f>
        <v>Working Age</v>
      </c>
      <c r="J828" s="6">
        <f>VLOOKUP(F828,Analysis!$F$1:$G$5,2,FALSE)</f>
        <v>2440.2966694490838</v>
      </c>
      <c r="K828">
        <f t="shared" si="48"/>
        <v>5379</v>
      </c>
      <c r="L828">
        <f t="shared" si="49"/>
        <v>5379</v>
      </c>
      <c r="M828">
        <f t="shared" si="50"/>
        <v>5379</v>
      </c>
      <c r="N828" s="5" t="str">
        <f t="shared" si="51"/>
        <v>May 2022</v>
      </c>
    </row>
    <row r="829" spans="1:14" x14ac:dyDescent="0.25">
      <c r="A829" s="1">
        <v>44683</v>
      </c>
      <c r="B829" t="s">
        <v>4822</v>
      </c>
      <c r="C829">
        <v>88</v>
      </c>
      <c r="D829" t="s">
        <v>21</v>
      </c>
      <c r="E829" t="s">
        <v>5032</v>
      </c>
      <c r="F829" t="s">
        <v>16</v>
      </c>
      <c r="G829" t="s">
        <v>36</v>
      </c>
      <c r="H829">
        <v>4053.72</v>
      </c>
      <c r="I829" s="8" t="str" cm="1">
        <f t="array" ref="I829">_xlfn.IFS(C829&lt;=15,"Children and Young Adolescents", C829&gt;64, "Seniors", TRUE, "Working Age")</f>
        <v>Seniors</v>
      </c>
      <c r="J829" s="6">
        <f>VLOOKUP(F829,Analysis!$F$1:$G$5,2,FALSE)</f>
        <v>2509.1716796874912</v>
      </c>
      <c r="K829">
        <f t="shared" si="48"/>
        <v>4459.09</v>
      </c>
      <c r="L829">
        <f t="shared" si="49"/>
        <v>4459.1000000000004</v>
      </c>
      <c r="M829">
        <f t="shared" si="50"/>
        <v>4459.09</v>
      </c>
      <c r="N829" s="5" t="str">
        <f t="shared" si="51"/>
        <v>May 2022</v>
      </c>
    </row>
    <row r="830" spans="1:14" x14ac:dyDescent="0.25">
      <c r="A830" s="1">
        <v>44683</v>
      </c>
      <c r="B830" t="s">
        <v>3870</v>
      </c>
      <c r="C830">
        <v>17</v>
      </c>
      <c r="D830" t="s">
        <v>14</v>
      </c>
      <c r="E830" t="s">
        <v>5032</v>
      </c>
      <c r="F830" t="s">
        <v>11</v>
      </c>
      <c r="G830" t="s">
        <v>12</v>
      </c>
      <c r="H830">
        <v>1224.3800000000001</v>
      </c>
      <c r="I830" s="8" t="str" cm="1">
        <f t="array" ref="I830">_xlfn.IFS(C830&lt;=15,"Children and Young Adolescents", C830&gt;64, "Seniors", TRUE, "Working Age")</f>
        <v>Working Age</v>
      </c>
      <c r="J830" s="6">
        <f>VLOOKUP(F830,Analysis!$F$1:$G$5,2,FALSE)</f>
        <v>2503.6022787783854</v>
      </c>
      <c r="K830">
        <f t="shared" si="48"/>
        <v>1346.81</v>
      </c>
      <c r="L830">
        <f t="shared" si="49"/>
        <v>1346.82</v>
      </c>
      <c r="M830">
        <f t="shared" si="50"/>
        <v>1346.82</v>
      </c>
      <c r="N830" s="5" t="str">
        <f t="shared" si="51"/>
        <v>May 2022</v>
      </c>
    </row>
    <row r="831" spans="1:14" x14ac:dyDescent="0.25">
      <c r="A831" s="1">
        <v>44683</v>
      </c>
      <c r="B831" t="s">
        <v>2832</v>
      </c>
      <c r="C831">
        <v>71</v>
      </c>
      <c r="D831" t="s">
        <v>21</v>
      </c>
      <c r="E831" t="s">
        <v>10</v>
      </c>
      <c r="F831" t="s">
        <v>23</v>
      </c>
      <c r="G831" t="s">
        <v>36</v>
      </c>
      <c r="H831">
        <v>3000.92</v>
      </c>
      <c r="I831" s="8" t="str" cm="1">
        <f t="array" ref="I831">_xlfn.IFS(C831&lt;=15,"Children and Young Adolescents", C831&gt;64, "Seniors", TRUE, "Working Age")</f>
        <v>Seniors</v>
      </c>
      <c r="J831" s="6">
        <f>VLOOKUP(F831,Analysis!$F$1:$G$5,2,FALSE)</f>
        <v>2440.2966694490838</v>
      </c>
      <c r="K831">
        <f t="shared" si="48"/>
        <v>3301.01</v>
      </c>
      <c r="L831">
        <f t="shared" si="49"/>
        <v>3301.0200000000004</v>
      </c>
      <c r="M831">
        <f t="shared" si="50"/>
        <v>3301.01</v>
      </c>
      <c r="N831" s="5" t="str">
        <f t="shared" si="51"/>
        <v>May 2022</v>
      </c>
    </row>
    <row r="832" spans="1:14" x14ac:dyDescent="0.25">
      <c r="A832" s="1">
        <v>44683</v>
      </c>
      <c r="B832" t="s">
        <v>475</v>
      </c>
      <c r="C832">
        <v>38</v>
      </c>
      <c r="D832" t="s">
        <v>14</v>
      </c>
      <c r="E832" t="s">
        <v>19</v>
      </c>
      <c r="F832" t="s">
        <v>16</v>
      </c>
      <c r="G832" t="s">
        <v>36</v>
      </c>
      <c r="H832">
        <v>653.99</v>
      </c>
      <c r="I832" s="8" t="str" cm="1">
        <f t="array" ref="I832">_xlfn.IFS(C832&lt;=15,"Children and Young Adolescents", C832&gt;64, "Seniors", TRUE, "Working Age")</f>
        <v>Working Age</v>
      </c>
      <c r="J832" s="6">
        <f>VLOOKUP(F832,Analysis!$F$1:$G$5,2,FALSE)</f>
        <v>2509.1716796874912</v>
      </c>
      <c r="K832">
        <f t="shared" si="48"/>
        <v>719.38</v>
      </c>
      <c r="L832">
        <f t="shared" si="49"/>
        <v>719.39</v>
      </c>
      <c r="M832">
        <f t="shared" si="50"/>
        <v>719.39</v>
      </c>
      <c r="N832" s="5" t="str">
        <f t="shared" si="51"/>
        <v>May 2022</v>
      </c>
    </row>
    <row r="833" spans="1:14" x14ac:dyDescent="0.25">
      <c r="A833" s="1">
        <v>44683</v>
      </c>
      <c r="B833" t="s">
        <v>4700</v>
      </c>
      <c r="C833">
        <v>96</v>
      </c>
      <c r="D833" t="s">
        <v>9</v>
      </c>
      <c r="E833" t="s">
        <v>22</v>
      </c>
      <c r="F833" t="s">
        <v>16</v>
      </c>
      <c r="G833" t="s">
        <v>27</v>
      </c>
      <c r="H833">
        <v>4300.07</v>
      </c>
      <c r="I833" s="8" t="str" cm="1">
        <f t="array" ref="I833">_xlfn.IFS(C833&lt;=15,"Children and Young Adolescents", C833&gt;64, "Seniors", TRUE, "Working Age")</f>
        <v>Seniors</v>
      </c>
      <c r="J833" s="6">
        <f>VLOOKUP(F833,Analysis!$F$1:$G$5,2,FALSE)</f>
        <v>2509.1716796874912</v>
      </c>
      <c r="K833">
        <f t="shared" si="48"/>
        <v>4730.07</v>
      </c>
      <c r="L833">
        <f t="shared" si="49"/>
        <v>4730.08</v>
      </c>
      <c r="M833">
        <f t="shared" si="50"/>
        <v>4730.08</v>
      </c>
      <c r="N833" s="5" t="str">
        <f t="shared" si="51"/>
        <v>May 2022</v>
      </c>
    </row>
    <row r="834" spans="1:14" x14ac:dyDescent="0.25">
      <c r="A834" s="1">
        <v>44683</v>
      </c>
      <c r="B834" t="s">
        <v>1579</v>
      </c>
      <c r="C834">
        <v>89</v>
      </c>
      <c r="D834" t="s">
        <v>21</v>
      </c>
      <c r="E834" t="s">
        <v>15</v>
      </c>
      <c r="F834" t="s">
        <v>23</v>
      </c>
      <c r="G834" t="s">
        <v>17</v>
      </c>
      <c r="H834">
        <v>4175.2</v>
      </c>
      <c r="I834" s="8" t="str" cm="1">
        <f t="array" ref="I834">_xlfn.IFS(C834&lt;=15,"Children and Young Adolescents", C834&gt;64, "Seniors", TRUE, "Working Age")</f>
        <v>Seniors</v>
      </c>
      <c r="J834" s="6">
        <f>VLOOKUP(F834,Analysis!$F$1:$G$5,2,FALSE)</f>
        <v>2440.2966694490838</v>
      </c>
      <c r="K834">
        <f t="shared" si="48"/>
        <v>4592.72</v>
      </c>
      <c r="L834">
        <f t="shared" si="49"/>
        <v>4592.72</v>
      </c>
      <c r="M834">
        <f t="shared" si="50"/>
        <v>4592.72</v>
      </c>
      <c r="N834" s="5" t="str">
        <f t="shared" si="51"/>
        <v>May 2022</v>
      </c>
    </row>
    <row r="835" spans="1:14" x14ac:dyDescent="0.25">
      <c r="A835" s="1">
        <v>44683</v>
      </c>
      <c r="B835" t="s">
        <v>758</v>
      </c>
      <c r="C835">
        <v>55</v>
      </c>
      <c r="D835" t="s">
        <v>21</v>
      </c>
      <c r="E835" t="s">
        <v>10</v>
      </c>
      <c r="F835" t="s">
        <v>29</v>
      </c>
      <c r="G835" t="s">
        <v>17</v>
      </c>
      <c r="H835">
        <v>2906.41</v>
      </c>
      <c r="I835" s="8" t="str" cm="1">
        <f t="array" ref="I835">_xlfn.IFS(C835&lt;=15,"Children and Young Adolescents", C835&gt;64, "Seniors", TRUE, "Working Age")</f>
        <v>Working Age</v>
      </c>
      <c r="J835" s="6">
        <f>VLOOKUP(F835,Analysis!$F$1:$G$5,2,FALSE)</f>
        <v>2496.7676064256989</v>
      </c>
      <c r="K835">
        <f t="shared" ref="K835:K898" si="52">ROUNDDOWN(H835*1.1,2)</f>
        <v>3197.05</v>
      </c>
      <c r="L835">
        <f t="shared" ref="L835:L898" si="53">ROUNDUP(H835*1.1,2)</f>
        <v>3197.0600000000004</v>
      </c>
      <c r="M835">
        <f t="shared" ref="M835:M898" si="54">ROUND(H835*1.1,2)</f>
        <v>3197.05</v>
      </c>
      <c r="N835" s="5" t="str">
        <f t="shared" ref="N835:N898" si="55">TEXT(A835,"mmmm yyyy")</f>
        <v>May 2022</v>
      </c>
    </row>
    <row r="836" spans="1:14" x14ac:dyDescent="0.25">
      <c r="A836" s="1">
        <v>44683</v>
      </c>
      <c r="B836" t="s">
        <v>4356</v>
      </c>
      <c r="C836">
        <v>3</v>
      </c>
      <c r="D836" t="s">
        <v>9</v>
      </c>
      <c r="E836" t="s">
        <v>34</v>
      </c>
      <c r="F836" t="s">
        <v>23</v>
      </c>
      <c r="G836" t="s">
        <v>39</v>
      </c>
      <c r="H836">
        <v>4625.05</v>
      </c>
      <c r="I836" s="8" t="str" cm="1">
        <f t="array" ref="I836">_xlfn.IFS(C836&lt;=15,"Children and Young Adolescents", C836&gt;64, "Seniors", TRUE, "Working Age")</f>
        <v>Children and Young Adolescents</v>
      </c>
      <c r="J836" s="6">
        <f>VLOOKUP(F836,Analysis!$F$1:$G$5,2,FALSE)</f>
        <v>2440.2966694490838</v>
      </c>
      <c r="K836">
        <f t="shared" si="52"/>
        <v>5087.55</v>
      </c>
      <c r="L836">
        <f t="shared" si="53"/>
        <v>5087.5600000000004</v>
      </c>
      <c r="M836">
        <f t="shared" si="54"/>
        <v>5087.5600000000004</v>
      </c>
      <c r="N836" s="5" t="str">
        <f t="shared" si="55"/>
        <v>May 2022</v>
      </c>
    </row>
    <row r="837" spans="1:14" x14ac:dyDescent="0.25">
      <c r="A837" s="1">
        <v>44684</v>
      </c>
      <c r="B837" t="s">
        <v>2734</v>
      </c>
      <c r="C837">
        <v>86</v>
      </c>
      <c r="D837" t="s">
        <v>9</v>
      </c>
      <c r="E837" t="s">
        <v>15</v>
      </c>
      <c r="F837" t="s">
        <v>16</v>
      </c>
      <c r="G837" t="s">
        <v>27</v>
      </c>
      <c r="H837">
        <v>3445.87</v>
      </c>
      <c r="I837" s="8" t="str" cm="1">
        <f t="array" ref="I837">_xlfn.IFS(C837&lt;=15,"Children and Young Adolescents", C837&gt;64, "Seniors", TRUE, "Working Age")</f>
        <v>Seniors</v>
      </c>
      <c r="J837" s="6">
        <f>VLOOKUP(F837,Analysis!$F$1:$G$5,2,FALSE)</f>
        <v>2509.1716796874912</v>
      </c>
      <c r="K837">
        <f t="shared" si="52"/>
        <v>3790.45</v>
      </c>
      <c r="L837">
        <f t="shared" si="53"/>
        <v>3790.46</v>
      </c>
      <c r="M837">
        <f t="shared" si="54"/>
        <v>3790.46</v>
      </c>
      <c r="N837" s="5" t="str">
        <f t="shared" si="55"/>
        <v>May 2022</v>
      </c>
    </row>
    <row r="838" spans="1:14" x14ac:dyDescent="0.25">
      <c r="A838" s="1">
        <v>44684</v>
      </c>
      <c r="B838" t="s">
        <v>547</v>
      </c>
      <c r="C838">
        <v>20</v>
      </c>
      <c r="D838" t="s">
        <v>9</v>
      </c>
      <c r="E838" t="s">
        <v>22</v>
      </c>
      <c r="F838" t="s">
        <v>11</v>
      </c>
      <c r="G838" t="s">
        <v>17</v>
      </c>
      <c r="H838">
        <v>1562.75</v>
      </c>
      <c r="I838" s="8" t="str" cm="1">
        <f t="array" ref="I838">_xlfn.IFS(C838&lt;=15,"Children and Young Adolescents", C838&gt;64, "Seniors", TRUE, "Working Age")</f>
        <v>Working Age</v>
      </c>
      <c r="J838" s="6">
        <f>VLOOKUP(F838,Analysis!$F$1:$G$5,2,FALSE)</f>
        <v>2503.6022787783854</v>
      </c>
      <c r="K838">
        <f t="shared" si="52"/>
        <v>1719.02</v>
      </c>
      <c r="L838">
        <f t="shared" si="53"/>
        <v>1719.03</v>
      </c>
      <c r="M838">
        <f t="shared" si="54"/>
        <v>1719.03</v>
      </c>
      <c r="N838" s="5" t="str">
        <f t="shared" si="55"/>
        <v>May 2022</v>
      </c>
    </row>
    <row r="839" spans="1:14" x14ac:dyDescent="0.25">
      <c r="A839" s="1">
        <v>44684</v>
      </c>
      <c r="B839" t="s">
        <v>1958</v>
      </c>
      <c r="C839">
        <v>13</v>
      </c>
      <c r="D839" t="s">
        <v>9</v>
      </c>
      <c r="E839" t="s">
        <v>5032</v>
      </c>
      <c r="F839" t="s">
        <v>16</v>
      </c>
      <c r="G839" t="s">
        <v>39</v>
      </c>
      <c r="H839">
        <v>3142.61</v>
      </c>
      <c r="I839" s="8" t="str" cm="1">
        <f t="array" ref="I839">_xlfn.IFS(C839&lt;=15,"Children and Young Adolescents", C839&gt;64, "Seniors", TRUE, "Working Age")</f>
        <v>Children and Young Adolescents</v>
      </c>
      <c r="J839" s="6">
        <f>VLOOKUP(F839,Analysis!$F$1:$G$5,2,FALSE)</f>
        <v>2509.1716796874912</v>
      </c>
      <c r="K839">
        <f t="shared" si="52"/>
        <v>3456.87</v>
      </c>
      <c r="L839">
        <f t="shared" si="53"/>
        <v>3456.88</v>
      </c>
      <c r="M839">
        <f t="shared" si="54"/>
        <v>3456.87</v>
      </c>
      <c r="N839" s="5" t="str">
        <f t="shared" si="55"/>
        <v>May 2022</v>
      </c>
    </row>
    <row r="840" spans="1:14" x14ac:dyDescent="0.25">
      <c r="A840" s="1">
        <v>44684</v>
      </c>
      <c r="B840" t="s">
        <v>4462</v>
      </c>
      <c r="C840">
        <v>19</v>
      </c>
      <c r="D840" t="s">
        <v>9</v>
      </c>
      <c r="E840" t="s">
        <v>15</v>
      </c>
      <c r="F840" t="s">
        <v>16</v>
      </c>
      <c r="G840" t="s">
        <v>36</v>
      </c>
      <c r="H840">
        <v>1123.72</v>
      </c>
      <c r="I840" s="8" t="str" cm="1">
        <f t="array" ref="I840">_xlfn.IFS(C840&lt;=15,"Children and Young Adolescents", C840&gt;64, "Seniors", TRUE, "Working Age")</f>
        <v>Working Age</v>
      </c>
      <c r="J840" s="6">
        <f>VLOOKUP(F840,Analysis!$F$1:$G$5,2,FALSE)</f>
        <v>2509.1716796874912</v>
      </c>
      <c r="K840">
        <f t="shared" si="52"/>
        <v>1236.0899999999999</v>
      </c>
      <c r="L840">
        <f t="shared" si="53"/>
        <v>1236.0999999999999</v>
      </c>
      <c r="M840">
        <f t="shared" si="54"/>
        <v>1236.0899999999999</v>
      </c>
      <c r="N840" s="5" t="str">
        <f t="shared" si="55"/>
        <v>May 2022</v>
      </c>
    </row>
    <row r="841" spans="1:14" x14ac:dyDescent="0.25">
      <c r="A841" s="1">
        <v>44684</v>
      </c>
      <c r="B841" t="s">
        <v>2592</v>
      </c>
      <c r="C841">
        <v>8</v>
      </c>
      <c r="D841" t="s">
        <v>9</v>
      </c>
      <c r="E841" t="s">
        <v>22</v>
      </c>
      <c r="F841" t="s">
        <v>23</v>
      </c>
      <c r="G841" t="s">
        <v>39</v>
      </c>
      <c r="H841">
        <v>2454.66</v>
      </c>
      <c r="I841" s="8" t="str" cm="1">
        <f t="array" ref="I841">_xlfn.IFS(C841&lt;=15,"Children and Young Adolescents", C841&gt;64, "Seniors", TRUE, "Working Age")</f>
        <v>Children and Young Adolescents</v>
      </c>
      <c r="J841" s="6">
        <f>VLOOKUP(F841,Analysis!$F$1:$G$5,2,FALSE)</f>
        <v>2440.2966694490838</v>
      </c>
      <c r="K841">
        <f t="shared" si="52"/>
        <v>2700.12</v>
      </c>
      <c r="L841">
        <f t="shared" si="53"/>
        <v>2700.13</v>
      </c>
      <c r="M841">
        <f t="shared" si="54"/>
        <v>2700.13</v>
      </c>
      <c r="N841" s="5" t="str">
        <f t="shared" si="55"/>
        <v>May 2022</v>
      </c>
    </row>
    <row r="842" spans="1:14" x14ac:dyDescent="0.25">
      <c r="A842" s="1">
        <v>44684</v>
      </c>
      <c r="B842" t="s">
        <v>1061</v>
      </c>
      <c r="C842">
        <v>86</v>
      </c>
      <c r="D842" t="s">
        <v>21</v>
      </c>
      <c r="E842" t="s">
        <v>15</v>
      </c>
      <c r="F842" t="s">
        <v>16</v>
      </c>
      <c r="G842" t="s">
        <v>12</v>
      </c>
      <c r="H842">
        <v>4116.82</v>
      </c>
      <c r="I842" s="8" t="str" cm="1">
        <f t="array" ref="I842">_xlfn.IFS(C842&lt;=15,"Children and Young Adolescents", C842&gt;64, "Seniors", TRUE, "Working Age")</f>
        <v>Seniors</v>
      </c>
      <c r="J842" s="6">
        <f>VLOOKUP(F842,Analysis!$F$1:$G$5,2,FALSE)</f>
        <v>2509.1716796874912</v>
      </c>
      <c r="K842">
        <f t="shared" si="52"/>
        <v>4528.5</v>
      </c>
      <c r="L842">
        <f t="shared" si="53"/>
        <v>4528.51</v>
      </c>
      <c r="M842">
        <f t="shared" si="54"/>
        <v>4528.5</v>
      </c>
      <c r="N842" s="5" t="str">
        <f t="shared" si="55"/>
        <v>May 2022</v>
      </c>
    </row>
    <row r="843" spans="1:14" x14ac:dyDescent="0.25">
      <c r="A843" s="1">
        <v>44684</v>
      </c>
      <c r="B843" t="s">
        <v>338</v>
      </c>
      <c r="C843">
        <v>49</v>
      </c>
      <c r="D843" t="s">
        <v>14</v>
      </c>
      <c r="E843" t="s">
        <v>10</v>
      </c>
      <c r="F843" t="s">
        <v>29</v>
      </c>
      <c r="G843" t="s">
        <v>27</v>
      </c>
      <c r="H843">
        <v>1552.53</v>
      </c>
      <c r="I843" s="8" t="str" cm="1">
        <f t="array" ref="I843">_xlfn.IFS(C843&lt;=15,"Children and Young Adolescents", C843&gt;64, "Seniors", TRUE, "Working Age")</f>
        <v>Working Age</v>
      </c>
      <c r="J843" s="6">
        <f>VLOOKUP(F843,Analysis!$F$1:$G$5,2,FALSE)</f>
        <v>2496.7676064256989</v>
      </c>
      <c r="K843">
        <f t="shared" si="52"/>
        <v>1707.78</v>
      </c>
      <c r="L843">
        <f t="shared" si="53"/>
        <v>1707.79</v>
      </c>
      <c r="M843">
        <f t="shared" si="54"/>
        <v>1707.78</v>
      </c>
      <c r="N843" s="5" t="str">
        <f t="shared" si="55"/>
        <v>May 2022</v>
      </c>
    </row>
    <row r="844" spans="1:14" x14ac:dyDescent="0.25">
      <c r="A844" s="1">
        <v>44684</v>
      </c>
      <c r="B844" t="s">
        <v>2986</v>
      </c>
      <c r="C844">
        <v>25</v>
      </c>
      <c r="D844" t="s">
        <v>14</v>
      </c>
      <c r="E844" t="s">
        <v>15</v>
      </c>
      <c r="F844" t="s">
        <v>29</v>
      </c>
      <c r="G844" t="s">
        <v>39</v>
      </c>
      <c r="H844">
        <v>2814.52</v>
      </c>
      <c r="I844" s="8" t="str" cm="1">
        <f t="array" ref="I844">_xlfn.IFS(C844&lt;=15,"Children and Young Adolescents", C844&gt;64, "Seniors", TRUE, "Working Age")</f>
        <v>Working Age</v>
      </c>
      <c r="J844" s="6">
        <f>VLOOKUP(F844,Analysis!$F$1:$G$5,2,FALSE)</f>
        <v>2496.7676064256989</v>
      </c>
      <c r="K844">
        <f t="shared" si="52"/>
        <v>3095.97</v>
      </c>
      <c r="L844">
        <f t="shared" si="53"/>
        <v>3095.98</v>
      </c>
      <c r="M844">
        <f t="shared" si="54"/>
        <v>3095.97</v>
      </c>
      <c r="N844" s="5" t="str">
        <f t="shared" si="55"/>
        <v>May 2022</v>
      </c>
    </row>
    <row r="845" spans="1:14" x14ac:dyDescent="0.25">
      <c r="A845" s="1">
        <v>44685</v>
      </c>
      <c r="B845" t="s">
        <v>1742</v>
      </c>
      <c r="C845">
        <v>95</v>
      </c>
      <c r="D845" t="s">
        <v>21</v>
      </c>
      <c r="E845" t="s">
        <v>5032</v>
      </c>
      <c r="F845" t="s">
        <v>16</v>
      </c>
      <c r="G845" t="s">
        <v>5033</v>
      </c>
      <c r="H845">
        <v>3826.97</v>
      </c>
      <c r="I845" s="8" t="str" cm="1">
        <f t="array" ref="I845">_xlfn.IFS(C845&lt;=15,"Children and Young Adolescents", C845&gt;64, "Seniors", TRUE, "Working Age")</f>
        <v>Seniors</v>
      </c>
      <c r="J845" s="6">
        <f>VLOOKUP(F845,Analysis!$F$1:$G$5,2,FALSE)</f>
        <v>2509.1716796874912</v>
      </c>
      <c r="K845">
        <f t="shared" si="52"/>
        <v>4209.66</v>
      </c>
      <c r="L845">
        <f t="shared" si="53"/>
        <v>4209.67</v>
      </c>
      <c r="M845">
        <f t="shared" si="54"/>
        <v>4209.67</v>
      </c>
      <c r="N845" s="5" t="str">
        <f t="shared" si="55"/>
        <v>May 2022</v>
      </c>
    </row>
    <row r="846" spans="1:14" x14ac:dyDescent="0.25">
      <c r="A846" s="1">
        <v>44685</v>
      </c>
      <c r="B846" t="s">
        <v>3835</v>
      </c>
      <c r="C846">
        <v>4</v>
      </c>
      <c r="D846" t="s">
        <v>9</v>
      </c>
      <c r="E846" t="s">
        <v>22</v>
      </c>
      <c r="F846" t="s">
        <v>11</v>
      </c>
      <c r="G846" t="s">
        <v>36</v>
      </c>
      <c r="H846">
        <v>853.72</v>
      </c>
      <c r="I846" s="8" t="str" cm="1">
        <f t="array" ref="I846">_xlfn.IFS(C846&lt;=15,"Children and Young Adolescents", C846&gt;64, "Seniors", TRUE, "Working Age")</f>
        <v>Children and Young Adolescents</v>
      </c>
      <c r="J846" s="6">
        <f>VLOOKUP(F846,Analysis!$F$1:$G$5,2,FALSE)</f>
        <v>2503.6022787783854</v>
      </c>
      <c r="K846">
        <f t="shared" si="52"/>
        <v>939.09</v>
      </c>
      <c r="L846">
        <f t="shared" si="53"/>
        <v>939.1</v>
      </c>
      <c r="M846">
        <f t="shared" si="54"/>
        <v>939.09</v>
      </c>
      <c r="N846" s="5" t="str">
        <f t="shared" si="55"/>
        <v>May 2022</v>
      </c>
    </row>
    <row r="847" spans="1:14" x14ac:dyDescent="0.25">
      <c r="A847" s="1">
        <v>44685</v>
      </c>
      <c r="B847" t="s">
        <v>4411</v>
      </c>
      <c r="C847">
        <v>0</v>
      </c>
      <c r="D847" t="s">
        <v>9</v>
      </c>
      <c r="E847" t="s">
        <v>22</v>
      </c>
      <c r="F847" t="s">
        <v>23</v>
      </c>
      <c r="G847" t="s">
        <v>39</v>
      </c>
      <c r="H847">
        <v>3160.5</v>
      </c>
      <c r="I847" s="8" t="str" cm="1">
        <f t="array" ref="I847">_xlfn.IFS(C847&lt;=15,"Children and Young Adolescents", C847&gt;64, "Seniors", TRUE, "Working Age")</f>
        <v>Children and Young Adolescents</v>
      </c>
      <c r="J847" s="6">
        <f>VLOOKUP(F847,Analysis!$F$1:$G$5,2,FALSE)</f>
        <v>2440.2966694490838</v>
      </c>
      <c r="K847">
        <f t="shared" si="52"/>
        <v>3476.55</v>
      </c>
      <c r="L847">
        <f t="shared" si="53"/>
        <v>3476.55</v>
      </c>
      <c r="M847">
        <f t="shared" si="54"/>
        <v>3476.55</v>
      </c>
      <c r="N847" s="5" t="str">
        <f t="shared" si="55"/>
        <v>May 2022</v>
      </c>
    </row>
    <row r="848" spans="1:14" x14ac:dyDescent="0.25">
      <c r="A848" s="1">
        <v>44685</v>
      </c>
      <c r="B848" t="s">
        <v>1583</v>
      </c>
      <c r="C848">
        <v>1</v>
      </c>
      <c r="D848" t="s">
        <v>21</v>
      </c>
      <c r="E848" t="s">
        <v>15</v>
      </c>
      <c r="F848" t="s">
        <v>11</v>
      </c>
      <c r="G848" t="s">
        <v>39</v>
      </c>
      <c r="H848">
        <v>474.02</v>
      </c>
      <c r="I848" s="8" t="str" cm="1">
        <f t="array" ref="I848">_xlfn.IFS(C848&lt;=15,"Children and Young Adolescents", C848&gt;64, "Seniors", TRUE, "Working Age")</f>
        <v>Children and Young Adolescents</v>
      </c>
      <c r="J848" s="6">
        <f>VLOOKUP(F848,Analysis!$F$1:$G$5,2,FALSE)</f>
        <v>2503.6022787783854</v>
      </c>
      <c r="K848">
        <f t="shared" si="52"/>
        <v>521.41999999999996</v>
      </c>
      <c r="L848">
        <f t="shared" si="53"/>
        <v>521.42999999999995</v>
      </c>
      <c r="M848">
        <f t="shared" si="54"/>
        <v>521.41999999999996</v>
      </c>
      <c r="N848" s="5" t="str">
        <f t="shared" si="55"/>
        <v>May 2022</v>
      </c>
    </row>
    <row r="849" spans="1:14" x14ac:dyDescent="0.25">
      <c r="A849" s="1">
        <v>44686</v>
      </c>
      <c r="B849" t="s">
        <v>4965</v>
      </c>
      <c r="C849">
        <v>82</v>
      </c>
      <c r="D849" t="s">
        <v>9</v>
      </c>
      <c r="E849" t="s">
        <v>25</v>
      </c>
      <c r="F849" t="s">
        <v>29</v>
      </c>
      <c r="G849" t="s">
        <v>17</v>
      </c>
      <c r="H849">
        <v>1836.29</v>
      </c>
      <c r="I849" s="8" t="str" cm="1">
        <f t="array" ref="I849">_xlfn.IFS(C849&lt;=15,"Children and Young Adolescents", C849&gt;64, "Seniors", TRUE, "Working Age")</f>
        <v>Seniors</v>
      </c>
      <c r="J849" s="6">
        <f>VLOOKUP(F849,Analysis!$F$1:$G$5,2,FALSE)</f>
        <v>2496.7676064256989</v>
      </c>
      <c r="K849">
        <f t="shared" si="52"/>
        <v>2019.91</v>
      </c>
      <c r="L849">
        <f t="shared" si="53"/>
        <v>2019.92</v>
      </c>
      <c r="M849">
        <f t="shared" si="54"/>
        <v>2019.92</v>
      </c>
      <c r="N849" s="5" t="str">
        <f t="shared" si="55"/>
        <v>May 2022</v>
      </c>
    </row>
    <row r="850" spans="1:14" x14ac:dyDescent="0.25">
      <c r="A850" s="1">
        <v>44686</v>
      </c>
      <c r="B850" t="s">
        <v>4629</v>
      </c>
      <c r="C850">
        <v>80</v>
      </c>
      <c r="D850" t="s">
        <v>21</v>
      </c>
      <c r="E850" t="s">
        <v>19</v>
      </c>
      <c r="F850" t="s">
        <v>16</v>
      </c>
      <c r="G850" t="s">
        <v>36</v>
      </c>
      <c r="H850">
        <v>1694.52</v>
      </c>
      <c r="I850" s="8" t="str" cm="1">
        <f t="array" ref="I850">_xlfn.IFS(C850&lt;=15,"Children and Young Adolescents", C850&gt;64, "Seniors", TRUE, "Working Age")</f>
        <v>Seniors</v>
      </c>
      <c r="J850" s="6">
        <f>VLOOKUP(F850,Analysis!$F$1:$G$5,2,FALSE)</f>
        <v>2509.1716796874912</v>
      </c>
      <c r="K850">
        <f t="shared" si="52"/>
        <v>1863.97</v>
      </c>
      <c r="L850">
        <f t="shared" si="53"/>
        <v>1863.98</v>
      </c>
      <c r="M850">
        <f t="shared" si="54"/>
        <v>1863.97</v>
      </c>
      <c r="N850" s="5" t="str">
        <f t="shared" si="55"/>
        <v>May 2022</v>
      </c>
    </row>
    <row r="851" spans="1:14" x14ac:dyDescent="0.25">
      <c r="A851" s="1">
        <v>44686</v>
      </c>
      <c r="B851" t="s">
        <v>4607</v>
      </c>
      <c r="C851">
        <v>31</v>
      </c>
      <c r="D851" t="s">
        <v>21</v>
      </c>
      <c r="E851" t="s">
        <v>25</v>
      </c>
      <c r="F851" t="s">
        <v>16</v>
      </c>
      <c r="G851" t="s">
        <v>39</v>
      </c>
      <c r="H851">
        <v>94.29</v>
      </c>
      <c r="I851" s="8" t="str" cm="1">
        <f t="array" ref="I851">_xlfn.IFS(C851&lt;=15,"Children and Young Adolescents", C851&gt;64, "Seniors", TRUE, "Working Age")</f>
        <v>Working Age</v>
      </c>
      <c r="J851" s="6">
        <f>VLOOKUP(F851,Analysis!$F$1:$G$5,2,FALSE)</f>
        <v>2509.1716796874912</v>
      </c>
      <c r="K851">
        <f t="shared" si="52"/>
        <v>103.71</v>
      </c>
      <c r="L851">
        <f t="shared" si="53"/>
        <v>103.72</v>
      </c>
      <c r="M851">
        <f t="shared" si="54"/>
        <v>103.72</v>
      </c>
      <c r="N851" s="5" t="str">
        <f t="shared" si="55"/>
        <v>May 2022</v>
      </c>
    </row>
    <row r="852" spans="1:14" x14ac:dyDescent="0.25">
      <c r="A852" s="1">
        <v>44686</v>
      </c>
      <c r="B852" t="s">
        <v>2480</v>
      </c>
      <c r="C852">
        <v>27</v>
      </c>
      <c r="D852" t="s">
        <v>9</v>
      </c>
      <c r="E852" t="s">
        <v>10</v>
      </c>
      <c r="F852" t="s">
        <v>11</v>
      </c>
      <c r="G852" t="s">
        <v>12</v>
      </c>
      <c r="H852">
        <v>3733.37</v>
      </c>
      <c r="I852" s="8" t="str" cm="1">
        <f t="array" ref="I852">_xlfn.IFS(C852&lt;=15,"Children and Young Adolescents", C852&gt;64, "Seniors", TRUE, "Working Age")</f>
        <v>Working Age</v>
      </c>
      <c r="J852" s="6">
        <f>VLOOKUP(F852,Analysis!$F$1:$G$5,2,FALSE)</f>
        <v>2503.6022787783854</v>
      </c>
      <c r="K852">
        <f t="shared" si="52"/>
        <v>4106.7</v>
      </c>
      <c r="L852">
        <f t="shared" si="53"/>
        <v>4106.71</v>
      </c>
      <c r="M852">
        <f t="shared" si="54"/>
        <v>4106.71</v>
      </c>
      <c r="N852" s="5" t="str">
        <f t="shared" si="55"/>
        <v>May 2022</v>
      </c>
    </row>
    <row r="853" spans="1:14" x14ac:dyDescent="0.25">
      <c r="A853" s="1">
        <v>44686</v>
      </c>
      <c r="B853" t="s">
        <v>4932</v>
      </c>
      <c r="C853">
        <v>97</v>
      </c>
      <c r="D853" t="s">
        <v>14</v>
      </c>
      <c r="E853" t="s">
        <v>22</v>
      </c>
      <c r="F853" t="s">
        <v>29</v>
      </c>
      <c r="G853" t="s">
        <v>12</v>
      </c>
      <c r="H853">
        <v>3596.21</v>
      </c>
      <c r="I853" s="8" t="str" cm="1">
        <f t="array" ref="I853">_xlfn.IFS(C853&lt;=15,"Children and Young Adolescents", C853&gt;64, "Seniors", TRUE, "Working Age")</f>
        <v>Seniors</v>
      </c>
      <c r="J853" s="6">
        <f>VLOOKUP(F853,Analysis!$F$1:$G$5,2,FALSE)</f>
        <v>2496.7676064256989</v>
      </c>
      <c r="K853">
        <f t="shared" si="52"/>
        <v>3955.83</v>
      </c>
      <c r="L853">
        <f t="shared" si="53"/>
        <v>3955.84</v>
      </c>
      <c r="M853">
        <f t="shared" si="54"/>
        <v>3955.83</v>
      </c>
      <c r="N853" s="5" t="str">
        <f t="shared" si="55"/>
        <v>May 2022</v>
      </c>
    </row>
    <row r="854" spans="1:14" x14ac:dyDescent="0.25">
      <c r="A854" s="1">
        <v>44686</v>
      </c>
      <c r="B854" t="s">
        <v>4035</v>
      </c>
      <c r="C854">
        <v>85</v>
      </c>
      <c r="D854" t="s">
        <v>21</v>
      </c>
      <c r="E854" t="s">
        <v>19</v>
      </c>
      <c r="F854" t="s">
        <v>23</v>
      </c>
      <c r="G854" t="s">
        <v>27</v>
      </c>
      <c r="H854">
        <v>4982.3</v>
      </c>
      <c r="I854" s="8" t="str" cm="1">
        <f t="array" ref="I854">_xlfn.IFS(C854&lt;=15,"Children and Young Adolescents", C854&gt;64, "Seniors", TRUE, "Working Age")</f>
        <v>Seniors</v>
      </c>
      <c r="J854" s="6">
        <f>VLOOKUP(F854,Analysis!$F$1:$G$5,2,FALSE)</f>
        <v>2440.2966694490838</v>
      </c>
      <c r="K854">
        <f t="shared" si="52"/>
        <v>5480.53</v>
      </c>
      <c r="L854">
        <f t="shared" si="53"/>
        <v>5480.53</v>
      </c>
      <c r="M854">
        <f t="shared" si="54"/>
        <v>5480.53</v>
      </c>
      <c r="N854" s="5" t="str">
        <f t="shared" si="55"/>
        <v>May 2022</v>
      </c>
    </row>
    <row r="855" spans="1:14" x14ac:dyDescent="0.25">
      <c r="A855" s="1">
        <v>44686</v>
      </c>
      <c r="B855" t="s">
        <v>2650</v>
      </c>
      <c r="C855">
        <v>76</v>
      </c>
      <c r="D855" t="s">
        <v>14</v>
      </c>
      <c r="E855" t="s">
        <v>32</v>
      </c>
      <c r="F855" t="s">
        <v>29</v>
      </c>
      <c r="G855" t="s">
        <v>36</v>
      </c>
      <c r="H855">
        <v>1098.92</v>
      </c>
      <c r="I855" s="8" t="str" cm="1">
        <f t="array" ref="I855">_xlfn.IFS(C855&lt;=15,"Children and Young Adolescents", C855&gt;64, "Seniors", TRUE, "Working Age")</f>
        <v>Seniors</v>
      </c>
      <c r="J855" s="6">
        <f>VLOOKUP(F855,Analysis!$F$1:$G$5,2,FALSE)</f>
        <v>2496.7676064256989</v>
      </c>
      <c r="K855">
        <f t="shared" si="52"/>
        <v>1208.81</v>
      </c>
      <c r="L855">
        <f t="shared" si="53"/>
        <v>1208.82</v>
      </c>
      <c r="M855">
        <f t="shared" si="54"/>
        <v>1208.81</v>
      </c>
      <c r="N855" s="5" t="str">
        <f t="shared" si="55"/>
        <v>May 2022</v>
      </c>
    </row>
    <row r="856" spans="1:14" x14ac:dyDescent="0.25">
      <c r="A856" s="1">
        <v>44686</v>
      </c>
      <c r="B856" t="s">
        <v>3338</v>
      </c>
      <c r="C856">
        <v>52</v>
      </c>
      <c r="D856" t="s">
        <v>14</v>
      </c>
      <c r="E856" t="s">
        <v>32</v>
      </c>
      <c r="F856" t="s">
        <v>16</v>
      </c>
      <c r="G856" t="s">
        <v>17</v>
      </c>
      <c r="H856">
        <v>1035.1500000000001</v>
      </c>
      <c r="I856" s="8" t="str" cm="1">
        <f t="array" ref="I856">_xlfn.IFS(C856&lt;=15,"Children and Young Adolescents", C856&gt;64, "Seniors", TRUE, "Working Age")</f>
        <v>Working Age</v>
      </c>
      <c r="J856" s="6">
        <f>VLOOKUP(F856,Analysis!$F$1:$G$5,2,FALSE)</f>
        <v>2509.1716796874912</v>
      </c>
      <c r="K856">
        <f t="shared" si="52"/>
        <v>1138.6600000000001</v>
      </c>
      <c r="L856">
        <f t="shared" si="53"/>
        <v>1138.67</v>
      </c>
      <c r="M856">
        <f t="shared" si="54"/>
        <v>1138.67</v>
      </c>
      <c r="N856" s="5" t="str">
        <f t="shared" si="55"/>
        <v>May 2022</v>
      </c>
    </row>
    <row r="857" spans="1:14" x14ac:dyDescent="0.25">
      <c r="A857" s="1">
        <v>44687</v>
      </c>
      <c r="B857" t="s">
        <v>2649</v>
      </c>
      <c r="C857">
        <v>89</v>
      </c>
      <c r="D857" t="s">
        <v>9</v>
      </c>
      <c r="E857" t="s">
        <v>19</v>
      </c>
      <c r="F857" t="s">
        <v>16</v>
      </c>
      <c r="G857" t="s">
        <v>39</v>
      </c>
      <c r="H857">
        <v>1013.31</v>
      </c>
      <c r="I857" s="8" t="str" cm="1">
        <f t="array" ref="I857">_xlfn.IFS(C857&lt;=15,"Children and Young Adolescents", C857&gt;64, "Seniors", TRUE, "Working Age")</f>
        <v>Seniors</v>
      </c>
      <c r="J857" s="6">
        <f>VLOOKUP(F857,Analysis!$F$1:$G$5,2,FALSE)</f>
        <v>2509.1716796874912</v>
      </c>
      <c r="K857">
        <f t="shared" si="52"/>
        <v>1114.6400000000001</v>
      </c>
      <c r="L857">
        <f t="shared" si="53"/>
        <v>1114.6500000000001</v>
      </c>
      <c r="M857">
        <f t="shared" si="54"/>
        <v>1114.6400000000001</v>
      </c>
      <c r="N857" s="5" t="str">
        <f t="shared" si="55"/>
        <v>May 2022</v>
      </c>
    </row>
    <row r="858" spans="1:14" x14ac:dyDescent="0.25">
      <c r="A858" s="1">
        <v>44687</v>
      </c>
      <c r="B858" t="s">
        <v>1047</v>
      </c>
      <c r="C858">
        <v>26</v>
      </c>
      <c r="D858" t="s">
        <v>21</v>
      </c>
      <c r="E858" t="s">
        <v>22</v>
      </c>
      <c r="F858" t="s">
        <v>23</v>
      </c>
      <c r="G858" t="s">
        <v>17</v>
      </c>
      <c r="H858">
        <v>1204.8800000000001</v>
      </c>
      <c r="I858" s="8" t="str" cm="1">
        <f t="array" ref="I858">_xlfn.IFS(C858&lt;=15,"Children and Young Adolescents", C858&gt;64, "Seniors", TRUE, "Working Age")</f>
        <v>Working Age</v>
      </c>
      <c r="J858" s="6">
        <f>VLOOKUP(F858,Analysis!$F$1:$G$5,2,FALSE)</f>
        <v>2440.2966694490838</v>
      </c>
      <c r="K858">
        <f t="shared" si="52"/>
        <v>1325.36</v>
      </c>
      <c r="L858">
        <f t="shared" si="53"/>
        <v>1325.37</v>
      </c>
      <c r="M858">
        <f t="shared" si="54"/>
        <v>1325.37</v>
      </c>
      <c r="N858" s="5" t="str">
        <f t="shared" si="55"/>
        <v>May 2022</v>
      </c>
    </row>
    <row r="859" spans="1:14" x14ac:dyDescent="0.25">
      <c r="A859" s="1">
        <v>44687</v>
      </c>
      <c r="B859" t="s">
        <v>1414</v>
      </c>
      <c r="C859">
        <v>14</v>
      </c>
      <c r="D859" t="s">
        <v>21</v>
      </c>
      <c r="E859" t="s">
        <v>5032</v>
      </c>
      <c r="F859" t="s">
        <v>11</v>
      </c>
      <c r="G859" t="s">
        <v>12</v>
      </c>
      <c r="H859">
        <v>4631.6000000000004</v>
      </c>
      <c r="I859" s="8" t="str" cm="1">
        <f t="array" ref="I859">_xlfn.IFS(C859&lt;=15,"Children and Young Adolescents", C859&gt;64, "Seniors", TRUE, "Working Age")</f>
        <v>Children and Young Adolescents</v>
      </c>
      <c r="J859" s="6">
        <f>VLOOKUP(F859,Analysis!$F$1:$G$5,2,FALSE)</f>
        <v>2503.6022787783854</v>
      </c>
      <c r="K859">
        <f t="shared" si="52"/>
        <v>5094.76</v>
      </c>
      <c r="L859">
        <f t="shared" si="53"/>
        <v>5094.76</v>
      </c>
      <c r="M859">
        <f t="shared" si="54"/>
        <v>5094.76</v>
      </c>
      <c r="N859" s="5" t="str">
        <f t="shared" si="55"/>
        <v>May 2022</v>
      </c>
    </row>
    <row r="860" spans="1:14" x14ac:dyDescent="0.25">
      <c r="A860" s="1">
        <v>44687</v>
      </c>
      <c r="B860" t="s">
        <v>2911</v>
      </c>
      <c r="C860">
        <v>94</v>
      </c>
      <c r="D860" t="s">
        <v>9</v>
      </c>
      <c r="E860" t="s">
        <v>19</v>
      </c>
      <c r="F860" t="s">
        <v>23</v>
      </c>
      <c r="G860" t="s">
        <v>12</v>
      </c>
      <c r="H860">
        <v>4719.4799999999996</v>
      </c>
      <c r="I860" s="8" t="str" cm="1">
        <f t="array" ref="I860">_xlfn.IFS(C860&lt;=15,"Children and Young Adolescents", C860&gt;64, "Seniors", TRUE, "Working Age")</f>
        <v>Seniors</v>
      </c>
      <c r="J860" s="6">
        <f>VLOOKUP(F860,Analysis!$F$1:$G$5,2,FALSE)</f>
        <v>2440.2966694490838</v>
      </c>
      <c r="K860">
        <f t="shared" si="52"/>
        <v>5191.42</v>
      </c>
      <c r="L860">
        <f t="shared" si="53"/>
        <v>5191.43</v>
      </c>
      <c r="M860">
        <f t="shared" si="54"/>
        <v>5191.43</v>
      </c>
      <c r="N860" s="5" t="str">
        <f t="shared" si="55"/>
        <v>May 2022</v>
      </c>
    </row>
    <row r="861" spans="1:14" x14ac:dyDescent="0.25">
      <c r="A861" s="1">
        <v>44687</v>
      </c>
      <c r="B861" t="s">
        <v>3702</v>
      </c>
      <c r="C861">
        <v>60</v>
      </c>
      <c r="D861" t="s">
        <v>14</v>
      </c>
      <c r="E861" t="s">
        <v>32</v>
      </c>
      <c r="F861" t="s">
        <v>23</v>
      </c>
      <c r="G861" t="s">
        <v>17</v>
      </c>
      <c r="H861">
        <v>3977.52</v>
      </c>
      <c r="I861" s="8" t="str" cm="1">
        <f t="array" ref="I861">_xlfn.IFS(C861&lt;=15,"Children and Young Adolescents", C861&gt;64, "Seniors", TRUE, "Working Age")</f>
        <v>Working Age</v>
      </c>
      <c r="J861" s="6">
        <f>VLOOKUP(F861,Analysis!$F$1:$G$5,2,FALSE)</f>
        <v>2440.2966694490838</v>
      </c>
      <c r="K861">
        <f t="shared" si="52"/>
        <v>4375.2700000000004</v>
      </c>
      <c r="L861">
        <f t="shared" si="53"/>
        <v>4375.2800000000007</v>
      </c>
      <c r="M861">
        <f t="shared" si="54"/>
        <v>4375.2700000000004</v>
      </c>
      <c r="N861" s="5" t="str">
        <f t="shared" si="55"/>
        <v>May 2022</v>
      </c>
    </row>
    <row r="862" spans="1:14" x14ac:dyDescent="0.25">
      <c r="A862" s="1">
        <v>44688</v>
      </c>
      <c r="B862" t="s">
        <v>3052</v>
      </c>
      <c r="C862">
        <v>32</v>
      </c>
      <c r="D862" t="s">
        <v>14</v>
      </c>
      <c r="E862" t="s">
        <v>22</v>
      </c>
      <c r="F862" t="s">
        <v>11</v>
      </c>
      <c r="G862" t="s">
        <v>36</v>
      </c>
      <c r="H862">
        <v>1516.43</v>
      </c>
      <c r="I862" s="8" t="str" cm="1">
        <f t="array" ref="I862">_xlfn.IFS(C862&lt;=15,"Children and Young Adolescents", C862&gt;64, "Seniors", TRUE, "Working Age")</f>
        <v>Working Age</v>
      </c>
      <c r="J862" s="6">
        <f>VLOOKUP(F862,Analysis!$F$1:$G$5,2,FALSE)</f>
        <v>2503.6022787783854</v>
      </c>
      <c r="K862">
        <f t="shared" si="52"/>
        <v>1668.07</v>
      </c>
      <c r="L862">
        <f t="shared" si="53"/>
        <v>1668.08</v>
      </c>
      <c r="M862">
        <f t="shared" si="54"/>
        <v>1668.07</v>
      </c>
      <c r="N862" s="5" t="str">
        <f t="shared" si="55"/>
        <v>May 2022</v>
      </c>
    </row>
    <row r="863" spans="1:14" x14ac:dyDescent="0.25">
      <c r="A863" s="1">
        <v>44688</v>
      </c>
      <c r="B863" t="s">
        <v>2688</v>
      </c>
      <c r="C863">
        <v>51</v>
      </c>
      <c r="D863" t="s">
        <v>14</v>
      </c>
      <c r="E863" t="s">
        <v>10</v>
      </c>
      <c r="F863" t="s">
        <v>23</v>
      </c>
      <c r="G863" t="s">
        <v>36</v>
      </c>
      <c r="H863">
        <v>963.14</v>
      </c>
      <c r="I863" s="8" t="str" cm="1">
        <f t="array" ref="I863">_xlfn.IFS(C863&lt;=15,"Children and Young Adolescents", C863&gt;64, "Seniors", TRUE, "Working Age")</f>
        <v>Working Age</v>
      </c>
      <c r="J863" s="6">
        <f>VLOOKUP(F863,Analysis!$F$1:$G$5,2,FALSE)</f>
        <v>2440.2966694490838</v>
      </c>
      <c r="K863">
        <f t="shared" si="52"/>
        <v>1059.45</v>
      </c>
      <c r="L863">
        <f t="shared" si="53"/>
        <v>1059.46</v>
      </c>
      <c r="M863">
        <f t="shared" si="54"/>
        <v>1059.45</v>
      </c>
      <c r="N863" s="5" t="str">
        <f t="shared" si="55"/>
        <v>May 2022</v>
      </c>
    </row>
    <row r="864" spans="1:14" x14ac:dyDescent="0.25">
      <c r="A864" s="1">
        <v>44688</v>
      </c>
      <c r="B864" t="s">
        <v>1671</v>
      </c>
      <c r="C864">
        <v>57</v>
      </c>
      <c r="D864" t="s">
        <v>9</v>
      </c>
      <c r="E864" t="s">
        <v>22</v>
      </c>
      <c r="F864" t="s">
        <v>11</v>
      </c>
      <c r="G864" t="s">
        <v>36</v>
      </c>
      <c r="H864">
        <v>1877.4</v>
      </c>
      <c r="I864" s="8" t="str" cm="1">
        <f t="array" ref="I864">_xlfn.IFS(C864&lt;=15,"Children and Young Adolescents", C864&gt;64, "Seniors", TRUE, "Working Age")</f>
        <v>Working Age</v>
      </c>
      <c r="J864" s="6">
        <f>VLOOKUP(F864,Analysis!$F$1:$G$5,2,FALSE)</f>
        <v>2503.6022787783854</v>
      </c>
      <c r="K864">
        <f t="shared" si="52"/>
        <v>2065.14</v>
      </c>
      <c r="L864">
        <f t="shared" si="53"/>
        <v>2065.14</v>
      </c>
      <c r="M864">
        <f t="shared" si="54"/>
        <v>2065.14</v>
      </c>
      <c r="N864" s="5" t="str">
        <f t="shared" si="55"/>
        <v>May 2022</v>
      </c>
    </row>
    <row r="865" spans="1:14" x14ac:dyDescent="0.25">
      <c r="A865" s="1">
        <v>44688</v>
      </c>
      <c r="B865" t="s">
        <v>4229</v>
      </c>
      <c r="C865">
        <v>87</v>
      </c>
      <c r="D865" t="s">
        <v>21</v>
      </c>
      <c r="E865" t="s">
        <v>22</v>
      </c>
      <c r="F865" t="s">
        <v>11</v>
      </c>
      <c r="G865" t="s">
        <v>12</v>
      </c>
      <c r="H865">
        <v>3845.01</v>
      </c>
      <c r="I865" s="8" t="str" cm="1">
        <f t="array" ref="I865">_xlfn.IFS(C865&lt;=15,"Children and Young Adolescents", C865&gt;64, "Seniors", TRUE, "Working Age")</f>
        <v>Seniors</v>
      </c>
      <c r="J865" s="6">
        <f>VLOOKUP(F865,Analysis!$F$1:$G$5,2,FALSE)</f>
        <v>2503.6022787783854</v>
      </c>
      <c r="K865">
        <f t="shared" si="52"/>
        <v>4229.51</v>
      </c>
      <c r="L865">
        <f t="shared" si="53"/>
        <v>4229.5200000000004</v>
      </c>
      <c r="M865">
        <f t="shared" si="54"/>
        <v>4229.51</v>
      </c>
      <c r="N865" s="5" t="str">
        <f t="shared" si="55"/>
        <v>May 2022</v>
      </c>
    </row>
    <row r="866" spans="1:14" x14ac:dyDescent="0.25">
      <c r="A866" s="1">
        <v>44688</v>
      </c>
      <c r="B866" t="s">
        <v>122</v>
      </c>
      <c r="C866">
        <v>94</v>
      </c>
      <c r="D866" t="s">
        <v>9</v>
      </c>
      <c r="E866" t="s">
        <v>32</v>
      </c>
      <c r="F866" t="s">
        <v>16</v>
      </c>
      <c r="G866" t="s">
        <v>36</v>
      </c>
      <c r="H866">
        <v>397.3</v>
      </c>
      <c r="I866" s="8" t="str" cm="1">
        <f t="array" ref="I866">_xlfn.IFS(C866&lt;=15,"Children and Young Adolescents", C866&gt;64, "Seniors", TRUE, "Working Age")</f>
        <v>Seniors</v>
      </c>
      <c r="J866" s="6">
        <f>VLOOKUP(F866,Analysis!$F$1:$G$5,2,FALSE)</f>
        <v>2509.1716796874912</v>
      </c>
      <c r="K866">
        <f t="shared" si="52"/>
        <v>437.03</v>
      </c>
      <c r="L866">
        <f t="shared" si="53"/>
        <v>437.03</v>
      </c>
      <c r="M866">
        <f t="shared" si="54"/>
        <v>437.03</v>
      </c>
      <c r="N866" s="5" t="str">
        <f t="shared" si="55"/>
        <v>May 2022</v>
      </c>
    </row>
    <row r="867" spans="1:14" x14ac:dyDescent="0.25">
      <c r="A867" s="1">
        <v>44688</v>
      </c>
      <c r="B867" t="s">
        <v>1983</v>
      </c>
      <c r="C867">
        <v>89</v>
      </c>
      <c r="D867" t="s">
        <v>21</v>
      </c>
      <c r="E867" t="s">
        <v>34</v>
      </c>
      <c r="F867" t="s">
        <v>23</v>
      </c>
      <c r="G867" t="s">
        <v>12</v>
      </c>
      <c r="H867">
        <v>2672.79</v>
      </c>
      <c r="I867" s="8" t="str" cm="1">
        <f t="array" ref="I867">_xlfn.IFS(C867&lt;=15,"Children and Young Adolescents", C867&gt;64, "Seniors", TRUE, "Working Age")</f>
        <v>Seniors</v>
      </c>
      <c r="J867" s="6">
        <f>VLOOKUP(F867,Analysis!$F$1:$G$5,2,FALSE)</f>
        <v>2440.2966694490838</v>
      </c>
      <c r="K867">
        <f t="shared" si="52"/>
        <v>2940.06</v>
      </c>
      <c r="L867">
        <f t="shared" si="53"/>
        <v>2940.07</v>
      </c>
      <c r="M867">
        <f t="shared" si="54"/>
        <v>2940.07</v>
      </c>
      <c r="N867" s="5" t="str">
        <f t="shared" si="55"/>
        <v>May 2022</v>
      </c>
    </row>
    <row r="868" spans="1:14" x14ac:dyDescent="0.25">
      <c r="A868" s="1">
        <v>44688</v>
      </c>
      <c r="B868" t="s">
        <v>4834</v>
      </c>
      <c r="C868">
        <v>79</v>
      </c>
      <c r="D868" t="s">
        <v>21</v>
      </c>
      <c r="E868" t="s">
        <v>22</v>
      </c>
      <c r="F868" t="s">
        <v>16</v>
      </c>
      <c r="G868" t="s">
        <v>36</v>
      </c>
      <c r="H868">
        <v>3164.99</v>
      </c>
      <c r="I868" s="8" t="str" cm="1">
        <f t="array" ref="I868">_xlfn.IFS(C868&lt;=15,"Children and Young Adolescents", C868&gt;64, "Seniors", TRUE, "Working Age")</f>
        <v>Seniors</v>
      </c>
      <c r="J868" s="6">
        <f>VLOOKUP(F868,Analysis!$F$1:$G$5,2,FALSE)</f>
        <v>2509.1716796874912</v>
      </c>
      <c r="K868">
        <f t="shared" si="52"/>
        <v>3481.48</v>
      </c>
      <c r="L868">
        <f t="shared" si="53"/>
        <v>3481.4900000000002</v>
      </c>
      <c r="M868">
        <f t="shared" si="54"/>
        <v>3481.49</v>
      </c>
      <c r="N868" s="5" t="str">
        <f t="shared" si="55"/>
        <v>May 2022</v>
      </c>
    </row>
    <row r="869" spans="1:14" x14ac:dyDescent="0.25">
      <c r="A869" s="1">
        <v>44688</v>
      </c>
      <c r="B869" t="s">
        <v>2258</v>
      </c>
      <c r="C869">
        <v>11</v>
      </c>
      <c r="D869" t="s">
        <v>14</v>
      </c>
      <c r="E869" t="s">
        <v>32</v>
      </c>
      <c r="F869" t="s">
        <v>11</v>
      </c>
      <c r="G869" t="s">
        <v>39</v>
      </c>
      <c r="H869">
        <v>853.06</v>
      </c>
      <c r="I869" s="8" t="str" cm="1">
        <f t="array" ref="I869">_xlfn.IFS(C869&lt;=15,"Children and Young Adolescents", C869&gt;64, "Seniors", TRUE, "Working Age")</f>
        <v>Children and Young Adolescents</v>
      </c>
      <c r="J869" s="6">
        <f>VLOOKUP(F869,Analysis!$F$1:$G$5,2,FALSE)</f>
        <v>2503.6022787783854</v>
      </c>
      <c r="K869">
        <f t="shared" si="52"/>
        <v>938.36</v>
      </c>
      <c r="L869">
        <f t="shared" si="53"/>
        <v>938.37</v>
      </c>
      <c r="M869">
        <f t="shared" si="54"/>
        <v>938.37</v>
      </c>
      <c r="N869" s="5" t="str">
        <f t="shared" si="55"/>
        <v>May 2022</v>
      </c>
    </row>
    <row r="870" spans="1:14" x14ac:dyDescent="0.25">
      <c r="A870" s="1">
        <v>44688</v>
      </c>
      <c r="B870" t="s">
        <v>3215</v>
      </c>
      <c r="C870">
        <v>25</v>
      </c>
      <c r="D870" t="s">
        <v>14</v>
      </c>
      <c r="E870" t="s">
        <v>34</v>
      </c>
      <c r="F870" t="s">
        <v>16</v>
      </c>
      <c r="G870" t="s">
        <v>39</v>
      </c>
      <c r="H870">
        <v>4976</v>
      </c>
      <c r="I870" s="8" t="str" cm="1">
        <f t="array" ref="I870">_xlfn.IFS(C870&lt;=15,"Children and Young Adolescents", C870&gt;64, "Seniors", TRUE, "Working Age")</f>
        <v>Working Age</v>
      </c>
      <c r="J870" s="6">
        <f>VLOOKUP(F870,Analysis!$F$1:$G$5,2,FALSE)</f>
        <v>2509.1716796874912</v>
      </c>
      <c r="K870">
        <f t="shared" si="52"/>
        <v>5473.6</v>
      </c>
      <c r="L870">
        <f t="shared" si="53"/>
        <v>5473.6</v>
      </c>
      <c r="M870">
        <f t="shared" si="54"/>
        <v>5473.6</v>
      </c>
      <c r="N870" s="5" t="str">
        <f t="shared" si="55"/>
        <v>May 2022</v>
      </c>
    </row>
    <row r="871" spans="1:14" x14ac:dyDescent="0.25">
      <c r="A871" s="1">
        <v>44689</v>
      </c>
      <c r="B871" t="s">
        <v>3660</v>
      </c>
      <c r="C871">
        <v>27</v>
      </c>
      <c r="D871" t="s">
        <v>9</v>
      </c>
      <c r="E871" t="s">
        <v>22</v>
      </c>
      <c r="F871" t="s">
        <v>23</v>
      </c>
      <c r="G871" t="s">
        <v>27</v>
      </c>
      <c r="H871">
        <v>4783.53</v>
      </c>
      <c r="I871" s="8" t="str" cm="1">
        <f t="array" ref="I871">_xlfn.IFS(C871&lt;=15,"Children and Young Adolescents", C871&gt;64, "Seniors", TRUE, "Working Age")</f>
        <v>Working Age</v>
      </c>
      <c r="J871" s="6">
        <f>VLOOKUP(F871,Analysis!$F$1:$G$5,2,FALSE)</f>
        <v>2440.2966694490838</v>
      </c>
      <c r="K871">
        <f t="shared" si="52"/>
        <v>5261.88</v>
      </c>
      <c r="L871">
        <f t="shared" si="53"/>
        <v>5261.89</v>
      </c>
      <c r="M871">
        <f t="shared" si="54"/>
        <v>5261.88</v>
      </c>
      <c r="N871" s="5" t="str">
        <f t="shared" si="55"/>
        <v>May 2022</v>
      </c>
    </row>
    <row r="872" spans="1:14" x14ac:dyDescent="0.25">
      <c r="A872" s="1">
        <v>44689</v>
      </c>
      <c r="B872" t="s">
        <v>1039</v>
      </c>
      <c r="C872">
        <v>93</v>
      </c>
      <c r="D872" t="s">
        <v>21</v>
      </c>
      <c r="E872" t="s">
        <v>5032</v>
      </c>
      <c r="F872" t="s">
        <v>23</v>
      </c>
      <c r="G872" t="s">
        <v>36</v>
      </c>
      <c r="H872">
        <v>2273.84</v>
      </c>
      <c r="I872" s="8" t="str" cm="1">
        <f t="array" ref="I872">_xlfn.IFS(C872&lt;=15,"Children and Young Adolescents", C872&gt;64, "Seniors", TRUE, "Working Age")</f>
        <v>Seniors</v>
      </c>
      <c r="J872" s="6">
        <f>VLOOKUP(F872,Analysis!$F$1:$G$5,2,FALSE)</f>
        <v>2440.2966694490838</v>
      </c>
      <c r="K872">
        <f t="shared" si="52"/>
        <v>2501.2199999999998</v>
      </c>
      <c r="L872">
        <f t="shared" si="53"/>
        <v>2501.23</v>
      </c>
      <c r="M872">
        <f t="shared" si="54"/>
        <v>2501.2199999999998</v>
      </c>
      <c r="N872" s="5" t="str">
        <f t="shared" si="55"/>
        <v>May 2022</v>
      </c>
    </row>
    <row r="873" spans="1:14" x14ac:dyDescent="0.25">
      <c r="A873" s="1">
        <v>44689</v>
      </c>
      <c r="B873" t="s">
        <v>2126</v>
      </c>
      <c r="C873">
        <v>92</v>
      </c>
      <c r="D873" t="s">
        <v>9</v>
      </c>
      <c r="E873" t="s">
        <v>22</v>
      </c>
      <c r="F873" t="s">
        <v>23</v>
      </c>
      <c r="G873" t="s">
        <v>27</v>
      </c>
      <c r="H873">
        <v>1674.57</v>
      </c>
      <c r="I873" s="8" t="str" cm="1">
        <f t="array" ref="I873">_xlfn.IFS(C873&lt;=15,"Children and Young Adolescents", C873&gt;64, "Seniors", TRUE, "Working Age")</f>
        <v>Seniors</v>
      </c>
      <c r="J873" s="6">
        <f>VLOOKUP(F873,Analysis!$F$1:$G$5,2,FALSE)</f>
        <v>2440.2966694490838</v>
      </c>
      <c r="K873">
        <f t="shared" si="52"/>
        <v>1842.02</v>
      </c>
      <c r="L873">
        <f t="shared" si="53"/>
        <v>1842.03</v>
      </c>
      <c r="M873">
        <f t="shared" si="54"/>
        <v>1842.03</v>
      </c>
      <c r="N873" s="5" t="str">
        <f t="shared" si="55"/>
        <v>May 2022</v>
      </c>
    </row>
    <row r="874" spans="1:14" x14ac:dyDescent="0.25">
      <c r="A874" s="1">
        <v>44689</v>
      </c>
      <c r="B874" t="s">
        <v>363</v>
      </c>
      <c r="C874">
        <v>60</v>
      </c>
      <c r="D874" t="s">
        <v>14</v>
      </c>
      <c r="E874" t="s">
        <v>19</v>
      </c>
      <c r="F874" t="s">
        <v>29</v>
      </c>
      <c r="G874" t="s">
        <v>17</v>
      </c>
      <c r="H874">
        <v>2004.29</v>
      </c>
      <c r="I874" s="8" t="str" cm="1">
        <f t="array" ref="I874">_xlfn.IFS(C874&lt;=15,"Children and Young Adolescents", C874&gt;64, "Seniors", TRUE, "Working Age")</f>
        <v>Working Age</v>
      </c>
      <c r="J874" s="6">
        <f>VLOOKUP(F874,Analysis!$F$1:$G$5,2,FALSE)</f>
        <v>2496.7676064256989</v>
      </c>
      <c r="K874">
        <f t="shared" si="52"/>
        <v>2204.71</v>
      </c>
      <c r="L874">
        <f t="shared" si="53"/>
        <v>2204.7200000000003</v>
      </c>
      <c r="M874">
        <f t="shared" si="54"/>
        <v>2204.7199999999998</v>
      </c>
      <c r="N874" s="5" t="str">
        <f t="shared" si="55"/>
        <v>May 2022</v>
      </c>
    </row>
    <row r="875" spans="1:14" x14ac:dyDescent="0.25">
      <c r="A875" s="1">
        <v>44689</v>
      </c>
      <c r="B875" t="s">
        <v>4230</v>
      </c>
      <c r="C875">
        <v>92</v>
      </c>
      <c r="D875" t="s">
        <v>9</v>
      </c>
      <c r="E875" t="s">
        <v>34</v>
      </c>
      <c r="F875" t="s">
        <v>11</v>
      </c>
      <c r="G875" t="s">
        <v>27</v>
      </c>
      <c r="H875">
        <v>2561.2800000000002</v>
      </c>
      <c r="I875" s="8" t="str" cm="1">
        <f t="array" ref="I875">_xlfn.IFS(C875&lt;=15,"Children and Young Adolescents", C875&gt;64, "Seniors", TRUE, "Working Age")</f>
        <v>Seniors</v>
      </c>
      <c r="J875" s="6">
        <f>VLOOKUP(F875,Analysis!$F$1:$G$5,2,FALSE)</f>
        <v>2503.6022787783854</v>
      </c>
      <c r="K875">
        <f t="shared" si="52"/>
        <v>2817.4</v>
      </c>
      <c r="L875">
        <f t="shared" si="53"/>
        <v>2817.4100000000003</v>
      </c>
      <c r="M875">
        <f t="shared" si="54"/>
        <v>2817.41</v>
      </c>
      <c r="N875" s="5" t="str">
        <f t="shared" si="55"/>
        <v>May 2022</v>
      </c>
    </row>
    <row r="876" spans="1:14" x14ac:dyDescent="0.25">
      <c r="A876" s="1">
        <v>44690</v>
      </c>
      <c r="B876" t="s">
        <v>2015</v>
      </c>
      <c r="C876">
        <v>94</v>
      </c>
      <c r="D876" t="s">
        <v>21</v>
      </c>
      <c r="E876" t="s">
        <v>10</v>
      </c>
      <c r="F876" t="s">
        <v>29</v>
      </c>
      <c r="G876" t="s">
        <v>17</v>
      </c>
      <c r="H876">
        <v>2078.9299999999998</v>
      </c>
      <c r="I876" s="8" t="str" cm="1">
        <f t="array" ref="I876">_xlfn.IFS(C876&lt;=15,"Children and Young Adolescents", C876&gt;64, "Seniors", TRUE, "Working Age")</f>
        <v>Seniors</v>
      </c>
      <c r="J876" s="6">
        <f>VLOOKUP(F876,Analysis!$F$1:$G$5,2,FALSE)</f>
        <v>2496.7676064256989</v>
      </c>
      <c r="K876">
        <f t="shared" si="52"/>
        <v>2286.8200000000002</v>
      </c>
      <c r="L876">
        <f t="shared" si="53"/>
        <v>2286.8300000000004</v>
      </c>
      <c r="M876">
        <f t="shared" si="54"/>
        <v>2286.8200000000002</v>
      </c>
      <c r="N876" s="5" t="str">
        <f t="shared" si="55"/>
        <v>May 2022</v>
      </c>
    </row>
    <row r="877" spans="1:14" x14ac:dyDescent="0.25">
      <c r="A877" s="1">
        <v>44690</v>
      </c>
      <c r="B877" t="s">
        <v>4149</v>
      </c>
      <c r="C877">
        <v>87</v>
      </c>
      <c r="D877" t="s">
        <v>21</v>
      </c>
      <c r="E877" t="s">
        <v>32</v>
      </c>
      <c r="F877" t="s">
        <v>23</v>
      </c>
      <c r="G877" t="s">
        <v>27</v>
      </c>
      <c r="H877">
        <v>932.11</v>
      </c>
      <c r="I877" s="8" t="str" cm="1">
        <f t="array" ref="I877">_xlfn.IFS(C877&lt;=15,"Children and Young Adolescents", C877&gt;64, "Seniors", TRUE, "Working Age")</f>
        <v>Seniors</v>
      </c>
      <c r="J877" s="6">
        <f>VLOOKUP(F877,Analysis!$F$1:$G$5,2,FALSE)</f>
        <v>2440.2966694490838</v>
      </c>
      <c r="K877">
        <f t="shared" si="52"/>
        <v>1025.32</v>
      </c>
      <c r="L877">
        <f t="shared" si="53"/>
        <v>1025.33</v>
      </c>
      <c r="M877">
        <f t="shared" si="54"/>
        <v>1025.32</v>
      </c>
      <c r="N877" s="5" t="str">
        <f t="shared" si="55"/>
        <v>May 2022</v>
      </c>
    </row>
    <row r="878" spans="1:14" x14ac:dyDescent="0.25">
      <c r="A878" s="1">
        <v>44690</v>
      </c>
      <c r="B878" t="s">
        <v>1219</v>
      </c>
      <c r="C878">
        <v>42</v>
      </c>
      <c r="D878" t="s">
        <v>9</v>
      </c>
      <c r="E878" t="s">
        <v>10</v>
      </c>
      <c r="F878" t="s">
        <v>16</v>
      </c>
      <c r="G878" t="s">
        <v>5033</v>
      </c>
      <c r="H878">
        <v>4822.05</v>
      </c>
      <c r="I878" s="8" t="str" cm="1">
        <f t="array" ref="I878">_xlfn.IFS(C878&lt;=15,"Children and Young Adolescents", C878&gt;64, "Seniors", TRUE, "Working Age")</f>
        <v>Working Age</v>
      </c>
      <c r="J878" s="6">
        <f>VLOOKUP(F878,Analysis!$F$1:$G$5,2,FALSE)</f>
        <v>2509.1716796874912</v>
      </c>
      <c r="K878">
        <f t="shared" si="52"/>
        <v>5304.25</v>
      </c>
      <c r="L878">
        <f t="shared" si="53"/>
        <v>5304.26</v>
      </c>
      <c r="M878">
        <f t="shared" si="54"/>
        <v>5304.26</v>
      </c>
      <c r="N878" s="5" t="str">
        <f t="shared" si="55"/>
        <v>May 2022</v>
      </c>
    </row>
    <row r="879" spans="1:14" x14ac:dyDescent="0.25">
      <c r="A879" s="1">
        <v>44691</v>
      </c>
      <c r="B879" t="s">
        <v>1543</v>
      </c>
      <c r="C879">
        <v>55</v>
      </c>
      <c r="D879" t="s">
        <v>14</v>
      </c>
      <c r="E879" t="s">
        <v>22</v>
      </c>
      <c r="F879" t="s">
        <v>23</v>
      </c>
      <c r="G879" t="s">
        <v>12</v>
      </c>
      <c r="H879">
        <v>4363.8999999999996</v>
      </c>
      <c r="I879" s="8" t="str" cm="1">
        <f t="array" ref="I879">_xlfn.IFS(C879&lt;=15,"Children and Young Adolescents", C879&gt;64, "Seniors", TRUE, "Working Age")</f>
        <v>Working Age</v>
      </c>
      <c r="J879" s="6">
        <f>VLOOKUP(F879,Analysis!$F$1:$G$5,2,FALSE)</f>
        <v>2440.2966694490838</v>
      </c>
      <c r="K879">
        <f t="shared" si="52"/>
        <v>4800.29</v>
      </c>
      <c r="L879">
        <f t="shared" si="53"/>
        <v>4800.29</v>
      </c>
      <c r="M879">
        <f t="shared" si="54"/>
        <v>4800.29</v>
      </c>
      <c r="N879" s="5" t="str">
        <f t="shared" si="55"/>
        <v>May 2022</v>
      </c>
    </row>
    <row r="880" spans="1:14" x14ac:dyDescent="0.25">
      <c r="A880" s="1">
        <v>44691</v>
      </c>
      <c r="B880" t="s">
        <v>1820</v>
      </c>
      <c r="C880">
        <v>48</v>
      </c>
      <c r="D880" t="s">
        <v>9</v>
      </c>
      <c r="E880" t="s">
        <v>25</v>
      </c>
      <c r="F880" t="s">
        <v>23</v>
      </c>
      <c r="G880" t="s">
        <v>17</v>
      </c>
      <c r="H880">
        <v>1386.42</v>
      </c>
      <c r="I880" s="8" t="str" cm="1">
        <f t="array" ref="I880">_xlfn.IFS(C880&lt;=15,"Children and Young Adolescents", C880&gt;64, "Seniors", TRUE, "Working Age")</f>
        <v>Working Age</v>
      </c>
      <c r="J880" s="6">
        <f>VLOOKUP(F880,Analysis!$F$1:$G$5,2,FALSE)</f>
        <v>2440.2966694490838</v>
      </c>
      <c r="K880">
        <f t="shared" si="52"/>
        <v>1525.06</v>
      </c>
      <c r="L880">
        <f t="shared" si="53"/>
        <v>1525.07</v>
      </c>
      <c r="M880">
        <f t="shared" si="54"/>
        <v>1525.06</v>
      </c>
      <c r="N880" s="5" t="str">
        <f t="shared" si="55"/>
        <v>May 2022</v>
      </c>
    </row>
    <row r="881" spans="1:14" x14ac:dyDescent="0.25">
      <c r="A881" s="1">
        <v>44691</v>
      </c>
      <c r="B881" t="s">
        <v>887</v>
      </c>
      <c r="C881">
        <v>97</v>
      </c>
      <c r="D881" t="s">
        <v>21</v>
      </c>
      <c r="E881" t="s">
        <v>25</v>
      </c>
      <c r="F881" t="s">
        <v>16</v>
      </c>
      <c r="G881" t="s">
        <v>36</v>
      </c>
      <c r="H881">
        <v>943.81</v>
      </c>
      <c r="I881" s="8" t="str" cm="1">
        <f t="array" ref="I881">_xlfn.IFS(C881&lt;=15,"Children and Young Adolescents", C881&gt;64, "Seniors", TRUE, "Working Age")</f>
        <v>Seniors</v>
      </c>
      <c r="J881" s="6">
        <f>VLOOKUP(F881,Analysis!$F$1:$G$5,2,FALSE)</f>
        <v>2509.1716796874912</v>
      </c>
      <c r="K881">
        <f t="shared" si="52"/>
        <v>1038.19</v>
      </c>
      <c r="L881">
        <f t="shared" si="53"/>
        <v>1038.2</v>
      </c>
      <c r="M881">
        <f t="shared" si="54"/>
        <v>1038.19</v>
      </c>
      <c r="N881" s="5" t="str">
        <f t="shared" si="55"/>
        <v>May 2022</v>
      </c>
    </row>
    <row r="882" spans="1:14" x14ac:dyDescent="0.25">
      <c r="A882" s="1">
        <v>44691</v>
      </c>
      <c r="B882" t="s">
        <v>4775</v>
      </c>
      <c r="C882">
        <v>8</v>
      </c>
      <c r="D882" t="s">
        <v>14</v>
      </c>
      <c r="E882" t="s">
        <v>15</v>
      </c>
      <c r="F882" t="s">
        <v>29</v>
      </c>
      <c r="G882" t="s">
        <v>17</v>
      </c>
      <c r="H882">
        <v>2833.08</v>
      </c>
      <c r="I882" s="8" t="str" cm="1">
        <f t="array" ref="I882">_xlfn.IFS(C882&lt;=15,"Children and Young Adolescents", C882&gt;64, "Seniors", TRUE, "Working Age")</f>
        <v>Children and Young Adolescents</v>
      </c>
      <c r="J882" s="6">
        <f>VLOOKUP(F882,Analysis!$F$1:$G$5,2,FALSE)</f>
        <v>2496.7676064256989</v>
      </c>
      <c r="K882">
        <f t="shared" si="52"/>
        <v>3116.38</v>
      </c>
      <c r="L882">
        <f t="shared" si="53"/>
        <v>3116.3900000000003</v>
      </c>
      <c r="M882">
        <f t="shared" si="54"/>
        <v>3116.39</v>
      </c>
      <c r="N882" s="5" t="str">
        <f t="shared" si="55"/>
        <v>May 2022</v>
      </c>
    </row>
    <row r="883" spans="1:14" x14ac:dyDescent="0.25">
      <c r="A883" s="1">
        <v>44692</v>
      </c>
      <c r="B883" t="s">
        <v>4284</v>
      </c>
      <c r="C883">
        <v>71</v>
      </c>
      <c r="D883" t="s">
        <v>9</v>
      </c>
      <c r="E883" t="s">
        <v>25</v>
      </c>
      <c r="F883" t="s">
        <v>23</v>
      </c>
      <c r="G883" t="s">
        <v>17</v>
      </c>
      <c r="H883">
        <v>3163.04</v>
      </c>
      <c r="I883" s="8" t="str" cm="1">
        <f t="array" ref="I883">_xlfn.IFS(C883&lt;=15,"Children and Young Adolescents", C883&gt;64, "Seniors", TRUE, "Working Age")</f>
        <v>Seniors</v>
      </c>
      <c r="J883" s="6">
        <f>VLOOKUP(F883,Analysis!$F$1:$G$5,2,FALSE)</f>
        <v>2440.2966694490838</v>
      </c>
      <c r="K883">
        <f t="shared" si="52"/>
        <v>3479.34</v>
      </c>
      <c r="L883">
        <f t="shared" si="53"/>
        <v>3479.3500000000004</v>
      </c>
      <c r="M883">
        <f t="shared" si="54"/>
        <v>3479.34</v>
      </c>
      <c r="N883" s="5" t="str">
        <f t="shared" si="55"/>
        <v>May 2022</v>
      </c>
    </row>
    <row r="884" spans="1:14" x14ac:dyDescent="0.25">
      <c r="A884" s="1">
        <v>44692</v>
      </c>
      <c r="B884" t="s">
        <v>4611</v>
      </c>
      <c r="C884">
        <v>83</v>
      </c>
      <c r="D884" t="s">
        <v>21</v>
      </c>
      <c r="E884" t="s">
        <v>10</v>
      </c>
      <c r="F884" t="s">
        <v>29</v>
      </c>
      <c r="G884" t="s">
        <v>36</v>
      </c>
      <c r="H884">
        <v>3467.69</v>
      </c>
      <c r="I884" s="8" t="str" cm="1">
        <f t="array" ref="I884">_xlfn.IFS(C884&lt;=15,"Children and Young Adolescents", C884&gt;64, "Seniors", TRUE, "Working Age")</f>
        <v>Seniors</v>
      </c>
      <c r="J884" s="6">
        <f>VLOOKUP(F884,Analysis!$F$1:$G$5,2,FALSE)</f>
        <v>2496.7676064256989</v>
      </c>
      <c r="K884">
        <f t="shared" si="52"/>
        <v>3814.45</v>
      </c>
      <c r="L884">
        <f t="shared" si="53"/>
        <v>3814.46</v>
      </c>
      <c r="M884">
        <f t="shared" si="54"/>
        <v>3814.46</v>
      </c>
      <c r="N884" s="5" t="str">
        <f t="shared" si="55"/>
        <v>May 2022</v>
      </c>
    </row>
    <row r="885" spans="1:14" x14ac:dyDescent="0.25">
      <c r="A885" s="1">
        <v>44692</v>
      </c>
      <c r="B885" t="s">
        <v>3733</v>
      </c>
      <c r="C885">
        <v>46</v>
      </c>
      <c r="D885" t="s">
        <v>14</v>
      </c>
      <c r="E885" t="s">
        <v>32</v>
      </c>
      <c r="F885" t="s">
        <v>16</v>
      </c>
      <c r="G885" t="s">
        <v>12</v>
      </c>
      <c r="H885">
        <v>3926.11</v>
      </c>
      <c r="I885" s="8" t="str" cm="1">
        <f t="array" ref="I885">_xlfn.IFS(C885&lt;=15,"Children and Young Adolescents", C885&gt;64, "Seniors", TRUE, "Working Age")</f>
        <v>Working Age</v>
      </c>
      <c r="J885" s="6">
        <f>VLOOKUP(F885,Analysis!$F$1:$G$5,2,FALSE)</f>
        <v>2509.1716796874912</v>
      </c>
      <c r="K885">
        <f t="shared" si="52"/>
        <v>4318.72</v>
      </c>
      <c r="L885">
        <f t="shared" si="53"/>
        <v>4318.7300000000005</v>
      </c>
      <c r="M885">
        <f t="shared" si="54"/>
        <v>4318.72</v>
      </c>
      <c r="N885" s="5" t="str">
        <f t="shared" si="55"/>
        <v>May 2022</v>
      </c>
    </row>
    <row r="886" spans="1:14" x14ac:dyDescent="0.25">
      <c r="A886" s="1">
        <v>44692</v>
      </c>
      <c r="B886" t="s">
        <v>526</v>
      </c>
      <c r="C886">
        <v>86</v>
      </c>
      <c r="D886" t="s">
        <v>21</v>
      </c>
      <c r="E886" t="s">
        <v>19</v>
      </c>
      <c r="F886" t="s">
        <v>23</v>
      </c>
      <c r="G886" t="s">
        <v>39</v>
      </c>
      <c r="H886">
        <v>4469.4799999999996</v>
      </c>
      <c r="I886" s="8" t="str" cm="1">
        <f t="array" ref="I886">_xlfn.IFS(C886&lt;=15,"Children and Young Adolescents", C886&gt;64, "Seniors", TRUE, "Working Age")</f>
        <v>Seniors</v>
      </c>
      <c r="J886" s="6">
        <f>VLOOKUP(F886,Analysis!$F$1:$G$5,2,FALSE)</f>
        <v>2440.2966694490838</v>
      </c>
      <c r="K886">
        <f t="shared" si="52"/>
        <v>4916.42</v>
      </c>
      <c r="L886">
        <f t="shared" si="53"/>
        <v>4916.43</v>
      </c>
      <c r="M886">
        <f t="shared" si="54"/>
        <v>4916.43</v>
      </c>
      <c r="N886" s="5" t="str">
        <f t="shared" si="55"/>
        <v>May 2022</v>
      </c>
    </row>
    <row r="887" spans="1:14" x14ac:dyDescent="0.25">
      <c r="A887" s="1">
        <v>44692</v>
      </c>
      <c r="B887" t="s">
        <v>3792</v>
      </c>
      <c r="C887">
        <v>20</v>
      </c>
      <c r="D887" t="s">
        <v>21</v>
      </c>
      <c r="E887" t="s">
        <v>34</v>
      </c>
      <c r="F887" t="s">
        <v>29</v>
      </c>
      <c r="G887" t="s">
        <v>12</v>
      </c>
      <c r="H887">
        <v>4207.5200000000004</v>
      </c>
      <c r="I887" s="8" t="str" cm="1">
        <f t="array" ref="I887">_xlfn.IFS(C887&lt;=15,"Children and Young Adolescents", C887&gt;64, "Seniors", TRUE, "Working Age")</f>
        <v>Working Age</v>
      </c>
      <c r="J887" s="6">
        <f>VLOOKUP(F887,Analysis!$F$1:$G$5,2,FALSE)</f>
        <v>2496.7676064256989</v>
      </c>
      <c r="K887">
        <f t="shared" si="52"/>
        <v>4628.2700000000004</v>
      </c>
      <c r="L887">
        <f t="shared" si="53"/>
        <v>4628.2800000000007</v>
      </c>
      <c r="M887">
        <f t="shared" si="54"/>
        <v>4628.2700000000004</v>
      </c>
      <c r="N887" s="5" t="str">
        <f t="shared" si="55"/>
        <v>May 2022</v>
      </c>
    </row>
    <row r="888" spans="1:14" x14ac:dyDescent="0.25">
      <c r="A888" s="1">
        <v>44692</v>
      </c>
      <c r="B888" t="s">
        <v>2896</v>
      </c>
      <c r="C888">
        <v>40</v>
      </c>
      <c r="D888" t="s">
        <v>9</v>
      </c>
      <c r="E888" t="s">
        <v>34</v>
      </c>
      <c r="F888" t="s">
        <v>29</v>
      </c>
      <c r="G888" t="s">
        <v>27</v>
      </c>
      <c r="H888">
        <v>2889.37</v>
      </c>
      <c r="I888" s="8" t="str" cm="1">
        <f t="array" ref="I888">_xlfn.IFS(C888&lt;=15,"Children and Young Adolescents", C888&gt;64, "Seniors", TRUE, "Working Age")</f>
        <v>Working Age</v>
      </c>
      <c r="J888" s="6">
        <f>VLOOKUP(F888,Analysis!$F$1:$G$5,2,FALSE)</f>
        <v>2496.7676064256989</v>
      </c>
      <c r="K888">
        <f t="shared" si="52"/>
        <v>3178.3</v>
      </c>
      <c r="L888">
        <f t="shared" si="53"/>
        <v>3178.3100000000004</v>
      </c>
      <c r="M888">
        <f t="shared" si="54"/>
        <v>3178.31</v>
      </c>
      <c r="N888" s="5" t="str">
        <f t="shared" si="55"/>
        <v>May 2022</v>
      </c>
    </row>
    <row r="889" spans="1:14" x14ac:dyDescent="0.25">
      <c r="A889" s="1">
        <v>44692</v>
      </c>
      <c r="B889" t="s">
        <v>3877</v>
      </c>
      <c r="C889">
        <v>80</v>
      </c>
      <c r="D889" t="s">
        <v>14</v>
      </c>
      <c r="E889" t="s">
        <v>5032</v>
      </c>
      <c r="F889" t="s">
        <v>11</v>
      </c>
      <c r="G889" t="s">
        <v>12</v>
      </c>
      <c r="H889">
        <v>520.78</v>
      </c>
      <c r="I889" s="8" t="str" cm="1">
        <f t="array" ref="I889">_xlfn.IFS(C889&lt;=15,"Children and Young Adolescents", C889&gt;64, "Seniors", TRUE, "Working Age")</f>
        <v>Seniors</v>
      </c>
      <c r="J889" s="6">
        <f>VLOOKUP(F889,Analysis!$F$1:$G$5,2,FALSE)</f>
        <v>2503.6022787783854</v>
      </c>
      <c r="K889">
        <f t="shared" si="52"/>
        <v>572.85</v>
      </c>
      <c r="L889">
        <f t="shared" si="53"/>
        <v>572.86</v>
      </c>
      <c r="M889">
        <f t="shared" si="54"/>
        <v>572.86</v>
      </c>
      <c r="N889" s="5" t="str">
        <f t="shared" si="55"/>
        <v>May 2022</v>
      </c>
    </row>
    <row r="890" spans="1:14" x14ac:dyDescent="0.25">
      <c r="A890" s="1">
        <v>44692</v>
      </c>
      <c r="B890" t="s">
        <v>2365</v>
      </c>
      <c r="C890">
        <v>61</v>
      </c>
      <c r="D890" t="s">
        <v>21</v>
      </c>
      <c r="E890" t="s">
        <v>34</v>
      </c>
      <c r="F890" t="s">
        <v>23</v>
      </c>
      <c r="G890" t="s">
        <v>12</v>
      </c>
      <c r="H890">
        <v>1301.46</v>
      </c>
      <c r="I890" s="8" t="str" cm="1">
        <f t="array" ref="I890">_xlfn.IFS(C890&lt;=15,"Children and Young Adolescents", C890&gt;64, "Seniors", TRUE, "Working Age")</f>
        <v>Working Age</v>
      </c>
      <c r="J890" s="6">
        <f>VLOOKUP(F890,Analysis!$F$1:$G$5,2,FALSE)</f>
        <v>2440.2966694490838</v>
      </c>
      <c r="K890">
        <f t="shared" si="52"/>
        <v>1431.6</v>
      </c>
      <c r="L890">
        <f t="shared" si="53"/>
        <v>1431.61</v>
      </c>
      <c r="M890">
        <f t="shared" si="54"/>
        <v>1431.61</v>
      </c>
      <c r="N890" s="5" t="str">
        <f t="shared" si="55"/>
        <v>May 2022</v>
      </c>
    </row>
    <row r="891" spans="1:14" x14ac:dyDescent="0.25">
      <c r="A891" s="1">
        <v>44693</v>
      </c>
      <c r="B891" t="s">
        <v>3597</v>
      </c>
      <c r="C891">
        <v>81</v>
      </c>
      <c r="D891" t="s">
        <v>14</v>
      </c>
      <c r="E891" t="s">
        <v>15</v>
      </c>
      <c r="F891" t="s">
        <v>11</v>
      </c>
      <c r="G891" t="s">
        <v>36</v>
      </c>
      <c r="H891">
        <v>4668.92</v>
      </c>
      <c r="I891" s="8" t="str" cm="1">
        <f t="array" ref="I891">_xlfn.IFS(C891&lt;=15,"Children and Young Adolescents", C891&gt;64, "Seniors", TRUE, "Working Age")</f>
        <v>Seniors</v>
      </c>
      <c r="J891" s="6">
        <f>VLOOKUP(F891,Analysis!$F$1:$G$5,2,FALSE)</f>
        <v>2503.6022787783854</v>
      </c>
      <c r="K891">
        <f t="shared" si="52"/>
        <v>5135.8100000000004</v>
      </c>
      <c r="L891">
        <f t="shared" si="53"/>
        <v>5135.8200000000006</v>
      </c>
      <c r="M891">
        <f t="shared" si="54"/>
        <v>5135.8100000000004</v>
      </c>
      <c r="N891" s="5" t="str">
        <f t="shared" si="55"/>
        <v>May 2022</v>
      </c>
    </row>
    <row r="892" spans="1:14" x14ac:dyDescent="0.25">
      <c r="A892" s="1">
        <v>44693</v>
      </c>
      <c r="B892" t="s">
        <v>3279</v>
      </c>
      <c r="C892">
        <v>95</v>
      </c>
      <c r="D892" t="s">
        <v>9</v>
      </c>
      <c r="E892" t="s">
        <v>15</v>
      </c>
      <c r="F892" t="s">
        <v>23</v>
      </c>
      <c r="G892" t="s">
        <v>17</v>
      </c>
      <c r="H892">
        <v>1406.42</v>
      </c>
      <c r="I892" s="8" t="str" cm="1">
        <f t="array" ref="I892">_xlfn.IFS(C892&lt;=15,"Children and Young Adolescents", C892&gt;64, "Seniors", TRUE, "Working Age")</f>
        <v>Seniors</v>
      </c>
      <c r="J892" s="6">
        <f>VLOOKUP(F892,Analysis!$F$1:$G$5,2,FALSE)</f>
        <v>2440.2966694490838</v>
      </c>
      <c r="K892">
        <f t="shared" si="52"/>
        <v>1547.06</v>
      </c>
      <c r="L892">
        <f t="shared" si="53"/>
        <v>1547.07</v>
      </c>
      <c r="M892">
        <f t="shared" si="54"/>
        <v>1547.06</v>
      </c>
      <c r="N892" s="5" t="str">
        <f t="shared" si="55"/>
        <v>May 2022</v>
      </c>
    </row>
    <row r="893" spans="1:14" x14ac:dyDescent="0.25">
      <c r="A893" s="1">
        <v>44693</v>
      </c>
      <c r="B893" t="s">
        <v>4182</v>
      </c>
      <c r="C893">
        <v>62</v>
      </c>
      <c r="D893" t="s">
        <v>14</v>
      </c>
      <c r="E893" t="s">
        <v>25</v>
      </c>
      <c r="F893" t="s">
        <v>16</v>
      </c>
      <c r="G893" t="s">
        <v>17</v>
      </c>
      <c r="H893">
        <v>1658.61</v>
      </c>
      <c r="I893" s="8" t="str" cm="1">
        <f t="array" ref="I893">_xlfn.IFS(C893&lt;=15,"Children and Young Adolescents", C893&gt;64, "Seniors", TRUE, "Working Age")</f>
        <v>Working Age</v>
      </c>
      <c r="J893" s="6">
        <f>VLOOKUP(F893,Analysis!$F$1:$G$5,2,FALSE)</f>
        <v>2509.1716796874912</v>
      </c>
      <c r="K893">
        <f t="shared" si="52"/>
        <v>1824.47</v>
      </c>
      <c r="L893">
        <f t="shared" si="53"/>
        <v>1824.48</v>
      </c>
      <c r="M893">
        <f t="shared" si="54"/>
        <v>1824.47</v>
      </c>
      <c r="N893" s="5" t="str">
        <f t="shared" si="55"/>
        <v>May 2022</v>
      </c>
    </row>
    <row r="894" spans="1:14" x14ac:dyDescent="0.25">
      <c r="A894" s="1">
        <v>44693</v>
      </c>
      <c r="B894" t="s">
        <v>1810</v>
      </c>
      <c r="C894">
        <v>71</v>
      </c>
      <c r="D894" t="s">
        <v>14</v>
      </c>
      <c r="E894" t="s">
        <v>34</v>
      </c>
      <c r="F894" t="s">
        <v>11</v>
      </c>
      <c r="G894" t="s">
        <v>39</v>
      </c>
      <c r="H894">
        <v>4358.91</v>
      </c>
      <c r="I894" s="8" t="str" cm="1">
        <f t="array" ref="I894">_xlfn.IFS(C894&lt;=15,"Children and Young Adolescents", C894&gt;64, "Seniors", TRUE, "Working Age")</f>
        <v>Seniors</v>
      </c>
      <c r="J894" s="6">
        <f>VLOOKUP(F894,Analysis!$F$1:$G$5,2,FALSE)</f>
        <v>2503.6022787783854</v>
      </c>
      <c r="K894">
        <f t="shared" si="52"/>
        <v>4794.8</v>
      </c>
      <c r="L894">
        <f t="shared" si="53"/>
        <v>4794.8100000000004</v>
      </c>
      <c r="M894">
        <f t="shared" si="54"/>
        <v>4794.8</v>
      </c>
      <c r="N894" s="5" t="str">
        <f t="shared" si="55"/>
        <v>May 2022</v>
      </c>
    </row>
    <row r="895" spans="1:14" x14ac:dyDescent="0.25">
      <c r="A895" s="1">
        <v>44693</v>
      </c>
      <c r="B895" t="s">
        <v>612</v>
      </c>
      <c r="C895">
        <v>41</v>
      </c>
      <c r="D895" t="s">
        <v>21</v>
      </c>
      <c r="E895" t="s">
        <v>15</v>
      </c>
      <c r="F895" t="s">
        <v>23</v>
      </c>
      <c r="G895" t="s">
        <v>27</v>
      </c>
      <c r="H895">
        <v>727.93</v>
      </c>
      <c r="I895" s="8" t="str" cm="1">
        <f t="array" ref="I895">_xlfn.IFS(C895&lt;=15,"Children and Young Adolescents", C895&gt;64, "Seniors", TRUE, "Working Age")</f>
        <v>Working Age</v>
      </c>
      <c r="J895" s="6">
        <f>VLOOKUP(F895,Analysis!$F$1:$G$5,2,FALSE)</f>
        <v>2440.2966694490838</v>
      </c>
      <c r="K895">
        <f t="shared" si="52"/>
        <v>800.72</v>
      </c>
      <c r="L895">
        <f t="shared" si="53"/>
        <v>800.73</v>
      </c>
      <c r="M895">
        <f t="shared" si="54"/>
        <v>800.72</v>
      </c>
      <c r="N895" s="5" t="str">
        <f t="shared" si="55"/>
        <v>May 2022</v>
      </c>
    </row>
    <row r="896" spans="1:14" x14ac:dyDescent="0.25">
      <c r="A896" s="1">
        <v>44693</v>
      </c>
      <c r="B896" t="s">
        <v>3686</v>
      </c>
      <c r="C896">
        <v>43</v>
      </c>
      <c r="D896" t="s">
        <v>21</v>
      </c>
      <c r="E896" t="s">
        <v>19</v>
      </c>
      <c r="F896" t="s">
        <v>16</v>
      </c>
      <c r="G896" t="s">
        <v>17</v>
      </c>
      <c r="H896">
        <v>2173.21</v>
      </c>
      <c r="I896" s="8" t="str" cm="1">
        <f t="array" ref="I896">_xlfn.IFS(C896&lt;=15,"Children and Young Adolescents", C896&gt;64, "Seniors", TRUE, "Working Age")</f>
        <v>Working Age</v>
      </c>
      <c r="J896" s="6">
        <f>VLOOKUP(F896,Analysis!$F$1:$G$5,2,FALSE)</f>
        <v>2509.1716796874912</v>
      </c>
      <c r="K896">
        <f t="shared" si="52"/>
        <v>2390.5300000000002</v>
      </c>
      <c r="L896">
        <f t="shared" si="53"/>
        <v>2390.5400000000004</v>
      </c>
      <c r="M896">
        <f t="shared" si="54"/>
        <v>2390.5300000000002</v>
      </c>
      <c r="N896" s="5" t="str">
        <f t="shared" si="55"/>
        <v>May 2022</v>
      </c>
    </row>
    <row r="897" spans="1:14" x14ac:dyDescent="0.25">
      <c r="A897" s="1">
        <v>44693</v>
      </c>
      <c r="B897" t="s">
        <v>1952</v>
      </c>
      <c r="C897">
        <v>79</v>
      </c>
      <c r="D897" t="s">
        <v>9</v>
      </c>
      <c r="E897" t="s">
        <v>15</v>
      </c>
      <c r="F897" t="s">
        <v>29</v>
      </c>
      <c r="G897" t="s">
        <v>27</v>
      </c>
      <c r="H897">
        <v>3742.67</v>
      </c>
      <c r="I897" s="8" t="str" cm="1">
        <f t="array" ref="I897">_xlfn.IFS(C897&lt;=15,"Children and Young Adolescents", C897&gt;64, "Seniors", TRUE, "Working Age")</f>
        <v>Seniors</v>
      </c>
      <c r="J897" s="6">
        <f>VLOOKUP(F897,Analysis!$F$1:$G$5,2,FALSE)</f>
        <v>2496.7676064256989</v>
      </c>
      <c r="K897">
        <f t="shared" si="52"/>
        <v>4116.93</v>
      </c>
      <c r="L897">
        <f t="shared" si="53"/>
        <v>4116.9400000000005</v>
      </c>
      <c r="M897">
        <f t="shared" si="54"/>
        <v>4116.9399999999996</v>
      </c>
      <c r="N897" s="5" t="str">
        <f t="shared" si="55"/>
        <v>May 2022</v>
      </c>
    </row>
    <row r="898" spans="1:14" x14ac:dyDescent="0.25">
      <c r="A898" s="1">
        <v>44694</v>
      </c>
      <c r="B898" t="s">
        <v>3022</v>
      </c>
      <c r="C898">
        <v>97</v>
      </c>
      <c r="D898" t="s">
        <v>14</v>
      </c>
      <c r="E898" t="s">
        <v>32</v>
      </c>
      <c r="F898" t="s">
        <v>11</v>
      </c>
      <c r="G898" t="s">
        <v>5033</v>
      </c>
      <c r="H898">
        <v>3574.58</v>
      </c>
      <c r="I898" s="8" t="str" cm="1">
        <f t="array" ref="I898">_xlfn.IFS(C898&lt;=15,"Children and Young Adolescents", C898&gt;64, "Seniors", TRUE, "Working Age")</f>
        <v>Seniors</v>
      </c>
      <c r="J898" s="6">
        <f>VLOOKUP(F898,Analysis!$F$1:$G$5,2,FALSE)</f>
        <v>2503.6022787783854</v>
      </c>
      <c r="K898">
        <f t="shared" si="52"/>
        <v>3932.03</v>
      </c>
      <c r="L898">
        <f t="shared" si="53"/>
        <v>3932.0400000000004</v>
      </c>
      <c r="M898">
        <f t="shared" si="54"/>
        <v>3932.04</v>
      </c>
      <c r="N898" s="5" t="str">
        <f t="shared" si="55"/>
        <v>May 2022</v>
      </c>
    </row>
    <row r="899" spans="1:14" x14ac:dyDescent="0.25">
      <c r="A899" s="1">
        <v>44694</v>
      </c>
      <c r="B899" t="s">
        <v>166</v>
      </c>
      <c r="C899">
        <v>68</v>
      </c>
      <c r="D899" t="s">
        <v>14</v>
      </c>
      <c r="E899" t="s">
        <v>5032</v>
      </c>
      <c r="F899" t="s">
        <v>23</v>
      </c>
      <c r="G899" t="s">
        <v>12</v>
      </c>
      <c r="H899">
        <v>1371.45</v>
      </c>
      <c r="I899" s="8" t="str" cm="1">
        <f t="array" ref="I899">_xlfn.IFS(C899&lt;=15,"Children and Young Adolescents", C899&gt;64, "Seniors", TRUE, "Working Age")</f>
        <v>Seniors</v>
      </c>
      <c r="J899" s="6">
        <f>VLOOKUP(F899,Analysis!$F$1:$G$5,2,FALSE)</f>
        <v>2440.2966694490838</v>
      </c>
      <c r="K899">
        <f t="shared" ref="K899:K962" si="56">ROUNDDOWN(H899*1.1,2)</f>
        <v>1508.59</v>
      </c>
      <c r="L899">
        <f t="shared" ref="L899:L962" si="57">ROUNDUP(H899*1.1,2)</f>
        <v>1508.6</v>
      </c>
      <c r="M899">
        <f t="shared" ref="M899:M962" si="58">ROUND(H899*1.1,2)</f>
        <v>1508.6</v>
      </c>
      <c r="N899" s="5" t="str">
        <f t="shared" ref="N899:N962" si="59">TEXT(A899,"mmmm yyyy")</f>
        <v>May 2022</v>
      </c>
    </row>
    <row r="900" spans="1:14" x14ac:dyDescent="0.25">
      <c r="A900" s="1">
        <v>44694</v>
      </c>
      <c r="B900" t="s">
        <v>3713</v>
      </c>
      <c r="C900">
        <v>94</v>
      </c>
      <c r="D900" t="s">
        <v>14</v>
      </c>
      <c r="E900" t="s">
        <v>19</v>
      </c>
      <c r="F900" t="s">
        <v>16</v>
      </c>
      <c r="G900" t="s">
        <v>5033</v>
      </c>
      <c r="H900">
        <v>4366.07</v>
      </c>
      <c r="I900" s="8" t="str" cm="1">
        <f t="array" ref="I900">_xlfn.IFS(C900&lt;=15,"Children and Young Adolescents", C900&gt;64, "Seniors", TRUE, "Working Age")</f>
        <v>Seniors</v>
      </c>
      <c r="J900" s="6">
        <f>VLOOKUP(F900,Analysis!$F$1:$G$5,2,FALSE)</f>
        <v>2509.1716796874912</v>
      </c>
      <c r="K900">
        <f t="shared" si="56"/>
        <v>4802.67</v>
      </c>
      <c r="L900">
        <f t="shared" si="57"/>
        <v>4802.68</v>
      </c>
      <c r="M900">
        <f t="shared" si="58"/>
        <v>4802.68</v>
      </c>
      <c r="N900" s="5" t="str">
        <f t="shared" si="59"/>
        <v>May 2022</v>
      </c>
    </row>
    <row r="901" spans="1:14" x14ac:dyDescent="0.25">
      <c r="A901" s="1">
        <v>44695</v>
      </c>
      <c r="B901" t="s">
        <v>4529</v>
      </c>
      <c r="C901">
        <v>76</v>
      </c>
      <c r="D901" t="s">
        <v>21</v>
      </c>
      <c r="E901" t="s">
        <v>5032</v>
      </c>
      <c r="F901" t="s">
        <v>23</v>
      </c>
      <c r="G901" t="s">
        <v>12</v>
      </c>
      <c r="H901">
        <v>2248.81</v>
      </c>
      <c r="I901" s="8" t="str" cm="1">
        <f t="array" ref="I901">_xlfn.IFS(C901&lt;=15,"Children and Young Adolescents", C901&gt;64, "Seniors", TRUE, "Working Age")</f>
        <v>Seniors</v>
      </c>
      <c r="J901" s="6">
        <f>VLOOKUP(F901,Analysis!$F$1:$G$5,2,FALSE)</f>
        <v>2440.2966694490838</v>
      </c>
      <c r="K901">
        <f t="shared" si="56"/>
        <v>2473.69</v>
      </c>
      <c r="L901">
        <f t="shared" si="57"/>
        <v>2473.7000000000003</v>
      </c>
      <c r="M901">
        <f t="shared" si="58"/>
        <v>2473.69</v>
      </c>
      <c r="N901" s="5" t="str">
        <f t="shared" si="59"/>
        <v>May 2022</v>
      </c>
    </row>
    <row r="902" spans="1:14" x14ac:dyDescent="0.25">
      <c r="A902" s="1">
        <v>44695</v>
      </c>
      <c r="B902" t="s">
        <v>3709</v>
      </c>
      <c r="C902">
        <v>77</v>
      </c>
      <c r="D902" t="s">
        <v>14</v>
      </c>
      <c r="E902" t="s">
        <v>19</v>
      </c>
      <c r="F902" t="s">
        <v>16</v>
      </c>
      <c r="G902" t="s">
        <v>39</v>
      </c>
      <c r="H902">
        <v>3556.63</v>
      </c>
      <c r="I902" s="8" t="str" cm="1">
        <f t="array" ref="I902">_xlfn.IFS(C902&lt;=15,"Children and Young Adolescents", C902&gt;64, "Seniors", TRUE, "Working Age")</f>
        <v>Seniors</v>
      </c>
      <c r="J902" s="6">
        <f>VLOOKUP(F902,Analysis!$F$1:$G$5,2,FALSE)</f>
        <v>2509.1716796874912</v>
      </c>
      <c r="K902">
        <f t="shared" si="56"/>
        <v>3912.29</v>
      </c>
      <c r="L902">
        <f t="shared" si="57"/>
        <v>3912.3</v>
      </c>
      <c r="M902">
        <f t="shared" si="58"/>
        <v>3912.29</v>
      </c>
      <c r="N902" s="5" t="str">
        <f t="shared" si="59"/>
        <v>May 2022</v>
      </c>
    </row>
    <row r="903" spans="1:14" x14ac:dyDescent="0.25">
      <c r="A903" s="1">
        <v>44695</v>
      </c>
      <c r="B903" t="s">
        <v>112</v>
      </c>
      <c r="C903">
        <v>31</v>
      </c>
      <c r="D903" t="s">
        <v>21</v>
      </c>
      <c r="E903" t="s">
        <v>15</v>
      </c>
      <c r="F903" t="s">
        <v>23</v>
      </c>
      <c r="G903" t="s">
        <v>39</v>
      </c>
      <c r="H903">
        <v>4076.08</v>
      </c>
      <c r="I903" s="8" t="str" cm="1">
        <f t="array" ref="I903">_xlfn.IFS(C903&lt;=15,"Children and Young Adolescents", C903&gt;64, "Seniors", TRUE, "Working Age")</f>
        <v>Working Age</v>
      </c>
      <c r="J903" s="6">
        <f>VLOOKUP(F903,Analysis!$F$1:$G$5,2,FALSE)</f>
        <v>2440.2966694490838</v>
      </c>
      <c r="K903">
        <f t="shared" si="56"/>
        <v>4483.68</v>
      </c>
      <c r="L903">
        <f t="shared" si="57"/>
        <v>4483.6900000000005</v>
      </c>
      <c r="M903">
        <f t="shared" si="58"/>
        <v>4483.6899999999996</v>
      </c>
      <c r="N903" s="5" t="str">
        <f t="shared" si="59"/>
        <v>May 2022</v>
      </c>
    </row>
    <row r="904" spans="1:14" x14ac:dyDescent="0.25">
      <c r="A904" s="1">
        <v>44695</v>
      </c>
      <c r="B904" t="s">
        <v>3868</v>
      </c>
      <c r="C904">
        <v>30</v>
      </c>
      <c r="D904" t="s">
        <v>9</v>
      </c>
      <c r="E904" t="s">
        <v>15</v>
      </c>
      <c r="F904" t="s">
        <v>16</v>
      </c>
      <c r="G904" t="s">
        <v>5033</v>
      </c>
      <c r="H904">
        <v>1909.1</v>
      </c>
      <c r="I904" s="8" t="str" cm="1">
        <f t="array" ref="I904">_xlfn.IFS(C904&lt;=15,"Children and Young Adolescents", C904&gt;64, "Seniors", TRUE, "Working Age")</f>
        <v>Working Age</v>
      </c>
      <c r="J904" s="6">
        <f>VLOOKUP(F904,Analysis!$F$1:$G$5,2,FALSE)</f>
        <v>2509.1716796874912</v>
      </c>
      <c r="K904">
        <f t="shared" si="56"/>
        <v>2100.0100000000002</v>
      </c>
      <c r="L904">
        <f t="shared" si="57"/>
        <v>2100.0100000000002</v>
      </c>
      <c r="M904">
        <f t="shared" si="58"/>
        <v>2100.0100000000002</v>
      </c>
      <c r="N904" s="5" t="str">
        <f t="shared" si="59"/>
        <v>May 2022</v>
      </c>
    </row>
    <row r="905" spans="1:14" x14ac:dyDescent="0.25">
      <c r="A905" s="1">
        <v>44695</v>
      </c>
      <c r="B905" t="s">
        <v>1956</v>
      </c>
      <c r="C905">
        <v>14</v>
      </c>
      <c r="D905" t="s">
        <v>9</v>
      </c>
      <c r="E905" t="s">
        <v>15</v>
      </c>
      <c r="F905" t="s">
        <v>23</v>
      </c>
      <c r="G905" t="s">
        <v>27</v>
      </c>
      <c r="H905">
        <v>2930</v>
      </c>
      <c r="I905" s="8" t="str" cm="1">
        <f t="array" ref="I905">_xlfn.IFS(C905&lt;=15,"Children and Young Adolescents", C905&gt;64, "Seniors", TRUE, "Working Age")</f>
        <v>Children and Young Adolescents</v>
      </c>
      <c r="J905" s="6">
        <f>VLOOKUP(F905,Analysis!$F$1:$G$5,2,FALSE)</f>
        <v>2440.2966694490838</v>
      </c>
      <c r="K905">
        <f t="shared" si="56"/>
        <v>3223</v>
      </c>
      <c r="L905">
        <f t="shared" si="57"/>
        <v>3223</v>
      </c>
      <c r="M905">
        <f t="shared" si="58"/>
        <v>3223</v>
      </c>
      <c r="N905" s="5" t="str">
        <f t="shared" si="59"/>
        <v>May 2022</v>
      </c>
    </row>
    <row r="906" spans="1:14" x14ac:dyDescent="0.25">
      <c r="A906" s="1">
        <v>44695</v>
      </c>
      <c r="B906" t="s">
        <v>3836</v>
      </c>
      <c r="C906">
        <v>82</v>
      </c>
      <c r="D906" t="s">
        <v>14</v>
      </c>
      <c r="E906" t="s">
        <v>25</v>
      </c>
      <c r="F906" t="s">
        <v>29</v>
      </c>
      <c r="G906" t="s">
        <v>27</v>
      </c>
      <c r="H906">
        <v>4734.6000000000004</v>
      </c>
      <c r="I906" s="8" t="str" cm="1">
        <f t="array" ref="I906">_xlfn.IFS(C906&lt;=15,"Children and Young Adolescents", C906&gt;64, "Seniors", TRUE, "Working Age")</f>
        <v>Seniors</v>
      </c>
      <c r="J906" s="6">
        <f>VLOOKUP(F906,Analysis!$F$1:$G$5,2,FALSE)</f>
        <v>2496.7676064256989</v>
      </c>
      <c r="K906">
        <f t="shared" si="56"/>
        <v>5208.0600000000004</v>
      </c>
      <c r="L906">
        <f t="shared" si="57"/>
        <v>5208.0600000000004</v>
      </c>
      <c r="M906">
        <f t="shared" si="58"/>
        <v>5208.0600000000004</v>
      </c>
      <c r="N906" s="5" t="str">
        <f t="shared" si="59"/>
        <v>May 2022</v>
      </c>
    </row>
    <row r="907" spans="1:14" x14ac:dyDescent="0.25">
      <c r="A907" s="1">
        <v>44695</v>
      </c>
      <c r="B907" t="s">
        <v>4019</v>
      </c>
      <c r="C907">
        <v>97</v>
      </c>
      <c r="D907" t="s">
        <v>9</v>
      </c>
      <c r="E907" t="s">
        <v>10</v>
      </c>
      <c r="F907" t="s">
        <v>11</v>
      </c>
      <c r="G907" t="s">
        <v>39</v>
      </c>
      <c r="H907">
        <v>4360.01</v>
      </c>
      <c r="I907" s="8" t="str" cm="1">
        <f t="array" ref="I907">_xlfn.IFS(C907&lt;=15,"Children and Young Adolescents", C907&gt;64, "Seniors", TRUE, "Working Age")</f>
        <v>Seniors</v>
      </c>
      <c r="J907" s="6">
        <f>VLOOKUP(F907,Analysis!$F$1:$G$5,2,FALSE)</f>
        <v>2503.6022787783854</v>
      </c>
      <c r="K907">
        <f t="shared" si="56"/>
        <v>4796.01</v>
      </c>
      <c r="L907">
        <f t="shared" si="57"/>
        <v>4796.0200000000004</v>
      </c>
      <c r="M907">
        <f t="shared" si="58"/>
        <v>4796.01</v>
      </c>
      <c r="N907" s="5" t="str">
        <f t="shared" si="59"/>
        <v>May 2022</v>
      </c>
    </row>
    <row r="908" spans="1:14" x14ac:dyDescent="0.25">
      <c r="A908" s="1">
        <v>44695</v>
      </c>
      <c r="B908" t="s">
        <v>4728</v>
      </c>
      <c r="C908">
        <v>90</v>
      </c>
      <c r="D908" t="s">
        <v>21</v>
      </c>
      <c r="E908" t="s">
        <v>15</v>
      </c>
      <c r="F908" t="s">
        <v>29</v>
      </c>
      <c r="G908" t="s">
        <v>17</v>
      </c>
      <c r="H908">
        <v>1605.67</v>
      </c>
      <c r="I908" s="8" t="str" cm="1">
        <f t="array" ref="I908">_xlfn.IFS(C908&lt;=15,"Children and Young Adolescents", C908&gt;64, "Seniors", TRUE, "Working Age")</f>
        <v>Seniors</v>
      </c>
      <c r="J908" s="6">
        <f>VLOOKUP(F908,Analysis!$F$1:$G$5,2,FALSE)</f>
        <v>2496.7676064256989</v>
      </c>
      <c r="K908">
        <f t="shared" si="56"/>
        <v>1766.23</v>
      </c>
      <c r="L908">
        <f t="shared" si="57"/>
        <v>1766.24</v>
      </c>
      <c r="M908">
        <f t="shared" si="58"/>
        <v>1766.24</v>
      </c>
      <c r="N908" s="5" t="str">
        <f t="shared" si="59"/>
        <v>May 2022</v>
      </c>
    </row>
    <row r="909" spans="1:14" x14ac:dyDescent="0.25">
      <c r="A909" s="1">
        <v>44695</v>
      </c>
      <c r="B909" t="s">
        <v>1394</v>
      </c>
      <c r="C909">
        <v>12</v>
      </c>
      <c r="D909" t="s">
        <v>9</v>
      </c>
      <c r="E909" t="s">
        <v>5032</v>
      </c>
      <c r="F909" t="s">
        <v>16</v>
      </c>
      <c r="G909" t="s">
        <v>12</v>
      </c>
      <c r="H909">
        <v>2629.12</v>
      </c>
      <c r="I909" s="8" t="str" cm="1">
        <f t="array" ref="I909">_xlfn.IFS(C909&lt;=15,"Children and Young Adolescents", C909&gt;64, "Seniors", TRUE, "Working Age")</f>
        <v>Children and Young Adolescents</v>
      </c>
      <c r="J909" s="6">
        <f>VLOOKUP(F909,Analysis!$F$1:$G$5,2,FALSE)</f>
        <v>2509.1716796874912</v>
      </c>
      <c r="K909">
        <f t="shared" si="56"/>
        <v>2892.03</v>
      </c>
      <c r="L909">
        <f t="shared" si="57"/>
        <v>2892.0400000000004</v>
      </c>
      <c r="M909">
        <f t="shared" si="58"/>
        <v>2892.03</v>
      </c>
      <c r="N909" s="5" t="str">
        <f t="shared" si="59"/>
        <v>May 2022</v>
      </c>
    </row>
    <row r="910" spans="1:14" x14ac:dyDescent="0.25">
      <c r="A910" s="1">
        <v>44696</v>
      </c>
      <c r="B910" t="s">
        <v>2680</v>
      </c>
      <c r="C910">
        <v>8</v>
      </c>
      <c r="D910" t="s">
        <v>9</v>
      </c>
      <c r="E910" t="s">
        <v>22</v>
      </c>
      <c r="F910" t="s">
        <v>23</v>
      </c>
      <c r="G910" t="s">
        <v>36</v>
      </c>
      <c r="H910">
        <v>1732.63</v>
      </c>
      <c r="I910" s="8" t="str" cm="1">
        <f t="array" ref="I910">_xlfn.IFS(C910&lt;=15,"Children and Young Adolescents", C910&gt;64, "Seniors", TRUE, "Working Age")</f>
        <v>Children and Young Adolescents</v>
      </c>
      <c r="J910" s="6">
        <f>VLOOKUP(F910,Analysis!$F$1:$G$5,2,FALSE)</f>
        <v>2440.2966694490838</v>
      </c>
      <c r="K910">
        <f t="shared" si="56"/>
        <v>1905.89</v>
      </c>
      <c r="L910">
        <f t="shared" si="57"/>
        <v>1905.9</v>
      </c>
      <c r="M910">
        <f t="shared" si="58"/>
        <v>1905.89</v>
      </c>
      <c r="N910" s="5" t="str">
        <f t="shared" si="59"/>
        <v>May 2022</v>
      </c>
    </row>
    <row r="911" spans="1:14" x14ac:dyDescent="0.25">
      <c r="A911" s="1">
        <v>44696</v>
      </c>
      <c r="B911" t="s">
        <v>4635</v>
      </c>
      <c r="C911">
        <v>86</v>
      </c>
      <c r="D911" t="s">
        <v>9</v>
      </c>
      <c r="E911" t="s">
        <v>22</v>
      </c>
      <c r="F911" t="s">
        <v>16</v>
      </c>
      <c r="G911" t="s">
        <v>17</v>
      </c>
      <c r="H911">
        <v>3839.01</v>
      </c>
      <c r="I911" s="8" t="str" cm="1">
        <f t="array" ref="I911">_xlfn.IFS(C911&lt;=15,"Children and Young Adolescents", C911&gt;64, "Seniors", TRUE, "Working Age")</f>
        <v>Seniors</v>
      </c>
      <c r="J911" s="6">
        <f>VLOOKUP(F911,Analysis!$F$1:$G$5,2,FALSE)</f>
        <v>2509.1716796874912</v>
      </c>
      <c r="K911">
        <f t="shared" si="56"/>
        <v>4222.91</v>
      </c>
      <c r="L911">
        <f t="shared" si="57"/>
        <v>4222.92</v>
      </c>
      <c r="M911">
        <f t="shared" si="58"/>
        <v>4222.91</v>
      </c>
      <c r="N911" s="5" t="str">
        <f t="shared" si="59"/>
        <v>May 2022</v>
      </c>
    </row>
    <row r="912" spans="1:14" x14ac:dyDescent="0.25">
      <c r="A912" s="1">
        <v>44696</v>
      </c>
      <c r="B912" t="s">
        <v>1902</v>
      </c>
      <c r="C912">
        <v>93</v>
      </c>
      <c r="D912" t="s">
        <v>14</v>
      </c>
      <c r="E912" t="s">
        <v>34</v>
      </c>
      <c r="F912" t="s">
        <v>23</v>
      </c>
      <c r="G912" t="s">
        <v>39</v>
      </c>
      <c r="H912">
        <v>4567.53</v>
      </c>
      <c r="I912" s="8" t="str" cm="1">
        <f t="array" ref="I912">_xlfn.IFS(C912&lt;=15,"Children and Young Adolescents", C912&gt;64, "Seniors", TRUE, "Working Age")</f>
        <v>Seniors</v>
      </c>
      <c r="J912" s="6">
        <f>VLOOKUP(F912,Analysis!$F$1:$G$5,2,FALSE)</f>
        <v>2440.2966694490838</v>
      </c>
      <c r="K912">
        <f t="shared" si="56"/>
        <v>5024.28</v>
      </c>
      <c r="L912">
        <f t="shared" si="57"/>
        <v>5024.29</v>
      </c>
      <c r="M912">
        <f t="shared" si="58"/>
        <v>5024.28</v>
      </c>
      <c r="N912" s="5" t="str">
        <f t="shared" si="59"/>
        <v>May 2022</v>
      </c>
    </row>
    <row r="913" spans="1:14" x14ac:dyDescent="0.25">
      <c r="A913" s="1">
        <v>44696</v>
      </c>
      <c r="B913" t="s">
        <v>4997</v>
      </c>
      <c r="C913">
        <v>76</v>
      </c>
      <c r="D913" t="s">
        <v>21</v>
      </c>
      <c r="E913" t="s">
        <v>22</v>
      </c>
      <c r="F913" t="s">
        <v>11</v>
      </c>
      <c r="G913" t="s">
        <v>17</v>
      </c>
      <c r="H913">
        <v>4707.54</v>
      </c>
      <c r="I913" s="8" t="str" cm="1">
        <f t="array" ref="I913">_xlfn.IFS(C913&lt;=15,"Children and Young Adolescents", C913&gt;64, "Seniors", TRUE, "Working Age")</f>
        <v>Seniors</v>
      </c>
      <c r="J913" s="6">
        <f>VLOOKUP(F913,Analysis!$F$1:$G$5,2,FALSE)</f>
        <v>2503.6022787783854</v>
      </c>
      <c r="K913">
        <f t="shared" si="56"/>
        <v>5178.29</v>
      </c>
      <c r="L913">
        <f t="shared" si="57"/>
        <v>5178.3</v>
      </c>
      <c r="M913">
        <f t="shared" si="58"/>
        <v>5178.29</v>
      </c>
      <c r="N913" s="5" t="str">
        <f t="shared" si="59"/>
        <v>May 2022</v>
      </c>
    </row>
    <row r="914" spans="1:14" x14ac:dyDescent="0.25">
      <c r="A914" s="1">
        <v>44696</v>
      </c>
      <c r="B914" t="s">
        <v>3934</v>
      </c>
      <c r="C914">
        <v>20</v>
      </c>
      <c r="D914" t="s">
        <v>14</v>
      </c>
      <c r="E914" t="s">
        <v>32</v>
      </c>
      <c r="F914" t="s">
        <v>16</v>
      </c>
      <c r="G914" t="s">
        <v>17</v>
      </c>
      <c r="H914">
        <v>2554.62</v>
      </c>
      <c r="I914" s="8" t="str" cm="1">
        <f t="array" ref="I914">_xlfn.IFS(C914&lt;=15,"Children and Young Adolescents", C914&gt;64, "Seniors", TRUE, "Working Age")</f>
        <v>Working Age</v>
      </c>
      <c r="J914" s="6">
        <f>VLOOKUP(F914,Analysis!$F$1:$G$5,2,FALSE)</f>
        <v>2509.1716796874912</v>
      </c>
      <c r="K914">
        <f t="shared" si="56"/>
        <v>2810.08</v>
      </c>
      <c r="L914">
        <f t="shared" si="57"/>
        <v>2810.09</v>
      </c>
      <c r="M914">
        <f t="shared" si="58"/>
        <v>2810.08</v>
      </c>
      <c r="N914" s="5" t="str">
        <f t="shared" si="59"/>
        <v>May 2022</v>
      </c>
    </row>
    <row r="915" spans="1:14" x14ac:dyDescent="0.25">
      <c r="A915" s="1">
        <v>44696</v>
      </c>
      <c r="B915" t="s">
        <v>4647</v>
      </c>
      <c r="C915">
        <v>53</v>
      </c>
      <c r="D915" t="s">
        <v>9</v>
      </c>
      <c r="E915" t="s">
        <v>22</v>
      </c>
      <c r="F915" t="s">
        <v>29</v>
      </c>
      <c r="G915" t="s">
        <v>17</v>
      </c>
      <c r="H915">
        <v>3276.01</v>
      </c>
      <c r="I915" s="8" t="str" cm="1">
        <f t="array" ref="I915">_xlfn.IFS(C915&lt;=15,"Children and Young Adolescents", C915&gt;64, "Seniors", TRUE, "Working Age")</f>
        <v>Working Age</v>
      </c>
      <c r="J915" s="6">
        <f>VLOOKUP(F915,Analysis!$F$1:$G$5,2,FALSE)</f>
        <v>2496.7676064256989</v>
      </c>
      <c r="K915">
        <f t="shared" si="56"/>
        <v>3603.61</v>
      </c>
      <c r="L915">
        <f t="shared" si="57"/>
        <v>3603.6200000000003</v>
      </c>
      <c r="M915">
        <f t="shared" si="58"/>
        <v>3603.61</v>
      </c>
      <c r="N915" s="5" t="str">
        <f t="shared" si="59"/>
        <v>May 2022</v>
      </c>
    </row>
    <row r="916" spans="1:14" x14ac:dyDescent="0.25">
      <c r="A916" s="1">
        <v>44697</v>
      </c>
      <c r="B916" t="s">
        <v>1084</v>
      </c>
      <c r="C916">
        <v>28</v>
      </c>
      <c r="D916" t="s">
        <v>21</v>
      </c>
      <c r="E916" t="s">
        <v>22</v>
      </c>
      <c r="F916" t="s">
        <v>23</v>
      </c>
      <c r="G916" t="s">
        <v>36</v>
      </c>
      <c r="H916">
        <v>3410.42</v>
      </c>
      <c r="I916" s="8" t="str" cm="1">
        <f t="array" ref="I916">_xlfn.IFS(C916&lt;=15,"Children and Young Adolescents", C916&gt;64, "Seniors", TRUE, "Working Age")</f>
        <v>Working Age</v>
      </c>
      <c r="J916" s="6">
        <f>VLOOKUP(F916,Analysis!$F$1:$G$5,2,FALSE)</f>
        <v>2440.2966694490838</v>
      </c>
      <c r="K916">
        <f t="shared" si="56"/>
        <v>3751.46</v>
      </c>
      <c r="L916">
        <f t="shared" si="57"/>
        <v>3751.4700000000003</v>
      </c>
      <c r="M916">
        <f t="shared" si="58"/>
        <v>3751.46</v>
      </c>
      <c r="N916" s="5" t="str">
        <f t="shared" si="59"/>
        <v>May 2022</v>
      </c>
    </row>
    <row r="917" spans="1:14" x14ac:dyDescent="0.25">
      <c r="A917" s="1">
        <v>44697</v>
      </c>
      <c r="B917" t="s">
        <v>3123</v>
      </c>
      <c r="C917">
        <v>15</v>
      </c>
      <c r="D917" t="s">
        <v>14</v>
      </c>
      <c r="E917" t="s">
        <v>34</v>
      </c>
      <c r="F917" t="s">
        <v>23</v>
      </c>
      <c r="G917" t="s">
        <v>27</v>
      </c>
      <c r="H917">
        <v>3667.86</v>
      </c>
      <c r="I917" s="8" t="str" cm="1">
        <f t="array" ref="I917">_xlfn.IFS(C917&lt;=15,"Children and Young Adolescents", C917&gt;64, "Seniors", TRUE, "Working Age")</f>
        <v>Children and Young Adolescents</v>
      </c>
      <c r="J917" s="6">
        <f>VLOOKUP(F917,Analysis!$F$1:$G$5,2,FALSE)</f>
        <v>2440.2966694490838</v>
      </c>
      <c r="K917">
        <f t="shared" si="56"/>
        <v>4034.64</v>
      </c>
      <c r="L917">
        <f t="shared" si="57"/>
        <v>4034.65</v>
      </c>
      <c r="M917">
        <f t="shared" si="58"/>
        <v>4034.65</v>
      </c>
      <c r="N917" s="5" t="str">
        <f t="shared" si="59"/>
        <v>May 2022</v>
      </c>
    </row>
    <row r="918" spans="1:14" x14ac:dyDescent="0.25">
      <c r="A918" s="1">
        <v>44697</v>
      </c>
      <c r="B918" t="s">
        <v>3313</v>
      </c>
      <c r="C918">
        <v>93</v>
      </c>
      <c r="D918" t="s">
        <v>21</v>
      </c>
      <c r="E918" t="s">
        <v>10</v>
      </c>
      <c r="F918" t="s">
        <v>11</v>
      </c>
      <c r="G918" t="s">
        <v>27</v>
      </c>
      <c r="H918">
        <v>1989.49</v>
      </c>
      <c r="I918" s="8" t="str" cm="1">
        <f t="array" ref="I918">_xlfn.IFS(C918&lt;=15,"Children and Young Adolescents", C918&gt;64, "Seniors", TRUE, "Working Age")</f>
        <v>Seniors</v>
      </c>
      <c r="J918" s="6">
        <f>VLOOKUP(F918,Analysis!$F$1:$G$5,2,FALSE)</f>
        <v>2503.6022787783854</v>
      </c>
      <c r="K918">
        <f t="shared" si="56"/>
        <v>2188.4299999999998</v>
      </c>
      <c r="L918">
        <f t="shared" si="57"/>
        <v>2188.44</v>
      </c>
      <c r="M918">
        <f t="shared" si="58"/>
        <v>2188.44</v>
      </c>
      <c r="N918" s="5" t="str">
        <f t="shared" si="59"/>
        <v>May 2022</v>
      </c>
    </row>
    <row r="919" spans="1:14" x14ac:dyDescent="0.25">
      <c r="A919" s="1">
        <v>44697</v>
      </c>
      <c r="B919" t="s">
        <v>4280</v>
      </c>
      <c r="C919">
        <v>60</v>
      </c>
      <c r="D919" t="s">
        <v>9</v>
      </c>
      <c r="E919" t="s">
        <v>34</v>
      </c>
      <c r="F919" t="s">
        <v>11</v>
      </c>
      <c r="G919" t="s">
        <v>39</v>
      </c>
      <c r="H919">
        <v>3200.01</v>
      </c>
      <c r="I919" s="8" t="str" cm="1">
        <f t="array" ref="I919">_xlfn.IFS(C919&lt;=15,"Children and Young Adolescents", C919&gt;64, "Seniors", TRUE, "Working Age")</f>
        <v>Working Age</v>
      </c>
      <c r="J919" s="6">
        <f>VLOOKUP(F919,Analysis!$F$1:$G$5,2,FALSE)</f>
        <v>2503.6022787783854</v>
      </c>
      <c r="K919">
        <f t="shared" si="56"/>
        <v>3520.01</v>
      </c>
      <c r="L919">
        <f t="shared" si="57"/>
        <v>3520.0200000000004</v>
      </c>
      <c r="M919">
        <f t="shared" si="58"/>
        <v>3520.01</v>
      </c>
      <c r="N919" s="5" t="str">
        <f t="shared" si="59"/>
        <v>May 2022</v>
      </c>
    </row>
    <row r="920" spans="1:14" x14ac:dyDescent="0.25">
      <c r="A920" s="1">
        <v>44698</v>
      </c>
      <c r="B920" t="s">
        <v>3951</v>
      </c>
      <c r="C920">
        <v>85</v>
      </c>
      <c r="D920" t="s">
        <v>21</v>
      </c>
      <c r="E920" t="s">
        <v>32</v>
      </c>
      <c r="F920" t="s">
        <v>16</v>
      </c>
      <c r="G920" t="s">
        <v>36</v>
      </c>
      <c r="H920">
        <v>2663.53</v>
      </c>
      <c r="I920" s="8" t="str" cm="1">
        <f t="array" ref="I920">_xlfn.IFS(C920&lt;=15,"Children and Young Adolescents", C920&gt;64, "Seniors", TRUE, "Working Age")</f>
        <v>Seniors</v>
      </c>
      <c r="J920" s="6">
        <f>VLOOKUP(F920,Analysis!$F$1:$G$5,2,FALSE)</f>
        <v>2509.1716796874912</v>
      </c>
      <c r="K920">
        <f t="shared" si="56"/>
        <v>2929.88</v>
      </c>
      <c r="L920">
        <f t="shared" si="57"/>
        <v>2929.8900000000003</v>
      </c>
      <c r="M920">
        <f t="shared" si="58"/>
        <v>2929.88</v>
      </c>
      <c r="N920" s="5" t="str">
        <f t="shared" si="59"/>
        <v>May 2022</v>
      </c>
    </row>
    <row r="921" spans="1:14" x14ac:dyDescent="0.25">
      <c r="A921" s="1">
        <v>44698</v>
      </c>
      <c r="B921" t="s">
        <v>349</v>
      </c>
      <c r="C921">
        <v>37</v>
      </c>
      <c r="D921" t="s">
        <v>9</v>
      </c>
      <c r="E921" t="s">
        <v>22</v>
      </c>
      <c r="F921" t="s">
        <v>23</v>
      </c>
      <c r="G921" t="s">
        <v>17</v>
      </c>
      <c r="H921">
        <v>235.73</v>
      </c>
      <c r="I921" s="8" t="str" cm="1">
        <f t="array" ref="I921">_xlfn.IFS(C921&lt;=15,"Children and Young Adolescents", C921&gt;64, "Seniors", TRUE, "Working Age")</f>
        <v>Working Age</v>
      </c>
      <c r="J921" s="6">
        <f>VLOOKUP(F921,Analysis!$F$1:$G$5,2,FALSE)</f>
        <v>2440.2966694490838</v>
      </c>
      <c r="K921">
        <f t="shared" si="56"/>
        <v>259.3</v>
      </c>
      <c r="L921">
        <f t="shared" si="57"/>
        <v>259.31</v>
      </c>
      <c r="M921">
        <f t="shared" si="58"/>
        <v>259.3</v>
      </c>
      <c r="N921" s="5" t="str">
        <f t="shared" si="59"/>
        <v>May 2022</v>
      </c>
    </row>
    <row r="922" spans="1:14" x14ac:dyDescent="0.25">
      <c r="A922" s="1">
        <v>44698</v>
      </c>
      <c r="B922" t="s">
        <v>3032</v>
      </c>
      <c r="C922">
        <v>49</v>
      </c>
      <c r="D922" t="s">
        <v>9</v>
      </c>
      <c r="E922" t="s">
        <v>19</v>
      </c>
      <c r="F922" t="s">
        <v>23</v>
      </c>
      <c r="G922" t="s">
        <v>36</v>
      </c>
      <c r="H922">
        <v>3213.23</v>
      </c>
      <c r="I922" s="8" t="str" cm="1">
        <f t="array" ref="I922">_xlfn.IFS(C922&lt;=15,"Children and Young Adolescents", C922&gt;64, "Seniors", TRUE, "Working Age")</f>
        <v>Working Age</v>
      </c>
      <c r="J922" s="6">
        <f>VLOOKUP(F922,Analysis!$F$1:$G$5,2,FALSE)</f>
        <v>2440.2966694490838</v>
      </c>
      <c r="K922">
        <f t="shared" si="56"/>
        <v>3534.55</v>
      </c>
      <c r="L922">
        <f t="shared" si="57"/>
        <v>3534.5600000000004</v>
      </c>
      <c r="M922">
        <f t="shared" si="58"/>
        <v>3534.55</v>
      </c>
      <c r="N922" s="5" t="str">
        <f t="shared" si="59"/>
        <v>May 2022</v>
      </c>
    </row>
    <row r="923" spans="1:14" x14ac:dyDescent="0.25">
      <c r="A923" s="1">
        <v>44698</v>
      </c>
      <c r="B923" t="s">
        <v>1054</v>
      </c>
      <c r="C923">
        <v>65</v>
      </c>
      <c r="D923" t="s">
        <v>14</v>
      </c>
      <c r="E923" t="s">
        <v>34</v>
      </c>
      <c r="F923" t="s">
        <v>23</v>
      </c>
      <c r="G923" t="s">
        <v>17</v>
      </c>
      <c r="H923">
        <v>827.69</v>
      </c>
      <c r="I923" s="8" t="str" cm="1">
        <f t="array" ref="I923">_xlfn.IFS(C923&lt;=15,"Children and Young Adolescents", C923&gt;64, "Seniors", TRUE, "Working Age")</f>
        <v>Seniors</v>
      </c>
      <c r="J923" s="6">
        <f>VLOOKUP(F923,Analysis!$F$1:$G$5,2,FALSE)</f>
        <v>2440.2966694490838</v>
      </c>
      <c r="K923">
        <f t="shared" si="56"/>
        <v>910.45</v>
      </c>
      <c r="L923">
        <f t="shared" si="57"/>
        <v>910.46</v>
      </c>
      <c r="M923">
        <f t="shared" si="58"/>
        <v>910.46</v>
      </c>
      <c r="N923" s="5" t="str">
        <f t="shared" si="59"/>
        <v>May 2022</v>
      </c>
    </row>
    <row r="924" spans="1:14" x14ac:dyDescent="0.25">
      <c r="A924" s="1">
        <v>44698</v>
      </c>
      <c r="B924" t="s">
        <v>3328</v>
      </c>
      <c r="C924">
        <v>49</v>
      </c>
      <c r="D924" t="s">
        <v>14</v>
      </c>
      <c r="E924" t="s">
        <v>22</v>
      </c>
      <c r="F924" t="s">
        <v>23</v>
      </c>
      <c r="G924" t="s">
        <v>5033</v>
      </c>
      <c r="H924">
        <v>375.46</v>
      </c>
      <c r="I924" s="8" t="str" cm="1">
        <f t="array" ref="I924">_xlfn.IFS(C924&lt;=15,"Children and Young Adolescents", C924&gt;64, "Seniors", TRUE, "Working Age")</f>
        <v>Working Age</v>
      </c>
      <c r="J924" s="6">
        <f>VLOOKUP(F924,Analysis!$F$1:$G$5,2,FALSE)</f>
        <v>2440.2966694490838</v>
      </c>
      <c r="K924">
        <f t="shared" si="56"/>
        <v>413</v>
      </c>
      <c r="L924">
        <f t="shared" si="57"/>
        <v>413.01</v>
      </c>
      <c r="M924">
        <f t="shared" si="58"/>
        <v>413.01</v>
      </c>
      <c r="N924" s="5" t="str">
        <f t="shared" si="59"/>
        <v>May 2022</v>
      </c>
    </row>
    <row r="925" spans="1:14" x14ac:dyDescent="0.25">
      <c r="A925" s="1">
        <v>44699</v>
      </c>
      <c r="B925" t="s">
        <v>4430</v>
      </c>
      <c r="C925">
        <v>69</v>
      </c>
      <c r="D925" t="s">
        <v>9</v>
      </c>
      <c r="E925" t="s">
        <v>25</v>
      </c>
      <c r="F925" t="s">
        <v>29</v>
      </c>
      <c r="G925" t="s">
        <v>36</v>
      </c>
      <c r="H925">
        <v>3239.71</v>
      </c>
      <c r="I925" s="8" t="str" cm="1">
        <f t="array" ref="I925">_xlfn.IFS(C925&lt;=15,"Children and Young Adolescents", C925&gt;64, "Seniors", TRUE, "Working Age")</f>
        <v>Seniors</v>
      </c>
      <c r="J925" s="6">
        <f>VLOOKUP(F925,Analysis!$F$1:$G$5,2,FALSE)</f>
        <v>2496.7676064256989</v>
      </c>
      <c r="K925">
        <f t="shared" si="56"/>
        <v>3563.68</v>
      </c>
      <c r="L925">
        <f t="shared" si="57"/>
        <v>3563.69</v>
      </c>
      <c r="M925">
        <f t="shared" si="58"/>
        <v>3563.68</v>
      </c>
      <c r="N925" s="5" t="str">
        <f t="shared" si="59"/>
        <v>May 2022</v>
      </c>
    </row>
    <row r="926" spans="1:14" x14ac:dyDescent="0.25">
      <c r="A926" s="1">
        <v>44699</v>
      </c>
      <c r="B926" t="s">
        <v>256</v>
      </c>
      <c r="C926">
        <v>91</v>
      </c>
      <c r="D926" t="s">
        <v>9</v>
      </c>
      <c r="E926" t="s">
        <v>32</v>
      </c>
      <c r="F926" t="s">
        <v>11</v>
      </c>
      <c r="G926" t="s">
        <v>17</v>
      </c>
      <c r="H926">
        <v>259.05</v>
      </c>
      <c r="I926" s="8" t="str" cm="1">
        <f t="array" ref="I926">_xlfn.IFS(C926&lt;=15,"Children and Young Adolescents", C926&gt;64, "Seniors", TRUE, "Working Age")</f>
        <v>Seniors</v>
      </c>
      <c r="J926" s="6">
        <f>VLOOKUP(F926,Analysis!$F$1:$G$5,2,FALSE)</f>
        <v>2503.6022787783854</v>
      </c>
      <c r="K926">
        <f t="shared" si="56"/>
        <v>284.95</v>
      </c>
      <c r="L926">
        <f t="shared" si="57"/>
        <v>284.95999999999998</v>
      </c>
      <c r="M926">
        <f t="shared" si="58"/>
        <v>284.95999999999998</v>
      </c>
      <c r="N926" s="5" t="str">
        <f t="shared" si="59"/>
        <v>May 2022</v>
      </c>
    </row>
    <row r="927" spans="1:14" x14ac:dyDescent="0.25">
      <c r="A927" s="1">
        <v>44700</v>
      </c>
      <c r="B927" t="s">
        <v>1160</v>
      </c>
      <c r="C927">
        <v>34</v>
      </c>
      <c r="D927" t="s">
        <v>9</v>
      </c>
      <c r="E927" t="s">
        <v>5032</v>
      </c>
      <c r="F927" t="s">
        <v>23</v>
      </c>
      <c r="G927" t="s">
        <v>12</v>
      </c>
      <c r="H927">
        <v>118.89</v>
      </c>
      <c r="I927" s="8" t="str" cm="1">
        <f t="array" ref="I927">_xlfn.IFS(C927&lt;=15,"Children and Young Adolescents", C927&gt;64, "Seniors", TRUE, "Working Age")</f>
        <v>Working Age</v>
      </c>
      <c r="J927" s="6">
        <f>VLOOKUP(F927,Analysis!$F$1:$G$5,2,FALSE)</f>
        <v>2440.2966694490838</v>
      </c>
      <c r="K927">
        <f t="shared" si="56"/>
        <v>130.77000000000001</v>
      </c>
      <c r="L927">
        <f t="shared" si="57"/>
        <v>130.78</v>
      </c>
      <c r="M927">
        <f t="shared" si="58"/>
        <v>130.78</v>
      </c>
      <c r="N927" s="5" t="str">
        <f t="shared" si="59"/>
        <v>May 2022</v>
      </c>
    </row>
    <row r="928" spans="1:14" x14ac:dyDescent="0.25">
      <c r="A928" s="1">
        <v>44700</v>
      </c>
      <c r="B928" t="s">
        <v>3368</v>
      </c>
      <c r="C928">
        <v>61</v>
      </c>
      <c r="D928" t="s">
        <v>21</v>
      </c>
      <c r="E928" t="s">
        <v>19</v>
      </c>
      <c r="F928" t="s">
        <v>16</v>
      </c>
      <c r="G928" t="s">
        <v>36</v>
      </c>
      <c r="H928">
        <v>2788.27</v>
      </c>
      <c r="I928" s="8" t="str" cm="1">
        <f t="array" ref="I928">_xlfn.IFS(C928&lt;=15,"Children and Young Adolescents", C928&gt;64, "Seniors", TRUE, "Working Age")</f>
        <v>Working Age</v>
      </c>
      <c r="J928" s="6">
        <f>VLOOKUP(F928,Analysis!$F$1:$G$5,2,FALSE)</f>
        <v>2509.1716796874912</v>
      </c>
      <c r="K928">
        <f t="shared" si="56"/>
        <v>3067.09</v>
      </c>
      <c r="L928">
        <f t="shared" si="57"/>
        <v>3067.1000000000004</v>
      </c>
      <c r="M928">
        <f t="shared" si="58"/>
        <v>3067.1</v>
      </c>
      <c r="N928" s="5" t="str">
        <f t="shared" si="59"/>
        <v>May 2022</v>
      </c>
    </row>
    <row r="929" spans="1:14" x14ac:dyDescent="0.25">
      <c r="A929" s="1">
        <v>44700</v>
      </c>
      <c r="B929" t="s">
        <v>2425</v>
      </c>
      <c r="C929">
        <v>63</v>
      </c>
      <c r="D929" t="s">
        <v>9</v>
      </c>
      <c r="E929" t="s">
        <v>19</v>
      </c>
      <c r="F929" t="s">
        <v>23</v>
      </c>
      <c r="G929" t="s">
        <v>12</v>
      </c>
      <c r="H929">
        <v>1176.5</v>
      </c>
      <c r="I929" s="8" t="str" cm="1">
        <f t="array" ref="I929">_xlfn.IFS(C929&lt;=15,"Children and Young Adolescents", C929&gt;64, "Seniors", TRUE, "Working Age")</f>
        <v>Working Age</v>
      </c>
      <c r="J929" s="6">
        <f>VLOOKUP(F929,Analysis!$F$1:$G$5,2,FALSE)</f>
        <v>2440.2966694490838</v>
      </c>
      <c r="K929">
        <f t="shared" si="56"/>
        <v>1294.1500000000001</v>
      </c>
      <c r="L929">
        <f t="shared" si="57"/>
        <v>1294.1500000000001</v>
      </c>
      <c r="M929">
        <f t="shared" si="58"/>
        <v>1294.1500000000001</v>
      </c>
      <c r="N929" s="5" t="str">
        <f t="shared" si="59"/>
        <v>May 2022</v>
      </c>
    </row>
    <row r="930" spans="1:14" x14ac:dyDescent="0.25">
      <c r="A930" s="1">
        <v>44700</v>
      </c>
      <c r="B930" t="s">
        <v>4486</v>
      </c>
      <c r="C930">
        <v>52</v>
      </c>
      <c r="D930" t="s">
        <v>21</v>
      </c>
      <c r="E930" t="s">
        <v>15</v>
      </c>
      <c r="F930" t="s">
        <v>29</v>
      </c>
      <c r="G930" t="s">
        <v>27</v>
      </c>
      <c r="H930">
        <v>1231.93</v>
      </c>
      <c r="I930" s="8" t="str" cm="1">
        <f t="array" ref="I930">_xlfn.IFS(C930&lt;=15,"Children and Young Adolescents", C930&gt;64, "Seniors", TRUE, "Working Age")</f>
        <v>Working Age</v>
      </c>
      <c r="J930" s="6">
        <f>VLOOKUP(F930,Analysis!$F$1:$G$5,2,FALSE)</f>
        <v>2496.7676064256989</v>
      </c>
      <c r="K930">
        <f t="shared" si="56"/>
        <v>1355.12</v>
      </c>
      <c r="L930">
        <f t="shared" si="57"/>
        <v>1355.1299999999999</v>
      </c>
      <c r="M930">
        <f t="shared" si="58"/>
        <v>1355.12</v>
      </c>
      <c r="N930" s="5" t="str">
        <f t="shared" si="59"/>
        <v>May 2022</v>
      </c>
    </row>
    <row r="931" spans="1:14" x14ac:dyDescent="0.25">
      <c r="A931" s="1">
        <v>44700</v>
      </c>
      <c r="B931" t="s">
        <v>742</v>
      </c>
      <c r="C931">
        <v>81</v>
      </c>
      <c r="D931" t="s">
        <v>14</v>
      </c>
      <c r="E931" t="s">
        <v>32</v>
      </c>
      <c r="F931" t="s">
        <v>29</v>
      </c>
      <c r="G931" t="s">
        <v>39</v>
      </c>
      <c r="H931">
        <v>2381.8000000000002</v>
      </c>
      <c r="I931" s="8" t="str" cm="1">
        <f t="array" ref="I931">_xlfn.IFS(C931&lt;=15,"Children and Young Adolescents", C931&gt;64, "Seniors", TRUE, "Working Age")</f>
        <v>Seniors</v>
      </c>
      <c r="J931" s="6">
        <f>VLOOKUP(F931,Analysis!$F$1:$G$5,2,FALSE)</f>
        <v>2496.7676064256989</v>
      </c>
      <c r="K931">
        <f t="shared" si="56"/>
        <v>2619.98</v>
      </c>
      <c r="L931">
        <f t="shared" si="57"/>
        <v>2619.98</v>
      </c>
      <c r="M931">
        <f t="shared" si="58"/>
        <v>2619.98</v>
      </c>
      <c r="N931" s="5" t="str">
        <f t="shared" si="59"/>
        <v>May 2022</v>
      </c>
    </row>
    <row r="932" spans="1:14" x14ac:dyDescent="0.25">
      <c r="A932" s="1">
        <v>44700</v>
      </c>
      <c r="B932" t="s">
        <v>4227</v>
      </c>
      <c r="C932">
        <v>32</v>
      </c>
      <c r="D932" t="s">
        <v>14</v>
      </c>
      <c r="E932" t="s">
        <v>19</v>
      </c>
      <c r="F932" t="s">
        <v>29</v>
      </c>
      <c r="G932" t="s">
        <v>39</v>
      </c>
      <c r="H932">
        <v>1848.72</v>
      </c>
      <c r="I932" s="8" t="str" cm="1">
        <f t="array" ref="I932">_xlfn.IFS(C932&lt;=15,"Children and Young Adolescents", C932&gt;64, "Seniors", TRUE, "Working Age")</f>
        <v>Working Age</v>
      </c>
      <c r="J932" s="6">
        <f>VLOOKUP(F932,Analysis!$F$1:$G$5,2,FALSE)</f>
        <v>2496.7676064256989</v>
      </c>
      <c r="K932">
        <f t="shared" si="56"/>
        <v>2033.59</v>
      </c>
      <c r="L932">
        <f t="shared" si="57"/>
        <v>2033.6</v>
      </c>
      <c r="M932">
        <f t="shared" si="58"/>
        <v>2033.59</v>
      </c>
      <c r="N932" s="5" t="str">
        <f t="shared" si="59"/>
        <v>May 2022</v>
      </c>
    </row>
    <row r="933" spans="1:14" x14ac:dyDescent="0.25">
      <c r="A933" s="1">
        <v>44700</v>
      </c>
      <c r="B933" t="s">
        <v>3635</v>
      </c>
      <c r="C933">
        <v>55</v>
      </c>
      <c r="D933" t="s">
        <v>21</v>
      </c>
      <c r="E933" t="s">
        <v>25</v>
      </c>
      <c r="F933" t="s">
        <v>16</v>
      </c>
      <c r="G933" t="s">
        <v>27</v>
      </c>
      <c r="H933">
        <v>4053.97</v>
      </c>
      <c r="I933" s="8" t="str" cm="1">
        <f t="array" ref="I933">_xlfn.IFS(C933&lt;=15,"Children and Young Adolescents", C933&gt;64, "Seniors", TRUE, "Working Age")</f>
        <v>Working Age</v>
      </c>
      <c r="J933" s="6">
        <f>VLOOKUP(F933,Analysis!$F$1:$G$5,2,FALSE)</f>
        <v>2509.1716796874912</v>
      </c>
      <c r="K933">
        <f t="shared" si="56"/>
        <v>4459.3599999999997</v>
      </c>
      <c r="L933">
        <f t="shared" si="57"/>
        <v>4459.37</v>
      </c>
      <c r="M933">
        <f t="shared" si="58"/>
        <v>4459.37</v>
      </c>
      <c r="N933" s="5" t="str">
        <f t="shared" si="59"/>
        <v>May 2022</v>
      </c>
    </row>
    <row r="934" spans="1:14" x14ac:dyDescent="0.25">
      <c r="A934" s="1">
        <v>44700</v>
      </c>
      <c r="B934" t="s">
        <v>387</v>
      </c>
      <c r="C934">
        <v>27</v>
      </c>
      <c r="D934" t="s">
        <v>21</v>
      </c>
      <c r="E934" t="s">
        <v>32</v>
      </c>
      <c r="F934" t="s">
        <v>29</v>
      </c>
      <c r="G934" t="s">
        <v>12</v>
      </c>
      <c r="H934">
        <v>1623.18</v>
      </c>
      <c r="I934" s="8" t="str" cm="1">
        <f t="array" ref="I934">_xlfn.IFS(C934&lt;=15,"Children and Young Adolescents", C934&gt;64, "Seniors", TRUE, "Working Age")</f>
        <v>Working Age</v>
      </c>
      <c r="J934" s="6">
        <f>VLOOKUP(F934,Analysis!$F$1:$G$5,2,FALSE)</f>
        <v>2496.7676064256989</v>
      </c>
      <c r="K934">
        <f t="shared" si="56"/>
        <v>1785.49</v>
      </c>
      <c r="L934">
        <f t="shared" si="57"/>
        <v>1785.5</v>
      </c>
      <c r="M934">
        <f t="shared" si="58"/>
        <v>1785.5</v>
      </c>
      <c r="N934" s="5" t="str">
        <f t="shared" si="59"/>
        <v>May 2022</v>
      </c>
    </row>
    <row r="935" spans="1:14" x14ac:dyDescent="0.25">
      <c r="A935" s="1">
        <v>44700</v>
      </c>
      <c r="B935" t="s">
        <v>4026</v>
      </c>
      <c r="C935">
        <v>33</v>
      </c>
      <c r="D935" t="s">
        <v>9</v>
      </c>
      <c r="E935" t="s">
        <v>22</v>
      </c>
      <c r="F935" t="s">
        <v>16</v>
      </c>
      <c r="G935" t="s">
        <v>17</v>
      </c>
      <c r="H935">
        <v>2423.77</v>
      </c>
      <c r="I935" s="8" t="str" cm="1">
        <f t="array" ref="I935">_xlfn.IFS(C935&lt;=15,"Children and Young Adolescents", C935&gt;64, "Seniors", TRUE, "Working Age")</f>
        <v>Working Age</v>
      </c>
      <c r="J935" s="6">
        <f>VLOOKUP(F935,Analysis!$F$1:$G$5,2,FALSE)</f>
        <v>2509.1716796874912</v>
      </c>
      <c r="K935">
        <f t="shared" si="56"/>
        <v>2666.14</v>
      </c>
      <c r="L935">
        <f t="shared" si="57"/>
        <v>2666.15</v>
      </c>
      <c r="M935">
        <f t="shared" si="58"/>
        <v>2666.15</v>
      </c>
      <c r="N935" s="5" t="str">
        <f t="shared" si="59"/>
        <v>May 2022</v>
      </c>
    </row>
    <row r="936" spans="1:14" x14ac:dyDescent="0.25">
      <c r="A936" s="1">
        <v>44700</v>
      </c>
      <c r="B936" t="s">
        <v>3389</v>
      </c>
      <c r="C936">
        <v>80</v>
      </c>
      <c r="D936" t="s">
        <v>21</v>
      </c>
      <c r="E936" t="s">
        <v>5032</v>
      </c>
      <c r="F936" t="s">
        <v>29</v>
      </c>
      <c r="G936" t="s">
        <v>39</v>
      </c>
      <c r="H936">
        <v>4304.2299999999996</v>
      </c>
      <c r="I936" s="8" t="str" cm="1">
        <f t="array" ref="I936">_xlfn.IFS(C936&lt;=15,"Children and Young Adolescents", C936&gt;64, "Seniors", TRUE, "Working Age")</f>
        <v>Seniors</v>
      </c>
      <c r="J936" s="6">
        <f>VLOOKUP(F936,Analysis!$F$1:$G$5,2,FALSE)</f>
        <v>2496.7676064256989</v>
      </c>
      <c r="K936">
        <f t="shared" si="56"/>
        <v>4734.6499999999996</v>
      </c>
      <c r="L936">
        <f t="shared" si="57"/>
        <v>4734.66</v>
      </c>
      <c r="M936">
        <f t="shared" si="58"/>
        <v>4734.6499999999996</v>
      </c>
      <c r="N936" s="5" t="str">
        <f t="shared" si="59"/>
        <v>May 2022</v>
      </c>
    </row>
    <row r="937" spans="1:14" x14ac:dyDescent="0.25">
      <c r="A937" s="1">
        <v>44701</v>
      </c>
      <c r="B937" t="s">
        <v>3198</v>
      </c>
      <c r="C937">
        <v>33</v>
      </c>
      <c r="D937" t="s">
        <v>21</v>
      </c>
      <c r="E937" t="s">
        <v>32</v>
      </c>
      <c r="F937" t="s">
        <v>29</v>
      </c>
      <c r="G937" t="s">
        <v>36</v>
      </c>
      <c r="H937">
        <v>4345.37</v>
      </c>
      <c r="I937" s="8" t="str" cm="1">
        <f t="array" ref="I937">_xlfn.IFS(C937&lt;=15,"Children and Young Adolescents", C937&gt;64, "Seniors", TRUE, "Working Age")</f>
        <v>Working Age</v>
      </c>
      <c r="J937" s="6">
        <f>VLOOKUP(F937,Analysis!$F$1:$G$5,2,FALSE)</f>
        <v>2496.7676064256989</v>
      </c>
      <c r="K937">
        <f t="shared" si="56"/>
        <v>4779.8999999999996</v>
      </c>
      <c r="L937">
        <f t="shared" si="57"/>
        <v>4779.91</v>
      </c>
      <c r="M937">
        <f t="shared" si="58"/>
        <v>4779.91</v>
      </c>
      <c r="N937" s="5" t="str">
        <f t="shared" si="59"/>
        <v>May 2022</v>
      </c>
    </row>
    <row r="938" spans="1:14" x14ac:dyDescent="0.25">
      <c r="A938" s="1">
        <v>44701</v>
      </c>
      <c r="B938" t="s">
        <v>3405</v>
      </c>
      <c r="C938">
        <v>46</v>
      </c>
      <c r="D938" t="s">
        <v>14</v>
      </c>
      <c r="E938" t="s">
        <v>10</v>
      </c>
      <c r="F938" t="s">
        <v>11</v>
      </c>
      <c r="G938" t="s">
        <v>12</v>
      </c>
      <c r="H938">
        <v>4149.8999999999996</v>
      </c>
      <c r="I938" s="8" t="str" cm="1">
        <f t="array" ref="I938">_xlfn.IFS(C938&lt;=15,"Children and Young Adolescents", C938&gt;64, "Seniors", TRUE, "Working Age")</f>
        <v>Working Age</v>
      </c>
      <c r="J938" s="6">
        <f>VLOOKUP(F938,Analysis!$F$1:$G$5,2,FALSE)</f>
        <v>2503.6022787783854</v>
      </c>
      <c r="K938">
        <f t="shared" si="56"/>
        <v>4564.8900000000003</v>
      </c>
      <c r="L938">
        <f t="shared" si="57"/>
        <v>4564.8900000000003</v>
      </c>
      <c r="M938">
        <f t="shared" si="58"/>
        <v>4564.8900000000003</v>
      </c>
      <c r="N938" s="5" t="str">
        <f t="shared" si="59"/>
        <v>May 2022</v>
      </c>
    </row>
    <row r="939" spans="1:14" x14ac:dyDescent="0.25">
      <c r="A939" s="1">
        <v>44701</v>
      </c>
      <c r="B939" t="s">
        <v>1486</v>
      </c>
      <c r="C939">
        <v>19</v>
      </c>
      <c r="D939" t="s">
        <v>21</v>
      </c>
      <c r="E939" t="s">
        <v>10</v>
      </c>
      <c r="F939" t="s">
        <v>16</v>
      </c>
      <c r="G939" t="s">
        <v>12</v>
      </c>
      <c r="H939">
        <v>2485.8200000000002</v>
      </c>
      <c r="I939" s="8" t="str" cm="1">
        <f t="array" ref="I939">_xlfn.IFS(C939&lt;=15,"Children and Young Adolescents", C939&gt;64, "Seniors", TRUE, "Working Age")</f>
        <v>Working Age</v>
      </c>
      <c r="J939" s="6">
        <f>VLOOKUP(F939,Analysis!$F$1:$G$5,2,FALSE)</f>
        <v>2509.1716796874912</v>
      </c>
      <c r="K939">
        <f t="shared" si="56"/>
        <v>2734.4</v>
      </c>
      <c r="L939">
        <f t="shared" si="57"/>
        <v>2734.4100000000003</v>
      </c>
      <c r="M939">
        <f t="shared" si="58"/>
        <v>2734.4</v>
      </c>
      <c r="N939" s="5" t="str">
        <f t="shared" si="59"/>
        <v>May 2022</v>
      </c>
    </row>
    <row r="940" spans="1:14" x14ac:dyDescent="0.25">
      <c r="A940" s="1">
        <v>44701</v>
      </c>
      <c r="B940" t="s">
        <v>4031</v>
      </c>
      <c r="C940">
        <v>95</v>
      </c>
      <c r="D940" t="s">
        <v>14</v>
      </c>
      <c r="E940" t="s">
        <v>32</v>
      </c>
      <c r="F940" t="s">
        <v>29</v>
      </c>
      <c r="G940" t="s">
        <v>12</v>
      </c>
      <c r="H940">
        <v>2018.88</v>
      </c>
      <c r="I940" s="8" t="str" cm="1">
        <f t="array" ref="I940">_xlfn.IFS(C940&lt;=15,"Children and Young Adolescents", C940&gt;64, "Seniors", TRUE, "Working Age")</f>
        <v>Seniors</v>
      </c>
      <c r="J940" s="6">
        <f>VLOOKUP(F940,Analysis!$F$1:$G$5,2,FALSE)</f>
        <v>2496.7676064256989</v>
      </c>
      <c r="K940">
        <f t="shared" si="56"/>
        <v>2220.7600000000002</v>
      </c>
      <c r="L940">
        <f t="shared" si="57"/>
        <v>2220.7700000000004</v>
      </c>
      <c r="M940">
        <f t="shared" si="58"/>
        <v>2220.77</v>
      </c>
      <c r="N940" s="5" t="str">
        <f t="shared" si="59"/>
        <v>May 2022</v>
      </c>
    </row>
    <row r="941" spans="1:14" x14ac:dyDescent="0.25">
      <c r="A941" s="1">
        <v>44701</v>
      </c>
      <c r="B941" t="s">
        <v>1190</v>
      </c>
      <c r="C941">
        <v>51</v>
      </c>
      <c r="D941" t="s">
        <v>9</v>
      </c>
      <c r="E941" t="s">
        <v>5032</v>
      </c>
      <c r="F941" t="s">
        <v>11</v>
      </c>
      <c r="G941" t="s">
        <v>12</v>
      </c>
      <c r="H941">
        <v>1935.36</v>
      </c>
      <c r="I941" s="8" t="str" cm="1">
        <f t="array" ref="I941">_xlfn.IFS(C941&lt;=15,"Children and Young Adolescents", C941&gt;64, "Seniors", TRUE, "Working Age")</f>
        <v>Working Age</v>
      </c>
      <c r="J941" s="6">
        <f>VLOOKUP(F941,Analysis!$F$1:$G$5,2,FALSE)</f>
        <v>2503.6022787783854</v>
      </c>
      <c r="K941">
        <f t="shared" si="56"/>
        <v>2128.89</v>
      </c>
      <c r="L941">
        <f t="shared" si="57"/>
        <v>2128.9</v>
      </c>
      <c r="M941">
        <f t="shared" si="58"/>
        <v>2128.9</v>
      </c>
      <c r="N941" s="5" t="str">
        <f t="shared" si="59"/>
        <v>May 2022</v>
      </c>
    </row>
    <row r="942" spans="1:14" x14ac:dyDescent="0.25">
      <c r="A942" s="1">
        <v>44701</v>
      </c>
      <c r="B942" t="s">
        <v>4014</v>
      </c>
      <c r="C942">
        <v>1</v>
      </c>
      <c r="D942" t="s">
        <v>9</v>
      </c>
      <c r="E942" t="s">
        <v>5032</v>
      </c>
      <c r="F942" t="s">
        <v>16</v>
      </c>
      <c r="G942" t="s">
        <v>39</v>
      </c>
      <c r="H942">
        <v>836.97</v>
      </c>
      <c r="I942" s="8" t="str" cm="1">
        <f t="array" ref="I942">_xlfn.IFS(C942&lt;=15,"Children and Young Adolescents", C942&gt;64, "Seniors", TRUE, "Working Age")</f>
        <v>Children and Young Adolescents</v>
      </c>
      <c r="J942" s="6">
        <f>VLOOKUP(F942,Analysis!$F$1:$G$5,2,FALSE)</f>
        <v>2509.1716796874912</v>
      </c>
      <c r="K942">
        <f t="shared" si="56"/>
        <v>920.66</v>
      </c>
      <c r="L942">
        <f t="shared" si="57"/>
        <v>920.67</v>
      </c>
      <c r="M942">
        <f t="shared" si="58"/>
        <v>920.67</v>
      </c>
      <c r="N942" s="5" t="str">
        <f t="shared" si="59"/>
        <v>May 2022</v>
      </c>
    </row>
    <row r="943" spans="1:14" x14ac:dyDescent="0.25">
      <c r="A943" s="1">
        <v>44702</v>
      </c>
      <c r="B943" t="s">
        <v>342</v>
      </c>
      <c r="C943">
        <v>4</v>
      </c>
      <c r="D943" t="s">
        <v>14</v>
      </c>
      <c r="E943" t="s">
        <v>19</v>
      </c>
      <c r="F943" t="s">
        <v>29</v>
      </c>
      <c r="G943" t="s">
        <v>39</v>
      </c>
      <c r="H943">
        <v>1315.06</v>
      </c>
      <c r="I943" s="8" t="str" cm="1">
        <f t="array" ref="I943">_xlfn.IFS(C943&lt;=15,"Children and Young Adolescents", C943&gt;64, "Seniors", TRUE, "Working Age")</f>
        <v>Children and Young Adolescents</v>
      </c>
      <c r="J943" s="6">
        <f>VLOOKUP(F943,Analysis!$F$1:$G$5,2,FALSE)</f>
        <v>2496.7676064256989</v>
      </c>
      <c r="K943">
        <f t="shared" si="56"/>
        <v>1446.56</v>
      </c>
      <c r="L943">
        <f t="shared" si="57"/>
        <v>1446.57</v>
      </c>
      <c r="M943">
        <f t="shared" si="58"/>
        <v>1446.57</v>
      </c>
      <c r="N943" s="5" t="str">
        <f t="shared" si="59"/>
        <v>May 2022</v>
      </c>
    </row>
    <row r="944" spans="1:14" x14ac:dyDescent="0.25">
      <c r="A944" s="1">
        <v>44702</v>
      </c>
      <c r="B944" t="s">
        <v>662</v>
      </c>
      <c r="C944">
        <v>20</v>
      </c>
      <c r="D944" t="s">
        <v>9</v>
      </c>
      <c r="E944" t="s">
        <v>10</v>
      </c>
      <c r="F944" t="s">
        <v>16</v>
      </c>
      <c r="G944" t="s">
        <v>27</v>
      </c>
      <c r="H944">
        <v>2408.85</v>
      </c>
      <c r="I944" s="8" t="str" cm="1">
        <f t="array" ref="I944">_xlfn.IFS(C944&lt;=15,"Children and Young Adolescents", C944&gt;64, "Seniors", TRUE, "Working Age")</f>
        <v>Working Age</v>
      </c>
      <c r="J944" s="6">
        <f>VLOOKUP(F944,Analysis!$F$1:$G$5,2,FALSE)</f>
        <v>2509.1716796874912</v>
      </c>
      <c r="K944">
        <f t="shared" si="56"/>
        <v>2649.73</v>
      </c>
      <c r="L944">
        <f t="shared" si="57"/>
        <v>2649.7400000000002</v>
      </c>
      <c r="M944">
        <f t="shared" si="58"/>
        <v>2649.74</v>
      </c>
      <c r="N944" s="5" t="str">
        <f t="shared" si="59"/>
        <v>May 2022</v>
      </c>
    </row>
    <row r="945" spans="1:14" x14ac:dyDescent="0.25">
      <c r="A945" s="1">
        <v>44702</v>
      </c>
      <c r="B945" t="s">
        <v>1220</v>
      </c>
      <c r="C945">
        <v>85</v>
      </c>
      <c r="D945" t="s">
        <v>14</v>
      </c>
      <c r="E945" t="s">
        <v>34</v>
      </c>
      <c r="F945" t="s">
        <v>29</v>
      </c>
      <c r="G945" t="s">
        <v>12</v>
      </c>
      <c r="H945">
        <v>177.86</v>
      </c>
      <c r="I945" s="8" t="str" cm="1">
        <f t="array" ref="I945">_xlfn.IFS(C945&lt;=15,"Children and Young Adolescents", C945&gt;64, "Seniors", TRUE, "Working Age")</f>
        <v>Seniors</v>
      </c>
      <c r="J945" s="6">
        <f>VLOOKUP(F945,Analysis!$F$1:$G$5,2,FALSE)</f>
        <v>2496.7676064256989</v>
      </c>
      <c r="K945">
        <f t="shared" si="56"/>
        <v>195.64</v>
      </c>
      <c r="L945">
        <f t="shared" si="57"/>
        <v>195.64999999999998</v>
      </c>
      <c r="M945">
        <f t="shared" si="58"/>
        <v>195.65</v>
      </c>
      <c r="N945" s="5" t="str">
        <f t="shared" si="59"/>
        <v>May 2022</v>
      </c>
    </row>
    <row r="946" spans="1:14" x14ac:dyDescent="0.25">
      <c r="A946" s="1">
        <v>44702</v>
      </c>
      <c r="B946" t="s">
        <v>913</v>
      </c>
      <c r="C946">
        <v>24</v>
      </c>
      <c r="D946" t="s">
        <v>9</v>
      </c>
      <c r="E946" t="s">
        <v>25</v>
      </c>
      <c r="F946" t="s">
        <v>29</v>
      </c>
      <c r="G946" t="s">
        <v>36</v>
      </c>
      <c r="H946">
        <v>2270.73</v>
      </c>
      <c r="I946" s="8" t="str" cm="1">
        <f t="array" ref="I946">_xlfn.IFS(C946&lt;=15,"Children and Young Adolescents", C946&gt;64, "Seniors", TRUE, "Working Age")</f>
        <v>Working Age</v>
      </c>
      <c r="J946" s="6">
        <f>VLOOKUP(F946,Analysis!$F$1:$G$5,2,FALSE)</f>
        <v>2496.7676064256989</v>
      </c>
      <c r="K946">
        <f t="shared" si="56"/>
        <v>2497.8000000000002</v>
      </c>
      <c r="L946">
        <f t="shared" si="57"/>
        <v>2497.8100000000004</v>
      </c>
      <c r="M946">
        <f t="shared" si="58"/>
        <v>2497.8000000000002</v>
      </c>
      <c r="N946" s="5" t="str">
        <f t="shared" si="59"/>
        <v>May 2022</v>
      </c>
    </row>
    <row r="947" spans="1:14" x14ac:dyDescent="0.25">
      <c r="A947" s="1">
        <v>44702</v>
      </c>
      <c r="B947" t="s">
        <v>3202</v>
      </c>
      <c r="C947">
        <v>41</v>
      </c>
      <c r="D947" t="s">
        <v>14</v>
      </c>
      <c r="E947" t="s">
        <v>32</v>
      </c>
      <c r="F947" t="s">
        <v>11</v>
      </c>
      <c r="G947" t="s">
        <v>36</v>
      </c>
      <c r="H947">
        <v>1977.05</v>
      </c>
      <c r="I947" s="8" t="str" cm="1">
        <f t="array" ref="I947">_xlfn.IFS(C947&lt;=15,"Children and Young Adolescents", C947&gt;64, "Seniors", TRUE, "Working Age")</f>
        <v>Working Age</v>
      </c>
      <c r="J947" s="6">
        <f>VLOOKUP(F947,Analysis!$F$1:$G$5,2,FALSE)</f>
        <v>2503.6022787783854</v>
      </c>
      <c r="K947">
        <f t="shared" si="56"/>
        <v>2174.75</v>
      </c>
      <c r="L947">
        <f t="shared" si="57"/>
        <v>2174.7600000000002</v>
      </c>
      <c r="M947">
        <f t="shared" si="58"/>
        <v>2174.7600000000002</v>
      </c>
      <c r="N947" s="5" t="str">
        <f t="shared" si="59"/>
        <v>May 2022</v>
      </c>
    </row>
    <row r="948" spans="1:14" x14ac:dyDescent="0.25">
      <c r="A948" s="1">
        <v>44702</v>
      </c>
      <c r="B948" t="s">
        <v>4763</v>
      </c>
      <c r="C948">
        <v>38</v>
      </c>
      <c r="D948" t="s">
        <v>21</v>
      </c>
      <c r="E948" t="s">
        <v>15</v>
      </c>
      <c r="F948" t="s">
        <v>16</v>
      </c>
      <c r="G948" t="s">
        <v>27</v>
      </c>
      <c r="H948">
        <v>2606.9299999999998</v>
      </c>
      <c r="I948" s="8" t="str" cm="1">
        <f t="array" ref="I948">_xlfn.IFS(C948&lt;=15,"Children and Young Adolescents", C948&gt;64, "Seniors", TRUE, "Working Age")</f>
        <v>Working Age</v>
      </c>
      <c r="J948" s="6">
        <f>VLOOKUP(F948,Analysis!$F$1:$G$5,2,FALSE)</f>
        <v>2509.1716796874912</v>
      </c>
      <c r="K948">
        <f t="shared" si="56"/>
        <v>2867.62</v>
      </c>
      <c r="L948">
        <f t="shared" si="57"/>
        <v>2867.63</v>
      </c>
      <c r="M948">
        <f t="shared" si="58"/>
        <v>2867.62</v>
      </c>
      <c r="N948" s="5" t="str">
        <f t="shared" si="59"/>
        <v>May 2022</v>
      </c>
    </row>
    <row r="949" spans="1:14" x14ac:dyDescent="0.25">
      <c r="A949" s="1">
        <v>44702</v>
      </c>
      <c r="B949" t="s">
        <v>2468</v>
      </c>
      <c r="C949">
        <v>88</v>
      </c>
      <c r="D949" t="s">
        <v>21</v>
      </c>
      <c r="E949" t="s">
        <v>22</v>
      </c>
      <c r="F949" t="s">
        <v>11</v>
      </c>
      <c r="G949" t="s">
        <v>12</v>
      </c>
      <c r="H949">
        <v>3176.8</v>
      </c>
      <c r="I949" s="8" t="str" cm="1">
        <f t="array" ref="I949">_xlfn.IFS(C949&lt;=15,"Children and Young Adolescents", C949&gt;64, "Seniors", TRUE, "Working Age")</f>
        <v>Seniors</v>
      </c>
      <c r="J949" s="6">
        <f>VLOOKUP(F949,Analysis!$F$1:$G$5,2,FALSE)</f>
        <v>2503.6022787783854</v>
      </c>
      <c r="K949">
        <f t="shared" si="56"/>
        <v>3494.48</v>
      </c>
      <c r="L949">
        <f t="shared" si="57"/>
        <v>3494.48</v>
      </c>
      <c r="M949">
        <f t="shared" si="58"/>
        <v>3494.48</v>
      </c>
      <c r="N949" s="5" t="str">
        <f t="shared" si="59"/>
        <v>May 2022</v>
      </c>
    </row>
    <row r="950" spans="1:14" x14ac:dyDescent="0.25">
      <c r="A950" s="1">
        <v>44703</v>
      </c>
      <c r="B950" t="s">
        <v>4020</v>
      </c>
      <c r="C950">
        <v>60</v>
      </c>
      <c r="D950" t="s">
        <v>14</v>
      </c>
      <c r="E950" t="s">
        <v>19</v>
      </c>
      <c r="F950" t="s">
        <v>11</v>
      </c>
      <c r="G950" t="s">
        <v>17</v>
      </c>
      <c r="H950">
        <v>3047.88</v>
      </c>
      <c r="I950" s="8" t="str" cm="1">
        <f t="array" ref="I950">_xlfn.IFS(C950&lt;=15,"Children and Young Adolescents", C950&gt;64, "Seniors", TRUE, "Working Age")</f>
        <v>Working Age</v>
      </c>
      <c r="J950" s="6">
        <f>VLOOKUP(F950,Analysis!$F$1:$G$5,2,FALSE)</f>
        <v>2503.6022787783854</v>
      </c>
      <c r="K950">
        <f t="shared" si="56"/>
        <v>3352.66</v>
      </c>
      <c r="L950">
        <f t="shared" si="57"/>
        <v>3352.67</v>
      </c>
      <c r="M950">
        <f t="shared" si="58"/>
        <v>3352.67</v>
      </c>
      <c r="N950" s="5" t="str">
        <f t="shared" si="59"/>
        <v>May 2022</v>
      </c>
    </row>
    <row r="951" spans="1:14" x14ac:dyDescent="0.25">
      <c r="A951" s="1">
        <v>44703</v>
      </c>
      <c r="B951" t="s">
        <v>3736</v>
      </c>
      <c r="C951">
        <v>72</v>
      </c>
      <c r="D951" t="s">
        <v>9</v>
      </c>
      <c r="E951" t="s">
        <v>34</v>
      </c>
      <c r="F951" t="s">
        <v>11</v>
      </c>
      <c r="G951" t="s">
        <v>17</v>
      </c>
      <c r="H951">
        <v>683.01</v>
      </c>
      <c r="I951" s="8" t="str" cm="1">
        <f t="array" ref="I951">_xlfn.IFS(C951&lt;=15,"Children and Young Adolescents", C951&gt;64, "Seniors", TRUE, "Working Age")</f>
        <v>Seniors</v>
      </c>
      <c r="J951" s="6">
        <f>VLOOKUP(F951,Analysis!$F$1:$G$5,2,FALSE)</f>
        <v>2503.6022787783854</v>
      </c>
      <c r="K951">
        <f t="shared" si="56"/>
        <v>751.31</v>
      </c>
      <c r="L951">
        <f t="shared" si="57"/>
        <v>751.31999999999994</v>
      </c>
      <c r="M951">
        <f t="shared" si="58"/>
        <v>751.31</v>
      </c>
      <c r="N951" s="5" t="str">
        <f t="shared" si="59"/>
        <v>May 2022</v>
      </c>
    </row>
    <row r="952" spans="1:14" x14ac:dyDescent="0.25">
      <c r="A952" s="1">
        <v>44703</v>
      </c>
      <c r="B952" t="s">
        <v>3213</v>
      </c>
      <c r="C952">
        <v>77</v>
      </c>
      <c r="D952" t="s">
        <v>9</v>
      </c>
      <c r="E952" t="s">
        <v>10</v>
      </c>
      <c r="F952" t="s">
        <v>23</v>
      </c>
      <c r="G952" t="s">
        <v>17</v>
      </c>
      <c r="H952">
        <v>810.91</v>
      </c>
      <c r="I952" s="8" t="str" cm="1">
        <f t="array" ref="I952">_xlfn.IFS(C952&lt;=15,"Children and Young Adolescents", C952&gt;64, "Seniors", TRUE, "Working Age")</f>
        <v>Seniors</v>
      </c>
      <c r="J952" s="6">
        <f>VLOOKUP(F952,Analysis!$F$1:$G$5,2,FALSE)</f>
        <v>2440.2966694490838</v>
      </c>
      <c r="K952">
        <f t="shared" si="56"/>
        <v>892</v>
      </c>
      <c r="L952">
        <f t="shared" si="57"/>
        <v>892.01</v>
      </c>
      <c r="M952">
        <f t="shared" si="58"/>
        <v>892</v>
      </c>
      <c r="N952" s="5" t="str">
        <f t="shared" si="59"/>
        <v>May 2022</v>
      </c>
    </row>
    <row r="953" spans="1:14" x14ac:dyDescent="0.25">
      <c r="A953" s="1">
        <v>44703</v>
      </c>
      <c r="B953" t="s">
        <v>1630</v>
      </c>
      <c r="C953">
        <v>67</v>
      </c>
      <c r="D953" t="s">
        <v>21</v>
      </c>
      <c r="E953" t="s">
        <v>10</v>
      </c>
      <c r="F953" t="s">
        <v>16</v>
      </c>
      <c r="G953" t="s">
        <v>36</v>
      </c>
      <c r="H953">
        <v>80.22</v>
      </c>
      <c r="I953" s="8" t="str" cm="1">
        <f t="array" ref="I953">_xlfn.IFS(C953&lt;=15,"Children and Young Adolescents", C953&gt;64, "Seniors", TRUE, "Working Age")</f>
        <v>Seniors</v>
      </c>
      <c r="J953" s="6">
        <f>VLOOKUP(F953,Analysis!$F$1:$G$5,2,FALSE)</f>
        <v>2509.1716796874912</v>
      </c>
      <c r="K953">
        <f t="shared" si="56"/>
        <v>88.24</v>
      </c>
      <c r="L953">
        <f t="shared" si="57"/>
        <v>88.25</v>
      </c>
      <c r="M953">
        <f t="shared" si="58"/>
        <v>88.24</v>
      </c>
      <c r="N953" s="5" t="str">
        <f t="shared" si="59"/>
        <v>May 2022</v>
      </c>
    </row>
    <row r="954" spans="1:14" x14ac:dyDescent="0.25">
      <c r="A954" s="1">
        <v>44703</v>
      </c>
      <c r="B954" t="s">
        <v>2347</v>
      </c>
      <c r="C954">
        <v>58</v>
      </c>
      <c r="D954" t="s">
        <v>21</v>
      </c>
      <c r="E954" t="s">
        <v>32</v>
      </c>
      <c r="F954" t="s">
        <v>11</v>
      </c>
      <c r="G954" t="s">
        <v>5033</v>
      </c>
      <c r="H954">
        <v>2919.69</v>
      </c>
      <c r="I954" s="8" t="str" cm="1">
        <f t="array" ref="I954">_xlfn.IFS(C954&lt;=15,"Children and Young Adolescents", C954&gt;64, "Seniors", TRUE, "Working Age")</f>
        <v>Working Age</v>
      </c>
      <c r="J954" s="6">
        <f>VLOOKUP(F954,Analysis!$F$1:$G$5,2,FALSE)</f>
        <v>2503.6022787783854</v>
      </c>
      <c r="K954">
        <f t="shared" si="56"/>
        <v>3211.65</v>
      </c>
      <c r="L954">
        <f t="shared" si="57"/>
        <v>3211.6600000000003</v>
      </c>
      <c r="M954">
        <f t="shared" si="58"/>
        <v>3211.66</v>
      </c>
      <c r="N954" s="5" t="str">
        <f t="shared" si="59"/>
        <v>May 2022</v>
      </c>
    </row>
    <row r="955" spans="1:14" x14ac:dyDescent="0.25">
      <c r="A955" s="1">
        <v>44703</v>
      </c>
      <c r="B955" t="s">
        <v>3893</v>
      </c>
      <c r="C955">
        <v>35</v>
      </c>
      <c r="D955" t="s">
        <v>14</v>
      </c>
      <c r="E955" t="s">
        <v>25</v>
      </c>
      <c r="F955" t="s">
        <v>29</v>
      </c>
      <c r="G955" t="s">
        <v>17</v>
      </c>
      <c r="H955">
        <v>1856.91</v>
      </c>
      <c r="I955" s="8" t="str" cm="1">
        <f t="array" ref="I955">_xlfn.IFS(C955&lt;=15,"Children and Young Adolescents", C955&gt;64, "Seniors", TRUE, "Working Age")</f>
        <v>Working Age</v>
      </c>
      <c r="J955" s="6">
        <f>VLOOKUP(F955,Analysis!$F$1:$G$5,2,FALSE)</f>
        <v>2496.7676064256989</v>
      </c>
      <c r="K955">
        <f t="shared" si="56"/>
        <v>2042.6</v>
      </c>
      <c r="L955">
        <f t="shared" si="57"/>
        <v>2042.61</v>
      </c>
      <c r="M955">
        <f t="shared" si="58"/>
        <v>2042.6</v>
      </c>
      <c r="N955" s="5" t="str">
        <f t="shared" si="59"/>
        <v>May 2022</v>
      </c>
    </row>
    <row r="956" spans="1:14" x14ac:dyDescent="0.25">
      <c r="A956" s="1">
        <v>44703</v>
      </c>
      <c r="B956" t="s">
        <v>2812</v>
      </c>
      <c r="C956">
        <v>81</v>
      </c>
      <c r="D956" t="s">
        <v>9</v>
      </c>
      <c r="E956" t="s">
        <v>34</v>
      </c>
      <c r="F956" t="s">
        <v>16</v>
      </c>
      <c r="G956" t="s">
        <v>17</v>
      </c>
      <c r="H956">
        <v>4304.5600000000004</v>
      </c>
      <c r="I956" s="8" t="str" cm="1">
        <f t="array" ref="I956">_xlfn.IFS(C956&lt;=15,"Children and Young Adolescents", C956&gt;64, "Seniors", TRUE, "Working Age")</f>
        <v>Seniors</v>
      </c>
      <c r="J956" s="6">
        <f>VLOOKUP(F956,Analysis!$F$1:$G$5,2,FALSE)</f>
        <v>2509.1716796874912</v>
      </c>
      <c r="K956">
        <f t="shared" si="56"/>
        <v>4735.01</v>
      </c>
      <c r="L956">
        <f t="shared" si="57"/>
        <v>4735.0200000000004</v>
      </c>
      <c r="M956">
        <f t="shared" si="58"/>
        <v>4735.0200000000004</v>
      </c>
      <c r="N956" s="5" t="str">
        <f t="shared" si="59"/>
        <v>May 2022</v>
      </c>
    </row>
    <row r="957" spans="1:14" x14ac:dyDescent="0.25">
      <c r="A957" s="1">
        <v>44703</v>
      </c>
      <c r="B957" t="s">
        <v>2265</v>
      </c>
      <c r="C957">
        <v>47</v>
      </c>
      <c r="D957" t="s">
        <v>9</v>
      </c>
      <c r="E957" t="s">
        <v>22</v>
      </c>
      <c r="F957" t="s">
        <v>29</v>
      </c>
      <c r="G957" t="s">
        <v>39</v>
      </c>
      <c r="H957">
        <v>470.55</v>
      </c>
      <c r="I957" s="8" t="str" cm="1">
        <f t="array" ref="I957">_xlfn.IFS(C957&lt;=15,"Children and Young Adolescents", C957&gt;64, "Seniors", TRUE, "Working Age")</f>
        <v>Working Age</v>
      </c>
      <c r="J957" s="6">
        <f>VLOOKUP(F957,Analysis!$F$1:$G$5,2,FALSE)</f>
        <v>2496.7676064256989</v>
      </c>
      <c r="K957">
        <f t="shared" si="56"/>
        <v>517.6</v>
      </c>
      <c r="L957">
        <f t="shared" si="57"/>
        <v>517.61</v>
      </c>
      <c r="M957">
        <f t="shared" si="58"/>
        <v>517.61</v>
      </c>
      <c r="N957" s="5" t="str">
        <f t="shared" si="59"/>
        <v>May 2022</v>
      </c>
    </row>
    <row r="958" spans="1:14" x14ac:dyDescent="0.25">
      <c r="A958" s="1">
        <v>44704</v>
      </c>
      <c r="B958" t="s">
        <v>422</v>
      </c>
      <c r="C958">
        <v>76</v>
      </c>
      <c r="D958" t="s">
        <v>21</v>
      </c>
      <c r="E958" t="s">
        <v>34</v>
      </c>
      <c r="F958" t="s">
        <v>16</v>
      </c>
      <c r="G958" t="s">
        <v>36</v>
      </c>
      <c r="H958">
        <v>4739.46</v>
      </c>
      <c r="I958" s="8" t="str" cm="1">
        <f t="array" ref="I958">_xlfn.IFS(C958&lt;=15,"Children and Young Adolescents", C958&gt;64, "Seniors", TRUE, "Working Age")</f>
        <v>Seniors</v>
      </c>
      <c r="J958" s="6">
        <f>VLOOKUP(F958,Analysis!$F$1:$G$5,2,FALSE)</f>
        <v>2509.1716796874912</v>
      </c>
      <c r="K958">
        <f t="shared" si="56"/>
        <v>5213.3999999999996</v>
      </c>
      <c r="L958">
        <f t="shared" si="57"/>
        <v>5213.41</v>
      </c>
      <c r="M958">
        <f t="shared" si="58"/>
        <v>5213.41</v>
      </c>
      <c r="N958" s="5" t="str">
        <f t="shared" si="59"/>
        <v>May 2022</v>
      </c>
    </row>
    <row r="959" spans="1:14" x14ac:dyDescent="0.25">
      <c r="A959" s="1">
        <v>44704</v>
      </c>
      <c r="B959" t="s">
        <v>1367</v>
      </c>
      <c r="C959">
        <v>13</v>
      </c>
      <c r="D959" t="s">
        <v>14</v>
      </c>
      <c r="E959" t="s">
        <v>19</v>
      </c>
      <c r="F959" t="s">
        <v>23</v>
      </c>
      <c r="G959" t="s">
        <v>36</v>
      </c>
      <c r="H959">
        <v>3141.99</v>
      </c>
      <c r="I959" s="8" t="str" cm="1">
        <f t="array" ref="I959">_xlfn.IFS(C959&lt;=15,"Children and Young Adolescents", C959&gt;64, "Seniors", TRUE, "Working Age")</f>
        <v>Children and Young Adolescents</v>
      </c>
      <c r="J959" s="6">
        <f>VLOOKUP(F959,Analysis!$F$1:$G$5,2,FALSE)</f>
        <v>2440.2966694490838</v>
      </c>
      <c r="K959">
        <f t="shared" si="56"/>
        <v>3456.18</v>
      </c>
      <c r="L959">
        <f t="shared" si="57"/>
        <v>3456.19</v>
      </c>
      <c r="M959">
        <f t="shared" si="58"/>
        <v>3456.19</v>
      </c>
      <c r="N959" s="5" t="str">
        <f t="shared" si="59"/>
        <v>May 2022</v>
      </c>
    </row>
    <row r="960" spans="1:14" x14ac:dyDescent="0.25">
      <c r="A960" s="1">
        <v>44704</v>
      </c>
      <c r="B960" t="s">
        <v>3678</v>
      </c>
      <c r="C960">
        <v>24</v>
      </c>
      <c r="D960" t="s">
        <v>9</v>
      </c>
      <c r="E960" t="s">
        <v>25</v>
      </c>
      <c r="F960" t="s">
        <v>29</v>
      </c>
      <c r="G960" t="s">
        <v>5033</v>
      </c>
      <c r="H960">
        <v>1061.25</v>
      </c>
      <c r="I960" s="8" t="str" cm="1">
        <f t="array" ref="I960">_xlfn.IFS(C960&lt;=15,"Children and Young Adolescents", C960&gt;64, "Seniors", TRUE, "Working Age")</f>
        <v>Working Age</v>
      </c>
      <c r="J960" s="6">
        <f>VLOOKUP(F960,Analysis!$F$1:$G$5,2,FALSE)</f>
        <v>2496.7676064256989</v>
      </c>
      <c r="K960">
        <f t="shared" si="56"/>
        <v>1167.3699999999999</v>
      </c>
      <c r="L960">
        <f t="shared" si="57"/>
        <v>1167.3799999999999</v>
      </c>
      <c r="M960">
        <f t="shared" si="58"/>
        <v>1167.3800000000001</v>
      </c>
      <c r="N960" s="5" t="str">
        <f t="shared" si="59"/>
        <v>May 2022</v>
      </c>
    </row>
    <row r="961" spans="1:14" x14ac:dyDescent="0.25">
      <c r="A961" s="1">
        <v>44704</v>
      </c>
      <c r="B961" t="s">
        <v>3330</v>
      </c>
      <c r="C961">
        <v>43</v>
      </c>
      <c r="D961" t="s">
        <v>14</v>
      </c>
      <c r="E961" t="s">
        <v>32</v>
      </c>
      <c r="F961" t="s">
        <v>16</v>
      </c>
      <c r="G961" t="s">
        <v>12</v>
      </c>
      <c r="H961">
        <v>51.99</v>
      </c>
      <c r="I961" s="8" t="str" cm="1">
        <f t="array" ref="I961">_xlfn.IFS(C961&lt;=15,"Children and Young Adolescents", C961&gt;64, "Seniors", TRUE, "Working Age")</f>
        <v>Working Age</v>
      </c>
      <c r="J961" s="6">
        <f>VLOOKUP(F961,Analysis!$F$1:$G$5,2,FALSE)</f>
        <v>2509.1716796874912</v>
      </c>
      <c r="K961">
        <f t="shared" si="56"/>
        <v>57.18</v>
      </c>
      <c r="L961">
        <f t="shared" si="57"/>
        <v>57.19</v>
      </c>
      <c r="M961">
        <f t="shared" si="58"/>
        <v>57.19</v>
      </c>
      <c r="N961" s="5" t="str">
        <f t="shared" si="59"/>
        <v>May 2022</v>
      </c>
    </row>
    <row r="962" spans="1:14" x14ac:dyDescent="0.25">
      <c r="A962" s="1">
        <v>44704</v>
      </c>
      <c r="B962" t="s">
        <v>2492</v>
      </c>
      <c r="C962">
        <v>72</v>
      </c>
      <c r="D962" t="s">
        <v>21</v>
      </c>
      <c r="E962" t="s">
        <v>15</v>
      </c>
      <c r="F962" t="s">
        <v>23</v>
      </c>
      <c r="G962" t="s">
        <v>39</v>
      </c>
      <c r="H962">
        <v>2643.52</v>
      </c>
      <c r="I962" s="8" t="str" cm="1">
        <f t="array" ref="I962">_xlfn.IFS(C962&lt;=15,"Children and Young Adolescents", C962&gt;64, "Seniors", TRUE, "Working Age")</f>
        <v>Seniors</v>
      </c>
      <c r="J962" s="6">
        <f>VLOOKUP(F962,Analysis!$F$1:$G$5,2,FALSE)</f>
        <v>2440.2966694490838</v>
      </c>
      <c r="K962">
        <f t="shared" si="56"/>
        <v>2907.87</v>
      </c>
      <c r="L962">
        <f t="shared" si="57"/>
        <v>2907.88</v>
      </c>
      <c r="M962">
        <f t="shared" si="58"/>
        <v>2907.87</v>
      </c>
      <c r="N962" s="5" t="str">
        <f t="shared" si="59"/>
        <v>May 2022</v>
      </c>
    </row>
    <row r="963" spans="1:14" x14ac:dyDescent="0.25">
      <c r="A963" s="1">
        <v>44705</v>
      </c>
      <c r="B963" t="s">
        <v>3894</v>
      </c>
      <c r="C963">
        <v>96</v>
      </c>
      <c r="D963" t="s">
        <v>21</v>
      </c>
      <c r="E963" t="s">
        <v>22</v>
      </c>
      <c r="F963" t="s">
        <v>23</v>
      </c>
      <c r="G963" t="s">
        <v>39</v>
      </c>
      <c r="H963">
        <v>1834.55</v>
      </c>
      <c r="I963" s="8" t="str" cm="1">
        <f t="array" ref="I963">_xlfn.IFS(C963&lt;=15,"Children and Young Adolescents", C963&gt;64, "Seniors", TRUE, "Working Age")</f>
        <v>Seniors</v>
      </c>
      <c r="J963" s="6">
        <f>VLOOKUP(F963,Analysis!$F$1:$G$5,2,FALSE)</f>
        <v>2440.2966694490838</v>
      </c>
      <c r="K963">
        <f t="shared" ref="K963:K1026" si="60">ROUNDDOWN(H963*1.1,2)</f>
        <v>2018</v>
      </c>
      <c r="L963">
        <f t="shared" ref="L963:L1026" si="61">ROUNDUP(H963*1.1,2)</f>
        <v>2018.01</v>
      </c>
      <c r="M963">
        <f t="shared" ref="M963:M1026" si="62">ROUND(H963*1.1,2)</f>
        <v>2018.01</v>
      </c>
      <c r="N963" s="5" t="str">
        <f t="shared" ref="N963:N1026" si="63">TEXT(A963,"mmmm yyyy")</f>
        <v>May 2022</v>
      </c>
    </row>
    <row r="964" spans="1:14" x14ac:dyDescent="0.25">
      <c r="A964" s="1">
        <v>44705</v>
      </c>
      <c r="B964" t="s">
        <v>2242</v>
      </c>
      <c r="C964">
        <v>99</v>
      </c>
      <c r="D964" t="s">
        <v>21</v>
      </c>
      <c r="E964" t="s">
        <v>22</v>
      </c>
      <c r="F964" t="s">
        <v>11</v>
      </c>
      <c r="G964" t="s">
        <v>36</v>
      </c>
      <c r="H964">
        <v>4391.26</v>
      </c>
      <c r="I964" s="8" t="str" cm="1">
        <f t="array" ref="I964">_xlfn.IFS(C964&lt;=15,"Children and Young Adolescents", C964&gt;64, "Seniors", TRUE, "Working Age")</f>
        <v>Seniors</v>
      </c>
      <c r="J964" s="6">
        <f>VLOOKUP(F964,Analysis!$F$1:$G$5,2,FALSE)</f>
        <v>2503.6022787783854</v>
      </c>
      <c r="K964">
        <f t="shared" si="60"/>
        <v>4830.38</v>
      </c>
      <c r="L964">
        <f t="shared" si="61"/>
        <v>4830.3900000000003</v>
      </c>
      <c r="M964">
        <f t="shared" si="62"/>
        <v>4830.3900000000003</v>
      </c>
      <c r="N964" s="5" t="str">
        <f t="shared" si="63"/>
        <v>May 2022</v>
      </c>
    </row>
    <row r="965" spans="1:14" x14ac:dyDescent="0.25">
      <c r="A965" s="1">
        <v>44705</v>
      </c>
      <c r="B965" t="s">
        <v>1899</v>
      </c>
      <c r="C965">
        <v>33</v>
      </c>
      <c r="D965" t="s">
        <v>21</v>
      </c>
      <c r="E965" t="s">
        <v>19</v>
      </c>
      <c r="F965" t="s">
        <v>11</v>
      </c>
      <c r="G965" t="s">
        <v>12</v>
      </c>
      <c r="H965">
        <v>592.05999999999995</v>
      </c>
      <c r="I965" s="8" t="str" cm="1">
        <f t="array" ref="I965">_xlfn.IFS(C965&lt;=15,"Children and Young Adolescents", C965&gt;64, "Seniors", TRUE, "Working Age")</f>
        <v>Working Age</v>
      </c>
      <c r="J965" s="6">
        <f>VLOOKUP(F965,Analysis!$F$1:$G$5,2,FALSE)</f>
        <v>2503.6022787783854</v>
      </c>
      <c r="K965">
        <f t="shared" si="60"/>
        <v>651.26</v>
      </c>
      <c r="L965">
        <f t="shared" si="61"/>
        <v>651.27</v>
      </c>
      <c r="M965">
        <f t="shared" si="62"/>
        <v>651.27</v>
      </c>
      <c r="N965" s="5" t="str">
        <f t="shared" si="63"/>
        <v>May 2022</v>
      </c>
    </row>
    <row r="966" spans="1:14" x14ac:dyDescent="0.25">
      <c r="A966" s="1">
        <v>44706</v>
      </c>
      <c r="B966" t="s">
        <v>1392</v>
      </c>
      <c r="C966">
        <v>66</v>
      </c>
      <c r="D966" t="s">
        <v>21</v>
      </c>
      <c r="E966" t="s">
        <v>15</v>
      </c>
      <c r="F966" t="s">
        <v>29</v>
      </c>
      <c r="G966" t="s">
        <v>12</v>
      </c>
      <c r="H966">
        <v>842.17</v>
      </c>
      <c r="I966" s="8" t="str" cm="1">
        <f t="array" ref="I966">_xlfn.IFS(C966&lt;=15,"Children and Young Adolescents", C966&gt;64, "Seniors", TRUE, "Working Age")</f>
        <v>Seniors</v>
      </c>
      <c r="J966" s="6">
        <f>VLOOKUP(F966,Analysis!$F$1:$G$5,2,FALSE)</f>
        <v>2496.7676064256989</v>
      </c>
      <c r="K966">
        <f t="shared" si="60"/>
        <v>926.38</v>
      </c>
      <c r="L966">
        <f t="shared" si="61"/>
        <v>926.39</v>
      </c>
      <c r="M966">
        <f t="shared" si="62"/>
        <v>926.39</v>
      </c>
      <c r="N966" s="5" t="str">
        <f t="shared" si="63"/>
        <v>May 2022</v>
      </c>
    </row>
    <row r="967" spans="1:14" x14ac:dyDescent="0.25">
      <c r="A967" s="1">
        <v>44706</v>
      </c>
      <c r="B967" t="s">
        <v>1886</v>
      </c>
      <c r="C967">
        <v>70</v>
      </c>
      <c r="D967" t="s">
        <v>21</v>
      </c>
      <c r="E967" t="s">
        <v>19</v>
      </c>
      <c r="F967" t="s">
        <v>23</v>
      </c>
      <c r="G967" t="s">
        <v>27</v>
      </c>
      <c r="H967">
        <v>2494.4299999999998</v>
      </c>
      <c r="I967" s="8" t="str" cm="1">
        <f t="array" ref="I967">_xlfn.IFS(C967&lt;=15,"Children and Young Adolescents", C967&gt;64, "Seniors", TRUE, "Working Age")</f>
        <v>Seniors</v>
      </c>
      <c r="J967" s="6">
        <f>VLOOKUP(F967,Analysis!$F$1:$G$5,2,FALSE)</f>
        <v>2440.2966694490838</v>
      </c>
      <c r="K967">
        <f t="shared" si="60"/>
        <v>2743.87</v>
      </c>
      <c r="L967">
        <f t="shared" si="61"/>
        <v>2743.88</v>
      </c>
      <c r="M967">
        <f t="shared" si="62"/>
        <v>2743.87</v>
      </c>
      <c r="N967" s="5" t="str">
        <f t="shared" si="63"/>
        <v>May 2022</v>
      </c>
    </row>
    <row r="968" spans="1:14" x14ac:dyDescent="0.25">
      <c r="A968" s="1">
        <v>44706</v>
      </c>
      <c r="B968" t="s">
        <v>821</v>
      </c>
      <c r="C968">
        <v>41</v>
      </c>
      <c r="D968" t="s">
        <v>14</v>
      </c>
      <c r="E968" t="s">
        <v>34</v>
      </c>
      <c r="F968" t="s">
        <v>23</v>
      </c>
      <c r="G968" t="s">
        <v>17</v>
      </c>
      <c r="H968">
        <v>365.65</v>
      </c>
      <c r="I968" s="8" t="str" cm="1">
        <f t="array" ref="I968">_xlfn.IFS(C968&lt;=15,"Children and Young Adolescents", C968&gt;64, "Seniors", TRUE, "Working Age")</f>
        <v>Working Age</v>
      </c>
      <c r="J968" s="6">
        <f>VLOOKUP(F968,Analysis!$F$1:$G$5,2,FALSE)</f>
        <v>2440.2966694490838</v>
      </c>
      <c r="K968">
        <f t="shared" si="60"/>
        <v>402.21</v>
      </c>
      <c r="L968">
        <f t="shared" si="61"/>
        <v>402.21999999999997</v>
      </c>
      <c r="M968">
        <f t="shared" si="62"/>
        <v>402.22</v>
      </c>
      <c r="N968" s="5" t="str">
        <f t="shared" si="63"/>
        <v>May 2022</v>
      </c>
    </row>
    <row r="969" spans="1:14" x14ac:dyDescent="0.25">
      <c r="A969" s="1">
        <v>44706</v>
      </c>
      <c r="B969" t="s">
        <v>2901</v>
      </c>
      <c r="C969">
        <v>98</v>
      </c>
      <c r="D969" t="s">
        <v>9</v>
      </c>
      <c r="E969" t="s">
        <v>25</v>
      </c>
      <c r="F969" t="s">
        <v>29</v>
      </c>
      <c r="G969" t="s">
        <v>12</v>
      </c>
      <c r="H969">
        <v>685.6</v>
      </c>
      <c r="I969" s="8" t="str" cm="1">
        <f t="array" ref="I969">_xlfn.IFS(C969&lt;=15,"Children and Young Adolescents", C969&gt;64, "Seniors", TRUE, "Working Age")</f>
        <v>Seniors</v>
      </c>
      <c r="J969" s="6">
        <f>VLOOKUP(F969,Analysis!$F$1:$G$5,2,FALSE)</f>
        <v>2496.7676064256989</v>
      </c>
      <c r="K969">
        <f t="shared" si="60"/>
        <v>754.16</v>
      </c>
      <c r="L969">
        <f t="shared" si="61"/>
        <v>754.16</v>
      </c>
      <c r="M969">
        <f t="shared" si="62"/>
        <v>754.16</v>
      </c>
      <c r="N969" s="5" t="str">
        <f t="shared" si="63"/>
        <v>May 2022</v>
      </c>
    </row>
    <row r="970" spans="1:14" x14ac:dyDescent="0.25">
      <c r="A970" s="1">
        <v>44706</v>
      </c>
      <c r="B970" t="s">
        <v>4192</v>
      </c>
      <c r="C970">
        <v>84</v>
      </c>
      <c r="D970" t="s">
        <v>9</v>
      </c>
      <c r="E970" t="s">
        <v>34</v>
      </c>
      <c r="F970" t="s">
        <v>11</v>
      </c>
      <c r="G970" t="s">
        <v>39</v>
      </c>
      <c r="H970">
        <v>3420.87</v>
      </c>
      <c r="I970" s="8" t="str" cm="1">
        <f t="array" ref="I970">_xlfn.IFS(C970&lt;=15,"Children and Young Adolescents", C970&gt;64, "Seniors", TRUE, "Working Age")</f>
        <v>Seniors</v>
      </c>
      <c r="J970" s="6">
        <f>VLOOKUP(F970,Analysis!$F$1:$G$5,2,FALSE)</f>
        <v>2503.6022787783854</v>
      </c>
      <c r="K970">
        <f t="shared" si="60"/>
        <v>3762.95</v>
      </c>
      <c r="L970">
        <f t="shared" si="61"/>
        <v>3762.96</v>
      </c>
      <c r="M970">
        <f t="shared" si="62"/>
        <v>3762.96</v>
      </c>
      <c r="N970" s="5" t="str">
        <f t="shared" si="63"/>
        <v>May 2022</v>
      </c>
    </row>
    <row r="971" spans="1:14" x14ac:dyDescent="0.25">
      <c r="A971" s="1">
        <v>44706</v>
      </c>
      <c r="B971" t="s">
        <v>3228</v>
      </c>
      <c r="C971">
        <v>11</v>
      </c>
      <c r="D971" t="s">
        <v>9</v>
      </c>
      <c r="E971" t="s">
        <v>22</v>
      </c>
      <c r="F971" t="s">
        <v>16</v>
      </c>
      <c r="G971" t="s">
        <v>27</v>
      </c>
      <c r="H971">
        <v>3402.91</v>
      </c>
      <c r="I971" s="8" t="str" cm="1">
        <f t="array" ref="I971">_xlfn.IFS(C971&lt;=15,"Children and Young Adolescents", C971&gt;64, "Seniors", TRUE, "Working Age")</f>
        <v>Children and Young Adolescents</v>
      </c>
      <c r="J971" s="6">
        <f>VLOOKUP(F971,Analysis!$F$1:$G$5,2,FALSE)</f>
        <v>2509.1716796874912</v>
      </c>
      <c r="K971">
        <f t="shared" si="60"/>
        <v>3743.2</v>
      </c>
      <c r="L971">
        <f t="shared" si="61"/>
        <v>3743.21</v>
      </c>
      <c r="M971">
        <f t="shared" si="62"/>
        <v>3743.2</v>
      </c>
      <c r="N971" s="5" t="str">
        <f t="shared" si="63"/>
        <v>May 2022</v>
      </c>
    </row>
    <row r="972" spans="1:14" x14ac:dyDescent="0.25">
      <c r="A972" s="1">
        <v>44706</v>
      </c>
      <c r="B972" t="s">
        <v>1287</v>
      </c>
      <c r="C972">
        <v>2</v>
      </c>
      <c r="D972" t="s">
        <v>21</v>
      </c>
      <c r="E972" t="s">
        <v>22</v>
      </c>
      <c r="F972" t="s">
        <v>29</v>
      </c>
      <c r="G972" t="s">
        <v>17</v>
      </c>
      <c r="H972">
        <v>551.57000000000005</v>
      </c>
      <c r="I972" s="8" t="str" cm="1">
        <f t="array" ref="I972">_xlfn.IFS(C972&lt;=15,"Children and Young Adolescents", C972&gt;64, "Seniors", TRUE, "Working Age")</f>
        <v>Children and Young Adolescents</v>
      </c>
      <c r="J972" s="6">
        <f>VLOOKUP(F972,Analysis!$F$1:$G$5,2,FALSE)</f>
        <v>2496.7676064256989</v>
      </c>
      <c r="K972">
        <f t="shared" si="60"/>
        <v>606.72</v>
      </c>
      <c r="L972">
        <f t="shared" si="61"/>
        <v>606.73</v>
      </c>
      <c r="M972">
        <f t="shared" si="62"/>
        <v>606.73</v>
      </c>
      <c r="N972" s="5" t="str">
        <f t="shared" si="63"/>
        <v>May 2022</v>
      </c>
    </row>
    <row r="973" spans="1:14" x14ac:dyDescent="0.25">
      <c r="A973" s="1">
        <v>44707</v>
      </c>
      <c r="B973" t="s">
        <v>4512</v>
      </c>
      <c r="C973">
        <v>13</v>
      </c>
      <c r="D973" t="s">
        <v>21</v>
      </c>
      <c r="E973" t="s">
        <v>15</v>
      </c>
      <c r="F973" t="s">
        <v>11</v>
      </c>
      <c r="G973" t="s">
        <v>27</v>
      </c>
      <c r="H973">
        <v>3079.37</v>
      </c>
      <c r="I973" s="8" t="str" cm="1">
        <f t="array" ref="I973">_xlfn.IFS(C973&lt;=15,"Children and Young Adolescents", C973&gt;64, "Seniors", TRUE, "Working Age")</f>
        <v>Children and Young Adolescents</v>
      </c>
      <c r="J973" s="6">
        <f>VLOOKUP(F973,Analysis!$F$1:$G$5,2,FALSE)</f>
        <v>2503.6022787783854</v>
      </c>
      <c r="K973">
        <f t="shared" si="60"/>
        <v>3387.3</v>
      </c>
      <c r="L973">
        <f t="shared" si="61"/>
        <v>3387.3100000000004</v>
      </c>
      <c r="M973">
        <f t="shared" si="62"/>
        <v>3387.31</v>
      </c>
      <c r="N973" s="5" t="str">
        <f t="shared" si="63"/>
        <v>May 2022</v>
      </c>
    </row>
    <row r="974" spans="1:14" x14ac:dyDescent="0.25">
      <c r="A974" s="1">
        <v>44707</v>
      </c>
      <c r="B974" t="s">
        <v>129</v>
      </c>
      <c r="C974">
        <v>92</v>
      </c>
      <c r="D974" t="s">
        <v>21</v>
      </c>
      <c r="E974" t="s">
        <v>32</v>
      </c>
      <c r="F974" t="s">
        <v>11</v>
      </c>
      <c r="G974" t="s">
        <v>27</v>
      </c>
      <c r="H974">
        <v>4283.2700000000004</v>
      </c>
      <c r="I974" s="8" t="str" cm="1">
        <f t="array" ref="I974">_xlfn.IFS(C974&lt;=15,"Children and Young Adolescents", C974&gt;64, "Seniors", TRUE, "Working Age")</f>
        <v>Seniors</v>
      </c>
      <c r="J974" s="6">
        <f>VLOOKUP(F974,Analysis!$F$1:$G$5,2,FALSE)</f>
        <v>2503.6022787783854</v>
      </c>
      <c r="K974">
        <f t="shared" si="60"/>
        <v>4711.59</v>
      </c>
      <c r="L974">
        <f t="shared" si="61"/>
        <v>4711.6000000000004</v>
      </c>
      <c r="M974">
        <f t="shared" si="62"/>
        <v>4711.6000000000004</v>
      </c>
      <c r="N974" s="5" t="str">
        <f t="shared" si="63"/>
        <v>May 2022</v>
      </c>
    </row>
    <row r="975" spans="1:14" x14ac:dyDescent="0.25">
      <c r="A975" s="1">
        <v>44707</v>
      </c>
      <c r="B975" t="s">
        <v>490</v>
      </c>
      <c r="C975">
        <v>49</v>
      </c>
      <c r="D975" t="s">
        <v>9</v>
      </c>
      <c r="E975" t="s">
        <v>32</v>
      </c>
      <c r="F975" t="s">
        <v>16</v>
      </c>
      <c r="G975" t="s">
        <v>39</v>
      </c>
      <c r="H975">
        <v>4047.13</v>
      </c>
      <c r="I975" s="8" t="str" cm="1">
        <f t="array" ref="I975">_xlfn.IFS(C975&lt;=15,"Children and Young Adolescents", C975&gt;64, "Seniors", TRUE, "Working Age")</f>
        <v>Working Age</v>
      </c>
      <c r="J975" s="6">
        <f>VLOOKUP(F975,Analysis!$F$1:$G$5,2,FALSE)</f>
        <v>2509.1716796874912</v>
      </c>
      <c r="K975">
        <f t="shared" si="60"/>
        <v>4451.84</v>
      </c>
      <c r="L975">
        <f t="shared" si="61"/>
        <v>4451.8500000000004</v>
      </c>
      <c r="M975">
        <f t="shared" si="62"/>
        <v>4451.84</v>
      </c>
      <c r="N975" s="5" t="str">
        <f t="shared" si="63"/>
        <v>May 2022</v>
      </c>
    </row>
    <row r="976" spans="1:14" x14ac:dyDescent="0.25">
      <c r="A976" s="1">
        <v>44707</v>
      </c>
      <c r="B976" t="s">
        <v>594</v>
      </c>
      <c r="C976">
        <v>16</v>
      </c>
      <c r="D976" t="s">
        <v>21</v>
      </c>
      <c r="E976" t="s">
        <v>5032</v>
      </c>
      <c r="F976" t="s">
        <v>23</v>
      </c>
      <c r="G976" t="s">
        <v>39</v>
      </c>
      <c r="H976">
        <v>4354.05</v>
      </c>
      <c r="I976" s="8" t="str" cm="1">
        <f t="array" ref="I976">_xlfn.IFS(C976&lt;=15,"Children and Young Adolescents", C976&gt;64, "Seniors", TRUE, "Working Age")</f>
        <v>Working Age</v>
      </c>
      <c r="J976" s="6">
        <f>VLOOKUP(F976,Analysis!$F$1:$G$5,2,FALSE)</f>
        <v>2440.2966694490838</v>
      </c>
      <c r="K976">
        <f t="shared" si="60"/>
        <v>4789.45</v>
      </c>
      <c r="L976">
        <f t="shared" si="61"/>
        <v>4789.46</v>
      </c>
      <c r="M976">
        <f t="shared" si="62"/>
        <v>4789.46</v>
      </c>
      <c r="N976" s="5" t="str">
        <f t="shared" si="63"/>
        <v>May 2022</v>
      </c>
    </row>
    <row r="977" spans="1:14" x14ac:dyDescent="0.25">
      <c r="A977" s="1">
        <v>44708</v>
      </c>
      <c r="B977" t="s">
        <v>2277</v>
      </c>
      <c r="C977">
        <v>60</v>
      </c>
      <c r="D977" t="s">
        <v>14</v>
      </c>
      <c r="E977" t="s">
        <v>10</v>
      </c>
      <c r="F977" t="s">
        <v>23</v>
      </c>
      <c r="G977" t="s">
        <v>17</v>
      </c>
      <c r="H977">
        <v>4892.9399999999996</v>
      </c>
      <c r="I977" s="8" t="str" cm="1">
        <f t="array" ref="I977">_xlfn.IFS(C977&lt;=15,"Children and Young Adolescents", C977&gt;64, "Seniors", TRUE, "Working Age")</f>
        <v>Working Age</v>
      </c>
      <c r="J977" s="6">
        <f>VLOOKUP(F977,Analysis!$F$1:$G$5,2,FALSE)</f>
        <v>2440.2966694490838</v>
      </c>
      <c r="K977">
        <f t="shared" si="60"/>
        <v>5382.23</v>
      </c>
      <c r="L977">
        <f t="shared" si="61"/>
        <v>5382.24</v>
      </c>
      <c r="M977">
        <f t="shared" si="62"/>
        <v>5382.23</v>
      </c>
      <c r="N977" s="5" t="str">
        <f t="shared" si="63"/>
        <v>May 2022</v>
      </c>
    </row>
    <row r="978" spans="1:14" x14ac:dyDescent="0.25">
      <c r="A978" s="1">
        <v>44708</v>
      </c>
      <c r="B978" t="s">
        <v>1293</v>
      </c>
      <c r="C978">
        <v>22</v>
      </c>
      <c r="D978" t="s">
        <v>14</v>
      </c>
      <c r="E978" t="s">
        <v>34</v>
      </c>
      <c r="F978" t="s">
        <v>11</v>
      </c>
      <c r="G978" t="s">
        <v>36</v>
      </c>
      <c r="H978">
        <v>1725.83</v>
      </c>
      <c r="I978" s="8" t="str" cm="1">
        <f t="array" ref="I978">_xlfn.IFS(C978&lt;=15,"Children and Young Adolescents", C978&gt;64, "Seniors", TRUE, "Working Age")</f>
        <v>Working Age</v>
      </c>
      <c r="J978" s="6">
        <f>VLOOKUP(F978,Analysis!$F$1:$G$5,2,FALSE)</f>
        <v>2503.6022787783854</v>
      </c>
      <c r="K978">
        <f t="shared" si="60"/>
        <v>1898.41</v>
      </c>
      <c r="L978">
        <f t="shared" si="61"/>
        <v>1898.42</v>
      </c>
      <c r="M978">
        <f t="shared" si="62"/>
        <v>1898.41</v>
      </c>
      <c r="N978" s="5" t="str">
        <f t="shared" si="63"/>
        <v>May 2022</v>
      </c>
    </row>
    <row r="979" spans="1:14" x14ac:dyDescent="0.25">
      <c r="A979" s="1">
        <v>44708</v>
      </c>
      <c r="B979" t="s">
        <v>4115</v>
      </c>
      <c r="C979">
        <v>1</v>
      </c>
      <c r="D979" t="s">
        <v>21</v>
      </c>
      <c r="E979" t="s">
        <v>32</v>
      </c>
      <c r="F979" t="s">
        <v>11</v>
      </c>
      <c r="G979" t="s">
        <v>36</v>
      </c>
      <c r="H979">
        <v>3167.61</v>
      </c>
      <c r="I979" s="8" t="str" cm="1">
        <f t="array" ref="I979">_xlfn.IFS(C979&lt;=15,"Children and Young Adolescents", C979&gt;64, "Seniors", TRUE, "Working Age")</f>
        <v>Children and Young Adolescents</v>
      </c>
      <c r="J979" s="6">
        <f>VLOOKUP(F979,Analysis!$F$1:$G$5,2,FALSE)</f>
        <v>2503.6022787783854</v>
      </c>
      <c r="K979">
        <f t="shared" si="60"/>
        <v>3484.37</v>
      </c>
      <c r="L979">
        <f t="shared" si="61"/>
        <v>3484.38</v>
      </c>
      <c r="M979">
        <f t="shared" si="62"/>
        <v>3484.37</v>
      </c>
      <c r="N979" s="5" t="str">
        <f t="shared" si="63"/>
        <v>May 2022</v>
      </c>
    </row>
    <row r="980" spans="1:14" x14ac:dyDescent="0.25">
      <c r="A980" s="1">
        <v>44708</v>
      </c>
      <c r="B980" t="s">
        <v>1448</v>
      </c>
      <c r="C980">
        <v>12</v>
      </c>
      <c r="D980" t="s">
        <v>14</v>
      </c>
      <c r="E980" t="s">
        <v>34</v>
      </c>
      <c r="F980" t="s">
        <v>23</v>
      </c>
      <c r="G980" t="s">
        <v>27</v>
      </c>
      <c r="H980">
        <v>758.85</v>
      </c>
      <c r="I980" s="8" t="str" cm="1">
        <f t="array" ref="I980">_xlfn.IFS(C980&lt;=15,"Children and Young Adolescents", C980&gt;64, "Seniors", TRUE, "Working Age")</f>
        <v>Children and Young Adolescents</v>
      </c>
      <c r="J980" s="6">
        <f>VLOOKUP(F980,Analysis!$F$1:$G$5,2,FALSE)</f>
        <v>2440.2966694490838</v>
      </c>
      <c r="K980">
        <f t="shared" si="60"/>
        <v>834.73</v>
      </c>
      <c r="L980">
        <f t="shared" si="61"/>
        <v>834.74</v>
      </c>
      <c r="M980">
        <f t="shared" si="62"/>
        <v>834.74</v>
      </c>
      <c r="N980" s="5" t="str">
        <f t="shared" si="63"/>
        <v>May 2022</v>
      </c>
    </row>
    <row r="981" spans="1:14" x14ac:dyDescent="0.25">
      <c r="A981" s="1">
        <v>44708</v>
      </c>
      <c r="B981" t="s">
        <v>3157</v>
      </c>
      <c r="C981">
        <v>56</v>
      </c>
      <c r="D981" t="s">
        <v>21</v>
      </c>
      <c r="E981" t="s">
        <v>32</v>
      </c>
      <c r="F981" t="s">
        <v>29</v>
      </c>
      <c r="G981" t="s">
        <v>36</v>
      </c>
      <c r="H981">
        <v>1696.5</v>
      </c>
      <c r="I981" s="8" t="str" cm="1">
        <f t="array" ref="I981">_xlfn.IFS(C981&lt;=15,"Children and Young Adolescents", C981&gt;64, "Seniors", TRUE, "Working Age")</f>
        <v>Working Age</v>
      </c>
      <c r="J981" s="6">
        <f>VLOOKUP(F981,Analysis!$F$1:$G$5,2,FALSE)</f>
        <v>2496.7676064256989</v>
      </c>
      <c r="K981">
        <f t="shared" si="60"/>
        <v>1866.15</v>
      </c>
      <c r="L981">
        <f t="shared" si="61"/>
        <v>1866.15</v>
      </c>
      <c r="M981">
        <f t="shared" si="62"/>
        <v>1866.15</v>
      </c>
      <c r="N981" s="5" t="str">
        <f t="shared" si="63"/>
        <v>May 2022</v>
      </c>
    </row>
    <row r="982" spans="1:14" x14ac:dyDescent="0.25">
      <c r="A982" s="1">
        <v>44708</v>
      </c>
      <c r="B982" t="s">
        <v>3329</v>
      </c>
      <c r="C982">
        <v>59</v>
      </c>
      <c r="D982" t="s">
        <v>9</v>
      </c>
      <c r="E982" t="s">
        <v>19</v>
      </c>
      <c r="F982" t="s">
        <v>23</v>
      </c>
      <c r="G982" t="s">
        <v>12</v>
      </c>
      <c r="H982">
        <v>2973.92</v>
      </c>
      <c r="I982" s="8" t="str" cm="1">
        <f t="array" ref="I982">_xlfn.IFS(C982&lt;=15,"Children and Young Adolescents", C982&gt;64, "Seniors", TRUE, "Working Age")</f>
        <v>Working Age</v>
      </c>
      <c r="J982" s="6">
        <f>VLOOKUP(F982,Analysis!$F$1:$G$5,2,FALSE)</f>
        <v>2440.2966694490838</v>
      </c>
      <c r="K982">
        <f t="shared" si="60"/>
        <v>3271.31</v>
      </c>
      <c r="L982">
        <f t="shared" si="61"/>
        <v>3271.32</v>
      </c>
      <c r="M982">
        <f t="shared" si="62"/>
        <v>3271.31</v>
      </c>
      <c r="N982" s="5" t="str">
        <f t="shared" si="63"/>
        <v>May 2022</v>
      </c>
    </row>
    <row r="983" spans="1:14" x14ac:dyDescent="0.25">
      <c r="A983" s="1">
        <v>44708</v>
      </c>
      <c r="B983" t="s">
        <v>4838</v>
      </c>
      <c r="C983">
        <v>0</v>
      </c>
      <c r="D983" t="s">
        <v>9</v>
      </c>
      <c r="E983" t="s">
        <v>34</v>
      </c>
      <c r="F983" t="s">
        <v>23</v>
      </c>
      <c r="G983" t="s">
        <v>36</v>
      </c>
      <c r="H983">
        <v>3895.91</v>
      </c>
      <c r="I983" s="8" t="str" cm="1">
        <f t="array" ref="I983">_xlfn.IFS(C983&lt;=15,"Children and Young Adolescents", C983&gt;64, "Seniors", TRUE, "Working Age")</f>
        <v>Children and Young Adolescents</v>
      </c>
      <c r="J983" s="6">
        <f>VLOOKUP(F983,Analysis!$F$1:$G$5,2,FALSE)</f>
        <v>2440.2966694490838</v>
      </c>
      <c r="K983">
        <f t="shared" si="60"/>
        <v>4285.5</v>
      </c>
      <c r="L983">
        <f t="shared" si="61"/>
        <v>4285.51</v>
      </c>
      <c r="M983">
        <f t="shared" si="62"/>
        <v>4285.5</v>
      </c>
      <c r="N983" s="5" t="str">
        <f t="shared" si="63"/>
        <v>May 2022</v>
      </c>
    </row>
    <row r="984" spans="1:14" x14ac:dyDescent="0.25">
      <c r="A984" s="1">
        <v>44709</v>
      </c>
      <c r="B984" t="s">
        <v>1898</v>
      </c>
      <c r="C984">
        <v>16</v>
      </c>
      <c r="D984" t="s">
        <v>21</v>
      </c>
      <c r="E984" t="s">
        <v>34</v>
      </c>
      <c r="F984" t="s">
        <v>29</v>
      </c>
      <c r="G984" t="s">
        <v>36</v>
      </c>
      <c r="H984">
        <v>191.59</v>
      </c>
      <c r="I984" s="8" t="str" cm="1">
        <f t="array" ref="I984">_xlfn.IFS(C984&lt;=15,"Children and Young Adolescents", C984&gt;64, "Seniors", TRUE, "Working Age")</f>
        <v>Working Age</v>
      </c>
      <c r="J984" s="6">
        <f>VLOOKUP(F984,Analysis!$F$1:$G$5,2,FALSE)</f>
        <v>2496.7676064256989</v>
      </c>
      <c r="K984">
        <f t="shared" si="60"/>
        <v>210.74</v>
      </c>
      <c r="L984">
        <f t="shared" si="61"/>
        <v>210.75</v>
      </c>
      <c r="M984">
        <f t="shared" si="62"/>
        <v>210.75</v>
      </c>
      <c r="N984" s="5" t="str">
        <f t="shared" si="63"/>
        <v>May 2022</v>
      </c>
    </row>
    <row r="985" spans="1:14" x14ac:dyDescent="0.25">
      <c r="A985" s="1">
        <v>44709</v>
      </c>
      <c r="B985" t="s">
        <v>2964</v>
      </c>
      <c r="C985">
        <v>98</v>
      </c>
      <c r="D985" t="s">
        <v>14</v>
      </c>
      <c r="E985" t="s">
        <v>25</v>
      </c>
      <c r="F985" t="s">
        <v>23</v>
      </c>
      <c r="G985" t="s">
        <v>36</v>
      </c>
      <c r="H985">
        <v>389.94</v>
      </c>
      <c r="I985" s="8" t="str" cm="1">
        <f t="array" ref="I985">_xlfn.IFS(C985&lt;=15,"Children and Young Adolescents", C985&gt;64, "Seniors", TRUE, "Working Age")</f>
        <v>Seniors</v>
      </c>
      <c r="J985" s="6">
        <f>VLOOKUP(F985,Analysis!$F$1:$G$5,2,FALSE)</f>
        <v>2440.2966694490838</v>
      </c>
      <c r="K985">
        <f t="shared" si="60"/>
        <v>428.93</v>
      </c>
      <c r="L985">
        <f t="shared" si="61"/>
        <v>428.94</v>
      </c>
      <c r="M985">
        <f t="shared" si="62"/>
        <v>428.93</v>
      </c>
      <c r="N985" s="5" t="str">
        <f t="shared" si="63"/>
        <v>May 2022</v>
      </c>
    </row>
    <row r="986" spans="1:14" x14ac:dyDescent="0.25">
      <c r="A986" s="1">
        <v>44709</v>
      </c>
      <c r="B986" t="s">
        <v>4713</v>
      </c>
      <c r="C986">
        <v>81</v>
      </c>
      <c r="D986" t="s">
        <v>9</v>
      </c>
      <c r="E986" t="s">
        <v>15</v>
      </c>
      <c r="F986" t="s">
        <v>16</v>
      </c>
      <c r="G986" t="s">
        <v>39</v>
      </c>
      <c r="H986">
        <v>2443.8200000000002</v>
      </c>
      <c r="I986" s="8" t="str" cm="1">
        <f t="array" ref="I986">_xlfn.IFS(C986&lt;=15,"Children and Young Adolescents", C986&gt;64, "Seniors", TRUE, "Working Age")</f>
        <v>Seniors</v>
      </c>
      <c r="J986" s="6">
        <f>VLOOKUP(F986,Analysis!$F$1:$G$5,2,FALSE)</f>
        <v>2509.1716796874912</v>
      </c>
      <c r="K986">
        <f t="shared" si="60"/>
        <v>2688.2</v>
      </c>
      <c r="L986">
        <f t="shared" si="61"/>
        <v>2688.21</v>
      </c>
      <c r="M986">
        <f t="shared" si="62"/>
        <v>2688.2</v>
      </c>
      <c r="N986" s="5" t="str">
        <f t="shared" si="63"/>
        <v>May 2022</v>
      </c>
    </row>
    <row r="987" spans="1:14" x14ac:dyDescent="0.25">
      <c r="A987" s="1">
        <v>44709</v>
      </c>
      <c r="B987" t="s">
        <v>3672</v>
      </c>
      <c r="C987">
        <v>32</v>
      </c>
      <c r="D987" t="s">
        <v>21</v>
      </c>
      <c r="E987" t="s">
        <v>15</v>
      </c>
      <c r="F987" t="s">
        <v>29</v>
      </c>
      <c r="G987" t="s">
        <v>39</v>
      </c>
      <c r="H987">
        <v>2188</v>
      </c>
      <c r="I987" s="8" t="str" cm="1">
        <f t="array" ref="I987">_xlfn.IFS(C987&lt;=15,"Children and Young Adolescents", C987&gt;64, "Seniors", TRUE, "Working Age")</f>
        <v>Working Age</v>
      </c>
      <c r="J987" s="6">
        <f>VLOOKUP(F987,Analysis!$F$1:$G$5,2,FALSE)</f>
        <v>2496.7676064256989</v>
      </c>
      <c r="K987">
        <f t="shared" si="60"/>
        <v>2406.8000000000002</v>
      </c>
      <c r="L987">
        <f t="shared" si="61"/>
        <v>2406.8000000000002</v>
      </c>
      <c r="M987">
        <f t="shared" si="62"/>
        <v>2406.8000000000002</v>
      </c>
      <c r="N987" s="5" t="str">
        <f t="shared" si="63"/>
        <v>May 2022</v>
      </c>
    </row>
    <row r="988" spans="1:14" x14ac:dyDescent="0.25">
      <c r="A988" s="1">
        <v>44710</v>
      </c>
      <c r="B988" t="s">
        <v>3473</v>
      </c>
      <c r="C988">
        <v>1</v>
      </c>
      <c r="D988" t="s">
        <v>14</v>
      </c>
      <c r="E988" t="s">
        <v>10</v>
      </c>
      <c r="F988" t="s">
        <v>23</v>
      </c>
      <c r="G988" t="s">
        <v>27</v>
      </c>
      <c r="H988">
        <v>207.98</v>
      </c>
      <c r="I988" s="8" t="str" cm="1">
        <f t="array" ref="I988">_xlfn.IFS(C988&lt;=15,"Children and Young Adolescents", C988&gt;64, "Seniors", TRUE, "Working Age")</f>
        <v>Children and Young Adolescents</v>
      </c>
      <c r="J988" s="6">
        <f>VLOOKUP(F988,Analysis!$F$1:$G$5,2,FALSE)</f>
        <v>2440.2966694490838</v>
      </c>
      <c r="K988">
        <f t="shared" si="60"/>
        <v>228.77</v>
      </c>
      <c r="L988">
        <f t="shared" si="61"/>
        <v>228.78</v>
      </c>
      <c r="M988">
        <f t="shared" si="62"/>
        <v>228.78</v>
      </c>
      <c r="N988" s="5" t="str">
        <f t="shared" si="63"/>
        <v>May 2022</v>
      </c>
    </row>
    <row r="989" spans="1:14" x14ac:dyDescent="0.25">
      <c r="A989" s="1">
        <v>44710</v>
      </c>
      <c r="B989" t="s">
        <v>1172</v>
      </c>
      <c r="C989">
        <v>45</v>
      </c>
      <c r="D989" t="s">
        <v>9</v>
      </c>
      <c r="E989" t="s">
        <v>10</v>
      </c>
      <c r="F989" t="s">
        <v>29</v>
      </c>
      <c r="G989" t="s">
        <v>5033</v>
      </c>
      <c r="H989">
        <v>717.85</v>
      </c>
      <c r="I989" s="8" t="str" cm="1">
        <f t="array" ref="I989">_xlfn.IFS(C989&lt;=15,"Children and Young Adolescents", C989&gt;64, "Seniors", TRUE, "Working Age")</f>
        <v>Working Age</v>
      </c>
      <c r="J989" s="6">
        <f>VLOOKUP(F989,Analysis!$F$1:$G$5,2,FALSE)</f>
        <v>2496.7676064256989</v>
      </c>
      <c r="K989">
        <f t="shared" si="60"/>
        <v>789.63</v>
      </c>
      <c r="L989">
        <f t="shared" si="61"/>
        <v>789.64</v>
      </c>
      <c r="M989">
        <f t="shared" si="62"/>
        <v>789.64</v>
      </c>
      <c r="N989" s="5" t="str">
        <f t="shared" si="63"/>
        <v>May 2022</v>
      </c>
    </row>
    <row r="990" spans="1:14" x14ac:dyDescent="0.25">
      <c r="A990" s="1">
        <v>44710</v>
      </c>
      <c r="B990" t="s">
        <v>4971</v>
      </c>
      <c r="C990">
        <v>8</v>
      </c>
      <c r="D990" t="s">
        <v>21</v>
      </c>
      <c r="E990" t="s">
        <v>25</v>
      </c>
      <c r="F990" t="s">
        <v>11</v>
      </c>
      <c r="G990" t="s">
        <v>39</v>
      </c>
      <c r="H990">
        <v>2136.16</v>
      </c>
      <c r="I990" s="8" t="str" cm="1">
        <f t="array" ref="I990">_xlfn.IFS(C990&lt;=15,"Children and Young Adolescents", C990&gt;64, "Seniors", TRUE, "Working Age")</f>
        <v>Children and Young Adolescents</v>
      </c>
      <c r="J990" s="6">
        <f>VLOOKUP(F990,Analysis!$F$1:$G$5,2,FALSE)</f>
        <v>2503.6022787783854</v>
      </c>
      <c r="K990">
        <f t="shared" si="60"/>
        <v>2349.77</v>
      </c>
      <c r="L990">
        <f t="shared" si="61"/>
        <v>2349.7800000000002</v>
      </c>
      <c r="M990">
        <f t="shared" si="62"/>
        <v>2349.7800000000002</v>
      </c>
      <c r="N990" s="5" t="str">
        <f t="shared" si="63"/>
        <v>May 2022</v>
      </c>
    </row>
    <row r="991" spans="1:14" x14ac:dyDescent="0.25">
      <c r="A991" s="1">
        <v>44710</v>
      </c>
      <c r="B991" t="s">
        <v>1724</v>
      </c>
      <c r="C991">
        <v>87</v>
      </c>
      <c r="D991" t="s">
        <v>9</v>
      </c>
      <c r="E991" t="s">
        <v>19</v>
      </c>
      <c r="F991" t="s">
        <v>16</v>
      </c>
      <c r="G991" t="s">
        <v>39</v>
      </c>
      <c r="H991">
        <v>3738.92</v>
      </c>
      <c r="I991" s="8" t="str" cm="1">
        <f t="array" ref="I991">_xlfn.IFS(C991&lt;=15,"Children and Young Adolescents", C991&gt;64, "Seniors", TRUE, "Working Age")</f>
        <v>Seniors</v>
      </c>
      <c r="J991" s="6">
        <f>VLOOKUP(F991,Analysis!$F$1:$G$5,2,FALSE)</f>
        <v>2509.1716796874912</v>
      </c>
      <c r="K991">
        <f t="shared" si="60"/>
        <v>4112.8100000000004</v>
      </c>
      <c r="L991">
        <f t="shared" si="61"/>
        <v>4112.8200000000006</v>
      </c>
      <c r="M991">
        <f t="shared" si="62"/>
        <v>4112.8100000000004</v>
      </c>
      <c r="N991" s="5" t="str">
        <f t="shared" si="63"/>
        <v>May 2022</v>
      </c>
    </row>
    <row r="992" spans="1:14" x14ac:dyDescent="0.25">
      <c r="A992" s="1">
        <v>44710</v>
      </c>
      <c r="B992" t="s">
        <v>1005</v>
      </c>
      <c r="C992">
        <v>17</v>
      </c>
      <c r="D992" t="s">
        <v>21</v>
      </c>
      <c r="E992" t="s">
        <v>32</v>
      </c>
      <c r="F992" t="s">
        <v>23</v>
      </c>
      <c r="G992" t="s">
        <v>12</v>
      </c>
      <c r="H992">
        <v>832.5</v>
      </c>
      <c r="I992" s="8" t="str" cm="1">
        <f t="array" ref="I992">_xlfn.IFS(C992&lt;=15,"Children and Young Adolescents", C992&gt;64, "Seniors", TRUE, "Working Age")</f>
        <v>Working Age</v>
      </c>
      <c r="J992" s="6">
        <f>VLOOKUP(F992,Analysis!$F$1:$G$5,2,FALSE)</f>
        <v>2440.2966694490838</v>
      </c>
      <c r="K992">
        <f t="shared" si="60"/>
        <v>915.75</v>
      </c>
      <c r="L992">
        <f t="shared" si="61"/>
        <v>915.75</v>
      </c>
      <c r="M992">
        <f t="shared" si="62"/>
        <v>915.75</v>
      </c>
      <c r="N992" s="5" t="str">
        <f t="shared" si="63"/>
        <v>May 2022</v>
      </c>
    </row>
    <row r="993" spans="1:14" x14ac:dyDescent="0.25">
      <c r="A993" s="1">
        <v>44711</v>
      </c>
      <c r="B993" t="s">
        <v>4587</v>
      </c>
      <c r="C993">
        <v>17</v>
      </c>
      <c r="D993" t="s">
        <v>9</v>
      </c>
      <c r="E993" t="s">
        <v>32</v>
      </c>
      <c r="F993" t="s">
        <v>11</v>
      </c>
      <c r="G993" t="s">
        <v>36</v>
      </c>
      <c r="H993">
        <v>2324</v>
      </c>
      <c r="I993" s="8" t="str" cm="1">
        <f t="array" ref="I993">_xlfn.IFS(C993&lt;=15,"Children and Young Adolescents", C993&gt;64, "Seniors", TRUE, "Working Age")</f>
        <v>Working Age</v>
      </c>
      <c r="J993" s="6">
        <f>VLOOKUP(F993,Analysis!$F$1:$G$5,2,FALSE)</f>
        <v>2503.6022787783854</v>
      </c>
      <c r="K993">
        <f t="shared" si="60"/>
        <v>2556.4</v>
      </c>
      <c r="L993">
        <f t="shared" si="61"/>
        <v>2556.4</v>
      </c>
      <c r="M993">
        <f t="shared" si="62"/>
        <v>2556.4</v>
      </c>
      <c r="N993" s="5" t="str">
        <f t="shared" si="63"/>
        <v>May 2022</v>
      </c>
    </row>
    <row r="994" spans="1:14" x14ac:dyDescent="0.25">
      <c r="A994" s="1">
        <v>44711</v>
      </c>
      <c r="B994" t="s">
        <v>759</v>
      </c>
      <c r="C994">
        <v>0</v>
      </c>
      <c r="D994" t="s">
        <v>9</v>
      </c>
      <c r="E994" t="s">
        <v>25</v>
      </c>
      <c r="F994" t="s">
        <v>29</v>
      </c>
      <c r="G994" t="s">
        <v>12</v>
      </c>
      <c r="H994">
        <v>3497.72</v>
      </c>
      <c r="I994" s="8" t="str" cm="1">
        <f t="array" ref="I994">_xlfn.IFS(C994&lt;=15,"Children and Young Adolescents", C994&gt;64, "Seniors", TRUE, "Working Age")</f>
        <v>Children and Young Adolescents</v>
      </c>
      <c r="J994" s="6">
        <f>VLOOKUP(F994,Analysis!$F$1:$G$5,2,FALSE)</f>
        <v>2496.7676064256989</v>
      </c>
      <c r="K994">
        <f t="shared" si="60"/>
        <v>3847.49</v>
      </c>
      <c r="L994">
        <f t="shared" si="61"/>
        <v>3847.5</v>
      </c>
      <c r="M994">
        <f t="shared" si="62"/>
        <v>3847.49</v>
      </c>
      <c r="N994" s="5" t="str">
        <f t="shared" si="63"/>
        <v>May 2022</v>
      </c>
    </row>
    <row r="995" spans="1:14" x14ac:dyDescent="0.25">
      <c r="A995" s="1">
        <v>44711</v>
      </c>
      <c r="B995" t="s">
        <v>4961</v>
      </c>
      <c r="C995">
        <v>4</v>
      </c>
      <c r="D995" t="s">
        <v>14</v>
      </c>
      <c r="E995" t="s">
        <v>32</v>
      </c>
      <c r="F995" t="s">
        <v>16</v>
      </c>
      <c r="G995" t="s">
        <v>27</v>
      </c>
      <c r="H995">
        <v>2028.74</v>
      </c>
      <c r="I995" s="8" t="str" cm="1">
        <f t="array" ref="I995">_xlfn.IFS(C995&lt;=15,"Children and Young Adolescents", C995&gt;64, "Seniors", TRUE, "Working Age")</f>
        <v>Children and Young Adolescents</v>
      </c>
      <c r="J995" s="6">
        <f>VLOOKUP(F995,Analysis!$F$1:$G$5,2,FALSE)</f>
        <v>2509.1716796874912</v>
      </c>
      <c r="K995">
        <f t="shared" si="60"/>
        <v>2231.61</v>
      </c>
      <c r="L995">
        <f t="shared" si="61"/>
        <v>2231.6200000000003</v>
      </c>
      <c r="M995">
        <f t="shared" si="62"/>
        <v>2231.61</v>
      </c>
      <c r="N995" s="5" t="str">
        <f t="shared" si="63"/>
        <v>May 2022</v>
      </c>
    </row>
    <row r="996" spans="1:14" x14ac:dyDescent="0.25">
      <c r="A996" s="1">
        <v>44711</v>
      </c>
      <c r="B996" t="s">
        <v>1356</v>
      </c>
      <c r="C996">
        <v>56</v>
      </c>
      <c r="D996" t="s">
        <v>21</v>
      </c>
      <c r="E996" t="s">
        <v>19</v>
      </c>
      <c r="F996" t="s">
        <v>16</v>
      </c>
      <c r="G996" t="s">
        <v>39</v>
      </c>
      <c r="H996">
        <v>784.6</v>
      </c>
      <c r="I996" s="8" t="str" cm="1">
        <f t="array" ref="I996">_xlfn.IFS(C996&lt;=15,"Children and Young Adolescents", C996&gt;64, "Seniors", TRUE, "Working Age")</f>
        <v>Working Age</v>
      </c>
      <c r="J996" s="6">
        <f>VLOOKUP(F996,Analysis!$F$1:$G$5,2,FALSE)</f>
        <v>2509.1716796874912</v>
      </c>
      <c r="K996">
        <f t="shared" si="60"/>
        <v>863.06</v>
      </c>
      <c r="L996">
        <f t="shared" si="61"/>
        <v>863.06</v>
      </c>
      <c r="M996">
        <f t="shared" si="62"/>
        <v>863.06</v>
      </c>
      <c r="N996" s="5" t="str">
        <f t="shared" si="63"/>
        <v>May 2022</v>
      </c>
    </row>
    <row r="997" spans="1:14" x14ac:dyDescent="0.25">
      <c r="A997" s="1">
        <v>44711</v>
      </c>
      <c r="B997" t="s">
        <v>1458</v>
      </c>
      <c r="C997">
        <v>9</v>
      </c>
      <c r="D997" t="s">
        <v>14</v>
      </c>
      <c r="E997" t="s">
        <v>34</v>
      </c>
      <c r="F997" t="s">
        <v>23</v>
      </c>
      <c r="G997" t="s">
        <v>39</v>
      </c>
      <c r="H997">
        <v>1828.72</v>
      </c>
      <c r="I997" s="8" t="str" cm="1">
        <f t="array" ref="I997">_xlfn.IFS(C997&lt;=15,"Children and Young Adolescents", C997&gt;64, "Seniors", TRUE, "Working Age")</f>
        <v>Children and Young Adolescents</v>
      </c>
      <c r="J997" s="6">
        <f>VLOOKUP(F997,Analysis!$F$1:$G$5,2,FALSE)</f>
        <v>2440.2966694490838</v>
      </c>
      <c r="K997">
        <f t="shared" si="60"/>
        <v>2011.59</v>
      </c>
      <c r="L997">
        <f t="shared" si="61"/>
        <v>2011.6</v>
      </c>
      <c r="M997">
        <f t="shared" si="62"/>
        <v>2011.59</v>
      </c>
      <c r="N997" s="5" t="str">
        <f t="shared" si="63"/>
        <v>May 2022</v>
      </c>
    </row>
    <row r="998" spans="1:14" x14ac:dyDescent="0.25">
      <c r="A998" s="1">
        <v>44711</v>
      </c>
      <c r="B998" t="s">
        <v>2537</v>
      </c>
      <c r="C998">
        <v>79</v>
      </c>
      <c r="D998" t="s">
        <v>21</v>
      </c>
      <c r="E998" t="s">
        <v>15</v>
      </c>
      <c r="F998" t="s">
        <v>16</v>
      </c>
      <c r="G998" t="s">
        <v>12</v>
      </c>
      <c r="H998">
        <v>4257.03</v>
      </c>
      <c r="I998" s="8" t="str" cm="1">
        <f t="array" ref="I998">_xlfn.IFS(C998&lt;=15,"Children and Young Adolescents", C998&gt;64, "Seniors", TRUE, "Working Age")</f>
        <v>Seniors</v>
      </c>
      <c r="J998" s="6">
        <f>VLOOKUP(F998,Analysis!$F$1:$G$5,2,FALSE)</f>
        <v>2509.1716796874912</v>
      </c>
      <c r="K998">
        <f t="shared" si="60"/>
        <v>4682.7299999999996</v>
      </c>
      <c r="L998">
        <f t="shared" si="61"/>
        <v>4682.74</v>
      </c>
      <c r="M998">
        <f t="shared" si="62"/>
        <v>4682.7299999999996</v>
      </c>
      <c r="N998" s="5" t="str">
        <f t="shared" si="63"/>
        <v>May 2022</v>
      </c>
    </row>
    <row r="999" spans="1:14" x14ac:dyDescent="0.25">
      <c r="A999" s="1">
        <v>44711</v>
      </c>
      <c r="B999" t="s">
        <v>1441</v>
      </c>
      <c r="C999">
        <v>56</v>
      </c>
      <c r="D999" t="s">
        <v>9</v>
      </c>
      <c r="E999" t="s">
        <v>34</v>
      </c>
      <c r="F999" t="s">
        <v>16</v>
      </c>
      <c r="G999" t="s">
        <v>12</v>
      </c>
      <c r="H999">
        <v>4746.38</v>
      </c>
      <c r="I999" s="8" t="str" cm="1">
        <f t="array" ref="I999">_xlfn.IFS(C999&lt;=15,"Children and Young Adolescents", C999&gt;64, "Seniors", TRUE, "Working Age")</f>
        <v>Working Age</v>
      </c>
      <c r="J999" s="6">
        <f>VLOOKUP(F999,Analysis!$F$1:$G$5,2,FALSE)</f>
        <v>2509.1716796874912</v>
      </c>
      <c r="K999">
        <f t="shared" si="60"/>
        <v>5221.01</v>
      </c>
      <c r="L999">
        <f t="shared" si="61"/>
        <v>5221.0200000000004</v>
      </c>
      <c r="M999">
        <f t="shared" si="62"/>
        <v>5221.0200000000004</v>
      </c>
      <c r="N999" s="5" t="str">
        <f t="shared" si="63"/>
        <v>May 2022</v>
      </c>
    </row>
    <row r="1000" spans="1:14" x14ac:dyDescent="0.25">
      <c r="A1000" s="1">
        <v>44711</v>
      </c>
      <c r="B1000" t="s">
        <v>1818</v>
      </c>
      <c r="C1000">
        <v>51</v>
      </c>
      <c r="D1000" t="s">
        <v>9</v>
      </c>
      <c r="E1000" t="s">
        <v>5032</v>
      </c>
      <c r="F1000" t="s">
        <v>16</v>
      </c>
      <c r="G1000" t="s">
        <v>12</v>
      </c>
      <c r="H1000">
        <v>2647.18</v>
      </c>
      <c r="I1000" s="8" t="str" cm="1">
        <f t="array" ref="I1000">_xlfn.IFS(C1000&lt;=15,"Children and Young Adolescents", C1000&gt;64, "Seniors", TRUE, "Working Age")</f>
        <v>Working Age</v>
      </c>
      <c r="J1000" s="6">
        <f>VLOOKUP(F1000,Analysis!$F$1:$G$5,2,FALSE)</f>
        <v>2509.1716796874912</v>
      </c>
      <c r="K1000">
        <f t="shared" si="60"/>
        <v>2911.89</v>
      </c>
      <c r="L1000">
        <f t="shared" si="61"/>
        <v>2911.9</v>
      </c>
      <c r="M1000">
        <f t="shared" si="62"/>
        <v>2911.9</v>
      </c>
      <c r="N1000" s="5" t="str">
        <f t="shared" si="63"/>
        <v>May 2022</v>
      </c>
    </row>
    <row r="1001" spans="1:14" x14ac:dyDescent="0.25">
      <c r="A1001" s="1">
        <v>44711</v>
      </c>
      <c r="B1001" t="s">
        <v>5006</v>
      </c>
      <c r="C1001">
        <v>94</v>
      </c>
      <c r="D1001" t="s">
        <v>14</v>
      </c>
      <c r="E1001" t="s">
        <v>15</v>
      </c>
      <c r="F1001" t="s">
        <v>23</v>
      </c>
      <c r="G1001" t="s">
        <v>27</v>
      </c>
      <c r="H1001">
        <v>784.39</v>
      </c>
      <c r="I1001" s="8" t="str" cm="1">
        <f t="array" ref="I1001">_xlfn.IFS(C1001&lt;=15,"Children and Young Adolescents", C1001&gt;64, "Seniors", TRUE, "Working Age")</f>
        <v>Seniors</v>
      </c>
      <c r="J1001" s="6">
        <f>VLOOKUP(F1001,Analysis!$F$1:$G$5,2,FALSE)</f>
        <v>2440.2966694490838</v>
      </c>
      <c r="K1001">
        <f t="shared" si="60"/>
        <v>862.82</v>
      </c>
      <c r="L1001">
        <f t="shared" si="61"/>
        <v>862.83</v>
      </c>
      <c r="M1001">
        <f t="shared" si="62"/>
        <v>862.83</v>
      </c>
      <c r="N1001" s="5" t="str">
        <f t="shared" si="63"/>
        <v>May 2022</v>
      </c>
    </row>
    <row r="1002" spans="1:14" x14ac:dyDescent="0.25">
      <c r="A1002" s="1">
        <v>44711</v>
      </c>
      <c r="B1002" t="s">
        <v>4324</v>
      </c>
      <c r="C1002">
        <v>91</v>
      </c>
      <c r="D1002" t="s">
        <v>9</v>
      </c>
      <c r="E1002" t="s">
        <v>34</v>
      </c>
      <c r="F1002" t="s">
        <v>11</v>
      </c>
      <c r="G1002" t="s">
        <v>12</v>
      </c>
      <c r="H1002">
        <v>731.08</v>
      </c>
      <c r="I1002" s="8" t="str" cm="1">
        <f t="array" ref="I1002">_xlfn.IFS(C1002&lt;=15,"Children and Young Adolescents", C1002&gt;64, "Seniors", TRUE, "Working Age")</f>
        <v>Seniors</v>
      </c>
      <c r="J1002" s="6">
        <f>VLOOKUP(F1002,Analysis!$F$1:$G$5,2,FALSE)</f>
        <v>2503.6022787783854</v>
      </c>
      <c r="K1002">
        <f t="shared" si="60"/>
        <v>804.18</v>
      </c>
      <c r="L1002">
        <f t="shared" si="61"/>
        <v>804.18999999999994</v>
      </c>
      <c r="M1002">
        <f t="shared" si="62"/>
        <v>804.19</v>
      </c>
      <c r="N1002" s="5" t="str">
        <f t="shared" si="63"/>
        <v>May 2022</v>
      </c>
    </row>
    <row r="1003" spans="1:14" x14ac:dyDescent="0.25">
      <c r="A1003" s="1">
        <v>44711</v>
      </c>
      <c r="B1003" t="s">
        <v>3207</v>
      </c>
      <c r="C1003">
        <v>53</v>
      </c>
      <c r="D1003" t="s">
        <v>14</v>
      </c>
      <c r="E1003" t="s">
        <v>15</v>
      </c>
      <c r="F1003" t="s">
        <v>16</v>
      </c>
      <c r="G1003" t="s">
        <v>17</v>
      </c>
      <c r="H1003">
        <v>2234.13</v>
      </c>
      <c r="I1003" s="8" t="str" cm="1">
        <f t="array" ref="I1003">_xlfn.IFS(C1003&lt;=15,"Children and Young Adolescents", C1003&gt;64, "Seniors", TRUE, "Working Age")</f>
        <v>Working Age</v>
      </c>
      <c r="J1003" s="6">
        <f>VLOOKUP(F1003,Analysis!$F$1:$G$5,2,FALSE)</f>
        <v>2509.1716796874912</v>
      </c>
      <c r="K1003">
        <f t="shared" si="60"/>
        <v>2457.54</v>
      </c>
      <c r="L1003">
        <f t="shared" si="61"/>
        <v>2457.5500000000002</v>
      </c>
      <c r="M1003">
        <f t="shared" si="62"/>
        <v>2457.54</v>
      </c>
      <c r="N1003" s="5" t="str">
        <f t="shared" si="63"/>
        <v>May 2022</v>
      </c>
    </row>
    <row r="1004" spans="1:14" x14ac:dyDescent="0.25">
      <c r="A1004" s="1">
        <v>44712</v>
      </c>
      <c r="B1004" t="s">
        <v>4068</v>
      </c>
      <c r="C1004">
        <v>78</v>
      </c>
      <c r="D1004" t="s">
        <v>14</v>
      </c>
      <c r="E1004" t="s">
        <v>19</v>
      </c>
      <c r="F1004" t="s">
        <v>11</v>
      </c>
      <c r="G1004" t="s">
        <v>12</v>
      </c>
      <c r="H1004">
        <v>3615.76</v>
      </c>
      <c r="I1004" s="8" t="str" cm="1">
        <f t="array" ref="I1004">_xlfn.IFS(C1004&lt;=15,"Children and Young Adolescents", C1004&gt;64, "Seniors", TRUE, "Working Age")</f>
        <v>Seniors</v>
      </c>
      <c r="J1004" s="6">
        <f>VLOOKUP(F1004,Analysis!$F$1:$G$5,2,FALSE)</f>
        <v>2503.6022787783854</v>
      </c>
      <c r="K1004">
        <f t="shared" si="60"/>
        <v>3977.33</v>
      </c>
      <c r="L1004">
        <f t="shared" si="61"/>
        <v>3977.34</v>
      </c>
      <c r="M1004">
        <f t="shared" si="62"/>
        <v>3977.34</v>
      </c>
      <c r="N1004" s="5" t="str">
        <f t="shared" si="63"/>
        <v>May 2022</v>
      </c>
    </row>
    <row r="1005" spans="1:14" x14ac:dyDescent="0.25">
      <c r="A1005" s="1">
        <v>44712</v>
      </c>
      <c r="B1005" t="s">
        <v>2220</v>
      </c>
      <c r="C1005">
        <v>47</v>
      </c>
      <c r="D1005" t="s">
        <v>9</v>
      </c>
      <c r="E1005" t="s">
        <v>32</v>
      </c>
      <c r="F1005" t="s">
        <v>16</v>
      </c>
      <c r="G1005" t="s">
        <v>12</v>
      </c>
      <c r="H1005">
        <v>599.87</v>
      </c>
      <c r="I1005" s="8" t="str" cm="1">
        <f t="array" ref="I1005">_xlfn.IFS(C1005&lt;=15,"Children and Young Adolescents", C1005&gt;64, "Seniors", TRUE, "Working Age")</f>
        <v>Working Age</v>
      </c>
      <c r="J1005" s="6">
        <f>VLOOKUP(F1005,Analysis!$F$1:$G$5,2,FALSE)</f>
        <v>2509.1716796874912</v>
      </c>
      <c r="K1005">
        <f t="shared" si="60"/>
        <v>659.85</v>
      </c>
      <c r="L1005">
        <f t="shared" si="61"/>
        <v>659.86</v>
      </c>
      <c r="M1005">
        <f t="shared" si="62"/>
        <v>659.86</v>
      </c>
      <c r="N1005" s="5" t="str">
        <f t="shared" si="63"/>
        <v>May 2022</v>
      </c>
    </row>
    <row r="1006" spans="1:14" x14ac:dyDescent="0.25">
      <c r="A1006" s="1">
        <v>44712</v>
      </c>
      <c r="B1006" t="s">
        <v>725</v>
      </c>
      <c r="C1006">
        <v>39</v>
      </c>
      <c r="D1006" t="s">
        <v>21</v>
      </c>
      <c r="E1006" t="s">
        <v>5032</v>
      </c>
      <c r="F1006" t="s">
        <v>29</v>
      </c>
      <c r="G1006" t="s">
        <v>27</v>
      </c>
      <c r="H1006">
        <v>4142.1000000000004</v>
      </c>
      <c r="I1006" s="8" t="str" cm="1">
        <f t="array" ref="I1006">_xlfn.IFS(C1006&lt;=15,"Children and Young Adolescents", C1006&gt;64, "Seniors", TRUE, "Working Age")</f>
        <v>Working Age</v>
      </c>
      <c r="J1006" s="6">
        <f>VLOOKUP(F1006,Analysis!$F$1:$G$5,2,FALSE)</f>
        <v>2496.7676064256989</v>
      </c>
      <c r="K1006">
        <f t="shared" si="60"/>
        <v>4556.3100000000004</v>
      </c>
      <c r="L1006">
        <f t="shared" si="61"/>
        <v>4556.3100000000004</v>
      </c>
      <c r="M1006">
        <f t="shared" si="62"/>
        <v>4556.3100000000004</v>
      </c>
      <c r="N1006" s="5" t="str">
        <f t="shared" si="63"/>
        <v>May 2022</v>
      </c>
    </row>
    <row r="1007" spans="1:14" x14ac:dyDescent="0.25">
      <c r="A1007" s="1">
        <v>44712</v>
      </c>
      <c r="B1007" t="s">
        <v>1552</v>
      </c>
      <c r="C1007">
        <v>82</v>
      </c>
      <c r="D1007" t="s">
        <v>9</v>
      </c>
      <c r="E1007" t="s">
        <v>15</v>
      </c>
      <c r="F1007" t="s">
        <v>29</v>
      </c>
      <c r="G1007" t="s">
        <v>27</v>
      </c>
      <c r="H1007">
        <v>412.54</v>
      </c>
      <c r="I1007" s="8" t="str" cm="1">
        <f t="array" ref="I1007">_xlfn.IFS(C1007&lt;=15,"Children and Young Adolescents", C1007&gt;64, "Seniors", TRUE, "Working Age")</f>
        <v>Seniors</v>
      </c>
      <c r="J1007" s="6">
        <f>VLOOKUP(F1007,Analysis!$F$1:$G$5,2,FALSE)</f>
        <v>2496.7676064256989</v>
      </c>
      <c r="K1007">
        <f t="shared" si="60"/>
        <v>453.79</v>
      </c>
      <c r="L1007">
        <f t="shared" si="61"/>
        <v>453.8</v>
      </c>
      <c r="M1007">
        <f t="shared" si="62"/>
        <v>453.79</v>
      </c>
      <c r="N1007" s="5" t="str">
        <f t="shared" si="63"/>
        <v>May 2022</v>
      </c>
    </row>
    <row r="1008" spans="1:14" x14ac:dyDescent="0.25">
      <c r="A1008" s="1">
        <v>44712</v>
      </c>
      <c r="B1008" t="s">
        <v>4879</v>
      </c>
      <c r="C1008">
        <v>66</v>
      </c>
      <c r="D1008" t="s">
        <v>21</v>
      </c>
      <c r="E1008" t="s">
        <v>22</v>
      </c>
      <c r="F1008" t="s">
        <v>29</v>
      </c>
      <c r="G1008" t="s">
        <v>12</v>
      </c>
      <c r="H1008">
        <v>1726.31</v>
      </c>
      <c r="I1008" s="8" t="str" cm="1">
        <f t="array" ref="I1008">_xlfn.IFS(C1008&lt;=15,"Children and Young Adolescents", C1008&gt;64, "Seniors", TRUE, "Working Age")</f>
        <v>Seniors</v>
      </c>
      <c r="J1008" s="6">
        <f>VLOOKUP(F1008,Analysis!$F$1:$G$5,2,FALSE)</f>
        <v>2496.7676064256989</v>
      </c>
      <c r="K1008">
        <f t="shared" si="60"/>
        <v>1898.94</v>
      </c>
      <c r="L1008">
        <f t="shared" si="61"/>
        <v>1898.95</v>
      </c>
      <c r="M1008">
        <f t="shared" si="62"/>
        <v>1898.94</v>
      </c>
      <c r="N1008" s="5" t="str">
        <f t="shared" si="63"/>
        <v>May 2022</v>
      </c>
    </row>
    <row r="1009" spans="1:14" x14ac:dyDescent="0.25">
      <c r="A1009" s="1">
        <v>44713</v>
      </c>
      <c r="B1009" t="s">
        <v>3486</v>
      </c>
      <c r="C1009">
        <v>83</v>
      </c>
      <c r="D1009" t="s">
        <v>14</v>
      </c>
      <c r="E1009" t="s">
        <v>22</v>
      </c>
      <c r="F1009" t="s">
        <v>16</v>
      </c>
      <c r="G1009" t="s">
        <v>12</v>
      </c>
      <c r="H1009">
        <v>4229.66</v>
      </c>
      <c r="I1009" s="8" t="str" cm="1">
        <f t="array" ref="I1009">_xlfn.IFS(C1009&lt;=15,"Children and Young Adolescents", C1009&gt;64, "Seniors", TRUE, "Working Age")</f>
        <v>Seniors</v>
      </c>
      <c r="J1009" s="6">
        <f>VLOOKUP(F1009,Analysis!$F$1:$G$5,2,FALSE)</f>
        <v>2509.1716796874912</v>
      </c>
      <c r="K1009">
        <f t="shared" si="60"/>
        <v>4652.62</v>
      </c>
      <c r="L1009">
        <f t="shared" si="61"/>
        <v>4652.63</v>
      </c>
      <c r="M1009">
        <f t="shared" si="62"/>
        <v>4652.63</v>
      </c>
      <c r="N1009" s="5" t="str">
        <f t="shared" si="63"/>
        <v>June 2022</v>
      </c>
    </row>
    <row r="1010" spans="1:14" x14ac:dyDescent="0.25">
      <c r="A1010" s="1">
        <v>44713</v>
      </c>
      <c r="B1010" t="s">
        <v>2718</v>
      </c>
      <c r="C1010">
        <v>75</v>
      </c>
      <c r="D1010" t="s">
        <v>9</v>
      </c>
      <c r="E1010" t="s">
        <v>15</v>
      </c>
      <c r="F1010" t="s">
        <v>16</v>
      </c>
      <c r="G1010" t="s">
        <v>17</v>
      </c>
      <c r="H1010">
        <v>2224.46</v>
      </c>
      <c r="I1010" s="8" t="str" cm="1">
        <f t="array" ref="I1010">_xlfn.IFS(C1010&lt;=15,"Children and Young Adolescents", C1010&gt;64, "Seniors", TRUE, "Working Age")</f>
        <v>Seniors</v>
      </c>
      <c r="J1010" s="6">
        <f>VLOOKUP(F1010,Analysis!$F$1:$G$5,2,FALSE)</f>
        <v>2509.1716796874912</v>
      </c>
      <c r="K1010">
        <f t="shared" si="60"/>
        <v>2446.9</v>
      </c>
      <c r="L1010">
        <f t="shared" si="61"/>
        <v>2446.9100000000003</v>
      </c>
      <c r="M1010">
        <f t="shared" si="62"/>
        <v>2446.91</v>
      </c>
      <c r="N1010" s="5" t="str">
        <f t="shared" si="63"/>
        <v>June 2022</v>
      </c>
    </row>
    <row r="1011" spans="1:14" x14ac:dyDescent="0.25">
      <c r="A1011" s="1">
        <v>44713</v>
      </c>
      <c r="B1011" t="s">
        <v>2775</v>
      </c>
      <c r="C1011">
        <v>66</v>
      </c>
      <c r="D1011" t="s">
        <v>9</v>
      </c>
      <c r="E1011" t="s">
        <v>10</v>
      </c>
      <c r="F1011" t="s">
        <v>11</v>
      </c>
      <c r="G1011" t="s">
        <v>27</v>
      </c>
      <c r="H1011">
        <v>3380.63</v>
      </c>
      <c r="I1011" s="8" t="str" cm="1">
        <f t="array" ref="I1011">_xlfn.IFS(C1011&lt;=15,"Children and Young Adolescents", C1011&gt;64, "Seniors", TRUE, "Working Age")</f>
        <v>Seniors</v>
      </c>
      <c r="J1011" s="6">
        <f>VLOOKUP(F1011,Analysis!$F$1:$G$5,2,FALSE)</f>
        <v>2503.6022787783854</v>
      </c>
      <c r="K1011">
        <f t="shared" si="60"/>
        <v>3718.69</v>
      </c>
      <c r="L1011">
        <f t="shared" si="61"/>
        <v>3718.7000000000003</v>
      </c>
      <c r="M1011">
        <f t="shared" si="62"/>
        <v>3718.69</v>
      </c>
      <c r="N1011" s="5" t="str">
        <f t="shared" si="63"/>
        <v>June 2022</v>
      </c>
    </row>
    <row r="1012" spans="1:14" x14ac:dyDescent="0.25">
      <c r="A1012" s="1">
        <v>44713</v>
      </c>
      <c r="B1012" t="s">
        <v>1504</v>
      </c>
      <c r="C1012">
        <v>34</v>
      </c>
      <c r="D1012" t="s">
        <v>9</v>
      </c>
      <c r="E1012" t="s">
        <v>15</v>
      </c>
      <c r="F1012" t="s">
        <v>29</v>
      </c>
      <c r="G1012" t="s">
        <v>39</v>
      </c>
      <c r="H1012">
        <v>1338.33</v>
      </c>
      <c r="I1012" s="8" t="str" cm="1">
        <f t="array" ref="I1012">_xlfn.IFS(C1012&lt;=15,"Children and Young Adolescents", C1012&gt;64, "Seniors", TRUE, "Working Age")</f>
        <v>Working Age</v>
      </c>
      <c r="J1012" s="6">
        <f>VLOOKUP(F1012,Analysis!$F$1:$G$5,2,FALSE)</f>
        <v>2496.7676064256989</v>
      </c>
      <c r="K1012">
        <f t="shared" si="60"/>
        <v>1472.16</v>
      </c>
      <c r="L1012">
        <f t="shared" si="61"/>
        <v>1472.17</v>
      </c>
      <c r="M1012">
        <f t="shared" si="62"/>
        <v>1472.16</v>
      </c>
      <c r="N1012" s="5" t="str">
        <f t="shared" si="63"/>
        <v>June 2022</v>
      </c>
    </row>
    <row r="1013" spans="1:14" x14ac:dyDescent="0.25">
      <c r="A1013" s="1">
        <v>44713</v>
      </c>
      <c r="B1013" t="s">
        <v>559</v>
      </c>
      <c r="C1013">
        <v>49</v>
      </c>
      <c r="D1013" t="s">
        <v>9</v>
      </c>
      <c r="E1013" t="s">
        <v>34</v>
      </c>
      <c r="F1013" t="s">
        <v>23</v>
      </c>
      <c r="G1013" t="s">
        <v>12</v>
      </c>
      <c r="H1013">
        <v>4886.5600000000004</v>
      </c>
      <c r="I1013" s="8" t="str" cm="1">
        <f t="array" ref="I1013">_xlfn.IFS(C1013&lt;=15,"Children and Young Adolescents", C1013&gt;64, "Seniors", TRUE, "Working Age")</f>
        <v>Working Age</v>
      </c>
      <c r="J1013" s="6">
        <f>VLOOKUP(F1013,Analysis!$F$1:$G$5,2,FALSE)</f>
        <v>2440.2966694490838</v>
      </c>
      <c r="K1013">
        <f t="shared" si="60"/>
        <v>5375.21</v>
      </c>
      <c r="L1013">
        <f t="shared" si="61"/>
        <v>5375.22</v>
      </c>
      <c r="M1013">
        <f t="shared" si="62"/>
        <v>5375.22</v>
      </c>
      <c r="N1013" s="5" t="str">
        <f t="shared" si="63"/>
        <v>June 2022</v>
      </c>
    </row>
    <row r="1014" spans="1:14" x14ac:dyDescent="0.25">
      <c r="A1014" s="1">
        <v>44714</v>
      </c>
      <c r="B1014" t="s">
        <v>1109</v>
      </c>
      <c r="C1014">
        <v>64</v>
      </c>
      <c r="D1014" t="s">
        <v>14</v>
      </c>
      <c r="E1014" t="s">
        <v>15</v>
      </c>
      <c r="F1014" t="s">
        <v>16</v>
      </c>
      <c r="G1014" t="s">
        <v>39</v>
      </c>
      <c r="H1014">
        <v>4986.0600000000004</v>
      </c>
      <c r="I1014" s="8" t="str" cm="1">
        <f t="array" ref="I1014">_xlfn.IFS(C1014&lt;=15,"Children and Young Adolescents", C1014&gt;64, "Seniors", TRUE, "Working Age")</f>
        <v>Working Age</v>
      </c>
      <c r="J1014" s="6">
        <f>VLOOKUP(F1014,Analysis!$F$1:$G$5,2,FALSE)</f>
        <v>2509.1716796874912</v>
      </c>
      <c r="K1014">
        <f t="shared" si="60"/>
        <v>5484.66</v>
      </c>
      <c r="L1014">
        <f t="shared" si="61"/>
        <v>5484.67</v>
      </c>
      <c r="M1014">
        <f t="shared" si="62"/>
        <v>5484.67</v>
      </c>
      <c r="N1014" s="5" t="str">
        <f t="shared" si="63"/>
        <v>June 2022</v>
      </c>
    </row>
    <row r="1015" spans="1:14" x14ac:dyDescent="0.25">
      <c r="A1015" s="1">
        <v>44714</v>
      </c>
      <c r="B1015" t="s">
        <v>295</v>
      </c>
      <c r="C1015">
        <v>49</v>
      </c>
      <c r="D1015" t="s">
        <v>14</v>
      </c>
      <c r="E1015" t="s">
        <v>15</v>
      </c>
      <c r="F1015" t="s">
        <v>29</v>
      </c>
      <c r="G1015" t="s">
        <v>12</v>
      </c>
      <c r="H1015">
        <v>2008.47</v>
      </c>
      <c r="I1015" s="8" t="str" cm="1">
        <f t="array" ref="I1015">_xlfn.IFS(C1015&lt;=15,"Children and Young Adolescents", C1015&gt;64, "Seniors", TRUE, "Working Age")</f>
        <v>Working Age</v>
      </c>
      <c r="J1015" s="6">
        <f>VLOOKUP(F1015,Analysis!$F$1:$G$5,2,FALSE)</f>
        <v>2496.7676064256989</v>
      </c>
      <c r="K1015">
        <f t="shared" si="60"/>
        <v>2209.31</v>
      </c>
      <c r="L1015">
        <f t="shared" si="61"/>
        <v>2209.3200000000002</v>
      </c>
      <c r="M1015">
        <f t="shared" si="62"/>
        <v>2209.3200000000002</v>
      </c>
      <c r="N1015" s="5" t="str">
        <f t="shared" si="63"/>
        <v>June 2022</v>
      </c>
    </row>
    <row r="1016" spans="1:14" x14ac:dyDescent="0.25">
      <c r="A1016" s="1">
        <v>44714</v>
      </c>
      <c r="B1016" t="s">
        <v>876</v>
      </c>
      <c r="C1016">
        <v>42</v>
      </c>
      <c r="D1016" t="s">
        <v>21</v>
      </c>
      <c r="E1016" t="s">
        <v>34</v>
      </c>
      <c r="F1016" t="s">
        <v>23</v>
      </c>
      <c r="G1016" t="s">
        <v>17</v>
      </c>
      <c r="H1016">
        <v>1134.32</v>
      </c>
      <c r="I1016" s="8" t="str" cm="1">
        <f t="array" ref="I1016">_xlfn.IFS(C1016&lt;=15,"Children and Young Adolescents", C1016&gt;64, "Seniors", TRUE, "Working Age")</f>
        <v>Working Age</v>
      </c>
      <c r="J1016" s="6">
        <f>VLOOKUP(F1016,Analysis!$F$1:$G$5,2,FALSE)</f>
        <v>2440.2966694490838</v>
      </c>
      <c r="K1016">
        <f t="shared" si="60"/>
        <v>1247.75</v>
      </c>
      <c r="L1016">
        <f t="shared" si="61"/>
        <v>1247.76</v>
      </c>
      <c r="M1016">
        <f t="shared" si="62"/>
        <v>1247.75</v>
      </c>
      <c r="N1016" s="5" t="str">
        <f t="shared" si="63"/>
        <v>June 2022</v>
      </c>
    </row>
    <row r="1017" spans="1:14" x14ac:dyDescent="0.25">
      <c r="A1017" s="1">
        <v>44714</v>
      </c>
      <c r="B1017" t="s">
        <v>635</v>
      </c>
      <c r="C1017">
        <v>94</v>
      </c>
      <c r="D1017" t="s">
        <v>9</v>
      </c>
      <c r="E1017" t="s">
        <v>5032</v>
      </c>
      <c r="F1017" t="s">
        <v>11</v>
      </c>
      <c r="G1017" t="s">
        <v>36</v>
      </c>
      <c r="H1017">
        <v>1638.19</v>
      </c>
      <c r="I1017" s="8" t="str" cm="1">
        <f t="array" ref="I1017">_xlfn.IFS(C1017&lt;=15,"Children and Young Adolescents", C1017&gt;64, "Seniors", TRUE, "Working Age")</f>
        <v>Seniors</v>
      </c>
      <c r="J1017" s="6">
        <f>VLOOKUP(F1017,Analysis!$F$1:$G$5,2,FALSE)</f>
        <v>2503.6022787783854</v>
      </c>
      <c r="K1017">
        <f t="shared" si="60"/>
        <v>1802</v>
      </c>
      <c r="L1017">
        <f t="shared" si="61"/>
        <v>1802.01</v>
      </c>
      <c r="M1017">
        <f t="shared" si="62"/>
        <v>1802.01</v>
      </c>
      <c r="N1017" s="5" t="str">
        <f t="shared" si="63"/>
        <v>June 2022</v>
      </c>
    </row>
    <row r="1018" spans="1:14" x14ac:dyDescent="0.25">
      <c r="A1018" s="1">
        <v>44714</v>
      </c>
      <c r="B1018" t="s">
        <v>353</v>
      </c>
      <c r="C1018">
        <v>62</v>
      </c>
      <c r="D1018" t="s">
        <v>14</v>
      </c>
      <c r="E1018" t="s">
        <v>25</v>
      </c>
      <c r="F1018" t="s">
        <v>11</v>
      </c>
      <c r="G1018" t="s">
        <v>39</v>
      </c>
      <c r="H1018">
        <v>2863.99</v>
      </c>
      <c r="I1018" s="8" t="str" cm="1">
        <f t="array" ref="I1018">_xlfn.IFS(C1018&lt;=15,"Children and Young Adolescents", C1018&gt;64, "Seniors", TRUE, "Working Age")</f>
        <v>Working Age</v>
      </c>
      <c r="J1018" s="6">
        <f>VLOOKUP(F1018,Analysis!$F$1:$G$5,2,FALSE)</f>
        <v>2503.6022787783854</v>
      </c>
      <c r="K1018">
        <f t="shared" si="60"/>
        <v>3150.38</v>
      </c>
      <c r="L1018">
        <f t="shared" si="61"/>
        <v>3150.3900000000003</v>
      </c>
      <c r="M1018">
        <f t="shared" si="62"/>
        <v>3150.39</v>
      </c>
      <c r="N1018" s="5" t="str">
        <f t="shared" si="63"/>
        <v>June 2022</v>
      </c>
    </row>
    <row r="1019" spans="1:14" x14ac:dyDescent="0.25">
      <c r="A1019" s="1">
        <v>44714</v>
      </c>
      <c r="B1019" t="s">
        <v>715</v>
      </c>
      <c r="C1019">
        <v>39</v>
      </c>
      <c r="D1019" t="s">
        <v>9</v>
      </c>
      <c r="E1019" t="s">
        <v>22</v>
      </c>
      <c r="F1019" t="s">
        <v>11</v>
      </c>
      <c r="G1019" t="s">
        <v>36</v>
      </c>
      <c r="H1019">
        <v>3886.77</v>
      </c>
      <c r="I1019" s="8" t="str" cm="1">
        <f t="array" ref="I1019">_xlfn.IFS(C1019&lt;=15,"Children and Young Adolescents", C1019&gt;64, "Seniors", TRUE, "Working Age")</f>
        <v>Working Age</v>
      </c>
      <c r="J1019" s="6">
        <f>VLOOKUP(F1019,Analysis!$F$1:$G$5,2,FALSE)</f>
        <v>2503.6022787783854</v>
      </c>
      <c r="K1019">
        <f t="shared" si="60"/>
        <v>4275.4399999999996</v>
      </c>
      <c r="L1019">
        <f t="shared" si="61"/>
        <v>4275.45</v>
      </c>
      <c r="M1019">
        <f t="shared" si="62"/>
        <v>4275.45</v>
      </c>
      <c r="N1019" s="5" t="str">
        <f t="shared" si="63"/>
        <v>June 2022</v>
      </c>
    </row>
    <row r="1020" spans="1:14" x14ac:dyDescent="0.25">
      <c r="A1020" s="1">
        <v>44714</v>
      </c>
      <c r="B1020" t="s">
        <v>4103</v>
      </c>
      <c r="C1020">
        <v>2</v>
      </c>
      <c r="D1020" t="s">
        <v>14</v>
      </c>
      <c r="E1020" t="s">
        <v>25</v>
      </c>
      <c r="F1020" t="s">
        <v>29</v>
      </c>
      <c r="G1020" t="s">
        <v>17</v>
      </c>
      <c r="H1020">
        <v>418.04</v>
      </c>
      <c r="I1020" s="8" t="str" cm="1">
        <f t="array" ref="I1020">_xlfn.IFS(C1020&lt;=15,"Children and Young Adolescents", C1020&gt;64, "Seniors", TRUE, "Working Age")</f>
        <v>Children and Young Adolescents</v>
      </c>
      <c r="J1020" s="6">
        <f>VLOOKUP(F1020,Analysis!$F$1:$G$5,2,FALSE)</f>
        <v>2496.7676064256989</v>
      </c>
      <c r="K1020">
        <f t="shared" si="60"/>
        <v>459.84</v>
      </c>
      <c r="L1020">
        <f t="shared" si="61"/>
        <v>459.84999999999997</v>
      </c>
      <c r="M1020">
        <f t="shared" si="62"/>
        <v>459.84</v>
      </c>
      <c r="N1020" s="5" t="str">
        <f t="shared" si="63"/>
        <v>June 2022</v>
      </c>
    </row>
    <row r="1021" spans="1:14" x14ac:dyDescent="0.25">
      <c r="A1021" s="1">
        <v>44715</v>
      </c>
      <c r="B1021" t="s">
        <v>1155</v>
      </c>
      <c r="C1021">
        <v>0</v>
      </c>
      <c r="D1021" t="s">
        <v>14</v>
      </c>
      <c r="E1021" t="s">
        <v>25</v>
      </c>
      <c r="F1021" t="s">
        <v>29</v>
      </c>
      <c r="G1021" t="s">
        <v>12</v>
      </c>
      <c r="H1021">
        <v>820.57</v>
      </c>
      <c r="I1021" s="8" t="str" cm="1">
        <f t="array" ref="I1021">_xlfn.IFS(C1021&lt;=15,"Children and Young Adolescents", C1021&gt;64, "Seniors", TRUE, "Working Age")</f>
        <v>Children and Young Adolescents</v>
      </c>
      <c r="J1021" s="6">
        <f>VLOOKUP(F1021,Analysis!$F$1:$G$5,2,FALSE)</f>
        <v>2496.7676064256989</v>
      </c>
      <c r="K1021">
        <f t="shared" si="60"/>
        <v>902.62</v>
      </c>
      <c r="L1021">
        <f t="shared" si="61"/>
        <v>902.63</v>
      </c>
      <c r="M1021">
        <f t="shared" si="62"/>
        <v>902.63</v>
      </c>
      <c r="N1021" s="5" t="str">
        <f t="shared" si="63"/>
        <v>June 2022</v>
      </c>
    </row>
    <row r="1022" spans="1:14" x14ac:dyDescent="0.25">
      <c r="A1022" s="1">
        <v>44715</v>
      </c>
      <c r="B1022" t="s">
        <v>3148</v>
      </c>
      <c r="C1022">
        <v>89</v>
      </c>
      <c r="D1022" t="s">
        <v>14</v>
      </c>
      <c r="E1022" t="s">
        <v>22</v>
      </c>
      <c r="F1022" t="s">
        <v>11</v>
      </c>
      <c r="G1022" t="s">
        <v>17</v>
      </c>
      <c r="H1022">
        <v>523.24</v>
      </c>
      <c r="I1022" s="8" t="str" cm="1">
        <f t="array" ref="I1022">_xlfn.IFS(C1022&lt;=15,"Children and Young Adolescents", C1022&gt;64, "Seniors", TRUE, "Working Age")</f>
        <v>Seniors</v>
      </c>
      <c r="J1022" s="6">
        <f>VLOOKUP(F1022,Analysis!$F$1:$G$5,2,FALSE)</f>
        <v>2503.6022787783854</v>
      </c>
      <c r="K1022">
        <f t="shared" si="60"/>
        <v>575.55999999999995</v>
      </c>
      <c r="L1022">
        <f t="shared" si="61"/>
        <v>575.56999999999994</v>
      </c>
      <c r="M1022">
        <f t="shared" si="62"/>
        <v>575.55999999999995</v>
      </c>
      <c r="N1022" s="5" t="str">
        <f t="shared" si="63"/>
        <v>June 2022</v>
      </c>
    </row>
    <row r="1023" spans="1:14" x14ac:dyDescent="0.25">
      <c r="A1023" s="1">
        <v>44715</v>
      </c>
      <c r="B1023" t="s">
        <v>1361</v>
      </c>
      <c r="C1023">
        <v>80</v>
      </c>
      <c r="D1023" t="s">
        <v>9</v>
      </c>
      <c r="E1023" t="s">
        <v>10</v>
      </c>
      <c r="F1023" t="s">
        <v>11</v>
      </c>
      <c r="G1023" t="s">
        <v>12</v>
      </c>
      <c r="H1023">
        <v>530.14</v>
      </c>
      <c r="I1023" s="8" t="str" cm="1">
        <f t="array" ref="I1023">_xlfn.IFS(C1023&lt;=15,"Children and Young Adolescents", C1023&gt;64, "Seniors", TRUE, "Working Age")</f>
        <v>Seniors</v>
      </c>
      <c r="J1023" s="6">
        <f>VLOOKUP(F1023,Analysis!$F$1:$G$5,2,FALSE)</f>
        <v>2503.6022787783854</v>
      </c>
      <c r="K1023">
        <f t="shared" si="60"/>
        <v>583.15</v>
      </c>
      <c r="L1023">
        <f t="shared" si="61"/>
        <v>583.16</v>
      </c>
      <c r="M1023">
        <f t="shared" si="62"/>
        <v>583.15</v>
      </c>
      <c r="N1023" s="5" t="str">
        <f t="shared" si="63"/>
        <v>June 2022</v>
      </c>
    </row>
    <row r="1024" spans="1:14" x14ac:dyDescent="0.25">
      <c r="A1024" s="1">
        <v>44715</v>
      </c>
      <c r="B1024" t="s">
        <v>1368</v>
      </c>
      <c r="C1024">
        <v>74</v>
      </c>
      <c r="D1024" t="s">
        <v>21</v>
      </c>
      <c r="E1024" t="s">
        <v>25</v>
      </c>
      <c r="F1024" t="s">
        <v>23</v>
      </c>
      <c r="G1024" t="s">
        <v>39</v>
      </c>
      <c r="H1024">
        <v>3734.02</v>
      </c>
      <c r="I1024" s="8" t="str" cm="1">
        <f t="array" ref="I1024">_xlfn.IFS(C1024&lt;=15,"Children and Young Adolescents", C1024&gt;64, "Seniors", TRUE, "Working Age")</f>
        <v>Seniors</v>
      </c>
      <c r="J1024" s="6">
        <f>VLOOKUP(F1024,Analysis!$F$1:$G$5,2,FALSE)</f>
        <v>2440.2966694490838</v>
      </c>
      <c r="K1024">
        <f t="shared" si="60"/>
        <v>4107.42</v>
      </c>
      <c r="L1024">
        <f t="shared" si="61"/>
        <v>4107.43</v>
      </c>
      <c r="M1024">
        <f t="shared" si="62"/>
        <v>4107.42</v>
      </c>
      <c r="N1024" s="5" t="str">
        <f t="shared" si="63"/>
        <v>June 2022</v>
      </c>
    </row>
    <row r="1025" spans="1:14" x14ac:dyDescent="0.25">
      <c r="A1025" s="1">
        <v>44715</v>
      </c>
      <c r="B1025" t="s">
        <v>96</v>
      </c>
      <c r="C1025">
        <v>82</v>
      </c>
      <c r="D1025" t="s">
        <v>14</v>
      </c>
      <c r="E1025" t="s">
        <v>34</v>
      </c>
      <c r="F1025" t="s">
        <v>11</v>
      </c>
      <c r="G1025" t="s">
        <v>36</v>
      </c>
      <c r="H1025">
        <v>4041.36</v>
      </c>
      <c r="I1025" s="8" t="str" cm="1">
        <f t="array" ref="I1025">_xlfn.IFS(C1025&lt;=15,"Children and Young Adolescents", C1025&gt;64, "Seniors", TRUE, "Working Age")</f>
        <v>Seniors</v>
      </c>
      <c r="J1025" s="6">
        <f>VLOOKUP(F1025,Analysis!$F$1:$G$5,2,FALSE)</f>
        <v>2503.6022787783854</v>
      </c>
      <c r="K1025">
        <f t="shared" si="60"/>
        <v>4445.49</v>
      </c>
      <c r="L1025">
        <f t="shared" si="61"/>
        <v>4445.5</v>
      </c>
      <c r="M1025">
        <f t="shared" si="62"/>
        <v>4445.5</v>
      </c>
      <c r="N1025" s="5" t="str">
        <f t="shared" si="63"/>
        <v>June 2022</v>
      </c>
    </row>
    <row r="1026" spans="1:14" x14ac:dyDescent="0.25">
      <c r="A1026" s="1">
        <v>44715</v>
      </c>
      <c r="B1026" t="s">
        <v>4359</v>
      </c>
      <c r="C1026">
        <v>99</v>
      </c>
      <c r="D1026" t="s">
        <v>9</v>
      </c>
      <c r="E1026" t="s">
        <v>25</v>
      </c>
      <c r="F1026" t="s">
        <v>29</v>
      </c>
      <c r="G1026" t="s">
        <v>39</v>
      </c>
      <c r="H1026">
        <v>4520.12</v>
      </c>
      <c r="I1026" s="8" t="str" cm="1">
        <f t="array" ref="I1026">_xlfn.IFS(C1026&lt;=15,"Children and Young Adolescents", C1026&gt;64, "Seniors", TRUE, "Working Age")</f>
        <v>Seniors</v>
      </c>
      <c r="J1026" s="6">
        <f>VLOOKUP(F1026,Analysis!$F$1:$G$5,2,FALSE)</f>
        <v>2496.7676064256989</v>
      </c>
      <c r="K1026">
        <f t="shared" si="60"/>
        <v>4972.13</v>
      </c>
      <c r="L1026">
        <f t="shared" si="61"/>
        <v>4972.1400000000003</v>
      </c>
      <c r="M1026">
        <f t="shared" si="62"/>
        <v>4972.13</v>
      </c>
      <c r="N1026" s="5" t="str">
        <f t="shared" si="63"/>
        <v>June 2022</v>
      </c>
    </row>
    <row r="1027" spans="1:14" x14ac:dyDescent="0.25">
      <c r="A1027" s="1">
        <v>44716</v>
      </c>
      <c r="B1027" t="s">
        <v>2597</v>
      </c>
      <c r="C1027">
        <v>65</v>
      </c>
      <c r="D1027" t="s">
        <v>21</v>
      </c>
      <c r="E1027" t="s">
        <v>25</v>
      </c>
      <c r="F1027" t="s">
        <v>23</v>
      </c>
      <c r="G1027" t="s">
        <v>36</v>
      </c>
      <c r="H1027">
        <v>3020.59</v>
      </c>
      <c r="I1027" s="8" t="str" cm="1">
        <f t="array" ref="I1027">_xlfn.IFS(C1027&lt;=15,"Children and Young Adolescents", C1027&gt;64, "Seniors", TRUE, "Working Age")</f>
        <v>Seniors</v>
      </c>
      <c r="J1027" s="6">
        <f>VLOOKUP(F1027,Analysis!$F$1:$G$5,2,FALSE)</f>
        <v>2440.2966694490838</v>
      </c>
      <c r="K1027">
        <f t="shared" ref="K1027:K1090" si="64">ROUNDDOWN(H1027*1.1,2)</f>
        <v>3322.64</v>
      </c>
      <c r="L1027">
        <f t="shared" ref="L1027:L1090" si="65">ROUNDUP(H1027*1.1,2)</f>
        <v>3322.65</v>
      </c>
      <c r="M1027">
        <f t="shared" ref="M1027:M1090" si="66">ROUND(H1027*1.1,2)</f>
        <v>3322.65</v>
      </c>
      <c r="N1027" s="5" t="str">
        <f t="shared" ref="N1027:N1090" si="67">TEXT(A1027,"mmmm yyyy")</f>
        <v>June 2022</v>
      </c>
    </row>
    <row r="1028" spans="1:14" x14ac:dyDescent="0.25">
      <c r="A1028" s="1">
        <v>44716</v>
      </c>
      <c r="B1028" t="s">
        <v>3171</v>
      </c>
      <c r="C1028">
        <v>68</v>
      </c>
      <c r="D1028" t="s">
        <v>9</v>
      </c>
      <c r="E1028" t="s">
        <v>25</v>
      </c>
      <c r="F1028" t="s">
        <v>29</v>
      </c>
      <c r="G1028" t="s">
        <v>12</v>
      </c>
      <c r="H1028">
        <v>3613.24</v>
      </c>
      <c r="I1028" s="8" t="str" cm="1">
        <f t="array" ref="I1028">_xlfn.IFS(C1028&lt;=15,"Children and Young Adolescents", C1028&gt;64, "Seniors", TRUE, "Working Age")</f>
        <v>Seniors</v>
      </c>
      <c r="J1028" s="6">
        <f>VLOOKUP(F1028,Analysis!$F$1:$G$5,2,FALSE)</f>
        <v>2496.7676064256989</v>
      </c>
      <c r="K1028">
        <f t="shared" si="64"/>
        <v>3974.56</v>
      </c>
      <c r="L1028">
        <f t="shared" si="65"/>
        <v>3974.57</v>
      </c>
      <c r="M1028">
        <f t="shared" si="66"/>
        <v>3974.56</v>
      </c>
      <c r="N1028" s="5" t="str">
        <f t="shared" si="67"/>
        <v>June 2022</v>
      </c>
    </row>
    <row r="1029" spans="1:14" x14ac:dyDescent="0.25">
      <c r="A1029" s="1">
        <v>44716</v>
      </c>
      <c r="B1029" t="s">
        <v>1640</v>
      </c>
      <c r="C1029">
        <v>35</v>
      </c>
      <c r="D1029" t="s">
        <v>21</v>
      </c>
      <c r="E1029" t="s">
        <v>25</v>
      </c>
      <c r="F1029" t="s">
        <v>11</v>
      </c>
      <c r="G1029" t="s">
        <v>12</v>
      </c>
      <c r="H1029">
        <v>1480.56</v>
      </c>
      <c r="I1029" s="8" t="str" cm="1">
        <f t="array" ref="I1029">_xlfn.IFS(C1029&lt;=15,"Children and Young Adolescents", C1029&gt;64, "Seniors", TRUE, "Working Age")</f>
        <v>Working Age</v>
      </c>
      <c r="J1029" s="6">
        <f>VLOOKUP(F1029,Analysis!$F$1:$G$5,2,FALSE)</f>
        <v>2503.6022787783854</v>
      </c>
      <c r="K1029">
        <f t="shared" si="64"/>
        <v>1628.61</v>
      </c>
      <c r="L1029">
        <f t="shared" si="65"/>
        <v>1628.62</v>
      </c>
      <c r="M1029">
        <f t="shared" si="66"/>
        <v>1628.62</v>
      </c>
      <c r="N1029" s="5" t="str">
        <f t="shared" si="67"/>
        <v>June 2022</v>
      </c>
    </row>
    <row r="1030" spans="1:14" x14ac:dyDescent="0.25">
      <c r="A1030" s="1">
        <v>44716</v>
      </c>
      <c r="B1030" t="s">
        <v>2112</v>
      </c>
      <c r="C1030">
        <v>0</v>
      </c>
      <c r="D1030" t="s">
        <v>14</v>
      </c>
      <c r="E1030" t="s">
        <v>22</v>
      </c>
      <c r="F1030" t="s">
        <v>16</v>
      </c>
      <c r="G1030" t="s">
        <v>12</v>
      </c>
      <c r="H1030">
        <v>2905.25</v>
      </c>
      <c r="I1030" s="8" t="str" cm="1">
        <f t="array" ref="I1030">_xlfn.IFS(C1030&lt;=15,"Children and Young Adolescents", C1030&gt;64, "Seniors", TRUE, "Working Age")</f>
        <v>Children and Young Adolescents</v>
      </c>
      <c r="J1030" s="6">
        <f>VLOOKUP(F1030,Analysis!$F$1:$G$5,2,FALSE)</f>
        <v>2509.1716796874912</v>
      </c>
      <c r="K1030">
        <f t="shared" si="64"/>
        <v>3195.77</v>
      </c>
      <c r="L1030">
        <f t="shared" si="65"/>
        <v>3195.78</v>
      </c>
      <c r="M1030">
        <f t="shared" si="66"/>
        <v>3195.78</v>
      </c>
      <c r="N1030" s="5" t="str">
        <f t="shared" si="67"/>
        <v>June 2022</v>
      </c>
    </row>
    <row r="1031" spans="1:14" x14ac:dyDescent="0.25">
      <c r="A1031" s="1">
        <v>44716</v>
      </c>
      <c r="B1031" t="s">
        <v>4169</v>
      </c>
      <c r="C1031">
        <v>60</v>
      </c>
      <c r="D1031" t="s">
        <v>21</v>
      </c>
      <c r="E1031" t="s">
        <v>10</v>
      </c>
      <c r="F1031" t="s">
        <v>11</v>
      </c>
      <c r="G1031" t="s">
        <v>12</v>
      </c>
      <c r="H1031">
        <v>2003.68</v>
      </c>
      <c r="I1031" s="8" t="str" cm="1">
        <f t="array" ref="I1031">_xlfn.IFS(C1031&lt;=15,"Children and Young Adolescents", C1031&gt;64, "Seniors", TRUE, "Working Age")</f>
        <v>Working Age</v>
      </c>
      <c r="J1031" s="6">
        <f>VLOOKUP(F1031,Analysis!$F$1:$G$5,2,FALSE)</f>
        <v>2503.6022787783854</v>
      </c>
      <c r="K1031">
        <f t="shared" si="64"/>
        <v>2204.04</v>
      </c>
      <c r="L1031">
        <f t="shared" si="65"/>
        <v>2204.0500000000002</v>
      </c>
      <c r="M1031">
        <f t="shared" si="66"/>
        <v>2204.0500000000002</v>
      </c>
      <c r="N1031" s="5" t="str">
        <f t="shared" si="67"/>
        <v>June 2022</v>
      </c>
    </row>
    <row r="1032" spans="1:14" x14ac:dyDescent="0.25">
      <c r="A1032" s="1">
        <v>44716</v>
      </c>
      <c r="B1032" t="s">
        <v>1651</v>
      </c>
      <c r="C1032">
        <v>15</v>
      </c>
      <c r="D1032" t="s">
        <v>21</v>
      </c>
      <c r="E1032" t="s">
        <v>1268</v>
      </c>
      <c r="F1032" t="s">
        <v>23</v>
      </c>
      <c r="G1032" t="s">
        <v>27</v>
      </c>
      <c r="H1032">
        <v>254.98</v>
      </c>
      <c r="I1032" s="8" t="str" cm="1">
        <f t="array" ref="I1032">_xlfn.IFS(C1032&lt;=15,"Children and Young Adolescents", C1032&gt;64, "Seniors", TRUE, "Working Age")</f>
        <v>Children and Young Adolescents</v>
      </c>
      <c r="J1032" s="6">
        <f>VLOOKUP(F1032,Analysis!$F$1:$G$5,2,FALSE)</f>
        <v>2440.2966694490838</v>
      </c>
      <c r="K1032">
        <f t="shared" si="64"/>
        <v>280.47000000000003</v>
      </c>
      <c r="L1032">
        <f t="shared" si="65"/>
        <v>280.48</v>
      </c>
      <c r="M1032">
        <f t="shared" si="66"/>
        <v>280.48</v>
      </c>
      <c r="N1032" s="5" t="str">
        <f t="shared" si="67"/>
        <v>June 2022</v>
      </c>
    </row>
    <row r="1033" spans="1:14" x14ac:dyDescent="0.25">
      <c r="A1033" s="1">
        <v>44716</v>
      </c>
      <c r="B1033" t="s">
        <v>2368</v>
      </c>
      <c r="C1033">
        <v>17</v>
      </c>
      <c r="D1033" t="s">
        <v>9</v>
      </c>
      <c r="E1033" t="s">
        <v>5032</v>
      </c>
      <c r="F1033" t="s">
        <v>23</v>
      </c>
      <c r="G1033" t="s">
        <v>36</v>
      </c>
      <c r="H1033">
        <v>4388.32</v>
      </c>
      <c r="I1033" s="8" t="str" cm="1">
        <f t="array" ref="I1033">_xlfn.IFS(C1033&lt;=15,"Children and Young Adolescents", C1033&gt;64, "Seniors", TRUE, "Working Age")</f>
        <v>Working Age</v>
      </c>
      <c r="J1033" s="6">
        <f>VLOOKUP(F1033,Analysis!$F$1:$G$5,2,FALSE)</f>
        <v>2440.2966694490838</v>
      </c>
      <c r="K1033">
        <f t="shared" si="64"/>
        <v>4827.1499999999996</v>
      </c>
      <c r="L1033">
        <f t="shared" si="65"/>
        <v>4827.16</v>
      </c>
      <c r="M1033">
        <f t="shared" si="66"/>
        <v>4827.1499999999996</v>
      </c>
      <c r="N1033" s="5" t="str">
        <f t="shared" si="67"/>
        <v>June 2022</v>
      </c>
    </row>
    <row r="1034" spans="1:14" x14ac:dyDescent="0.25">
      <c r="A1034" s="1">
        <v>44716</v>
      </c>
      <c r="B1034" t="s">
        <v>2693</v>
      </c>
      <c r="C1034">
        <v>5</v>
      </c>
      <c r="D1034" t="s">
        <v>21</v>
      </c>
      <c r="E1034" t="s">
        <v>15</v>
      </c>
      <c r="F1034" t="s">
        <v>11</v>
      </c>
      <c r="G1034" t="s">
        <v>17</v>
      </c>
      <c r="H1034">
        <v>2353.02</v>
      </c>
      <c r="I1034" s="8" t="str" cm="1">
        <f t="array" ref="I1034">_xlfn.IFS(C1034&lt;=15,"Children and Young Adolescents", C1034&gt;64, "Seniors", TRUE, "Working Age")</f>
        <v>Children and Young Adolescents</v>
      </c>
      <c r="J1034" s="6">
        <f>VLOOKUP(F1034,Analysis!$F$1:$G$5,2,FALSE)</f>
        <v>2503.6022787783854</v>
      </c>
      <c r="K1034">
        <f t="shared" si="64"/>
        <v>2588.3200000000002</v>
      </c>
      <c r="L1034">
        <f t="shared" si="65"/>
        <v>2588.3300000000004</v>
      </c>
      <c r="M1034">
        <f t="shared" si="66"/>
        <v>2588.3200000000002</v>
      </c>
      <c r="N1034" s="5" t="str">
        <f t="shared" si="67"/>
        <v>June 2022</v>
      </c>
    </row>
    <row r="1035" spans="1:14" x14ac:dyDescent="0.25">
      <c r="A1035" s="1">
        <v>44716</v>
      </c>
      <c r="B1035" t="s">
        <v>3671</v>
      </c>
      <c r="C1035">
        <v>83</v>
      </c>
      <c r="D1035" t="s">
        <v>14</v>
      </c>
      <c r="E1035" t="s">
        <v>34</v>
      </c>
      <c r="F1035" t="s">
        <v>16</v>
      </c>
      <c r="G1035" t="s">
        <v>36</v>
      </c>
      <c r="H1035">
        <v>4379.46</v>
      </c>
      <c r="I1035" s="8" t="str" cm="1">
        <f t="array" ref="I1035">_xlfn.IFS(C1035&lt;=15,"Children and Young Adolescents", C1035&gt;64, "Seniors", TRUE, "Working Age")</f>
        <v>Seniors</v>
      </c>
      <c r="J1035" s="6">
        <f>VLOOKUP(F1035,Analysis!$F$1:$G$5,2,FALSE)</f>
        <v>2509.1716796874912</v>
      </c>
      <c r="K1035">
        <f t="shared" si="64"/>
        <v>4817.3999999999996</v>
      </c>
      <c r="L1035">
        <f t="shared" si="65"/>
        <v>4817.41</v>
      </c>
      <c r="M1035">
        <f t="shared" si="66"/>
        <v>4817.41</v>
      </c>
      <c r="N1035" s="5" t="str">
        <f t="shared" si="67"/>
        <v>June 2022</v>
      </c>
    </row>
    <row r="1036" spans="1:14" x14ac:dyDescent="0.25">
      <c r="A1036" s="1">
        <v>44716</v>
      </c>
      <c r="B1036" t="s">
        <v>4468</v>
      </c>
      <c r="C1036">
        <v>7</v>
      </c>
      <c r="D1036" t="s">
        <v>9</v>
      </c>
      <c r="E1036" t="s">
        <v>34</v>
      </c>
      <c r="F1036" t="s">
        <v>11</v>
      </c>
      <c r="G1036" t="s">
        <v>17</v>
      </c>
      <c r="H1036">
        <v>4338.8500000000004</v>
      </c>
      <c r="I1036" s="8" t="str" cm="1">
        <f t="array" ref="I1036">_xlfn.IFS(C1036&lt;=15,"Children and Young Adolescents", C1036&gt;64, "Seniors", TRUE, "Working Age")</f>
        <v>Children and Young Adolescents</v>
      </c>
      <c r="J1036" s="6">
        <f>VLOOKUP(F1036,Analysis!$F$1:$G$5,2,FALSE)</f>
        <v>2503.6022787783854</v>
      </c>
      <c r="K1036">
        <f t="shared" si="64"/>
        <v>4772.7299999999996</v>
      </c>
      <c r="L1036">
        <f t="shared" si="65"/>
        <v>4772.74</v>
      </c>
      <c r="M1036">
        <f t="shared" si="66"/>
        <v>4772.74</v>
      </c>
      <c r="N1036" s="5" t="str">
        <f t="shared" si="67"/>
        <v>June 2022</v>
      </c>
    </row>
    <row r="1037" spans="1:14" x14ac:dyDescent="0.25">
      <c r="A1037" s="1">
        <v>44717</v>
      </c>
      <c r="B1037" t="s">
        <v>1171</v>
      </c>
      <c r="C1037">
        <v>91</v>
      </c>
      <c r="D1037" t="s">
        <v>14</v>
      </c>
      <c r="E1037" t="s">
        <v>15</v>
      </c>
      <c r="F1037" t="s">
        <v>23</v>
      </c>
      <c r="G1037" t="s">
        <v>36</v>
      </c>
      <c r="H1037">
        <v>4847.34</v>
      </c>
      <c r="I1037" s="8" t="str" cm="1">
        <f t="array" ref="I1037">_xlfn.IFS(C1037&lt;=15,"Children and Young Adolescents", C1037&gt;64, "Seniors", TRUE, "Working Age")</f>
        <v>Seniors</v>
      </c>
      <c r="J1037" s="6">
        <f>VLOOKUP(F1037,Analysis!$F$1:$G$5,2,FALSE)</f>
        <v>2440.2966694490838</v>
      </c>
      <c r="K1037">
        <f t="shared" si="64"/>
        <v>5332.07</v>
      </c>
      <c r="L1037">
        <f t="shared" si="65"/>
        <v>5332.08</v>
      </c>
      <c r="M1037">
        <f t="shared" si="66"/>
        <v>5332.07</v>
      </c>
      <c r="N1037" s="5" t="str">
        <f t="shared" si="67"/>
        <v>June 2022</v>
      </c>
    </row>
    <row r="1038" spans="1:14" x14ac:dyDescent="0.25">
      <c r="A1038" s="1">
        <v>44717</v>
      </c>
      <c r="B1038" t="s">
        <v>3326</v>
      </c>
      <c r="C1038">
        <v>63</v>
      </c>
      <c r="D1038" t="s">
        <v>9</v>
      </c>
      <c r="E1038" t="s">
        <v>5032</v>
      </c>
      <c r="F1038" t="s">
        <v>23</v>
      </c>
      <c r="G1038" t="s">
        <v>17</v>
      </c>
      <c r="H1038">
        <v>926.05</v>
      </c>
      <c r="I1038" s="8" t="str" cm="1">
        <f t="array" ref="I1038">_xlfn.IFS(C1038&lt;=15,"Children and Young Adolescents", C1038&gt;64, "Seniors", TRUE, "Working Age")</f>
        <v>Working Age</v>
      </c>
      <c r="J1038" s="6">
        <f>VLOOKUP(F1038,Analysis!$F$1:$G$5,2,FALSE)</f>
        <v>2440.2966694490838</v>
      </c>
      <c r="K1038">
        <f t="shared" si="64"/>
        <v>1018.65</v>
      </c>
      <c r="L1038">
        <f t="shared" si="65"/>
        <v>1018.66</v>
      </c>
      <c r="M1038">
        <f t="shared" si="66"/>
        <v>1018.66</v>
      </c>
      <c r="N1038" s="5" t="str">
        <f t="shared" si="67"/>
        <v>June 2022</v>
      </c>
    </row>
    <row r="1039" spans="1:14" x14ac:dyDescent="0.25">
      <c r="A1039" s="1">
        <v>44717</v>
      </c>
      <c r="B1039" t="s">
        <v>1511</v>
      </c>
      <c r="C1039">
        <v>30</v>
      </c>
      <c r="D1039" t="s">
        <v>14</v>
      </c>
      <c r="E1039" t="s">
        <v>32</v>
      </c>
      <c r="F1039" t="s">
        <v>16</v>
      </c>
      <c r="G1039" t="s">
        <v>36</v>
      </c>
      <c r="H1039">
        <v>4386.9399999999996</v>
      </c>
      <c r="I1039" s="8" t="str" cm="1">
        <f t="array" ref="I1039">_xlfn.IFS(C1039&lt;=15,"Children and Young Adolescents", C1039&gt;64, "Seniors", TRUE, "Working Age")</f>
        <v>Working Age</v>
      </c>
      <c r="J1039" s="6">
        <f>VLOOKUP(F1039,Analysis!$F$1:$G$5,2,FALSE)</f>
        <v>2509.1716796874912</v>
      </c>
      <c r="K1039">
        <f t="shared" si="64"/>
        <v>4825.63</v>
      </c>
      <c r="L1039">
        <f t="shared" si="65"/>
        <v>4825.6400000000003</v>
      </c>
      <c r="M1039">
        <f t="shared" si="66"/>
        <v>4825.63</v>
      </c>
      <c r="N1039" s="5" t="str">
        <f t="shared" si="67"/>
        <v>June 2022</v>
      </c>
    </row>
    <row r="1040" spans="1:14" x14ac:dyDescent="0.25">
      <c r="A1040" s="1">
        <v>44717</v>
      </c>
      <c r="B1040" t="s">
        <v>556</v>
      </c>
      <c r="C1040">
        <v>10</v>
      </c>
      <c r="D1040" t="s">
        <v>21</v>
      </c>
      <c r="E1040" t="s">
        <v>32</v>
      </c>
      <c r="F1040" t="s">
        <v>11</v>
      </c>
      <c r="G1040" t="s">
        <v>12</v>
      </c>
      <c r="H1040">
        <v>273.83999999999997</v>
      </c>
      <c r="I1040" s="8" t="str" cm="1">
        <f t="array" ref="I1040">_xlfn.IFS(C1040&lt;=15,"Children and Young Adolescents", C1040&gt;64, "Seniors", TRUE, "Working Age")</f>
        <v>Children and Young Adolescents</v>
      </c>
      <c r="J1040" s="6">
        <f>VLOOKUP(F1040,Analysis!$F$1:$G$5,2,FALSE)</f>
        <v>2503.6022787783854</v>
      </c>
      <c r="K1040">
        <f t="shared" si="64"/>
        <v>301.22000000000003</v>
      </c>
      <c r="L1040">
        <f t="shared" si="65"/>
        <v>301.23</v>
      </c>
      <c r="M1040">
        <f t="shared" si="66"/>
        <v>301.22000000000003</v>
      </c>
      <c r="N1040" s="5" t="str">
        <f t="shared" si="67"/>
        <v>June 2022</v>
      </c>
    </row>
    <row r="1041" spans="1:14" x14ac:dyDescent="0.25">
      <c r="A1041" s="1">
        <v>44717</v>
      </c>
      <c r="B1041" t="s">
        <v>3867</v>
      </c>
      <c r="C1041">
        <v>27</v>
      </c>
      <c r="D1041" t="s">
        <v>21</v>
      </c>
      <c r="E1041" t="s">
        <v>32</v>
      </c>
      <c r="F1041" t="s">
        <v>29</v>
      </c>
      <c r="G1041" t="s">
        <v>12</v>
      </c>
      <c r="H1041">
        <v>3927.68</v>
      </c>
      <c r="I1041" s="8" t="str" cm="1">
        <f t="array" ref="I1041">_xlfn.IFS(C1041&lt;=15,"Children and Young Adolescents", C1041&gt;64, "Seniors", TRUE, "Working Age")</f>
        <v>Working Age</v>
      </c>
      <c r="J1041" s="6">
        <f>VLOOKUP(F1041,Analysis!$F$1:$G$5,2,FALSE)</f>
        <v>2496.7676064256989</v>
      </c>
      <c r="K1041">
        <f t="shared" si="64"/>
        <v>4320.4399999999996</v>
      </c>
      <c r="L1041">
        <f t="shared" si="65"/>
        <v>4320.45</v>
      </c>
      <c r="M1041">
        <f t="shared" si="66"/>
        <v>4320.45</v>
      </c>
      <c r="N1041" s="5" t="str">
        <f t="shared" si="67"/>
        <v>June 2022</v>
      </c>
    </row>
    <row r="1042" spans="1:14" x14ac:dyDescent="0.25">
      <c r="A1042" s="1">
        <v>44718</v>
      </c>
      <c r="B1042" t="s">
        <v>555</v>
      </c>
      <c r="C1042">
        <v>30</v>
      </c>
      <c r="D1042" t="s">
        <v>9</v>
      </c>
      <c r="E1042" t="s">
        <v>32</v>
      </c>
      <c r="F1042" t="s">
        <v>29</v>
      </c>
      <c r="G1042" t="s">
        <v>17</v>
      </c>
      <c r="H1042">
        <v>3489.93</v>
      </c>
      <c r="I1042" s="8" t="str" cm="1">
        <f t="array" ref="I1042">_xlfn.IFS(C1042&lt;=15,"Children and Young Adolescents", C1042&gt;64, "Seniors", TRUE, "Working Age")</f>
        <v>Working Age</v>
      </c>
      <c r="J1042" s="6">
        <f>VLOOKUP(F1042,Analysis!$F$1:$G$5,2,FALSE)</f>
        <v>2496.7676064256989</v>
      </c>
      <c r="K1042">
        <f t="shared" si="64"/>
        <v>3838.92</v>
      </c>
      <c r="L1042">
        <f t="shared" si="65"/>
        <v>3838.9300000000003</v>
      </c>
      <c r="M1042">
        <f t="shared" si="66"/>
        <v>3838.92</v>
      </c>
      <c r="N1042" s="5" t="str">
        <f t="shared" si="67"/>
        <v>June 2022</v>
      </c>
    </row>
    <row r="1043" spans="1:14" x14ac:dyDescent="0.25">
      <c r="A1043" s="1">
        <v>44718</v>
      </c>
      <c r="B1043" t="s">
        <v>1865</v>
      </c>
      <c r="C1043">
        <v>22</v>
      </c>
      <c r="D1043" t="s">
        <v>21</v>
      </c>
      <c r="E1043" t="s">
        <v>34</v>
      </c>
      <c r="F1043" t="s">
        <v>11</v>
      </c>
      <c r="G1043" t="s">
        <v>17</v>
      </c>
      <c r="H1043">
        <v>1103.98</v>
      </c>
      <c r="I1043" s="8" t="str" cm="1">
        <f t="array" ref="I1043">_xlfn.IFS(C1043&lt;=15,"Children and Young Adolescents", C1043&gt;64, "Seniors", TRUE, "Working Age")</f>
        <v>Working Age</v>
      </c>
      <c r="J1043" s="6">
        <f>VLOOKUP(F1043,Analysis!$F$1:$G$5,2,FALSE)</f>
        <v>2503.6022787783854</v>
      </c>
      <c r="K1043">
        <f t="shared" si="64"/>
        <v>1214.3699999999999</v>
      </c>
      <c r="L1043">
        <f t="shared" si="65"/>
        <v>1214.3799999999999</v>
      </c>
      <c r="M1043">
        <f t="shared" si="66"/>
        <v>1214.3800000000001</v>
      </c>
      <c r="N1043" s="5" t="str">
        <f t="shared" si="67"/>
        <v>June 2022</v>
      </c>
    </row>
    <row r="1044" spans="1:14" x14ac:dyDescent="0.25">
      <c r="A1044" s="1">
        <v>44718</v>
      </c>
      <c r="B1044" t="s">
        <v>1391</v>
      </c>
      <c r="C1044">
        <v>58</v>
      </c>
      <c r="D1044" t="s">
        <v>21</v>
      </c>
      <c r="E1044" t="s">
        <v>34</v>
      </c>
      <c r="F1044" t="s">
        <v>23</v>
      </c>
      <c r="G1044" t="s">
        <v>36</v>
      </c>
      <c r="H1044">
        <v>2854.4</v>
      </c>
      <c r="I1044" s="8" t="str" cm="1">
        <f t="array" ref="I1044">_xlfn.IFS(C1044&lt;=15,"Children and Young Adolescents", C1044&gt;64, "Seniors", TRUE, "Working Age")</f>
        <v>Working Age</v>
      </c>
      <c r="J1044" s="6">
        <f>VLOOKUP(F1044,Analysis!$F$1:$G$5,2,FALSE)</f>
        <v>2440.2966694490838</v>
      </c>
      <c r="K1044">
        <f t="shared" si="64"/>
        <v>3139.84</v>
      </c>
      <c r="L1044">
        <f t="shared" si="65"/>
        <v>3139.84</v>
      </c>
      <c r="M1044">
        <f t="shared" si="66"/>
        <v>3139.84</v>
      </c>
      <c r="N1044" s="5" t="str">
        <f t="shared" si="67"/>
        <v>June 2022</v>
      </c>
    </row>
    <row r="1045" spans="1:14" x14ac:dyDescent="0.25">
      <c r="A1045" s="1">
        <v>44718</v>
      </c>
      <c r="B1045" t="s">
        <v>196</v>
      </c>
      <c r="C1045">
        <v>45</v>
      </c>
      <c r="D1045" t="s">
        <v>14</v>
      </c>
      <c r="E1045" t="s">
        <v>34</v>
      </c>
      <c r="F1045" t="s">
        <v>23</v>
      </c>
      <c r="G1045" t="s">
        <v>12</v>
      </c>
      <c r="H1045">
        <v>1543.54</v>
      </c>
      <c r="I1045" s="8" t="str" cm="1">
        <f t="array" ref="I1045">_xlfn.IFS(C1045&lt;=15,"Children and Young Adolescents", C1045&gt;64, "Seniors", TRUE, "Working Age")</f>
        <v>Working Age</v>
      </c>
      <c r="J1045" s="6">
        <f>VLOOKUP(F1045,Analysis!$F$1:$G$5,2,FALSE)</f>
        <v>2440.2966694490838</v>
      </c>
      <c r="K1045">
        <f t="shared" si="64"/>
        <v>1697.89</v>
      </c>
      <c r="L1045">
        <f t="shared" si="65"/>
        <v>1697.9</v>
      </c>
      <c r="M1045">
        <f t="shared" si="66"/>
        <v>1697.89</v>
      </c>
      <c r="N1045" s="5" t="str">
        <f t="shared" si="67"/>
        <v>June 2022</v>
      </c>
    </row>
    <row r="1046" spans="1:14" x14ac:dyDescent="0.25">
      <c r="A1046" s="1">
        <v>44719</v>
      </c>
      <c r="B1046" t="s">
        <v>4274</v>
      </c>
      <c r="C1046">
        <v>34</v>
      </c>
      <c r="D1046" t="s">
        <v>9</v>
      </c>
      <c r="E1046" t="s">
        <v>19</v>
      </c>
      <c r="F1046" t="s">
        <v>29</v>
      </c>
      <c r="G1046" t="s">
        <v>39</v>
      </c>
      <c r="H1046">
        <v>942.47</v>
      </c>
      <c r="I1046" s="8" t="str" cm="1">
        <f t="array" ref="I1046">_xlfn.IFS(C1046&lt;=15,"Children and Young Adolescents", C1046&gt;64, "Seniors", TRUE, "Working Age")</f>
        <v>Working Age</v>
      </c>
      <c r="J1046" s="6">
        <f>VLOOKUP(F1046,Analysis!$F$1:$G$5,2,FALSE)</f>
        <v>2496.7676064256989</v>
      </c>
      <c r="K1046">
        <f t="shared" si="64"/>
        <v>1036.71</v>
      </c>
      <c r="L1046">
        <f t="shared" si="65"/>
        <v>1036.72</v>
      </c>
      <c r="M1046">
        <f t="shared" si="66"/>
        <v>1036.72</v>
      </c>
      <c r="N1046" s="5" t="str">
        <f t="shared" si="67"/>
        <v>June 2022</v>
      </c>
    </row>
    <row r="1047" spans="1:14" x14ac:dyDescent="0.25">
      <c r="A1047" s="1">
        <v>44719</v>
      </c>
      <c r="B1047" t="s">
        <v>2980</v>
      </c>
      <c r="C1047">
        <v>2</v>
      </c>
      <c r="D1047" t="s">
        <v>21</v>
      </c>
      <c r="E1047" t="s">
        <v>25</v>
      </c>
      <c r="F1047" t="s">
        <v>16</v>
      </c>
      <c r="G1047" t="s">
        <v>17</v>
      </c>
      <c r="H1047">
        <v>4226.6099999999997</v>
      </c>
      <c r="I1047" s="8" t="str" cm="1">
        <f t="array" ref="I1047">_xlfn.IFS(C1047&lt;=15,"Children and Young Adolescents", C1047&gt;64, "Seniors", TRUE, "Working Age")</f>
        <v>Children and Young Adolescents</v>
      </c>
      <c r="J1047" s="6">
        <f>VLOOKUP(F1047,Analysis!$F$1:$G$5,2,FALSE)</f>
        <v>2509.1716796874912</v>
      </c>
      <c r="K1047">
        <f t="shared" si="64"/>
        <v>4649.2700000000004</v>
      </c>
      <c r="L1047">
        <f t="shared" si="65"/>
        <v>4649.2800000000007</v>
      </c>
      <c r="M1047">
        <f t="shared" si="66"/>
        <v>4649.2700000000004</v>
      </c>
      <c r="N1047" s="5" t="str">
        <f t="shared" si="67"/>
        <v>June 2022</v>
      </c>
    </row>
    <row r="1048" spans="1:14" x14ac:dyDescent="0.25">
      <c r="A1048" s="1">
        <v>44719</v>
      </c>
      <c r="B1048" t="s">
        <v>621</v>
      </c>
      <c r="C1048">
        <v>35</v>
      </c>
      <c r="D1048" t="s">
        <v>21</v>
      </c>
      <c r="E1048" t="s">
        <v>25</v>
      </c>
      <c r="F1048" t="s">
        <v>16</v>
      </c>
      <c r="G1048" t="s">
        <v>36</v>
      </c>
      <c r="H1048">
        <v>2300.1799999999998</v>
      </c>
      <c r="I1048" s="8" t="str" cm="1">
        <f t="array" ref="I1048">_xlfn.IFS(C1048&lt;=15,"Children and Young Adolescents", C1048&gt;64, "Seniors", TRUE, "Working Age")</f>
        <v>Working Age</v>
      </c>
      <c r="J1048" s="6">
        <f>VLOOKUP(F1048,Analysis!$F$1:$G$5,2,FALSE)</f>
        <v>2509.1716796874912</v>
      </c>
      <c r="K1048">
        <f t="shared" si="64"/>
        <v>2530.19</v>
      </c>
      <c r="L1048">
        <f t="shared" si="65"/>
        <v>2530.2000000000003</v>
      </c>
      <c r="M1048">
        <f t="shared" si="66"/>
        <v>2530.1999999999998</v>
      </c>
      <c r="N1048" s="5" t="str">
        <f t="shared" si="67"/>
        <v>June 2022</v>
      </c>
    </row>
    <row r="1049" spans="1:14" x14ac:dyDescent="0.25">
      <c r="A1049" s="1">
        <v>44719</v>
      </c>
      <c r="B1049" t="s">
        <v>1987</v>
      </c>
      <c r="C1049">
        <v>85</v>
      </c>
      <c r="D1049" t="s">
        <v>21</v>
      </c>
      <c r="E1049" t="s">
        <v>22</v>
      </c>
      <c r="F1049" t="s">
        <v>11</v>
      </c>
      <c r="G1049" t="s">
        <v>39</v>
      </c>
      <c r="H1049">
        <v>991.9</v>
      </c>
      <c r="I1049" s="8" t="str" cm="1">
        <f t="array" ref="I1049">_xlfn.IFS(C1049&lt;=15,"Children and Young Adolescents", C1049&gt;64, "Seniors", TRUE, "Working Age")</f>
        <v>Seniors</v>
      </c>
      <c r="J1049" s="6">
        <f>VLOOKUP(F1049,Analysis!$F$1:$G$5,2,FALSE)</f>
        <v>2503.6022787783854</v>
      </c>
      <c r="K1049">
        <f t="shared" si="64"/>
        <v>1091.0899999999999</v>
      </c>
      <c r="L1049">
        <f t="shared" si="65"/>
        <v>1091.0899999999999</v>
      </c>
      <c r="M1049">
        <f t="shared" si="66"/>
        <v>1091.0899999999999</v>
      </c>
      <c r="N1049" s="5" t="str">
        <f t="shared" si="67"/>
        <v>June 2022</v>
      </c>
    </row>
    <row r="1050" spans="1:14" x14ac:dyDescent="0.25">
      <c r="A1050" s="1">
        <v>44719</v>
      </c>
      <c r="B1050" t="s">
        <v>4859</v>
      </c>
      <c r="C1050">
        <v>97</v>
      </c>
      <c r="D1050" t="s">
        <v>9</v>
      </c>
      <c r="E1050" t="s">
        <v>34</v>
      </c>
      <c r="F1050" t="s">
        <v>29</v>
      </c>
      <c r="G1050" t="s">
        <v>27</v>
      </c>
      <c r="H1050">
        <v>2756.25</v>
      </c>
      <c r="I1050" s="8" t="str" cm="1">
        <f t="array" ref="I1050">_xlfn.IFS(C1050&lt;=15,"Children and Young Adolescents", C1050&gt;64, "Seniors", TRUE, "Working Age")</f>
        <v>Seniors</v>
      </c>
      <c r="J1050" s="6">
        <f>VLOOKUP(F1050,Analysis!$F$1:$G$5,2,FALSE)</f>
        <v>2496.7676064256989</v>
      </c>
      <c r="K1050">
        <f t="shared" si="64"/>
        <v>3031.87</v>
      </c>
      <c r="L1050">
        <f t="shared" si="65"/>
        <v>3031.88</v>
      </c>
      <c r="M1050">
        <f t="shared" si="66"/>
        <v>3031.88</v>
      </c>
      <c r="N1050" s="5" t="str">
        <f t="shared" si="67"/>
        <v>June 2022</v>
      </c>
    </row>
    <row r="1051" spans="1:14" x14ac:dyDescent="0.25">
      <c r="A1051" s="1">
        <v>44719</v>
      </c>
      <c r="B1051" t="s">
        <v>1013</v>
      </c>
      <c r="C1051">
        <v>10</v>
      </c>
      <c r="D1051" t="s">
        <v>9</v>
      </c>
      <c r="E1051" t="s">
        <v>34</v>
      </c>
      <c r="F1051" t="s">
        <v>23</v>
      </c>
      <c r="G1051" t="s">
        <v>17</v>
      </c>
      <c r="H1051">
        <v>960.67</v>
      </c>
      <c r="I1051" s="8" t="str" cm="1">
        <f t="array" ref="I1051">_xlfn.IFS(C1051&lt;=15,"Children and Young Adolescents", C1051&gt;64, "Seniors", TRUE, "Working Age")</f>
        <v>Children and Young Adolescents</v>
      </c>
      <c r="J1051" s="6">
        <f>VLOOKUP(F1051,Analysis!$F$1:$G$5,2,FALSE)</f>
        <v>2440.2966694490838</v>
      </c>
      <c r="K1051">
        <f t="shared" si="64"/>
        <v>1056.73</v>
      </c>
      <c r="L1051">
        <f t="shared" si="65"/>
        <v>1056.74</v>
      </c>
      <c r="M1051">
        <f t="shared" si="66"/>
        <v>1056.74</v>
      </c>
      <c r="N1051" s="5" t="str">
        <f t="shared" si="67"/>
        <v>June 2022</v>
      </c>
    </row>
    <row r="1052" spans="1:14" x14ac:dyDescent="0.25">
      <c r="A1052" s="1">
        <v>44719</v>
      </c>
      <c r="B1052" t="s">
        <v>3383</v>
      </c>
      <c r="C1052">
        <v>14</v>
      </c>
      <c r="D1052" t="s">
        <v>9</v>
      </c>
      <c r="E1052" t="s">
        <v>19</v>
      </c>
      <c r="F1052" t="s">
        <v>23</v>
      </c>
      <c r="G1052" t="s">
        <v>17</v>
      </c>
      <c r="H1052">
        <v>2339.9699999999998</v>
      </c>
      <c r="I1052" s="8" t="str" cm="1">
        <f t="array" ref="I1052">_xlfn.IFS(C1052&lt;=15,"Children and Young Adolescents", C1052&gt;64, "Seniors", TRUE, "Working Age")</f>
        <v>Children and Young Adolescents</v>
      </c>
      <c r="J1052" s="6">
        <f>VLOOKUP(F1052,Analysis!$F$1:$G$5,2,FALSE)</f>
        <v>2440.2966694490838</v>
      </c>
      <c r="K1052">
        <f t="shared" si="64"/>
        <v>2573.96</v>
      </c>
      <c r="L1052">
        <f t="shared" si="65"/>
        <v>2573.9700000000003</v>
      </c>
      <c r="M1052">
        <f t="shared" si="66"/>
        <v>2573.9699999999998</v>
      </c>
      <c r="N1052" s="5" t="str">
        <f t="shared" si="67"/>
        <v>June 2022</v>
      </c>
    </row>
    <row r="1053" spans="1:14" x14ac:dyDescent="0.25">
      <c r="A1053" s="1">
        <v>44719</v>
      </c>
      <c r="B1053" t="s">
        <v>3873</v>
      </c>
      <c r="C1053">
        <v>89</v>
      </c>
      <c r="D1053" t="s">
        <v>21</v>
      </c>
      <c r="E1053" t="s">
        <v>32</v>
      </c>
      <c r="F1053" t="s">
        <v>11</v>
      </c>
      <c r="G1053" t="s">
        <v>39</v>
      </c>
      <c r="H1053">
        <v>4667.04</v>
      </c>
      <c r="I1053" s="8" t="str" cm="1">
        <f t="array" ref="I1053">_xlfn.IFS(C1053&lt;=15,"Children and Young Adolescents", C1053&gt;64, "Seniors", TRUE, "Working Age")</f>
        <v>Seniors</v>
      </c>
      <c r="J1053" s="6">
        <f>VLOOKUP(F1053,Analysis!$F$1:$G$5,2,FALSE)</f>
        <v>2503.6022787783854</v>
      </c>
      <c r="K1053">
        <f t="shared" si="64"/>
        <v>5133.74</v>
      </c>
      <c r="L1053">
        <f t="shared" si="65"/>
        <v>5133.75</v>
      </c>
      <c r="M1053">
        <f t="shared" si="66"/>
        <v>5133.74</v>
      </c>
      <c r="N1053" s="5" t="str">
        <f t="shared" si="67"/>
        <v>June 2022</v>
      </c>
    </row>
    <row r="1054" spans="1:14" x14ac:dyDescent="0.25">
      <c r="A1054" s="1">
        <v>44719</v>
      </c>
      <c r="B1054" t="s">
        <v>1883</v>
      </c>
      <c r="C1054">
        <v>2</v>
      </c>
      <c r="D1054" t="s">
        <v>21</v>
      </c>
      <c r="E1054" t="s">
        <v>34</v>
      </c>
      <c r="F1054" t="s">
        <v>23</v>
      </c>
      <c r="G1054" t="s">
        <v>12</v>
      </c>
      <c r="H1054">
        <v>334.43</v>
      </c>
      <c r="I1054" s="8" t="str" cm="1">
        <f t="array" ref="I1054">_xlfn.IFS(C1054&lt;=15,"Children and Young Adolescents", C1054&gt;64, "Seniors", TRUE, "Working Age")</f>
        <v>Children and Young Adolescents</v>
      </c>
      <c r="J1054" s="6">
        <f>VLOOKUP(F1054,Analysis!$F$1:$G$5,2,FALSE)</f>
        <v>2440.2966694490838</v>
      </c>
      <c r="K1054">
        <f t="shared" si="64"/>
        <v>367.87</v>
      </c>
      <c r="L1054">
        <f t="shared" si="65"/>
        <v>367.88</v>
      </c>
      <c r="M1054">
        <f t="shared" si="66"/>
        <v>367.87</v>
      </c>
      <c r="N1054" s="5" t="str">
        <f t="shared" si="67"/>
        <v>June 2022</v>
      </c>
    </row>
    <row r="1055" spans="1:14" x14ac:dyDescent="0.25">
      <c r="A1055" s="1">
        <v>44719</v>
      </c>
      <c r="B1055" t="s">
        <v>2530</v>
      </c>
      <c r="C1055">
        <v>56</v>
      </c>
      <c r="D1055" t="s">
        <v>9</v>
      </c>
      <c r="E1055" t="s">
        <v>5032</v>
      </c>
      <c r="F1055" t="s">
        <v>23</v>
      </c>
      <c r="G1055" t="s">
        <v>27</v>
      </c>
      <c r="H1055">
        <v>1037.8399999999999</v>
      </c>
      <c r="I1055" s="8" t="str" cm="1">
        <f t="array" ref="I1055">_xlfn.IFS(C1055&lt;=15,"Children and Young Adolescents", C1055&gt;64, "Seniors", TRUE, "Working Age")</f>
        <v>Working Age</v>
      </c>
      <c r="J1055" s="6">
        <f>VLOOKUP(F1055,Analysis!$F$1:$G$5,2,FALSE)</f>
        <v>2440.2966694490838</v>
      </c>
      <c r="K1055">
        <f t="shared" si="64"/>
        <v>1141.6199999999999</v>
      </c>
      <c r="L1055">
        <f t="shared" si="65"/>
        <v>1141.6299999999999</v>
      </c>
      <c r="M1055">
        <f t="shared" si="66"/>
        <v>1141.6199999999999</v>
      </c>
      <c r="N1055" s="5" t="str">
        <f t="shared" si="67"/>
        <v>June 2022</v>
      </c>
    </row>
    <row r="1056" spans="1:14" x14ac:dyDescent="0.25">
      <c r="A1056" s="1">
        <v>44719</v>
      </c>
      <c r="B1056" t="s">
        <v>150</v>
      </c>
      <c r="C1056">
        <v>81</v>
      </c>
      <c r="D1056" t="s">
        <v>9</v>
      </c>
      <c r="E1056" t="s">
        <v>15</v>
      </c>
      <c r="F1056" t="s">
        <v>11</v>
      </c>
      <c r="G1056" t="s">
        <v>5033</v>
      </c>
      <c r="H1056">
        <v>1857.29</v>
      </c>
      <c r="I1056" s="8" t="str" cm="1">
        <f t="array" ref="I1056">_xlfn.IFS(C1056&lt;=15,"Children and Young Adolescents", C1056&gt;64, "Seniors", TRUE, "Working Age")</f>
        <v>Seniors</v>
      </c>
      <c r="J1056" s="6">
        <f>VLOOKUP(F1056,Analysis!$F$1:$G$5,2,FALSE)</f>
        <v>2503.6022787783854</v>
      </c>
      <c r="K1056">
        <f t="shared" si="64"/>
        <v>2043.01</v>
      </c>
      <c r="L1056">
        <f t="shared" si="65"/>
        <v>2043.02</v>
      </c>
      <c r="M1056">
        <f t="shared" si="66"/>
        <v>2043.02</v>
      </c>
      <c r="N1056" s="5" t="str">
        <f t="shared" si="67"/>
        <v>June 2022</v>
      </c>
    </row>
    <row r="1057" spans="1:14" x14ac:dyDescent="0.25">
      <c r="A1057" s="1">
        <v>44719</v>
      </c>
      <c r="B1057" t="s">
        <v>668</v>
      </c>
      <c r="C1057">
        <v>54</v>
      </c>
      <c r="D1057" t="s">
        <v>21</v>
      </c>
      <c r="E1057" t="s">
        <v>5032</v>
      </c>
      <c r="F1057" t="s">
        <v>29</v>
      </c>
      <c r="G1057" t="s">
        <v>39</v>
      </c>
      <c r="H1057">
        <v>4880.88</v>
      </c>
      <c r="I1057" s="8" t="str" cm="1">
        <f t="array" ref="I1057">_xlfn.IFS(C1057&lt;=15,"Children and Young Adolescents", C1057&gt;64, "Seniors", TRUE, "Working Age")</f>
        <v>Working Age</v>
      </c>
      <c r="J1057" s="6">
        <f>VLOOKUP(F1057,Analysis!$F$1:$G$5,2,FALSE)</f>
        <v>2496.7676064256989</v>
      </c>
      <c r="K1057">
        <f t="shared" si="64"/>
        <v>5368.96</v>
      </c>
      <c r="L1057">
        <f t="shared" si="65"/>
        <v>5368.97</v>
      </c>
      <c r="M1057">
        <f t="shared" si="66"/>
        <v>5368.97</v>
      </c>
      <c r="N1057" s="5" t="str">
        <f t="shared" si="67"/>
        <v>June 2022</v>
      </c>
    </row>
    <row r="1058" spans="1:14" x14ac:dyDescent="0.25">
      <c r="A1058" s="1">
        <v>44720</v>
      </c>
      <c r="B1058" t="s">
        <v>713</v>
      </c>
      <c r="C1058">
        <v>50</v>
      </c>
      <c r="D1058" t="s">
        <v>14</v>
      </c>
      <c r="E1058" t="s">
        <v>15</v>
      </c>
      <c r="F1058" t="s">
        <v>16</v>
      </c>
      <c r="G1058" t="s">
        <v>12</v>
      </c>
      <c r="H1058">
        <v>2102.64</v>
      </c>
      <c r="I1058" s="8" t="str" cm="1">
        <f t="array" ref="I1058">_xlfn.IFS(C1058&lt;=15,"Children and Young Adolescents", C1058&gt;64, "Seniors", TRUE, "Working Age")</f>
        <v>Working Age</v>
      </c>
      <c r="J1058" s="6">
        <f>VLOOKUP(F1058,Analysis!$F$1:$G$5,2,FALSE)</f>
        <v>2509.1716796874912</v>
      </c>
      <c r="K1058">
        <f t="shared" si="64"/>
        <v>2312.9</v>
      </c>
      <c r="L1058">
        <f t="shared" si="65"/>
        <v>2312.9100000000003</v>
      </c>
      <c r="M1058">
        <f t="shared" si="66"/>
        <v>2312.9</v>
      </c>
      <c r="N1058" s="5" t="str">
        <f t="shared" si="67"/>
        <v>June 2022</v>
      </c>
    </row>
    <row r="1059" spans="1:14" x14ac:dyDescent="0.25">
      <c r="A1059" s="1">
        <v>44720</v>
      </c>
      <c r="B1059" t="s">
        <v>1442</v>
      </c>
      <c r="C1059">
        <v>48</v>
      </c>
      <c r="D1059" t="s">
        <v>14</v>
      </c>
      <c r="E1059" t="s">
        <v>19</v>
      </c>
      <c r="F1059" t="s">
        <v>11</v>
      </c>
      <c r="G1059" t="s">
        <v>39</v>
      </c>
      <c r="H1059">
        <v>3185.56</v>
      </c>
      <c r="I1059" s="8" t="str" cm="1">
        <f t="array" ref="I1059">_xlfn.IFS(C1059&lt;=15,"Children and Young Adolescents", C1059&gt;64, "Seniors", TRUE, "Working Age")</f>
        <v>Working Age</v>
      </c>
      <c r="J1059" s="6">
        <f>VLOOKUP(F1059,Analysis!$F$1:$G$5,2,FALSE)</f>
        <v>2503.6022787783854</v>
      </c>
      <c r="K1059">
        <f t="shared" si="64"/>
        <v>3504.11</v>
      </c>
      <c r="L1059">
        <f t="shared" si="65"/>
        <v>3504.1200000000003</v>
      </c>
      <c r="M1059">
        <f t="shared" si="66"/>
        <v>3504.12</v>
      </c>
      <c r="N1059" s="5" t="str">
        <f t="shared" si="67"/>
        <v>June 2022</v>
      </c>
    </row>
    <row r="1060" spans="1:14" x14ac:dyDescent="0.25">
      <c r="A1060" s="1">
        <v>44720</v>
      </c>
      <c r="B1060" t="s">
        <v>443</v>
      </c>
      <c r="C1060">
        <v>69</v>
      </c>
      <c r="D1060" t="s">
        <v>14</v>
      </c>
      <c r="E1060" t="s">
        <v>15</v>
      </c>
      <c r="F1060" t="s">
        <v>23</v>
      </c>
      <c r="G1060" t="s">
        <v>12</v>
      </c>
      <c r="H1060">
        <v>4023.54</v>
      </c>
      <c r="I1060" s="8" t="str" cm="1">
        <f t="array" ref="I1060">_xlfn.IFS(C1060&lt;=15,"Children and Young Adolescents", C1060&gt;64, "Seniors", TRUE, "Working Age")</f>
        <v>Seniors</v>
      </c>
      <c r="J1060" s="6">
        <f>VLOOKUP(F1060,Analysis!$F$1:$G$5,2,FALSE)</f>
        <v>2440.2966694490838</v>
      </c>
      <c r="K1060">
        <f t="shared" si="64"/>
        <v>4425.8900000000003</v>
      </c>
      <c r="L1060">
        <f t="shared" si="65"/>
        <v>4425.9000000000005</v>
      </c>
      <c r="M1060">
        <f t="shared" si="66"/>
        <v>4425.8900000000003</v>
      </c>
      <c r="N1060" s="5" t="str">
        <f t="shared" si="67"/>
        <v>June 2022</v>
      </c>
    </row>
    <row r="1061" spans="1:14" x14ac:dyDescent="0.25">
      <c r="A1061" s="1">
        <v>44720</v>
      </c>
      <c r="B1061" t="s">
        <v>2295</v>
      </c>
      <c r="C1061">
        <v>78</v>
      </c>
      <c r="D1061" t="s">
        <v>14</v>
      </c>
      <c r="E1061" t="s">
        <v>32</v>
      </c>
      <c r="F1061" t="s">
        <v>23</v>
      </c>
      <c r="G1061" t="s">
        <v>36</v>
      </c>
      <c r="H1061">
        <v>27.21</v>
      </c>
      <c r="I1061" s="8" t="str" cm="1">
        <f t="array" ref="I1061">_xlfn.IFS(C1061&lt;=15,"Children and Young Adolescents", C1061&gt;64, "Seniors", TRUE, "Working Age")</f>
        <v>Seniors</v>
      </c>
      <c r="J1061" s="6">
        <f>VLOOKUP(F1061,Analysis!$F$1:$G$5,2,FALSE)</f>
        <v>2440.2966694490838</v>
      </c>
      <c r="K1061">
        <f t="shared" si="64"/>
        <v>29.93</v>
      </c>
      <c r="L1061">
        <f t="shared" si="65"/>
        <v>29.94</v>
      </c>
      <c r="M1061">
        <f t="shared" si="66"/>
        <v>29.93</v>
      </c>
      <c r="N1061" s="5" t="str">
        <f t="shared" si="67"/>
        <v>June 2022</v>
      </c>
    </row>
    <row r="1062" spans="1:14" x14ac:dyDescent="0.25">
      <c r="A1062" s="1">
        <v>44720</v>
      </c>
      <c r="B1062" t="s">
        <v>3891</v>
      </c>
      <c r="C1062">
        <v>79</v>
      </c>
      <c r="D1062" t="s">
        <v>9</v>
      </c>
      <c r="E1062" t="s">
        <v>5032</v>
      </c>
      <c r="F1062" t="s">
        <v>23</v>
      </c>
      <c r="G1062" t="s">
        <v>12</v>
      </c>
      <c r="H1062">
        <v>387.09</v>
      </c>
      <c r="I1062" s="8" t="str" cm="1">
        <f t="array" ref="I1062">_xlfn.IFS(C1062&lt;=15,"Children and Young Adolescents", C1062&gt;64, "Seniors", TRUE, "Working Age")</f>
        <v>Seniors</v>
      </c>
      <c r="J1062" s="6">
        <f>VLOOKUP(F1062,Analysis!$F$1:$G$5,2,FALSE)</f>
        <v>2440.2966694490838</v>
      </c>
      <c r="K1062">
        <f t="shared" si="64"/>
        <v>425.79</v>
      </c>
      <c r="L1062">
        <f t="shared" si="65"/>
        <v>425.8</v>
      </c>
      <c r="M1062">
        <f t="shared" si="66"/>
        <v>425.8</v>
      </c>
      <c r="N1062" s="5" t="str">
        <f t="shared" si="67"/>
        <v>June 2022</v>
      </c>
    </row>
    <row r="1063" spans="1:14" x14ac:dyDescent="0.25">
      <c r="A1063" s="1">
        <v>44720</v>
      </c>
      <c r="B1063" t="s">
        <v>2171</v>
      </c>
      <c r="C1063">
        <v>92</v>
      </c>
      <c r="D1063" t="s">
        <v>14</v>
      </c>
      <c r="E1063" t="s">
        <v>10</v>
      </c>
      <c r="F1063" t="s">
        <v>11</v>
      </c>
      <c r="G1063" t="s">
        <v>39</v>
      </c>
      <c r="H1063">
        <v>4678.1899999999996</v>
      </c>
      <c r="I1063" s="8" t="str" cm="1">
        <f t="array" ref="I1063">_xlfn.IFS(C1063&lt;=15,"Children and Young Adolescents", C1063&gt;64, "Seniors", TRUE, "Working Age")</f>
        <v>Seniors</v>
      </c>
      <c r="J1063" s="6">
        <f>VLOOKUP(F1063,Analysis!$F$1:$G$5,2,FALSE)</f>
        <v>2503.6022787783854</v>
      </c>
      <c r="K1063">
        <f t="shared" si="64"/>
        <v>5146</v>
      </c>
      <c r="L1063">
        <f t="shared" si="65"/>
        <v>5146.01</v>
      </c>
      <c r="M1063">
        <f t="shared" si="66"/>
        <v>5146.01</v>
      </c>
      <c r="N1063" s="5" t="str">
        <f t="shared" si="67"/>
        <v>June 2022</v>
      </c>
    </row>
    <row r="1064" spans="1:14" x14ac:dyDescent="0.25">
      <c r="A1064" s="1">
        <v>44720</v>
      </c>
      <c r="B1064" t="s">
        <v>4498</v>
      </c>
      <c r="C1064">
        <v>71</v>
      </c>
      <c r="D1064" t="s">
        <v>9</v>
      </c>
      <c r="E1064" t="s">
        <v>25</v>
      </c>
      <c r="F1064" t="s">
        <v>29</v>
      </c>
      <c r="G1064" t="s">
        <v>27</v>
      </c>
      <c r="H1064">
        <v>3365.86</v>
      </c>
      <c r="I1064" s="8" t="str" cm="1">
        <f t="array" ref="I1064">_xlfn.IFS(C1064&lt;=15,"Children and Young Adolescents", C1064&gt;64, "Seniors", TRUE, "Working Age")</f>
        <v>Seniors</v>
      </c>
      <c r="J1064" s="6">
        <f>VLOOKUP(F1064,Analysis!$F$1:$G$5,2,FALSE)</f>
        <v>2496.7676064256989</v>
      </c>
      <c r="K1064">
        <f t="shared" si="64"/>
        <v>3702.44</v>
      </c>
      <c r="L1064">
        <f t="shared" si="65"/>
        <v>3702.4500000000003</v>
      </c>
      <c r="M1064">
        <f t="shared" si="66"/>
        <v>3702.45</v>
      </c>
      <c r="N1064" s="5" t="str">
        <f t="shared" si="67"/>
        <v>June 2022</v>
      </c>
    </row>
    <row r="1065" spans="1:14" x14ac:dyDescent="0.25">
      <c r="A1065" s="1">
        <v>44720</v>
      </c>
      <c r="B1065" t="s">
        <v>1020</v>
      </c>
      <c r="C1065">
        <v>28</v>
      </c>
      <c r="D1065" t="s">
        <v>14</v>
      </c>
      <c r="E1065" t="s">
        <v>10</v>
      </c>
      <c r="F1065" t="s">
        <v>16</v>
      </c>
      <c r="G1065" t="s">
        <v>27</v>
      </c>
      <c r="H1065">
        <v>224.91</v>
      </c>
      <c r="I1065" s="8" t="str" cm="1">
        <f t="array" ref="I1065">_xlfn.IFS(C1065&lt;=15,"Children and Young Adolescents", C1065&gt;64, "Seniors", TRUE, "Working Age")</f>
        <v>Working Age</v>
      </c>
      <c r="J1065" s="6">
        <f>VLOOKUP(F1065,Analysis!$F$1:$G$5,2,FALSE)</f>
        <v>2509.1716796874912</v>
      </c>
      <c r="K1065">
        <f t="shared" si="64"/>
        <v>247.4</v>
      </c>
      <c r="L1065">
        <f t="shared" si="65"/>
        <v>247.41</v>
      </c>
      <c r="M1065">
        <f t="shared" si="66"/>
        <v>247.4</v>
      </c>
      <c r="N1065" s="5" t="str">
        <f t="shared" si="67"/>
        <v>June 2022</v>
      </c>
    </row>
    <row r="1066" spans="1:14" x14ac:dyDescent="0.25">
      <c r="A1066" s="1">
        <v>44720</v>
      </c>
      <c r="B1066" t="s">
        <v>551</v>
      </c>
      <c r="C1066">
        <v>79</v>
      </c>
      <c r="D1066" t="s">
        <v>9</v>
      </c>
      <c r="E1066" t="s">
        <v>10</v>
      </c>
      <c r="F1066" t="s">
        <v>11</v>
      </c>
      <c r="G1066" t="s">
        <v>36</v>
      </c>
      <c r="H1066">
        <v>215.97</v>
      </c>
      <c r="I1066" s="8" t="str" cm="1">
        <f t="array" ref="I1066">_xlfn.IFS(C1066&lt;=15,"Children and Young Adolescents", C1066&gt;64, "Seniors", TRUE, "Working Age")</f>
        <v>Seniors</v>
      </c>
      <c r="J1066" s="6">
        <f>VLOOKUP(F1066,Analysis!$F$1:$G$5,2,FALSE)</f>
        <v>2503.6022787783854</v>
      </c>
      <c r="K1066">
        <f t="shared" si="64"/>
        <v>237.56</v>
      </c>
      <c r="L1066">
        <f t="shared" si="65"/>
        <v>237.57</v>
      </c>
      <c r="M1066">
        <f t="shared" si="66"/>
        <v>237.57</v>
      </c>
      <c r="N1066" s="5" t="str">
        <f t="shared" si="67"/>
        <v>June 2022</v>
      </c>
    </row>
    <row r="1067" spans="1:14" x14ac:dyDescent="0.25">
      <c r="A1067" s="1">
        <v>44720</v>
      </c>
      <c r="B1067" t="s">
        <v>3559</v>
      </c>
      <c r="C1067">
        <v>39</v>
      </c>
      <c r="D1067" t="s">
        <v>9</v>
      </c>
      <c r="E1067" t="s">
        <v>5032</v>
      </c>
      <c r="F1067" t="s">
        <v>23</v>
      </c>
      <c r="G1067" t="s">
        <v>39</v>
      </c>
      <c r="H1067">
        <v>1296.8</v>
      </c>
      <c r="I1067" s="8" t="str" cm="1">
        <f t="array" ref="I1067">_xlfn.IFS(C1067&lt;=15,"Children and Young Adolescents", C1067&gt;64, "Seniors", TRUE, "Working Age")</f>
        <v>Working Age</v>
      </c>
      <c r="J1067" s="6">
        <f>VLOOKUP(F1067,Analysis!$F$1:$G$5,2,FALSE)</f>
        <v>2440.2966694490838</v>
      </c>
      <c r="K1067">
        <f t="shared" si="64"/>
        <v>1426.48</v>
      </c>
      <c r="L1067">
        <f t="shared" si="65"/>
        <v>1426.48</v>
      </c>
      <c r="M1067">
        <f t="shared" si="66"/>
        <v>1426.48</v>
      </c>
      <c r="N1067" s="5" t="str">
        <f t="shared" si="67"/>
        <v>June 2022</v>
      </c>
    </row>
    <row r="1068" spans="1:14" x14ac:dyDescent="0.25">
      <c r="A1068" s="1">
        <v>44720</v>
      </c>
      <c r="B1068" t="s">
        <v>3493</v>
      </c>
      <c r="C1068">
        <v>73</v>
      </c>
      <c r="D1068" t="s">
        <v>9</v>
      </c>
      <c r="E1068" t="s">
        <v>22</v>
      </c>
      <c r="F1068" t="s">
        <v>11</v>
      </c>
      <c r="G1068" t="s">
        <v>39</v>
      </c>
      <c r="H1068">
        <v>366.19</v>
      </c>
      <c r="I1068" s="8" t="str" cm="1">
        <f t="array" ref="I1068">_xlfn.IFS(C1068&lt;=15,"Children and Young Adolescents", C1068&gt;64, "Seniors", TRUE, "Working Age")</f>
        <v>Seniors</v>
      </c>
      <c r="J1068" s="6">
        <f>VLOOKUP(F1068,Analysis!$F$1:$G$5,2,FALSE)</f>
        <v>2503.6022787783854</v>
      </c>
      <c r="K1068">
        <f t="shared" si="64"/>
        <v>402.8</v>
      </c>
      <c r="L1068">
        <f t="shared" si="65"/>
        <v>402.81</v>
      </c>
      <c r="M1068">
        <f t="shared" si="66"/>
        <v>402.81</v>
      </c>
      <c r="N1068" s="5" t="str">
        <f t="shared" si="67"/>
        <v>June 2022</v>
      </c>
    </row>
    <row r="1069" spans="1:14" x14ac:dyDescent="0.25">
      <c r="A1069" s="1">
        <v>44720</v>
      </c>
      <c r="B1069" t="s">
        <v>60</v>
      </c>
      <c r="C1069">
        <v>37</v>
      </c>
      <c r="D1069" t="s">
        <v>9</v>
      </c>
      <c r="E1069" t="s">
        <v>25</v>
      </c>
      <c r="F1069" t="s">
        <v>29</v>
      </c>
      <c r="G1069" t="s">
        <v>36</v>
      </c>
      <c r="H1069">
        <v>3811.95</v>
      </c>
      <c r="I1069" s="8" t="str" cm="1">
        <f t="array" ref="I1069">_xlfn.IFS(C1069&lt;=15,"Children and Young Adolescents", C1069&gt;64, "Seniors", TRUE, "Working Age")</f>
        <v>Working Age</v>
      </c>
      <c r="J1069" s="6">
        <f>VLOOKUP(F1069,Analysis!$F$1:$G$5,2,FALSE)</f>
        <v>2496.7676064256989</v>
      </c>
      <c r="K1069">
        <f t="shared" si="64"/>
        <v>4193.1400000000003</v>
      </c>
      <c r="L1069">
        <f t="shared" si="65"/>
        <v>4193.1500000000005</v>
      </c>
      <c r="M1069">
        <f t="shared" si="66"/>
        <v>4193.1499999999996</v>
      </c>
      <c r="N1069" s="5" t="str">
        <f t="shared" si="67"/>
        <v>June 2022</v>
      </c>
    </row>
    <row r="1070" spans="1:14" x14ac:dyDescent="0.25">
      <c r="A1070" s="1">
        <v>44720</v>
      </c>
      <c r="B1070" t="s">
        <v>1328</v>
      </c>
      <c r="C1070">
        <v>93</v>
      </c>
      <c r="D1070" t="s">
        <v>14</v>
      </c>
      <c r="E1070" t="s">
        <v>25</v>
      </c>
      <c r="F1070" t="s">
        <v>16</v>
      </c>
      <c r="G1070" t="s">
        <v>39</v>
      </c>
      <c r="H1070">
        <v>3031.71</v>
      </c>
      <c r="I1070" s="8" t="str" cm="1">
        <f t="array" ref="I1070">_xlfn.IFS(C1070&lt;=15,"Children and Young Adolescents", C1070&gt;64, "Seniors", TRUE, "Working Age")</f>
        <v>Seniors</v>
      </c>
      <c r="J1070" s="6">
        <f>VLOOKUP(F1070,Analysis!$F$1:$G$5,2,FALSE)</f>
        <v>2509.1716796874912</v>
      </c>
      <c r="K1070">
        <f t="shared" si="64"/>
        <v>3334.88</v>
      </c>
      <c r="L1070">
        <f t="shared" si="65"/>
        <v>3334.8900000000003</v>
      </c>
      <c r="M1070">
        <f t="shared" si="66"/>
        <v>3334.88</v>
      </c>
      <c r="N1070" s="5" t="str">
        <f t="shared" si="67"/>
        <v>June 2022</v>
      </c>
    </row>
    <row r="1071" spans="1:14" x14ac:dyDescent="0.25">
      <c r="A1071" s="1">
        <v>44721</v>
      </c>
      <c r="B1071" t="s">
        <v>4160</v>
      </c>
      <c r="C1071">
        <v>90</v>
      </c>
      <c r="D1071" t="s">
        <v>21</v>
      </c>
      <c r="E1071" t="s">
        <v>10</v>
      </c>
      <c r="F1071" t="s">
        <v>11</v>
      </c>
      <c r="G1071" t="s">
        <v>39</v>
      </c>
      <c r="H1071">
        <v>1620.03</v>
      </c>
      <c r="I1071" s="8" t="str" cm="1">
        <f t="array" ref="I1071">_xlfn.IFS(C1071&lt;=15,"Children and Young Adolescents", C1071&gt;64, "Seniors", TRUE, "Working Age")</f>
        <v>Seniors</v>
      </c>
      <c r="J1071" s="6">
        <f>VLOOKUP(F1071,Analysis!$F$1:$G$5,2,FALSE)</f>
        <v>2503.6022787783854</v>
      </c>
      <c r="K1071">
        <f t="shared" si="64"/>
        <v>1782.03</v>
      </c>
      <c r="L1071">
        <f t="shared" si="65"/>
        <v>1782.04</v>
      </c>
      <c r="M1071">
        <f t="shared" si="66"/>
        <v>1782.03</v>
      </c>
      <c r="N1071" s="5" t="str">
        <f t="shared" si="67"/>
        <v>June 2022</v>
      </c>
    </row>
    <row r="1072" spans="1:14" x14ac:dyDescent="0.25">
      <c r="A1072" s="1">
        <v>44721</v>
      </c>
      <c r="B1072" t="s">
        <v>1942</v>
      </c>
      <c r="C1072">
        <v>58</v>
      </c>
      <c r="D1072" t="s">
        <v>14</v>
      </c>
      <c r="E1072" t="s">
        <v>5032</v>
      </c>
      <c r="F1072" t="s">
        <v>29</v>
      </c>
      <c r="G1072" t="s">
        <v>36</v>
      </c>
      <c r="H1072">
        <v>384.27</v>
      </c>
      <c r="I1072" s="8" t="str" cm="1">
        <f t="array" ref="I1072">_xlfn.IFS(C1072&lt;=15,"Children and Young Adolescents", C1072&gt;64, "Seniors", TRUE, "Working Age")</f>
        <v>Working Age</v>
      </c>
      <c r="J1072" s="6">
        <f>VLOOKUP(F1072,Analysis!$F$1:$G$5,2,FALSE)</f>
        <v>2496.7676064256989</v>
      </c>
      <c r="K1072">
        <f t="shared" si="64"/>
        <v>422.69</v>
      </c>
      <c r="L1072">
        <f t="shared" si="65"/>
        <v>422.7</v>
      </c>
      <c r="M1072">
        <f t="shared" si="66"/>
        <v>422.7</v>
      </c>
      <c r="N1072" s="5" t="str">
        <f t="shared" si="67"/>
        <v>June 2022</v>
      </c>
    </row>
    <row r="1073" spans="1:14" x14ac:dyDescent="0.25">
      <c r="A1073" s="1">
        <v>44721</v>
      </c>
      <c r="B1073" t="s">
        <v>1477</v>
      </c>
      <c r="C1073">
        <v>44</v>
      </c>
      <c r="D1073" t="s">
        <v>14</v>
      </c>
      <c r="E1073" t="s">
        <v>32</v>
      </c>
      <c r="F1073" t="s">
        <v>29</v>
      </c>
      <c r="G1073" t="s">
        <v>17</v>
      </c>
      <c r="H1073">
        <v>1764.68</v>
      </c>
      <c r="I1073" s="8" t="str" cm="1">
        <f t="array" ref="I1073">_xlfn.IFS(C1073&lt;=15,"Children and Young Adolescents", C1073&gt;64, "Seniors", TRUE, "Working Age")</f>
        <v>Working Age</v>
      </c>
      <c r="J1073" s="6">
        <f>VLOOKUP(F1073,Analysis!$F$1:$G$5,2,FALSE)</f>
        <v>2496.7676064256989</v>
      </c>
      <c r="K1073">
        <f t="shared" si="64"/>
        <v>1941.14</v>
      </c>
      <c r="L1073">
        <f t="shared" si="65"/>
        <v>1941.15</v>
      </c>
      <c r="M1073">
        <f t="shared" si="66"/>
        <v>1941.15</v>
      </c>
      <c r="N1073" s="5" t="str">
        <f t="shared" si="67"/>
        <v>June 2022</v>
      </c>
    </row>
    <row r="1074" spans="1:14" x14ac:dyDescent="0.25">
      <c r="A1074" s="1">
        <v>44721</v>
      </c>
      <c r="B1074" t="s">
        <v>1539</v>
      </c>
      <c r="C1074">
        <v>52</v>
      </c>
      <c r="D1074" t="s">
        <v>14</v>
      </c>
      <c r="E1074" t="s">
        <v>32</v>
      </c>
      <c r="F1074" t="s">
        <v>23</v>
      </c>
      <c r="G1074" t="s">
        <v>39</v>
      </c>
      <c r="H1074">
        <v>4529.43</v>
      </c>
      <c r="I1074" s="8" t="str" cm="1">
        <f t="array" ref="I1074">_xlfn.IFS(C1074&lt;=15,"Children and Young Adolescents", C1074&gt;64, "Seniors", TRUE, "Working Age")</f>
        <v>Working Age</v>
      </c>
      <c r="J1074" s="6">
        <f>VLOOKUP(F1074,Analysis!$F$1:$G$5,2,FALSE)</f>
        <v>2440.2966694490838</v>
      </c>
      <c r="K1074">
        <f t="shared" si="64"/>
        <v>4982.37</v>
      </c>
      <c r="L1074">
        <f t="shared" si="65"/>
        <v>4982.38</v>
      </c>
      <c r="M1074">
        <f t="shared" si="66"/>
        <v>4982.37</v>
      </c>
      <c r="N1074" s="5" t="str">
        <f t="shared" si="67"/>
        <v>June 2022</v>
      </c>
    </row>
    <row r="1075" spans="1:14" x14ac:dyDescent="0.25">
      <c r="A1075" s="1">
        <v>44721</v>
      </c>
      <c r="B1075" t="s">
        <v>4431</v>
      </c>
      <c r="C1075">
        <v>73</v>
      </c>
      <c r="D1075" t="s">
        <v>21</v>
      </c>
      <c r="E1075" t="s">
        <v>25</v>
      </c>
      <c r="F1075" t="s">
        <v>11</v>
      </c>
      <c r="G1075" t="s">
        <v>27</v>
      </c>
      <c r="H1075">
        <v>1647.22</v>
      </c>
      <c r="I1075" s="8" t="str" cm="1">
        <f t="array" ref="I1075">_xlfn.IFS(C1075&lt;=15,"Children and Young Adolescents", C1075&gt;64, "Seniors", TRUE, "Working Age")</f>
        <v>Seniors</v>
      </c>
      <c r="J1075" s="6">
        <f>VLOOKUP(F1075,Analysis!$F$1:$G$5,2,FALSE)</f>
        <v>2503.6022787783854</v>
      </c>
      <c r="K1075">
        <f t="shared" si="64"/>
        <v>1811.94</v>
      </c>
      <c r="L1075">
        <f t="shared" si="65"/>
        <v>1811.95</v>
      </c>
      <c r="M1075">
        <f t="shared" si="66"/>
        <v>1811.94</v>
      </c>
      <c r="N1075" s="5" t="str">
        <f t="shared" si="67"/>
        <v>June 2022</v>
      </c>
    </row>
    <row r="1076" spans="1:14" x14ac:dyDescent="0.25">
      <c r="A1076" s="1">
        <v>44721</v>
      </c>
      <c r="B1076" t="s">
        <v>3247</v>
      </c>
      <c r="C1076">
        <v>94</v>
      </c>
      <c r="D1076" t="s">
        <v>14</v>
      </c>
      <c r="E1076" t="s">
        <v>25</v>
      </c>
      <c r="F1076" t="s">
        <v>23</v>
      </c>
      <c r="G1076" t="s">
        <v>17</v>
      </c>
      <c r="H1076">
        <v>1944.23</v>
      </c>
      <c r="I1076" s="8" t="str" cm="1">
        <f t="array" ref="I1076">_xlfn.IFS(C1076&lt;=15,"Children and Young Adolescents", C1076&gt;64, "Seniors", TRUE, "Working Age")</f>
        <v>Seniors</v>
      </c>
      <c r="J1076" s="6">
        <f>VLOOKUP(F1076,Analysis!$F$1:$G$5,2,FALSE)</f>
        <v>2440.2966694490838</v>
      </c>
      <c r="K1076">
        <f t="shared" si="64"/>
        <v>2138.65</v>
      </c>
      <c r="L1076">
        <f t="shared" si="65"/>
        <v>2138.6600000000003</v>
      </c>
      <c r="M1076">
        <f t="shared" si="66"/>
        <v>2138.65</v>
      </c>
      <c r="N1076" s="5" t="str">
        <f t="shared" si="67"/>
        <v>June 2022</v>
      </c>
    </row>
    <row r="1077" spans="1:14" x14ac:dyDescent="0.25">
      <c r="A1077" s="1">
        <v>44721</v>
      </c>
      <c r="B1077" t="s">
        <v>3944</v>
      </c>
      <c r="C1077">
        <v>84</v>
      </c>
      <c r="D1077" t="s">
        <v>14</v>
      </c>
      <c r="E1077" t="s">
        <v>10</v>
      </c>
      <c r="F1077" t="s">
        <v>29</v>
      </c>
      <c r="G1077" t="s">
        <v>12</v>
      </c>
      <c r="H1077">
        <v>2436.12</v>
      </c>
      <c r="I1077" s="8" t="str" cm="1">
        <f t="array" ref="I1077">_xlfn.IFS(C1077&lt;=15,"Children and Young Adolescents", C1077&gt;64, "Seniors", TRUE, "Working Age")</f>
        <v>Seniors</v>
      </c>
      <c r="J1077" s="6">
        <f>VLOOKUP(F1077,Analysis!$F$1:$G$5,2,FALSE)</f>
        <v>2496.7676064256989</v>
      </c>
      <c r="K1077">
        <f t="shared" si="64"/>
        <v>2679.73</v>
      </c>
      <c r="L1077">
        <f t="shared" si="65"/>
        <v>2679.7400000000002</v>
      </c>
      <c r="M1077">
        <f t="shared" si="66"/>
        <v>2679.73</v>
      </c>
      <c r="N1077" s="5" t="str">
        <f t="shared" si="67"/>
        <v>June 2022</v>
      </c>
    </row>
    <row r="1078" spans="1:14" x14ac:dyDescent="0.25">
      <c r="A1078" s="1">
        <v>44721</v>
      </c>
      <c r="B1078" t="s">
        <v>4566</v>
      </c>
      <c r="C1078">
        <v>63</v>
      </c>
      <c r="D1078" t="s">
        <v>21</v>
      </c>
      <c r="E1078" t="s">
        <v>5032</v>
      </c>
      <c r="F1078" t="s">
        <v>29</v>
      </c>
      <c r="G1078" t="s">
        <v>12</v>
      </c>
      <c r="H1078">
        <v>2663.12</v>
      </c>
      <c r="I1078" s="8" t="str" cm="1">
        <f t="array" ref="I1078">_xlfn.IFS(C1078&lt;=15,"Children and Young Adolescents", C1078&gt;64, "Seniors", TRUE, "Working Age")</f>
        <v>Working Age</v>
      </c>
      <c r="J1078" s="6">
        <f>VLOOKUP(F1078,Analysis!$F$1:$G$5,2,FALSE)</f>
        <v>2496.7676064256989</v>
      </c>
      <c r="K1078">
        <f t="shared" si="64"/>
        <v>2929.43</v>
      </c>
      <c r="L1078">
        <f t="shared" si="65"/>
        <v>2929.44</v>
      </c>
      <c r="M1078">
        <f t="shared" si="66"/>
        <v>2929.43</v>
      </c>
      <c r="N1078" s="5" t="str">
        <f t="shared" si="67"/>
        <v>June 2022</v>
      </c>
    </row>
    <row r="1079" spans="1:14" x14ac:dyDescent="0.25">
      <c r="A1079" s="1">
        <v>44721</v>
      </c>
      <c r="B1079" t="s">
        <v>2709</v>
      </c>
      <c r="C1079">
        <v>76</v>
      </c>
      <c r="D1079" t="s">
        <v>21</v>
      </c>
      <c r="E1079" t="s">
        <v>10</v>
      </c>
      <c r="F1079" t="s">
        <v>29</v>
      </c>
      <c r="G1079" t="s">
        <v>17</v>
      </c>
      <c r="H1079">
        <v>3828.98</v>
      </c>
      <c r="I1079" s="8" t="str" cm="1">
        <f t="array" ref="I1079">_xlfn.IFS(C1079&lt;=15,"Children and Young Adolescents", C1079&gt;64, "Seniors", TRUE, "Working Age")</f>
        <v>Seniors</v>
      </c>
      <c r="J1079" s="6">
        <f>VLOOKUP(F1079,Analysis!$F$1:$G$5,2,FALSE)</f>
        <v>2496.7676064256989</v>
      </c>
      <c r="K1079">
        <f t="shared" si="64"/>
        <v>4211.87</v>
      </c>
      <c r="L1079">
        <f t="shared" si="65"/>
        <v>4211.88</v>
      </c>
      <c r="M1079">
        <f t="shared" si="66"/>
        <v>4211.88</v>
      </c>
      <c r="N1079" s="5" t="str">
        <f t="shared" si="67"/>
        <v>June 2022</v>
      </c>
    </row>
    <row r="1080" spans="1:14" x14ac:dyDescent="0.25">
      <c r="A1080" s="1">
        <v>44722</v>
      </c>
      <c r="B1080" t="s">
        <v>3189</v>
      </c>
      <c r="C1080">
        <v>80</v>
      </c>
      <c r="D1080" t="s">
        <v>9</v>
      </c>
      <c r="E1080" t="s">
        <v>10</v>
      </c>
      <c r="F1080" t="s">
        <v>11</v>
      </c>
      <c r="G1080" t="s">
        <v>17</v>
      </c>
      <c r="H1080">
        <v>4901.6499999999996</v>
      </c>
      <c r="I1080" s="8" t="str" cm="1">
        <f t="array" ref="I1080">_xlfn.IFS(C1080&lt;=15,"Children and Young Adolescents", C1080&gt;64, "Seniors", TRUE, "Working Age")</f>
        <v>Seniors</v>
      </c>
      <c r="J1080" s="6">
        <f>VLOOKUP(F1080,Analysis!$F$1:$G$5,2,FALSE)</f>
        <v>2503.6022787783854</v>
      </c>
      <c r="K1080">
        <f t="shared" si="64"/>
        <v>5391.81</v>
      </c>
      <c r="L1080">
        <f t="shared" si="65"/>
        <v>5391.8200000000006</v>
      </c>
      <c r="M1080">
        <f t="shared" si="66"/>
        <v>5391.82</v>
      </c>
      <c r="N1080" s="5" t="str">
        <f t="shared" si="67"/>
        <v>June 2022</v>
      </c>
    </row>
    <row r="1081" spans="1:14" x14ac:dyDescent="0.25">
      <c r="A1081" s="1">
        <v>44722</v>
      </c>
      <c r="B1081" t="s">
        <v>3194</v>
      </c>
      <c r="C1081">
        <v>13</v>
      </c>
      <c r="D1081" t="s">
        <v>21</v>
      </c>
      <c r="E1081" t="s">
        <v>19</v>
      </c>
      <c r="F1081" t="s">
        <v>16</v>
      </c>
      <c r="G1081" t="s">
        <v>27</v>
      </c>
      <c r="H1081">
        <v>2309.34</v>
      </c>
      <c r="I1081" s="8" t="str" cm="1">
        <f t="array" ref="I1081">_xlfn.IFS(C1081&lt;=15,"Children and Young Adolescents", C1081&gt;64, "Seniors", TRUE, "Working Age")</f>
        <v>Children and Young Adolescents</v>
      </c>
      <c r="J1081" s="6">
        <f>VLOOKUP(F1081,Analysis!$F$1:$G$5,2,FALSE)</f>
        <v>2509.1716796874912</v>
      </c>
      <c r="K1081">
        <f t="shared" si="64"/>
        <v>2540.27</v>
      </c>
      <c r="L1081">
        <f t="shared" si="65"/>
        <v>2540.2800000000002</v>
      </c>
      <c r="M1081">
        <f t="shared" si="66"/>
        <v>2540.27</v>
      </c>
      <c r="N1081" s="5" t="str">
        <f t="shared" si="67"/>
        <v>June 2022</v>
      </c>
    </row>
    <row r="1082" spans="1:14" x14ac:dyDescent="0.25">
      <c r="A1082" s="1">
        <v>44722</v>
      </c>
      <c r="B1082" t="s">
        <v>4060</v>
      </c>
      <c r="C1082">
        <v>25</v>
      </c>
      <c r="D1082" t="s">
        <v>21</v>
      </c>
      <c r="E1082" t="s">
        <v>34</v>
      </c>
      <c r="F1082" t="s">
        <v>16</v>
      </c>
      <c r="G1082" t="s">
        <v>39</v>
      </c>
      <c r="H1082">
        <v>791.01</v>
      </c>
      <c r="I1082" s="8" t="str" cm="1">
        <f t="array" ref="I1082">_xlfn.IFS(C1082&lt;=15,"Children and Young Adolescents", C1082&gt;64, "Seniors", TRUE, "Working Age")</f>
        <v>Working Age</v>
      </c>
      <c r="J1082" s="6">
        <f>VLOOKUP(F1082,Analysis!$F$1:$G$5,2,FALSE)</f>
        <v>2509.1716796874912</v>
      </c>
      <c r="K1082">
        <f t="shared" si="64"/>
        <v>870.11</v>
      </c>
      <c r="L1082">
        <f t="shared" si="65"/>
        <v>870.12</v>
      </c>
      <c r="M1082">
        <f t="shared" si="66"/>
        <v>870.11</v>
      </c>
      <c r="N1082" s="5" t="str">
        <f t="shared" si="67"/>
        <v>June 2022</v>
      </c>
    </row>
    <row r="1083" spans="1:14" x14ac:dyDescent="0.25">
      <c r="A1083" s="1">
        <v>44722</v>
      </c>
      <c r="B1083" t="s">
        <v>2357</v>
      </c>
      <c r="C1083">
        <v>73</v>
      </c>
      <c r="D1083" t="s">
        <v>21</v>
      </c>
      <c r="E1083" t="s">
        <v>25</v>
      </c>
      <c r="F1083" t="s">
        <v>23</v>
      </c>
      <c r="G1083" t="s">
        <v>27</v>
      </c>
      <c r="H1083">
        <v>2637.38</v>
      </c>
      <c r="I1083" s="8" t="str" cm="1">
        <f t="array" ref="I1083">_xlfn.IFS(C1083&lt;=15,"Children and Young Adolescents", C1083&gt;64, "Seniors", TRUE, "Working Age")</f>
        <v>Seniors</v>
      </c>
      <c r="J1083" s="6">
        <f>VLOOKUP(F1083,Analysis!$F$1:$G$5,2,FALSE)</f>
        <v>2440.2966694490838</v>
      </c>
      <c r="K1083">
        <f t="shared" si="64"/>
        <v>2901.11</v>
      </c>
      <c r="L1083">
        <f t="shared" si="65"/>
        <v>2901.1200000000003</v>
      </c>
      <c r="M1083">
        <f t="shared" si="66"/>
        <v>2901.12</v>
      </c>
      <c r="N1083" s="5" t="str">
        <f t="shared" si="67"/>
        <v>June 2022</v>
      </c>
    </row>
    <row r="1084" spans="1:14" x14ac:dyDescent="0.25">
      <c r="A1084" s="1">
        <v>44722</v>
      </c>
      <c r="B1084" t="s">
        <v>136</v>
      </c>
      <c r="C1084">
        <v>69</v>
      </c>
      <c r="D1084" t="s">
        <v>9</v>
      </c>
      <c r="E1084" t="s">
        <v>22</v>
      </c>
      <c r="F1084" t="s">
        <v>29</v>
      </c>
      <c r="G1084" t="s">
        <v>27</v>
      </c>
      <c r="H1084">
        <v>1103.3599999999999</v>
      </c>
      <c r="I1084" s="8" t="str" cm="1">
        <f t="array" ref="I1084">_xlfn.IFS(C1084&lt;=15,"Children and Young Adolescents", C1084&gt;64, "Seniors", TRUE, "Working Age")</f>
        <v>Seniors</v>
      </c>
      <c r="J1084" s="6">
        <f>VLOOKUP(F1084,Analysis!$F$1:$G$5,2,FALSE)</f>
        <v>2496.7676064256989</v>
      </c>
      <c r="K1084">
        <f t="shared" si="64"/>
        <v>1213.69</v>
      </c>
      <c r="L1084">
        <f t="shared" si="65"/>
        <v>1213.7</v>
      </c>
      <c r="M1084">
        <f t="shared" si="66"/>
        <v>1213.7</v>
      </c>
      <c r="N1084" s="5" t="str">
        <f t="shared" si="67"/>
        <v>June 2022</v>
      </c>
    </row>
    <row r="1085" spans="1:14" x14ac:dyDescent="0.25">
      <c r="A1085" s="1">
        <v>44722</v>
      </c>
      <c r="B1085" t="s">
        <v>2631</v>
      </c>
      <c r="C1085">
        <v>46</v>
      </c>
      <c r="D1085" t="s">
        <v>21</v>
      </c>
      <c r="E1085" t="s">
        <v>10</v>
      </c>
      <c r="F1085" t="s">
        <v>16</v>
      </c>
      <c r="G1085" t="s">
        <v>27</v>
      </c>
      <c r="H1085">
        <v>524.65</v>
      </c>
      <c r="I1085" s="8" t="str" cm="1">
        <f t="array" ref="I1085">_xlfn.IFS(C1085&lt;=15,"Children and Young Adolescents", C1085&gt;64, "Seniors", TRUE, "Working Age")</f>
        <v>Working Age</v>
      </c>
      <c r="J1085" s="6">
        <f>VLOOKUP(F1085,Analysis!$F$1:$G$5,2,FALSE)</f>
        <v>2509.1716796874912</v>
      </c>
      <c r="K1085">
        <f t="shared" si="64"/>
        <v>577.11</v>
      </c>
      <c r="L1085">
        <f t="shared" si="65"/>
        <v>577.12</v>
      </c>
      <c r="M1085">
        <f t="shared" si="66"/>
        <v>577.12</v>
      </c>
      <c r="N1085" s="5" t="str">
        <f t="shared" si="67"/>
        <v>June 2022</v>
      </c>
    </row>
    <row r="1086" spans="1:14" x14ac:dyDescent="0.25">
      <c r="A1086" s="1">
        <v>44723</v>
      </c>
      <c r="B1086" t="s">
        <v>2096</v>
      </c>
      <c r="C1086">
        <v>23</v>
      </c>
      <c r="D1086" t="s">
        <v>21</v>
      </c>
      <c r="E1086" t="s">
        <v>34</v>
      </c>
      <c r="F1086" t="s">
        <v>11</v>
      </c>
      <c r="G1086" t="s">
        <v>39</v>
      </c>
      <c r="H1086">
        <v>461.69</v>
      </c>
      <c r="I1086" s="8" t="str" cm="1">
        <f t="array" ref="I1086">_xlfn.IFS(C1086&lt;=15,"Children and Young Adolescents", C1086&gt;64, "Seniors", TRUE, "Working Age")</f>
        <v>Working Age</v>
      </c>
      <c r="J1086" s="6">
        <f>VLOOKUP(F1086,Analysis!$F$1:$G$5,2,FALSE)</f>
        <v>2503.6022787783854</v>
      </c>
      <c r="K1086">
        <f t="shared" si="64"/>
        <v>507.85</v>
      </c>
      <c r="L1086">
        <f t="shared" si="65"/>
        <v>507.86</v>
      </c>
      <c r="M1086">
        <f t="shared" si="66"/>
        <v>507.86</v>
      </c>
      <c r="N1086" s="5" t="str">
        <f t="shared" si="67"/>
        <v>June 2022</v>
      </c>
    </row>
    <row r="1087" spans="1:14" x14ac:dyDescent="0.25">
      <c r="A1087" s="1">
        <v>44723</v>
      </c>
      <c r="B1087" t="s">
        <v>2618</v>
      </c>
      <c r="C1087">
        <v>2</v>
      </c>
      <c r="D1087" t="s">
        <v>14</v>
      </c>
      <c r="E1087" t="s">
        <v>32</v>
      </c>
      <c r="F1087" t="s">
        <v>11</v>
      </c>
      <c r="G1087" t="s">
        <v>17</v>
      </c>
      <c r="H1087">
        <v>3419.37</v>
      </c>
      <c r="I1087" s="8" t="str" cm="1">
        <f t="array" ref="I1087">_xlfn.IFS(C1087&lt;=15,"Children and Young Adolescents", C1087&gt;64, "Seniors", TRUE, "Working Age")</f>
        <v>Children and Young Adolescents</v>
      </c>
      <c r="J1087" s="6">
        <f>VLOOKUP(F1087,Analysis!$F$1:$G$5,2,FALSE)</f>
        <v>2503.6022787783854</v>
      </c>
      <c r="K1087">
        <f t="shared" si="64"/>
        <v>3761.3</v>
      </c>
      <c r="L1087">
        <f t="shared" si="65"/>
        <v>3761.3100000000004</v>
      </c>
      <c r="M1087">
        <f t="shared" si="66"/>
        <v>3761.31</v>
      </c>
      <c r="N1087" s="5" t="str">
        <f t="shared" si="67"/>
        <v>June 2022</v>
      </c>
    </row>
    <row r="1088" spans="1:14" x14ac:dyDescent="0.25">
      <c r="A1088" s="1">
        <v>44723</v>
      </c>
      <c r="B1088" t="s">
        <v>1572</v>
      </c>
      <c r="C1088">
        <v>80</v>
      </c>
      <c r="D1088" t="s">
        <v>9</v>
      </c>
      <c r="E1088" t="s">
        <v>32</v>
      </c>
      <c r="F1088" t="s">
        <v>11</v>
      </c>
      <c r="G1088" t="s">
        <v>36</v>
      </c>
      <c r="H1088">
        <v>1491.71</v>
      </c>
      <c r="I1088" s="8" t="str" cm="1">
        <f t="array" ref="I1088">_xlfn.IFS(C1088&lt;=15,"Children and Young Adolescents", C1088&gt;64, "Seniors", TRUE, "Working Age")</f>
        <v>Seniors</v>
      </c>
      <c r="J1088" s="6">
        <f>VLOOKUP(F1088,Analysis!$F$1:$G$5,2,FALSE)</f>
        <v>2503.6022787783854</v>
      </c>
      <c r="K1088">
        <f t="shared" si="64"/>
        <v>1640.88</v>
      </c>
      <c r="L1088">
        <f t="shared" si="65"/>
        <v>1640.89</v>
      </c>
      <c r="M1088">
        <f t="shared" si="66"/>
        <v>1640.88</v>
      </c>
      <c r="N1088" s="5" t="str">
        <f t="shared" si="67"/>
        <v>June 2022</v>
      </c>
    </row>
    <row r="1089" spans="1:14" x14ac:dyDescent="0.25">
      <c r="A1089" s="1">
        <v>44723</v>
      </c>
      <c r="B1089" t="s">
        <v>3234</v>
      </c>
      <c r="C1089">
        <v>2</v>
      </c>
      <c r="D1089" t="s">
        <v>9</v>
      </c>
      <c r="E1089" t="s">
        <v>32</v>
      </c>
      <c r="F1089" t="s">
        <v>16</v>
      </c>
      <c r="G1089" t="s">
        <v>17</v>
      </c>
      <c r="H1089">
        <v>113.3</v>
      </c>
      <c r="I1089" s="8" t="str" cm="1">
        <f t="array" ref="I1089">_xlfn.IFS(C1089&lt;=15,"Children and Young Adolescents", C1089&gt;64, "Seniors", TRUE, "Working Age")</f>
        <v>Children and Young Adolescents</v>
      </c>
      <c r="J1089" s="6">
        <f>VLOOKUP(F1089,Analysis!$F$1:$G$5,2,FALSE)</f>
        <v>2509.1716796874912</v>
      </c>
      <c r="K1089">
        <f t="shared" si="64"/>
        <v>124.63</v>
      </c>
      <c r="L1089">
        <f t="shared" si="65"/>
        <v>124.63</v>
      </c>
      <c r="M1089">
        <f t="shared" si="66"/>
        <v>124.63</v>
      </c>
      <c r="N1089" s="5" t="str">
        <f t="shared" si="67"/>
        <v>June 2022</v>
      </c>
    </row>
    <row r="1090" spans="1:14" x14ac:dyDescent="0.25">
      <c r="A1090" s="1">
        <v>44723</v>
      </c>
      <c r="B1090" t="s">
        <v>2647</v>
      </c>
      <c r="C1090">
        <v>74</v>
      </c>
      <c r="D1090" t="s">
        <v>21</v>
      </c>
      <c r="E1090" t="s">
        <v>25</v>
      </c>
      <c r="F1090" t="s">
        <v>16</v>
      </c>
      <c r="G1090" t="s">
        <v>27</v>
      </c>
      <c r="H1090">
        <v>1358.85</v>
      </c>
      <c r="I1090" s="8" t="str" cm="1">
        <f t="array" ref="I1090">_xlfn.IFS(C1090&lt;=15,"Children and Young Adolescents", C1090&gt;64, "Seniors", TRUE, "Working Age")</f>
        <v>Seniors</v>
      </c>
      <c r="J1090" s="6">
        <f>VLOOKUP(F1090,Analysis!$F$1:$G$5,2,FALSE)</f>
        <v>2509.1716796874912</v>
      </c>
      <c r="K1090">
        <f t="shared" si="64"/>
        <v>1494.73</v>
      </c>
      <c r="L1090">
        <f t="shared" si="65"/>
        <v>1494.74</v>
      </c>
      <c r="M1090">
        <f t="shared" si="66"/>
        <v>1494.74</v>
      </c>
      <c r="N1090" s="5" t="str">
        <f t="shared" si="67"/>
        <v>June 2022</v>
      </c>
    </row>
    <row r="1091" spans="1:14" x14ac:dyDescent="0.25">
      <c r="A1091" s="1">
        <v>44723</v>
      </c>
      <c r="B1091" t="s">
        <v>1393</v>
      </c>
      <c r="C1091">
        <v>70</v>
      </c>
      <c r="D1091" t="s">
        <v>21</v>
      </c>
      <c r="E1091" t="s">
        <v>25</v>
      </c>
      <c r="F1091" t="s">
        <v>16</v>
      </c>
      <c r="G1091" t="s">
        <v>12</v>
      </c>
      <c r="H1091">
        <v>1066.56</v>
      </c>
      <c r="I1091" s="8" t="str" cm="1">
        <f t="array" ref="I1091">_xlfn.IFS(C1091&lt;=15,"Children and Young Adolescents", C1091&gt;64, "Seniors", TRUE, "Working Age")</f>
        <v>Seniors</v>
      </c>
      <c r="J1091" s="6">
        <f>VLOOKUP(F1091,Analysis!$F$1:$G$5,2,FALSE)</f>
        <v>2509.1716796874912</v>
      </c>
      <c r="K1091">
        <f t="shared" ref="K1091:K1154" si="68">ROUNDDOWN(H1091*1.1,2)</f>
        <v>1173.21</v>
      </c>
      <c r="L1091">
        <f t="shared" ref="L1091:L1154" si="69">ROUNDUP(H1091*1.1,2)</f>
        <v>1173.22</v>
      </c>
      <c r="M1091">
        <f t="shared" ref="M1091:M1154" si="70">ROUND(H1091*1.1,2)</f>
        <v>1173.22</v>
      </c>
      <c r="N1091" s="5" t="str">
        <f t="shared" ref="N1091:N1154" si="71">TEXT(A1091,"mmmm yyyy")</f>
        <v>June 2022</v>
      </c>
    </row>
    <row r="1092" spans="1:14" x14ac:dyDescent="0.25">
      <c r="A1092" s="1">
        <v>44724</v>
      </c>
      <c r="B1092" t="s">
        <v>527</v>
      </c>
      <c r="C1092">
        <v>13</v>
      </c>
      <c r="D1092" t="s">
        <v>14</v>
      </c>
      <c r="E1092" t="s">
        <v>15</v>
      </c>
      <c r="F1092" t="s">
        <v>11</v>
      </c>
      <c r="G1092" t="s">
        <v>12</v>
      </c>
      <c r="H1092">
        <v>2597.04</v>
      </c>
      <c r="I1092" s="8" t="str" cm="1">
        <f t="array" ref="I1092">_xlfn.IFS(C1092&lt;=15,"Children and Young Adolescents", C1092&gt;64, "Seniors", TRUE, "Working Age")</f>
        <v>Children and Young Adolescents</v>
      </c>
      <c r="J1092" s="6">
        <f>VLOOKUP(F1092,Analysis!$F$1:$G$5,2,FALSE)</f>
        <v>2503.6022787783854</v>
      </c>
      <c r="K1092">
        <f t="shared" si="68"/>
        <v>2856.74</v>
      </c>
      <c r="L1092">
        <f t="shared" si="69"/>
        <v>2856.75</v>
      </c>
      <c r="M1092">
        <f t="shared" si="70"/>
        <v>2856.74</v>
      </c>
      <c r="N1092" s="5" t="str">
        <f t="shared" si="71"/>
        <v>June 2022</v>
      </c>
    </row>
    <row r="1093" spans="1:14" x14ac:dyDescent="0.25">
      <c r="A1093" s="1">
        <v>44724</v>
      </c>
      <c r="B1093" t="s">
        <v>2393</v>
      </c>
      <c r="C1093">
        <v>55</v>
      </c>
      <c r="D1093" t="s">
        <v>9</v>
      </c>
      <c r="E1093" t="s">
        <v>32</v>
      </c>
      <c r="F1093" t="s">
        <v>16</v>
      </c>
      <c r="G1093" t="s">
        <v>36</v>
      </c>
      <c r="H1093">
        <v>4080.14</v>
      </c>
      <c r="I1093" s="8" t="str" cm="1">
        <f t="array" ref="I1093">_xlfn.IFS(C1093&lt;=15,"Children and Young Adolescents", C1093&gt;64, "Seniors", TRUE, "Working Age")</f>
        <v>Working Age</v>
      </c>
      <c r="J1093" s="6">
        <f>VLOOKUP(F1093,Analysis!$F$1:$G$5,2,FALSE)</f>
        <v>2509.1716796874912</v>
      </c>
      <c r="K1093">
        <f t="shared" si="68"/>
        <v>4488.1499999999996</v>
      </c>
      <c r="L1093">
        <f t="shared" si="69"/>
        <v>4488.16</v>
      </c>
      <c r="M1093">
        <f t="shared" si="70"/>
        <v>4488.1499999999996</v>
      </c>
      <c r="N1093" s="5" t="str">
        <f t="shared" si="71"/>
        <v>June 2022</v>
      </c>
    </row>
    <row r="1094" spans="1:14" x14ac:dyDescent="0.25">
      <c r="A1094" s="1">
        <v>44724</v>
      </c>
      <c r="B1094" t="s">
        <v>851</v>
      </c>
      <c r="C1094">
        <v>58</v>
      </c>
      <c r="D1094" t="s">
        <v>9</v>
      </c>
      <c r="E1094" t="s">
        <v>10</v>
      </c>
      <c r="F1094" t="s">
        <v>16</v>
      </c>
      <c r="G1094" t="s">
        <v>5033</v>
      </c>
      <c r="H1094">
        <v>3346.3</v>
      </c>
      <c r="I1094" s="8" t="str" cm="1">
        <f t="array" ref="I1094">_xlfn.IFS(C1094&lt;=15,"Children and Young Adolescents", C1094&gt;64, "Seniors", TRUE, "Working Age")</f>
        <v>Working Age</v>
      </c>
      <c r="J1094" s="6">
        <f>VLOOKUP(F1094,Analysis!$F$1:$G$5,2,FALSE)</f>
        <v>2509.1716796874912</v>
      </c>
      <c r="K1094">
        <f t="shared" si="68"/>
        <v>3680.93</v>
      </c>
      <c r="L1094">
        <f t="shared" si="69"/>
        <v>3680.93</v>
      </c>
      <c r="M1094">
        <f t="shared" si="70"/>
        <v>3680.93</v>
      </c>
      <c r="N1094" s="5" t="str">
        <f t="shared" si="71"/>
        <v>June 2022</v>
      </c>
    </row>
    <row r="1095" spans="1:14" x14ac:dyDescent="0.25">
      <c r="A1095" s="1">
        <v>44724</v>
      </c>
      <c r="B1095" t="s">
        <v>240</v>
      </c>
      <c r="C1095">
        <v>58</v>
      </c>
      <c r="D1095" t="s">
        <v>21</v>
      </c>
      <c r="E1095" t="s">
        <v>25</v>
      </c>
      <c r="F1095" t="s">
        <v>29</v>
      </c>
      <c r="G1095" t="s">
        <v>12</v>
      </c>
      <c r="H1095">
        <v>138.13</v>
      </c>
      <c r="I1095" s="8" t="str" cm="1">
        <f t="array" ref="I1095">_xlfn.IFS(C1095&lt;=15,"Children and Young Adolescents", C1095&gt;64, "Seniors", TRUE, "Working Age")</f>
        <v>Working Age</v>
      </c>
      <c r="J1095" s="6">
        <f>VLOOKUP(F1095,Analysis!$F$1:$G$5,2,FALSE)</f>
        <v>2496.7676064256989</v>
      </c>
      <c r="K1095">
        <f t="shared" si="68"/>
        <v>151.94</v>
      </c>
      <c r="L1095">
        <f t="shared" si="69"/>
        <v>151.94999999999999</v>
      </c>
      <c r="M1095">
        <f t="shared" si="70"/>
        <v>151.94</v>
      </c>
      <c r="N1095" s="5" t="str">
        <f t="shared" si="71"/>
        <v>June 2022</v>
      </c>
    </row>
    <row r="1096" spans="1:14" x14ac:dyDescent="0.25">
      <c r="A1096" s="1">
        <v>44724</v>
      </c>
      <c r="B1096" t="s">
        <v>3581</v>
      </c>
      <c r="C1096">
        <v>96</v>
      </c>
      <c r="D1096" t="s">
        <v>14</v>
      </c>
      <c r="E1096" t="s">
        <v>19</v>
      </c>
      <c r="F1096" t="s">
        <v>23</v>
      </c>
      <c r="G1096" t="s">
        <v>36</v>
      </c>
      <c r="H1096">
        <v>2260.92</v>
      </c>
      <c r="I1096" s="8" t="str" cm="1">
        <f t="array" ref="I1096">_xlfn.IFS(C1096&lt;=15,"Children and Young Adolescents", C1096&gt;64, "Seniors", TRUE, "Working Age")</f>
        <v>Seniors</v>
      </c>
      <c r="J1096" s="6">
        <f>VLOOKUP(F1096,Analysis!$F$1:$G$5,2,FALSE)</f>
        <v>2440.2966694490838</v>
      </c>
      <c r="K1096">
        <f t="shared" si="68"/>
        <v>2487.0100000000002</v>
      </c>
      <c r="L1096">
        <f t="shared" si="69"/>
        <v>2487.0200000000004</v>
      </c>
      <c r="M1096">
        <f t="shared" si="70"/>
        <v>2487.0100000000002</v>
      </c>
      <c r="N1096" s="5" t="str">
        <f t="shared" si="71"/>
        <v>June 2022</v>
      </c>
    </row>
    <row r="1097" spans="1:14" x14ac:dyDescent="0.25">
      <c r="A1097" s="1">
        <v>44724</v>
      </c>
      <c r="B1097" t="s">
        <v>1371</v>
      </c>
      <c r="C1097">
        <v>28</v>
      </c>
      <c r="D1097" t="s">
        <v>21</v>
      </c>
      <c r="E1097" t="s">
        <v>32</v>
      </c>
      <c r="F1097" t="s">
        <v>16</v>
      </c>
      <c r="G1097" t="s">
        <v>27</v>
      </c>
      <c r="H1097">
        <v>4354.25</v>
      </c>
      <c r="I1097" s="8" t="str" cm="1">
        <f t="array" ref="I1097">_xlfn.IFS(C1097&lt;=15,"Children and Young Adolescents", C1097&gt;64, "Seniors", TRUE, "Working Age")</f>
        <v>Working Age</v>
      </c>
      <c r="J1097" s="6">
        <f>VLOOKUP(F1097,Analysis!$F$1:$G$5,2,FALSE)</f>
        <v>2509.1716796874912</v>
      </c>
      <c r="K1097">
        <f t="shared" si="68"/>
        <v>4789.67</v>
      </c>
      <c r="L1097">
        <f t="shared" si="69"/>
        <v>4789.68</v>
      </c>
      <c r="M1097">
        <f t="shared" si="70"/>
        <v>4789.68</v>
      </c>
      <c r="N1097" s="5" t="str">
        <f t="shared" si="71"/>
        <v>June 2022</v>
      </c>
    </row>
    <row r="1098" spans="1:14" x14ac:dyDescent="0.25">
      <c r="A1098" s="1">
        <v>44724</v>
      </c>
      <c r="B1098" t="s">
        <v>563</v>
      </c>
      <c r="C1098">
        <v>64</v>
      </c>
      <c r="D1098" t="s">
        <v>14</v>
      </c>
      <c r="E1098" t="s">
        <v>22</v>
      </c>
      <c r="F1098" t="s">
        <v>23</v>
      </c>
      <c r="G1098" t="s">
        <v>36</v>
      </c>
      <c r="H1098">
        <v>2946.13</v>
      </c>
      <c r="I1098" s="8" t="str" cm="1">
        <f t="array" ref="I1098">_xlfn.IFS(C1098&lt;=15,"Children and Young Adolescents", C1098&gt;64, "Seniors", TRUE, "Working Age")</f>
        <v>Working Age</v>
      </c>
      <c r="J1098" s="6">
        <f>VLOOKUP(F1098,Analysis!$F$1:$G$5,2,FALSE)</f>
        <v>2440.2966694490838</v>
      </c>
      <c r="K1098">
        <f t="shared" si="68"/>
        <v>3240.74</v>
      </c>
      <c r="L1098">
        <f t="shared" si="69"/>
        <v>3240.75</v>
      </c>
      <c r="M1098">
        <f t="shared" si="70"/>
        <v>3240.74</v>
      </c>
      <c r="N1098" s="5" t="str">
        <f t="shared" si="71"/>
        <v>June 2022</v>
      </c>
    </row>
    <row r="1099" spans="1:14" x14ac:dyDescent="0.25">
      <c r="A1099" s="1">
        <v>44724</v>
      </c>
      <c r="B1099" t="s">
        <v>4858</v>
      </c>
      <c r="C1099">
        <v>88</v>
      </c>
      <c r="D1099" t="s">
        <v>9</v>
      </c>
      <c r="E1099" t="s">
        <v>34</v>
      </c>
      <c r="F1099" t="s">
        <v>29</v>
      </c>
      <c r="G1099" t="s">
        <v>12</v>
      </c>
      <c r="H1099">
        <v>2618.79</v>
      </c>
      <c r="I1099" s="8" t="str" cm="1">
        <f t="array" ref="I1099">_xlfn.IFS(C1099&lt;=15,"Children and Young Adolescents", C1099&gt;64, "Seniors", TRUE, "Working Age")</f>
        <v>Seniors</v>
      </c>
      <c r="J1099" s="6">
        <f>VLOOKUP(F1099,Analysis!$F$1:$G$5,2,FALSE)</f>
        <v>2496.7676064256989</v>
      </c>
      <c r="K1099">
        <f t="shared" si="68"/>
        <v>2880.66</v>
      </c>
      <c r="L1099">
        <f t="shared" si="69"/>
        <v>2880.67</v>
      </c>
      <c r="M1099">
        <f t="shared" si="70"/>
        <v>2880.67</v>
      </c>
      <c r="N1099" s="5" t="str">
        <f t="shared" si="71"/>
        <v>June 2022</v>
      </c>
    </row>
    <row r="1100" spans="1:14" x14ac:dyDescent="0.25">
      <c r="A1100" s="1">
        <v>44725</v>
      </c>
      <c r="B1100" t="s">
        <v>3923</v>
      </c>
      <c r="C1100">
        <v>6</v>
      </c>
      <c r="D1100" t="s">
        <v>14</v>
      </c>
      <c r="E1100" t="s">
        <v>15</v>
      </c>
      <c r="F1100" t="s">
        <v>29</v>
      </c>
      <c r="G1100" t="s">
        <v>36</v>
      </c>
      <c r="H1100">
        <v>2396.65</v>
      </c>
      <c r="I1100" s="8" t="str" cm="1">
        <f t="array" ref="I1100">_xlfn.IFS(C1100&lt;=15,"Children and Young Adolescents", C1100&gt;64, "Seniors", TRUE, "Working Age")</f>
        <v>Children and Young Adolescents</v>
      </c>
      <c r="J1100" s="6">
        <f>VLOOKUP(F1100,Analysis!$F$1:$G$5,2,FALSE)</f>
        <v>2496.7676064256989</v>
      </c>
      <c r="K1100">
        <f t="shared" si="68"/>
        <v>2636.31</v>
      </c>
      <c r="L1100">
        <f t="shared" si="69"/>
        <v>2636.32</v>
      </c>
      <c r="M1100">
        <f t="shared" si="70"/>
        <v>2636.32</v>
      </c>
      <c r="N1100" s="5" t="str">
        <f t="shared" si="71"/>
        <v>June 2022</v>
      </c>
    </row>
    <row r="1101" spans="1:14" x14ac:dyDescent="0.25">
      <c r="A1101" s="1">
        <v>44725</v>
      </c>
      <c r="B1101" t="s">
        <v>4388</v>
      </c>
      <c r="C1101">
        <v>91</v>
      </c>
      <c r="D1101" t="s">
        <v>21</v>
      </c>
      <c r="E1101" t="s">
        <v>5032</v>
      </c>
      <c r="F1101" t="s">
        <v>16</v>
      </c>
      <c r="G1101" t="s">
        <v>27</v>
      </c>
      <c r="H1101">
        <v>4061.62</v>
      </c>
      <c r="I1101" s="8" t="str" cm="1">
        <f t="array" ref="I1101">_xlfn.IFS(C1101&lt;=15,"Children and Young Adolescents", C1101&gt;64, "Seniors", TRUE, "Working Age")</f>
        <v>Seniors</v>
      </c>
      <c r="J1101" s="6">
        <f>VLOOKUP(F1101,Analysis!$F$1:$G$5,2,FALSE)</f>
        <v>2509.1716796874912</v>
      </c>
      <c r="K1101">
        <f t="shared" si="68"/>
        <v>4467.78</v>
      </c>
      <c r="L1101">
        <f t="shared" si="69"/>
        <v>4467.79</v>
      </c>
      <c r="M1101">
        <f t="shared" si="70"/>
        <v>4467.78</v>
      </c>
      <c r="N1101" s="5" t="str">
        <f t="shared" si="71"/>
        <v>June 2022</v>
      </c>
    </row>
    <row r="1102" spans="1:14" x14ac:dyDescent="0.25">
      <c r="A1102" s="1">
        <v>44725</v>
      </c>
      <c r="B1102" t="s">
        <v>1449</v>
      </c>
      <c r="C1102">
        <v>60</v>
      </c>
      <c r="D1102" t="s">
        <v>14</v>
      </c>
      <c r="E1102" t="s">
        <v>32</v>
      </c>
      <c r="F1102" t="s">
        <v>29</v>
      </c>
      <c r="G1102" t="s">
        <v>17</v>
      </c>
      <c r="H1102">
        <v>253.94</v>
      </c>
      <c r="I1102" s="8" t="str" cm="1">
        <f t="array" ref="I1102">_xlfn.IFS(C1102&lt;=15,"Children and Young Adolescents", C1102&gt;64, "Seniors", TRUE, "Working Age")</f>
        <v>Working Age</v>
      </c>
      <c r="J1102" s="6">
        <f>VLOOKUP(F1102,Analysis!$F$1:$G$5,2,FALSE)</f>
        <v>2496.7676064256989</v>
      </c>
      <c r="K1102">
        <f t="shared" si="68"/>
        <v>279.33</v>
      </c>
      <c r="L1102">
        <f t="shared" si="69"/>
        <v>279.33999999999997</v>
      </c>
      <c r="M1102">
        <f t="shared" si="70"/>
        <v>279.33</v>
      </c>
      <c r="N1102" s="5" t="str">
        <f t="shared" si="71"/>
        <v>June 2022</v>
      </c>
    </row>
    <row r="1103" spans="1:14" x14ac:dyDescent="0.25">
      <c r="A1103" s="1">
        <v>44725</v>
      </c>
      <c r="B1103" t="s">
        <v>573</v>
      </c>
      <c r="C1103">
        <v>56</v>
      </c>
      <c r="D1103" t="s">
        <v>9</v>
      </c>
      <c r="E1103" t="s">
        <v>22</v>
      </c>
      <c r="F1103" t="s">
        <v>11</v>
      </c>
      <c r="G1103" t="s">
        <v>27</v>
      </c>
      <c r="H1103">
        <v>4209.13</v>
      </c>
      <c r="I1103" s="8" t="str" cm="1">
        <f t="array" ref="I1103">_xlfn.IFS(C1103&lt;=15,"Children and Young Adolescents", C1103&gt;64, "Seniors", TRUE, "Working Age")</f>
        <v>Working Age</v>
      </c>
      <c r="J1103" s="6">
        <f>VLOOKUP(F1103,Analysis!$F$1:$G$5,2,FALSE)</f>
        <v>2503.6022787783854</v>
      </c>
      <c r="K1103">
        <f t="shared" si="68"/>
        <v>4630.04</v>
      </c>
      <c r="L1103">
        <f t="shared" si="69"/>
        <v>4630.05</v>
      </c>
      <c r="M1103">
        <f t="shared" si="70"/>
        <v>4630.04</v>
      </c>
      <c r="N1103" s="5" t="str">
        <f t="shared" si="71"/>
        <v>June 2022</v>
      </c>
    </row>
    <row r="1104" spans="1:14" x14ac:dyDescent="0.25">
      <c r="A1104" s="1">
        <v>44725</v>
      </c>
      <c r="B1104" t="s">
        <v>4025</v>
      </c>
      <c r="C1104">
        <v>41</v>
      </c>
      <c r="D1104" t="s">
        <v>21</v>
      </c>
      <c r="E1104" t="s">
        <v>25</v>
      </c>
      <c r="F1104" t="s">
        <v>23</v>
      </c>
      <c r="G1104" t="s">
        <v>36</v>
      </c>
      <c r="H1104">
        <v>558.45000000000005</v>
      </c>
      <c r="I1104" s="8" t="str" cm="1">
        <f t="array" ref="I1104">_xlfn.IFS(C1104&lt;=15,"Children and Young Adolescents", C1104&gt;64, "Seniors", TRUE, "Working Age")</f>
        <v>Working Age</v>
      </c>
      <c r="J1104" s="6">
        <f>VLOOKUP(F1104,Analysis!$F$1:$G$5,2,FALSE)</f>
        <v>2440.2966694490838</v>
      </c>
      <c r="K1104">
        <f t="shared" si="68"/>
        <v>614.29</v>
      </c>
      <c r="L1104">
        <f t="shared" si="69"/>
        <v>614.29999999999995</v>
      </c>
      <c r="M1104">
        <f t="shared" si="70"/>
        <v>614.29999999999995</v>
      </c>
      <c r="N1104" s="5" t="str">
        <f t="shared" si="71"/>
        <v>June 2022</v>
      </c>
    </row>
    <row r="1105" spans="1:14" x14ac:dyDescent="0.25">
      <c r="A1105" s="1">
        <v>44725</v>
      </c>
      <c r="B1105" t="s">
        <v>49</v>
      </c>
      <c r="C1105">
        <v>52</v>
      </c>
      <c r="D1105" t="s">
        <v>9</v>
      </c>
      <c r="E1105" t="s">
        <v>22</v>
      </c>
      <c r="F1105" t="s">
        <v>16</v>
      </c>
      <c r="G1105" t="s">
        <v>39</v>
      </c>
      <c r="H1105">
        <v>630.16999999999996</v>
      </c>
      <c r="I1105" s="8" t="str" cm="1">
        <f t="array" ref="I1105">_xlfn.IFS(C1105&lt;=15,"Children and Young Adolescents", C1105&gt;64, "Seniors", TRUE, "Working Age")</f>
        <v>Working Age</v>
      </c>
      <c r="J1105" s="6">
        <f>VLOOKUP(F1105,Analysis!$F$1:$G$5,2,FALSE)</f>
        <v>2509.1716796874912</v>
      </c>
      <c r="K1105">
        <f t="shared" si="68"/>
        <v>693.18</v>
      </c>
      <c r="L1105">
        <f t="shared" si="69"/>
        <v>693.18999999999994</v>
      </c>
      <c r="M1105">
        <f t="shared" si="70"/>
        <v>693.19</v>
      </c>
      <c r="N1105" s="5" t="str">
        <f t="shared" si="71"/>
        <v>June 2022</v>
      </c>
    </row>
    <row r="1106" spans="1:14" x14ac:dyDescent="0.25">
      <c r="A1106" s="1">
        <v>44725</v>
      </c>
      <c r="B1106" t="s">
        <v>582</v>
      </c>
      <c r="C1106">
        <v>64</v>
      </c>
      <c r="D1106" t="s">
        <v>14</v>
      </c>
      <c r="E1106" t="s">
        <v>15</v>
      </c>
      <c r="F1106" t="s">
        <v>23</v>
      </c>
      <c r="G1106" t="s">
        <v>36</v>
      </c>
      <c r="H1106">
        <v>63.77</v>
      </c>
      <c r="I1106" s="8" t="str" cm="1">
        <f t="array" ref="I1106">_xlfn.IFS(C1106&lt;=15,"Children and Young Adolescents", C1106&gt;64, "Seniors", TRUE, "Working Age")</f>
        <v>Working Age</v>
      </c>
      <c r="J1106" s="6">
        <f>VLOOKUP(F1106,Analysis!$F$1:$G$5,2,FALSE)</f>
        <v>2440.2966694490838</v>
      </c>
      <c r="K1106">
        <f t="shared" si="68"/>
        <v>70.14</v>
      </c>
      <c r="L1106">
        <f t="shared" si="69"/>
        <v>70.150000000000006</v>
      </c>
      <c r="M1106">
        <f t="shared" si="70"/>
        <v>70.150000000000006</v>
      </c>
      <c r="N1106" s="5" t="str">
        <f t="shared" si="71"/>
        <v>June 2022</v>
      </c>
    </row>
    <row r="1107" spans="1:14" x14ac:dyDescent="0.25">
      <c r="A1107" s="1">
        <v>44725</v>
      </c>
      <c r="B1107" t="s">
        <v>1046</v>
      </c>
      <c r="C1107">
        <v>18</v>
      </c>
      <c r="D1107" t="s">
        <v>21</v>
      </c>
      <c r="E1107" t="s">
        <v>15</v>
      </c>
      <c r="F1107" t="s">
        <v>16</v>
      </c>
      <c r="G1107" t="s">
        <v>12</v>
      </c>
      <c r="H1107">
        <v>2216.81</v>
      </c>
      <c r="I1107" s="8" t="str" cm="1">
        <f t="array" ref="I1107">_xlfn.IFS(C1107&lt;=15,"Children and Young Adolescents", C1107&gt;64, "Seniors", TRUE, "Working Age")</f>
        <v>Working Age</v>
      </c>
      <c r="J1107" s="6">
        <f>VLOOKUP(F1107,Analysis!$F$1:$G$5,2,FALSE)</f>
        <v>2509.1716796874912</v>
      </c>
      <c r="K1107">
        <f t="shared" si="68"/>
        <v>2438.4899999999998</v>
      </c>
      <c r="L1107">
        <f t="shared" si="69"/>
        <v>2438.5</v>
      </c>
      <c r="M1107">
        <f t="shared" si="70"/>
        <v>2438.4899999999998</v>
      </c>
      <c r="N1107" s="5" t="str">
        <f t="shared" si="71"/>
        <v>June 2022</v>
      </c>
    </row>
    <row r="1108" spans="1:14" x14ac:dyDescent="0.25">
      <c r="A1108" s="1">
        <v>44725</v>
      </c>
      <c r="B1108" t="s">
        <v>141</v>
      </c>
      <c r="C1108">
        <v>11</v>
      </c>
      <c r="D1108" t="s">
        <v>9</v>
      </c>
      <c r="E1108" t="s">
        <v>32</v>
      </c>
      <c r="F1108" t="s">
        <v>23</v>
      </c>
      <c r="G1108" t="s">
        <v>17</v>
      </c>
      <c r="H1108">
        <v>3262.88</v>
      </c>
      <c r="I1108" s="8" t="str" cm="1">
        <f t="array" ref="I1108">_xlfn.IFS(C1108&lt;=15,"Children and Young Adolescents", C1108&gt;64, "Seniors", TRUE, "Working Age")</f>
        <v>Children and Young Adolescents</v>
      </c>
      <c r="J1108" s="6">
        <f>VLOOKUP(F1108,Analysis!$F$1:$G$5,2,FALSE)</f>
        <v>2440.2966694490838</v>
      </c>
      <c r="K1108">
        <f t="shared" si="68"/>
        <v>3589.16</v>
      </c>
      <c r="L1108">
        <f t="shared" si="69"/>
        <v>3589.17</v>
      </c>
      <c r="M1108">
        <f t="shared" si="70"/>
        <v>3589.17</v>
      </c>
      <c r="N1108" s="5" t="str">
        <f t="shared" si="71"/>
        <v>June 2022</v>
      </c>
    </row>
    <row r="1109" spans="1:14" x14ac:dyDescent="0.25">
      <c r="A1109" s="1">
        <v>44726</v>
      </c>
      <c r="B1109" t="s">
        <v>2807</v>
      </c>
      <c r="C1109">
        <v>41</v>
      </c>
      <c r="D1109" t="s">
        <v>9</v>
      </c>
      <c r="E1109" t="s">
        <v>2808</v>
      </c>
      <c r="F1109" t="s">
        <v>29</v>
      </c>
      <c r="G1109" t="s">
        <v>39</v>
      </c>
      <c r="H1109">
        <v>2805.91</v>
      </c>
      <c r="I1109" s="8" t="str" cm="1">
        <f t="array" ref="I1109">_xlfn.IFS(C1109&lt;=15,"Children and Young Adolescents", C1109&gt;64, "Seniors", TRUE, "Working Age")</f>
        <v>Working Age</v>
      </c>
      <c r="J1109" s="6">
        <f>VLOOKUP(F1109,Analysis!$F$1:$G$5,2,FALSE)</f>
        <v>2496.7676064256989</v>
      </c>
      <c r="K1109">
        <f t="shared" si="68"/>
        <v>3086.5</v>
      </c>
      <c r="L1109">
        <f t="shared" si="69"/>
        <v>3086.51</v>
      </c>
      <c r="M1109">
        <f t="shared" si="70"/>
        <v>3086.5</v>
      </c>
      <c r="N1109" s="5" t="str">
        <f t="shared" si="71"/>
        <v>June 2022</v>
      </c>
    </row>
    <row r="1110" spans="1:14" x14ac:dyDescent="0.25">
      <c r="A1110" s="1">
        <v>44726</v>
      </c>
      <c r="B1110" t="s">
        <v>4377</v>
      </c>
      <c r="C1110">
        <v>99</v>
      </c>
      <c r="D1110" t="s">
        <v>9</v>
      </c>
      <c r="E1110" t="s">
        <v>10</v>
      </c>
      <c r="F1110" t="s">
        <v>23</v>
      </c>
      <c r="G1110" t="s">
        <v>17</v>
      </c>
      <c r="H1110">
        <v>1507.32</v>
      </c>
      <c r="I1110" s="8" t="str" cm="1">
        <f t="array" ref="I1110">_xlfn.IFS(C1110&lt;=15,"Children and Young Adolescents", C1110&gt;64, "Seniors", TRUE, "Working Age")</f>
        <v>Seniors</v>
      </c>
      <c r="J1110" s="6">
        <f>VLOOKUP(F1110,Analysis!$F$1:$G$5,2,FALSE)</f>
        <v>2440.2966694490838</v>
      </c>
      <c r="K1110">
        <f t="shared" si="68"/>
        <v>1658.05</v>
      </c>
      <c r="L1110">
        <f t="shared" si="69"/>
        <v>1658.06</v>
      </c>
      <c r="M1110">
        <f t="shared" si="70"/>
        <v>1658.05</v>
      </c>
      <c r="N1110" s="5" t="str">
        <f t="shared" si="71"/>
        <v>June 2022</v>
      </c>
    </row>
    <row r="1111" spans="1:14" x14ac:dyDescent="0.25">
      <c r="A1111" s="1">
        <v>44726</v>
      </c>
      <c r="B1111" t="s">
        <v>3453</v>
      </c>
      <c r="C1111">
        <v>93</v>
      </c>
      <c r="D1111" t="s">
        <v>9</v>
      </c>
      <c r="E1111" t="s">
        <v>15</v>
      </c>
      <c r="F1111" t="s">
        <v>11</v>
      </c>
      <c r="G1111" t="s">
        <v>12</v>
      </c>
      <c r="H1111">
        <v>4557.17</v>
      </c>
      <c r="I1111" s="8" t="str" cm="1">
        <f t="array" ref="I1111">_xlfn.IFS(C1111&lt;=15,"Children and Young Adolescents", C1111&gt;64, "Seniors", TRUE, "Working Age")</f>
        <v>Seniors</v>
      </c>
      <c r="J1111" s="6">
        <f>VLOOKUP(F1111,Analysis!$F$1:$G$5,2,FALSE)</f>
        <v>2503.6022787783854</v>
      </c>
      <c r="K1111">
        <f t="shared" si="68"/>
        <v>5012.88</v>
      </c>
      <c r="L1111">
        <f t="shared" si="69"/>
        <v>5012.8900000000003</v>
      </c>
      <c r="M1111">
        <f t="shared" si="70"/>
        <v>5012.8900000000003</v>
      </c>
      <c r="N1111" s="5" t="str">
        <f t="shared" si="71"/>
        <v>June 2022</v>
      </c>
    </row>
    <row r="1112" spans="1:14" x14ac:dyDescent="0.25">
      <c r="A1112" s="1">
        <v>44726</v>
      </c>
      <c r="B1112" t="s">
        <v>1174</v>
      </c>
      <c r="C1112">
        <v>39</v>
      </c>
      <c r="D1112" t="s">
        <v>21</v>
      </c>
      <c r="E1112" t="s">
        <v>22</v>
      </c>
      <c r="F1112" t="s">
        <v>16</v>
      </c>
      <c r="G1112" t="s">
        <v>36</v>
      </c>
      <c r="H1112">
        <v>3600.21</v>
      </c>
      <c r="I1112" s="8" t="str" cm="1">
        <f t="array" ref="I1112">_xlfn.IFS(C1112&lt;=15,"Children and Young Adolescents", C1112&gt;64, "Seniors", TRUE, "Working Age")</f>
        <v>Working Age</v>
      </c>
      <c r="J1112" s="6">
        <f>VLOOKUP(F1112,Analysis!$F$1:$G$5,2,FALSE)</f>
        <v>2509.1716796874912</v>
      </c>
      <c r="K1112">
        <f t="shared" si="68"/>
        <v>3960.23</v>
      </c>
      <c r="L1112">
        <f t="shared" si="69"/>
        <v>3960.2400000000002</v>
      </c>
      <c r="M1112">
        <f t="shared" si="70"/>
        <v>3960.23</v>
      </c>
      <c r="N1112" s="5" t="str">
        <f t="shared" si="71"/>
        <v>June 2022</v>
      </c>
    </row>
    <row r="1113" spans="1:14" x14ac:dyDescent="0.25">
      <c r="A1113" s="1">
        <v>44726</v>
      </c>
      <c r="B1113" t="s">
        <v>558</v>
      </c>
      <c r="C1113">
        <v>26</v>
      </c>
      <c r="D1113" t="s">
        <v>21</v>
      </c>
      <c r="E1113" t="s">
        <v>10</v>
      </c>
      <c r="F1113" t="s">
        <v>29</v>
      </c>
      <c r="G1113" t="s">
        <v>5033</v>
      </c>
      <c r="H1113">
        <v>501.35</v>
      </c>
      <c r="I1113" s="8" t="str" cm="1">
        <f t="array" ref="I1113">_xlfn.IFS(C1113&lt;=15,"Children and Young Adolescents", C1113&gt;64, "Seniors", TRUE, "Working Age")</f>
        <v>Working Age</v>
      </c>
      <c r="J1113" s="6">
        <f>VLOOKUP(F1113,Analysis!$F$1:$G$5,2,FALSE)</f>
        <v>2496.7676064256989</v>
      </c>
      <c r="K1113">
        <f t="shared" si="68"/>
        <v>551.48</v>
      </c>
      <c r="L1113">
        <f t="shared" si="69"/>
        <v>551.49</v>
      </c>
      <c r="M1113">
        <f t="shared" si="70"/>
        <v>551.49</v>
      </c>
      <c r="N1113" s="5" t="str">
        <f t="shared" si="71"/>
        <v>June 2022</v>
      </c>
    </row>
    <row r="1114" spans="1:14" x14ac:dyDescent="0.25">
      <c r="A1114" s="1">
        <v>44726</v>
      </c>
      <c r="B1114" t="s">
        <v>4093</v>
      </c>
      <c r="C1114">
        <v>56</v>
      </c>
      <c r="D1114" t="s">
        <v>14</v>
      </c>
      <c r="E1114" t="s">
        <v>25</v>
      </c>
      <c r="F1114" t="s">
        <v>29</v>
      </c>
      <c r="G1114" t="s">
        <v>39</v>
      </c>
      <c r="H1114">
        <v>2930.6</v>
      </c>
      <c r="I1114" s="8" t="str" cm="1">
        <f t="array" ref="I1114">_xlfn.IFS(C1114&lt;=15,"Children and Young Adolescents", C1114&gt;64, "Seniors", TRUE, "Working Age")</f>
        <v>Working Age</v>
      </c>
      <c r="J1114" s="6">
        <f>VLOOKUP(F1114,Analysis!$F$1:$G$5,2,FALSE)</f>
        <v>2496.7676064256989</v>
      </c>
      <c r="K1114">
        <f t="shared" si="68"/>
        <v>3223.66</v>
      </c>
      <c r="L1114">
        <f t="shared" si="69"/>
        <v>3223.66</v>
      </c>
      <c r="M1114">
        <f t="shared" si="70"/>
        <v>3223.66</v>
      </c>
      <c r="N1114" s="5" t="str">
        <f t="shared" si="71"/>
        <v>June 2022</v>
      </c>
    </row>
    <row r="1115" spans="1:14" x14ac:dyDescent="0.25">
      <c r="A1115" s="1">
        <v>44726</v>
      </c>
      <c r="B1115" t="s">
        <v>2082</v>
      </c>
      <c r="C1115">
        <v>23</v>
      </c>
      <c r="D1115" t="s">
        <v>14</v>
      </c>
      <c r="E1115" t="s">
        <v>22</v>
      </c>
      <c r="F1115" t="s">
        <v>11</v>
      </c>
      <c r="G1115" t="s">
        <v>12</v>
      </c>
      <c r="H1115">
        <v>3701.08</v>
      </c>
      <c r="I1115" s="8" t="str" cm="1">
        <f t="array" ref="I1115">_xlfn.IFS(C1115&lt;=15,"Children and Young Adolescents", C1115&gt;64, "Seniors", TRUE, "Working Age")</f>
        <v>Working Age</v>
      </c>
      <c r="J1115" s="6">
        <f>VLOOKUP(F1115,Analysis!$F$1:$G$5,2,FALSE)</f>
        <v>2503.6022787783854</v>
      </c>
      <c r="K1115">
        <f t="shared" si="68"/>
        <v>4071.18</v>
      </c>
      <c r="L1115">
        <f t="shared" si="69"/>
        <v>4071.19</v>
      </c>
      <c r="M1115">
        <f t="shared" si="70"/>
        <v>4071.19</v>
      </c>
      <c r="N1115" s="5" t="str">
        <f t="shared" si="71"/>
        <v>June 2022</v>
      </c>
    </row>
    <row r="1116" spans="1:14" x14ac:dyDescent="0.25">
      <c r="A1116" s="1">
        <v>44727</v>
      </c>
      <c r="B1116" t="s">
        <v>996</v>
      </c>
      <c r="C1116">
        <v>29</v>
      </c>
      <c r="D1116" t="s">
        <v>14</v>
      </c>
      <c r="E1116" t="s">
        <v>15</v>
      </c>
      <c r="F1116" t="s">
        <v>16</v>
      </c>
      <c r="G1116" t="s">
        <v>12</v>
      </c>
      <c r="H1116">
        <v>3263.21</v>
      </c>
      <c r="I1116" s="8" t="str" cm="1">
        <f t="array" ref="I1116">_xlfn.IFS(C1116&lt;=15,"Children and Young Adolescents", C1116&gt;64, "Seniors", TRUE, "Working Age")</f>
        <v>Working Age</v>
      </c>
      <c r="J1116" s="6">
        <f>VLOOKUP(F1116,Analysis!$F$1:$G$5,2,FALSE)</f>
        <v>2509.1716796874912</v>
      </c>
      <c r="K1116">
        <f t="shared" si="68"/>
        <v>3589.53</v>
      </c>
      <c r="L1116">
        <f t="shared" si="69"/>
        <v>3589.5400000000004</v>
      </c>
      <c r="M1116">
        <f t="shared" si="70"/>
        <v>3589.53</v>
      </c>
      <c r="N1116" s="5" t="str">
        <f t="shared" si="71"/>
        <v>June 2022</v>
      </c>
    </row>
    <row r="1117" spans="1:14" x14ac:dyDescent="0.25">
      <c r="A1117" s="1">
        <v>44727</v>
      </c>
      <c r="B1117" t="s">
        <v>3528</v>
      </c>
      <c r="C1117">
        <v>15</v>
      </c>
      <c r="D1117" t="s">
        <v>9</v>
      </c>
      <c r="E1117" t="s">
        <v>34</v>
      </c>
      <c r="F1117" t="s">
        <v>16</v>
      </c>
      <c r="G1117" t="s">
        <v>17</v>
      </c>
      <c r="H1117">
        <v>1580.92</v>
      </c>
      <c r="I1117" s="8" t="str" cm="1">
        <f t="array" ref="I1117">_xlfn.IFS(C1117&lt;=15,"Children and Young Adolescents", C1117&gt;64, "Seniors", TRUE, "Working Age")</f>
        <v>Children and Young Adolescents</v>
      </c>
      <c r="J1117" s="6">
        <f>VLOOKUP(F1117,Analysis!$F$1:$G$5,2,FALSE)</f>
        <v>2509.1716796874912</v>
      </c>
      <c r="K1117">
        <f t="shared" si="68"/>
        <v>1739.01</v>
      </c>
      <c r="L1117">
        <f t="shared" si="69"/>
        <v>1739.02</v>
      </c>
      <c r="M1117">
        <f t="shared" si="70"/>
        <v>1739.01</v>
      </c>
      <c r="N1117" s="5" t="str">
        <f t="shared" si="71"/>
        <v>June 2022</v>
      </c>
    </row>
    <row r="1118" spans="1:14" x14ac:dyDescent="0.25">
      <c r="A1118" s="1">
        <v>44727</v>
      </c>
      <c r="B1118" t="s">
        <v>2293</v>
      </c>
      <c r="C1118">
        <v>20</v>
      </c>
      <c r="D1118" t="s">
        <v>9</v>
      </c>
      <c r="E1118" t="s">
        <v>5032</v>
      </c>
      <c r="F1118" t="s">
        <v>11</v>
      </c>
      <c r="G1118" t="s">
        <v>17</v>
      </c>
      <c r="H1118">
        <v>786.12</v>
      </c>
      <c r="I1118" s="8" t="str" cm="1">
        <f t="array" ref="I1118">_xlfn.IFS(C1118&lt;=15,"Children and Young Adolescents", C1118&gt;64, "Seniors", TRUE, "Working Age")</f>
        <v>Working Age</v>
      </c>
      <c r="J1118" s="6">
        <f>VLOOKUP(F1118,Analysis!$F$1:$G$5,2,FALSE)</f>
        <v>2503.6022787783854</v>
      </c>
      <c r="K1118">
        <f t="shared" si="68"/>
        <v>864.73</v>
      </c>
      <c r="L1118">
        <f t="shared" si="69"/>
        <v>864.74</v>
      </c>
      <c r="M1118">
        <f t="shared" si="70"/>
        <v>864.73</v>
      </c>
      <c r="N1118" s="5" t="str">
        <f t="shared" si="71"/>
        <v>June 2022</v>
      </c>
    </row>
    <row r="1119" spans="1:14" x14ac:dyDescent="0.25">
      <c r="A1119" s="1">
        <v>44727</v>
      </c>
      <c r="B1119" t="s">
        <v>4902</v>
      </c>
      <c r="C1119">
        <v>27</v>
      </c>
      <c r="D1119" t="s">
        <v>14</v>
      </c>
      <c r="E1119" t="s">
        <v>19</v>
      </c>
      <c r="F1119" t="s">
        <v>16</v>
      </c>
      <c r="G1119" t="s">
        <v>12</v>
      </c>
      <c r="H1119">
        <v>3507.68</v>
      </c>
      <c r="I1119" s="8" t="str" cm="1">
        <f t="array" ref="I1119">_xlfn.IFS(C1119&lt;=15,"Children and Young Adolescents", C1119&gt;64, "Seniors", TRUE, "Working Age")</f>
        <v>Working Age</v>
      </c>
      <c r="J1119" s="6">
        <f>VLOOKUP(F1119,Analysis!$F$1:$G$5,2,FALSE)</f>
        <v>2509.1716796874912</v>
      </c>
      <c r="K1119">
        <f t="shared" si="68"/>
        <v>3858.44</v>
      </c>
      <c r="L1119">
        <f t="shared" si="69"/>
        <v>3858.4500000000003</v>
      </c>
      <c r="M1119">
        <f t="shared" si="70"/>
        <v>3858.45</v>
      </c>
      <c r="N1119" s="5" t="str">
        <f t="shared" si="71"/>
        <v>June 2022</v>
      </c>
    </row>
    <row r="1120" spans="1:14" x14ac:dyDescent="0.25">
      <c r="A1120" s="1">
        <v>44727</v>
      </c>
      <c r="B1120" t="s">
        <v>2936</v>
      </c>
      <c r="C1120">
        <v>58</v>
      </c>
      <c r="D1120" t="s">
        <v>21</v>
      </c>
      <c r="E1120" t="s">
        <v>15</v>
      </c>
      <c r="F1120" t="s">
        <v>11</v>
      </c>
      <c r="G1120" t="s">
        <v>36</v>
      </c>
      <c r="H1120">
        <v>2346.2399999999998</v>
      </c>
      <c r="I1120" s="8" t="str" cm="1">
        <f t="array" ref="I1120">_xlfn.IFS(C1120&lt;=15,"Children and Young Adolescents", C1120&gt;64, "Seniors", TRUE, "Working Age")</f>
        <v>Working Age</v>
      </c>
      <c r="J1120" s="6">
        <f>VLOOKUP(F1120,Analysis!$F$1:$G$5,2,FALSE)</f>
        <v>2503.6022787783854</v>
      </c>
      <c r="K1120">
        <f t="shared" si="68"/>
        <v>2580.86</v>
      </c>
      <c r="L1120">
        <f t="shared" si="69"/>
        <v>2580.8700000000003</v>
      </c>
      <c r="M1120">
        <f t="shared" si="70"/>
        <v>2580.86</v>
      </c>
      <c r="N1120" s="5" t="str">
        <f t="shared" si="71"/>
        <v>June 2022</v>
      </c>
    </row>
    <row r="1121" spans="1:14" x14ac:dyDescent="0.25">
      <c r="A1121" s="1">
        <v>44727</v>
      </c>
      <c r="B1121" t="s">
        <v>1241</v>
      </c>
      <c r="C1121">
        <v>43</v>
      </c>
      <c r="D1121" t="s">
        <v>21</v>
      </c>
      <c r="E1121" t="s">
        <v>15</v>
      </c>
      <c r="F1121" t="s">
        <v>23</v>
      </c>
      <c r="G1121" t="s">
        <v>12</v>
      </c>
      <c r="H1121">
        <v>21.51</v>
      </c>
      <c r="I1121" s="8" t="str" cm="1">
        <f t="array" ref="I1121">_xlfn.IFS(C1121&lt;=15,"Children and Young Adolescents", C1121&gt;64, "Seniors", TRUE, "Working Age")</f>
        <v>Working Age</v>
      </c>
      <c r="J1121" s="6">
        <f>VLOOKUP(F1121,Analysis!$F$1:$G$5,2,FALSE)</f>
        <v>2440.2966694490838</v>
      </c>
      <c r="K1121">
        <f t="shared" si="68"/>
        <v>23.66</v>
      </c>
      <c r="L1121">
        <f t="shared" si="69"/>
        <v>23.67</v>
      </c>
      <c r="M1121">
        <f t="shared" si="70"/>
        <v>23.66</v>
      </c>
      <c r="N1121" s="5" t="str">
        <f t="shared" si="71"/>
        <v>June 2022</v>
      </c>
    </row>
    <row r="1122" spans="1:14" x14ac:dyDescent="0.25">
      <c r="A1122" s="1">
        <v>44727</v>
      </c>
      <c r="B1122" t="s">
        <v>2212</v>
      </c>
      <c r="C1122">
        <v>84</v>
      </c>
      <c r="D1122" t="s">
        <v>21</v>
      </c>
      <c r="E1122" t="s">
        <v>10</v>
      </c>
      <c r="F1122" t="s">
        <v>16</v>
      </c>
      <c r="G1122" t="s">
        <v>36</v>
      </c>
      <c r="H1122">
        <v>4909.88</v>
      </c>
      <c r="I1122" s="8" t="str" cm="1">
        <f t="array" ref="I1122">_xlfn.IFS(C1122&lt;=15,"Children and Young Adolescents", C1122&gt;64, "Seniors", TRUE, "Working Age")</f>
        <v>Seniors</v>
      </c>
      <c r="J1122" s="6">
        <f>VLOOKUP(F1122,Analysis!$F$1:$G$5,2,FALSE)</f>
        <v>2509.1716796874912</v>
      </c>
      <c r="K1122">
        <f t="shared" si="68"/>
        <v>5400.86</v>
      </c>
      <c r="L1122">
        <f t="shared" si="69"/>
        <v>5400.87</v>
      </c>
      <c r="M1122">
        <f t="shared" si="70"/>
        <v>5400.87</v>
      </c>
      <c r="N1122" s="5" t="str">
        <f t="shared" si="71"/>
        <v>June 2022</v>
      </c>
    </row>
    <row r="1123" spans="1:14" x14ac:dyDescent="0.25">
      <c r="A1123" s="1">
        <v>44728</v>
      </c>
      <c r="B1123" t="s">
        <v>865</v>
      </c>
      <c r="C1123">
        <v>53</v>
      </c>
      <c r="D1123" t="s">
        <v>9</v>
      </c>
      <c r="E1123" t="s">
        <v>32</v>
      </c>
      <c r="F1123" t="s">
        <v>23</v>
      </c>
      <c r="G1123" t="s">
        <v>36</v>
      </c>
      <c r="H1123">
        <v>4813.84</v>
      </c>
      <c r="I1123" s="8" t="str" cm="1">
        <f t="array" ref="I1123">_xlfn.IFS(C1123&lt;=15,"Children and Young Adolescents", C1123&gt;64, "Seniors", TRUE, "Working Age")</f>
        <v>Working Age</v>
      </c>
      <c r="J1123" s="6">
        <f>VLOOKUP(F1123,Analysis!$F$1:$G$5,2,FALSE)</f>
        <v>2440.2966694490838</v>
      </c>
      <c r="K1123">
        <f t="shared" si="68"/>
        <v>5295.22</v>
      </c>
      <c r="L1123">
        <f t="shared" si="69"/>
        <v>5295.2300000000005</v>
      </c>
      <c r="M1123">
        <f t="shared" si="70"/>
        <v>5295.22</v>
      </c>
      <c r="N1123" s="5" t="str">
        <f t="shared" si="71"/>
        <v>June 2022</v>
      </c>
    </row>
    <row r="1124" spans="1:14" x14ac:dyDescent="0.25">
      <c r="A1124" s="1">
        <v>44728</v>
      </c>
      <c r="B1124" t="s">
        <v>130</v>
      </c>
      <c r="C1124">
        <v>71</v>
      </c>
      <c r="D1124" t="s">
        <v>21</v>
      </c>
      <c r="E1124" t="s">
        <v>19</v>
      </c>
      <c r="F1124" t="s">
        <v>23</v>
      </c>
      <c r="G1124" t="s">
        <v>36</v>
      </c>
      <c r="H1124">
        <v>2965.25</v>
      </c>
      <c r="I1124" s="8" t="str" cm="1">
        <f t="array" ref="I1124">_xlfn.IFS(C1124&lt;=15,"Children and Young Adolescents", C1124&gt;64, "Seniors", TRUE, "Working Age")</f>
        <v>Seniors</v>
      </c>
      <c r="J1124" s="6">
        <f>VLOOKUP(F1124,Analysis!$F$1:$G$5,2,FALSE)</f>
        <v>2440.2966694490838</v>
      </c>
      <c r="K1124">
        <f t="shared" si="68"/>
        <v>3261.77</v>
      </c>
      <c r="L1124">
        <f t="shared" si="69"/>
        <v>3261.78</v>
      </c>
      <c r="M1124">
        <f t="shared" si="70"/>
        <v>3261.78</v>
      </c>
      <c r="N1124" s="5" t="str">
        <f t="shared" si="71"/>
        <v>June 2022</v>
      </c>
    </row>
    <row r="1125" spans="1:14" x14ac:dyDescent="0.25">
      <c r="A1125" s="1">
        <v>44728</v>
      </c>
      <c r="B1125" t="s">
        <v>3377</v>
      </c>
      <c r="C1125">
        <v>12</v>
      </c>
      <c r="D1125" t="s">
        <v>21</v>
      </c>
      <c r="E1125" t="s">
        <v>19</v>
      </c>
      <c r="F1125" t="s">
        <v>23</v>
      </c>
      <c r="G1125" t="s">
        <v>36</v>
      </c>
      <c r="H1125">
        <v>2720.63</v>
      </c>
      <c r="I1125" s="8" t="str" cm="1">
        <f t="array" ref="I1125">_xlfn.IFS(C1125&lt;=15,"Children and Young Adolescents", C1125&gt;64, "Seniors", TRUE, "Working Age")</f>
        <v>Children and Young Adolescents</v>
      </c>
      <c r="J1125" s="6">
        <f>VLOOKUP(F1125,Analysis!$F$1:$G$5,2,FALSE)</f>
        <v>2440.2966694490838</v>
      </c>
      <c r="K1125">
        <f t="shared" si="68"/>
        <v>2992.69</v>
      </c>
      <c r="L1125">
        <f t="shared" si="69"/>
        <v>2992.7000000000003</v>
      </c>
      <c r="M1125">
        <f t="shared" si="70"/>
        <v>2992.69</v>
      </c>
      <c r="N1125" s="5" t="str">
        <f t="shared" si="71"/>
        <v>June 2022</v>
      </c>
    </row>
    <row r="1126" spans="1:14" x14ac:dyDescent="0.25">
      <c r="A1126" s="1">
        <v>44728</v>
      </c>
      <c r="B1126" t="s">
        <v>587</v>
      </c>
      <c r="C1126">
        <v>50</v>
      </c>
      <c r="D1126" t="s">
        <v>14</v>
      </c>
      <c r="E1126" t="s">
        <v>5032</v>
      </c>
      <c r="F1126" t="s">
        <v>11</v>
      </c>
      <c r="G1126" t="s">
        <v>39</v>
      </c>
      <c r="H1126">
        <v>2858.8</v>
      </c>
      <c r="I1126" s="8" t="str" cm="1">
        <f t="array" ref="I1126">_xlfn.IFS(C1126&lt;=15,"Children and Young Adolescents", C1126&gt;64, "Seniors", TRUE, "Working Age")</f>
        <v>Working Age</v>
      </c>
      <c r="J1126" s="6">
        <f>VLOOKUP(F1126,Analysis!$F$1:$G$5,2,FALSE)</f>
        <v>2503.6022787783854</v>
      </c>
      <c r="K1126">
        <f t="shared" si="68"/>
        <v>3144.68</v>
      </c>
      <c r="L1126">
        <f t="shared" si="69"/>
        <v>3144.68</v>
      </c>
      <c r="M1126">
        <f t="shared" si="70"/>
        <v>3144.68</v>
      </c>
      <c r="N1126" s="5" t="str">
        <f t="shared" si="71"/>
        <v>June 2022</v>
      </c>
    </row>
    <row r="1127" spans="1:14" x14ac:dyDescent="0.25">
      <c r="A1127" s="1">
        <v>44728</v>
      </c>
      <c r="B1127" t="s">
        <v>4297</v>
      </c>
      <c r="C1127">
        <v>90</v>
      </c>
      <c r="D1127" t="s">
        <v>14</v>
      </c>
      <c r="E1127" t="s">
        <v>10</v>
      </c>
      <c r="F1127" t="s">
        <v>16</v>
      </c>
      <c r="G1127" t="s">
        <v>36</v>
      </c>
      <c r="H1127">
        <v>3922.07</v>
      </c>
      <c r="I1127" s="8" t="str" cm="1">
        <f t="array" ref="I1127">_xlfn.IFS(C1127&lt;=15,"Children and Young Adolescents", C1127&gt;64, "Seniors", TRUE, "Working Age")</f>
        <v>Seniors</v>
      </c>
      <c r="J1127" s="6">
        <f>VLOOKUP(F1127,Analysis!$F$1:$G$5,2,FALSE)</f>
        <v>2509.1716796874912</v>
      </c>
      <c r="K1127">
        <f t="shared" si="68"/>
        <v>4314.2700000000004</v>
      </c>
      <c r="L1127">
        <f t="shared" si="69"/>
        <v>4314.2800000000007</v>
      </c>
      <c r="M1127">
        <f t="shared" si="70"/>
        <v>4314.28</v>
      </c>
      <c r="N1127" s="5" t="str">
        <f t="shared" si="71"/>
        <v>June 2022</v>
      </c>
    </row>
    <row r="1128" spans="1:14" x14ac:dyDescent="0.25">
      <c r="A1128" s="1">
        <v>44729</v>
      </c>
      <c r="B1128" t="s">
        <v>448</v>
      </c>
      <c r="C1128">
        <v>56</v>
      </c>
      <c r="D1128" t="s">
        <v>9</v>
      </c>
      <c r="E1128" t="s">
        <v>5032</v>
      </c>
      <c r="F1128" t="s">
        <v>23</v>
      </c>
      <c r="G1128" t="s">
        <v>27</v>
      </c>
      <c r="H1128">
        <v>2052.46</v>
      </c>
      <c r="I1128" s="8" t="str" cm="1">
        <f t="array" ref="I1128">_xlfn.IFS(C1128&lt;=15,"Children and Young Adolescents", C1128&gt;64, "Seniors", TRUE, "Working Age")</f>
        <v>Working Age</v>
      </c>
      <c r="J1128" s="6">
        <f>VLOOKUP(F1128,Analysis!$F$1:$G$5,2,FALSE)</f>
        <v>2440.2966694490838</v>
      </c>
      <c r="K1128">
        <f t="shared" si="68"/>
        <v>2257.6999999999998</v>
      </c>
      <c r="L1128">
        <f t="shared" si="69"/>
        <v>2257.71</v>
      </c>
      <c r="M1128">
        <f t="shared" si="70"/>
        <v>2257.71</v>
      </c>
      <c r="N1128" s="5" t="str">
        <f t="shared" si="71"/>
        <v>June 2022</v>
      </c>
    </row>
    <row r="1129" spans="1:14" x14ac:dyDescent="0.25">
      <c r="A1129" s="1">
        <v>44729</v>
      </c>
      <c r="B1129" t="s">
        <v>1510</v>
      </c>
      <c r="C1129">
        <v>3</v>
      </c>
      <c r="D1129" t="s">
        <v>14</v>
      </c>
      <c r="E1129" t="s">
        <v>10</v>
      </c>
      <c r="F1129" t="s">
        <v>16</v>
      </c>
      <c r="G1129" t="s">
        <v>39</v>
      </c>
      <c r="H1129">
        <v>2563.64</v>
      </c>
      <c r="I1129" s="8" t="str" cm="1">
        <f t="array" ref="I1129">_xlfn.IFS(C1129&lt;=15,"Children and Young Adolescents", C1129&gt;64, "Seniors", TRUE, "Working Age")</f>
        <v>Children and Young Adolescents</v>
      </c>
      <c r="J1129" s="6">
        <f>VLOOKUP(F1129,Analysis!$F$1:$G$5,2,FALSE)</f>
        <v>2509.1716796874912</v>
      </c>
      <c r="K1129">
        <f t="shared" si="68"/>
        <v>2820</v>
      </c>
      <c r="L1129">
        <f t="shared" si="69"/>
        <v>2820.01</v>
      </c>
      <c r="M1129">
        <f t="shared" si="70"/>
        <v>2820</v>
      </c>
      <c r="N1129" s="5" t="str">
        <f t="shared" si="71"/>
        <v>June 2022</v>
      </c>
    </row>
    <row r="1130" spans="1:14" x14ac:dyDescent="0.25">
      <c r="A1130" s="1">
        <v>44729</v>
      </c>
      <c r="B1130" t="s">
        <v>1755</v>
      </c>
      <c r="C1130">
        <v>7</v>
      </c>
      <c r="D1130" t="s">
        <v>14</v>
      </c>
      <c r="E1130" t="s">
        <v>15</v>
      </c>
      <c r="F1130" t="s">
        <v>23</v>
      </c>
      <c r="G1130" t="s">
        <v>12</v>
      </c>
      <c r="H1130">
        <v>3911.17</v>
      </c>
      <c r="I1130" s="8" t="str" cm="1">
        <f t="array" ref="I1130">_xlfn.IFS(C1130&lt;=15,"Children and Young Adolescents", C1130&gt;64, "Seniors", TRUE, "Working Age")</f>
        <v>Children and Young Adolescents</v>
      </c>
      <c r="J1130" s="6">
        <f>VLOOKUP(F1130,Analysis!$F$1:$G$5,2,FALSE)</f>
        <v>2440.2966694490838</v>
      </c>
      <c r="K1130">
        <f t="shared" si="68"/>
        <v>4302.28</v>
      </c>
      <c r="L1130">
        <f t="shared" si="69"/>
        <v>4302.29</v>
      </c>
      <c r="M1130">
        <f t="shared" si="70"/>
        <v>4302.29</v>
      </c>
      <c r="N1130" s="5" t="str">
        <f t="shared" si="71"/>
        <v>June 2022</v>
      </c>
    </row>
    <row r="1131" spans="1:14" x14ac:dyDescent="0.25">
      <c r="A1131" s="1">
        <v>44729</v>
      </c>
      <c r="B1131" t="s">
        <v>4941</v>
      </c>
      <c r="C1131">
        <v>72</v>
      </c>
      <c r="D1131" t="s">
        <v>14</v>
      </c>
      <c r="E1131" t="s">
        <v>25</v>
      </c>
      <c r="F1131" t="s">
        <v>29</v>
      </c>
      <c r="G1131" t="s">
        <v>36</v>
      </c>
      <c r="H1131">
        <v>3845.24</v>
      </c>
      <c r="I1131" s="8" t="str" cm="1">
        <f t="array" ref="I1131">_xlfn.IFS(C1131&lt;=15,"Children and Young Adolescents", C1131&gt;64, "Seniors", TRUE, "Working Age")</f>
        <v>Seniors</v>
      </c>
      <c r="J1131" s="6">
        <f>VLOOKUP(F1131,Analysis!$F$1:$G$5,2,FALSE)</f>
        <v>2496.7676064256989</v>
      </c>
      <c r="K1131">
        <f t="shared" si="68"/>
        <v>4229.76</v>
      </c>
      <c r="L1131">
        <f t="shared" si="69"/>
        <v>4229.7700000000004</v>
      </c>
      <c r="M1131">
        <f t="shared" si="70"/>
        <v>4229.76</v>
      </c>
      <c r="N1131" s="5" t="str">
        <f t="shared" si="71"/>
        <v>June 2022</v>
      </c>
    </row>
    <row r="1132" spans="1:14" x14ac:dyDescent="0.25">
      <c r="A1132" s="1">
        <v>44729</v>
      </c>
      <c r="B1132" t="s">
        <v>4603</v>
      </c>
      <c r="C1132">
        <v>87</v>
      </c>
      <c r="D1132" t="s">
        <v>21</v>
      </c>
      <c r="E1132" t="s">
        <v>34</v>
      </c>
      <c r="F1132" t="s">
        <v>11</v>
      </c>
      <c r="G1132" t="s">
        <v>27</v>
      </c>
      <c r="H1132">
        <v>3880.91</v>
      </c>
      <c r="I1132" s="8" t="str" cm="1">
        <f t="array" ref="I1132">_xlfn.IFS(C1132&lt;=15,"Children and Young Adolescents", C1132&gt;64, "Seniors", TRUE, "Working Age")</f>
        <v>Seniors</v>
      </c>
      <c r="J1132" s="6">
        <f>VLOOKUP(F1132,Analysis!$F$1:$G$5,2,FALSE)</f>
        <v>2503.6022787783854</v>
      </c>
      <c r="K1132">
        <f t="shared" si="68"/>
        <v>4269</v>
      </c>
      <c r="L1132">
        <f t="shared" si="69"/>
        <v>4269.01</v>
      </c>
      <c r="M1132">
        <f t="shared" si="70"/>
        <v>4269</v>
      </c>
      <c r="N1132" s="5" t="str">
        <f t="shared" si="71"/>
        <v>June 2022</v>
      </c>
    </row>
    <row r="1133" spans="1:14" x14ac:dyDescent="0.25">
      <c r="A1133" s="1">
        <v>44729</v>
      </c>
      <c r="B1133" t="s">
        <v>4681</v>
      </c>
      <c r="C1133">
        <v>20</v>
      </c>
      <c r="D1133" t="s">
        <v>9</v>
      </c>
      <c r="E1133" t="s">
        <v>22</v>
      </c>
      <c r="F1133" t="s">
        <v>29</v>
      </c>
      <c r="G1133" t="s">
        <v>27</v>
      </c>
      <c r="H1133">
        <v>1295.83</v>
      </c>
      <c r="I1133" s="8" t="str" cm="1">
        <f t="array" ref="I1133">_xlfn.IFS(C1133&lt;=15,"Children and Young Adolescents", C1133&gt;64, "Seniors", TRUE, "Working Age")</f>
        <v>Working Age</v>
      </c>
      <c r="J1133" s="6">
        <f>VLOOKUP(F1133,Analysis!$F$1:$G$5,2,FALSE)</f>
        <v>2496.7676064256989</v>
      </c>
      <c r="K1133">
        <f t="shared" si="68"/>
        <v>1425.41</v>
      </c>
      <c r="L1133">
        <f t="shared" si="69"/>
        <v>1425.42</v>
      </c>
      <c r="M1133">
        <f t="shared" si="70"/>
        <v>1425.41</v>
      </c>
      <c r="N1133" s="5" t="str">
        <f t="shared" si="71"/>
        <v>June 2022</v>
      </c>
    </row>
    <row r="1134" spans="1:14" x14ac:dyDescent="0.25">
      <c r="A1134" s="1">
        <v>44730</v>
      </c>
      <c r="B1134" t="s">
        <v>408</v>
      </c>
      <c r="C1134">
        <v>79</v>
      </c>
      <c r="D1134" t="s">
        <v>14</v>
      </c>
      <c r="E1134" t="s">
        <v>10</v>
      </c>
      <c r="F1134" t="s">
        <v>23</v>
      </c>
      <c r="G1134" t="s">
        <v>36</v>
      </c>
      <c r="H1134">
        <v>4293.8999999999996</v>
      </c>
      <c r="I1134" s="8" t="str" cm="1">
        <f t="array" ref="I1134">_xlfn.IFS(C1134&lt;=15,"Children and Young Adolescents", C1134&gt;64, "Seniors", TRUE, "Working Age")</f>
        <v>Seniors</v>
      </c>
      <c r="J1134" s="6">
        <f>VLOOKUP(F1134,Analysis!$F$1:$G$5,2,FALSE)</f>
        <v>2440.2966694490838</v>
      </c>
      <c r="K1134">
        <f t="shared" si="68"/>
        <v>4723.29</v>
      </c>
      <c r="L1134">
        <f t="shared" si="69"/>
        <v>4723.29</v>
      </c>
      <c r="M1134">
        <f t="shared" si="70"/>
        <v>4723.29</v>
      </c>
      <c r="N1134" s="5" t="str">
        <f t="shared" si="71"/>
        <v>June 2022</v>
      </c>
    </row>
    <row r="1135" spans="1:14" x14ac:dyDescent="0.25">
      <c r="A1135" s="1">
        <v>44731</v>
      </c>
      <c r="B1135" t="s">
        <v>1070</v>
      </c>
      <c r="C1135">
        <v>71</v>
      </c>
      <c r="D1135" t="s">
        <v>14</v>
      </c>
      <c r="E1135" t="s">
        <v>10</v>
      </c>
      <c r="F1135" t="s">
        <v>23</v>
      </c>
      <c r="G1135" t="s">
        <v>12</v>
      </c>
      <c r="H1135">
        <v>3859.8</v>
      </c>
      <c r="I1135" s="8" t="str" cm="1">
        <f t="array" ref="I1135">_xlfn.IFS(C1135&lt;=15,"Children and Young Adolescents", C1135&gt;64, "Seniors", TRUE, "Working Age")</f>
        <v>Seniors</v>
      </c>
      <c r="J1135" s="6">
        <f>VLOOKUP(F1135,Analysis!$F$1:$G$5,2,FALSE)</f>
        <v>2440.2966694490838</v>
      </c>
      <c r="K1135">
        <f t="shared" si="68"/>
        <v>4245.78</v>
      </c>
      <c r="L1135">
        <f t="shared" si="69"/>
        <v>4245.78</v>
      </c>
      <c r="M1135">
        <f t="shared" si="70"/>
        <v>4245.78</v>
      </c>
      <c r="N1135" s="5" t="str">
        <f t="shared" si="71"/>
        <v>June 2022</v>
      </c>
    </row>
    <row r="1136" spans="1:14" x14ac:dyDescent="0.25">
      <c r="A1136" s="1">
        <v>44731</v>
      </c>
      <c r="B1136" t="s">
        <v>4746</v>
      </c>
      <c r="C1136">
        <v>38</v>
      </c>
      <c r="D1136" t="s">
        <v>14</v>
      </c>
      <c r="E1136" t="s">
        <v>19</v>
      </c>
      <c r="F1136" t="s">
        <v>16</v>
      </c>
      <c r="G1136" t="s">
        <v>39</v>
      </c>
      <c r="H1136">
        <v>2024.85</v>
      </c>
      <c r="I1136" s="8" t="str" cm="1">
        <f t="array" ref="I1136">_xlfn.IFS(C1136&lt;=15,"Children and Young Adolescents", C1136&gt;64, "Seniors", TRUE, "Working Age")</f>
        <v>Working Age</v>
      </c>
      <c r="J1136" s="6">
        <f>VLOOKUP(F1136,Analysis!$F$1:$G$5,2,FALSE)</f>
        <v>2509.1716796874912</v>
      </c>
      <c r="K1136">
        <f t="shared" si="68"/>
        <v>2227.33</v>
      </c>
      <c r="L1136">
        <f t="shared" si="69"/>
        <v>2227.34</v>
      </c>
      <c r="M1136">
        <f t="shared" si="70"/>
        <v>2227.34</v>
      </c>
      <c r="N1136" s="5" t="str">
        <f t="shared" si="71"/>
        <v>June 2022</v>
      </c>
    </row>
    <row r="1137" spans="1:14" x14ac:dyDescent="0.25">
      <c r="A1137" s="1">
        <v>44731</v>
      </c>
      <c r="B1137" t="s">
        <v>2388</v>
      </c>
      <c r="C1137">
        <v>60</v>
      </c>
      <c r="D1137" t="s">
        <v>14</v>
      </c>
      <c r="E1137" t="s">
        <v>15</v>
      </c>
      <c r="F1137" t="s">
        <v>23</v>
      </c>
      <c r="G1137" t="s">
        <v>17</v>
      </c>
      <c r="H1137">
        <v>4518.2299999999996</v>
      </c>
      <c r="I1137" s="8" t="str" cm="1">
        <f t="array" ref="I1137">_xlfn.IFS(C1137&lt;=15,"Children and Young Adolescents", C1137&gt;64, "Seniors", TRUE, "Working Age")</f>
        <v>Working Age</v>
      </c>
      <c r="J1137" s="6">
        <f>VLOOKUP(F1137,Analysis!$F$1:$G$5,2,FALSE)</f>
        <v>2440.2966694490838</v>
      </c>
      <c r="K1137">
        <f t="shared" si="68"/>
        <v>4970.05</v>
      </c>
      <c r="L1137">
        <f t="shared" si="69"/>
        <v>4970.0600000000004</v>
      </c>
      <c r="M1137">
        <f t="shared" si="70"/>
        <v>4970.05</v>
      </c>
      <c r="N1137" s="5" t="str">
        <f t="shared" si="71"/>
        <v>June 2022</v>
      </c>
    </row>
    <row r="1138" spans="1:14" x14ac:dyDescent="0.25">
      <c r="A1138" s="1">
        <v>44731</v>
      </c>
      <c r="B1138" t="s">
        <v>1603</v>
      </c>
      <c r="C1138">
        <v>55</v>
      </c>
      <c r="D1138" t="s">
        <v>21</v>
      </c>
      <c r="E1138" t="s">
        <v>22</v>
      </c>
      <c r="F1138" t="s">
        <v>11</v>
      </c>
      <c r="G1138" t="s">
        <v>27</v>
      </c>
      <c r="H1138">
        <v>2746.56</v>
      </c>
      <c r="I1138" s="8" t="str" cm="1">
        <f t="array" ref="I1138">_xlfn.IFS(C1138&lt;=15,"Children and Young Adolescents", C1138&gt;64, "Seniors", TRUE, "Working Age")</f>
        <v>Working Age</v>
      </c>
      <c r="J1138" s="6">
        <f>VLOOKUP(F1138,Analysis!$F$1:$G$5,2,FALSE)</f>
        <v>2503.6022787783854</v>
      </c>
      <c r="K1138">
        <f t="shared" si="68"/>
        <v>3021.21</v>
      </c>
      <c r="L1138">
        <f t="shared" si="69"/>
        <v>3021.2200000000003</v>
      </c>
      <c r="M1138">
        <f t="shared" si="70"/>
        <v>3021.22</v>
      </c>
      <c r="N1138" s="5" t="str">
        <f t="shared" si="71"/>
        <v>June 2022</v>
      </c>
    </row>
    <row r="1139" spans="1:14" x14ac:dyDescent="0.25">
      <c r="A1139" s="1">
        <v>44731</v>
      </c>
      <c r="B1139" t="s">
        <v>106</v>
      </c>
      <c r="C1139">
        <v>88</v>
      </c>
      <c r="D1139" t="s">
        <v>9</v>
      </c>
      <c r="E1139" t="s">
        <v>10</v>
      </c>
      <c r="F1139" t="s">
        <v>16</v>
      </c>
      <c r="G1139" t="s">
        <v>39</v>
      </c>
      <c r="H1139">
        <v>947.01</v>
      </c>
      <c r="I1139" s="8" t="str" cm="1">
        <f t="array" ref="I1139">_xlfn.IFS(C1139&lt;=15,"Children and Young Adolescents", C1139&gt;64, "Seniors", TRUE, "Working Age")</f>
        <v>Seniors</v>
      </c>
      <c r="J1139" s="6">
        <f>VLOOKUP(F1139,Analysis!$F$1:$G$5,2,FALSE)</f>
        <v>2509.1716796874912</v>
      </c>
      <c r="K1139">
        <f t="shared" si="68"/>
        <v>1041.71</v>
      </c>
      <c r="L1139">
        <f t="shared" si="69"/>
        <v>1041.72</v>
      </c>
      <c r="M1139">
        <f t="shared" si="70"/>
        <v>1041.71</v>
      </c>
      <c r="N1139" s="5" t="str">
        <f t="shared" si="71"/>
        <v>June 2022</v>
      </c>
    </row>
    <row r="1140" spans="1:14" x14ac:dyDescent="0.25">
      <c r="A1140" s="1">
        <v>44731</v>
      </c>
      <c r="B1140" t="s">
        <v>675</v>
      </c>
      <c r="C1140">
        <v>82</v>
      </c>
      <c r="D1140" t="s">
        <v>9</v>
      </c>
      <c r="E1140" t="s">
        <v>15</v>
      </c>
      <c r="F1140" t="s">
        <v>11</v>
      </c>
      <c r="G1140" t="s">
        <v>12</v>
      </c>
      <c r="H1140">
        <v>4022.95</v>
      </c>
      <c r="I1140" s="8" t="str" cm="1">
        <f t="array" ref="I1140">_xlfn.IFS(C1140&lt;=15,"Children and Young Adolescents", C1140&gt;64, "Seniors", TRUE, "Working Age")</f>
        <v>Seniors</v>
      </c>
      <c r="J1140" s="6">
        <f>VLOOKUP(F1140,Analysis!$F$1:$G$5,2,FALSE)</f>
        <v>2503.6022787783854</v>
      </c>
      <c r="K1140">
        <f t="shared" si="68"/>
        <v>4425.24</v>
      </c>
      <c r="L1140">
        <f t="shared" si="69"/>
        <v>4425.25</v>
      </c>
      <c r="M1140">
        <f t="shared" si="70"/>
        <v>4425.25</v>
      </c>
      <c r="N1140" s="5" t="str">
        <f t="shared" si="71"/>
        <v>June 2022</v>
      </c>
    </row>
    <row r="1141" spans="1:14" x14ac:dyDescent="0.25">
      <c r="A1141" s="1">
        <v>44732</v>
      </c>
      <c r="B1141" t="s">
        <v>2664</v>
      </c>
      <c r="C1141">
        <v>89</v>
      </c>
      <c r="D1141" t="s">
        <v>21</v>
      </c>
      <c r="E1141" t="s">
        <v>10</v>
      </c>
      <c r="F1141" t="s">
        <v>29</v>
      </c>
      <c r="G1141" t="s">
        <v>27</v>
      </c>
      <c r="H1141">
        <v>3019.88</v>
      </c>
      <c r="I1141" s="8" t="str" cm="1">
        <f t="array" ref="I1141">_xlfn.IFS(C1141&lt;=15,"Children and Young Adolescents", C1141&gt;64, "Seniors", TRUE, "Working Age")</f>
        <v>Seniors</v>
      </c>
      <c r="J1141" s="6">
        <f>VLOOKUP(F1141,Analysis!$F$1:$G$5,2,FALSE)</f>
        <v>2496.7676064256989</v>
      </c>
      <c r="K1141">
        <f t="shared" si="68"/>
        <v>3321.86</v>
      </c>
      <c r="L1141">
        <f t="shared" si="69"/>
        <v>3321.8700000000003</v>
      </c>
      <c r="M1141">
        <f t="shared" si="70"/>
        <v>3321.87</v>
      </c>
      <c r="N1141" s="5" t="str">
        <f t="shared" si="71"/>
        <v>June 2022</v>
      </c>
    </row>
    <row r="1142" spans="1:14" x14ac:dyDescent="0.25">
      <c r="A1142" s="1">
        <v>44732</v>
      </c>
      <c r="B1142" t="s">
        <v>3301</v>
      </c>
      <c r="C1142">
        <v>69</v>
      </c>
      <c r="D1142" t="s">
        <v>14</v>
      </c>
      <c r="E1142" t="s">
        <v>19</v>
      </c>
      <c r="F1142" t="s">
        <v>16</v>
      </c>
      <c r="G1142" t="s">
        <v>39</v>
      </c>
      <c r="H1142">
        <v>1375.76</v>
      </c>
      <c r="I1142" s="8" t="str" cm="1">
        <f t="array" ref="I1142">_xlfn.IFS(C1142&lt;=15,"Children and Young Adolescents", C1142&gt;64, "Seniors", TRUE, "Working Age")</f>
        <v>Seniors</v>
      </c>
      <c r="J1142" s="6">
        <f>VLOOKUP(F1142,Analysis!$F$1:$G$5,2,FALSE)</f>
        <v>2509.1716796874912</v>
      </c>
      <c r="K1142">
        <f t="shared" si="68"/>
        <v>1513.33</v>
      </c>
      <c r="L1142">
        <f t="shared" si="69"/>
        <v>1513.34</v>
      </c>
      <c r="M1142">
        <f t="shared" si="70"/>
        <v>1513.34</v>
      </c>
      <c r="N1142" s="5" t="str">
        <f t="shared" si="71"/>
        <v>June 2022</v>
      </c>
    </row>
    <row r="1143" spans="1:14" x14ac:dyDescent="0.25">
      <c r="A1143" s="1">
        <v>44732</v>
      </c>
      <c r="B1143" t="s">
        <v>824</v>
      </c>
      <c r="C1143">
        <v>91</v>
      </c>
      <c r="D1143" t="s">
        <v>14</v>
      </c>
      <c r="E1143" t="s">
        <v>15</v>
      </c>
      <c r="F1143" t="s">
        <v>23</v>
      </c>
      <c r="G1143" t="s">
        <v>39</v>
      </c>
      <c r="H1143">
        <v>3565.72</v>
      </c>
      <c r="I1143" s="8" t="str" cm="1">
        <f t="array" ref="I1143">_xlfn.IFS(C1143&lt;=15,"Children and Young Adolescents", C1143&gt;64, "Seniors", TRUE, "Working Age")</f>
        <v>Seniors</v>
      </c>
      <c r="J1143" s="6">
        <f>VLOOKUP(F1143,Analysis!$F$1:$G$5,2,FALSE)</f>
        <v>2440.2966694490838</v>
      </c>
      <c r="K1143">
        <f t="shared" si="68"/>
        <v>3922.29</v>
      </c>
      <c r="L1143">
        <f t="shared" si="69"/>
        <v>3922.3</v>
      </c>
      <c r="M1143">
        <f t="shared" si="70"/>
        <v>3922.29</v>
      </c>
      <c r="N1143" s="5" t="str">
        <f t="shared" si="71"/>
        <v>June 2022</v>
      </c>
    </row>
    <row r="1144" spans="1:14" x14ac:dyDescent="0.25">
      <c r="A1144" s="1">
        <v>44732</v>
      </c>
      <c r="B1144" t="s">
        <v>4022</v>
      </c>
      <c r="C1144">
        <v>32</v>
      </c>
      <c r="D1144" t="s">
        <v>21</v>
      </c>
      <c r="E1144" t="s">
        <v>15</v>
      </c>
      <c r="F1144" t="s">
        <v>23</v>
      </c>
      <c r="G1144" t="s">
        <v>5033</v>
      </c>
      <c r="H1144">
        <v>3421.45</v>
      </c>
      <c r="I1144" s="8" t="str" cm="1">
        <f t="array" ref="I1144">_xlfn.IFS(C1144&lt;=15,"Children and Young Adolescents", C1144&gt;64, "Seniors", TRUE, "Working Age")</f>
        <v>Working Age</v>
      </c>
      <c r="J1144" s="6">
        <f>VLOOKUP(F1144,Analysis!$F$1:$G$5,2,FALSE)</f>
        <v>2440.2966694490838</v>
      </c>
      <c r="K1144">
        <f t="shared" si="68"/>
        <v>3763.59</v>
      </c>
      <c r="L1144">
        <f t="shared" si="69"/>
        <v>3763.6000000000004</v>
      </c>
      <c r="M1144">
        <f t="shared" si="70"/>
        <v>3763.6</v>
      </c>
      <c r="N1144" s="5" t="str">
        <f t="shared" si="71"/>
        <v>June 2022</v>
      </c>
    </row>
    <row r="1145" spans="1:14" x14ac:dyDescent="0.25">
      <c r="A1145" s="1">
        <v>44733</v>
      </c>
      <c r="B1145" t="s">
        <v>4666</v>
      </c>
      <c r="C1145">
        <v>15</v>
      </c>
      <c r="D1145" t="s">
        <v>21</v>
      </c>
      <c r="E1145" t="s">
        <v>19</v>
      </c>
      <c r="F1145" t="s">
        <v>29</v>
      </c>
      <c r="G1145" t="s">
        <v>27</v>
      </c>
      <c r="H1145">
        <v>3757.34</v>
      </c>
      <c r="I1145" s="8" t="str" cm="1">
        <f t="array" ref="I1145">_xlfn.IFS(C1145&lt;=15,"Children and Young Adolescents", C1145&gt;64, "Seniors", TRUE, "Working Age")</f>
        <v>Children and Young Adolescents</v>
      </c>
      <c r="J1145" s="6">
        <f>VLOOKUP(F1145,Analysis!$F$1:$G$5,2,FALSE)</f>
        <v>2496.7676064256989</v>
      </c>
      <c r="K1145">
        <f t="shared" si="68"/>
        <v>4133.07</v>
      </c>
      <c r="L1145">
        <f t="shared" si="69"/>
        <v>4133.08</v>
      </c>
      <c r="M1145">
        <f t="shared" si="70"/>
        <v>4133.07</v>
      </c>
      <c r="N1145" s="5" t="str">
        <f t="shared" si="71"/>
        <v>June 2022</v>
      </c>
    </row>
    <row r="1146" spans="1:14" x14ac:dyDescent="0.25">
      <c r="A1146" s="1">
        <v>44733</v>
      </c>
      <c r="B1146" t="s">
        <v>1845</v>
      </c>
      <c r="C1146">
        <v>97</v>
      </c>
      <c r="D1146" t="s">
        <v>9</v>
      </c>
      <c r="E1146" t="s">
        <v>25</v>
      </c>
      <c r="F1146" t="s">
        <v>29</v>
      </c>
      <c r="G1146" t="s">
        <v>36</v>
      </c>
      <c r="H1146">
        <v>3067.86</v>
      </c>
      <c r="I1146" s="8" t="str" cm="1">
        <f t="array" ref="I1146">_xlfn.IFS(C1146&lt;=15,"Children and Young Adolescents", C1146&gt;64, "Seniors", TRUE, "Working Age")</f>
        <v>Seniors</v>
      </c>
      <c r="J1146" s="6">
        <f>VLOOKUP(F1146,Analysis!$F$1:$G$5,2,FALSE)</f>
        <v>2496.7676064256989</v>
      </c>
      <c r="K1146">
        <f t="shared" si="68"/>
        <v>3374.64</v>
      </c>
      <c r="L1146">
        <f t="shared" si="69"/>
        <v>3374.65</v>
      </c>
      <c r="M1146">
        <f t="shared" si="70"/>
        <v>3374.65</v>
      </c>
      <c r="N1146" s="5" t="str">
        <f t="shared" si="71"/>
        <v>June 2022</v>
      </c>
    </row>
    <row r="1147" spans="1:14" x14ac:dyDescent="0.25">
      <c r="A1147" s="1">
        <v>44733</v>
      </c>
      <c r="B1147" t="s">
        <v>1130</v>
      </c>
      <c r="C1147">
        <v>25</v>
      </c>
      <c r="D1147" t="s">
        <v>21</v>
      </c>
      <c r="E1147" t="s">
        <v>19</v>
      </c>
      <c r="F1147" t="s">
        <v>23</v>
      </c>
      <c r="G1147" t="s">
        <v>36</v>
      </c>
      <c r="H1147">
        <v>2324.75</v>
      </c>
      <c r="I1147" s="8" t="str" cm="1">
        <f t="array" ref="I1147">_xlfn.IFS(C1147&lt;=15,"Children and Young Adolescents", C1147&gt;64, "Seniors", TRUE, "Working Age")</f>
        <v>Working Age</v>
      </c>
      <c r="J1147" s="6">
        <f>VLOOKUP(F1147,Analysis!$F$1:$G$5,2,FALSE)</f>
        <v>2440.2966694490838</v>
      </c>
      <c r="K1147">
        <f t="shared" si="68"/>
        <v>2557.2199999999998</v>
      </c>
      <c r="L1147">
        <f t="shared" si="69"/>
        <v>2557.23</v>
      </c>
      <c r="M1147">
        <f t="shared" si="70"/>
        <v>2557.23</v>
      </c>
      <c r="N1147" s="5" t="str">
        <f t="shared" si="71"/>
        <v>June 2022</v>
      </c>
    </row>
    <row r="1148" spans="1:14" x14ac:dyDescent="0.25">
      <c r="A1148" s="1">
        <v>44733</v>
      </c>
      <c r="B1148" t="s">
        <v>2516</v>
      </c>
      <c r="C1148">
        <v>52</v>
      </c>
      <c r="D1148" t="s">
        <v>9</v>
      </c>
      <c r="E1148" t="s">
        <v>25</v>
      </c>
      <c r="F1148" t="s">
        <v>23</v>
      </c>
      <c r="G1148" t="s">
        <v>12</v>
      </c>
      <c r="H1148">
        <v>1243.52</v>
      </c>
      <c r="I1148" s="8" t="str" cm="1">
        <f t="array" ref="I1148">_xlfn.IFS(C1148&lt;=15,"Children and Young Adolescents", C1148&gt;64, "Seniors", TRUE, "Working Age")</f>
        <v>Working Age</v>
      </c>
      <c r="J1148" s="6">
        <f>VLOOKUP(F1148,Analysis!$F$1:$G$5,2,FALSE)</f>
        <v>2440.2966694490838</v>
      </c>
      <c r="K1148">
        <f t="shared" si="68"/>
        <v>1367.87</v>
      </c>
      <c r="L1148">
        <f t="shared" si="69"/>
        <v>1367.8799999999999</v>
      </c>
      <c r="M1148">
        <f t="shared" si="70"/>
        <v>1367.87</v>
      </c>
      <c r="N1148" s="5" t="str">
        <f t="shared" si="71"/>
        <v>June 2022</v>
      </c>
    </row>
    <row r="1149" spans="1:14" x14ac:dyDescent="0.25">
      <c r="A1149" s="1">
        <v>44733</v>
      </c>
      <c r="B1149" t="s">
        <v>995</v>
      </c>
      <c r="C1149">
        <v>76</v>
      </c>
      <c r="D1149" t="s">
        <v>21</v>
      </c>
      <c r="E1149" t="s">
        <v>5032</v>
      </c>
      <c r="F1149" t="s">
        <v>16</v>
      </c>
      <c r="G1149" t="s">
        <v>17</v>
      </c>
      <c r="H1149">
        <v>517.9</v>
      </c>
      <c r="I1149" s="8" t="str" cm="1">
        <f t="array" ref="I1149">_xlfn.IFS(C1149&lt;=15,"Children and Young Adolescents", C1149&gt;64, "Seniors", TRUE, "Working Age")</f>
        <v>Seniors</v>
      </c>
      <c r="J1149" s="6">
        <f>VLOOKUP(F1149,Analysis!$F$1:$G$5,2,FALSE)</f>
        <v>2509.1716796874912</v>
      </c>
      <c r="K1149">
        <f t="shared" si="68"/>
        <v>569.69000000000005</v>
      </c>
      <c r="L1149">
        <f t="shared" si="69"/>
        <v>569.69000000000005</v>
      </c>
      <c r="M1149">
        <f t="shared" si="70"/>
        <v>569.69000000000005</v>
      </c>
      <c r="N1149" s="5" t="str">
        <f t="shared" si="71"/>
        <v>June 2022</v>
      </c>
    </row>
    <row r="1150" spans="1:14" x14ac:dyDescent="0.25">
      <c r="A1150" s="1">
        <v>44734</v>
      </c>
      <c r="B1150" t="s">
        <v>2720</v>
      </c>
      <c r="C1150">
        <v>95</v>
      </c>
      <c r="D1150" t="s">
        <v>9</v>
      </c>
      <c r="E1150" t="s">
        <v>10</v>
      </c>
      <c r="F1150" t="s">
        <v>11</v>
      </c>
      <c r="G1150" t="s">
        <v>39</v>
      </c>
      <c r="H1150">
        <v>1868.89</v>
      </c>
      <c r="I1150" s="8" t="str" cm="1">
        <f t="array" ref="I1150">_xlfn.IFS(C1150&lt;=15,"Children and Young Adolescents", C1150&gt;64, "Seniors", TRUE, "Working Age")</f>
        <v>Seniors</v>
      </c>
      <c r="J1150" s="6">
        <f>VLOOKUP(F1150,Analysis!$F$1:$G$5,2,FALSE)</f>
        <v>2503.6022787783854</v>
      </c>
      <c r="K1150">
        <f t="shared" si="68"/>
        <v>2055.77</v>
      </c>
      <c r="L1150">
        <f t="shared" si="69"/>
        <v>2055.7800000000002</v>
      </c>
      <c r="M1150">
        <f t="shared" si="70"/>
        <v>2055.7800000000002</v>
      </c>
      <c r="N1150" s="5" t="str">
        <f t="shared" si="71"/>
        <v>June 2022</v>
      </c>
    </row>
    <row r="1151" spans="1:14" x14ac:dyDescent="0.25">
      <c r="A1151" s="1">
        <v>44734</v>
      </c>
      <c r="B1151" t="s">
        <v>1213</v>
      </c>
      <c r="C1151">
        <v>15</v>
      </c>
      <c r="D1151" t="s">
        <v>9</v>
      </c>
      <c r="E1151" t="s">
        <v>32</v>
      </c>
      <c r="F1151" t="s">
        <v>16</v>
      </c>
      <c r="G1151" t="s">
        <v>27</v>
      </c>
      <c r="H1151">
        <v>1015.8</v>
      </c>
      <c r="I1151" s="8" t="str" cm="1">
        <f t="array" ref="I1151">_xlfn.IFS(C1151&lt;=15,"Children and Young Adolescents", C1151&gt;64, "Seniors", TRUE, "Working Age")</f>
        <v>Children and Young Adolescents</v>
      </c>
      <c r="J1151" s="6">
        <f>VLOOKUP(F1151,Analysis!$F$1:$G$5,2,FALSE)</f>
        <v>2509.1716796874912</v>
      </c>
      <c r="K1151">
        <f t="shared" si="68"/>
        <v>1117.3800000000001</v>
      </c>
      <c r="L1151">
        <f t="shared" si="69"/>
        <v>1117.3800000000001</v>
      </c>
      <c r="M1151">
        <f t="shared" si="70"/>
        <v>1117.3800000000001</v>
      </c>
      <c r="N1151" s="5" t="str">
        <f t="shared" si="71"/>
        <v>June 2022</v>
      </c>
    </row>
    <row r="1152" spans="1:14" x14ac:dyDescent="0.25">
      <c r="A1152" s="1">
        <v>44734</v>
      </c>
      <c r="B1152" t="s">
        <v>2835</v>
      </c>
      <c r="C1152">
        <v>57</v>
      </c>
      <c r="D1152" t="s">
        <v>9</v>
      </c>
      <c r="E1152" t="s">
        <v>19</v>
      </c>
      <c r="F1152" t="s">
        <v>29</v>
      </c>
      <c r="G1152" t="s">
        <v>17</v>
      </c>
      <c r="H1152">
        <v>1802.45</v>
      </c>
      <c r="I1152" s="8" t="str" cm="1">
        <f t="array" ref="I1152">_xlfn.IFS(C1152&lt;=15,"Children and Young Adolescents", C1152&gt;64, "Seniors", TRUE, "Working Age")</f>
        <v>Working Age</v>
      </c>
      <c r="J1152" s="6">
        <f>VLOOKUP(F1152,Analysis!$F$1:$G$5,2,FALSE)</f>
        <v>2496.7676064256989</v>
      </c>
      <c r="K1152">
        <f t="shared" si="68"/>
        <v>1982.69</v>
      </c>
      <c r="L1152">
        <f t="shared" si="69"/>
        <v>1982.7</v>
      </c>
      <c r="M1152">
        <f t="shared" si="70"/>
        <v>1982.7</v>
      </c>
      <c r="N1152" s="5" t="str">
        <f t="shared" si="71"/>
        <v>June 2022</v>
      </c>
    </row>
    <row r="1153" spans="1:14" x14ac:dyDescent="0.25">
      <c r="A1153" s="1">
        <v>44734</v>
      </c>
      <c r="B1153" t="s">
        <v>3351</v>
      </c>
      <c r="C1153">
        <v>74</v>
      </c>
      <c r="D1153" t="s">
        <v>14</v>
      </c>
      <c r="E1153" t="s">
        <v>10</v>
      </c>
      <c r="F1153" t="s">
        <v>29</v>
      </c>
      <c r="G1153" t="s">
        <v>36</v>
      </c>
      <c r="H1153">
        <v>749.36</v>
      </c>
      <c r="I1153" s="8" t="str" cm="1">
        <f t="array" ref="I1153">_xlfn.IFS(C1153&lt;=15,"Children and Young Adolescents", C1153&gt;64, "Seniors", TRUE, "Working Age")</f>
        <v>Seniors</v>
      </c>
      <c r="J1153" s="6">
        <f>VLOOKUP(F1153,Analysis!$F$1:$G$5,2,FALSE)</f>
        <v>2496.7676064256989</v>
      </c>
      <c r="K1153">
        <f t="shared" si="68"/>
        <v>824.29</v>
      </c>
      <c r="L1153">
        <f t="shared" si="69"/>
        <v>824.3</v>
      </c>
      <c r="M1153">
        <f t="shared" si="70"/>
        <v>824.3</v>
      </c>
      <c r="N1153" s="5" t="str">
        <f t="shared" si="71"/>
        <v>June 2022</v>
      </c>
    </row>
    <row r="1154" spans="1:14" x14ac:dyDescent="0.25">
      <c r="A1154" s="1">
        <v>44734</v>
      </c>
      <c r="B1154" t="s">
        <v>2596</v>
      </c>
      <c r="C1154">
        <v>29</v>
      </c>
      <c r="D1154" t="s">
        <v>9</v>
      </c>
      <c r="E1154" t="s">
        <v>22</v>
      </c>
      <c r="F1154" t="s">
        <v>16</v>
      </c>
      <c r="G1154" t="s">
        <v>17</v>
      </c>
      <c r="H1154">
        <v>1523.62</v>
      </c>
      <c r="I1154" s="8" t="str" cm="1">
        <f t="array" ref="I1154">_xlfn.IFS(C1154&lt;=15,"Children and Young Adolescents", C1154&gt;64, "Seniors", TRUE, "Working Age")</f>
        <v>Working Age</v>
      </c>
      <c r="J1154" s="6">
        <f>VLOOKUP(F1154,Analysis!$F$1:$G$5,2,FALSE)</f>
        <v>2509.1716796874912</v>
      </c>
      <c r="K1154">
        <f t="shared" si="68"/>
        <v>1675.98</v>
      </c>
      <c r="L1154">
        <f t="shared" si="69"/>
        <v>1675.99</v>
      </c>
      <c r="M1154">
        <f t="shared" si="70"/>
        <v>1675.98</v>
      </c>
      <c r="N1154" s="5" t="str">
        <f t="shared" si="71"/>
        <v>June 2022</v>
      </c>
    </row>
    <row r="1155" spans="1:14" x14ac:dyDescent="0.25">
      <c r="A1155" s="1">
        <v>44735</v>
      </c>
      <c r="B1155" t="s">
        <v>4542</v>
      </c>
      <c r="C1155">
        <v>11</v>
      </c>
      <c r="D1155" t="s">
        <v>9</v>
      </c>
      <c r="E1155" t="s">
        <v>10</v>
      </c>
      <c r="F1155" t="s">
        <v>16</v>
      </c>
      <c r="G1155" t="s">
        <v>17</v>
      </c>
      <c r="H1155">
        <v>4582.9399999999996</v>
      </c>
      <c r="I1155" s="8" t="str" cm="1">
        <f t="array" ref="I1155">_xlfn.IFS(C1155&lt;=15,"Children and Young Adolescents", C1155&gt;64, "Seniors", TRUE, "Working Age")</f>
        <v>Children and Young Adolescents</v>
      </c>
      <c r="J1155" s="6">
        <f>VLOOKUP(F1155,Analysis!$F$1:$G$5,2,FALSE)</f>
        <v>2509.1716796874912</v>
      </c>
      <c r="K1155">
        <f t="shared" ref="K1155:K1218" si="72">ROUNDDOWN(H1155*1.1,2)</f>
        <v>5041.2299999999996</v>
      </c>
      <c r="L1155">
        <f t="shared" ref="L1155:L1218" si="73">ROUNDUP(H1155*1.1,2)</f>
        <v>5041.24</v>
      </c>
      <c r="M1155">
        <f t="shared" ref="M1155:M1218" si="74">ROUND(H1155*1.1,2)</f>
        <v>5041.2299999999996</v>
      </c>
      <c r="N1155" s="5" t="str">
        <f t="shared" ref="N1155:N1218" si="75">TEXT(A1155,"mmmm yyyy")</f>
        <v>June 2022</v>
      </c>
    </row>
    <row r="1156" spans="1:14" x14ac:dyDescent="0.25">
      <c r="A1156" s="1">
        <v>44735</v>
      </c>
      <c r="B1156" t="s">
        <v>3273</v>
      </c>
      <c r="C1156">
        <v>71</v>
      </c>
      <c r="D1156" t="s">
        <v>9</v>
      </c>
      <c r="E1156" t="s">
        <v>5032</v>
      </c>
      <c r="F1156" t="s">
        <v>23</v>
      </c>
      <c r="G1156" t="s">
        <v>36</v>
      </c>
      <c r="H1156">
        <v>69.19</v>
      </c>
      <c r="I1156" s="8" t="str" cm="1">
        <f t="array" ref="I1156">_xlfn.IFS(C1156&lt;=15,"Children and Young Adolescents", C1156&gt;64, "Seniors", TRUE, "Working Age")</f>
        <v>Seniors</v>
      </c>
      <c r="J1156" s="6">
        <f>VLOOKUP(F1156,Analysis!$F$1:$G$5,2,FALSE)</f>
        <v>2440.2966694490838</v>
      </c>
      <c r="K1156">
        <f t="shared" si="72"/>
        <v>76.099999999999994</v>
      </c>
      <c r="L1156">
        <f t="shared" si="73"/>
        <v>76.11</v>
      </c>
      <c r="M1156">
        <f t="shared" si="74"/>
        <v>76.11</v>
      </c>
      <c r="N1156" s="5" t="str">
        <f t="shared" si="75"/>
        <v>June 2022</v>
      </c>
    </row>
    <row r="1157" spans="1:14" x14ac:dyDescent="0.25">
      <c r="A1157" s="1">
        <v>44735</v>
      </c>
      <c r="B1157" t="s">
        <v>4918</v>
      </c>
      <c r="C1157">
        <v>90</v>
      </c>
      <c r="D1157" t="s">
        <v>21</v>
      </c>
      <c r="E1157" t="s">
        <v>15</v>
      </c>
      <c r="F1157" t="s">
        <v>29</v>
      </c>
      <c r="G1157" t="s">
        <v>39</v>
      </c>
      <c r="H1157">
        <v>2107.88</v>
      </c>
      <c r="I1157" s="8" t="str" cm="1">
        <f t="array" ref="I1157">_xlfn.IFS(C1157&lt;=15,"Children and Young Adolescents", C1157&gt;64, "Seniors", TRUE, "Working Age")</f>
        <v>Seniors</v>
      </c>
      <c r="J1157" s="6">
        <f>VLOOKUP(F1157,Analysis!$F$1:$G$5,2,FALSE)</f>
        <v>2496.7676064256989</v>
      </c>
      <c r="K1157">
        <f t="shared" si="72"/>
        <v>2318.66</v>
      </c>
      <c r="L1157">
        <f t="shared" si="73"/>
        <v>2318.67</v>
      </c>
      <c r="M1157">
        <f t="shared" si="74"/>
        <v>2318.67</v>
      </c>
      <c r="N1157" s="5" t="str">
        <f t="shared" si="75"/>
        <v>June 2022</v>
      </c>
    </row>
    <row r="1158" spans="1:14" x14ac:dyDescent="0.25">
      <c r="A1158" s="1">
        <v>44735</v>
      </c>
      <c r="B1158" t="s">
        <v>2229</v>
      </c>
      <c r="C1158">
        <v>69</v>
      </c>
      <c r="D1158" t="s">
        <v>9</v>
      </c>
      <c r="E1158" t="s">
        <v>19</v>
      </c>
      <c r="F1158" t="s">
        <v>29</v>
      </c>
      <c r="G1158" t="s">
        <v>17</v>
      </c>
      <c r="H1158">
        <v>1864.07</v>
      </c>
      <c r="I1158" s="8" t="str" cm="1">
        <f t="array" ref="I1158">_xlfn.IFS(C1158&lt;=15,"Children and Young Adolescents", C1158&gt;64, "Seniors", TRUE, "Working Age")</f>
        <v>Seniors</v>
      </c>
      <c r="J1158" s="6">
        <f>VLOOKUP(F1158,Analysis!$F$1:$G$5,2,FALSE)</f>
        <v>2496.7676064256989</v>
      </c>
      <c r="K1158">
        <f t="shared" si="72"/>
        <v>2050.4699999999998</v>
      </c>
      <c r="L1158">
        <f t="shared" si="73"/>
        <v>2050.48</v>
      </c>
      <c r="M1158">
        <f t="shared" si="74"/>
        <v>2050.48</v>
      </c>
      <c r="N1158" s="5" t="str">
        <f t="shared" si="75"/>
        <v>June 2022</v>
      </c>
    </row>
    <row r="1159" spans="1:14" x14ac:dyDescent="0.25">
      <c r="A1159" s="1">
        <v>44735</v>
      </c>
      <c r="B1159" t="s">
        <v>3478</v>
      </c>
      <c r="C1159">
        <v>58</v>
      </c>
      <c r="D1159" t="s">
        <v>14</v>
      </c>
      <c r="E1159" t="s">
        <v>10</v>
      </c>
      <c r="F1159" t="s">
        <v>23</v>
      </c>
      <c r="G1159" t="s">
        <v>27</v>
      </c>
      <c r="H1159">
        <v>2971.09</v>
      </c>
      <c r="I1159" s="8" t="str" cm="1">
        <f t="array" ref="I1159">_xlfn.IFS(C1159&lt;=15,"Children and Young Adolescents", C1159&gt;64, "Seniors", TRUE, "Working Age")</f>
        <v>Working Age</v>
      </c>
      <c r="J1159" s="6">
        <f>VLOOKUP(F1159,Analysis!$F$1:$G$5,2,FALSE)</f>
        <v>2440.2966694490838</v>
      </c>
      <c r="K1159">
        <f t="shared" si="72"/>
        <v>3268.19</v>
      </c>
      <c r="L1159">
        <f t="shared" si="73"/>
        <v>3268.2000000000003</v>
      </c>
      <c r="M1159">
        <f t="shared" si="74"/>
        <v>3268.2</v>
      </c>
      <c r="N1159" s="5" t="str">
        <f t="shared" si="75"/>
        <v>June 2022</v>
      </c>
    </row>
    <row r="1160" spans="1:14" x14ac:dyDescent="0.25">
      <c r="A1160" s="1">
        <v>44735</v>
      </c>
      <c r="B1160" t="s">
        <v>2928</v>
      </c>
      <c r="C1160">
        <v>64</v>
      </c>
      <c r="D1160" t="s">
        <v>14</v>
      </c>
      <c r="E1160" t="s">
        <v>10</v>
      </c>
      <c r="F1160" t="s">
        <v>11</v>
      </c>
      <c r="G1160" t="s">
        <v>17</v>
      </c>
      <c r="H1160">
        <v>4316.6899999999996</v>
      </c>
      <c r="I1160" s="8" t="str" cm="1">
        <f t="array" ref="I1160">_xlfn.IFS(C1160&lt;=15,"Children and Young Adolescents", C1160&gt;64, "Seniors", TRUE, "Working Age")</f>
        <v>Working Age</v>
      </c>
      <c r="J1160" s="6">
        <f>VLOOKUP(F1160,Analysis!$F$1:$G$5,2,FALSE)</f>
        <v>2503.6022787783854</v>
      </c>
      <c r="K1160">
        <f t="shared" si="72"/>
        <v>4748.3500000000004</v>
      </c>
      <c r="L1160">
        <f t="shared" si="73"/>
        <v>4748.3600000000006</v>
      </c>
      <c r="M1160">
        <f t="shared" si="74"/>
        <v>4748.3599999999997</v>
      </c>
      <c r="N1160" s="5" t="str">
        <f t="shared" si="75"/>
        <v>June 2022</v>
      </c>
    </row>
    <row r="1161" spans="1:14" x14ac:dyDescent="0.25">
      <c r="A1161" s="1">
        <v>44735</v>
      </c>
      <c r="B1161" t="s">
        <v>745</v>
      </c>
      <c r="C1161">
        <v>29</v>
      </c>
      <c r="D1161" t="s">
        <v>9</v>
      </c>
      <c r="E1161" t="s">
        <v>25</v>
      </c>
      <c r="F1161" t="s">
        <v>29</v>
      </c>
      <c r="G1161" t="s">
        <v>36</v>
      </c>
      <c r="H1161">
        <v>1754.43</v>
      </c>
      <c r="I1161" s="8" t="str" cm="1">
        <f t="array" ref="I1161">_xlfn.IFS(C1161&lt;=15,"Children and Young Adolescents", C1161&gt;64, "Seniors", TRUE, "Working Age")</f>
        <v>Working Age</v>
      </c>
      <c r="J1161" s="6">
        <f>VLOOKUP(F1161,Analysis!$F$1:$G$5,2,FALSE)</f>
        <v>2496.7676064256989</v>
      </c>
      <c r="K1161">
        <f t="shared" si="72"/>
        <v>1929.87</v>
      </c>
      <c r="L1161">
        <f t="shared" si="73"/>
        <v>1929.8799999999999</v>
      </c>
      <c r="M1161">
        <f t="shared" si="74"/>
        <v>1929.87</v>
      </c>
      <c r="N1161" s="5" t="str">
        <f t="shared" si="75"/>
        <v>June 2022</v>
      </c>
    </row>
    <row r="1162" spans="1:14" x14ac:dyDescent="0.25">
      <c r="A1162" s="1">
        <v>44735</v>
      </c>
      <c r="B1162" t="s">
        <v>4257</v>
      </c>
      <c r="C1162">
        <v>72</v>
      </c>
      <c r="D1162" t="s">
        <v>14</v>
      </c>
      <c r="E1162" t="s">
        <v>22</v>
      </c>
      <c r="F1162" t="s">
        <v>16</v>
      </c>
      <c r="G1162" t="s">
        <v>36</v>
      </c>
      <c r="H1162">
        <v>2146.0700000000002</v>
      </c>
      <c r="I1162" s="8" t="str" cm="1">
        <f t="array" ref="I1162">_xlfn.IFS(C1162&lt;=15,"Children and Young Adolescents", C1162&gt;64, "Seniors", TRUE, "Working Age")</f>
        <v>Seniors</v>
      </c>
      <c r="J1162" s="6">
        <f>VLOOKUP(F1162,Analysis!$F$1:$G$5,2,FALSE)</f>
        <v>2509.1716796874912</v>
      </c>
      <c r="K1162">
        <f t="shared" si="72"/>
        <v>2360.67</v>
      </c>
      <c r="L1162">
        <f t="shared" si="73"/>
        <v>2360.6800000000003</v>
      </c>
      <c r="M1162">
        <f t="shared" si="74"/>
        <v>2360.6799999999998</v>
      </c>
      <c r="N1162" s="5" t="str">
        <f t="shared" si="75"/>
        <v>June 2022</v>
      </c>
    </row>
    <row r="1163" spans="1:14" x14ac:dyDescent="0.25">
      <c r="A1163" s="1">
        <v>44735</v>
      </c>
      <c r="B1163" t="s">
        <v>1064</v>
      </c>
      <c r="C1163">
        <v>5</v>
      </c>
      <c r="D1163" t="s">
        <v>9</v>
      </c>
      <c r="E1163" t="s">
        <v>25</v>
      </c>
      <c r="F1163" t="s">
        <v>11</v>
      </c>
      <c r="G1163" t="s">
        <v>17</v>
      </c>
      <c r="H1163">
        <v>3445.86</v>
      </c>
      <c r="I1163" s="8" t="str" cm="1">
        <f t="array" ref="I1163">_xlfn.IFS(C1163&lt;=15,"Children and Young Adolescents", C1163&gt;64, "Seniors", TRUE, "Working Age")</f>
        <v>Children and Young Adolescents</v>
      </c>
      <c r="J1163" s="6">
        <f>VLOOKUP(F1163,Analysis!$F$1:$G$5,2,FALSE)</f>
        <v>2503.6022787783854</v>
      </c>
      <c r="K1163">
        <f t="shared" si="72"/>
        <v>3790.44</v>
      </c>
      <c r="L1163">
        <f t="shared" si="73"/>
        <v>3790.4500000000003</v>
      </c>
      <c r="M1163">
        <f t="shared" si="74"/>
        <v>3790.45</v>
      </c>
      <c r="N1163" s="5" t="str">
        <f t="shared" si="75"/>
        <v>June 2022</v>
      </c>
    </row>
    <row r="1164" spans="1:14" x14ac:dyDescent="0.25">
      <c r="A1164" s="1">
        <v>44735</v>
      </c>
      <c r="B1164" t="s">
        <v>4739</v>
      </c>
      <c r="C1164">
        <v>45</v>
      </c>
      <c r="D1164" t="s">
        <v>14</v>
      </c>
      <c r="E1164" t="s">
        <v>15</v>
      </c>
      <c r="F1164" t="s">
        <v>29</v>
      </c>
      <c r="G1164" t="s">
        <v>39</v>
      </c>
      <c r="H1164">
        <v>3699.9</v>
      </c>
      <c r="I1164" s="8" t="str" cm="1">
        <f t="array" ref="I1164">_xlfn.IFS(C1164&lt;=15,"Children and Young Adolescents", C1164&gt;64, "Seniors", TRUE, "Working Age")</f>
        <v>Working Age</v>
      </c>
      <c r="J1164" s="6">
        <f>VLOOKUP(F1164,Analysis!$F$1:$G$5,2,FALSE)</f>
        <v>2496.7676064256989</v>
      </c>
      <c r="K1164">
        <f t="shared" si="72"/>
        <v>4069.89</v>
      </c>
      <c r="L1164">
        <f t="shared" si="73"/>
        <v>4069.89</v>
      </c>
      <c r="M1164">
        <f t="shared" si="74"/>
        <v>4069.89</v>
      </c>
      <c r="N1164" s="5" t="str">
        <f t="shared" si="75"/>
        <v>June 2022</v>
      </c>
    </row>
    <row r="1165" spans="1:14" x14ac:dyDescent="0.25">
      <c r="A1165" s="1">
        <v>44736</v>
      </c>
      <c r="B1165" t="s">
        <v>1501</v>
      </c>
      <c r="C1165">
        <v>44</v>
      </c>
      <c r="D1165" t="s">
        <v>21</v>
      </c>
      <c r="E1165" t="s">
        <v>32</v>
      </c>
      <c r="F1165" t="s">
        <v>11</v>
      </c>
      <c r="G1165" t="s">
        <v>12</v>
      </c>
      <c r="H1165">
        <v>3238.98</v>
      </c>
      <c r="I1165" s="8" t="str" cm="1">
        <f t="array" ref="I1165">_xlfn.IFS(C1165&lt;=15,"Children and Young Adolescents", C1165&gt;64, "Seniors", TRUE, "Working Age")</f>
        <v>Working Age</v>
      </c>
      <c r="J1165" s="6">
        <f>VLOOKUP(F1165,Analysis!$F$1:$G$5,2,FALSE)</f>
        <v>2503.6022787783854</v>
      </c>
      <c r="K1165">
        <f t="shared" si="72"/>
        <v>3562.87</v>
      </c>
      <c r="L1165">
        <f t="shared" si="73"/>
        <v>3562.88</v>
      </c>
      <c r="M1165">
        <f t="shared" si="74"/>
        <v>3562.88</v>
      </c>
      <c r="N1165" s="5" t="str">
        <f t="shared" si="75"/>
        <v>June 2022</v>
      </c>
    </row>
    <row r="1166" spans="1:14" x14ac:dyDescent="0.25">
      <c r="A1166" s="1">
        <v>44736</v>
      </c>
      <c r="B1166" t="s">
        <v>3444</v>
      </c>
      <c r="C1166">
        <v>15</v>
      </c>
      <c r="D1166" t="s">
        <v>14</v>
      </c>
      <c r="E1166" t="s">
        <v>25</v>
      </c>
      <c r="F1166" t="s">
        <v>11</v>
      </c>
      <c r="G1166" t="s">
        <v>12</v>
      </c>
      <c r="H1166">
        <v>3546.17</v>
      </c>
      <c r="I1166" s="8" t="str" cm="1">
        <f t="array" ref="I1166">_xlfn.IFS(C1166&lt;=15,"Children and Young Adolescents", C1166&gt;64, "Seniors", TRUE, "Working Age")</f>
        <v>Children and Young Adolescents</v>
      </c>
      <c r="J1166" s="6">
        <f>VLOOKUP(F1166,Analysis!$F$1:$G$5,2,FALSE)</f>
        <v>2503.6022787783854</v>
      </c>
      <c r="K1166">
        <f t="shared" si="72"/>
        <v>3900.78</v>
      </c>
      <c r="L1166">
        <f t="shared" si="73"/>
        <v>3900.7900000000004</v>
      </c>
      <c r="M1166">
        <f t="shared" si="74"/>
        <v>3900.79</v>
      </c>
      <c r="N1166" s="5" t="str">
        <f t="shared" si="75"/>
        <v>June 2022</v>
      </c>
    </row>
    <row r="1167" spans="1:14" x14ac:dyDescent="0.25">
      <c r="A1167" s="1">
        <v>44736</v>
      </c>
      <c r="B1167" t="s">
        <v>508</v>
      </c>
      <c r="C1167">
        <v>17</v>
      </c>
      <c r="D1167" t="s">
        <v>9</v>
      </c>
      <c r="E1167" t="s">
        <v>5032</v>
      </c>
      <c r="F1167" t="s">
        <v>29</v>
      </c>
      <c r="G1167" t="s">
        <v>39</v>
      </c>
      <c r="H1167">
        <v>4844.51</v>
      </c>
      <c r="I1167" s="8" t="str" cm="1">
        <f t="array" ref="I1167">_xlfn.IFS(C1167&lt;=15,"Children and Young Adolescents", C1167&gt;64, "Seniors", TRUE, "Working Age")</f>
        <v>Working Age</v>
      </c>
      <c r="J1167" s="6">
        <f>VLOOKUP(F1167,Analysis!$F$1:$G$5,2,FALSE)</f>
        <v>2496.7676064256989</v>
      </c>
      <c r="K1167">
        <f t="shared" si="72"/>
        <v>5328.96</v>
      </c>
      <c r="L1167">
        <f t="shared" si="73"/>
        <v>5328.97</v>
      </c>
      <c r="M1167">
        <f t="shared" si="74"/>
        <v>5328.96</v>
      </c>
      <c r="N1167" s="5" t="str">
        <f t="shared" si="75"/>
        <v>June 2022</v>
      </c>
    </row>
    <row r="1168" spans="1:14" x14ac:dyDescent="0.25">
      <c r="A1168" s="1">
        <v>44736</v>
      </c>
      <c r="B1168" t="s">
        <v>1236</v>
      </c>
      <c r="C1168">
        <v>42</v>
      </c>
      <c r="D1168" t="s">
        <v>9</v>
      </c>
      <c r="E1168" t="s">
        <v>34</v>
      </c>
      <c r="F1168" t="s">
        <v>11</v>
      </c>
      <c r="G1168" t="s">
        <v>39</v>
      </c>
      <c r="H1168">
        <v>2762.37</v>
      </c>
      <c r="I1168" s="8" t="str" cm="1">
        <f t="array" ref="I1168">_xlfn.IFS(C1168&lt;=15,"Children and Young Adolescents", C1168&gt;64, "Seniors", TRUE, "Working Age")</f>
        <v>Working Age</v>
      </c>
      <c r="J1168" s="6">
        <f>VLOOKUP(F1168,Analysis!$F$1:$G$5,2,FALSE)</f>
        <v>2503.6022787783854</v>
      </c>
      <c r="K1168">
        <f t="shared" si="72"/>
        <v>3038.6</v>
      </c>
      <c r="L1168">
        <f t="shared" si="73"/>
        <v>3038.61</v>
      </c>
      <c r="M1168">
        <f t="shared" si="74"/>
        <v>3038.61</v>
      </c>
      <c r="N1168" s="5" t="str">
        <f t="shared" si="75"/>
        <v>June 2022</v>
      </c>
    </row>
    <row r="1169" spans="1:14" x14ac:dyDescent="0.25">
      <c r="A1169" s="1">
        <v>44736</v>
      </c>
      <c r="B1169" t="s">
        <v>4425</v>
      </c>
      <c r="C1169">
        <v>12</v>
      </c>
      <c r="D1169" t="s">
        <v>21</v>
      </c>
      <c r="E1169" t="s">
        <v>19</v>
      </c>
      <c r="F1169" t="s">
        <v>23</v>
      </c>
      <c r="G1169" t="s">
        <v>12</v>
      </c>
      <c r="H1169">
        <v>2272.86</v>
      </c>
      <c r="I1169" s="8" t="str" cm="1">
        <f t="array" ref="I1169">_xlfn.IFS(C1169&lt;=15,"Children and Young Adolescents", C1169&gt;64, "Seniors", TRUE, "Working Age")</f>
        <v>Children and Young Adolescents</v>
      </c>
      <c r="J1169" s="6">
        <f>VLOOKUP(F1169,Analysis!$F$1:$G$5,2,FALSE)</f>
        <v>2440.2966694490838</v>
      </c>
      <c r="K1169">
        <f t="shared" si="72"/>
        <v>2500.14</v>
      </c>
      <c r="L1169">
        <f t="shared" si="73"/>
        <v>2500.15</v>
      </c>
      <c r="M1169">
        <f t="shared" si="74"/>
        <v>2500.15</v>
      </c>
      <c r="N1169" s="5" t="str">
        <f t="shared" si="75"/>
        <v>June 2022</v>
      </c>
    </row>
    <row r="1170" spans="1:14" x14ac:dyDescent="0.25">
      <c r="A1170" s="1">
        <v>44736</v>
      </c>
      <c r="B1170" t="s">
        <v>658</v>
      </c>
      <c r="C1170">
        <v>56</v>
      </c>
      <c r="D1170" t="s">
        <v>21</v>
      </c>
      <c r="E1170" t="s">
        <v>10</v>
      </c>
      <c r="F1170" t="s">
        <v>29</v>
      </c>
      <c r="G1170" t="s">
        <v>39</v>
      </c>
      <c r="H1170">
        <v>4852.8599999999997</v>
      </c>
      <c r="I1170" s="8" t="str" cm="1">
        <f t="array" ref="I1170">_xlfn.IFS(C1170&lt;=15,"Children and Young Adolescents", C1170&gt;64, "Seniors", TRUE, "Working Age")</f>
        <v>Working Age</v>
      </c>
      <c r="J1170" s="6">
        <f>VLOOKUP(F1170,Analysis!$F$1:$G$5,2,FALSE)</f>
        <v>2496.7676064256989</v>
      </c>
      <c r="K1170">
        <f t="shared" si="72"/>
        <v>5338.14</v>
      </c>
      <c r="L1170">
        <f t="shared" si="73"/>
        <v>5338.1500000000005</v>
      </c>
      <c r="M1170">
        <f t="shared" si="74"/>
        <v>5338.15</v>
      </c>
      <c r="N1170" s="5" t="str">
        <f t="shared" si="75"/>
        <v>June 2022</v>
      </c>
    </row>
    <row r="1171" spans="1:14" x14ac:dyDescent="0.25">
      <c r="A1171" s="1">
        <v>44736</v>
      </c>
      <c r="B1171" t="s">
        <v>1621</v>
      </c>
      <c r="C1171">
        <v>54</v>
      </c>
      <c r="D1171" t="s">
        <v>21</v>
      </c>
      <c r="E1171" t="s">
        <v>15</v>
      </c>
      <c r="F1171" t="s">
        <v>11</v>
      </c>
      <c r="G1171" t="s">
        <v>12</v>
      </c>
      <c r="H1171">
        <v>4053.06</v>
      </c>
      <c r="I1171" s="8" t="str" cm="1">
        <f t="array" ref="I1171">_xlfn.IFS(C1171&lt;=15,"Children and Young Adolescents", C1171&gt;64, "Seniors", TRUE, "Working Age")</f>
        <v>Working Age</v>
      </c>
      <c r="J1171" s="6">
        <f>VLOOKUP(F1171,Analysis!$F$1:$G$5,2,FALSE)</f>
        <v>2503.6022787783854</v>
      </c>
      <c r="K1171">
        <f t="shared" si="72"/>
        <v>4458.3599999999997</v>
      </c>
      <c r="L1171">
        <f t="shared" si="73"/>
        <v>4458.37</v>
      </c>
      <c r="M1171">
        <f t="shared" si="74"/>
        <v>4458.37</v>
      </c>
      <c r="N1171" s="5" t="str">
        <f t="shared" si="75"/>
        <v>June 2022</v>
      </c>
    </row>
    <row r="1172" spans="1:14" x14ac:dyDescent="0.25">
      <c r="A1172" s="1">
        <v>44736</v>
      </c>
      <c r="B1172" t="s">
        <v>2958</v>
      </c>
      <c r="C1172">
        <v>23</v>
      </c>
      <c r="D1172" t="s">
        <v>9</v>
      </c>
      <c r="E1172" t="s">
        <v>32</v>
      </c>
      <c r="F1172" t="s">
        <v>16</v>
      </c>
      <c r="G1172" t="s">
        <v>12</v>
      </c>
      <c r="H1172">
        <v>4829.54</v>
      </c>
      <c r="I1172" s="8" t="str" cm="1">
        <f t="array" ref="I1172">_xlfn.IFS(C1172&lt;=15,"Children and Young Adolescents", C1172&gt;64, "Seniors", TRUE, "Working Age")</f>
        <v>Working Age</v>
      </c>
      <c r="J1172" s="6">
        <f>VLOOKUP(F1172,Analysis!$F$1:$G$5,2,FALSE)</f>
        <v>2509.1716796874912</v>
      </c>
      <c r="K1172">
        <f t="shared" si="72"/>
        <v>5312.49</v>
      </c>
      <c r="L1172">
        <f t="shared" si="73"/>
        <v>5312.5</v>
      </c>
      <c r="M1172">
        <f t="shared" si="74"/>
        <v>5312.49</v>
      </c>
      <c r="N1172" s="5" t="str">
        <f t="shared" si="75"/>
        <v>June 2022</v>
      </c>
    </row>
    <row r="1173" spans="1:14" x14ac:dyDescent="0.25">
      <c r="A1173" s="1">
        <v>44736</v>
      </c>
      <c r="B1173" t="s">
        <v>4306</v>
      </c>
      <c r="C1173">
        <v>83</v>
      </c>
      <c r="D1173" t="s">
        <v>21</v>
      </c>
      <c r="E1173" t="s">
        <v>15</v>
      </c>
      <c r="F1173" t="s">
        <v>23</v>
      </c>
      <c r="G1173" t="s">
        <v>12</v>
      </c>
      <c r="H1173">
        <v>4868.1499999999996</v>
      </c>
      <c r="I1173" s="8" t="str" cm="1">
        <f t="array" ref="I1173">_xlfn.IFS(C1173&lt;=15,"Children and Young Adolescents", C1173&gt;64, "Seniors", TRUE, "Working Age")</f>
        <v>Seniors</v>
      </c>
      <c r="J1173" s="6">
        <f>VLOOKUP(F1173,Analysis!$F$1:$G$5,2,FALSE)</f>
        <v>2440.2966694490838</v>
      </c>
      <c r="K1173">
        <f t="shared" si="72"/>
        <v>5354.96</v>
      </c>
      <c r="L1173">
        <f t="shared" si="73"/>
        <v>5354.97</v>
      </c>
      <c r="M1173">
        <f t="shared" si="74"/>
        <v>5354.97</v>
      </c>
      <c r="N1173" s="5" t="str">
        <f t="shared" si="75"/>
        <v>June 2022</v>
      </c>
    </row>
    <row r="1174" spans="1:14" x14ac:dyDescent="0.25">
      <c r="A1174" s="1">
        <v>44737</v>
      </c>
      <c r="B1174" t="s">
        <v>1613</v>
      </c>
      <c r="C1174">
        <v>67</v>
      </c>
      <c r="D1174" t="s">
        <v>9</v>
      </c>
      <c r="E1174" t="s">
        <v>32</v>
      </c>
      <c r="F1174" t="s">
        <v>29</v>
      </c>
      <c r="G1174" t="s">
        <v>12</v>
      </c>
      <c r="H1174">
        <v>1140.0999999999999</v>
      </c>
      <c r="I1174" s="8" t="str" cm="1">
        <f t="array" ref="I1174">_xlfn.IFS(C1174&lt;=15,"Children and Young Adolescents", C1174&gt;64, "Seniors", TRUE, "Working Age")</f>
        <v>Seniors</v>
      </c>
      <c r="J1174" s="6">
        <f>VLOOKUP(F1174,Analysis!$F$1:$G$5,2,FALSE)</f>
        <v>2496.7676064256989</v>
      </c>
      <c r="K1174">
        <f t="shared" si="72"/>
        <v>1254.1099999999999</v>
      </c>
      <c r="L1174">
        <f t="shared" si="73"/>
        <v>1254.1099999999999</v>
      </c>
      <c r="M1174">
        <f t="shared" si="74"/>
        <v>1254.1099999999999</v>
      </c>
      <c r="N1174" s="5" t="str">
        <f t="shared" si="75"/>
        <v>June 2022</v>
      </c>
    </row>
    <row r="1175" spans="1:14" x14ac:dyDescent="0.25">
      <c r="A1175" s="1">
        <v>44737</v>
      </c>
      <c r="B1175" t="s">
        <v>2036</v>
      </c>
      <c r="C1175">
        <v>68</v>
      </c>
      <c r="D1175" t="s">
        <v>9</v>
      </c>
      <c r="E1175" t="s">
        <v>19</v>
      </c>
      <c r="F1175" t="s">
        <v>29</v>
      </c>
      <c r="G1175" t="s">
        <v>36</v>
      </c>
      <c r="H1175">
        <v>3019.99</v>
      </c>
      <c r="I1175" s="8" t="str" cm="1">
        <f t="array" ref="I1175">_xlfn.IFS(C1175&lt;=15,"Children and Young Adolescents", C1175&gt;64, "Seniors", TRUE, "Working Age")</f>
        <v>Seniors</v>
      </c>
      <c r="J1175" s="6">
        <f>VLOOKUP(F1175,Analysis!$F$1:$G$5,2,FALSE)</f>
        <v>2496.7676064256989</v>
      </c>
      <c r="K1175">
        <f t="shared" si="72"/>
        <v>3321.98</v>
      </c>
      <c r="L1175">
        <f t="shared" si="73"/>
        <v>3321.9900000000002</v>
      </c>
      <c r="M1175">
        <f t="shared" si="74"/>
        <v>3321.99</v>
      </c>
      <c r="N1175" s="5" t="str">
        <f t="shared" si="75"/>
        <v>June 2022</v>
      </c>
    </row>
    <row r="1176" spans="1:14" x14ac:dyDescent="0.25">
      <c r="A1176" s="1">
        <v>44737</v>
      </c>
      <c r="B1176" t="s">
        <v>1218</v>
      </c>
      <c r="C1176">
        <v>39</v>
      </c>
      <c r="D1176" t="s">
        <v>14</v>
      </c>
      <c r="E1176" t="s">
        <v>15</v>
      </c>
      <c r="F1176" t="s">
        <v>16</v>
      </c>
      <c r="G1176" t="s">
        <v>36</v>
      </c>
      <c r="H1176">
        <v>1036.75</v>
      </c>
      <c r="I1176" s="8" t="str" cm="1">
        <f t="array" ref="I1176">_xlfn.IFS(C1176&lt;=15,"Children and Young Adolescents", C1176&gt;64, "Seniors", TRUE, "Working Age")</f>
        <v>Working Age</v>
      </c>
      <c r="J1176" s="6">
        <f>VLOOKUP(F1176,Analysis!$F$1:$G$5,2,FALSE)</f>
        <v>2509.1716796874912</v>
      </c>
      <c r="K1176">
        <f t="shared" si="72"/>
        <v>1140.42</v>
      </c>
      <c r="L1176">
        <f t="shared" si="73"/>
        <v>1140.43</v>
      </c>
      <c r="M1176">
        <f t="shared" si="74"/>
        <v>1140.43</v>
      </c>
      <c r="N1176" s="5" t="str">
        <f t="shared" si="75"/>
        <v>June 2022</v>
      </c>
    </row>
    <row r="1177" spans="1:14" x14ac:dyDescent="0.25">
      <c r="A1177" s="1">
        <v>44737</v>
      </c>
      <c r="B1177" t="s">
        <v>981</v>
      </c>
      <c r="C1177">
        <v>33</v>
      </c>
      <c r="D1177" t="s">
        <v>21</v>
      </c>
      <c r="E1177" t="s">
        <v>10</v>
      </c>
      <c r="F1177" t="s">
        <v>11</v>
      </c>
      <c r="G1177" t="s">
        <v>12</v>
      </c>
      <c r="H1177">
        <v>1906.85</v>
      </c>
      <c r="I1177" s="8" t="str" cm="1">
        <f t="array" ref="I1177">_xlfn.IFS(C1177&lt;=15,"Children and Young Adolescents", C1177&gt;64, "Seniors", TRUE, "Working Age")</f>
        <v>Working Age</v>
      </c>
      <c r="J1177" s="6">
        <f>VLOOKUP(F1177,Analysis!$F$1:$G$5,2,FALSE)</f>
        <v>2503.6022787783854</v>
      </c>
      <c r="K1177">
        <f t="shared" si="72"/>
        <v>2097.5300000000002</v>
      </c>
      <c r="L1177">
        <f t="shared" si="73"/>
        <v>2097.5400000000004</v>
      </c>
      <c r="M1177">
        <f t="shared" si="74"/>
        <v>2097.54</v>
      </c>
      <c r="N1177" s="5" t="str">
        <f t="shared" si="75"/>
        <v>June 2022</v>
      </c>
    </row>
    <row r="1178" spans="1:14" x14ac:dyDescent="0.25">
      <c r="A1178" s="1">
        <v>44737</v>
      </c>
      <c r="B1178" t="s">
        <v>2676</v>
      </c>
      <c r="C1178">
        <v>87</v>
      </c>
      <c r="D1178" t="s">
        <v>21</v>
      </c>
      <c r="E1178" t="s">
        <v>19</v>
      </c>
      <c r="F1178" t="s">
        <v>16</v>
      </c>
      <c r="G1178" t="s">
        <v>12</v>
      </c>
      <c r="H1178">
        <v>99.11</v>
      </c>
      <c r="I1178" s="8" t="str" cm="1">
        <f t="array" ref="I1178">_xlfn.IFS(C1178&lt;=15,"Children and Young Adolescents", C1178&gt;64, "Seniors", TRUE, "Working Age")</f>
        <v>Seniors</v>
      </c>
      <c r="J1178" s="6">
        <f>VLOOKUP(F1178,Analysis!$F$1:$G$5,2,FALSE)</f>
        <v>2509.1716796874912</v>
      </c>
      <c r="K1178">
        <f t="shared" si="72"/>
        <v>109.02</v>
      </c>
      <c r="L1178">
        <f t="shared" si="73"/>
        <v>109.03</v>
      </c>
      <c r="M1178">
        <f t="shared" si="74"/>
        <v>109.02</v>
      </c>
      <c r="N1178" s="5" t="str">
        <f t="shared" si="75"/>
        <v>June 2022</v>
      </c>
    </row>
    <row r="1179" spans="1:14" x14ac:dyDescent="0.25">
      <c r="A1179" s="1">
        <v>44737</v>
      </c>
      <c r="B1179" t="s">
        <v>2055</v>
      </c>
      <c r="C1179">
        <v>39</v>
      </c>
      <c r="D1179" t="s">
        <v>9</v>
      </c>
      <c r="E1179" t="s">
        <v>15</v>
      </c>
      <c r="F1179" t="s">
        <v>29</v>
      </c>
      <c r="G1179" t="s">
        <v>36</v>
      </c>
      <c r="H1179">
        <v>4455.6899999999996</v>
      </c>
      <c r="I1179" s="8" t="str" cm="1">
        <f t="array" ref="I1179">_xlfn.IFS(C1179&lt;=15,"Children and Young Adolescents", C1179&gt;64, "Seniors", TRUE, "Working Age")</f>
        <v>Working Age</v>
      </c>
      <c r="J1179" s="6">
        <f>VLOOKUP(F1179,Analysis!$F$1:$G$5,2,FALSE)</f>
        <v>2496.7676064256989</v>
      </c>
      <c r="K1179">
        <f t="shared" si="72"/>
        <v>4901.25</v>
      </c>
      <c r="L1179">
        <f t="shared" si="73"/>
        <v>4901.26</v>
      </c>
      <c r="M1179">
        <f t="shared" si="74"/>
        <v>4901.26</v>
      </c>
      <c r="N1179" s="5" t="str">
        <f t="shared" si="75"/>
        <v>June 2022</v>
      </c>
    </row>
    <row r="1180" spans="1:14" x14ac:dyDescent="0.25">
      <c r="A1180" s="1">
        <v>44737</v>
      </c>
      <c r="B1180" t="s">
        <v>2454</v>
      </c>
      <c r="C1180">
        <v>21</v>
      </c>
      <c r="D1180" t="s">
        <v>14</v>
      </c>
      <c r="E1180" t="s">
        <v>10</v>
      </c>
      <c r="F1180" t="s">
        <v>23</v>
      </c>
      <c r="G1180" t="s">
        <v>17</v>
      </c>
      <c r="H1180">
        <v>1176.92</v>
      </c>
      <c r="I1180" s="8" t="str" cm="1">
        <f t="array" ref="I1180">_xlfn.IFS(C1180&lt;=15,"Children and Young Adolescents", C1180&gt;64, "Seniors", TRUE, "Working Age")</f>
        <v>Working Age</v>
      </c>
      <c r="J1180" s="6">
        <f>VLOOKUP(F1180,Analysis!$F$1:$G$5,2,FALSE)</f>
        <v>2440.2966694490838</v>
      </c>
      <c r="K1180">
        <f t="shared" si="72"/>
        <v>1294.6099999999999</v>
      </c>
      <c r="L1180">
        <f t="shared" si="73"/>
        <v>1294.6199999999999</v>
      </c>
      <c r="M1180">
        <f t="shared" si="74"/>
        <v>1294.6099999999999</v>
      </c>
      <c r="N1180" s="5" t="str">
        <f t="shared" si="75"/>
        <v>June 2022</v>
      </c>
    </row>
    <row r="1181" spans="1:14" x14ac:dyDescent="0.25">
      <c r="A1181" s="1">
        <v>44738</v>
      </c>
      <c r="B1181" t="s">
        <v>2655</v>
      </c>
      <c r="C1181">
        <v>2</v>
      </c>
      <c r="D1181" t="s">
        <v>9</v>
      </c>
      <c r="E1181" t="s">
        <v>25</v>
      </c>
      <c r="F1181" t="s">
        <v>16</v>
      </c>
      <c r="G1181" t="s">
        <v>12</v>
      </c>
      <c r="H1181">
        <v>2020.01</v>
      </c>
      <c r="I1181" s="8" t="str" cm="1">
        <f t="array" ref="I1181">_xlfn.IFS(C1181&lt;=15,"Children and Young Adolescents", C1181&gt;64, "Seniors", TRUE, "Working Age")</f>
        <v>Children and Young Adolescents</v>
      </c>
      <c r="J1181" s="6">
        <f>VLOOKUP(F1181,Analysis!$F$1:$G$5,2,FALSE)</f>
        <v>2509.1716796874912</v>
      </c>
      <c r="K1181">
        <f t="shared" si="72"/>
        <v>2222.0100000000002</v>
      </c>
      <c r="L1181">
        <f t="shared" si="73"/>
        <v>2222.0200000000004</v>
      </c>
      <c r="M1181">
        <f t="shared" si="74"/>
        <v>2222.0100000000002</v>
      </c>
      <c r="N1181" s="5" t="str">
        <f t="shared" si="75"/>
        <v>June 2022</v>
      </c>
    </row>
    <row r="1182" spans="1:14" x14ac:dyDescent="0.25">
      <c r="A1182" s="1">
        <v>44738</v>
      </c>
      <c r="B1182" t="s">
        <v>1127</v>
      </c>
      <c r="C1182">
        <v>95</v>
      </c>
      <c r="D1182" t="s">
        <v>14</v>
      </c>
      <c r="E1182" t="s">
        <v>34</v>
      </c>
      <c r="F1182" t="s">
        <v>23</v>
      </c>
      <c r="G1182" t="s">
        <v>17</v>
      </c>
      <c r="H1182">
        <v>4619.3</v>
      </c>
      <c r="I1182" s="8" t="str" cm="1">
        <f t="array" ref="I1182">_xlfn.IFS(C1182&lt;=15,"Children and Young Adolescents", C1182&gt;64, "Seniors", TRUE, "Working Age")</f>
        <v>Seniors</v>
      </c>
      <c r="J1182" s="6">
        <f>VLOOKUP(F1182,Analysis!$F$1:$G$5,2,FALSE)</f>
        <v>2440.2966694490838</v>
      </c>
      <c r="K1182">
        <f t="shared" si="72"/>
        <v>5081.2299999999996</v>
      </c>
      <c r="L1182">
        <f t="shared" si="73"/>
        <v>5081.2299999999996</v>
      </c>
      <c r="M1182">
        <f t="shared" si="74"/>
        <v>5081.2299999999996</v>
      </c>
      <c r="N1182" s="5" t="str">
        <f t="shared" si="75"/>
        <v>June 2022</v>
      </c>
    </row>
    <row r="1183" spans="1:14" x14ac:dyDescent="0.25">
      <c r="A1183" s="1">
        <v>44738</v>
      </c>
      <c r="B1183" t="s">
        <v>3538</v>
      </c>
      <c r="C1183">
        <v>39</v>
      </c>
      <c r="D1183" t="s">
        <v>21</v>
      </c>
      <c r="E1183" t="s">
        <v>25</v>
      </c>
      <c r="F1183" t="s">
        <v>11</v>
      </c>
      <c r="G1183" t="s">
        <v>36</v>
      </c>
      <c r="H1183">
        <v>2461.39</v>
      </c>
      <c r="I1183" s="8" t="str" cm="1">
        <f t="array" ref="I1183">_xlfn.IFS(C1183&lt;=15,"Children and Young Adolescents", C1183&gt;64, "Seniors", TRUE, "Working Age")</f>
        <v>Working Age</v>
      </c>
      <c r="J1183" s="6">
        <f>VLOOKUP(F1183,Analysis!$F$1:$G$5,2,FALSE)</f>
        <v>2503.6022787783854</v>
      </c>
      <c r="K1183">
        <f t="shared" si="72"/>
        <v>2707.52</v>
      </c>
      <c r="L1183">
        <f t="shared" si="73"/>
        <v>2707.53</v>
      </c>
      <c r="M1183">
        <f t="shared" si="74"/>
        <v>2707.53</v>
      </c>
      <c r="N1183" s="5" t="str">
        <f t="shared" si="75"/>
        <v>June 2022</v>
      </c>
    </row>
    <row r="1184" spans="1:14" x14ac:dyDescent="0.25">
      <c r="A1184" s="1">
        <v>44738</v>
      </c>
      <c r="B1184" t="s">
        <v>2343</v>
      </c>
      <c r="C1184">
        <v>77</v>
      </c>
      <c r="D1184" t="s">
        <v>21</v>
      </c>
      <c r="E1184" t="s">
        <v>22</v>
      </c>
      <c r="F1184" t="s">
        <v>29</v>
      </c>
      <c r="G1184" t="s">
        <v>17</v>
      </c>
      <c r="H1184">
        <v>2343.33</v>
      </c>
      <c r="I1184" s="8" t="str" cm="1">
        <f t="array" ref="I1184">_xlfn.IFS(C1184&lt;=15,"Children and Young Adolescents", C1184&gt;64, "Seniors", TRUE, "Working Age")</f>
        <v>Seniors</v>
      </c>
      <c r="J1184" s="6">
        <f>VLOOKUP(F1184,Analysis!$F$1:$G$5,2,FALSE)</f>
        <v>2496.7676064256989</v>
      </c>
      <c r="K1184">
        <f t="shared" si="72"/>
        <v>2577.66</v>
      </c>
      <c r="L1184">
        <f t="shared" si="73"/>
        <v>2577.67</v>
      </c>
      <c r="M1184">
        <f t="shared" si="74"/>
        <v>2577.66</v>
      </c>
      <c r="N1184" s="5" t="str">
        <f t="shared" si="75"/>
        <v>June 2022</v>
      </c>
    </row>
    <row r="1185" spans="1:14" x14ac:dyDescent="0.25">
      <c r="A1185" s="1">
        <v>44738</v>
      </c>
      <c r="B1185" t="s">
        <v>2751</v>
      </c>
      <c r="C1185">
        <v>93</v>
      </c>
      <c r="D1185" t="s">
        <v>14</v>
      </c>
      <c r="E1185" t="s">
        <v>10</v>
      </c>
      <c r="F1185" t="s">
        <v>29</v>
      </c>
      <c r="G1185" t="s">
        <v>27</v>
      </c>
      <c r="H1185">
        <v>1902.39</v>
      </c>
      <c r="I1185" s="8" t="str" cm="1">
        <f t="array" ref="I1185">_xlfn.IFS(C1185&lt;=15,"Children and Young Adolescents", C1185&gt;64, "Seniors", TRUE, "Working Age")</f>
        <v>Seniors</v>
      </c>
      <c r="J1185" s="6">
        <f>VLOOKUP(F1185,Analysis!$F$1:$G$5,2,FALSE)</f>
        <v>2496.7676064256989</v>
      </c>
      <c r="K1185">
        <f t="shared" si="72"/>
        <v>2092.62</v>
      </c>
      <c r="L1185">
        <f t="shared" si="73"/>
        <v>2092.63</v>
      </c>
      <c r="M1185">
        <f t="shared" si="74"/>
        <v>2092.63</v>
      </c>
      <c r="N1185" s="5" t="str">
        <f t="shared" si="75"/>
        <v>June 2022</v>
      </c>
    </row>
    <row r="1186" spans="1:14" x14ac:dyDescent="0.25">
      <c r="A1186" s="1">
        <v>44738</v>
      </c>
      <c r="B1186" t="s">
        <v>189</v>
      </c>
      <c r="C1186">
        <v>13</v>
      </c>
      <c r="D1186" t="s">
        <v>21</v>
      </c>
      <c r="E1186" t="s">
        <v>10</v>
      </c>
      <c r="F1186" t="s">
        <v>11</v>
      </c>
      <c r="G1186" t="s">
        <v>12</v>
      </c>
      <c r="H1186">
        <v>4141.7</v>
      </c>
      <c r="I1186" s="8" t="str" cm="1">
        <f t="array" ref="I1186">_xlfn.IFS(C1186&lt;=15,"Children and Young Adolescents", C1186&gt;64, "Seniors", TRUE, "Working Age")</f>
        <v>Children and Young Adolescents</v>
      </c>
      <c r="J1186" s="6">
        <f>VLOOKUP(F1186,Analysis!$F$1:$G$5,2,FALSE)</f>
        <v>2503.6022787783854</v>
      </c>
      <c r="K1186">
        <f t="shared" si="72"/>
        <v>4555.87</v>
      </c>
      <c r="L1186">
        <f t="shared" si="73"/>
        <v>4555.87</v>
      </c>
      <c r="M1186">
        <f t="shared" si="74"/>
        <v>4555.87</v>
      </c>
      <c r="N1186" s="5" t="str">
        <f t="shared" si="75"/>
        <v>June 2022</v>
      </c>
    </row>
    <row r="1187" spans="1:14" x14ac:dyDescent="0.25">
      <c r="A1187" s="1">
        <v>44738</v>
      </c>
      <c r="B1187" t="s">
        <v>2139</v>
      </c>
      <c r="C1187">
        <v>13</v>
      </c>
      <c r="D1187" t="s">
        <v>9</v>
      </c>
      <c r="E1187" t="s">
        <v>34</v>
      </c>
      <c r="F1187" t="s">
        <v>23</v>
      </c>
      <c r="G1187" t="s">
        <v>17</v>
      </c>
      <c r="H1187">
        <v>4643.84</v>
      </c>
      <c r="I1187" s="8" t="str" cm="1">
        <f t="array" ref="I1187">_xlfn.IFS(C1187&lt;=15,"Children and Young Adolescents", C1187&gt;64, "Seniors", TRUE, "Working Age")</f>
        <v>Children and Young Adolescents</v>
      </c>
      <c r="J1187" s="6">
        <f>VLOOKUP(F1187,Analysis!$F$1:$G$5,2,FALSE)</f>
        <v>2440.2966694490838</v>
      </c>
      <c r="K1187">
        <f t="shared" si="72"/>
        <v>5108.22</v>
      </c>
      <c r="L1187">
        <f t="shared" si="73"/>
        <v>5108.2300000000005</v>
      </c>
      <c r="M1187">
        <f t="shared" si="74"/>
        <v>5108.22</v>
      </c>
      <c r="N1187" s="5" t="str">
        <f t="shared" si="75"/>
        <v>June 2022</v>
      </c>
    </row>
    <row r="1188" spans="1:14" x14ac:dyDescent="0.25">
      <c r="A1188" s="1">
        <v>44738</v>
      </c>
      <c r="B1188" t="s">
        <v>3165</v>
      </c>
      <c r="C1188">
        <v>25</v>
      </c>
      <c r="D1188" t="s">
        <v>21</v>
      </c>
      <c r="E1188" t="s">
        <v>32</v>
      </c>
      <c r="F1188" t="s">
        <v>29</v>
      </c>
      <c r="G1188" t="s">
        <v>12</v>
      </c>
      <c r="H1188">
        <v>575.85</v>
      </c>
      <c r="I1188" s="8" t="str" cm="1">
        <f t="array" ref="I1188">_xlfn.IFS(C1188&lt;=15,"Children and Young Adolescents", C1188&gt;64, "Seniors", TRUE, "Working Age")</f>
        <v>Working Age</v>
      </c>
      <c r="J1188" s="6">
        <f>VLOOKUP(F1188,Analysis!$F$1:$G$5,2,FALSE)</f>
        <v>2496.7676064256989</v>
      </c>
      <c r="K1188">
        <f t="shared" si="72"/>
        <v>633.42999999999995</v>
      </c>
      <c r="L1188">
        <f t="shared" si="73"/>
        <v>633.43999999999994</v>
      </c>
      <c r="M1188">
        <f t="shared" si="74"/>
        <v>633.44000000000005</v>
      </c>
      <c r="N1188" s="5" t="str">
        <f t="shared" si="75"/>
        <v>June 2022</v>
      </c>
    </row>
    <row r="1189" spans="1:14" x14ac:dyDescent="0.25">
      <c r="A1189" s="1">
        <v>44738</v>
      </c>
      <c r="B1189" t="s">
        <v>2189</v>
      </c>
      <c r="C1189">
        <v>29</v>
      </c>
      <c r="D1189" t="s">
        <v>21</v>
      </c>
      <c r="E1189" t="s">
        <v>25</v>
      </c>
      <c r="F1189" t="s">
        <v>23</v>
      </c>
      <c r="G1189" t="s">
        <v>17</v>
      </c>
      <c r="H1189">
        <v>4261.84</v>
      </c>
      <c r="I1189" s="8" t="str" cm="1">
        <f t="array" ref="I1189">_xlfn.IFS(C1189&lt;=15,"Children and Young Adolescents", C1189&gt;64, "Seniors", TRUE, "Working Age")</f>
        <v>Working Age</v>
      </c>
      <c r="J1189" s="6">
        <f>VLOOKUP(F1189,Analysis!$F$1:$G$5,2,FALSE)</f>
        <v>2440.2966694490838</v>
      </c>
      <c r="K1189">
        <f t="shared" si="72"/>
        <v>4688.0200000000004</v>
      </c>
      <c r="L1189">
        <f t="shared" si="73"/>
        <v>4688.0300000000007</v>
      </c>
      <c r="M1189">
        <f t="shared" si="74"/>
        <v>4688.0200000000004</v>
      </c>
      <c r="N1189" s="5" t="str">
        <f t="shared" si="75"/>
        <v>June 2022</v>
      </c>
    </row>
    <row r="1190" spans="1:14" x14ac:dyDescent="0.25">
      <c r="A1190" s="1">
        <v>44738</v>
      </c>
      <c r="B1190" t="s">
        <v>3591</v>
      </c>
      <c r="C1190">
        <v>47</v>
      </c>
      <c r="D1190" t="s">
        <v>21</v>
      </c>
      <c r="E1190" t="s">
        <v>15</v>
      </c>
      <c r="F1190" t="s">
        <v>16</v>
      </c>
      <c r="G1190" t="s">
        <v>36</v>
      </c>
      <c r="H1190">
        <v>3287.12</v>
      </c>
      <c r="I1190" s="8" t="str" cm="1">
        <f t="array" ref="I1190">_xlfn.IFS(C1190&lt;=15,"Children and Young Adolescents", C1190&gt;64, "Seniors", TRUE, "Working Age")</f>
        <v>Working Age</v>
      </c>
      <c r="J1190" s="6">
        <f>VLOOKUP(F1190,Analysis!$F$1:$G$5,2,FALSE)</f>
        <v>2509.1716796874912</v>
      </c>
      <c r="K1190">
        <f t="shared" si="72"/>
        <v>3615.83</v>
      </c>
      <c r="L1190">
        <f t="shared" si="73"/>
        <v>3615.84</v>
      </c>
      <c r="M1190">
        <f t="shared" si="74"/>
        <v>3615.83</v>
      </c>
      <c r="N1190" s="5" t="str">
        <f t="shared" si="75"/>
        <v>June 2022</v>
      </c>
    </row>
    <row r="1191" spans="1:14" x14ac:dyDescent="0.25">
      <c r="A1191" s="1">
        <v>44738</v>
      </c>
      <c r="B1191" t="s">
        <v>3163</v>
      </c>
      <c r="C1191">
        <v>40</v>
      </c>
      <c r="D1191" t="s">
        <v>9</v>
      </c>
      <c r="E1191" t="s">
        <v>25</v>
      </c>
      <c r="F1191" t="s">
        <v>16</v>
      </c>
      <c r="G1191" t="s">
        <v>17</v>
      </c>
      <c r="H1191">
        <v>4167.5600000000004</v>
      </c>
      <c r="I1191" s="8" t="str" cm="1">
        <f t="array" ref="I1191">_xlfn.IFS(C1191&lt;=15,"Children and Young Adolescents", C1191&gt;64, "Seniors", TRUE, "Working Age")</f>
        <v>Working Age</v>
      </c>
      <c r="J1191" s="6">
        <f>VLOOKUP(F1191,Analysis!$F$1:$G$5,2,FALSE)</f>
        <v>2509.1716796874912</v>
      </c>
      <c r="K1191">
        <f t="shared" si="72"/>
        <v>4584.3100000000004</v>
      </c>
      <c r="L1191">
        <f t="shared" si="73"/>
        <v>4584.3200000000006</v>
      </c>
      <c r="M1191">
        <f t="shared" si="74"/>
        <v>4584.32</v>
      </c>
      <c r="N1191" s="5" t="str">
        <f t="shared" si="75"/>
        <v>June 2022</v>
      </c>
    </row>
    <row r="1192" spans="1:14" x14ac:dyDescent="0.25">
      <c r="A1192" s="1">
        <v>44738</v>
      </c>
      <c r="B1192" t="s">
        <v>4698</v>
      </c>
      <c r="C1192">
        <v>95</v>
      </c>
      <c r="D1192" t="s">
        <v>21</v>
      </c>
      <c r="E1192" t="s">
        <v>25</v>
      </c>
      <c r="F1192" t="s">
        <v>11</v>
      </c>
      <c r="G1192" t="s">
        <v>12</v>
      </c>
      <c r="H1192">
        <v>3981.35</v>
      </c>
      <c r="I1192" s="8" t="str" cm="1">
        <f t="array" ref="I1192">_xlfn.IFS(C1192&lt;=15,"Children and Young Adolescents", C1192&gt;64, "Seniors", TRUE, "Working Age")</f>
        <v>Seniors</v>
      </c>
      <c r="J1192" s="6">
        <f>VLOOKUP(F1192,Analysis!$F$1:$G$5,2,FALSE)</f>
        <v>2503.6022787783854</v>
      </c>
      <c r="K1192">
        <f t="shared" si="72"/>
        <v>4379.4799999999996</v>
      </c>
      <c r="L1192">
        <f t="shared" si="73"/>
        <v>4379.49</v>
      </c>
      <c r="M1192">
        <f t="shared" si="74"/>
        <v>4379.49</v>
      </c>
      <c r="N1192" s="5" t="str">
        <f t="shared" si="75"/>
        <v>June 2022</v>
      </c>
    </row>
    <row r="1193" spans="1:14" x14ac:dyDescent="0.25">
      <c r="A1193" s="1">
        <v>44739</v>
      </c>
      <c r="B1193" t="s">
        <v>2935</v>
      </c>
      <c r="C1193">
        <v>20</v>
      </c>
      <c r="D1193" t="s">
        <v>14</v>
      </c>
      <c r="E1193" t="s">
        <v>19</v>
      </c>
      <c r="F1193" t="s">
        <v>16</v>
      </c>
      <c r="G1193" t="s">
        <v>12</v>
      </c>
      <c r="H1193">
        <v>1027.73</v>
      </c>
      <c r="I1193" s="8" t="str" cm="1">
        <f t="array" ref="I1193">_xlfn.IFS(C1193&lt;=15,"Children and Young Adolescents", C1193&gt;64, "Seniors", TRUE, "Working Age")</f>
        <v>Working Age</v>
      </c>
      <c r="J1193" s="6">
        <f>VLOOKUP(F1193,Analysis!$F$1:$G$5,2,FALSE)</f>
        <v>2509.1716796874912</v>
      </c>
      <c r="K1193">
        <f t="shared" si="72"/>
        <v>1130.5</v>
      </c>
      <c r="L1193">
        <f t="shared" si="73"/>
        <v>1130.51</v>
      </c>
      <c r="M1193">
        <f t="shared" si="74"/>
        <v>1130.5</v>
      </c>
      <c r="N1193" s="5" t="str">
        <f t="shared" si="75"/>
        <v>June 2022</v>
      </c>
    </row>
    <row r="1194" spans="1:14" x14ac:dyDescent="0.25">
      <c r="A1194" s="1">
        <v>44739</v>
      </c>
      <c r="B1194" t="s">
        <v>3514</v>
      </c>
      <c r="C1194">
        <v>85</v>
      </c>
      <c r="D1194" t="s">
        <v>14</v>
      </c>
      <c r="E1194" t="s">
        <v>15</v>
      </c>
      <c r="F1194" t="s">
        <v>29</v>
      </c>
      <c r="G1194" t="s">
        <v>39</v>
      </c>
      <c r="H1194">
        <v>1853.95</v>
      </c>
      <c r="I1194" s="8" t="str" cm="1">
        <f t="array" ref="I1194">_xlfn.IFS(C1194&lt;=15,"Children and Young Adolescents", C1194&gt;64, "Seniors", TRUE, "Working Age")</f>
        <v>Seniors</v>
      </c>
      <c r="J1194" s="6">
        <f>VLOOKUP(F1194,Analysis!$F$1:$G$5,2,FALSE)</f>
        <v>2496.7676064256989</v>
      </c>
      <c r="K1194">
        <f t="shared" si="72"/>
        <v>2039.34</v>
      </c>
      <c r="L1194">
        <f t="shared" si="73"/>
        <v>2039.35</v>
      </c>
      <c r="M1194">
        <f t="shared" si="74"/>
        <v>2039.35</v>
      </c>
      <c r="N1194" s="5" t="str">
        <f t="shared" si="75"/>
        <v>June 2022</v>
      </c>
    </row>
    <row r="1195" spans="1:14" x14ac:dyDescent="0.25">
      <c r="A1195" s="1">
        <v>44739</v>
      </c>
      <c r="B1195" t="s">
        <v>3201</v>
      </c>
      <c r="C1195">
        <v>1</v>
      </c>
      <c r="D1195" t="s">
        <v>14</v>
      </c>
      <c r="E1195" t="s">
        <v>19</v>
      </c>
      <c r="F1195" t="s">
        <v>11</v>
      </c>
      <c r="G1195" t="s">
        <v>27</v>
      </c>
      <c r="H1195">
        <v>4382.62</v>
      </c>
      <c r="I1195" s="8" t="str" cm="1">
        <f t="array" ref="I1195">_xlfn.IFS(C1195&lt;=15,"Children and Young Adolescents", C1195&gt;64, "Seniors", TRUE, "Working Age")</f>
        <v>Children and Young Adolescents</v>
      </c>
      <c r="J1195" s="6">
        <f>VLOOKUP(F1195,Analysis!$F$1:$G$5,2,FALSE)</f>
        <v>2503.6022787783854</v>
      </c>
      <c r="K1195">
        <f t="shared" si="72"/>
        <v>4820.88</v>
      </c>
      <c r="L1195">
        <f t="shared" si="73"/>
        <v>4820.8900000000003</v>
      </c>
      <c r="M1195">
        <f t="shared" si="74"/>
        <v>4820.88</v>
      </c>
      <c r="N1195" s="5" t="str">
        <f t="shared" si="75"/>
        <v>June 2022</v>
      </c>
    </row>
    <row r="1196" spans="1:14" x14ac:dyDescent="0.25">
      <c r="A1196" s="1">
        <v>44739</v>
      </c>
      <c r="B1196" t="s">
        <v>418</v>
      </c>
      <c r="C1196">
        <v>53</v>
      </c>
      <c r="D1196" t="s">
        <v>21</v>
      </c>
      <c r="E1196" t="s">
        <v>32</v>
      </c>
      <c r="F1196" t="s">
        <v>29</v>
      </c>
      <c r="G1196" t="s">
        <v>36</v>
      </c>
      <c r="H1196">
        <v>3921.88</v>
      </c>
      <c r="I1196" s="8" t="str" cm="1">
        <f t="array" ref="I1196">_xlfn.IFS(C1196&lt;=15,"Children and Young Adolescents", C1196&gt;64, "Seniors", TRUE, "Working Age")</f>
        <v>Working Age</v>
      </c>
      <c r="J1196" s="6">
        <f>VLOOKUP(F1196,Analysis!$F$1:$G$5,2,FALSE)</f>
        <v>2496.7676064256989</v>
      </c>
      <c r="K1196">
        <f t="shared" si="72"/>
        <v>4314.0600000000004</v>
      </c>
      <c r="L1196">
        <f t="shared" si="73"/>
        <v>4314.0700000000006</v>
      </c>
      <c r="M1196">
        <f t="shared" si="74"/>
        <v>4314.07</v>
      </c>
      <c r="N1196" s="5" t="str">
        <f t="shared" si="75"/>
        <v>June 2022</v>
      </c>
    </row>
    <row r="1197" spans="1:14" x14ac:dyDescent="0.25">
      <c r="A1197" s="1">
        <v>44739</v>
      </c>
      <c r="B1197" t="s">
        <v>4988</v>
      </c>
      <c r="C1197">
        <v>53</v>
      </c>
      <c r="D1197" t="s">
        <v>9</v>
      </c>
      <c r="E1197" t="s">
        <v>5032</v>
      </c>
      <c r="F1197" t="s">
        <v>16</v>
      </c>
      <c r="G1197" t="s">
        <v>17</v>
      </c>
      <c r="H1197">
        <v>4862.45</v>
      </c>
      <c r="I1197" s="8" t="str" cm="1">
        <f t="array" ref="I1197">_xlfn.IFS(C1197&lt;=15,"Children and Young Adolescents", C1197&gt;64, "Seniors", TRUE, "Working Age")</f>
        <v>Working Age</v>
      </c>
      <c r="J1197" s="6">
        <f>VLOOKUP(F1197,Analysis!$F$1:$G$5,2,FALSE)</f>
        <v>2509.1716796874912</v>
      </c>
      <c r="K1197">
        <f t="shared" si="72"/>
        <v>5348.69</v>
      </c>
      <c r="L1197">
        <f t="shared" si="73"/>
        <v>5348.7</v>
      </c>
      <c r="M1197">
        <f t="shared" si="74"/>
        <v>5348.7</v>
      </c>
      <c r="N1197" s="5" t="str">
        <f t="shared" si="75"/>
        <v>June 2022</v>
      </c>
    </row>
    <row r="1198" spans="1:14" x14ac:dyDescent="0.25">
      <c r="A1198" s="1">
        <v>44739</v>
      </c>
      <c r="B1198" t="s">
        <v>1895</v>
      </c>
      <c r="C1198">
        <v>82</v>
      </c>
      <c r="D1198" t="s">
        <v>21</v>
      </c>
      <c r="E1198" t="s">
        <v>19</v>
      </c>
      <c r="F1198" t="s">
        <v>16</v>
      </c>
      <c r="G1198" t="s">
        <v>17</v>
      </c>
      <c r="H1198">
        <v>2310.16</v>
      </c>
      <c r="I1198" s="8" t="str" cm="1">
        <f t="array" ref="I1198">_xlfn.IFS(C1198&lt;=15,"Children and Young Adolescents", C1198&gt;64, "Seniors", TRUE, "Working Age")</f>
        <v>Seniors</v>
      </c>
      <c r="J1198" s="6">
        <f>VLOOKUP(F1198,Analysis!$F$1:$G$5,2,FALSE)</f>
        <v>2509.1716796874912</v>
      </c>
      <c r="K1198">
        <f t="shared" si="72"/>
        <v>2541.17</v>
      </c>
      <c r="L1198">
        <f t="shared" si="73"/>
        <v>2541.1800000000003</v>
      </c>
      <c r="M1198">
        <f t="shared" si="74"/>
        <v>2541.1799999999998</v>
      </c>
      <c r="N1198" s="5" t="str">
        <f t="shared" si="75"/>
        <v>June 2022</v>
      </c>
    </row>
    <row r="1199" spans="1:14" x14ac:dyDescent="0.25">
      <c r="A1199" s="1">
        <v>44739</v>
      </c>
      <c r="B1199" t="s">
        <v>3609</v>
      </c>
      <c r="C1199">
        <v>75</v>
      </c>
      <c r="D1199" t="s">
        <v>21</v>
      </c>
      <c r="E1199" t="s">
        <v>32</v>
      </c>
      <c r="F1199" t="s">
        <v>16</v>
      </c>
      <c r="G1199" t="s">
        <v>27</v>
      </c>
      <c r="H1199">
        <v>2794.58</v>
      </c>
      <c r="I1199" s="8" t="str" cm="1">
        <f t="array" ref="I1199">_xlfn.IFS(C1199&lt;=15,"Children and Young Adolescents", C1199&gt;64, "Seniors", TRUE, "Working Age")</f>
        <v>Seniors</v>
      </c>
      <c r="J1199" s="6">
        <f>VLOOKUP(F1199,Analysis!$F$1:$G$5,2,FALSE)</f>
        <v>2509.1716796874912</v>
      </c>
      <c r="K1199">
        <f t="shared" si="72"/>
        <v>3074.03</v>
      </c>
      <c r="L1199">
        <f t="shared" si="73"/>
        <v>3074.0400000000004</v>
      </c>
      <c r="M1199">
        <f t="shared" si="74"/>
        <v>3074.04</v>
      </c>
      <c r="N1199" s="5" t="str">
        <f t="shared" si="75"/>
        <v>June 2022</v>
      </c>
    </row>
    <row r="1200" spans="1:14" x14ac:dyDescent="0.25">
      <c r="A1200" s="1">
        <v>44739</v>
      </c>
      <c r="B1200" t="s">
        <v>4075</v>
      </c>
      <c r="C1200">
        <v>77</v>
      </c>
      <c r="D1200" t="s">
        <v>14</v>
      </c>
      <c r="E1200" t="s">
        <v>19</v>
      </c>
      <c r="F1200" t="s">
        <v>23</v>
      </c>
      <c r="G1200" t="s">
        <v>39</v>
      </c>
      <c r="H1200">
        <v>629.57000000000005</v>
      </c>
      <c r="I1200" s="8" t="str" cm="1">
        <f t="array" ref="I1200">_xlfn.IFS(C1200&lt;=15,"Children and Young Adolescents", C1200&gt;64, "Seniors", TRUE, "Working Age")</f>
        <v>Seniors</v>
      </c>
      <c r="J1200" s="6">
        <f>VLOOKUP(F1200,Analysis!$F$1:$G$5,2,FALSE)</f>
        <v>2440.2966694490838</v>
      </c>
      <c r="K1200">
        <f t="shared" si="72"/>
        <v>692.52</v>
      </c>
      <c r="L1200">
        <f t="shared" si="73"/>
        <v>692.53</v>
      </c>
      <c r="M1200">
        <f t="shared" si="74"/>
        <v>692.53</v>
      </c>
      <c r="N1200" s="5" t="str">
        <f t="shared" si="75"/>
        <v>June 2022</v>
      </c>
    </row>
    <row r="1201" spans="1:14" x14ac:dyDescent="0.25">
      <c r="A1201" s="1">
        <v>44739</v>
      </c>
      <c r="B1201" t="s">
        <v>4317</v>
      </c>
      <c r="C1201">
        <v>84</v>
      </c>
      <c r="D1201" t="s">
        <v>14</v>
      </c>
      <c r="E1201" t="s">
        <v>32</v>
      </c>
      <c r="F1201" t="s">
        <v>29</v>
      </c>
      <c r="G1201" t="s">
        <v>36</v>
      </c>
      <c r="H1201">
        <v>385.73</v>
      </c>
      <c r="I1201" s="8" t="str" cm="1">
        <f t="array" ref="I1201">_xlfn.IFS(C1201&lt;=15,"Children and Young Adolescents", C1201&gt;64, "Seniors", TRUE, "Working Age")</f>
        <v>Seniors</v>
      </c>
      <c r="J1201" s="6">
        <f>VLOOKUP(F1201,Analysis!$F$1:$G$5,2,FALSE)</f>
        <v>2496.7676064256989</v>
      </c>
      <c r="K1201">
        <f t="shared" si="72"/>
        <v>424.3</v>
      </c>
      <c r="L1201">
        <f t="shared" si="73"/>
        <v>424.31</v>
      </c>
      <c r="M1201">
        <f t="shared" si="74"/>
        <v>424.3</v>
      </c>
      <c r="N1201" s="5" t="str">
        <f t="shared" si="75"/>
        <v>June 2022</v>
      </c>
    </row>
    <row r="1202" spans="1:14" x14ac:dyDescent="0.25">
      <c r="A1202" s="1">
        <v>44739</v>
      </c>
      <c r="B1202" t="s">
        <v>2088</v>
      </c>
      <c r="C1202">
        <v>74</v>
      </c>
      <c r="D1202" t="s">
        <v>21</v>
      </c>
      <c r="E1202" t="s">
        <v>22</v>
      </c>
      <c r="F1202" t="s">
        <v>16</v>
      </c>
      <c r="G1202" t="s">
        <v>36</v>
      </c>
      <c r="H1202">
        <v>4372.1000000000004</v>
      </c>
      <c r="I1202" s="8" t="str" cm="1">
        <f t="array" ref="I1202">_xlfn.IFS(C1202&lt;=15,"Children and Young Adolescents", C1202&gt;64, "Seniors", TRUE, "Working Age")</f>
        <v>Seniors</v>
      </c>
      <c r="J1202" s="6">
        <f>VLOOKUP(F1202,Analysis!$F$1:$G$5,2,FALSE)</f>
        <v>2509.1716796874912</v>
      </c>
      <c r="K1202">
        <f t="shared" si="72"/>
        <v>4809.3100000000004</v>
      </c>
      <c r="L1202">
        <f t="shared" si="73"/>
        <v>4809.3100000000004</v>
      </c>
      <c r="M1202">
        <f t="shared" si="74"/>
        <v>4809.3100000000004</v>
      </c>
      <c r="N1202" s="5" t="str">
        <f t="shared" si="75"/>
        <v>June 2022</v>
      </c>
    </row>
    <row r="1203" spans="1:14" x14ac:dyDescent="0.25">
      <c r="A1203" s="1">
        <v>44739</v>
      </c>
      <c r="B1203" t="s">
        <v>311</v>
      </c>
      <c r="C1203">
        <v>59</v>
      </c>
      <c r="D1203" t="s">
        <v>14</v>
      </c>
      <c r="E1203" t="s">
        <v>15</v>
      </c>
      <c r="F1203" t="s">
        <v>16</v>
      </c>
      <c r="G1203" t="s">
        <v>27</v>
      </c>
      <c r="H1203">
        <v>1523.5</v>
      </c>
      <c r="I1203" s="8" t="str" cm="1">
        <f t="array" ref="I1203">_xlfn.IFS(C1203&lt;=15,"Children and Young Adolescents", C1203&gt;64, "Seniors", TRUE, "Working Age")</f>
        <v>Working Age</v>
      </c>
      <c r="J1203" s="6">
        <f>VLOOKUP(F1203,Analysis!$F$1:$G$5,2,FALSE)</f>
        <v>2509.1716796874912</v>
      </c>
      <c r="K1203">
        <f t="shared" si="72"/>
        <v>1675.85</v>
      </c>
      <c r="L1203">
        <f t="shared" si="73"/>
        <v>1675.85</v>
      </c>
      <c r="M1203">
        <f t="shared" si="74"/>
        <v>1675.85</v>
      </c>
      <c r="N1203" s="5" t="str">
        <f t="shared" si="75"/>
        <v>June 2022</v>
      </c>
    </row>
    <row r="1204" spans="1:14" x14ac:dyDescent="0.25">
      <c r="A1204" s="1">
        <v>44739</v>
      </c>
      <c r="B1204" t="s">
        <v>2059</v>
      </c>
      <c r="C1204">
        <v>26</v>
      </c>
      <c r="D1204" t="s">
        <v>9</v>
      </c>
      <c r="E1204" t="s">
        <v>32</v>
      </c>
      <c r="F1204" t="s">
        <v>29</v>
      </c>
      <c r="G1204" t="s">
        <v>27</v>
      </c>
      <c r="H1204">
        <v>2258.9899999999998</v>
      </c>
      <c r="I1204" s="8" t="str" cm="1">
        <f t="array" ref="I1204">_xlfn.IFS(C1204&lt;=15,"Children and Young Adolescents", C1204&gt;64, "Seniors", TRUE, "Working Age")</f>
        <v>Working Age</v>
      </c>
      <c r="J1204" s="6">
        <f>VLOOKUP(F1204,Analysis!$F$1:$G$5,2,FALSE)</f>
        <v>2496.7676064256989</v>
      </c>
      <c r="K1204">
        <f t="shared" si="72"/>
        <v>2484.88</v>
      </c>
      <c r="L1204">
        <f t="shared" si="73"/>
        <v>2484.8900000000003</v>
      </c>
      <c r="M1204">
        <f t="shared" si="74"/>
        <v>2484.89</v>
      </c>
      <c r="N1204" s="5" t="str">
        <f t="shared" si="75"/>
        <v>June 2022</v>
      </c>
    </row>
    <row r="1205" spans="1:14" x14ac:dyDescent="0.25">
      <c r="A1205" s="1">
        <v>44739</v>
      </c>
      <c r="B1205" t="s">
        <v>752</v>
      </c>
      <c r="C1205">
        <v>12</v>
      </c>
      <c r="D1205" t="s">
        <v>9</v>
      </c>
      <c r="E1205" t="s">
        <v>10</v>
      </c>
      <c r="F1205" t="s">
        <v>29</v>
      </c>
      <c r="G1205" t="s">
        <v>36</v>
      </c>
      <c r="H1205">
        <v>475.48</v>
      </c>
      <c r="I1205" s="8" t="str" cm="1">
        <f t="array" ref="I1205">_xlfn.IFS(C1205&lt;=15,"Children and Young Adolescents", C1205&gt;64, "Seniors", TRUE, "Working Age")</f>
        <v>Children and Young Adolescents</v>
      </c>
      <c r="J1205" s="6">
        <f>VLOOKUP(F1205,Analysis!$F$1:$G$5,2,FALSE)</f>
        <v>2496.7676064256989</v>
      </c>
      <c r="K1205">
        <f t="shared" si="72"/>
        <v>523.02</v>
      </c>
      <c r="L1205">
        <f t="shared" si="73"/>
        <v>523.03</v>
      </c>
      <c r="M1205">
        <f t="shared" si="74"/>
        <v>523.03</v>
      </c>
      <c r="N1205" s="5" t="str">
        <f t="shared" si="75"/>
        <v>June 2022</v>
      </c>
    </row>
    <row r="1206" spans="1:14" x14ac:dyDescent="0.25">
      <c r="A1206" s="1">
        <v>44740</v>
      </c>
      <c r="B1206" t="s">
        <v>1709</v>
      </c>
      <c r="C1206">
        <v>75</v>
      </c>
      <c r="D1206" t="s">
        <v>21</v>
      </c>
      <c r="E1206" t="s">
        <v>34</v>
      </c>
      <c r="F1206" t="s">
        <v>23</v>
      </c>
      <c r="G1206" t="s">
        <v>12</v>
      </c>
      <c r="H1206">
        <v>4917.0200000000004</v>
      </c>
      <c r="I1206" s="8" t="str" cm="1">
        <f t="array" ref="I1206">_xlfn.IFS(C1206&lt;=15,"Children and Young Adolescents", C1206&gt;64, "Seniors", TRUE, "Working Age")</f>
        <v>Seniors</v>
      </c>
      <c r="J1206" s="6">
        <f>VLOOKUP(F1206,Analysis!$F$1:$G$5,2,FALSE)</f>
        <v>2440.2966694490838</v>
      </c>
      <c r="K1206">
        <f t="shared" si="72"/>
        <v>5408.72</v>
      </c>
      <c r="L1206">
        <f t="shared" si="73"/>
        <v>5408.7300000000005</v>
      </c>
      <c r="M1206">
        <f t="shared" si="74"/>
        <v>5408.72</v>
      </c>
      <c r="N1206" s="5" t="str">
        <f t="shared" si="75"/>
        <v>June 2022</v>
      </c>
    </row>
    <row r="1207" spans="1:14" x14ac:dyDescent="0.25">
      <c r="A1207" s="1">
        <v>44740</v>
      </c>
      <c r="B1207" t="s">
        <v>1565</v>
      </c>
      <c r="C1207">
        <v>37</v>
      </c>
      <c r="D1207" t="s">
        <v>14</v>
      </c>
      <c r="E1207" t="s">
        <v>15</v>
      </c>
      <c r="F1207" t="s">
        <v>29</v>
      </c>
      <c r="G1207" t="s">
        <v>27</v>
      </c>
      <c r="H1207">
        <v>4358.5</v>
      </c>
      <c r="I1207" s="8" t="str" cm="1">
        <f t="array" ref="I1207">_xlfn.IFS(C1207&lt;=15,"Children and Young Adolescents", C1207&gt;64, "Seniors", TRUE, "Working Age")</f>
        <v>Working Age</v>
      </c>
      <c r="J1207" s="6">
        <f>VLOOKUP(F1207,Analysis!$F$1:$G$5,2,FALSE)</f>
        <v>2496.7676064256989</v>
      </c>
      <c r="K1207">
        <f t="shared" si="72"/>
        <v>4794.3500000000004</v>
      </c>
      <c r="L1207">
        <f t="shared" si="73"/>
        <v>4794.3500000000004</v>
      </c>
      <c r="M1207">
        <f t="shared" si="74"/>
        <v>4794.3500000000004</v>
      </c>
      <c r="N1207" s="5" t="str">
        <f t="shared" si="75"/>
        <v>June 2022</v>
      </c>
    </row>
    <row r="1208" spans="1:14" x14ac:dyDescent="0.25">
      <c r="A1208" s="1">
        <v>44740</v>
      </c>
      <c r="B1208" t="s">
        <v>969</v>
      </c>
      <c r="C1208">
        <v>81</v>
      </c>
      <c r="D1208" t="s">
        <v>21</v>
      </c>
      <c r="E1208" t="s">
        <v>19</v>
      </c>
      <c r="F1208" t="s">
        <v>11</v>
      </c>
      <c r="G1208" t="s">
        <v>39</v>
      </c>
      <c r="H1208">
        <v>2450.1999999999998</v>
      </c>
      <c r="I1208" s="8" t="str" cm="1">
        <f t="array" ref="I1208">_xlfn.IFS(C1208&lt;=15,"Children and Young Adolescents", C1208&gt;64, "Seniors", TRUE, "Working Age")</f>
        <v>Seniors</v>
      </c>
      <c r="J1208" s="6">
        <f>VLOOKUP(F1208,Analysis!$F$1:$G$5,2,FALSE)</f>
        <v>2503.6022787783854</v>
      </c>
      <c r="K1208">
        <f t="shared" si="72"/>
        <v>2695.22</v>
      </c>
      <c r="L1208">
        <f t="shared" si="73"/>
        <v>2695.22</v>
      </c>
      <c r="M1208">
        <f t="shared" si="74"/>
        <v>2695.22</v>
      </c>
      <c r="N1208" s="5" t="str">
        <f t="shared" si="75"/>
        <v>June 2022</v>
      </c>
    </row>
    <row r="1209" spans="1:14" x14ac:dyDescent="0.25">
      <c r="A1209" s="1">
        <v>44740</v>
      </c>
      <c r="B1209" t="s">
        <v>2862</v>
      </c>
      <c r="C1209">
        <v>12</v>
      </c>
      <c r="D1209" t="s">
        <v>21</v>
      </c>
      <c r="E1209" t="s">
        <v>25</v>
      </c>
      <c r="F1209" t="s">
        <v>23</v>
      </c>
      <c r="G1209" t="s">
        <v>27</v>
      </c>
      <c r="H1209">
        <v>4053.45</v>
      </c>
      <c r="I1209" s="8" t="str" cm="1">
        <f t="array" ref="I1209">_xlfn.IFS(C1209&lt;=15,"Children and Young Adolescents", C1209&gt;64, "Seniors", TRUE, "Working Age")</f>
        <v>Children and Young Adolescents</v>
      </c>
      <c r="J1209" s="6">
        <f>VLOOKUP(F1209,Analysis!$F$1:$G$5,2,FALSE)</f>
        <v>2440.2966694490838</v>
      </c>
      <c r="K1209">
        <f t="shared" si="72"/>
        <v>4458.79</v>
      </c>
      <c r="L1209">
        <f t="shared" si="73"/>
        <v>4458.8</v>
      </c>
      <c r="M1209">
        <f t="shared" si="74"/>
        <v>4458.8</v>
      </c>
      <c r="N1209" s="5" t="str">
        <f t="shared" si="75"/>
        <v>June 2022</v>
      </c>
    </row>
    <row r="1210" spans="1:14" x14ac:dyDescent="0.25">
      <c r="A1210" s="1">
        <v>44740</v>
      </c>
      <c r="B1210" t="s">
        <v>1104</v>
      </c>
      <c r="C1210">
        <v>52</v>
      </c>
      <c r="D1210" t="s">
        <v>9</v>
      </c>
      <c r="E1210" t="s">
        <v>10</v>
      </c>
      <c r="F1210" t="s">
        <v>11</v>
      </c>
      <c r="G1210" t="s">
        <v>27</v>
      </c>
      <c r="H1210">
        <v>4791.01</v>
      </c>
      <c r="I1210" s="8" t="str" cm="1">
        <f t="array" ref="I1210">_xlfn.IFS(C1210&lt;=15,"Children and Young Adolescents", C1210&gt;64, "Seniors", TRUE, "Working Age")</f>
        <v>Working Age</v>
      </c>
      <c r="J1210" s="6">
        <f>VLOOKUP(F1210,Analysis!$F$1:$G$5,2,FALSE)</f>
        <v>2503.6022787783854</v>
      </c>
      <c r="K1210">
        <f t="shared" si="72"/>
        <v>5270.11</v>
      </c>
      <c r="L1210">
        <f t="shared" si="73"/>
        <v>5270.12</v>
      </c>
      <c r="M1210">
        <f t="shared" si="74"/>
        <v>5270.11</v>
      </c>
      <c r="N1210" s="5" t="str">
        <f t="shared" si="75"/>
        <v>June 2022</v>
      </c>
    </row>
    <row r="1211" spans="1:14" x14ac:dyDescent="0.25">
      <c r="A1211" s="1">
        <v>44740</v>
      </c>
      <c r="B1211" t="s">
        <v>4970</v>
      </c>
      <c r="C1211">
        <v>99</v>
      </c>
      <c r="D1211" t="s">
        <v>9</v>
      </c>
      <c r="E1211" t="s">
        <v>25</v>
      </c>
      <c r="F1211" t="s">
        <v>29</v>
      </c>
      <c r="G1211" t="s">
        <v>39</v>
      </c>
      <c r="H1211">
        <v>367.72</v>
      </c>
      <c r="I1211" s="8" t="str" cm="1">
        <f t="array" ref="I1211">_xlfn.IFS(C1211&lt;=15,"Children and Young Adolescents", C1211&gt;64, "Seniors", TRUE, "Working Age")</f>
        <v>Seniors</v>
      </c>
      <c r="J1211" s="6">
        <f>VLOOKUP(F1211,Analysis!$F$1:$G$5,2,FALSE)</f>
        <v>2496.7676064256989</v>
      </c>
      <c r="K1211">
        <f t="shared" si="72"/>
        <v>404.49</v>
      </c>
      <c r="L1211">
        <f t="shared" si="73"/>
        <v>404.5</v>
      </c>
      <c r="M1211">
        <f t="shared" si="74"/>
        <v>404.49</v>
      </c>
      <c r="N1211" s="5" t="str">
        <f t="shared" si="75"/>
        <v>June 2022</v>
      </c>
    </row>
    <row r="1212" spans="1:14" x14ac:dyDescent="0.25">
      <c r="A1212" s="1">
        <v>44740</v>
      </c>
      <c r="B1212" t="s">
        <v>1989</v>
      </c>
      <c r="C1212">
        <v>48</v>
      </c>
      <c r="D1212" t="s">
        <v>14</v>
      </c>
      <c r="E1212" t="s">
        <v>34</v>
      </c>
      <c r="F1212" t="s">
        <v>11</v>
      </c>
      <c r="G1212" t="s">
        <v>27</v>
      </c>
      <c r="H1212">
        <v>866.61</v>
      </c>
      <c r="I1212" s="8" t="str" cm="1">
        <f t="array" ref="I1212">_xlfn.IFS(C1212&lt;=15,"Children and Young Adolescents", C1212&gt;64, "Seniors", TRUE, "Working Age")</f>
        <v>Working Age</v>
      </c>
      <c r="J1212" s="6">
        <f>VLOOKUP(F1212,Analysis!$F$1:$G$5,2,FALSE)</f>
        <v>2503.6022787783854</v>
      </c>
      <c r="K1212">
        <f t="shared" si="72"/>
        <v>953.27</v>
      </c>
      <c r="L1212">
        <f t="shared" si="73"/>
        <v>953.28</v>
      </c>
      <c r="M1212">
        <f t="shared" si="74"/>
        <v>953.27</v>
      </c>
      <c r="N1212" s="5" t="str">
        <f t="shared" si="75"/>
        <v>June 2022</v>
      </c>
    </row>
    <row r="1213" spans="1:14" x14ac:dyDescent="0.25">
      <c r="A1213" s="1">
        <v>44740</v>
      </c>
      <c r="B1213" t="s">
        <v>2108</v>
      </c>
      <c r="C1213">
        <v>40</v>
      </c>
      <c r="D1213" t="s">
        <v>21</v>
      </c>
      <c r="E1213" t="s">
        <v>32</v>
      </c>
      <c r="F1213" t="s">
        <v>16</v>
      </c>
      <c r="G1213" t="s">
        <v>12</v>
      </c>
      <c r="H1213">
        <v>1763.43</v>
      </c>
      <c r="I1213" s="8" t="str" cm="1">
        <f t="array" ref="I1213">_xlfn.IFS(C1213&lt;=15,"Children and Young Adolescents", C1213&gt;64, "Seniors", TRUE, "Working Age")</f>
        <v>Working Age</v>
      </c>
      <c r="J1213" s="6">
        <f>VLOOKUP(F1213,Analysis!$F$1:$G$5,2,FALSE)</f>
        <v>2509.1716796874912</v>
      </c>
      <c r="K1213">
        <f t="shared" si="72"/>
        <v>1939.77</v>
      </c>
      <c r="L1213">
        <f t="shared" si="73"/>
        <v>1939.78</v>
      </c>
      <c r="M1213">
        <f t="shared" si="74"/>
        <v>1939.77</v>
      </c>
      <c r="N1213" s="5" t="str">
        <f t="shared" si="75"/>
        <v>June 2022</v>
      </c>
    </row>
    <row r="1214" spans="1:14" x14ac:dyDescent="0.25">
      <c r="A1214" s="1">
        <v>44741</v>
      </c>
      <c r="B1214" t="s">
        <v>1462</v>
      </c>
      <c r="C1214">
        <v>51</v>
      </c>
      <c r="D1214" t="s">
        <v>21</v>
      </c>
      <c r="E1214" t="s">
        <v>15</v>
      </c>
      <c r="F1214" t="s">
        <v>11</v>
      </c>
      <c r="G1214" t="s">
        <v>39</v>
      </c>
      <c r="H1214">
        <v>3523.6</v>
      </c>
      <c r="I1214" s="8" t="str" cm="1">
        <f t="array" ref="I1214">_xlfn.IFS(C1214&lt;=15,"Children and Young Adolescents", C1214&gt;64, "Seniors", TRUE, "Working Age")</f>
        <v>Working Age</v>
      </c>
      <c r="J1214" s="6">
        <f>VLOOKUP(F1214,Analysis!$F$1:$G$5,2,FALSE)</f>
        <v>2503.6022787783854</v>
      </c>
      <c r="K1214">
        <f t="shared" si="72"/>
        <v>3875.96</v>
      </c>
      <c r="L1214">
        <f t="shared" si="73"/>
        <v>3875.96</v>
      </c>
      <c r="M1214">
        <f t="shared" si="74"/>
        <v>3875.96</v>
      </c>
      <c r="N1214" s="5" t="str">
        <f t="shared" si="75"/>
        <v>June 2022</v>
      </c>
    </row>
    <row r="1215" spans="1:14" x14ac:dyDescent="0.25">
      <c r="A1215" s="1">
        <v>44741</v>
      </c>
      <c r="B1215" t="s">
        <v>2409</v>
      </c>
      <c r="C1215">
        <v>11</v>
      </c>
      <c r="D1215" t="s">
        <v>9</v>
      </c>
      <c r="E1215" t="s">
        <v>32</v>
      </c>
      <c r="F1215" t="s">
        <v>29</v>
      </c>
      <c r="G1215" t="s">
        <v>39</v>
      </c>
      <c r="H1215">
        <v>4544.93</v>
      </c>
      <c r="I1215" s="8" t="str" cm="1">
        <f t="array" ref="I1215">_xlfn.IFS(C1215&lt;=15,"Children and Young Adolescents", C1215&gt;64, "Seniors", TRUE, "Working Age")</f>
        <v>Children and Young Adolescents</v>
      </c>
      <c r="J1215" s="6">
        <f>VLOOKUP(F1215,Analysis!$F$1:$G$5,2,FALSE)</f>
        <v>2496.7676064256989</v>
      </c>
      <c r="K1215">
        <f t="shared" si="72"/>
        <v>4999.42</v>
      </c>
      <c r="L1215">
        <f t="shared" si="73"/>
        <v>4999.43</v>
      </c>
      <c r="M1215">
        <f t="shared" si="74"/>
        <v>4999.42</v>
      </c>
      <c r="N1215" s="5" t="str">
        <f t="shared" si="75"/>
        <v>June 2022</v>
      </c>
    </row>
    <row r="1216" spans="1:14" x14ac:dyDescent="0.25">
      <c r="A1216" s="1">
        <v>44741</v>
      </c>
      <c r="B1216" t="s">
        <v>4253</v>
      </c>
      <c r="C1216">
        <v>35</v>
      </c>
      <c r="D1216" t="s">
        <v>21</v>
      </c>
      <c r="E1216" t="s">
        <v>22</v>
      </c>
      <c r="F1216" t="s">
        <v>23</v>
      </c>
      <c r="G1216" t="s">
        <v>17</v>
      </c>
      <c r="H1216">
        <v>516.63</v>
      </c>
      <c r="I1216" s="8" t="str" cm="1">
        <f t="array" ref="I1216">_xlfn.IFS(C1216&lt;=15,"Children and Young Adolescents", C1216&gt;64, "Seniors", TRUE, "Working Age")</f>
        <v>Working Age</v>
      </c>
      <c r="J1216" s="6">
        <f>VLOOKUP(F1216,Analysis!$F$1:$G$5,2,FALSE)</f>
        <v>2440.2966694490838</v>
      </c>
      <c r="K1216">
        <f t="shared" si="72"/>
        <v>568.29</v>
      </c>
      <c r="L1216">
        <f t="shared" si="73"/>
        <v>568.29999999999995</v>
      </c>
      <c r="M1216">
        <f t="shared" si="74"/>
        <v>568.29</v>
      </c>
      <c r="N1216" s="5" t="str">
        <f t="shared" si="75"/>
        <v>June 2022</v>
      </c>
    </row>
    <row r="1217" spans="1:14" x14ac:dyDescent="0.25">
      <c r="A1217" s="1">
        <v>44741</v>
      </c>
      <c r="B1217" t="s">
        <v>1259</v>
      </c>
      <c r="C1217">
        <v>50</v>
      </c>
      <c r="D1217" t="s">
        <v>14</v>
      </c>
      <c r="E1217" t="s">
        <v>22</v>
      </c>
      <c r="F1217" t="s">
        <v>16</v>
      </c>
      <c r="G1217" t="s">
        <v>12</v>
      </c>
      <c r="H1217">
        <v>3111.46</v>
      </c>
      <c r="I1217" s="8" t="str" cm="1">
        <f t="array" ref="I1217">_xlfn.IFS(C1217&lt;=15,"Children and Young Adolescents", C1217&gt;64, "Seniors", TRUE, "Working Age")</f>
        <v>Working Age</v>
      </c>
      <c r="J1217" s="6">
        <f>VLOOKUP(F1217,Analysis!$F$1:$G$5,2,FALSE)</f>
        <v>2509.1716796874912</v>
      </c>
      <c r="K1217">
        <f t="shared" si="72"/>
        <v>3422.6</v>
      </c>
      <c r="L1217">
        <f t="shared" si="73"/>
        <v>3422.61</v>
      </c>
      <c r="M1217">
        <f t="shared" si="74"/>
        <v>3422.61</v>
      </c>
      <c r="N1217" s="5" t="str">
        <f t="shared" si="75"/>
        <v>June 2022</v>
      </c>
    </row>
    <row r="1218" spans="1:14" x14ac:dyDescent="0.25">
      <c r="A1218" s="1">
        <v>44741</v>
      </c>
      <c r="B1218" t="s">
        <v>4070</v>
      </c>
      <c r="C1218">
        <v>78</v>
      </c>
      <c r="D1218" t="s">
        <v>9</v>
      </c>
      <c r="E1218" t="s">
        <v>15</v>
      </c>
      <c r="F1218" t="s">
        <v>29</v>
      </c>
      <c r="G1218" t="s">
        <v>39</v>
      </c>
      <c r="H1218">
        <v>742.87</v>
      </c>
      <c r="I1218" s="8" t="str" cm="1">
        <f t="array" ref="I1218">_xlfn.IFS(C1218&lt;=15,"Children and Young Adolescents", C1218&gt;64, "Seniors", TRUE, "Working Age")</f>
        <v>Seniors</v>
      </c>
      <c r="J1218" s="6">
        <f>VLOOKUP(F1218,Analysis!$F$1:$G$5,2,FALSE)</f>
        <v>2496.7676064256989</v>
      </c>
      <c r="K1218">
        <f t="shared" si="72"/>
        <v>817.15</v>
      </c>
      <c r="L1218">
        <f t="shared" si="73"/>
        <v>817.16</v>
      </c>
      <c r="M1218">
        <f t="shared" si="74"/>
        <v>817.16</v>
      </c>
      <c r="N1218" s="5" t="str">
        <f t="shared" si="75"/>
        <v>June 2022</v>
      </c>
    </row>
    <row r="1219" spans="1:14" x14ac:dyDescent="0.25">
      <c r="A1219" s="1">
        <v>44741</v>
      </c>
      <c r="B1219" t="s">
        <v>872</v>
      </c>
      <c r="C1219">
        <v>79</v>
      </c>
      <c r="D1219" t="s">
        <v>14</v>
      </c>
      <c r="E1219" t="s">
        <v>10</v>
      </c>
      <c r="F1219" t="s">
        <v>11</v>
      </c>
      <c r="G1219" t="s">
        <v>36</v>
      </c>
      <c r="H1219">
        <v>1808.37</v>
      </c>
      <c r="I1219" s="8" t="str" cm="1">
        <f t="array" ref="I1219">_xlfn.IFS(C1219&lt;=15,"Children and Young Adolescents", C1219&gt;64, "Seniors", TRUE, "Working Age")</f>
        <v>Seniors</v>
      </c>
      <c r="J1219" s="6">
        <f>VLOOKUP(F1219,Analysis!$F$1:$G$5,2,FALSE)</f>
        <v>2503.6022787783854</v>
      </c>
      <c r="K1219">
        <f t="shared" ref="K1219:K1282" si="76">ROUNDDOWN(H1219*1.1,2)</f>
        <v>1989.2</v>
      </c>
      <c r="L1219">
        <f t="shared" ref="L1219:L1282" si="77">ROUNDUP(H1219*1.1,2)</f>
        <v>1989.21</v>
      </c>
      <c r="M1219">
        <f t="shared" ref="M1219:M1282" si="78">ROUND(H1219*1.1,2)</f>
        <v>1989.21</v>
      </c>
      <c r="N1219" s="5" t="str">
        <f t="shared" ref="N1219:N1282" si="79">TEXT(A1219,"mmmm yyyy")</f>
        <v>June 2022</v>
      </c>
    </row>
    <row r="1220" spans="1:14" x14ac:dyDescent="0.25">
      <c r="A1220" s="1">
        <v>44741</v>
      </c>
      <c r="B1220" t="s">
        <v>3890</v>
      </c>
      <c r="C1220">
        <v>63</v>
      </c>
      <c r="D1220" t="s">
        <v>21</v>
      </c>
      <c r="E1220" t="s">
        <v>22</v>
      </c>
      <c r="F1220" t="s">
        <v>29</v>
      </c>
      <c r="G1220" t="s">
        <v>27</v>
      </c>
      <c r="H1220">
        <v>2147.34</v>
      </c>
      <c r="I1220" s="8" t="str" cm="1">
        <f t="array" ref="I1220">_xlfn.IFS(C1220&lt;=15,"Children and Young Adolescents", C1220&gt;64, "Seniors", TRUE, "Working Age")</f>
        <v>Working Age</v>
      </c>
      <c r="J1220" s="6">
        <f>VLOOKUP(F1220,Analysis!$F$1:$G$5,2,FALSE)</f>
        <v>2496.7676064256989</v>
      </c>
      <c r="K1220">
        <f t="shared" si="76"/>
        <v>2362.0700000000002</v>
      </c>
      <c r="L1220">
        <f t="shared" si="77"/>
        <v>2362.0800000000004</v>
      </c>
      <c r="M1220">
        <f t="shared" si="78"/>
        <v>2362.0700000000002</v>
      </c>
      <c r="N1220" s="5" t="str">
        <f t="shared" si="79"/>
        <v>June 2022</v>
      </c>
    </row>
    <row r="1221" spans="1:14" x14ac:dyDescent="0.25">
      <c r="A1221" s="1">
        <v>44742</v>
      </c>
      <c r="B1221" t="s">
        <v>2089</v>
      </c>
      <c r="C1221">
        <v>75</v>
      </c>
      <c r="D1221" t="s">
        <v>9</v>
      </c>
      <c r="E1221" t="s">
        <v>15</v>
      </c>
      <c r="F1221" t="s">
        <v>16</v>
      </c>
      <c r="G1221" t="s">
        <v>17</v>
      </c>
      <c r="H1221">
        <v>619.95000000000005</v>
      </c>
      <c r="I1221" s="8" t="str" cm="1">
        <f t="array" ref="I1221">_xlfn.IFS(C1221&lt;=15,"Children and Young Adolescents", C1221&gt;64, "Seniors", TRUE, "Working Age")</f>
        <v>Seniors</v>
      </c>
      <c r="J1221" s="6">
        <f>VLOOKUP(F1221,Analysis!$F$1:$G$5,2,FALSE)</f>
        <v>2509.1716796874912</v>
      </c>
      <c r="K1221">
        <f t="shared" si="76"/>
        <v>681.94</v>
      </c>
      <c r="L1221">
        <f t="shared" si="77"/>
        <v>681.95</v>
      </c>
      <c r="M1221">
        <f t="shared" si="78"/>
        <v>681.95</v>
      </c>
      <c r="N1221" s="5" t="str">
        <f t="shared" si="79"/>
        <v>June 2022</v>
      </c>
    </row>
    <row r="1222" spans="1:14" x14ac:dyDescent="0.25">
      <c r="A1222" s="1">
        <v>44742</v>
      </c>
      <c r="B1222" t="s">
        <v>1072</v>
      </c>
      <c r="C1222">
        <v>56</v>
      </c>
      <c r="D1222" t="s">
        <v>21</v>
      </c>
      <c r="E1222" t="s">
        <v>22</v>
      </c>
      <c r="F1222" t="s">
        <v>11</v>
      </c>
      <c r="G1222" t="s">
        <v>39</v>
      </c>
      <c r="H1222">
        <v>3975.73</v>
      </c>
      <c r="I1222" s="8" t="str" cm="1">
        <f t="array" ref="I1222">_xlfn.IFS(C1222&lt;=15,"Children and Young Adolescents", C1222&gt;64, "Seniors", TRUE, "Working Age")</f>
        <v>Working Age</v>
      </c>
      <c r="J1222" s="6">
        <f>VLOOKUP(F1222,Analysis!$F$1:$G$5,2,FALSE)</f>
        <v>2503.6022787783854</v>
      </c>
      <c r="K1222">
        <f t="shared" si="76"/>
        <v>4373.3</v>
      </c>
      <c r="L1222">
        <f t="shared" si="77"/>
        <v>4373.3100000000004</v>
      </c>
      <c r="M1222">
        <f t="shared" si="78"/>
        <v>4373.3</v>
      </c>
      <c r="N1222" s="5" t="str">
        <f t="shared" si="79"/>
        <v>June 2022</v>
      </c>
    </row>
    <row r="1223" spans="1:14" x14ac:dyDescent="0.25">
      <c r="A1223" s="1">
        <v>44742</v>
      </c>
      <c r="B1223" t="s">
        <v>4181</v>
      </c>
      <c r="C1223">
        <v>85</v>
      </c>
      <c r="D1223" t="s">
        <v>14</v>
      </c>
      <c r="E1223" t="s">
        <v>25</v>
      </c>
      <c r="F1223" t="s">
        <v>23</v>
      </c>
      <c r="G1223" t="s">
        <v>39</v>
      </c>
      <c r="H1223">
        <v>278.02</v>
      </c>
      <c r="I1223" s="8" t="str" cm="1">
        <f t="array" ref="I1223">_xlfn.IFS(C1223&lt;=15,"Children and Young Adolescents", C1223&gt;64, "Seniors", TRUE, "Working Age")</f>
        <v>Seniors</v>
      </c>
      <c r="J1223" s="6">
        <f>VLOOKUP(F1223,Analysis!$F$1:$G$5,2,FALSE)</f>
        <v>2440.2966694490838</v>
      </c>
      <c r="K1223">
        <f t="shared" si="76"/>
        <v>305.82</v>
      </c>
      <c r="L1223">
        <f t="shared" si="77"/>
        <v>305.83</v>
      </c>
      <c r="M1223">
        <f t="shared" si="78"/>
        <v>305.82</v>
      </c>
      <c r="N1223" s="5" t="str">
        <f t="shared" si="79"/>
        <v>June 2022</v>
      </c>
    </row>
    <row r="1224" spans="1:14" x14ac:dyDescent="0.25">
      <c r="A1224" s="1">
        <v>44743</v>
      </c>
      <c r="B1224" t="s">
        <v>2793</v>
      </c>
      <c r="C1224">
        <v>64</v>
      </c>
      <c r="D1224" t="s">
        <v>14</v>
      </c>
      <c r="E1224" t="s">
        <v>10</v>
      </c>
      <c r="F1224" t="s">
        <v>11</v>
      </c>
      <c r="G1224" t="s">
        <v>17</v>
      </c>
      <c r="H1224">
        <v>2930.56</v>
      </c>
      <c r="I1224" s="8" t="str" cm="1">
        <f t="array" ref="I1224">_xlfn.IFS(C1224&lt;=15,"Children and Young Adolescents", C1224&gt;64, "Seniors", TRUE, "Working Age")</f>
        <v>Working Age</v>
      </c>
      <c r="J1224" s="6">
        <f>VLOOKUP(F1224,Analysis!$F$1:$G$5,2,FALSE)</f>
        <v>2503.6022787783854</v>
      </c>
      <c r="K1224">
        <f t="shared" si="76"/>
        <v>3223.61</v>
      </c>
      <c r="L1224">
        <f t="shared" si="77"/>
        <v>3223.6200000000003</v>
      </c>
      <c r="M1224">
        <f t="shared" si="78"/>
        <v>3223.62</v>
      </c>
      <c r="N1224" s="5" t="str">
        <f t="shared" si="79"/>
        <v>July 2022</v>
      </c>
    </row>
    <row r="1225" spans="1:14" x14ac:dyDescent="0.25">
      <c r="A1225" s="1">
        <v>44743</v>
      </c>
      <c r="B1225" t="s">
        <v>657</v>
      </c>
      <c r="C1225">
        <v>34</v>
      </c>
      <c r="D1225" t="s">
        <v>14</v>
      </c>
      <c r="E1225" t="s">
        <v>34</v>
      </c>
      <c r="F1225" t="s">
        <v>11</v>
      </c>
      <c r="G1225" t="s">
        <v>39</v>
      </c>
      <c r="H1225">
        <v>1748.34</v>
      </c>
      <c r="I1225" s="8" t="str" cm="1">
        <f t="array" ref="I1225">_xlfn.IFS(C1225&lt;=15,"Children and Young Adolescents", C1225&gt;64, "Seniors", TRUE, "Working Age")</f>
        <v>Working Age</v>
      </c>
      <c r="J1225" s="6">
        <f>VLOOKUP(F1225,Analysis!$F$1:$G$5,2,FALSE)</f>
        <v>2503.6022787783854</v>
      </c>
      <c r="K1225">
        <f t="shared" si="76"/>
        <v>1923.17</v>
      </c>
      <c r="L1225">
        <f t="shared" si="77"/>
        <v>1923.18</v>
      </c>
      <c r="M1225">
        <f t="shared" si="78"/>
        <v>1923.17</v>
      </c>
      <c r="N1225" s="5" t="str">
        <f t="shared" si="79"/>
        <v>July 2022</v>
      </c>
    </row>
    <row r="1226" spans="1:14" x14ac:dyDescent="0.25">
      <c r="A1226" s="1">
        <v>44743</v>
      </c>
      <c r="B1226" t="s">
        <v>1999</v>
      </c>
      <c r="C1226">
        <v>57</v>
      </c>
      <c r="D1226" t="s">
        <v>9</v>
      </c>
      <c r="E1226" t="s">
        <v>10</v>
      </c>
      <c r="F1226" t="s">
        <v>29</v>
      </c>
      <c r="G1226" t="s">
        <v>12</v>
      </c>
      <c r="H1226">
        <v>4505.67</v>
      </c>
      <c r="I1226" s="8" t="str" cm="1">
        <f t="array" ref="I1226">_xlfn.IFS(C1226&lt;=15,"Children and Young Adolescents", C1226&gt;64, "Seniors", TRUE, "Working Age")</f>
        <v>Working Age</v>
      </c>
      <c r="J1226" s="6">
        <f>VLOOKUP(F1226,Analysis!$F$1:$G$5,2,FALSE)</f>
        <v>2496.7676064256989</v>
      </c>
      <c r="K1226">
        <f t="shared" si="76"/>
        <v>4956.2299999999996</v>
      </c>
      <c r="L1226">
        <f t="shared" si="77"/>
        <v>4956.24</v>
      </c>
      <c r="M1226">
        <f t="shared" si="78"/>
        <v>4956.24</v>
      </c>
      <c r="N1226" s="5" t="str">
        <f t="shared" si="79"/>
        <v>July 2022</v>
      </c>
    </row>
    <row r="1227" spans="1:14" x14ac:dyDescent="0.25">
      <c r="A1227" s="1">
        <v>44743</v>
      </c>
      <c r="B1227" t="s">
        <v>221</v>
      </c>
      <c r="C1227">
        <v>59</v>
      </c>
      <c r="D1227" t="s">
        <v>9</v>
      </c>
      <c r="E1227" t="s">
        <v>22</v>
      </c>
      <c r="F1227" t="s">
        <v>29</v>
      </c>
      <c r="G1227" t="s">
        <v>27</v>
      </c>
      <c r="H1227">
        <v>410.25</v>
      </c>
      <c r="I1227" s="8" t="str" cm="1">
        <f t="array" ref="I1227">_xlfn.IFS(C1227&lt;=15,"Children and Young Adolescents", C1227&gt;64, "Seniors", TRUE, "Working Age")</f>
        <v>Working Age</v>
      </c>
      <c r="J1227" s="6">
        <f>VLOOKUP(F1227,Analysis!$F$1:$G$5,2,FALSE)</f>
        <v>2496.7676064256989</v>
      </c>
      <c r="K1227">
        <f t="shared" si="76"/>
        <v>451.27</v>
      </c>
      <c r="L1227">
        <f t="shared" si="77"/>
        <v>451.28</v>
      </c>
      <c r="M1227">
        <f t="shared" si="78"/>
        <v>451.28</v>
      </c>
      <c r="N1227" s="5" t="str">
        <f t="shared" si="79"/>
        <v>July 2022</v>
      </c>
    </row>
    <row r="1228" spans="1:14" x14ac:dyDescent="0.25">
      <c r="A1228" s="1">
        <v>44743</v>
      </c>
      <c r="B1228" t="s">
        <v>4474</v>
      </c>
      <c r="C1228">
        <v>14</v>
      </c>
      <c r="D1228" t="s">
        <v>9</v>
      </c>
      <c r="E1228" t="s">
        <v>19</v>
      </c>
      <c r="F1228" t="s">
        <v>11</v>
      </c>
      <c r="G1228" t="s">
        <v>39</v>
      </c>
      <c r="H1228">
        <v>918.23</v>
      </c>
      <c r="I1228" s="8" t="str" cm="1">
        <f t="array" ref="I1228">_xlfn.IFS(C1228&lt;=15,"Children and Young Adolescents", C1228&gt;64, "Seniors", TRUE, "Working Age")</f>
        <v>Children and Young Adolescents</v>
      </c>
      <c r="J1228" s="6">
        <f>VLOOKUP(F1228,Analysis!$F$1:$G$5,2,FALSE)</f>
        <v>2503.6022787783854</v>
      </c>
      <c r="K1228">
        <f t="shared" si="76"/>
        <v>1010.05</v>
      </c>
      <c r="L1228">
        <f t="shared" si="77"/>
        <v>1010.06</v>
      </c>
      <c r="M1228">
        <f t="shared" si="78"/>
        <v>1010.05</v>
      </c>
      <c r="N1228" s="5" t="str">
        <f t="shared" si="79"/>
        <v>July 2022</v>
      </c>
    </row>
    <row r="1229" spans="1:14" x14ac:dyDescent="0.25">
      <c r="A1229" s="1">
        <v>44743</v>
      </c>
      <c r="B1229" t="s">
        <v>1629</v>
      </c>
      <c r="C1229">
        <v>4</v>
      </c>
      <c r="D1229" t="s">
        <v>14</v>
      </c>
      <c r="E1229" t="s">
        <v>34</v>
      </c>
      <c r="F1229" t="s">
        <v>29</v>
      </c>
      <c r="G1229" t="s">
        <v>39</v>
      </c>
      <c r="H1229">
        <v>1978.06</v>
      </c>
      <c r="I1229" s="8" t="str" cm="1">
        <f t="array" ref="I1229">_xlfn.IFS(C1229&lt;=15,"Children and Young Adolescents", C1229&gt;64, "Seniors", TRUE, "Working Age")</f>
        <v>Children and Young Adolescents</v>
      </c>
      <c r="J1229" s="6">
        <f>VLOOKUP(F1229,Analysis!$F$1:$G$5,2,FALSE)</f>
        <v>2496.7676064256989</v>
      </c>
      <c r="K1229">
        <f t="shared" si="76"/>
        <v>2175.86</v>
      </c>
      <c r="L1229">
        <f t="shared" si="77"/>
        <v>2175.8700000000003</v>
      </c>
      <c r="M1229">
        <f t="shared" si="78"/>
        <v>2175.87</v>
      </c>
      <c r="N1229" s="5" t="str">
        <f t="shared" si="79"/>
        <v>July 2022</v>
      </c>
    </row>
    <row r="1230" spans="1:14" x14ac:dyDescent="0.25">
      <c r="A1230" s="1">
        <v>44743</v>
      </c>
      <c r="B1230" t="s">
        <v>4055</v>
      </c>
      <c r="C1230">
        <v>99</v>
      </c>
      <c r="D1230" t="s">
        <v>14</v>
      </c>
      <c r="E1230" t="s">
        <v>22</v>
      </c>
      <c r="F1230" t="s">
        <v>16</v>
      </c>
      <c r="G1230" t="s">
        <v>12</v>
      </c>
      <c r="H1230">
        <v>766.58</v>
      </c>
      <c r="I1230" s="8" t="str" cm="1">
        <f t="array" ref="I1230">_xlfn.IFS(C1230&lt;=15,"Children and Young Adolescents", C1230&gt;64, "Seniors", TRUE, "Working Age")</f>
        <v>Seniors</v>
      </c>
      <c r="J1230" s="6">
        <f>VLOOKUP(F1230,Analysis!$F$1:$G$5,2,FALSE)</f>
        <v>2509.1716796874912</v>
      </c>
      <c r="K1230">
        <f t="shared" si="76"/>
        <v>843.23</v>
      </c>
      <c r="L1230">
        <f t="shared" si="77"/>
        <v>843.24</v>
      </c>
      <c r="M1230">
        <f t="shared" si="78"/>
        <v>843.24</v>
      </c>
      <c r="N1230" s="5" t="str">
        <f t="shared" si="79"/>
        <v>July 2022</v>
      </c>
    </row>
    <row r="1231" spans="1:14" x14ac:dyDescent="0.25">
      <c r="A1231" s="1">
        <v>44743</v>
      </c>
      <c r="B1231" t="s">
        <v>3392</v>
      </c>
      <c r="C1231">
        <v>21</v>
      </c>
      <c r="D1231" t="s">
        <v>21</v>
      </c>
      <c r="E1231" t="s">
        <v>25</v>
      </c>
      <c r="F1231" t="s">
        <v>29</v>
      </c>
      <c r="G1231" t="s">
        <v>39</v>
      </c>
      <c r="H1231">
        <v>1189.5899999999999</v>
      </c>
      <c r="I1231" s="8" t="str" cm="1">
        <f t="array" ref="I1231">_xlfn.IFS(C1231&lt;=15,"Children and Young Adolescents", C1231&gt;64, "Seniors", TRUE, "Working Age")</f>
        <v>Working Age</v>
      </c>
      <c r="J1231" s="6">
        <f>VLOOKUP(F1231,Analysis!$F$1:$G$5,2,FALSE)</f>
        <v>2496.7676064256989</v>
      </c>
      <c r="K1231">
        <f t="shared" si="76"/>
        <v>1308.54</v>
      </c>
      <c r="L1231">
        <f t="shared" si="77"/>
        <v>1308.55</v>
      </c>
      <c r="M1231">
        <f t="shared" si="78"/>
        <v>1308.55</v>
      </c>
      <c r="N1231" s="5" t="str">
        <f t="shared" si="79"/>
        <v>July 2022</v>
      </c>
    </row>
    <row r="1232" spans="1:14" x14ac:dyDescent="0.25">
      <c r="A1232" s="1">
        <v>44744</v>
      </c>
      <c r="B1232" t="s">
        <v>1032</v>
      </c>
      <c r="C1232">
        <v>87</v>
      </c>
      <c r="D1232" t="s">
        <v>21</v>
      </c>
      <c r="E1232" t="s">
        <v>34</v>
      </c>
      <c r="F1232" t="s">
        <v>16</v>
      </c>
      <c r="G1232" t="s">
        <v>36</v>
      </c>
      <c r="H1232">
        <v>4662.03</v>
      </c>
      <c r="I1232" s="8" t="str" cm="1">
        <f t="array" ref="I1232">_xlfn.IFS(C1232&lt;=15,"Children and Young Adolescents", C1232&gt;64, "Seniors", TRUE, "Working Age")</f>
        <v>Seniors</v>
      </c>
      <c r="J1232" s="6">
        <f>VLOOKUP(F1232,Analysis!$F$1:$G$5,2,FALSE)</f>
        <v>2509.1716796874912</v>
      </c>
      <c r="K1232">
        <f t="shared" si="76"/>
        <v>5128.2299999999996</v>
      </c>
      <c r="L1232">
        <f t="shared" si="77"/>
        <v>5128.24</v>
      </c>
      <c r="M1232">
        <f t="shared" si="78"/>
        <v>5128.2299999999996</v>
      </c>
      <c r="N1232" s="5" t="str">
        <f t="shared" si="79"/>
        <v>July 2022</v>
      </c>
    </row>
    <row r="1233" spans="1:14" x14ac:dyDescent="0.25">
      <c r="A1233" s="1">
        <v>44744</v>
      </c>
      <c r="B1233" t="s">
        <v>3418</v>
      </c>
      <c r="C1233">
        <v>7</v>
      </c>
      <c r="D1233" t="s">
        <v>21</v>
      </c>
      <c r="E1233" t="s">
        <v>25</v>
      </c>
      <c r="F1233" t="s">
        <v>16</v>
      </c>
      <c r="G1233" t="s">
        <v>27</v>
      </c>
      <c r="H1233">
        <v>2195.79</v>
      </c>
      <c r="I1233" s="8" t="str" cm="1">
        <f t="array" ref="I1233">_xlfn.IFS(C1233&lt;=15,"Children and Young Adolescents", C1233&gt;64, "Seniors", TRUE, "Working Age")</f>
        <v>Children and Young Adolescents</v>
      </c>
      <c r="J1233" s="6">
        <f>VLOOKUP(F1233,Analysis!$F$1:$G$5,2,FALSE)</f>
        <v>2509.1716796874912</v>
      </c>
      <c r="K1233">
        <f t="shared" si="76"/>
        <v>2415.36</v>
      </c>
      <c r="L1233">
        <f t="shared" si="77"/>
        <v>2415.3700000000003</v>
      </c>
      <c r="M1233">
        <f t="shared" si="78"/>
        <v>2415.37</v>
      </c>
      <c r="N1233" s="5" t="str">
        <f t="shared" si="79"/>
        <v>July 2022</v>
      </c>
    </row>
    <row r="1234" spans="1:14" x14ac:dyDescent="0.25">
      <c r="A1234" s="1">
        <v>44744</v>
      </c>
      <c r="B1234" t="s">
        <v>1263</v>
      </c>
      <c r="C1234">
        <v>94</v>
      </c>
      <c r="D1234" t="s">
        <v>21</v>
      </c>
      <c r="E1234" t="s">
        <v>19</v>
      </c>
      <c r="F1234" t="s">
        <v>16</v>
      </c>
      <c r="G1234" t="s">
        <v>36</v>
      </c>
      <c r="H1234">
        <v>1194.3900000000001</v>
      </c>
      <c r="I1234" s="8" t="str" cm="1">
        <f t="array" ref="I1234">_xlfn.IFS(C1234&lt;=15,"Children and Young Adolescents", C1234&gt;64, "Seniors", TRUE, "Working Age")</f>
        <v>Seniors</v>
      </c>
      <c r="J1234" s="6">
        <f>VLOOKUP(F1234,Analysis!$F$1:$G$5,2,FALSE)</f>
        <v>2509.1716796874912</v>
      </c>
      <c r="K1234">
        <f t="shared" si="76"/>
        <v>1313.82</v>
      </c>
      <c r="L1234">
        <f t="shared" si="77"/>
        <v>1313.83</v>
      </c>
      <c r="M1234">
        <f t="shared" si="78"/>
        <v>1313.83</v>
      </c>
      <c r="N1234" s="5" t="str">
        <f t="shared" si="79"/>
        <v>July 2022</v>
      </c>
    </row>
    <row r="1235" spans="1:14" x14ac:dyDescent="0.25">
      <c r="A1235" s="1">
        <v>44744</v>
      </c>
      <c r="B1235" t="s">
        <v>4296</v>
      </c>
      <c r="C1235">
        <v>75</v>
      </c>
      <c r="D1235" t="s">
        <v>9</v>
      </c>
      <c r="E1235" t="s">
        <v>32</v>
      </c>
      <c r="F1235" t="s">
        <v>11</v>
      </c>
      <c r="G1235" t="s">
        <v>36</v>
      </c>
      <c r="H1235">
        <v>4786.78</v>
      </c>
      <c r="I1235" s="8" t="str" cm="1">
        <f t="array" ref="I1235">_xlfn.IFS(C1235&lt;=15,"Children and Young Adolescents", C1235&gt;64, "Seniors", TRUE, "Working Age")</f>
        <v>Seniors</v>
      </c>
      <c r="J1235" s="6">
        <f>VLOOKUP(F1235,Analysis!$F$1:$G$5,2,FALSE)</f>
        <v>2503.6022787783854</v>
      </c>
      <c r="K1235">
        <f t="shared" si="76"/>
        <v>5265.45</v>
      </c>
      <c r="L1235">
        <f t="shared" si="77"/>
        <v>5265.46</v>
      </c>
      <c r="M1235">
        <f t="shared" si="78"/>
        <v>5265.46</v>
      </c>
      <c r="N1235" s="5" t="str">
        <f t="shared" si="79"/>
        <v>July 2022</v>
      </c>
    </row>
    <row r="1236" spans="1:14" x14ac:dyDescent="0.25">
      <c r="A1236" s="1">
        <v>44744</v>
      </c>
      <c r="B1236" t="s">
        <v>4170</v>
      </c>
      <c r="C1236">
        <v>31</v>
      </c>
      <c r="D1236" t="s">
        <v>9</v>
      </c>
      <c r="E1236" t="s">
        <v>32</v>
      </c>
      <c r="F1236" t="s">
        <v>16</v>
      </c>
      <c r="G1236" t="s">
        <v>27</v>
      </c>
      <c r="H1236">
        <v>1715.58</v>
      </c>
      <c r="I1236" s="8" t="str" cm="1">
        <f t="array" ref="I1236">_xlfn.IFS(C1236&lt;=15,"Children and Young Adolescents", C1236&gt;64, "Seniors", TRUE, "Working Age")</f>
        <v>Working Age</v>
      </c>
      <c r="J1236" s="6">
        <f>VLOOKUP(F1236,Analysis!$F$1:$G$5,2,FALSE)</f>
        <v>2509.1716796874912</v>
      </c>
      <c r="K1236">
        <f t="shared" si="76"/>
        <v>1887.13</v>
      </c>
      <c r="L1236">
        <f t="shared" si="77"/>
        <v>1887.14</v>
      </c>
      <c r="M1236">
        <f t="shared" si="78"/>
        <v>1887.14</v>
      </c>
      <c r="N1236" s="5" t="str">
        <f t="shared" si="79"/>
        <v>July 2022</v>
      </c>
    </row>
    <row r="1237" spans="1:14" x14ac:dyDescent="0.25">
      <c r="A1237" s="1">
        <v>44744</v>
      </c>
      <c r="B1237" t="s">
        <v>3522</v>
      </c>
      <c r="C1237">
        <v>80</v>
      </c>
      <c r="D1237" t="s">
        <v>21</v>
      </c>
      <c r="E1237" t="s">
        <v>34</v>
      </c>
      <c r="F1237" t="s">
        <v>29</v>
      </c>
      <c r="G1237" t="s">
        <v>39</v>
      </c>
      <c r="H1237">
        <v>2787</v>
      </c>
      <c r="I1237" s="8" t="str" cm="1">
        <f t="array" ref="I1237">_xlfn.IFS(C1237&lt;=15,"Children and Young Adolescents", C1237&gt;64, "Seniors", TRUE, "Working Age")</f>
        <v>Seniors</v>
      </c>
      <c r="J1237" s="6">
        <f>VLOOKUP(F1237,Analysis!$F$1:$G$5,2,FALSE)</f>
        <v>2496.7676064256989</v>
      </c>
      <c r="K1237">
        <f t="shared" si="76"/>
        <v>3065.7</v>
      </c>
      <c r="L1237">
        <f t="shared" si="77"/>
        <v>3065.7</v>
      </c>
      <c r="M1237">
        <f t="shared" si="78"/>
        <v>3065.7</v>
      </c>
      <c r="N1237" s="5" t="str">
        <f t="shared" si="79"/>
        <v>July 2022</v>
      </c>
    </row>
    <row r="1238" spans="1:14" x14ac:dyDescent="0.25">
      <c r="A1238" s="1">
        <v>44744</v>
      </c>
      <c r="B1238" t="s">
        <v>576</v>
      </c>
      <c r="C1238">
        <v>15</v>
      </c>
      <c r="D1238" t="s">
        <v>9</v>
      </c>
      <c r="E1238" t="s">
        <v>22</v>
      </c>
      <c r="F1238" t="s">
        <v>11</v>
      </c>
      <c r="G1238" t="s">
        <v>36</v>
      </c>
      <c r="H1238">
        <v>1551.47</v>
      </c>
      <c r="I1238" s="8" t="str" cm="1">
        <f t="array" ref="I1238">_xlfn.IFS(C1238&lt;=15,"Children and Young Adolescents", C1238&gt;64, "Seniors", TRUE, "Working Age")</f>
        <v>Children and Young Adolescents</v>
      </c>
      <c r="J1238" s="6">
        <f>VLOOKUP(F1238,Analysis!$F$1:$G$5,2,FALSE)</f>
        <v>2503.6022787783854</v>
      </c>
      <c r="K1238">
        <f t="shared" si="76"/>
        <v>1706.61</v>
      </c>
      <c r="L1238">
        <f t="shared" si="77"/>
        <v>1706.62</v>
      </c>
      <c r="M1238">
        <f t="shared" si="78"/>
        <v>1706.62</v>
      </c>
      <c r="N1238" s="5" t="str">
        <f t="shared" si="79"/>
        <v>July 2022</v>
      </c>
    </row>
    <row r="1239" spans="1:14" x14ac:dyDescent="0.25">
      <c r="A1239" s="1">
        <v>44745</v>
      </c>
      <c r="B1239" t="s">
        <v>5007</v>
      </c>
      <c r="C1239">
        <v>14</v>
      </c>
      <c r="D1239" t="s">
        <v>21</v>
      </c>
      <c r="E1239" t="s">
        <v>19</v>
      </c>
      <c r="F1239" t="s">
        <v>23</v>
      </c>
      <c r="G1239" t="s">
        <v>36</v>
      </c>
      <c r="H1239">
        <v>1462.36</v>
      </c>
      <c r="I1239" s="8" t="str" cm="1">
        <f t="array" ref="I1239">_xlfn.IFS(C1239&lt;=15,"Children and Young Adolescents", C1239&gt;64, "Seniors", TRUE, "Working Age")</f>
        <v>Children and Young Adolescents</v>
      </c>
      <c r="J1239" s="6">
        <f>VLOOKUP(F1239,Analysis!$F$1:$G$5,2,FALSE)</f>
        <v>2440.2966694490838</v>
      </c>
      <c r="K1239">
        <f t="shared" si="76"/>
        <v>1608.59</v>
      </c>
      <c r="L1239">
        <f t="shared" si="77"/>
        <v>1608.6</v>
      </c>
      <c r="M1239">
        <f t="shared" si="78"/>
        <v>1608.6</v>
      </c>
      <c r="N1239" s="5" t="str">
        <f t="shared" si="79"/>
        <v>July 2022</v>
      </c>
    </row>
    <row r="1240" spans="1:14" x14ac:dyDescent="0.25">
      <c r="A1240" s="1">
        <v>44745</v>
      </c>
      <c r="B1240" t="s">
        <v>179</v>
      </c>
      <c r="C1240">
        <v>70</v>
      </c>
      <c r="D1240" t="s">
        <v>14</v>
      </c>
      <c r="E1240" t="s">
        <v>25</v>
      </c>
      <c r="F1240" t="s">
        <v>29</v>
      </c>
      <c r="G1240" t="s">
        <v>17</v>
      </c>
      <c r="H1240">
        <v>4069.34</v>
      </c>
      <c r="I1240" s="8" t="str" cm="1">
        <f t="array" ref="I1240">_xlfn.IFS(C1240&lt;=15,"Children and Young Adolescents", C1240&gt;64, "Seniors", TRUE, "Working Age")</f>
        <v>Seniors</v>
      </c>
      <c r="J1240" s="6">
        <f>VLOOKUP(F1240,Analysis!$F$1:$G$5,2,FALSE)</f>
        <v>2496.7676064256989</v>
      </c>
      <c r="K1240">
        <f t="shared" si="76"/>
        <v>4476.2700000000004</v>
      </c>
      <c r="L1240">
        <f t="shared" si="77"/>
        <v>4476.2800000000007</v>
      </c>
      <c r="M1240">
        <f t="shared" si="78"/>
        <v>4476.2700000000004</v>
      </c>
      <c r="N1240" s="5" t="str">
        <f t="shared" si="79"/>
        <v>July 2022</v>
      </c>
    </row>
    <row r="1241" spans="1:14" x14ac:dyDescent="0.25">
      <c r="A1241" s="1">
        <v>44745</v>
      </c>
      <c r="B1241" t="s">
        <v>454</v>
      </c>
      <c r="C1241">
        <v>27</v>
      </c>
      <c r="D1241" t="s">
        <v>21</v>
      </c>
      <c r="E1241" t="s">
        <v>32</v>
      </c>
      <c r="F1241" t="s">
        <v>23</v>
      </c>
      <c r="G1241" t="s">
        <v>39</v>
      </c>
      <c r="H1241">
        <v>1173.1500000000001</v>
      </c>
      <c r="I1241" s="8" t="str" cm="1">
        <f t="array" ref="I1241">_xlfn.IFS(C1241&lt;=15,"Children and Young Adolescents", C1241&gt;64, "Seniors", TRUE, "Working Age")</f>
        <v>Working Age</v>
      </c>
      <c r="J1241" s="6">
        <f>VLOOKUP(F1241,Analysis!$F$1:$G$5,2,FALSE)</f>
        <v>2440.2966694490838</v>
      </c>
      <c r="K1241">
        <f t="shared" si="76"/>
        <v>1290.46</v>
      </c>
      <c r="L1241">
        <f t="shared" si="77"/>
        <v>1290.47</v>
      </c>
      <c r="M1241">
        <f t="shared" si="78"/>
        <v>1290.47</v>
      </c>
      <c r="N1241" s="5" t="str">
        <f t="shared" si="79"/>
        <v>July 2022</v>
      </c>
    </row>
    <row r="1242" spans="1:14" x14ac:dyDescent="0.25">
      <c r="A1242" s="1">
        <v>44745</v>
      </c>
      <c r="B1242" t="s">
        <v>1713</v>
      </c>
      <c r="C1242">
        <v>68</v>
      </c>
      <c r="D1242" t="s">
        <v>21</v>
      </c>
      <c r="E1242" t="s">
        <v>32</v>
      </c>
      <c r="F1242" t="s">
        <v>16</v>
      </c>
      <c r="G1242" t="s">
        <v>27</v>
      </c>
      <c r="H1242">
        <v>2240.63</v>
      </c>
      <c r="I1242" s="8" t="str" cm="1">
        <f t="array" ref="I1242">_xlfn.IFS(C1242&lt;=15,"Children and Young Adolescents", C1242&gt;64, "Seniors", TRUE, "Working Age")</f>
        <v>Seniors</v>
      </c>
      <c r="J1242" s="6">
        <f>VLOOKUP(F1242,Analysis!$F$1:$G$5,2,FALSE)</f>
        <v>2509.1716796874912</v>
      </c>
      <c r="K1242">
        <f t="shared" si="76"/>
        <v>2464.69</v>
      </c>
      <c r="L1242">
        <f t="shared" si="77"/>
        <v>2464.7000000000003</v>
      </c>
      <c r="M1242">
        <f t="shared" si="78"/>
        <v>2464.69</v>
      </c>
      <c r="N1242" s="5" t="str">
        <f t="shared" si="79"/>
        <v>July 2022</v>
      </c>
    </row>
    <row r="1243" spans="1:14" x14ac:dyDescent="0.25">
      <c r="A1243" s="1">
        <v>44746</v>
      </c>
      <c r="B1243" t="s">
        <v>2195</v>
      </c>
      <c r="C1243">
        <v>30</v>
      </c>
      <c r="D1243" t="s">
        <v>14</v>
      </c>
      <c r="E1243" t="s">
        <v>10</v>
      </c>
      <c r="F1243" t="s">
        <v>23</v>
      </c>
      <c r="G1243" t="s">
        <v>36</v>
      </c>
      <c r="H1243">
        <v>753.81</v>
      </c>
      <c r="I1243" s="8" t="str" cm="1">
        <f t="array" ref="I1243">_xlfn.IFS(C1243&lt;=15,"Children and Young Adolescents", C1243&gt;64, "Seniors", TRUE, "Working Age")</f>
        <v>Working Age</v>
      </c>
      <c r="J1243" s="6">
        <f>VLOOKUP(F1243,Analysis!$F$1:$G$5,2,FALSE)</f>
        <v>2440.2966694490838</v>
      </c>
      <c r="K1243">
        <f t="shared" si="76"/>
        <v>829.19</v>
      </c>
      <c r="L1243">
        <f t="shared" si="77"/>
        <v>829.2</v>
      </c>
      <c r="M1243">
        <f t="shared" si="78"/>
        <v>829.19</v>
      </c>
      <c r="N1243" s="5" t="str">
        <f t="shared" si="79"/>
        <v>July 2022</v>
      </c>
    </row>
    <row r="1244" spans="1:14" x14ac:dyDescent="0.25">
      <c r="A1244" s="1">
        <v>44746</v>
      </c>
      <c r="B1244" t="s">
        <v>2326</v>
      </c>
      <c r="C1244">
        <v>28</v>
      </c>
      <c r="D1244" t="s">
        <v>21</v>
      </c>
      <c r="E1244" t="s">
        <v>25</v>
      </c>
      <c r="F1244" t="s">
        <v>29</v>
      </c>
      <c r="G1244" t="s">
        <v>27</v>
      </c>
      <c r="H1244">
        <v>2795.04</v>
      </c>
      <c r="I1244" s="8" t="str" cm="1">
        <f t="array" ref="I1244">_xlfn.IFS(C1244&lt;=15,"Children and Young Adolescents", C1244&gt;64, "Seniors", TRUE, "Working Age")</f>
        <v>Working Age</v>
      </c>
      <c r="J1244" s="6">
        <f>VLOOKUP(F1244,Analysis!$F$1:$G$5,2,FALSE)</f>
        <v>2496.7676064256989</v>
      </c>
      <c r="K1244">
        <f t="shared" si="76"/>
        <v>3074.54</v>
      </c>
      <c r="L1244">
        <f t="shared" si="77"/>
        <v>3074.55</v>
      </c>
      <c r="M1244">
        <f t="shared" si="78"/>
        <v>3074.54</v>
      </c>
      <c r="N1244" s="5" t="str">
        <f t="shared" si="79"/>
        <v>July 2022</v>
      </c>
    </row>
    <row r="1245" spans="1:14" x14ac:dyDescent="0.25">
      <c r="A1245" s="1">
        <v>44746</v>
      </c>
      <c r="B1245" t="s">
        <v>2675</v>
      </c>
      <c r="C1245">
        <v>99</v>
      </c>
      <c r="D1245" t="s">
        <v>9</v>
      </c>
      <c r="E1245" t="s">
        <v>15</v>
      </c>
      <c r="F1245" t="s">
        <v>11</v>
      </c>
      <c r="G1245" t="s">
        <v>36</v>
      </c>
      <c r="H1245">
        <v>3934.76</v>
      </c>
      <c r="I1245" s="8" t="str" cm="1">
        <f t="array" ref="I1245">_xlfn.IFS(C1245&lt;=15,"Children and Young Adolescents", C1245&gt;64, "Seniors", TRUE, "Working Age")</f>
        <v>Seniors</v>
      </c>
      <c r="J1245" s="6">
        <f>VLOOKUP(F1245,Analysis!$F$1:$G$5,2,FALSE)</f>
        <v>2503.6022787783854</v>
      </c>
      <c r="K1245">
        <f t="shared" si="76"/>
        <v>4328.2299999999996</v>
      </c>
      <c r="L1245">
        <f t="shared" si="77"/>
        <v>4328.24</v>
      </c>
      <c r="M1245">
        <f t="shared" si="78"/>
        <v>4328.24</v>
      </c>
      <c r="N1245" s="5" t="str">
        <f t="shared" si="79"/>
        <v>July 2022</v>
      </c>
    </row>
    <row r="1246" spans="1:14" x14ac:dyDescent="0.25">
      <c r="A1246" s="1">
        <v>44746</v>
      </c>
      <c r="B1246" t="s">
        <v>3068</v>
      </c>
      <c r="C1246">
        <v>0</v>
      </c>
      <c r="D1246" t="s">
        <v>14</v>
      </c>
      <c r="E1246" t="s">
        <v>32</v>
      </c>
      <c r="F1246" t="s">
        <v>23</v>
      </c>
      <c r="G1246" t="s">
        <v>12</v>
      </c>
      <c r="H1246">
        <v>3924.58</v>
      </c>
      <c r="I1246" s="8" t="str" cm="1">
        <f t="array" ref="I1246">_xlfn.IFS(C1246&lt;=15,"Children and Young Adolescents", C1246&gt;64, "Seniors", TRUE, "Working Age")</f>
        <v>Children and Young Adolescents</v>
      </c>
      <c r="J1246" s="6">
        <f>VLOOKUP(F1246,Analysis!$F$1:$G$5,2,FALSE)</f>
        <v>2440.2966694490838</v>
      </c>
      <c r="K1246">
        <f t="shared" si="76"/>
        <v>4317.03</v>
      </c>
      <c r="L1246">
        <f t="shared" si="77"/>
        <v>4317.04</v>
      </c>
      <c r="M1246">
        <f t="shared" si="78"/>
        <v>4317.04</v>
      </c>
      <c r="N1246" s="5" t="str">
        <f t="shared" si="79"/>
        <v>July 2022</v>
      </c>
    </row>
    <row r="1247" spans="1:14" x14ac:dyDescent="0.25">
      <c r="A1247" s="1">
        <v>44746</v>
      </c>
      <c r="B1247" t="s">
        <v>1911</v>
      </c>
      <c r="C1247">
        <v>44</v>
      </c>
      <c r="D1247" t="s">
        <v>14</v>
      </c>
      <c r="E1247" t="s">
        <v>5032</v>
      </c>
      <c r="F1247" t="s">
        <v>23</v>
      </c>
      <c r="G1247" t="s">
        <v>17</v>
      </c>
      <c r="H1247">
        <v>3087.42</v>
      </c>
      <c r="I1247" s="8" t="str" cm="1">
        <f t="array" ref="I1247">_xlfn.IFS(C1247&lt;=15,"Children and Young Adolescents", C1247&gt;64, "Seniors", TRUE, "Working Age")</f>
        <v>Working Age</v>
      </c>
      <c r="J1247" s="6">
        <f>VLOOKUP(F1247,Analysis!$F$1:$G$5,2,FALSE)</f>
        <v>2440.2966694490838</v>
      </c>
      <c r="K1247">
        <f t="shared" si="76"/>
        <v>3396.16</v>
      </c>
      <c r="L1247">
        <f t="shared" si="77"/>
        <v>3396.17</v>
      </c>
      <c r="M1247">
        <f t="shared" si="78"/>
        <v>3396.16</v>
      </c>
      <c r="N1247" s="5" t="str">
        <f t="shared" si="79"/>
        <v>July 2022</v>
      </c>
    </row>
    <row r="1248" spans="1:14" x14ac:dyDescent="0.25">
      <c r="A1248" s="1">
        <v>44746</v>
      </c>
      <c r="B1248" t="s">
        <v>2683</v>
      </c>
      <c r="C1248">
        <v>19</v>
      </c>
      <c r="D1248" t="s">
        <v>14</v>
      </c>
      <c r="E1248" t="s">
        <v>15</v>
      </c>
      <c r="F1248" t="s">
        <v>23</v>
      </c>
      <c r="G1248" t="s">
        <v>12</v>
      </c>
      <c r="H1248">
        <v>2223.0100000000002</v>
      </c>
      <c r="I1248" s="8" t="str" cm="1">
        <f t="array" ref="I1248">_xlfn.IFS(C1248&lt;=15,"Children and Young Adolescents", C1248&gt;64, "Seniors", TRUE, "Working Age")</f>
        <v>Working Age</v>
      </c>
      <c r="J1248" s="6">
        <f>VLOOKUP(F1248,Analysis!$F$1:$G$5,2,FALSE)</f>
        <v>2440.2966694490838</v>
      </c>
      <c r="K1248">
        <f t="shared" si="76"/>
        <v>2445.31</v>
      </c>
      <c r="L1248">
        <f t="shared" si="77"/>
        <v>2445.3200000000002</v>
      </c>
      <c r="M1248">
        <f t="shared" si="78"/>
        <v>2445.31</v>
      </c>
      <c r="N1248" s="5" t="str">
        <f t="shared" si="79"/>
        <v>July 2022</v>
      </c>
    </row>
    <row r="1249" spans="1:14" x14ac:dyDescent="0.25">
      <c r="A1249" s="1">
        <v>44746</v>
      </c>
      <c r="B1249" t="s">
        <v>4476</v>
      </c>
      <c r="C1249">
        <v>50</v>
      </c>
      <c r="D1249" t="s">
        <v>14</v>
      </c>
      <c r="E1249" t="s">
        <v>34</v>
      </c>
      <c r="F1249" t="s">
        <v>29</v>
      </c>
      <c r="G1249" t="s">
        <v>12</v>
      </c>
      <c r="H1249">
        <v>408.19</v>
      </c>
      <c r="I1249" s="8" t="str" cm="1">
        <f t="array" ref="I1249">_xlfn.IFS(C1249&lt;=15,"Children and Young Adolescents", C1249&gt;64, "Seniors", TRUE, "Working Age")</f>
        <v>Working Age</v>
      </c>
      <c r="J1249" s="6">
        <f>VLOOKUP(F1249,Analysis!$F$1:$G$5,2,FALSE)</f>
        <v>2496.7676064256989</v>
      </c>
      <c r="K1249">
        <f t="shared" si="76"/>
        <v>449</v>
      </c>
      <c r="L1249">
        <f t="shared" si="77"/>
        <v>449.01</v>
      </c>
      <c r="M1249">
        <f t="shared" si="78"/>
        <v>449.01</v>
      </c>
      <c r="N1249" s="5" t="str">
        <f t="shared" si="79"/>
        <v>July 2022</v>
      </c>
    </row>
    <row r="1250" spans="1:14" x14ac:dyDescent="0.25">
      <c r="A1250" s="1">
        <v>44747</v>
      </c>
      <c r="B1250" t="s">
        <v>1874</v>
      </c>
      <c r="C1250">
        <v>42</v>
      </c>
      <c r="D1250" t="s">
        <v>9</v>
      </c>
      <c r="E1250" t="s">
        <v>34</v>
      </c>
      <c r="F1250" t="s">
        <v>16</v>
      </c>
      <c r="G1250" t="s">
        <v>27</v>
      </c>
      <c r="H1250">
        <v>3280.84</v>
      </c>
      <c r="I1250" s="8" t="str" cm="1">
        <f t="array" ref="I1250">_xlfn.IFS(C1250&lt;=15,"Children and Young Adolescents", C1250&gt;64, "Seniors", TRUE, "Working Age")</f>
        <v>Working Age</v>
      </c>
      <c r="J1250" s="6">
        <f>VLOOKUP(F1250,Analysis!$F$1:$G$5,2,FALSE)</f>
        <v>2509.1716796874912</v>
      </c>
      <c r="K1250">
        <f t="shared" si="76"/>
        <v>3608.92</v>
      </c>
      <c r="L1250">
        <f t="shared" si="77"/>
        <v>3608.9300000000003</v>
      </c>
      <c r="M1250">
        <f t="shared" si="78"/>
        <v>3608.92</v>
      </c>
      <c r="N1250" s="5" t="str">
        <f t="shared" si="79"/>
        <v>July 2022</v>
      </c>
    </row>
    <row r="1251" spans="1:14" x14ac:dyDescent="0.25">
      <c r="A1251" s="1">
        <v>44747</v>
      </c>
      <c r="B1251" t="s">
        <v>3750</v>
      </c>
      <c r="C1251">
        <v>37</v>
      </c>
      <c r="D1251" t="s">
        <v>9</v>
      </c>
      <c r="E1251" t="s">
        <v>25</v>
      </c>
      <c r="F1251" t="s">
        <v>11</v>
      </c>
      <c r="G1251" t="s">
        <v>36</v>
      </c>
      <c r="H1251">
        <v>3211.14</v>
      </c>
      <c r="I1251" s="8" t="str" cm="1">
        <f t="array" ref="I1251">_xlfn.IFS(C1251&lt;=15,"Children and Young Adolescents", C1251&gt;64, "Seniors", TRUE, "Working Age")</f>
        <v>Working Age</v>
      </c>
      <c r="J1251" s="6">
        <f>VLOOKUP(F1251,Analysis!$F$1:$G$5,2,FALSE)</f>
        <v>2503.6022787783854</v>
      </c>
      <c r="K1251">
        <f t="shared" si="76"/>
        <v>3532.25</v>
      </c>
      <c r="L1251">
        <f t="shared" si="77"/>
        <v>3532.26</v>
      </c>
      <c r="M1251">
        <f t="shared" si="78"/>
        <v>3532.25</v>
      </c>
      <c r="N1251" s="5" t="str">
        <f t="shared" si="79"/>
        <v>July 2022</v>
      </c>
    </row>
    <row r="1252" spans="1:14" x14ac:dyDescent="0.25">
      <c r="A1252" s="1">
        <v>44747</v>
      </c>
      <c r="B1252" t="s">
        <v>3262</v>
      </c>
      <c r="C1252">
        <v>24</v>
      </c>
      <c r="D1252" t="s">
        <v>9</v>
      </c>
      <c r="E1252" t="s">
        <v>15</v>
      </c>
      <c r="F1252" t="s">
        <v>16</v>
      </c>
      <c r="G1252" t="s">
        <v>17</v>
      </c>
      <c r="H1252">
        <v>2133.7600000000002</v>
      </c>
      <c r="I1252" s="8" t="str" cm="1">
        <f t="array" ref="I1252">_xlfn.IFS(C1252&lt;=15,"Children and Young Adolescents", C1252&gt;64, "Seniors", TRUE, "Working Age")</f>
        <v>Working Age</v>
      </c>
      <c r="J1252" s="6">
        <f>VLOOKUP(F1252,Analysis!$F$1:$G$5,2,FALSE)</f>
        <v>2509.1716796874912</v>
      </c>
      <c r="K1252">
        <f t="shared" si="76"/>
        <v>2347.13</v>
      </c>
      <c r="L1252">
        <f t="shared" si="77"/>
        <v>2347.1400000000003</v>
      </c>
      <c r="M1252">
        <f t="shared" si="78"/>
        <v>2347.14</v>
      </c>
      <c r="N1252" s="5" t="str">
        <f t="shared" si="79"/>
        <v>July 2022</v>
      </c>
    </row>
    <row r="1253" spans="1:14" x14ac:dyDescent="0.25">
      <c r="A1253" s="1">
        <v>44747</v>
      </c>
      <c r="B1253" t="s">
        <v>2760</v>
      </c>
      <c r="C1253">
        <v>9</v>
      </c>
      <c r="D1253" t="s">
        <v>21</v>
      </c>
      <c r="E1253" t="s">
        <v>22</v>
      </c>
      <c r="F1253" t="s">
        <v>23</v>
      </c>
      <c r="G1253" t="s">
        <v>36</v>
      </c>
      <c r="H1253">
        <v>1750.41</v>
      </c>
      <c r="I1253" s="8" t="str" cm="1">
        <f t="array" ref="I1253">_xlfn.IFS(C1253&lt;=15,"Children and Young Adolescents", C1253&gt;64, "Seniors", TRUE, "Working Age")</f>
        <v>Children and Young Adolescents</v>
      </c>
      <c r="J1253" s="6">
        <f>VLOOKUP(F1253,Analysis!$F$1:$G$5,2,FALSE)</f>
        <v>2440.2966694490838</v>
      </c>
      <c r="K1253">
        <f t="shared" si="76"/>
        <v>1925.45</v>
      </c>
      <c r="L1253">
        <f t="shared" si="77"/>
        <v>1925.46</v>
      </c>
      <c r="M1253">
        <f t="shared" si="78"/>
        <v>1925.45</v>
      </c>
      <c r="N1253" s="5" t="str">
        <f t="shared" si="79"/>
        <v>July 2022</v>
      </c>
    </row>
    <row r="1254" spans="1:14" x14ac:dyDescent="0.25">
      <c r="A1254" s="1">
        <v>44747</v>
      </c>
      <c r="B1254" t="s">
        <v>1063</v>
      </c>
      <c r="C1254">
        <v>35</v>
      </c>
      <c r="D1254" t="s">
        <v>14</v>
      </c>
      <c r="E1254" t="s">
        <v>25</v>
      </c>
      <c r="F1254" t="s">
        <v>16</v>
      </c>
      <c r="G1254" t="s">
        <v>27</v>
      </c>
      <c r="H1254">
        <v>223.84</v>
      </c>
      <c r="I1254" s="8" t="str" cm="1">
        <f t="array" ref="I1254">_xlfn.IFS(C1254&lt;=15,"Children and Young Adolescents", C1254&gt;64, "Seniors", TRUE, "Working Age")</f>
        <v>Working Age</v>
      </c>
      <c r="J1254" s="6">
        <f>VLOOKUP(F1254,Analysis!$F$1:$G$5,2,FALSE)</f>
        <v>2509.1716796874912</v>
      </c>
      <c r="K1254">
        <f t="shared" si="76"/>
        <v>246.22</v>
      </c>
      <c r="L1254">
        <f t="shared" si="77"/>
        <v>246.23</v>
      </c>
      <c r="M1254">
        <f t="shared" si="78"/>
        <v>246.22</v>
      </c>
      <c r="N1254" s="5" t="str">
        <f t="shared" si="79"/>
        <v>July 2022</v>
      </c>
    </row>
    <row r="1255" spans="1:14" x14ac:dyDescent="0.25">
      <c r="A1255" s="1">
        <v>44747</v>
      </c>
      <c r="B1255" t="s">
        <v>2805</v>
      </c>
      <c r="C1255">
        <v>80</v>
      </c>
      <c r="D1255" t="s">
        <v>21</v>
      </c>
      <c r="E1255" t="s">
        <v>25</v>
      </c>
      <c r="F1255" t="s">
        <v>23</v>
      </c>
      <c r="G1255" t="s">
        <v>27</v>
      </c>
      <c r="H1255">
        <v>1672.14</v>
      </c>
      <c r="I1255" s="8" t="str" cm="1">
        <f t="array" ref="I1255">_xlfn.IFS(C1255&lt;=15,"Children and Young Adolescents", C1255&gt;64, "Seniors", TRUE, "Working Age")</f>
        <v>Seniors</v>
      </c>
      <c r="J1255" s="6">
        <f>VLOOKUP(F1255,Analysis!$F$1:$G$5,2,FALSE)</f>
        <v>2440.2966694490838</v>
      </c>
      <c r="K1255">
        <f t="shared" si="76"/>
        <v>1839.35</v>
      </c>
      <c r="L1255">
        <f t="shared" si="77"/>
        <v>1839.36</v>
      </c>
      <c r="M1255">
        <f t="shared" si="78"/>
        <v>1839.35</v>
      </c>
      <c r="N1255" s="5" t="str">
        <f t="shared" si="79"/>
        <v>July 2022</v>
      </c>
    </row>
    <row r="1256" spans="1:14" x14ac:dyDescent="0.25">
      <c r="A1256" s="1">
        <v>44747</v>
      </c>
      <c r="B1256" t="s">
        <v>3543</v>
      </c>
      <c r="C1256">
        <v>23</v>
      </c>
      <c r="D1256" t="s">
        <v>14</v>
      </c>
      <c r="E1256" t="s">
        <v>32</v>
      </c>
      <c r="F1256" t="s">
        <v>23</v>
      </c>
      <c r="G1256" t="s">
        <v>17</v>
      </c>
      <c r="H1256">
        <v>4115.5200000000004</v>
      </c>
      <c r="I1256" s="8" t="str" cm="1">
        <f t="array" ref="I1256">_xlfn.IFS(C1256&lt;=15,"Children and Young Adolescents", C1256&gt;64, "Seniors", TRUE, "Working Age")</f>
        <v>Working Age</v>
      </c>
      <c r="J1256" s="6">
        <f>VLOOKUP(F1256,Analysis!$F$1:$G$5,2,FALSE)</f>
        <v>2440.2966694490838</v>
      </c>
      <c r="K1256">
        <f t="shared" si="76"/>
        <v>4527.07</v>
      </c>
      <c r="L1256">
        <f t="shared" si="77"/>
        <v>4527.08</v>
      </c>
      <c r="M1256">
        <f t="shared" si="78"/>
        <v>4527.07</v>
      </c>
      <c r="N1256" s="5" t="str">
        <f t="shared" si="79"/>
        <v>July 2022</v>
      </c>
    </row>
    <row r="1257" spans="1:14" x14ac:dyDescent="0.25">
      <c r="A1257" s="1">
        <v>44747</v>
      </c>
      <c r="B1257" t="s">
        <v>4330</v>
      </c>
      <c r="C1257">
        <v>42</v>
      </c>
      <c r="D1257" t="s">
        <v>9</v>
      </c>
      <c r="E1257" t="s">
        <v>22</v>
      </c>
      <c r="F1257" t="s">
        <v>29</v>
      </c>
      <c r="G1257" t="s">
        <v>27</v>
      </c>
      <c r="H1257">
        <v>4673.78</v>
      </c>
      <c r="I1257" s="8" t="str" cm="1">
        <f t="array" ref="I1257">_xlfn.IFS(C1257&lt;=15,"Children and Young Adolescents", C1257&gt;64, "Seniors", TRUE, "Working Age")</f>
        <v>Working Age</v>
      </c>
      <c r="J1257" s="6">
        <f>VLOOKUP(F1257,Analysis!$F$1:$G$5,2,FALSE)</f>
        <v>2496.7676064256989</v>
      </c>
      <c r="K1257">
        <f t="shared" si="76"/>
        <v>5141.1499999999996</v>
      </c>
      <c r="L1257">
        <f t="shared" si="77"/>
        <v>5141.16</v>
      </c>
      <c r="M1257">
        <f t="shared" si="78"/>
        <v>5141.16</v>
      </c>
      <c r="N1257" s="5" t="str">
        <f t="shared" si="79"/>
        <v>July 2022</v>
      </c>
    </row>
    <row r="1258" spans="1:14" x14ac:dyDescent="0.25">
      <c r="A1258" s="1">
        <v>44747</v>
      </c>
      <c r="B1258" t="s">
        <v>120</v>
      </c>
      <c r="C1258">
        <v>79</v>
      </c>
      <c r="D1258" t="s">
        <v>14</v>
      </c>
      <c r="E1258" t="s">
        <v>15</v>
      </c>
      <c r="F1258" t="s">
        <v>16</v>
      </c>
      <c r="G1258" t="s">
        <v>27</v>
      </c>
      <c r="H1258">
        <v>258</v>
      </c>
      <c r="I1258" s="8" t="str" cm="1">
        <f t="array" ref="I1258">_xlfn.IFS(C1258&lt;=15,"Children and Young Adolescents", C1258&gt;64, "Seniors", TRUE, "Working Age")</f>
        <v>Seniors</v>
      </c>
      <c r="J1258" s="6">
        <f>VLOOKUP(F1258,Analysis!$F$1:$G$5,2,FALSE)</f>
        <v>2509.1716796874912</v>
      </c>
      <c r="K1258">
        <f t="shared" si="76"/>
        <v>283.8</v>
      </c>
      <c r="L1258">
        <f t="shared" si="77"/>
        <v>283.8</v>
      </c>
      <c r="M1258">
        <f t="shared" si="78"/>
        <v>283.8</v>
      </c>
      <c r="N1258" s="5" t="str">
        <f t="shared" si="79"/>
        <v>July 2022</v>
      </c>
    </row>
    <row r="1259" spans="1:14" x14ac:dyDescent="0.25">
      <c r="A1259" s="1">
        <v>44747</v>
      </c>
      <c r="B1259" t="s">
        <v>2315</v>
      </c>
      <c r="C1259">
        <v>43</v>
      </c>
      <c r="D1259" t="s">
        <v>14</v>
      </c>
      <c r="E1259" t="s">
        <v>15</v>
      </c>
      <c r="F1259" t="s">
        <v>23</v>
      </c>
      <c r="G1259" t="s">
        <v>27</v>
      </c>
      <c r="H1259">
        <v>1363.33</v>
      </c>
      <c r="I1259" s="8" t="str" cm="1">
        <f t="array" ref="I1259">_xlfn.IFS(C1259&lt;=15,"Children and Young Adolescents", C1259&gt;64, "Seniors", TRUE, "Working Age")</f>
        <v>Working Age</v>
      </c>
      <c r="J1259" s="6">
        <f>VLOOKUP(F1259,Analysis!$F$1:$G$5,2,FALSE)</f>
        <v>2440.2966694490838</v>
      </c>
      <c r="K1259">
        <f t="shared" si="76"/>
        <v>1499.66</v>
      </c>
      <c r="L1259">
        <f t="shared" si="77"/>
        <v>1499.67</v>
      </c>
      <c r="M1259">
        <f t="shared" si="78"/>
        <v>1499.66</v>
      </c>
      <c r="N1259" s="5" t="str">
        <f t="shared" si="79"/>
        <v>July 2022</v>
      </c>
    </row>
    <row r="1260" spans="1:14" x14ac:dyDescent="0.25">
      <c r="A1260" s="1">
        <v>44747</v>
      </c>
      <c r="B1260" t="s">
        <v>1124</v>
      </c>
      <c r="C1260">
        <v>24</v>
      </c>
      <c r="D1260" t="s">
        <v>14</v>
      </c>
      <c r="E1260" t="s">
        <v>22</v>
      </c>
      <c r="F1260" t="s">
        <v>16</v>
      </c>
      <c r="G1260" t="s">
        <v>12</v>
      </c>
      <c r="H1260">
        <v>3251.64</v>
      </c>
      <c r="I1260" s="8" t="str" cm="1">
        <f t="array" ref="I1260">_xlfn.IFS(C1260&lt;=15,"Children and Young Adolescents", C1260&gt;64, "Seniors", TRUE, "Working Age")</f>
        <v>Working Age</v>
      </c>
      <c r="J1260" s="6">
        <f>VLOOKUP(F1260,Analysis!$F$1:$G$5,2,FALSE)</f>
        <v>2509.1716796874912</v>
      </c>
      <c r="K1260">
        <f t="shared" si="76"/>
        <v>3576.8</v>
      </c>
      <c r="L1260">
        <f t="shared" si="77"/>
        <v>3576.8100000000004</v>
      </c>
      <c r="M1260">
        <f t="shared" si="78"/>
        <v>3576.8</v>
      </c>
      <c r="N1260" s="5" t="str">
        <f t="shared" si="79"/>
        <v>July 2022</v>
      </c>
    </row>
    <row r="1261" spans="1:14" x14ac:dyDescent="0.25">
      <c r="A1261" s="1">
        <v>44747</v>
      </c>
      <c r="B1261" t="s">
        <v>4266</v>
      </c>
      <c r="C1261">
        <v>11</v>
      </c>
      <c r="D1261" t="s">
        <v>14</v>
      </c>
      <c r="E1261" t="s">
        <v>10</v>
      </c>
      <c r="F1261" t="s">
        <v>29</v>
      </c>
      <c r="G1261" t="s">
        <v>12</v>
      </c>
      <c r="H1261">
        <v>2615.9499999999998</v>
      </c>
      <c r="I1261" s="8" t="str" cm="1">
        <f t="array" ref="I1261">_xlfn.IFS(C1261&lt;=15,"Children and Young Adolescents", C1261&gt;64, "Seniors", TRUE, "Working Age")</f>
        <v>Children and Young Adolescents</v>
      </c>
      <c r="J1261" s="6">
        <f>VLOOKUP(F1261,Analysis!$F$1:$G$5,2,FALSE)</f>
        <v>2496.7676064256989</v>
      </c>
      <c r="K1261">
        <f t="shared" si="76"/>
        <v>2877.54</v>
      </c>
      <c r="L1261">
        <f t="shared" si="77"/>
        <v>2877.55</v>
      </c>
      <c r="M1261">
        <f t="shared" si="78"/>
        <v>2877.55</v>
      </c>
      <c r="N1261" s="5" t="str">
        <f t="shared" si="79"/>
        <v>July 2022</v>
      </c>
    </row>
    <row r="1262" spans="1:14" x14ac:dyDescent="0.25">
      <c r="A1262" s="1">
        <v>44748</v>
      </c>
      <c r="B1262" t="s">
        <v>1397</v>
      </c>
      <c r="C1262">
        <v>39</v>
      </c>
      <c r="D1262" t="s">
        <v>14</v>
      </c>
      <c r="E1262" t="s">
        <v>19</v>
      </c>
      <c r="F1262" t="s">
        <v>11</v>
      </c>
      <c r="G1262" t="s">
        <v>36</v>
      </c>
      <c r="H1262">
        <v>1749.33</v>
      </c>
      <c r="I1262" s="8" t="str" cm="1">
        <f t="array" ref="I1262">_xlfn.IFS(C1262&lt;=15,"Children and Young Adolescents", C1262&gt;64, "Seniors", TRUE, "Working Age")</f>
        <v>Working Age</v>
      </c>
      <c r="J1262" s="6">
        <f>VLOOKUP(F1262,Analysis!$F$1:$G$5,2,FALSE)</f>
        <v>2503.6022787783854</v>
      </c>
      <c r="K1262">
        <f t="shared" si="76"/>
        <v>1924.26</v>
      </c>
      <c r="L1262">
        <f t="shared" si="77"/>
        <v>1924.27</v>
      </c>
      <c r="M1262">
        <f t="shared" si="78"/>
        <v>1924.26</v>
      </c>
      <c r="N1262" s="5" t="str">
        <f t="shared" si="79"/>
        <v>July 2022</v>
      </c>
    </row>
    <row r="1263" spans="1:14" x14ac:dyDescent="0.25">
      <c r="A1263" s="1">
        <v>44748</v>
      </c>
      <c r="B1263" t="s">
        <v>3227</v>
      </c>
      <c r="C1263">
        <v>36</v>
      </c>
      <c r="D1263" t="s">
        <v>9</v>
      </c>
      <c r="E1263" t="s">
        <v>34</v>
      </c>
      <c r="F1263" t="s">
        <v>29</v>
      </c>
      <c r="G1263" t="s">
        <v>36</v>
      </c>
      <c r="H1263">
        <v>362.22</v>
      </c>
      <c r="I1263" s="8" t="str" cm="1">
        <f t="array" ref="I1263">_xlfn.IFS(C1263&lt;=15,"Children and Young Adolescents", C1263&gt;64, "Seniors", TRUE, "Working Age")</f>
        <v>Working Age</v>
      </c>
      <c r="J1263" s="6">
        <f>VLOOKUP(F1263,Analysis!$F$1:$G$5,2,FALSE)</f>
        <v>2496.7676064256989</v>
      </c>
      <c r="K1263">
        <f t="shared" si="76"/>
        <v>398.44</v>
      </c>
      <c r="L1263">
        <f t="shared" si="77"/>
        <v>398.45</v>
      </c>
      <c r="M1263">
        <f t="shared" si="78"/>
        <v>398.44</v>
      </c>
      <c r="N1263" s="5" t="str">
        <f t="shared" si="79"/>
        <v>July 2022</v>
      </c>
    </row>
    <row r="1264" spans="1:14" x14ac:dyDescent="0.25">
      <c r="A1264" s="1">
        <v>44749</v>
      </c>
      <c r="B1264" t="s">
        <v>3002</v>
      </c>
      <c r="C1264">
        <v>4</v>
      </c>
      <c r="D1264" t="s">
        <v>21</v>
      </c>
      <c r="E1264" t="s">
        <v>10</v>
      </c>
      <c r="F1264" t="s">
        <v>11</v>
      </c>
      <c r="G1264" t="s">
        <v>27</v>
      </c>
      <c r="H1264">
        <v>2855.17</v>
      </c>
      <c r="I1264" s="8" t="str" cm="1">
        <f t="array" ref="I1264">_xlfn.IFS(C1264&lt;=15,"Children and Young Adolescents", C1264&gt;64, "Seniors", TRUE, "Working Age")</f>
        <v>Children and Young Adolescents</v>
      </c>
      <c r="J1264" s="6">
        <f>VLOOKUP(F1264,Analysis!$F$1:$G$5,2,FALSE)</f>
        <v>2503.6022787783854</v>
      </c>
      <c r="K1264">
        <f t="shared" si="76"/>
        <v>3140.68</v>
      </c>
      <c r="L1264">
        <f t="shared" si="77"/>
        <v>3140.69</v>
      </c>
      <c r="M1264">
        <f t="shared" si="78"/>
        <v>3140.69</v>
      </c>
      <c r="N1264" s="5" t="str">
        <f t="shared" si="79"/>
        <v>July 2022</v>
      </c>
    </row>
    <row r="1265" spans="1:14" x14ac:dyDescent="0.25">
      <c r="A1265" s="1">
        <v>44749</v>
      </c>
      <c r="B1265" t="s">
        <v>2355</v>
      </c>
      <c r="C1265">
        <v>71</v>
      </c>
      <c r="D1265" t="s">
        <v>14</v>
      </c>
      <c r="E1265" t="s">
        <v>25</v>
      </c>
      <c r="F1265" t="s">
        <v>16</v>
      </c>
      <c r="G1265" t="s">
        <v>27</v>
      </c>
      <c r="H1265">
        <v>3294.05</v>
      </c>
      <c r="I1265" s="8" t="str" cm="1">
        <f t="array" ref="I1265">_xlfn.IFS(C1265&lt;=15,"Children and Young Adolescents", C1265&gt;64, "Seniors", TRUE, "Working Age")</f>
        <v>Seniors</v>
      </c>
      <c r="J1265" s="6">
        <f>VLOOKUP(F1265,Analysis!$F$1:$G$5,2,FALSE)</f>
        <v>2509.1716796874912</v>
      </c>
      <c r="K1265">
        <f t="shared" si="76"/>
        <v>3623.45</v>
      </c>
      <c r="L1265">
        <f t="shared" si="77"/>
        <v>3623.46</v>
      </c>
      <c r="M1265">
        <f t="shared" si="78"/>
        <v>3623.46</v>
      </c>
      <c r="N1265" s="5" t="str">
        <f t="shared" si="79"/>
        <v>July 2022</v>
      </c>
    </row>
    <row r="1266" spans="1:14" x14ac:dyDescent="0.25">
      <c r="A1266" s="1">
        <v>44749</v>
      </c>
      <c r="B1266" t="s">
        <v>4837</v>
      </c>
      <c r="C1266">
        <v>8</v>
      </c>
      <c r="D1266" t="s">
        <v>9</v>
      </c>
      <c r="E1266" t="s">
        <v>19</v>
      </c>
      <c r="F1266" t="s">
        <v>29</v>
      </c>
      <c r="G1266" t="s">
        <v>27</v>
      </c>
      <c r="H1266">
        <v>3949.67</v>
      </c>
      <c r="I1266" s="8" t="str" cm="1">
        <f t="array" ref="I1266">_xlfn.IFS(C1266&lt;=15,"Children and Young Adolescents", C1266&gt;64, "Seniors", TRUE, "Working Age")</f>
        <v>Children and Young Adolescents</v>
      </c>
      <c r="J1266" s="6">
        <f>VLOOKUP(F1266,Analysis!$F$1:$G$5,2,FALSE)</f>
        <v>2496.7676064256989</v>
      </c>
      <c r="K1266">
        <f t="shared" si="76"/>
        <v>4344.63</v>
      </c>
      <c r="L1266">
        <f t="shared" si="77"/>
        <v>4344.6400000000003</v>
      </c>
      <c r="M1266">
        <f t="shared" si="78"/>
        <v>4344.6400000000003</v>
      </c>
      <c r="N1266" s="5" t="str">
        <f t="shared" si="79"/>
        <v>July 2022</v>
      </c>
    </row>
    <row r="1267" spans="1:14" x14ac:dyDescent="0.25">
      <c r="A1267" s="1">
        <v>44749</v>
      </c>
      <c r="B1267" t="s">
        <v>2224</v>
      </c>
      <c r="C1267">
        <v>62</v>
      </c>
      <c r="D1267" t="s">
        <v>14</v>
      </c>
      <c r="E1267" t="s">
        <v>10</v>
      </c>
      <c r="F1267" t="s">
        <v>29</v>
      </c>
      <c r="G1267" t="s">
        <v>39</v>
      </c>
      <c r="H1267">
        <v>4545.55</v>
      </c>
      <c r="I1267" s="8" t="str" cm="1">
        <f t="array" ref="I1267">_xlfn.IFS(C1267&lt;=15,"Children and Young Adolescents", C1267&gt;64, "Seniors", TRUE, "Working Age")</f>
        <v>Working Age</v>
      </c>
      <c r="J1267" s="6">
        <f>VLOOKUP(F1267,Analysis!$F$1:$G$5,2,FALSE)</f>
        <v>2496.7676064256989</v>
      </c>
      <c r="K1267">
        <f t="shared" si="76"/>
        <v>5000.1000000000004</v>
      </c>
      <c r="L1267">
        <f t="shared" si="77"/>
        <v>5000.1100000000006</v>
      </c>
      <c r="M1267">
        <f t="shared" si="78"/>
        <v>5000.1099999999997</v>
      </c>
      <c r="N1267" s="5" t="str">
        <f t="shared" si="79"/>
        <v>July 2022</v>
      </c>
    </row>
    <row r="1268" spans="1:14" x14ac:dyDescent="0.25">
      <c r="A1268" s="1">
        <v>44749</v>
      </c>
      <c r="B1268" t="s">
        <v>3200</v>
      </c>
      <c r="C1268">
        <v>93</v>
      </c>
      <c r="D1268" t="s">
        <v>14</v>
      </c>
      <c r="E1268" t="s">
        <v>34</v>
      </c>
      <c r="F1268" t="s">
        <v>29</v>
      </c>
      <c r="G1268" t="s">
        <v>27</v>
      </c>
      <c r="H1268">
        <v>633.45000000000005</v>
      </c>
      <c r="I1268" s="8" t="str" cm="1">
        <f t="array" ref="I1268">_xlfn.IFS(C1268&lt;=15,"Children and Young Adolescents", C1268&gt;64, "Seniors", TRUE, "Working Age")</f>
        <v>Seniors</v>
      </c>
      <c r="J1268" s="6">
        <f>VLOOKUP(F1268,Analysis!$F$1:$G$5,2,FALSE)</f>
        <v>2496.7676064256989</v>
      </c>
      <c r="K1268">
        <f t="shared" si="76"/>
        <v>696.79</v>
      </c>
      <c r="L1268">
        <f t="shared" si="77"/>
        <v>696.8</v>
      </c>
      <c r="M1268">
        <f t="shared" si="78"/>
        <v>696.8</v>
      </c>
      <c r="N1268" s="5" t="str">
        <f t="shared" si="79"/>
        <v>July 2022</v>
      </c>
    </row>
    <row r="1269" spans="1:14" x14ac:dyDescent="0.25">
      <c r="A1269" s="1">
        <v>44749</v>
      </c>
      <c r="B1269" t="s">
        <v>3231</v>
      </c>
      <c r="C1269">
        <v>80</v>
      </c>
      <c r="D1269" t="s">
        <v>9</v>
      </c>
      <c r="E1269" t="s">
        <v>5032</v>
      </c>
      <c r="F1269" t="s">
        <v>29</v>
      </c>
      <c r="G1269" t="s">
        <v>27</v>
      </c>
      <c r="H1269">
        <v>2341.6</v>
      </c>
      <c r="I1269" s="8" t="str" cm="1">
        <f t="array" ref="I1269">_xlfn.IFS(C1269&lt;=15,"Children and Young Adolescents", C1269&gt;64, "Seniors", TRUE, "Working Age")</f>
        <v>Seniors</v>
      </c>
      <c r="J1269" s="6">
        <f>VLOOKUP(F1269,Analysis!$F$1:$G$5,2,FALSE)</f>
        <v>2496.7676064256989</v>
      </c>
      <c r="K1269">
        <f t="shared" si="76"/>
        <v>2575.7600000000002</v>
      </c>
      <c r="L1269">
        <f t="shared" si="77"/>
        <v>2575.7600000000002</v>
      </c>
      <c r="M1269">
        <f t="shared" si="78"/>
        <v>2575.7600000000002</v>
      </c>
      <c r="N1269" s="5" t="str">
        <f t="shared" si="79"/>
        <v>July 2022</v>
      </c>
    </row>
    <row r="1270" spans="1:14" x14ac:dyDescent="0.25">
      <c r="A1270" s="1">
        <v>44750</v>
      </c>
      <c r="B1270" t="s">
        <v>2408</v>
      </c>
      <c r="C1270">
        <v>46</v>
      </c>
      <c r="D1270" t="s">
        <v>21</v>
      </c>
      <c r="E1270" t="s">
        <v>10</v>
      </c>
      <c r="F1270" t="s">
        <v>16</v>
      </c>
      <c r="G1270" t="s">
        <v>12</v>
      </c>
      <c r="H1270">
        <v>4382.99</v>
      </c>
      <c r="I1270" s="8" t="str" cm="1">
        <f t="array" ref="I1270">_xlfn.IFS(C1270&lt;=15,"Children and Young Adolescents", C1270&gt;64, "Seniors", TRUE, "Working Age")</f>
        <v>Working Age</v>
      </c>
      <c r="J1270" s="6">
        <f>VLOOKUP(F1270,Analysis!$F$1:$G$5,2,FALSE)</f>
        <v>2509.1716796874912</v>
      </c>
      <c r="K1270">
        <f t="shared" si="76"/>
        <v>4821.28</v>
      </c>
      <c r="L1270">
        <f t="shared" si="77"/>
        <v>4821.29</v>
      </c>
      <c r="M1270">
        <f t="shared" si="78"/>
        <v>4821.29</v>
      </c>
      <c r="N1270" s="5" t="str">
        <f t="shared" si="79"/>
        <v>July 2022</v>
      </c>
    </row>
    <row r="1271" spans="1:14" x14ac:dyDescent="0.25">
      <c r="A1271" s="1">
        <v>44750</v>
      </c>
      <c r="B1271" t="s">
        <v>63</v>
      </c>
      <c r="C1271">
        <v>27</v>
      </c>
      <c r="D1271" t="s">
        <v>21</v>
      </c>
      <c r="E1271" t="s">
        <v>34</v>
      </c>
      <c r="F1271" t="s">
        <v>11</v>
      </c>
      <c r="G1271" t="s">
        <v>39</v>
      </c>
      <c r="H1271">
        <v>1913.22</v>
      </c>
      <c r="I1271" s="8" t="str" cm="1">
        <f t="array" ref="I1271">_xlfn.IFS(C1271&lt;=15,"Children and Young Adolescents", C1271&gt;64, "Seniors", TRUE, "Working Age")</f>
        <v>Working Age</v>
      </c>
      <c r="J1271" s="6">
        <f>VLOOKUP(F1271,Analysis!$F$1:$G$5,2,FALSE)</f>
        <v>2503.6022787783854</v>
      </c>
      <c r="K1271">
        <f t="shared" si="76"/>
        <v>2104.54</v>
      </c>
      <c r="L1271">
        <f t="shared" si="77"/>
        <v>2104.5500000000002</v>
      </c>
      <c r="M1271">
        <f t="shared" si="78"/>
        <v>2104.54</v>
      </c>
      <c r="N1271" s="5" t="str">
        <f t="shared" si="79"/>
        <v>July 2022</v>
      </c>
    </row>
    <row r="1272" spans="1:14" x14ac:dyDescent="0.25">
      <c r="A1272" s="1">
        <v>44750</v>
      </c>
      <c r="B1272" t="s">
        <v>4042</v>
      </c>
      <c r="C1272">
        <v>82</v>
      </c>
      <c r="D1272" t="s">
        <v>9</v>
      </c>
      <c r="E1272" t="s">
        <v>5032</v>
      </c>
      <c r="F1272" t="s">
        <v>29</v>
      </c>
      <c r="G1272" t="s">
        <v>36</v>
      </c>
      <c r="H1272">
        <v>2419.85</v>
      </c>
      <c r="I1272" s="8" t="str" cm="1">
        <f t="array" ref="I1272">_xlfn.IFS(C1272&lt;=15,"Children and Young Adolescents", C1272&gt;64, "Seniors", TRUE, "Working Age")</f>
        <v>Seniors</v>
      </c>
      <c r="J1272" s="6">
        <f>VLOOKUP(F1272,Analysis!$F$1:$G$5,2,FALSE)</f>
        <v>2496.7676064256989</v>
      </c>
      <c r="K1272">
        <f t="shared" si="76"/>
        <v>2661.83</v>
      </c>
      <c r="L1272">
        <f t="shared" si="77"/>
        <v>2661.84</v>
      </c>
      <c r="M1272">
        <f t="shared" si="78"/>
        <v>2661.84</v>
      </c>
      <c r="N1272" s="5" t="str">
        <f t="shared" si="79"/>
        <v>July 2022</v>
      </c>
    </row>
    <row r="1273" spans="1:14" x14ac:dyDescent="0.25">
      <c r="A1273" s="1">
        <v>44750</v>
      </c>
      <c r="B1273" t="s">
        <v>1872</v>
      </c>
      <c r="C1273">
        <v>68</v>
      </c>
      <c r="D1273" t="s">
        <v>21</v>
      </c>
      <c r="E1273" t="s">
        <v>25</v>
      </c>
      <c r="F1273" t="s">
        <v>11</v>
      </c>
      <c r="G1273" t="s">
        <v>17</v>
      </c>
      <c r="H1273">
        <v>4289.93</v>
      </c>
      <c r="I1273" s="8" t="str" cm="1">
        <f t="array" ref="I1273">_xlfn.IFS(C1273&lt;=15,"Children and Young Adolescents", C1273&gt;64, "Seniors", TRUE, "Working Age")</f>
        <v>Seniors</v>
      </c>
      <c r="J1273" s="6">
        <f>VLOOKUP(F1273,Analysis!$F$1:$G$5,2,FALSE)</f>
        <v>2503.6022787783854</v>
      </c>
      <c r="K1273">
        <f t="shared" si="76"/>
        <v>4718.92</v>
      </c>
      <c r="L1273">
        <f t="shared" si="77"/>
        <v>4718.93</v>
      </c>
      <c r="M1273">
        <f t="shared" si="78"/>
        <v>4718.92</v>
      </c>
      <c r="N1273" s="5" t="str">
        <f t="shared" si="79"/>
        <v>July 2022</v>
      </c>
    </row>
    <row r="1274" spans="1:14" x14ac:dyDescent="0.25">
      <c r="A1274" s="1">
        <v>44750</v>
      </c>
      <c r="B1274" t="s">
        <v>1342</v>
      </c>
      <c r="C1274">
        <v>36</v>
      </c>
      <c r="D1274" t="s">
        <v>21</v>
      </c>
      <c r="E1274" t="s">
        <v>25</v>
      </c>
      <c r="F1274" t="s">
        <v>29</v>
      </c>
      <c r="G1274" t="s">
        <v>17</v>
      </c>
      <c r="H1274">
        <v>1207.03</v>
      </c>
      <c r="I1274" s="8" t="str" cm="1">
        <f t="array" ref="I1274">_xlfn.IFS(C1274&lt;=15,"Children and Young Adolescents", C1274&gt;64, "Seniors", TRUE, "Working Age")</f>
        <v>Working Age</v>
      </c>
      <c r="J1274" s="6">
        <f>VLOOKUP(F1274,Analysis!$F$1:$G$5,2,FALSE)</f>
        <v>2496.7676064256989</v>
      </c>
      <c r="K1274">
        <f t="shared" si="76"/>
        <v>1327.73</v>
      </c>
      <c r="L1274">
        <f t="shared" si="77"/>
        <v>1327.74</v>
      </c>
      <c r="M1274">
        <f t="shared" si="78"/>
        <v>1327.73</v>
      </c>
      <c r="N1274" s="5" t="str">
        <f t="shared" si="79"/>
        <v>July 2022</v>
      </c>
    </row>
    <row r="1275" spans="1:14" x14ac:dyDescent="0.25">
      <c r="A1275" s="1">
        <v>44750</v>
      </c>
      <c r="B1275" t="s">
        <v>3865</v>
      </c>
      <c r="C1275">
        <v>13</v>
      </c>
      <c r="D1275" t="s">
        <v>21</v>
      </c>
      <c r="E1275" t="s">
        <v>15</v>
      </c>
      <c r="F1275" t="s">
        <v>11</v>
      </c>
      <c r="G1275" t="s">
        <v>12</v>
      </c>
      <c r="H1275">
        <v>3852.42</v>
      </c>
      <c r="I1275" s="8" t="str" cm="1">
        <f t="array" ref="I1275">_xlfn.IFS(C1275&lt;=15,"Children and Young Adolescents", C1275&gt;64, "Seniors", TRUE, "Working Age")</f>
        <v>Children and Young Adolescents</v>
      </c>
      <c r="J1275" s="6">
        <f>VLOOKUP(F1275,Analysis!$F$1:$G$5,2,FALSE)</f>
        <v>2503.6022787783854</v>
      </c>
      <c r="K1275">
        <f t="shared" si="76"/>
        <v>4237.66</v>
      </c>
      <c r="L1275">
        <f t="shared" si="77"/>
        <v>4237.67</v>
      </c>
      <c r="M1275">
        <f t="shared" si="78"/>
        <v>4237.66</v>
      </c>
      <c r="N1275" s="5" t="str">
        <f t="shared" si="79"/>
        <v>July 2022</v>
      </c>
    </row>
    <row r="1276" spans="1:14" x14ac:dyDescent="0.25">
      <c r="A1276" s="1">
        <v>44750</v>
      </c>
      <c r="B1276" t="s">
        <v>212</v>
      </c>
      <c r="C1276">
        <v>65</v>
      </c>
      <c r="D1276" t="s">
        <v>21</v>
      </c>
      <c r="E1276" t="s">
        <v>10</v>
      </c>
      <c r="F1276" t="s">
        <v>16</v>
      </c>
      <c r="G1276" t="s">
        <v>36</v>
      </c>
      <c r="H1276">
        <v>4548.9799999999996</v>
      </c>
      <c r="I1276" s="8" t="str" cm="1">
        <f t="array" ref="I1276">_xlfn.IFS(C1276&lt;=15,"Children and Young Adolescents", C1276&gt;64, "Seniors", TRUE, "Working Age")</f>
        <v>Seniors</v>
      </c>
      <c r="J1276" s="6">
        <f>VLOOKUP(F1276,Analysis!$F$1:$G$5,2,FALSE)</f>
        <v>2509.1716796874912</v>
      </c>
      <c r="K1276">
        <f t="shared" si="76"/>
        <v>5003.87</v>
      </c>
      <c r="L1276">
        <f t="shared" si="77"/>
        <v>5003.88</v>
      </c>
      <c r="M1276">
        <f t="shared" si="78"/>
        <v>5003.88</v>
      </c>
      <c r="N1276" s="5" t="str">
        <f t="shared" si="79"/>
        <v>July 2022</v>
      </c>
    </row>
    <row r="1277" spans="1:14" x14ac:dyDescent="0.25">
      <c r="A1277" s="1">
        <v>44750</v>
      </c>
      <c r="B1277" t="s">
        <v>4399</v>
      </c>
      <c r="C1277">
        <v>79</v>
      </c>
      <c r="D1277" t="s">
        <v>14</v>
      </c>
      <c r="E1277" t="s">
        <v>15</v>
      </c>
      <c r="F1277" t="s">
        <v>29</v>
      </c>
      <c r="G1277" t="s">
        <v>12</v>
      </c>
      <c r="H1277">
        <v>3670.37</v>
      </c>
      <c r="I1277" s="8" t="str" cm="1">
        <f t="array" ref="I1277">_xlfn.IFS(C1277&lt;=15,"Children and Young Adolescents", C1277&gt;64, "Seniors", TRUE, "Working Age")</f>
        <v>Seniors</v>
      </c>
      <c r="J1277" s="6">
        <f>VLOOKUP(F1277,Analysis!$F$1:$G$5,2,FALSE)</f>
        <v>2496.7676064256989</v>
      </c>
      <c r="K1277">
        <f t="shared" si="76"/>
        <v>4037.4</v>
      </c>
      <c r="L1277">
        <f t="shared" si="77"/>
        <v>4037.4100000000003</v>
      </c>
      <c r="M1277">
        <f t="shared" si="78"/>
        <v>4037.41</v>
      </c>
      <c r="N1277" s="5" t="str">
        <f t="shared" si="79"/>
        <v>July 2022</v>
      </c>
    </row>
    <row r="1278" spans="1:14" x14ac:dyDescent="0.25">
      <c r="A1278" s="1">
        <v>44750</v>
      </c>
      <c r="B1278" t="s">
        <v>1817</v>
      </c>
      <c r="C1278">
        <v>84</v>
      </c>
      <c r="D1278" t="s">
        <v>21</v>
      </c>
      <c r="E1278" t="s">
        <v>25</v>
      </c>
      <c r="F1278" t="s">
        <v>16</v>
      </c>
      <c r="G1278" t="s">
        <v>39</v>
      </c>
      <c r="H1278">
        <v>4166.3599999999997</v>
      </c>
      <c r="I1278" s="8" t="str" cm="1">
        <f t="array" ref="I1278">_xlfn.IFS(C1278&lt;=15,"Children and Young Adolescents", C1278&gt;64, "Seniors", TRUE, "Working Age")</f>
        <v>Seniors</v>
      </c>
      <c r="J1278" s="6">
        <f>VLOOKUP(F1278,Analysis!$F$1:$G$5,2,FALSE)</f>
        <v>2509.1716796874912</v>
      </c>
      <c r="K1278">
        <f t="shared" si="76"/>
        <v>4582.99</v>
      </c>
      <c r="L1278">
        <f t="shared" si="77"/>
        <v>4583</v>
      </c>
      <c r="M1278">
        <f t="shared" si="78"/>
        <v>4583</v>
      </c>
      <c r="N1278" s="5" t="str">
        <f t="shared" si="79"/>
        <v>July 2022</v>
      </c>
    </row>
    <row r="1279" spans="1:14" x14ac:dyDescent="0.25">
      <c r="A1279" s="1">
        <v>44750</v>
      </c>
      <c r="B1279" t="s">
        <v>4551</v>
      </c>
      <c r="C1279">
        <v>3</v>
      </c>
      <c r="D1279" t="s">
        <v>9</v>
      </c>
      <c r="E1279" t="s">
        <v>22</v>
      </c>
      <c r="F1279" t="s">
        <v>23</v>
      </c>
      <c r="G1279" t="s">
        <v>27</v>
      </c>
      <c r="H1279">
        <v>3523.03</v>
      </c>
      <c r="I1279" s="8" t="str" cm="1">
        <f t="array" ref="I1279">_xlfn.IFS(C1279&lt;=15,"Children and Young Adolescents", C1279&gt;64, "Seniors", TRUE, "Working Age")</f>
        <v>Children and Young Adolescents</v>
      </c>
      <c r="J1279" s="6">
        <f>VLOOKUP(F1279,Analysis!$F$1:$G$5,2,FALSE)</f>
        <v>2440.2966694490838</v>
      </c>
      <c r="K1279">
        <f t="shared" si="76"/>
        <v>3875.33</v>
      </c>
      <c r="L1279">
        <f t="shared" si="77"/>
        <v>3875.34</v>
      </c>
      <c r="M1279">
        <f t="shared" si="78"/>
        <v>3875.33</v>
      </c>
      <c r="N1279" s="5" t="str">
        <f t="shared" si="79"/>
        <v>July 2022</v>
      </c>
    </row>
    <row r="1280" spans="1:14" x14ac:dyDescent="0.25">
      <c r="A1280" s="1">
        <v>44750</v>
      </c>
      <c r="B1280" t="s">
        <v>2401</v>
      </c>
      <c r="C1280">
        <v>48</v>
      </c>
      <c r="D1280" t="s">
        <v>9</v>
      </c>
      <c r="E1280" t="s">
        <v>25</v>
      </c>
      <c r="F1280" t="s">
        <v>11</v>
      </c>
      <c r="G1280" t="s">
        <v>17</v>
      </c>
      <c r="H1280">
        <v>439.54</v>
      </c>
      <c r="I1280" s="8" t="str" cm="1">
        <f t="array" ref="I1280">_xlfn.IFS(C1280&lt;=15,"Children and Young Adolescents", C1280&gt;64, "Seniors", TRUE, "Working Age")</f>
        <v>Working Age</v>
      </c>
      <c r="J1280" s="6">
        <f>VLOOKUP(F1280,Analysis!$F$1:$G$5,2,FALSE)</f>
        <v>2503.6022787783854</v>
      </c>
      <c r="K1280">
        <f t="shared" si="76"/>
        <v>483.49</v>
      </c>
      <c r="L1280">
        <f t="shared" si="77"/>
        <v>483.5</v>
      </c>
      <c r="M1280">
        <f t="shared" si="78"/>
        <v>483.49</v>
      </c>
      <c r="N1280" s="5" t="str">
        <f t="shared" si="79"/>
        <v>July 2022</v>
      </c>
    </row>
    <row r="1281" spans="1:14" x14ac:dyDescent="0.25">
      <c r="A1281" s="1">
        <v>44751</v>
      </c>
      <c r="B1281" t="s">
        <v>1675</v>
      </c>
      <c r="C1281">
        <v>27</v>
      </c>
      <c r="D1281" t="s">
        <v>21</v>
      </c>
      <c r="E1281" t="s">
        <v>34</v>
      </c>
      <c r="F1281" t="s">
        <v>11</v>
      </c>
      <c r="G1281" t="s">
        <v>5033</v>
      </c>
      <c r="H1281">
        <v>2137.85</v>
      </c>
      <c r="I1281" s="8" t="str" cm="1">
        <f t="array" ref="I1281">_xlfn.IFS(C1281&lt;=15,"Children and Young Adolescents", C1281&gt;64, "Seniors", TRUE, "Working Age")</f>
        <v>Working Age</v>
      </c>
      <c r="J1281" s="6">
        <f>VLOOKUP(F1281,Analysis!$F$1:$G$5,2,FALSE)</f>
        <v>2503.6022787783854</v>
      </c>
      <c r="K1281">
        <f t="shared" si="76"/>
        <v>2351.63</v>
      </c>
      <c r="L1281">
        <f t="shared" si="77"/>
        <v>2351.6400000000003</v>
      </c>
      <c r="M1281">
        <f t="shared" si="78"/>
        <v>2351.64</v>
      </c>
      <c r="N1281" s="5" t="str">
        <f t="shared" si="79"/>
        <v>July 2022</v>
      </c>
    </row>
    <row r="1282" spans="1:14" x14ac:dyDescent="0.25">
      <c r="A1282" s="1">
        <v>44751</v>
      </c>
      <c r="B1282" t="s">
        <v>4514</v>
      </c>
      <c r="C1282">
        <v>77</v>
      </c>
      <c r="D1282" t="s">
        <v>21</v>
      </c>
      <c r="E1282" t="s">
        <v>25</v>
      </c>
      <c r="F1282" t="s">
        <v>29</v>
      </c>
      <c r="G1282" t="s">
        <v>36</v>
      </c>
      <c r="H1282">
        <v>2888.74</v>
      </c>
      <c r="I1282" s="8" t="str" cm="1">
        <f t="array" ref="I1282">_xlfn.IFS(C1282&lt;=15,"Children and Young Adolescents", C1282&gt;64, "Seniors", TRUE, "Working Age")</f>
        <v>Seniors</v>
      </c>
      <c r="J1282" s="6">
        <f>VLOOKUP(F1282,Analysis!$F$1:$G$5,2,FALSE)</f>
        <v>2496.7676064256989</v>
      </c>
      <c r="K1282">
        <f t="shared" si="76"/>
        <v>3177.61</v>
      </c>
      <c r="L1282">
        <f t="shared" si="77"/>
        <v>3177.6200000000003</v>
      </c>
      <c r="M1282">
        <f t="shared" si="78"/>
        <v>3177.61</v>
      </c>
      <c r="N1282" s="5" t="str">
        <f t="shared" si="79"/>
        <v>July 2022</v>
      </c>
    </row>
    <row r="1283" spans="1:14" x14ac:dyDescent="0.25">
      <c r="A1283" s="1">
        <v>44751</v>
      </c>
      <c r="B1283" t="s">
        <v>5031</v>
      </c>
      <c r="C1283">
        <v>17</v>
      </c>
      <c r="D1283" t="s">
        <v>9</v>
      </c>
      <c r="E1283" t="s">
        <v>19</v>
      </c>
      <c r="F1283" t="s">
        <v>23</v>
      </c>
      <c r="G1283" t="s">
        <v>39</v>
      </c>
      <c r="H1283">
        <v>3112.16</v>
      </c>
      <c r="I1283" s="8" t="str" cm="1">
        <f t="array" ref="I1283">_xlfn.IFS(C1283&lt;=15,"Children and Young Adolescents", C1283&gt;64, "Seniors", TRUE, "Working Age")</f>
        <v>Working Age</v>
      </c>
      <c r="J1283" s="6">
        <f>VLOOKUP(F1283,Analysis!$F$1:$G$5,2,FALSE)</f>
        <v>2440.2966694490838</v>
      </c>
      <c r="K1283">
        <f t="shared" ref="K1283:K1346" si="80">ROUNDDOWN(H1283*1.1,2)</f>
        <v>3423.37</v>
      </c>
      <c r="L1283">
        <f t="shared" ref="L1283:L1346" si="81">ROUNDUP(H1283*1.1,2)</f>
        <v>3423.38</v>
      </c>
      <c r="M1283">
        <f t="shared" ref="M1283:M1346" si="82">ROUND(H1283*1.1,2)</f>
        <v>3423.38</v>
      </c>
      <c r="N1283" s="5" t="str">
        <f t="shared" ref="N1283:N1346" si="83">TEXT(A1283,"mmmm yyyy")</f>
        <v>July 2022</v>
      </c>
    </row>
    <row r="1284" spans="1:14" x14ac:dyDescent="0.25">
      <c r="A1284" s="1">
        <v>44751</v>
      </c>
      <c r="B1284" t="s">
        <v>1460</v>
      </c>
      <c r="C1284">
        <v>23</v>
      </c>
      <c r="D1284" t="s">
        <v>14</v>
      </c>
      <c r="E1284" t="s">
        <v>34</v>
      </c>
      <c r="F1284" t="s">
        <v>16</v>
      </c>
      <c r="G1284" t="s">
        <v>36</v>
      </c>
      <c r="H1284">
        <v>4221.66</v>
      </c>
      <c r="I1284" s="8" t="str" cm="1">
        <f t="array" ref="I1284">_xlfn.IFS(C1284&lt;=15,"Children and Young Adolescents", C1284&gt;64, "Seniors", TRUE, "Working Age")</f>
        <v>Working Age</v>
      </c>
      <c r="J1284" s="6">
        <f>VLOOKUP(F1284,Analysis!$F$1:$G$5,2,FALSE)</f>
        <v>2509.1716796874912</v>
      </c>
      <c r="K1284">
        <f t="shared" si="80"/>
        <v>4643.82</v>
      </c>
      <c r="L1284">
        <f t="shared" si="81"/>
        <v>4643.83</v>
      </c>
      <c r="M1284">
        <f t="shared" si="82"/>
        <v>4643.83</v>
      </c>
      <c r="N1284" s="5" t="str">
        <f t="shared" si="83"/>
        <v>July 2022</v>
      </c>
    </row>
    <row r="1285" spans="1:14" x14ac:dyDescent="0.25">
      <c r="A1285" s="1">
        <v>44751</v>
      </c>
      <c r="B1285" t="s">
        <v>3270</v>
      </c>
      <c r="C1285">
        <v>46</v>
      </c>
      <c r="D1285" t="s">
        <v>14</v>
      </c>
      <c r="E1285" t="s">
        <v>19</v>
      </c>
      <c r="F1285" t="s">
        <v>16</v>
      </c>
      <c r="G1285" t="s">
        <v>17</v>
      </c>
      <c r="H1285">
        <v>4379.51</v>
      </c>
      <c r="I1285" s="8" t="str" cm="1">
        <f t="array" ref="I1285">_xlfn.IFS(C1285&lt;=15,"Children and Young Adolescents", C1285&gt;64, "Seniors", TRUE, "Working Age")</f>
        <v>Working Age</v>
      </c>
      <c r="J1285" s="6">
        <f>VLOOKUP(F1285,Analysis!$F$1:$G$5,2,FALSE)</f>
        <v>2509.1716796874912</v>
      </c>
      <c r="K1285">
        <f t="shared" si="80"/>
        <v>4817.46</v>
      </c>
      <c r="L1285">
        <f t="shared" si="81"/>
        <v>4817.47</v>
      </c>
      <c r="M1285">
        <f t="shared" si="82"/>
        <v>4817.46</v>
      </c>
      <c r="N1285" s="5" t="str">
        <f t="shared" si="83"/>
        <v>July 2022</v>
      </c>
    </row>
    <row r="1286" spans="1:14" x14ac:dyDescent="0.25">
      <c r="A1286" s="1">
        <v>44751</v>
      </c>
      <c r="B1286" t="s">
        <v>1763</v>
      </c>
      <c r="C1286">
        <v>42</v>
      </c>
      <c r="D1286" t="s">
        <v>21</v>
      </c>
      <c r="E1286" t="s">
        <v>19</v>
      </c>
      <c r="F1286" t="s">
        <v>23</v>
      </c>
      <c r="G1286" t="s">
        <v>17</v>
      </c>
      <c r="H1286">
        <v>3336.14</v>
      </c>
      <c r="I1286" s="8" t="str" cm="1">
        <f t="array" ref="I1286">_xlfn.IFS(C1286&lt;=15,"Children and Young Adolescents", C1286&gt;64, "Seniors", TRUE, "Working Age")</f>
        <v>Working Age</v>
      </c>
      <c r="J1286" s="6">
        <f>VLOOKUP(F1286,Analysis!$F$1:$G$5,2,FALSE)</f>
        <v>2440.2966694490838</v>
      </c>
      <c r="K1286">
        <f t="shared" si="80"/>
        <v>3669.75</v>
      </c>
      <c r="L1286">
        <f t="shared" si="81"/>
        <v>3669.76</v>
      </c>
      <c r="M1286">
        <f t="shared" si="82"/>
        <v>3669.75</v>
      </c>
      <c r="N1286" s="5" t="str">
        <f t="shared" si="83"/>
        <v>July 2022</v>
      </c>
    </row>
    <row r="1287" spans="1:14" x14ac:dyDescent="0.25">
      <c r="A1287" s="1">
        <v>44751</v>
      </c>
      <c r="B1287" t="s">
        <v>153</v>
      </c>
      <c r="C1287">
        <v>88</v>
      </c>
      <c r="D1287" t="s">
        <v>14</v>
      </c>
      <c r="E1287" t="s">
        <v>10</v>
      </c>
      <c r="F1287" t="s">
        <v>29</v>
      </c>
      <c r="G1287" t="s">
        <v>39</v>
      </c>
      <c r="H1287">
        <v>2315.3000000000002</v>
      </c>
      <c r="I1287" s="8" t="str" cm="1">
        <f t="array" ref="I1287">_xlfn.IFS(C1287&lt;=15,"Children and Young Adolescents", C1287&gt;64, "Seniors", TRUE, "Working Age")</f>
        <v>Seniors</v>
      </c>
      <c r="J1287" s="6">
        <f>VLOOKUP(F1287,Analysis!$F$1:$G$5,2,FALSE)</f>
        <v>2496.7676064256989</v>
      </c>
      <c r="K1287">
        <f t="shared" si="80"/>
        <v>2546.83</v>
      </c>
      <c r="L1287">
        <f t="shared" si="81"/>
        <v>2546.83</v>
      </c>
      <c r="M1287">
        <f t="shared" si="82"/>
        <v>2546.83</v>
      </c>
      <c r="N1287" s="5" t="str">
        <f t="shared" si="83"/>
        <v>July 2022</v>
      </c>
    </row>
    <row r="1288" spans="1:14" x14ac:dyDescent="0.25">
      <c r="A1288" s="1">
        <v>44751</v>
      </c>
      <c r="B1288" t="s">
        <v>2197</v>
      </c>
      <c r="C1288">
        <v>79</v>
      </c>
      <c r="D1288" t="s">
        <v>14</v>
      </c>
      <c r="E1288" t="s">
        <v>10</v>
      </c>
      <c r="F1288" t="s">
        <v>16</v>
      </c>
      <c r="G1288" t="s">
        <v>39</v>
      </c>
      <c r="H1288">
        <v>3256.65</v>
      </c>
      <c r="I1288" s="8" t="str" cm="1">
        <f t="array" ref="I1288">_xlfn.IFS(C1288&lt;=15,"Children and Young Adolescents", C1288&gt;64, "Seniors", TRUE, "Working Age")</f>
        <v>Seniors</v>
      </c>
      <c r="J1288" s="6">
        <f>VLOOKUP(F1288,Analysis!$F$1:$G$5,2,FALSE)</f>
        <v>2509.1716796874912</v>
      </c>
      <c r="K1288">
        <f t="shared" si="80"/>
        <v>3582.31</v>
      </c>
      <c r="L1288">
        <f t="shared" si="81"/>
        <v>3582.32</v>
      </c>
      <c r="M1288">
        <f t="shared" si="82"/>
        <v>3582.32</v>
      </c>
      <c r="N1288" s="5" t="str">
        <f t="shared" si="83"/>
        <v>July 2022</v>
      </c>
    </row>
    <row r="1289" spans="1:14" x14ac:dyDescent="0.25">
      <c r="A1289" s="1">
        <v>44751</v>
      </c>
      <c r="B1289" t="s">
        <v>410</v>
      </c>
      <c r="C1289">
        <v>3</v>
      </c>
      <c r="D1289" t="s">
        <v>9</v>
      </c>
      <c r="E1289" t="s">
        <v>32</v>
      </c>
      <c r="F1289" t="s">
        <v>16</v>
      </c>
      <c r="G1289" t="s">
        <v>27</v>
      </c>
      <c r="H1289">
        <v>289.27</v>
      </c>
      <c r="I1289" s="8" t="str" cm="1">
        <f t="array" ref="I1289">_xlfn.IFS(C1289&lt;=15,"Children and Young Adolescents", C1289&gt;64, "Seniors", TRUE, "Working Age")</f>
        <v>Children and Young Adolescents</v>
      </c>
      <c r="J1289" s="6">
        <f>VLOOKUP(F1289,Analysis!$F$1:$G$5,2,FALSE)</f>
        <v>2509.1716796874912</v>
      </c>
      <c r="K1289">
        <f t="shared" si="80"/>
        <v>318.19</v>
      </c>
      <c r="L1289">
        <f t="shared" si="81"/>
        <v>318.2</v>
      </c>
      <c r="M1289">
        <f t="shared" si="82"/>
        <v>318.2</v>
      </c>
      <c r="N1289" s="5" t="str">
        <f t="shared" si="83"/>
        <v>July 2022</v>
      </c>
    </row>
    <row r="1290" spans="1:14" x14ac:dyDescent="0.25">
      <c r="A1290" s="1">
        <v>44751</v>
      </c>
      <c r="B1290" t="s">
        <v>2829</v>
      </c>
      <c r="C1290">
        <v>22</v>
      </c>
      <c r="D1290" t="s">
        <v>14</v>
      </c>
      <c r="E1290" t="s">
        <v>34</v>
      </c>
      <c r="F1290" t="s">
        <v>11</v>
      </c>
      <c r="G1290" t="s">
        <v>36</v>
      </c>
      <c r="H1290">
        <v>3235.22</v>
      </c>
      <c r="I1290" s="8" t="str" cm="1">
        <f t="array" ref="I1290">_xlfn.IFS(C1290&lt;=15,"Children and Young Adolescents", C1290&gt;64, "Seniors", TRUE, "Working Age")</f>
        <v>Working Age</v>
      </c>
      <c r="J1290" s="6">
        <f>VLOOKUP(F1290,Analysis!$F$1:$G$5,2,FALSE)</f>
        <v>2503.6022787783854</v>
      </c>
      <c r="K1290">
        <f t="shared" si="80"/>
        <v>3558.74</v>
      </c>
      <c r="L1290">
        <f t="shared" si="81"/>
        <v>3558.75</v>
      </c>
      <c r="M1290">
        <f t="shared" si="82"/>
        <v>3558.74</v>
      </c>
      <c r="N1290" s="5" t="str">
        <f t="shared" si="83"/>
        <v>July 2022</v>
      </c>
    </row>
    <row r="1291" spans="1:14" x14ac:dyDescent="0.25">
      <c r="A1291" s="1">
        <v>44751</v>
      </c>
      <c r="B1291" t="s">
        <v>4802</v>
      </c>
      <c r="C1291">
        <v>36</v>
      </c>
      <c r="D1291" t="s">
        <v>14</v>
      </c>
      <c r="E1291" t="s">
        <v>25</v>
      </c>
      <c r="F1291" t="s">
        <v>11</v>
      </c>
      <c r="G1291" t="s">
        <v>36</v>
      </c>
      <c r="H1291">
        <v>4666.45</v>
      </c>
      <c r="I1291" s="8" t="str" cm="1">
        <f t="array" ref="I1291">_xlfn.IFS(C1291&lt;=15,"Children and Young Adolescents", C1291&gt;64, "Seniors", TRUE, "Working Age")</f>
        <v>Working Age</v>
      </c>
      <c r="J1291" s="6">
        <f>VLOOKUP(F1291,Analysis!$F$1:$G$5,2,FALSE)</f>
        <v>2503.6022787783854</v>
      </c>
      <c r="K1291">
        <f t="shared" si="80"/>
        <v>5133.09</v>
      </c>
      <c r="L1291">
        <f t="shared" si="81"/>
        <v>5133.1000000000004</v>
      </c>
      <c r="M1291">
        <f t="shared" si="82"/>
        <v>5133.1000000000004</v>
      </c>
      <c r="N1291" s="5" t="str">
        <f t="shared" si="83"/>
        <v>July 2022</v>
      </c>
    </row>
    <row r="1292" spans="1:14" x14ac:dyDescent="0.25">
      <c r="A1292" s="1">
        <v>44752</v>
      </c>
      <c r="B1292" t="s">
        <v>284</v>
      </c>
      <c r="C1292">
        <v>83</v>
      </c>
      <c r="D1292" t="s">
        <v>9</v>
      </c>
      <c r="E1292" t="s">
        <v>10</v>
      </c>
      <c r="F1292" t="s">
        <v>29</v>
      </c>
      <c r="G1292" t="s">
        <v>36</v>
      </c>
      <c r="H1292">
        <v>2786.22</v>
      </c>
      <c r="I1292" s="8" t="str" cm="1">
        <f t="array" ref="I1292">_xlfn.IFS(C1292&lt;=15,"Children and Young Adolescents", C1292&gt;64, "Seniors", TRUE, "Working Age")</f>
        <v>Seniors</v>
      </c>
      <c r="J1292" s="6">
        <f>VLOOKUP(F1292,Analysis!$F$1:$G$5,2,FALSE)</f>
        <v>2496.7676064256989</v>
      </c>
      <c r="K1292">
        <f t="shared" si="80"/>
        <v>3064.84</v>
      </c>
      <c r="L1292">
        <f t="shared" si="81"/>
        <v>3064.8500000000004</v>
      </c>
      <c r="M1292">
        <f t="shared" si="82"/>
        <v>3064.84</v>
      </c>
      <c r="N1292" s="5" t="str">
        <f t="shared" si="83"/>
        <v>July 2022</v>
      </c>
    </row>
    <row r="1293" spans="1:14" x14ac:dyDescent="0.25">
      <c r="A1293" s="1">
        <v>44752</v>
      </c>
      <c r="B1293" t="s">
        <v>379</v>
      </c>
      <c r="C1293">
        <v>31</v>
      </c>
      <c r="D1293" t="s">
        <v>14</v>
      </c>
      <c r="E1293" t="s">
        <v>22</v>
      </c>
      <c r="F1293" t="s">
        <v>16</v>
      </c>
      <c r="G1293" t="s">
        <v>17</v>
      </c>
      <c r="H1293">
        <v>203.91</v>
      </c>
      <c r="I1293" s="8" t="str" cm="1">
        <f t="array" ref="I1293">_xlfn.IFS(C1293&lt;=15,"Children and Young Adolescents", C1293&gt;64, "Seniors", TRUE, "Working Age")</f>
        <v>Working Age</v>
      </c>
      <c r="J1293" s="6">
        <f>VLOOKUP(F1293,Analysis!$F$1:$G$5,2,FALSE)</f>
        <v>2509.1716796874912</v>
      </c>
      <c r="K1293">
        <f t="shared" si="80"/>
        <v>224.3</v>
      </c>
      <c r="L1293">
        <f t="shared" si="81"/>
        <v>224.31</v>
      </c>
      <c r="M1293">
        <f t="shared" si="82"/>
        <v>224.3</v>
      </c>
      <c r="N1293" s="5" t="str">
        <f t="shared" si="83"/>
        <v>July 2022</v>
      </c>
    </row>
    <row r="1294" spans="1:14" x14ac:dyDescent="0.25">
      <c r="A1294" s="1">
        <v>44753</v>
      </c>
      <c r="B1294" t="s">
        <v>2334</v>
      </c>
      <c r="C1294">
        <v>7</v>
      </c>
      <c r="D1294" t="s">
        <v>21</v>
      </c>
      <c r="E1294" t="s">
        <v>5032</v>
      </c>
      <c r="F1294" t="s">
        <v>16</v>
      </c>
      <c r="G1294" t="s">
        <v>17</v>
      </c>
      <c r="H1294">
        <v>1678.42</v>
      </c>
      <c r="I1294" s="8" t="str" cm="1">
        <f t="array" ref="I1294">_xlfn.IFS(C1294&lt;=15,"Children and Young Adolescents", C1294&gt;64, "Seniors", TRUE, "Working Age")</f>
        <v>Children and Young Adolescents</v>
      </c>
      <c r="J1294" s="6">
        <f>VLOOKUP(F1294,Analysis!$F$1:$G$5,2,FALSE)</f>
        <v>2509.1716796874912</v>
      </c>
      <c r="K1294">
        <f t="shared" si="80"/>
        <v>1846.26</v>
      </c>
      <c r="L1294">
        <f t="shared" si="81"/>
        <v>1846.27</v>
      </c>
      <c r="M1294">
        <f t="shared" si="82"/>
        <v>1846.26</v>
      </c>
      <c r="N1294" s="5" t="str">
        <f t="shared" si="83"/>
        <v>July 2022</v>
      </c>
    </row>
    <row r="1295" spans="1:14" x14ac:dyDescent="0.25">
      <c r="A1295" s="1">
        <v>44753</v>
      </c>
      <c r="B1295" t="s">
        <v>3997</v>
      </c>
      <c r="C1295">
        <v>0</v>
      </c>
      <c r="D1295" t="s">
        <v>14</v>
      </c>
      <c r="E1295" t="s">
        <v>15</v>
      </c>
      <c r="F1295" t="s">
        <v>23</v>
      </c>
      <c r="G1295" t="s">
        <v>27</v>
      </c>
      <c r="H1295">
        <v>4299.8599999999997</v>
      </c>
      <c r="I1295" s="8" t="str" cm="1">
        <f t="array" ref="I1295">_xlfn.IFS(C1295&lt;=15,"Children and Young Adolescents", C1295&gt;64, "Seniors", TRUE, "Working Age")</f>
        <v>Children and Young Adolescents</v>
      </c>
      <c r="J1295" s="6">
        <f>VLOOKUP(F1295,Analysis!$F$1:$G$5,2,FALSE)</f>
        <v>2440.2966694490838</v>
      </c>
      <c r="K1295">
        <f t="shared" si="80"/>
        <v>4729.84</v>
      </c>
      <c r="L1295">
        <f t="shared" si="81"/>
        <v>4729.8500000000004</v>
      </c>
      <c r="M1295">
        <f t="shared" si="82"/>
        <v>4729.8500000000004</v>
      </c>
      <c r="N1295" s="5" t="str">
        <f t="shared" si="83"/>
        <v>July 2022</v>
      </c>
    </row>
    <row r="1296" spans="1:14" x14ac:dyDescent="0.25">
      <c r="A1296" s="1">
        <v>44753</v>
      </c>
      <c r="B1296" t="s">
        <v>4934</v>
      </c>
      <c r="C1296">
        <v>74</v>
      </c>
      <c r="D1296" t="s">
        <v>21</v>
      </c>
      <c r="E1296" t="s">
        <v>25</v>
      </c>
      <c r="F1296" t="s">
        <v>16</v>
      </c>
      <c r="G1296" t="s">
        <v>12</v>
      </c>
      <c r="H1296">
        <v>1820.44</v>
      </c>
      <c r="I1296" s="8" t="str" cm="1">
        <f t="array" ref="I1296">_xlfn.IFS(C1296&lt;=15,"Children and Young Adolescents", C1296&gt;64, "Seniors", TRUE, "Working Age")</f>
        <v>Seniors</v>
      </c>
      <c r="J1296" s="6">
        <f>VLOOKUP(F1296,Analysis!$F$1:$G$5,2,FALSE)</f>
        <v>2509.1716796874912</v>
      </c>
      <c r="K1296">
        <f t="shared" si="80"/>
        <v>2002.48</v>
      </c>
      <c r="L1296">
        <f t="shared" si="81"/>
        <v>2002.49</v>
      </c>
      <c r="M1296">
        <f t="shared" si="82"/>
        <v>2002.48</v>
      </c>
      <c r="N1296" s="5" t="str">
        <f t="shared" si="83"/>
        <v>July 2022</v>
      </c>
    </row>
    <row r="1297" spans="1:14" x14ac:dyDescent="0.25">
      <c r="A1297" s="1">
        <v>44753</v>
      </c>
      <c r="B1297" t="s">
        <v>2989</v>
      </c>
      <c r="C1297">
        <v>62</v>
      </c>
      <c r="D1297" t="s">
        <v>14</v>
      </c>
      <c r="E1297" t="s">
        <v>2990</v>
      </c>
      <c r="F1297" t="s">
        <v>23</v>
      </c>
      <c r="G1297" t="s">
        <v>36</v>
      </c>
      <c r="H1297">
        <v>3174.01</v>
      </c>
      <c r="I1297" s="8" t="str" cm="1">
        <f t="array" ref="I1297">_xlfn.IFS(C1297&lt;=15,"Children and Young Adolescents", C1297&gt;64, "Seniors", TRUE, "Working Age")</f>
        <v>Working Age</v>
      </c>
      <c r="J1297" s="6">
        <f>VLOOKUP(F1297,Analysis!$F$1:$G$5,2,FALSE)</f>
        <v>2440.2966694490838</v>
      </c>
      <c r="K1297">
        <f t="shared" si="80"/>
        <v>3491.41</v>
      </c>
      <c r="L1297">
        <f t="shared" si="81"/>
        <v>3491.42</v>
      </c>
      <c r="M1297">
        <f t="shared" si="82"/>
        <v>3491.41</v>
      </c>
      <c r="N1297" s="5" t="str">
        <f t="shared" si="83"/>
        <v>July 2022</v>
      </c>
    </row>
    <row r="1298" spans="1:14" x14ac:dyDescent="0.25">
      <c r="A1298" s="1">
        <v>44753</v>
      </c>
      <c r="B1298" t="s">
        <v>416</v>
      </c>
      <c r="C1298">
        <v>57</v>
      </c>
      <c r="D1298" t="s">
        <v>21</v>
      </c>
      <c r="E1298" t="s">
        <v>10</v>
      </c>
      <c r="F1298" t="s">
        <v>23</v>
      </c>
      <c r="G1298" t="s">
        <v>17</v>
      </c>
      <c r="H1298">
        <v>4105.3</v>
      </c>
      <c r="I1298" s="8" t="str" cm="1">
        <f t="array" ref="I1298">_xlfn.IFS(C1298&lt;=15,"Children and Young Adolescents", C1298&gt;64, "Seniors", TRUE, "Working Age")</f>
        <v>Working Age</v>
      </c>
      <c r="J1298" s="6">
        <f>VLOOKUP(F1298,Analysis!$F$1:$G$5,2,FALSE)</f>
        <v>2440.2966694490838</v>
      </c>
      <c r="K1298">
        <f t="shared" si="80"/>
        <v>4515.83</v>
      </c>
      <c r="L1298">
        <f t="shared" si="81"/>
        <v>4515.83</v>
      </c>
      <c r="M1298">
        <f t="shared" si="82"/>
        <v>4515.83</v>
      </c>
      <c r="N1298" s="5" t="str">
        <f t="shared" si="83"/>
        <v>July 2022</v>
      </c>
    </row>
    <row r="1299" spans="1:14" x14ac:dyDescent="0.25">
      <c r="A1299" s="1">
        <v>44753</v>
      </c>
      <c r="B1299" t="s">
        <v>2180</v>
      </c>
      <c r="C1299">
        <v>58</v>
      </c>
      <c r="D1299" t="s">
        <v>9</v>
      </c>
      <c r="E1299" t="s">
        <v>19</v>
      </c>
      <c r="F1299" t="s">
        <v>16</v>
      </c>
      <c r="G1299" t="s">
        <v>39</v>
      </c>
      <c r="H1299">
        <v>4743.5200000000004</v>
      </c>
      <c r="I1299" s="8" t="str" cm="1">
        <f t="array" ref="I1299">_xlfn.IFS(C1299&lt;=15,"Children and Young Adolescents", C1299&gt;64, "Seniors", TRUE, "Working Age")</f>
        <v>Working Age</v>
      </c>
      <c r="J1299" s="6">
        <f>VLOOKUP(F1299,Analysis!$F$1:$G$5,2,FALSE)</f>
        <v>2509.1716796874912</v>
      </c>
      <c r="K1299">
        <f t="shared" si="80"/>
        <v>5217.87</v>
      </c>
      <c r="L1299">
        <f t="shared" si="81"/>
        <v>5217.88</v>
      </c>
      <c r="M1299">
        <f t="shared" si="82"/>
        <v>5217.87</v>
      </c>
      <c r="N1299" s="5" t="str">
        <f t="shared" si="83"/>
        <v>July 2022</v>
      </c>
    </row>
    <row r="1300" spans="1:14" x14ac:dyDescent="0.25">
      <c r="A1300" s="1">
        <v>44753</v>
      </c>
      <c r="B1300" t="s">
        <v>4821</v>
      </c>
      <c r="C1300">
        <v>14</v>
      </c>
      <c r="D1300" t="s">
        <v>21</v>
      </c>
      <c r="E1300" t="s">
        <v>25</v>
      </c>
      <c r="F1300" t="s">
        <v>11</v>
      </c>
      <c r="G1300" t="s">
        <v>27</v>
      </c>
      <c r="H1300">
        <v>2813.91</v>
      </c>
      <c r="I1300" s="8" t="str" cm="1">
        <f t="array" ref="I1300">_xlfn.IFS(C1300&lt;=15,"Children and Young Adolescents", C1300&gt;64, "Seniors", TRUE, "Working Age")</f>
        <v>Children and Young Adolescents</v>
      </c>
      <c r="J1300" s="6">
        <f>VLOOKUP(F1300,Analysis!$F$1:$G$5,2,FALSE)</f>
        <v>2503.6022787783854</v>
      </c>
      <c r="K1300">
        <f t="shared" si="80"/>
        <v>3095.3</v>
      </c>
      <c r="L1300">
        <f t="shared" si="81"/>
        <v>3095.3100000000004</v>
      </c>
      <c r="M1300">
        <f t="shared" si="82"/>
        <v>3095.3</v>
      </c>
      <c r="N1300" s="5" t="str">
        <f t="shared" si="83"/>
        <v>July 2022</v>
      </c>
    </row>
    <row r="1301" spans="1:14" x14ac:dyDescent="0.25">
      <c r="A1301" s="1">
        <v>44754</v>
      </c>
      <c r="B1301" t="s">
        <v>4435</v>
      </c>
      <c r="C1301">
        <v>43</v>
      </c>
      <c r="D1301" t="s">
        <v>9</v>
      </c>
      <c r="E1301" t="s">
        <v>25</v>
      </c>
      <c r="F1301" t="s">
        <v>29</v>
      </c>
      <c r="G1301" t="s">
        <v>12</v>
      </c>
      <c r="H1301">
        <v>1715.41</v>
      </c>
      <c r="I1301" s="8" t="str" cm="1">
        <f t="array" ref="I1301">_xlfn.IFS(C1301&lt;=15,"Children and Young Adolescents", C1301&gt;64, "Seniors", TRUE, "Working Age")</f>
        <v>Working Age</v>
      </c>
      <c r="J1301" s="6">
        <f>VLOOKUP(F1301,Analysis!$F$1:$G$5,2,FALSE)</f>
        <v>2496.7676064256989</v>
      </c>
      <c r="K1301">
        <f t="shared" si="80"/>
        <v>1886.95</v>
      </c>
      <c r="L1301">
        <f t="shared" si="81"/>
        <v>1886.96</v>
      </c>
      <c r="M1301">
        <f t="shared" si="82"/>
        <v>1886.95</v>
      </c>
      <c r="N1301" s="5" t="str">
        <f t="shared" si="83"/>
        <v>July 2022</v>
      </c>
    </row>
    <row r="1302" spans="1:14" x14ac:dyDescent="0.25">
      <c r="A1302" s="1">
        <v>44754</v>
      </c>
      <c r="B1302" t="s">
        <v>2836</v>
      </c>
      <c r="C1302">
        <v>60</v>
      </c>
      <c r="D1302" t="s">
        <v>21</v>
      </c>
      <c r="E1302" t="s">
        <v>32</v>
      </c>
      <c r="F1302" t="s">
        <v>16</v>
      </c>
      <c r="G1302" t="s">
        <v>39</v>
      </c>
      <c r="H1302">
        <v>925.97</v>
      </c>
      <c r="I1302" s="8" t="str" cm="1">
        <f t="array" ref="I1302">_xlfn.IFS(C1302&lt;=15,"Children and Young Adolescents", C1302&gt;64, "Seniors", TRUE, "Working Age")</f>
        <v>Working Age</v>
      </c>
      <c r="J1302" s="6">
        <f>VLOOKUP(F1302,Analysis!$F$1:$G$5,2,FALSE)</f>
        <v>2509.1716796874912</v>
      </c>
      <c r="K1302">
        <f t="shared" si="80"/>
        <v>1018.56</v>
      </c>
      <c r="L1302">
        <f t="shared" si="81"/>
        <v>1018.5699999999999</v>
      </c>
      <c r="M1302">
        <f t="shared" si="82"/>
        <v>1018.57</v>
      </c>
      <c r="N1302" s="5" t="str">
        <f t="shared" si="83"/>
        <v>July 2022</v>
      </c>
    </row>
    <row r="1303" spans="1:14" x14ac:dyDescent="0.25">
      <c r="A1303" s="1">
        <v>44754</v>
      </c>
      <c r="B1303" t="s">
        <v>4682</v>
      </c>
      <c r="C1303">
        <v>18</v>
      </c>
      <c r="D1303" t="s">
        <v>14</v>
      </c>
      <c r="E1303" t="s">
        <v>5032</v>
      </c>
      <c r="F1303" t="s">
        <v>16</v>
      </c>
      <c r="G1303" t="s">
        <v>39</v>
      </c>
      <c r="H1303">
        <v>1904.71</v>
      </c>
      <c r="I1303" s="8" t="str" cm="1">
        <f t="array" ref="I1303">_xlfn.IFS(C1303&lt;=15,"Children and Young Adolescents", C1303&gt;64, "Seniors", TRUE, "Working Age")</f>
        <v>Working Age</v>
      </c>
      <c r="J1303" s="6">
        <f>VLOOKUP(F1303,Analysis!$F$1:$G$5,2,FALSE)</f>
        <v>2509.1716796874912</v>
      </c>
      <c r="K1303">
        <f t="shared" si="80"/>
        <v>2095.1799999999998</v>
      </c>
      <c r="L1303">
        <f t="shared" si="81"/>
        <v>2095.19</v>
      </c>
      <c r="M1303">
        <f t="shared" si="82"/>
        <v>2095.1799999999998</v>
      </c>
      <c r="N1303" s="5" t="str">
        <f t="shared" si="83"/>
        <v>July 2022</v>
      </c>
    </row>
    <row r="1304" spans="1:14" x14ac:dyDescent="0.25">
      <c r="A1304" s="1">
        <v>44755</v>
      </c>
      <c r="B1304" t="s">
        <v>1044</v>
      </c>
      <c r="C1304">
        <v>46</v>
      </c>
      <c r="D1304" t="s">
        <v>9</v>
      </c>
      <c r="E1304" t="s">
        <v>22</v>
      </c>
      <c r="F1304" t="s">
        <v>16</v>
      </c>
      <c r="G1304" t="s">
        <v>17</v>
      </c>
      <c r="H1304">
        <v>4521.57</v>
      </c>
      <c r="I1304" s="8" t="str" cm="1">
        <f t="array" ref="I1304">_xlfn.IFS(C1304&lt;=15,"Children and Young Adolescents", C1304&gt;64, "Seniors", TRUE, "Working Age")</f>
        <v>Working Age</v>
      </c>
      <c r="J1304" s="6">
        <f>VLOOKUP(F1304,Analysis!$F$1:$G$5,2,FALSE)</f>
        <v>2509.1716796874912</v>
      </c>
      <c r="K1304">
        <f t="shared" si="80"/>
        <v>4973.72</v>
      </c>
      <c r="L1304">
        <f t="shared" si="81"/>
        <v>4973.7300000000005</v>
      </c>
      <c r="M1304">
        <f t="shared" si="82"/>
        <v>4973.7299999999996</v>
      </c>
      <c r="N1304" s="5" t="str">
        <f t="shared" si="83"/>
        <v>July 2022</v>
      </c>
    </row>
    <row r="1305" spans="1:14" x14ac:dyDescent="0.25">
      <c r="A1305" s="1">
        <v>44755</v>
      </c>
      <c r="B1305" t="s">
        <v>1078</v>
      </c>
      <c r="C1305">
        <v>93</v>
      </c>
      <c r="D1305" t="s">
        <v>9</v>
      </c>
      <c r="E1305" t="s">
        <v>5032</v>
      </c>
      <c r="F1305" t="s">
        <v>29</v>
      </c>
      <c r="G1305" t="s">
        <v>27</v>
      </c>
      <c r="H1305">
        <v>782.75</v>
      </c>
      <c r="I1305" s="8" t="str" cm="1">
        <f t="array" ref="I1305">_xlfn.IFS(C1305&lt;=15,"Children and Young Adolescents", C1305&gt;64, "Seniors", TRUE, "Working Age")</f>
        <v>Seniors</v>
      </c>
      <c r="J1305" s="6">
        <f>VLOOKUP(F1305,Analysis!$F$1:$G$5,2,FALSE)</f>
        <v>2496.7676064256989</v>
      </c>
      <c r="K1305">
        <f t="shared" si="80"/>
        <v>861.02</v>
      </c>
      <c r="L1305">
        <f t="shared" si="81"/>
        <v>861.03</v>
      </c>
      <c r="M1305">
        <f t="shared" si="82"/>
        <v>861.03</v>
      </c>
      <c r="N1305" s="5" t="str">
        <f t="shared" si="83"/>
        <v>July 2022</v>
      </c>
    </row>
    <row r="1306" spans="1:14" x14ac:dyDescent="0.25">
      <c r="A1306" s="1">
        <v>44755</v>
      </c>
      <c r="B1306" t="s">
        <v>2567</v>
      </c>
      <c r="C1306">
        <v>90</v>
      </c>
      <c r="D1306" t="s">
        <v>21</v>
      </c>
      <c r="E1306" t="s">
        <v>32</v>
      </c>
      <c r="F1306" t="s">
        <v>29</v>
      </c>
      <c r="G1306" t="s">
        <v>12</v>
      </c>
      <c r="H1306">
        <v>4431.24</v>
      </c>
      <c r="I1306" s="8" t="str" cm="1">
        <f t="array" ref="I1306">_xlfn.IFS(C1306&lt;=15,"Children and Young Adolescents", C1306&gt;64, "Seniors", TRUE, "Working Age")</f>
        <v>Seniors</v>
      </c>
      <c r="J1306" s="6">
        <f>VLOOKUP(F1306,Analysis!$F$1:$G$5,2,FALSE)</f>
        <v>2496.7676064256989</v>
      </c>
      <c r="K1306">
        <f t="shared" si="80"/>
        <v>4874.3599999999997</v>
      </c>
      <c r="L1306">
        <f t="shared" si="81"/>
        <v>4874.37</v>
      </c>
      <c r="M1306">
        <f t="shared" si="82"/>
        <v>4874.3599999999997</v>
      </c>
      <c r="N1306" s="5" t="str">
        <f t="shared" si="83"/>
        <v>July 2022</v>
      </c>
    </row>
    <row r="1307" spans="1:14" x14ac:dyDescent="0.25">
      <c r="A1307" s="1">
        <v>44755</v>
      </c>
      <c r="B1307" t="s">
        <v>4779</v>
      </c>
      <c r="C1307">
        <v>7</v>
      </c>
      <c r="D1307" t="s">
        <v>21</v>
      </c>
      <c r="E1307" t="s">
        <v>10</v>
      </c>
      <c r="F1307" t="s">
        <v>29</v>
      </c>
      <c r="G1307" t="s">
        <v>12</v>
      </c>
      <c r="H1307">
        <v>3389.27</v>
      </c>
      <c r="I1307" s="8" t="str" cm="1">
        <f t="array" ref="I1307">_xlfn.IFS(C1307&lt;=15,"Children and Young Adolescents", C1307&gt;64, "Seniors", TRUE, "Working Age")</f>
        <v>Children and Young Adolescents</v>
      </c>
      <c r="J1307" s="6">
        <f>VLOOKUP(F1307,Analysis!$F$1:$G$5,2,FALSE)</f>
        <v>2496.7676064256989</v>
      </c>
      <c r="K1307">
        <f t="shared" si="80"/>
        <v>3728.19</v>
      </c>
      <c r="L1307">
        <f t="shared" si="81"/>
        <v>3728.2000000000003</v>
      </c>
      <c r="M1307">
        <f t="shared" si="82"/>
        <v>3728.2</v>
      </c>
      <c r="N1307" s="5" t="str">
        <f t="shared" si="83"/>
        <v>July 2022</v>
      </c>
    </row>
    <row r="1308" spans="1:14" x14ac:dyDescent="0.25">
      <c r="A1308" s="1">
        <v>44756</v>
      </c>
      <c r="B1308" t="s">
        <v>4714</v>
      </c>
      <c r="C1308">
        <v>26</v>
      </c>
      <c r="D1308" t="s">
        <v>14</v>
      </c>
      <c r="E1308" t="s">
        <v>25</v>
      </c>
      <c r="F1308" t="s">
        <v>23</v>
      </c>
      <c r="G1308" t="s">
        <v>12</v>
      </c>
      <c r="H1308">
        <v>4935.3</v>
      </c>
      <c r="I1308" s="8" t="str" cm="1">
        <f t="array" ref="I1308">_xlfn.IFS(C1308&lt;=15,"Children and Young Adolescents", C1308&gt;64, "Seniors", TRUE, "Working Age")</f>
        <v>Working Age</v>
      </c>
      <c r="J1308" s="6">
        <f>VLOOKUP(F1308,Analysis!$F$1:$G$5,2,FALSE)</f>
        <v>2440.2966694490838</v>
      </c>
      <c r="K1308">
        <f t="shared" si="80"/>
        <v>5428.83</v>
      </c>
      <c r="L1308">
        <f t="shared" si="81"/>
        <v>5428.83</v>
      </c>
      <c r="M1308">
        <f t="shared" si="82"/>
        <v>5428.83</v>
      </c>
      <c r="N1308" s="5" t="str">
        <f t="shared" si="83"/>
        <v>July 2022</v>
      </c>
    </row>
    <row r="1309" spans="1:14" x14ac:dyDescent="0.25">
      <c r="A1309" s="1">
        <v>44756</v>
      </c>
      <c r="B1309" t="s">
        <v>1799</v>
      </c>
      <c r="C1309">
        <v>24</v>
      </c>
      <c r="D1309" t="s">
        <v>14</v>
      </c>
      <c r="E1309" t="s">
        <v>32</v>
      </c>
      <c r="F1309" t="s">
        <v>23</v>
      </c>
      <c r="G1309" t="s">
        <v>17</v>
      </c>
      <c r="H1309">
        <v>99.17</v>
      </c>
      <c r="I1309" s="8" t="str" cm="1">
        <f t="array" ref="I1309">_xlfn.IFS(C1309&lt;=15,"Children and Young Adolescents", C1309&gt;64, "Seniors", TRUE, "Working Age")</f>
        <v>Working Age</v>
      </c>
      <c r="J1309" s="6">
        <f>VLOOKUP(F1309,Analysis!$F$1:$G$5,2,FALSE)</f>
        <v>2440.2966694490838</v>
      </c>
      <c r="K1309">
        <f t="shared" si="80"/>
        <v>109.08</v>
      </c>
      <c r="L1309">
        <f t="shared" si="81"/>
        <v>109.09</v>
      </c>
      <c r="M1309">
        <f t="shared" si="82"/>
        <v>109.09</v>
      </c>
      <c r="N1309" s="5" t="str">
        <f t="shared" si="83"/>
        <v>July 2022</v>
      </c>
    </row>
    <row r="1310" spans="1:14" x14ac:dyDescent="0.25">
      <c r="A1310" s="1">
        <v>44756</v>
      </c>
      <c r="B1310" t="s">
        <v>3610</v>
      </c>
      <c r="C1310">
        <v>96</v>
      </c>
      <c r="D1310" t="s">
        <v>9</v>
      </c>
      <c r="E1310" t="s">
        <v>15</v>
      </c>
      <c r="F1310" t="s">
        <v>23</v>
      </c>
      <c r="G1310" t="s">
        <v>12</v>
      </c>
      <c r="H1310">
        <v>1018.45</v>
      </c>
      <c r="I1310" s="8" t="str" cm="1">
        <f t="array" ref="I1310">_xlfn.IFS(C1310&lt;=15,"Children and Young Adolescents", C1310&gt;64, "Seniors", TRUE, "Working Age")</f>
        <v>Seniors</v>
      </c>
      <c r="J1310" s="6">
        <f>VLOOKUP(F1310,Analysis!$F$1:$G$5,2,FALSE)</f>
        <v>2440.2966694490838</v>
      </c>
      <c r="K1310">
        <f t="shared" si="80"/>
        <v>1120.29</v>
      </c>
      <c r="L1310">
        <f t="shared" si="81"/>
        <v>1120.3</v>
      </c>
      <c r="M1310">
        <f t="shared" si="82"/>
        <v>1120.3</v>
      </c>
      <c r="N1310" s="5" t="str">
        <f t="shared" si="83"/>
        <v>July 2022</v>
      </c>
    </row>
    <row r="1311" spans="1:14" x14ac:dyDescent="0.25">
      <c r="A1311" s="1">
        <v>44756</v>
      </c>
      <c r="B1311" t="s">
        <v>1991</v>
      </c>
      <c r="C1311">
        <v>47</v>
      </c>
      <c r="D1311" t="s">
        <v>21</v>
      </c>
      <c r="E1311" t="s">
        <v>15</v>
      </c>
      <c r="F1311" t="s">
        <v>16</v>
      </c>
      <c r="G1311" t="s">
        <v>17</v>
      </c>
      <c r="H1311">
        <v>3037.14</v>
      </c>
      <c r="I1311" s="8" t="str" cm="1">
        <f t="array" ref="I1311">_xlfn.IFS(C1311&lt;=15,"Children and Young Adolescents", C1311&gt;64, "Seniors", TRUE, "Working Age")</f>
        <v>Working Age</v>
      </c>
      <c r="J1311" s="6">
        <f>VLOOKUP(F1311,Analysis!$F$1:$G$5,2,FALSE)</f>
        <v>2509.1716796874912</v>
      </c>
      <c r="K1311">
        <f t="shared" si="80"/>
        <v>3340.85</v>
      </c>
      <c r="L1311">
        <f t="shared" si="81"/>
        <v>3340.86</v>
      </c>
      <c r="M1311">
        <f t="shared" si="82"/>
        <v>3340.85</v>
      </c>
      <c r="N1311" s="5" t="str">
        <f t="shared" si="83"/>
        <v>July 2022</v>
      </c>
    </row>
    <row r="1312" spans="1:14" x14ac:dyDescent="0.25">
      <c r="A1312" s="1">
        <v>44756</v>
      </c>
      <c r="B1312" t="s">
        <v>2105</v>
      </c>
      <c r="C1312">
        <v>31</v>
      </c>
      <c r="D1312" t="s">
        <v>14</v>
      </c>
      <c r="E1312" t="s">
        <v>15</v>
      </c>
      <c r="F1312" t="s">
        <v>16</v>
      </c>
      <c r="G1312" t="s">
        <v>39</v>
      </c>
      <c r="H1312">
        <v>2282.61</v>
      </c>
      <c r="I1312" s="8" t="str" cm="1">
        <f t="array" ref="I1312">_xlfn.IFS(C1312&lt;=15,"Children and Young Adolescents", C1312&gt;64, "Seniors", TRUE, "Working Age")</f>
        <v>Working Age</v>
      </c>
      <c r="J1312" s="6">
        <f>VLOOKUP(F1312,Analysis!$F$1:$G$5,2,FALSE)</f>
        <v>2509.1716796874912</v>
      </c>
      <c r="K1312">
        <f t="shared" si="80"/>
        <v>2510.87</v>
      </c>
      <c r="L1312">
        <f t="shared" si="81"/>
        <v>2510.88</v>
      </c>
      <c r="M1312">
        <f t="shared" si="82"/>
        <v>2510.87</v>
      </c>
      <c r="N1312" s="5" t="str">
        <f t="shared" si="83"/>
        <v>July 2022</v>
      </c>
    </row>
    <row r="1313" spans="1:14" x14ac:dyDescent="0.25">
      <c r="A1313" s="1">
        <v>44756</v>
      </c>
      <c r="B1313" t="s">
        <v>4770</v>
      </c>
      <c r="C1313">
        <v>19</v>
      </c>
      <c r="D1313" t="s">
        <v>14</v>
      </c>
      <c r="E1313" t="s">
        <v>10</v>
      </c>
      <c r="F1313" t="s">
        <v>11</v>
      </c>
      <c r="G1313" t="s">
        <v>12</v>
      </c>
      <c r="H1313">
        <v>1658.07</v>
      </c>
      <c r="I1313" s="8" t="str" cm="1">
        <f t="array" ref="I1313">_xlfn.IFS(C1313&lt;=15,"Children and Young Adolescents", C1313&gt;64, "Seniors", TRUE, "Working Age")</f>
        <v>Working Age</v>
      </c>
      <c r="J1313" s="6">
        <f>VLOOKUP(F1313,Analysis!$F$1:$G$5,2,FALSE)</f>
        <v>2503.6022787783854</v>
      </c>
      <c r="K1313">
        <f t="shared" si="80"/>
        <v>1823.87</v>
      </c>
      <c r="L1313">
        <f t="shared" si="81"/>
        <v>1823.8799999999999</v>
      </c>
      <c r="M1313">
        <f t="shared" si="82"/>
        <v>1823.88</v>
      </c>
      <c r="N1313" s="5" t="str">
        <f t="shared" si="83"/>
        <v>July 2022</v>
      </c>
    </row>
    <row r="1314" spans="1:14" x14ac:dyDescent="0.25">
      <c r="A1314" s="1">
        <v>44757</v>
      </c>
      <c r="B1314" t="s">
        <v>4870</v>
      </c>
      <c r="C1314">
        <v>5</v>
      </c>
      <c r="D1314" t="s">
        <v>9</v>
      </c>
      <c r="E1314" t="s">
        <v>5032</v>
      </c>
      <c r="F1314" t="s">
        <v>29</v>
      </c>
      <c r="G1314" t="s">
        <v>39</v>
      </c>
      <c r="H1314">
        <v>3118</v>
      </c>
      <c r="I1314" s="8" t="str" cm="1">
        <f t="array" ref="I1314">_xlfn.IFS(C1314&lt;=15,"Children and Young Adolescents", C1314&gt;64, "Seniors", TRUE, "Working Age")</f>
        <v>Children and Young Adolescents</v>
      </c>
      <c r="J1314" s="6">
        <f>VLOOKUP(F1314,Analysis!$F$1:$G$5,2,FALSE)</f>
        <v>2496.7676064256989</v>
      </c>
      <c r="K1314">
        <f t="shared" si="80"/>
        <v>3429.8</v>
      </c>
      <c r="L1314">
        <f t="shared" si="81"/>
        <v>3429.8</v>
      </c>
      <c r="M1314">
        <f t="shared" si="82"/>
        <v>3429.8</v>
      </c>
      <c r="N1314" s="5" t="str">
        <f t="shared" si="83"/>
        <v>July 2022</v>
      </c>
    </row>
    <row r="1315" spans="1:14" x14ac:dyDescent="0.25">
      <c r="A1315" s="1">
        <v>44757</v>
      </c>
      <c r="B1315" t="s">
        <v>2143</v>
      </c>
      <c r="C1315">
        <v>70</v>
      </c>
      <c r="D1315" t="s">
        <v>21</v>
      </c>
      <c r="E1315" t="s">
        <v>10</v>
      </c>
      <c r="F1315" t="s">
        <v>11</v>
      </c>
      <c r="G1315" t="s">
        <v>39</v>
      </c>
      <c r="H1315">
        <v>1773.62</v>
      </c>
      <c r="I1315" s="8" t="str" cm="1">
        <f t="array" ref="I1315">_xlfn.IFS(C1315&lt;=15,"Children and Young Adolescents", C1315&gt;64, "Seniors", TRUE, "Working Age")</f>
        <v>Seniors</v>
      </c>
      <c r="J1315" s="6">
        <f>VLOOKUP(F1315,Analysis!$F$1:$G$5,2,FALSE)</f>
        <v>2503.6022787783854</v>
      </c>
      <c r="K1315">
        <f t="shared" si="80"/>
        <v>1950.98</v>
      </c>
      <c r="L1315">
        <f t="shared" si="81"/>
        <v>1950.99</v>
      </c>
      <c r="M1315">
        <f t="shared" si="82"/>
        <v>1950.98</v>
      </c>
      <c r="N1315" s="5" t="str">
        <f t="shared" si="83"/>
        <v>July 2022</v>
      </c>
    </row>
    <row r="1316" spans="1:14" x14ac:dyDescent="0.25">
      <c r="A1316" s="1">
        <v>44757</v>
      </c>
      <c r="B1316" t="s">
        <v>3799</v>
      </c>
      <c r="C1316">
        <v>38</v>
      </c>
      <c r="D1316" t="s">
        <v>14</v>
      </c>
      <c r="E1316" t="s">
        <v>34</v>
      </c>
      <c r="F1316" t="s">
        <v>16</v>
      </c>
      <c r="G1316" t="s">
        <v>5033</v>
      </c>
      <c r="H1316">
        <v>1728.58</v>
      </c>
      <c r="I1316" s="8" t="str" cm="1">
        <f t="array" ref="I1316">_xlfn.IFS(C1316&lt;=15,"Children and Young Adolescents", C1316&gt;64, "Seniors", TRUE, "Working Age")</f>
        <v>Working Age</v>
      </c>
      <c r="J1316" s="6">
        <f>VLOOKUP(F1316,Analysis!$F$1:$G$5,2,FALSE)</f>
        <v>2509.1716796874912</v>
      </c>
      <c r="K1316">
        <f t="shared" si="80"/>
        <v>1901.43</v>
      </c>
      <c r="L1316">
        <f t="shared" si="81"/>
        <v>1901.44</v>
      </c>
      <c r="M1316">
        <f t="shared" si="82"/>
        <v>1901.44</v>
      </c>
      <c r="N1316" s="5" t="str">
        <f t="shared" si="83"/>
        <v>July 2022</v>
      </c>
    </row>
    <row r="1317" spans="1:14" x14ac:dyDescent="0.25">
      <c r="A1317" s="1">
        <v>44758</v>
      </c>
      <c r="B1317" t="s">
        <v>1792</v>
      </c>
      <c r="C1317">
        <v>78</v>
      </c>
      <c r="D1317" t="s">
        <v>14</v>
      </c>
      <c r="E1317" t="s">
        <v>22</v>
      </c>
      <c r="F1317" t="s">
        <v>16</v>
      </c>
      <c r="G1317" t="s">
        <v>12</v>
      </c>
      <c r="H1317">
        <v>2631.23</v>
      </c>
      <c r="I1317" s="8" t="str" cm="1">
        <f t="array" ref="I1317">_xlfn.IFS(C1317&lt;=15,"Children and Young Adolescents", C1317&gt;64, "Seniors", TRUE, "Working Age")</f>
        <v>Seniors</v>
      </c>
      <c r="J1317" s="6">
        <f>VLOOKUP(F1317,Analysis!$F$1:$G$5,2,FALSE)</f>
        <v>2509.1716796874912</v>
      </c>
      <c r="K1317">
        <f t="shared" si="80"/>
        <v>2894.35</v>
      </c>
      <c r="L1317">
        <f t="shared" si="81"/>
        <v>2894.36</v>
      </c>
      <c r="M1317">
        <f t="shared" si="82"/>
        <v>2894.35</v>
      </c>
      <c r="N1317" s="5" t="str">
        <f t="shared" si="83"/>
        <v>July 2022</v>
      </c>
    </row>
    <row r="1318" spans="1:14" x14ac:dyDescent="0.25">
      <c r="A1318" s="1">
        <v>44758</v>
      </c>
      <c r="B1318" t="s">
        <v>3440</v>
      </c>
      <c r="C1318">
        <v>98</v>
      </c>
      <c r="D1318" t="s">
        <v>14</v>
      </c>
      <c r="E1318" t="s">
        <v>22</v>
      </c>
      <c r="F1318" t="s">
        <v>11</v>
      </c>
      <c r="G1318" t="s">
        <v>17</v>
      </c>
      <c r="H1318">
        <v>4425.3100000000004</v>
      </c>
      <c r="I1318" s="8" t="str" cm="1">
        <f t="array" ref="I1318">_xlfn.IFS(C1318&lt;=15,"Children and Young Adolescents", C1318&gt;64, "Seniors", TRUE, "Working Age")</f>
        <v>Seniors</v>
      </c>
      <c r="J1318" s="6">
        <f>VLOOKUP(F1318,Analysis!$F$1:$G$5,2,FALSE)</f>
        <v>2503.6022787783854</v>
      </c>
      <c r="K1318">
        <f t="shared" si="80"/>
        <v>4867.84</v>
      </c>
      <c r="L1318">
        <f t="shared" si="81"/>
        <v>4867.8500000000004</v>
      </c>
      <c r="M1318">
        <f t="shared" si="82"/>
        <v>4867.84</v>
      </c>
      <c r="N1318" s="5" t="str">
        <f t="shared" si="83"/>
        <v>July 2022</v>
      </c>
    </row>
    <row r="1319" spans="1:14" x14ac:dyDescent="0.25">
      <c r="A1319" s="1">
        <v>44758</v>
      </c>
      <c r="B1319" t="s">
        <v>4371</v>
      </c>
      <c r="C1319">
        <v>70</v>
      </c>
      <c r="D1319" t="s">
        <v>9</v>
      </c>
      <c r="E1319" t="s">
        <v>5032</v>
      </c>
      <c r="F1319" t="s">
        <v>29</v>
      </c>
      <c r="G1319" t="s">
        <v>12</v>
      </c>
      <c r="H1319">
        <v>1542.22</v>
      </c>
      <c r="I1319" s="8" t="str" cm="1">
        <f t="array" ref="I1319">_xlfn.IFS(C1319&lt;=15,"Children and Young Adolescents", C1319&gt;64, "Seniors", TRUE, "Working Age")</f>
        <v>Seniors</v>
      </c>
      <c r="J1319" s="6">
        <f>VLOOKUP(F1319,Analysis!$F$1:$G$5,2,FALSE)</f>
        <v>2496.7676064256989</v>
      </c>
      <c r="K1319">
        <f t="shared" si="80"/>
        <v>1696.44</v>
      </c>
      <c r="L1319">
        <f t="shared" si="81"/>
        <v>1696.45</v>
      </c>
      <c r="M1319">
        <f t="shared" si="82"/>
        <v>1696.44</v>
      </c>
      <c r="N1319" s="5" t="str">
        <f t="shared" si="83"/>
        <v>July 2022</v>
      </c>
    </row>
    <row r="1320" spans="1:14" x14ac:dyDescent="0.25">
      <c r="A1320" s="1">
        <v>44758</v>
      </c>
      <c r="B1320" t="s">
        <v>1252</v>
      </c>
      <c r="C1320">
        <v>56</v>
      </c>
      <c r="D1320" t="s">
        <v>21</v>
      </c>
      <c r="E1320" t="s">
        <v>15</v>
      </c>
      <c r="F1320" t="s">
        <v>11</v>
      </c>
      <c r="G1320" t="s">
        <v>5033</v>
      </c>
      <c r="H1320">
        <v>3608.36</v>
      </c>
      <c r="I1320" s="8" t="str" cm="1">
        <f t="array" ref="I1320">_xlfn.IFS(C1320&lt;=15,"Children and Young Adolescents", C1320&gt;64, "Seniors", TRUE, "Working Age")</f>
        <v>Working Age</v>
      </c>
      <c r="J1320" s="6">
        <f>VLOOKUP(F1320,Analysis!$F$1:$G$5,2,FALSE)</f>
        <v>2503.6022787783854</v>
      </c>
      <c r="K1320">
        <f t="shared" si="80"/>
        <v>3969.19</v>
      </c>
      <c r="L1320">
        <f t="shared" si="81"/>
        <v>3969.2000000000003</v>
      </c>
      <c r="M1320">
        <f t="shared" si="82"/>
        <v>3969.2</v>
      </c>
      <c r="N1320" s="5" t="str">
        <f t="shared" si="83"/>
        <v>July 2022</v>
      </c>
    </row>
    <row r="1321" spans="1:14" x14ac:dyDescent="0.25">
      <c r="A1321" s="1">
        <v>44758</v>
      </c>
      <c r="B1321" t="s">
        <v>1188</v>
      </c>
      <c r="C1321">
        <v>56</v>
      </c>
      <c r="D1321" t="s">
        <v>14</v>
      </c>
      <c r="E1321" t="s">
        <v>15</v>
      </c>
      <c r="F1321" t="s">
        <v>16</v>
      </c>
      <c r="G1321" t="s">
        <v>17</v>
      </c>
      <c r="H1321">
        <v>205.93</v>
      </c>
      <c r="I1321" s="8" t="str" cm="1">
        <f t="array" ref="I1321">_xlfn.IFS(C1321&lt;=15,"Children and Young Adolescents", C1321&gt;64, "Seniors", TRUE, "Working Age")</f>
        <v>Working Age</v>
      </c>
      <c r="J1321" s="6">
        <f>VLOOKUP(F1321,Analysis!$F$1:$G$5,2,FALSE)</f>
        <v>2509.1716796874912</v>
      </c>
      <c r="K1321">
        <f t="shared" si="80"/>
        <v>226.52</v>
      </c>
      <c r="L1321">
        <f t="shared" si="81"/>
        <v>226.53</v>
      </c>
      <c r="M1321">
        <f t="shared" si="82"/>
        <v>226.52</v>
      </c>
      <c r="N1321" s="5" t="str">
        <f t="shared" si="83"/>
        <v>July 2022</v>
      </c>
    </row>
    <row r="1322" spans="1:14" x14ac:dyDescent="0.25">
      <c r="A1322" s="1">
        <v>44758</v>
      </c>
      <c r="B1322" t="s">
        <v>4292</v>
      </c>
      <c r="C1322">
        <v>40</v>
      </c>
      <c r="D1322" t="s">
        <v>21</v>
      </c>
      <c r="E1322" t="s">
        <v>25</v>
      </c>
      <c r="F1322" t="s">
        <v>29</v>
      </c>
      <c r="G1322" t="s">
        <v>12</v>
      </c>
      <c r="H1322">
        <v>4306.47</v>
      </c>
      <c r="I1322" s="8" t="str" cm="1">
        <f t="array" ref="I1322">_xlfn.IFS(C1322&lt;=15,"Children and Young Adolescents", C1322&gt;64, "Seniors", TRUE, "Working Age")</f>
        <v>Working Age</v>
      </c>
      <c r="J1322" s="6">
        <f>VLOOKUP(F1322,Analysis!$F$1:$G$5,2,FALSE)</f>
        <v>2496.7676064256989</v>
      </c>
      <c r="K1322">
        <f t="shared" si="80"/>
        <v>4737.1099999999997</v>
      </c>
      <c r="L1322">
        <f t="shared" si="81"/>
        <v>4737.12</v>
      </c>
      <c r="M1322">
        <f t="shared" si="82"/>
        <v>4737.12</v>
      </c>
      <c r="N1322" s="5" t="str">
        <f t="shared" si="83"/>
        <v>July 2022</v>
      </c>
    </row>
    <row r="1323" spans="1:14" x14ac:dyDescent="0.25">
      <c r="A1323" s="1">
        <v>44759</v>
      </c>
      <c r="B1323" t="s">
        <v>772</v>
      </c>
      <c r="C1323">
        <v>75</v>
      </c>
      <c r="D1323" t="s">
        <v>21</v>
      </c>
      <c r="E1323" t="s">
        <v>5032</v>
      </c>
      <c r="F1323" t="s">
        <v>23</v>
      </c>
      <c r="G1323" t="s">
        <v>36</v>
      </c>
      <c r="H1323">
        <v>4475.66</v>
      </c>
      <c r="I1323" s="8" t="str" cm="1">
        <f t="array" ref="I1323">_xlfn.IFS(C1323&lt;=15,"Children and Young Adolescents", C1323&gt;64, "Seniors", TRUE, "Working Age")</f>
        <v>Seniors</v>
      </c>
      <c r="J1323" s="6">
        <f>VLOOKUP(F1323,Analysis!$F$1:$G$5,2,FALSE)</f>
        <v>2440.2966694490838</v>
      </c>
      <c r="K1323">
        <f t="shared" si="80"/>
        <v>4923.22</v>
      </c>
      <c r="L1323">
        <f t="shared" si="81"/>
        <v>4923.2300000000005</v>
      </c>
      <c r="M1323">
        <f t="shared" si="82"/>
        <v>4923.2299999999996</v>
      </c>
      <c r="N1323" s="5" t="str">
        <f t="shared" si="83"/>
        <v>July 2022</v>
      </c>
    </row>
    <row r="1324" spans="1:14" x14ac:dyDescent="0.25">
      <c r="A1324" s="1">
        <v>44759</v>
      </c>
      <c r="B1324" t="s">
        <v>2422</v>
      </c>
      <c r="C1324">
        <v>22</v>
      </c>
      <c r="D1324" t="s">
        <v>21</v>
      </c>
      <c r="E1324" t="s">
        <v>25</v>
      </c>
      <c r="F1324" t="s">
        <v>11</v>
      </c>
      <c r="G1324" t="s">
        <v>12</v>
      </c>
      <c r="H1324">
        <v>3896.59</v>
      </c>
      <c r="I1324" s="8" t="str" cm="1">
        <f t="array" ref="I1324">_xlfn.IFS(C1324&lt;=15,"Children and Young Adolescents", C1324&gt;64, "Seniors", TRUE, "Working Age")</f>
        <v>Working Age</v>
      </c>
      <c r="J1324" s="6">
        <f>VLOOKUP(F1324,Analysis!$F$1:$G$5,2,FALSE)</f>
        <v>2503.6022787783854</v>
      </c>
      <c r="K1324">
        <f t="shared" si="80"/>
        <v>4286.24</v>
      </c>
      <c r="L1324">
        <f t="shared" si="81"/>
        <v>4286.25</v>
      </c>
      <c r="M1324">
        <f t="shared" si="82"/>
        <v>4286.25</v>
      </c>
      <c r="N1324" s="5" t="str">
        <f t="shared" si="83"/>
        <v>July 2022</v>
      </c>
    </row>
    <row r="1325" spans="1:14" x14ac:dyDescent="0.25">
      <c r="A1325" s="1">
        <v>44759</v>
      </c>
      <c r="B1325" t="s">
        <v>2694</v>
      </c>
      <c r="C1325">
        <v>81</v>
      </c>
      <c r="D1325" t="s">
        <v>21</v>
      </c>
      <c r="E1325" t="s">
        <v>19</v>
      </c>
      <c r="F1325" t="s">
        <v>11</v>
      </c>
      <c r="G1325" t="s">
        <v>12</v>
      </c>
      <c r="H1325">
        <v>1211.29</v>
      </c>
      <c r="I1325" s="8" t="str" cm="1">
        <f t="array" ref="I1325">_xlfn.IFS(C1325&lt;=15,"Children and Young Adolescents", C1325&gt;64, "Seniors", TRUE, "Working Age")</f>
        <v>Seniors</v>
      </c>
      <c r="J1325" s="6">
        <f>VLOOKUP(F1325,Analysis!$F$1:$G$5,2,FALSE)</f>
        <v>2503.6022787783854</v>
      </c>
      <c r="K1325">
        <f t="shared" si="80"/>
        <v>1332.41</v>
      </c>
      <c r="L1325">
        <f t="shared" si="81"/>
        <v>1332.42</v>
      </c>
      <c r="M1325">
        <f t="shared" si="82"/>
        <v>1332.42</v>
      </c>
      <c r="N1325" s="5" t="str">
        <f t="shared" si="83"/>
        <v>July 2022</v>
      </c>
    </row>
    <row r="1326" spans="1:14" x14ac:dyDescent="0.25">
      <c r="A1326" s="1">
        <v>44760</v>
      </c>
      <c r="B1326" t="s">
        <v>4074</v>
      </c>
      <c r="C1326">
        <v>28</v>
      </c>
      <c r="D1326" t="s">
        <v>14</v>
      </c>
      <c r="E1326" t="s">
        <v>25</v>
      </c>
      <c r="F1326" t="s">
        <v>16</v>
      </c>
      <c r="G1326" t="s">
        <v>12</v>
      </c>
      <c r="H1326">
        <v>4404.37</v>
      </c>
      <c r="I1326" s="8" t="str" cm="1">
        <f t="array" ref="I1326">_xlfn.IFS(C1326&lt;=15,"Children and Young Adolescents", C1326&gt;64, "Seniors", TRUE, "Working Age")</f>
        <v>Working Age</v>
      </c>
      <c r="J1326" s="6">
        <f>VLOOKUP(F1326,Analysis!$F$1:$G$5,2,FALSE)</f>
        <v>2509.1716796874912</v>
      </c>
      <c r="K1326">
        <f t="shared" si="80"/>
        <v>4844.8</v>
      </c>
      <c r="L1326">
        <f t="shared" si="81"/>
        <v>4844.8100000000004</v>
      </c>
      <c r="M1326">
        <f t="shared" si="82"/>
        <v>4844.8100000000004</v>
      </c>
      <c r="N1326" s="5" t="str">
        <f t="shared" si="83"/>
        <v>July 2022</v>
      </c>
    </row>
    <row r="1327" spans="1:14" x14ac:dyDescent="0.25">
      <c r="A1327" s="1">
        <v>44760</v>
      </c>
      <c r="B1327" t="s">
        <v>524</v>
      </c>
      <c r="C1327">
        <v>32</v>
      </c>
      <c r="D1327" t="s">
        <v>14</v>
      </c>
      <c r="E1327" t="s">
        <v>32</v>
      </c>
      <c r="F1327" t="s">
        <v>23</v>
      </c>
      <c r="G1327" t="s">
        <v>12</v>
      </c>
      <c r="H1327">
        <v>3614.13</v>
      </c>
      <c r="I1327" s="8" t="str" cm="1">
        <f t="array" ref="I1327">_xlfn.IFS(C1327&lt;=15,"Children and Young Adolescents", C1327&gt;64, "Seniors", TRUE, "Working Age")</f>
        <v>Working Age</v>
      </c>
      <c r="J1327" s="6">
        <f>VLOOKUP(F1327,Analysis!$F$1:$G$5,2,FALSE)</f>
        <v>2440.2966694490838</v>
      </c>
      <c r="K1327">
        <f t="shared" si="80"/>
        <v>3975.54</v>
      </c>
      <c r="L1327">
        <f t="shared" si="81"/>
        <v>3975.55</v>
      </c>
      <c r="M1327">
        <f t="shared" si="82"/>
        <v>3975.54</v>
      </c>
      <c r="N1327" s="5" t="str">
        <f t="shared" si="83"/>
        <v>July 2022</v>
      </c>
    </row>
    <row r="1328" spans="1:14" x14ac:dyDescent="0.25">
      <c r="A1328" s="1">
        <v>44760</v>
      </c>
      <c r="B1328" t="s">
        <v>3718</v>
      </c>
      <c r="C1328">
        <v>63</v>
      </c>
      <c r="D1328" t="s">
        <v>21</v>
      </c>
      <c r="E1328" t="s">
        <v>15</v>
      </c>
      <c r="F1328" t="s">
        <v>29</v>
      </c>
      <c r="G1328" t="s">
        <v>39</v>
      </c>
      <c r="H1328">
        <v>4016.39</v>
      </c>
      <c r="I1328" s="8" t="str" cm="1">
        <f t="array" ref="I1328">_xlfn.IFS(C1328&lt;=15,"Children and Young Adolescents", C1328&gt;64, "Seniors", TRUE, "Working Age")</f>
        <v>Working Age</v>
      </c>
      <c r="J1328" s="6">
        <f>VLOOKUP(F1328,Analysis!$F$1:$G$5,2,FALSE)</f>
        <v>2496.7676064256989</v>
      </c>
      <c r="K1328">
        <f t="shared" si="80"/>
        <v>4418.0200000000004</v>
      </c>
      <c r="L1328">
        <f t="shared" si="81"/>
        <v>4418.0300000000007</v>
      </c>
      <c r="M1328">
        <f t="shared" si="82"/>
        <v>4418.03</v>
      </c>
      <c r="N1328" s="5" t="str">
        <f t="shared" si="83"/>
        <v>July 2022</v>
      </c>
    </row>
    <row r="1329" spans="1:14" x14ac:dyDescent="0.25">
      <c r="A1329" s="1">
        <v>44760</v>
      </c>
      <c r="B1329" t="s">
        <v>3996</v>
      </c>
      <c r="C1329">
        <v>62</v>
      </c>
      <c r="D1329" t="s">
        <v>14</v>
      </c>
      <c r="E1329" t="s">
        <v>34</v>
      </c>
      <c r="F1329" t="s">
        <v>29</v>
      </c>
      <c r="G1329" t="s">
        <v>36</v>
      </c>
      <c r="H1329">
        <v>333.2</v>
      </c>
      <c r="I1329" s="8" t="str" cm="1">
        <f t="array" ref="I1329">_xlfn.IFS(C1329&lt;=15,"Children and Young Adolescents", C1329&gt;64, "Seniors", TRUE, "Working Age")</f>
        <v>Working Age</v>
      </c>
      <c r="J1329" s="6">
        <f>VLOOKUP(F1329,Analysis!$F$1:$G$5,2,FALSE)</f>
        <v>2496.7676064256989</v>
      </c>
      <c r="K1329">
        <f t="shared" si="80"/>
        <v>366.52</v>
      </c>
      <c r="L1329">
        <f t="shared" si="81"/>
        <v>366.52</v>
      </c>
      <c r="M1329">
        <f t="shared" si="82"/>
        <v>366.52</v>
      </c>
      <c r="N1329" s="5" t="str">
        <f t="shared" si="83"/>
        <v>July 2022</v>
      </c>
    </row>
    <row r="1330" spans="1:14" x14ac:dyDescent="0.25">
      <c r="A1330" s="1">
        <v>44760</v>
      </c>
      <c r="B1330" t="s">
        <v>3763</v>
      </c>
      <c r="C1330">
        <v>35</v>
      </c>
      <c r="D1330" t="s">
        <v>21</v>
      </c>
      <c r="E1330" t="s">
        <v>22</v>
      </c>
      <c r="F1330" t="s">
        <v>16</v>
      </c>
      <c r="G1330" t="s">
        <v>12</v>
      </c>
      <c r="H1330">
        <v>2125.8200000000002</v>
      </c>
      <c r="I1330" s="8" t="str" cm="1">
        <f t="array" ref="I1330">_xlfn.IFS(C1330&lt;=15,"Children and Young Adolescents", C1330&gt;64, "Seniors", TRUE, "Working Age")</f>
        <v>Working Age</v>
      </c>
      <c r="J1330" s="6">
        <f>VLOOKUP(F1330,Analysis!$F$1:$G$5,2,FALSE)</f>
        <v>2509.1716796874912</v>
      </c>
      <c r="K1330">
        <f t="shared" si="80"/>
        <v>2338.4</v>
      </c>
      <c r="L1330">
        <f t="shared" si="81"/>
        <v>2338.4100000000003</v>
      </c>
      <c r="M1330">
        <f t="shared" si="82"/>
        <v>2338.4</v>
      </c>
      <c r="N1330" s="5" t="str">
        <f t="shared" si="83"/>
        <v>July 2022</v>
      </c>
    </row>
    <row r="1331" spans="1:14" x14ac:dyDescent="0.25">
      <c r="A1331" s="1">
        <v>44760</v>
      </c>
      <c r="B1331" t="s">
        <v>1001</v>
      </c>
      <c r="C1331">
        <v>85</v>
      </c>
      <c r="D1331" t="s">
        <v>21</v>
      </c>
      <c r="E1331" t="s">
        <v>25</v>
      </c>
      <c r="F1331" t="s">
        <v>23</v>
      </c>
      <c r="G1331" t="s">
        <v>36</v>
      </c>
      <c r="H1331">
        <v>4940.21</v>
      </c>
      <c r="I1331" s="8" t="str" cm="1">
        <f t="array" ref="I1331">_xlfn.IFS(C1331&lt;=15,"Children and Young Adolescents", C1331&gt;64, "Seniors", TRUE, "Working Age")</f>
        <v>Seniors</v>
      </c>
      <c r="J1331" s="6">
        <f>VLOOKUP(F1331,Analysis!$F$1:$G$5,2,FALSE)</f>
        <v>2440.2966694490838</v>
      </c>
      <c r="K1331">
        <f t="shared" si="80"/>
        <v>5434.23</v>
      </c>
      <c r="L1331">
        <f t="shared" si="81"/>
        <v>5434.24</v>
      </c>
      <c r="M1331">
        <f t="shared" si="82"/>
        <v>5434.23</v>
      </c>
      <c r="N1331" s="5" t="str">
        <f t="shared" si="83"/>
        <v>July 2022</v>
      </c>
    </row>
    <row r="1332" spans="1:14" x14ac:dyDescent="0.25">
      <c r="A1332" s="1">
        <v>44760</v>
      </c>
      <c r="B1332" t="s">
        <v>3280</v>
      </c>
      <c r="C1332">
        <v>93</v>
      </c>
      <c r="D1332" t="s">
        <v>21</v>
      </c>
      <c r="E1332" t="s">
        <v>15</v>
      </c>
      <c r="F1332" t="s">
        <v>23</v>
      </c>
      <c r="G1332" t="s">
        <v>39</v>
      </c>
      <c r="H1332">
        <v>2540.16</v>
      </c>
      <c r="I1332" s="8" t="str" cm="1">
        <f t="array" ref="I1332">_xlfn.IFS(C1332&lt;=15,"Children and Young Adolescents", C1332&gt;64, "Seniors", TRUE, "Working Age")</f>
        <v>Seniors</v>
      </c>
      <c r="J1332" s="6">
        <f>VLOOKUP(F1332,Analysis!$F$1:$G$5,2,FALSE)</f>
        <v>2440.2966694490838</v>
      </c>
      <c r="K1332">
        <f t="shared" si="80"/>
        <v>2794.17</v>
      </c>
      <c r="L1332">
        <f t="shared" si="81"/>
        <v>2794.1800000000003</v>
      </c>
      <c r="M1332">
        <f t="shared" si="82"/>
        <v>2794.18</v>
      </c>
      <c r="N1332" s="5" t="str">
        <f t="shared" si="83"/>
        <v>July 2022</v>
      </c>
    </row>
    <row r="1333" spans="1:14" x14ac:dyDescent="0.25">
      <c r="A1333" s="1">
        <v>44760</v>
      </c>
      <c r="B1333" t="s">
        <v>1948</v>
      </c>
      <c r="C1333">
        <v>76</v>
      </c>
      <c r="D1333" t="s">
        <v>21</v>
      </c>
      <c r="E1333" t="s">
        <v>19</v>
      </c>
      <c r="F1333" t="s">
        <v>23</v>
      </c>
      <c r="G1333" t="s">
        <v>12</v>
      </c>
      <c r="H1333">
        <v>4004.48</v>
      </c>
      <c r="I1333" s="8" t="str" cm="1">
        <f t="array" ref="I1333">_xlfn.IFS(C1333&lt;=15,"Children and Young Adolescents", C1333&gt;64, "Seniors", TRUE, "Working Age")</f>
        <v>Seniors</v>
      </c>
      <c r="J1333" s="6">
        <f>VLOOKUP(F1333,Analysis!$F$1:$G$5,2,FALSE)</f>
        <v>2440.2966694490838</v>
      </c>
      <c r="K1333">
        <f t="shared" si="80"/>
        <v>4404.92</v>
      </c>
      <c r="L1333">
        <f t="shared" si="81"/>
        <v>4404.93</v>
      </c>
      <c r="M1333">
        <f t="shared" si="82"/>
        <v>4404.93</v>
      </c>
      <c r="N1333" s="5" t="str">
        <f t="shared" si="83"/>
        <v>July 2022</v>
      </c>
    </row>
    <row r="1334" spans="1:14" x14ac:dyDescent="0.25">
      <c r="A1334" s="1">
        <v>44760</v>
      </c>
      <c r="B1334" t="s">
        <v>4109</v>
      </c>
      <c r="C1334">
        <v>72</v>
      </c>
      <c r="D1334" t="s">
        <v>14</v>
      </c>
      <c r="E1334" t="s">
        <v>22</v>
      </c>
      <c r="F1334" t="s">
        <v>29</v>
      </c>
      <c r="G1334" t="s">
        <v>39</v>
      </c>
      <c r="H1334">
        <v>3177.39</v>
      </c>
      <c r="I1334" s="8" t="str" cm="1">
        <f t="array" ref="I1334">_xlfn.IFS(C1334&lt;=15,"Children and Young Adolescents", C1334&gt;64, "Seniors", TRUE, "Working Age")</f>
        <v>Seniors</v>
      </c>
      <c r="J1334" s="6">
        <f>VLOOKUP(F1334,Analysis!$F$1:$G$5,2,FALSE)</f>
        <v>2496.7676064256989</v>
      </c>
      <c r="K1334">
        <f t="shared" si="80"/>
        <v>3495.12</v>
      </c>
      <c r="L1334">
        <f t="shared" si="81"/>
        <v>3495.13</v>
      </c>
      <c r="M1334">
        <f t="shared" si="82"/>
        <v>3495.13</v>
      </c>
      <c r="N1334" s="5" t="str">
        <f t="shared" si="83"/>
        <v>July 2022</v>
      </c>
    </row>
    <row r="1335" spans="1:14" x14ac:dyDescent="0.25">
      <c r="A1335" s="1">
        <v>44761</v>
      </c>
      <c r="B1335" t="s">
        <v>298</v>
      </c>
      <c r="C1335">
        <v>47</v>
      </c>
      <c r="D1335" t="s">
        <v>14</v>
      </c>
      <c r="E1335" t="s">
        <v>34</v>
      </c>
      <c r="F1335" t="s">
        <v>29</v>
      </c>
      <c r="G1335" t="s">
        <v>36</v>
      </c>
      <c r="H1335">
        <v>1650.13</v>
      </c>
      <c r="I1335" s="8" t="str" cm="1">
        <f t="array" ref="I1335">_xlfn.IFS(C1335&lt;=15,"Children and Young Adolescents", C1335&gt;64, "Seniors", TRUE, "Working Age")</f>
        <v>Working Age</v>
      </c>
      <c r="J1335" s="6">
        <f>VLOOKUP(F1335,Analysis!$F$1:$G$5,2,FALSE)</f>
        <v>2496.7676064256989</v>
      </c>
      <c r="K1335">
        <f t="shared" si="80"/>
        <v>1815.14</v>
      </c>
      <c r="L1335">
        <f t="shared" si="81"/>
        <v>1815.15</v>
      </c>
      <c r="M1335">
        <f t="shared" si="82"/>
        <v>1815.14</v>
      </c>
      <c r="N1335" s="5" t="str">
        <f t="shared" si="83"/>
        <v>July 2022</v>
      </c>
    </row>
    <row r="1336" spans="1:14" x14ac:dyDescent="0.25">
      <c r="A1336" s="1">
        <v>44761</v>
      </c>
      <c r="B1336" t="s">
        <v>4072</v>
      </c>
      <c r="C1336">
        <v>27</v>
      </c>
      <c r="D1336" t="s">
        <v>14</v>
      </c>
      <c r="E1336" t="s">
        <v>34</v>
      </c>
      <c r="F1336" t="s">
        <v>16</v>
      </c>
      <c r="G1336" t="s">
        <v>39</v>
      </c>
      <c r="H1336">
        <v>799.56</v>
      </c>
      <c r="I1336" s="8" t="str" cm="1">
        <f t="array" ref="I1336">_xlfn.IFS(C1336&lt;=15,"Children and Young Adolescents", C1336&gt;64, "Seniors", TRUE, "Working Age")</f>
        <v>Working Age</v>
      </c>
      <c r="J1336" s="6">
        <f>VLOOKUP(F1336,Analysis!$F$1:$G$5,2,FALSE)</f>
        <v>2509.1716796874912</v>
      </c>
      <c r="K1336">
        <f t="shared" si="80"/>
        <v>879.51</v>
      </c>
      <c r="L1336">
        <f t="shared" si="81"/>
        <v>879.52</v>
      </c>
      <c r="M1336">
        <f t="shared" si="82"/>
        <v>879.52</v>
      </c>
      <c r="N1336" s="5" t="str">
        <f t="shared" si="83"/>
        <v>July 2022</v>
      </c>
    </row>
    <row r="1337" spans="1:14" x14ac:dyDescent="0.25">
      <c r="A1337" s="1">
        <v>44761</v>
      </c>
      <c r="B1337" t="s">
        <v>687</v>
      </c>
      <c r="C1337">
        <v>40</v>
      </c>
      <c r="D1337" t="s">
        <v>21</v>
      </c>
      <c r="E1337" t="s">
        <v>32</v>
      </c>
      <c r="F1337" t="s">
        <v>29</v>
      </c>
      <c r="G1337" t="s">
        <v>39</v>
      </c>
      <c r="H1337">
        <v>3102.58</v>
      </c>
      <c r="I1337" s="8" t="str" cm="1">
        <f t="array" ref="I1337">_xlfn.IFS(C1337&lt;=15,"Children and Young Adolescents", C1337&gt;64, "Seniors", TRUE, "Working Age")</f>
        <v>Working Age</v>
      </c>
      <c r="J1337" s="6">
        <f>VLOOKUP(F1337,Analysis!$F$1:$G$5,2,FALSE)</f>
        <v>2496.7676064256989</v>
      </c>
      <c r="K1337">
        <f t="shared" si="80"/>
        <v>3412.83</v>
      </c>
      <c r="L1337">
        <f t="shared" si="81"/>
        <v>3412.84</v>
      </c>
      <c r="M1337">
        <f t="shared" si="82"/>
        <v>3412.84</v>
      </c>
      <c r="N1337" s="5" t="str">
        <f t="shared" si="83"/>
        <v>July 2022</v>
      </c>
    </row>
    <row r="1338" spans="1:14" x14ac:dyDescent="0.25">
      <c r="A1338" s="1">
        <v>44761</v>
      </c>
      <c r="B1338" t="s">
        <v>3536</v>
      </c>
      <c r="C1338">
        <v>67</v>
      </c>
      <c r="D1338" t="s">
        <v>21</v>
      </c>
      <c r="E1338" t="s">
        <v>19</v>
      </c>
      <c r="F1338" t="s">
        <v>29</v>
      </c>
      <c r="G1338" t="s">
        <v>36</v>
      </c>
      <c r="H1338">
        <v>2163.5</v>
      </c>
      <c r="I1338" s="8" t="str" cm="1">
        <f t="array" ref="I1338">_xlfn.IFS(C1338&lt;=15,"Children and Young Adolescents", C1338&gt;64, "Seniors", TRUE, "Working Age")</f>
        <v>Seniors</v>
      </c>
      <c r="J1338" s="6">
        <f>VLOOKUP(F1338,Analysis!$F$1:$G$5,2,FALSE)</f>
        <v>2496.7676064256989</v>
      </c>
      <c r="K1338">
        <f t="shared" si="80"/>
        <v>2379.85</v>
      </c>
      <c r="L1338">
        <f t="shared" si="81"/>
        <v>2379.85</v>
      </c>
      <c r="M1338">
        <f t="shared" si="82"/>
        <v>2379.85</v>
      </c>
      <c r="N1338" s="5" t="str">
        <f t="shared" si="83"/>
        <v>July 2022</v>
      </c>
    </row>
    <row r="1339" spans="1:14" x14ac:dyDescent="0.25">
      <c r="A1339" s="1">
        <v>44761</v>
      </c>
      <c r="B1339" t="s">
        <v>4464</v>
      </c>
      <c r="C1339">
        <v>46</v>
      </c>
      <c r="D1339" t="s">
        <v>21</v>
      </c>
      <c r="E1339" t="s">
        <v>32</v>
      </c>
      <c r="F1339" t="s">
        <v>29</v>
      </c>
      <c r="G1339" t="s">
        <v>39</v>
      </c>
      <c r="H1339">
        <v>570.36</v>
      </c>
      <c r="I1339" s="8" t="str" cm="1">
        <f t="array" ref="I1339">_xlfn.IFS(C1339&lt;=15,"Children and Young Adolescents", C1339&gt;64, "Seniors", TRUE, "Working Age")</f>
        <v>Working Age</v>
      </c>
      <c r="J1339" s="6">
        <f>VLOOKUP(F1339,Analysis!$F$1:$G$5,2,FALSE)</f>
        <v>2496.7676064256989</v>
      </c>
      <c r="K1339">
        <f t="shared" si="80"/>
        <v>627.39</v>
      </c>
      <c r="L1339">
        <f t="shared" si="81"/>
        <v>627.4</v>
      </c>
      <c r="M1339">
        <f t="shared" si="82"/>
        <v>627.4</v>
      </c>
      <c r="N1339" s="5" t="str">
        <f t="shared" si="83"/>
        <v>July 2022</v>
      </c>
    </row>
    <row r="1340" spans="1:14" x14ac:dyDescent="0.25">
      <c r="A1340" s="1">
        <v>44761</v>
      </c>
      <c r="B1340" t="s">
        <v>1085</v>
      </c>
      <c r="C1340">
        <v>22</v>
      </c>
      <c r="D1340" t="s">
        <v>14</v>
      </c>
      <c r="E1340" t="s">
        <v>19</v>
      </c>
      <c r="F1340" t="s">
        <v>16</v>
      </c>
      <c r="G1340" t="s">
        <v>17</v>
      </c>
      <c r="H1340">
        <v>3049.18</v>
      </c>
      <c r="I1340" s="8" t="str" cm="1">
        <f t="array" ref="I1340">_xlfn.IFS(C1340&lt;=15,"Children and Young Adolescents", C1340&gt;64, "Seniors", TRUE, "Working Age")</f>
        <v>Working Age</v>
      </c>
      <c r="J1340" s="6">
        <f>VLOOKUP(F1340,Analysis!$F$1:$G$5,2,FALSE)</f>
        <v>2509.1716796874912</v>
      </c>
      <c r="K1340">
        <f t="shared" si="80"/>
        <v>3354.09</v>
      </c>
      <c r="L1340">
        <f t="shared" si="81"/>
        <v>3354.1000000000004</v>
      </c>
      <c r="M1340">
        <f t="shared" si="82"/>
        <v>3354.1</v>
      </c>
      <c r="N1340" s="5" t="str">
        <f t="shared" si="83"/>
        <v>July 2022</v>
      </c>
    </row>
    <row r="1341" spans="1:14" x14ac:dyDescent="0.25">
      <c r="A1341" s="1">
        <v>44761</v>
      </c>
      <c r="B1341" t="s">
        <v>409</v>
      </c>
      <c r="C1341">
        <v>17</v>
      </c>
      <c r="D1341" t="s">
        <v>14</v>
      </c>
      <c r="E1341" t="s">
        <v>34</v>
      </c>
      <c r="F1341" t="s">
        <v>11</v>
      </c>
      <c r="G1341" t="s">
        <v>17</v>
      </c>
      <c r="H1341">
        <v>4801.2299999999996</v>
      </c>
      <c r="I1341" s="8" t="str" cm="1">
        <f t="array" ref="I1341">_xlfn.IFS(C1341&lt;=15,"Children and Young Adolescents", C1341&gt;64, "Seniors", TRUE, "Working Age")</f>
        <v>Working Age</v>
      </c>
      <c r="J1341" s="6">
        <f>VLOOKUP(F1341,Analysis!$F$1:$G$5,2,FALSE)</f>
        <v>2503.6022787783854</v>
      </c>
      <c r="K1341">
        <f t="shared" si="80"/>
        <v>5281.35</v>
      </c>
      <c r="L1341">
        <f t="shared" si="81"/>
        <v>5281.3600000000006</v>
      </c>
      <c r="M1341">
        <f t="shared" si="82"/>
        <v>5281.35</v>
      </c>
      <c r="N1341" s="5" t="str">
        <f t="shared" si="83"/>
        <v>July 2022</v>
      </c>
    </row>
    <row r="1342" spans="1:14" x14ac:dyDescent="0.25">
      <c r="A1342" s="1">
        <v>44761</v>
      </c>
      <c r="B1342" t="s">
        <v>896</v>
      </c>
      <c r="C1342">
        <v>66</v>
      </c>
      <c r="D1342" t="s">
        <v>9</v>
      </c>
      <c r="E1342" t="s">
        <v>32</v>
      </c>
      <c r="F1342" t="s">
        <v>11</v>
      </c>
      <c r="G1342" t="s">
        <v>27</v>
      </c>
      <c r="H1342">
        <v>1305.78</v>
      </c>
      <c r="I1342" s="8" t="str" cm="1">
        <f t="array" ref="I1342">_xlfn.IFS(C1342&lt;=15,"Children and Young Adolescents", C1342&gt;64, "Seniors", TRUE, "Working Age")</f>
        <v>Seniors</v>
      </c>
      <c r="J1342" s="6">
        <f>VLOOKUP(F1342,Analysis!$F$1:$G$5,2,FALSE)</f>
        <v>2503.6022787783854</v>
      </c>
      <c r="K1342">
        <f t="shared" si="80"/>
        <v>1436.35</v>
      </c>
      <c r="L1342">
        <f t="shared" si="81"/>
        <v>1436.36</v>
      </c>
      <c r="M1342">
        <f t="shared" si="82"/>
        <v>1436.36</v>
      </c>
      <c r="N1342" s="5" t="str">
        <f t="shared" si="83"/>
        <v>July 2022</v>
      </c>
    </row>
    <row r="1343" spans="1:14" x14ac:dyDescent="0.25">
      <c r="A1343" s="1">
        <v>44762</v>
      </c>
      <c r="B1343" t="s">
        <v>4316</v>
      </c>
      <c r="C1343">
        <v>75</v>
      </c>
      <c r="D1343" t="s">
        <v>14</v>
      </c>
      <c r="E1343" t="s">
        <v>25</v>
      </c>
      <c r="F1343" t="s">
        <v>29</v>
      </c>
      <c r="G1343" t="s">
        <v>17</v>
      </c>
      <c r="H1343">
        <v>1399.47</v>
      </c>
      <c r="I1343" s="8" t="str" cm="1">
        <f t="array" ref="I1343">_xlfn.IFS(C1343&lt;=15,"Children and Young Adolescents", C1343&gt;64, "Seniors", TRUE, "Working Age")</f>
        <v>Seniors</v>
      </c>
      <c r="J1343" s="6">
        <f>VLOOKUP(F1343,Analysis!$F$1:$G$5,2,FALSE)</f>
        <v>2496.7676064256989</v>
      </c>
      <c r="K1343">
        <f t="shared" si="80"/>
        <v>1539.41</v>
      </c>
      <c r="L1343">
        <f t="shared" si="81"/>
        <v>1539.42</v>
      </c>
      <c r="M1343">
        <f t="shared" si="82"/>
        <v>1539.42</v>
      </c>
      <c r="N1343" s="5" t="str">
        <f t="shared" si="83"/>
        <v>July 2022</v>
      </c>
    </row>
    <row r="1344" spans="1:14" x14ac:dyDescent="0.25">
      <c r="A1344" s="1">
        <v>44762</v>
      </c>
      <c r="B1344" t="s">
        <v>2534</v>
      </c>
      <c r="C1344">
        <v>49</v>
      </c>
      <c r="D1344" t="s">
        <v>14</v>
      </c>
      <c r="E1344" t="s">
        <v>15</v>
      </c>
      <c r="F1344" t="s">
        <v>29</v>
      </c>
      <c r="G1344" t="s">
        <v>12</v>
      </c>
      <c r="H1344">
        <v>1595.7</v>
      </c>
      <c r="I1344" s="8" t="str" cm="1">
        <f t="array" ref="I1344">_xlfn.IFS(C1344&lt;=15,"Children and Young Adolescents", C1344&gt;64, "Seniors", TRUE, "Working Age")</f>
        <v>Working Age</v>
      </c>
      <c r="J1344" s="6">
        <f>VLOOKUP(F1344,Analysis!$F$1:$G$5,2,FALSE)</f>
        <v>2496.7676064256989</v>
      </c>
      <c r="K1344">
        <f t="shared" si="80"/>
        <v>1755.27</v>
      </c>
      <c r="L1344">
        <f t="shared" si="81"/>
        <v>1755.27</v>
      </c>
      <c r="M1344">
        <f t="shared" si="82"/>
        <v>1755.27</v>
      </c>
      <c r="N1344" s="5" t="str">
        <f t="shared" si="83"/>
        <v>July 2022</v>
      </c>
    </row>
    <row r="1345" spans="1:14" x14ac:dyDescent="0.25">
      <c r="A1345" s="1">
        <v>44762</v>
      </c>
      <c r="B1345" t="s">
        <v>4206</v>
      </c>
      <c r="C1345">
        <v>90</v>
      </c>
      <c r="D1345" t="s">
        <v>14</v>
      </c>
      <c r="E1345" t="s">
        <v>15</v>
      </c>
      <c r="F1345" t="s">
        <v>16</v>
      </c>
      <c r="G1345" t="s">
        <v>27</v>
      </c>
      <c r="H1345">
        <v>3489.98</v>
      </c>
      <c r="I1345" s="8" t="str" cm="1">
        <f t="array" ref="I1345">_xlfn.IFS(C1345&lt;=15,"Children and Young Adolescents", C1345&gt;64, "Seniors", TRUE, "Working Age")</f>
        <v>Seniors</v>
      </c>
      <c r="J1345" s="6">
        <f>VLOOKUP(F1345,Analysis!$F$1:$G$5,2,FALSE)</f>
        <v>2509.1716796874912</v>
      </c>
      <c r="K1345">
        <f t="shared" si="80"/>
        <v>3838.97</v>
      </c>
      <c r="L1345">
        <f t="shared" si="81"/>
        <v>3838.98</v>
      </c>
      <c r="M1345">
        <f t="shared" si="82"/>
        <v>3838.98</v>
      </c>
      <c r="N1345" s="5" t="str">
        <f t="shared" si="83"/>
        <v>July 2022</v>
      </c>
    </row>
    <row r="1346" spans="1:14" x14ac:dyDescent="0.25">
      <c r="A1346" s="1">
        <v>44762</v>
      </c>
      <c r="B1346" t="s">
        <v>143</v>
      </c>
      <c r="C1346">
        <v>73</v>
      </c>
      <c r="D1346" t="s">
        <v>14</v>
      </c>
      <c r="E1346" t="s">
        <v>10</v>
      </c>
      <c r="F1346" t="s">
        <v>29</v>
      </c>
      <c r="G1346" t="s">
        <v>39</v>
      </c>
      <c r="H1346">
        <v>4220.88</v>
      </c>
      <c r="I1346" s="8" t="str" cm="1">
        <f t="array" ref="I1346">_xlfn.IFS(C1346&lt;=15,"Children and Young Adolescents", C1346&gt;64, "Seniors", TRUE, "Working Age")</f>
        <v>Seniors</v>
      </c>
      <c r="J1346" s="6">
        <f>VLOOKUP(F1346,Analysis!$F$1:$G$5,2,FALSE)</f>
        <v>2496.7676064256989</v>
      </c>
      <c r="K1346">
        <f t="shared" si="80"/>
        <v>4642.96</v>
      </c>
      <c r="L1346">
        <f t="shared" si="81"/>
        <v>4642.97</v>
      </c>
      <c r="M1346">
        <f t="shared" si="82"/>
        <v>4642.97</v>
      </c>
      <c r="N1346" s="5" t="str">
        <f t="shared" si="83"/>
        <v>July 2022</v>
      </c>
    </row>
    <row r="1347" spans="1:14" x14ac:dyDescent="0.25">
      <c r="A1347" s="1">
        <v>44762</v>
      </c>
      <c r="B1347" t="s">
        <v>2248</v>
      </c>
      <c r="C1347">
        <v>28</v>
      </c>
      <c r="D1347" t="s">
        <v>21</v>
      </c>
      <c r="E1347" t="s">
        <v>5032</v>
      </c>
      <c r="F1347" t="s">
        <v>29</v>
      </c>
      <c r="G1347" t="s">
        <v>5033</v>
      </c>
      <c r="H1347">
        <v>4141.2299999999996</v>
      </c>
      <c r="I1347" s="8" t="str" cm="1">
        <f t="array" ref="I1347">_xlfn.IFS(C1347&lt;=15,"Children and Young Adolescents", C1347&gt;64, "Seniors", TRUE, "Working Age")</f>
        <v>Working Age</v>
      </c>
      <c r="J1347" s="6">
        <f>VLOOKUP(F1347,Analysis!$F$1:$G$5,2,FALSE)</f>
        <v>2496.7676064256989</v>
      </c>
      <c r="K1347">
        <f t="shared" ref="K1347:K1410" si="84">ROUNDDOWN(H1347*1.1,2)</f>
        <v>4555.3500000000004</v>
      </c>
      <c r="L1347">
        <f t="shared" ref="L1347:L1410" si="85">ROUNDUP(H1347*1.1,2)</f>
        <v>4555.3600000000006</v>
      </c>
      <c r="M1347">
        <f t="shared" ref="M1347:M1410" si="86">ROUND(H1347*1.1,2)</f>
        <v>4555.3500000000004</v>
      </c>
      <c r="N1347" s="5" t="str">
        <f t="shared" ref="N1347:N1410" si="87">TEXT(A1347,"mmmm yyyy")</f>
        <v>July 2022</v>
      </c>
    </row>
    <row r="1348" spans="1:14" x14ac:dyDescent="0.25">
      <c r="A1348" s="1">
        <v>44762</v>
      </c>
      <c r="B1348" t="s">
        <v>278</v>
      </c>
      <c r="C1348">
        <v>18</v>
      </c>
      <c r="D1348" t="s">
        <v>9</v>
      </c>
      <c r="E1348" t="s">
        <v>19</v>
      </c>
      <c r="F1348" t="s">
        <v>29</v>
      </c>
      <c r="G1348" t="s">
        <v>39</v>
      </c>
      <c r="H1348">
        <v>568.28</v>
      </c>
      <c r="I1348" s="8" t="str" cm="1">
        <f t="array" ref="I1348">_xlfn.IFS(C1348&lt;=15,"Children and Young Adolescents", C1348&gt;64, "Seniors", TRUE, "Working Age")</f>
        <v>Working Age</v>
      </c>
      <c r="J1348" s="6">
        <f>VLOOKUP(F1348,Analysis!$F$1:$G$5,2,FALSE)</f>
        <v>2496.7676064256989</v>
      </c>
      <c r="K1348">
        <f t="shared" si="84"/>
        <v>625.1</v>
      </c>
      <c r="L1348">
        <f t="shared" si="85"/>
        <v>625.11</v>
      </c>
      <c r="M1348">
        <f t="shared" si="86"/>
        <v>625.11</v>
      </c>
      <c r="N1348" s="5" t="str">
        <f t="shared" si="87"/>
        <v>July 2022</v>
      </c>
    </row>
    <row r="1349" spans="1:14" x14ac:dyDescent="0.25">
      <c r="A1349" s="1">
        <v>44763</v>
      </c>
      <c r="B1349" t="s">
        <v>2124</v>
      </c>
      <c r="C1349">
        <v>82</v>
      </c>
      <c r="D1349" t="s">
        <v>14</v>
      </c>
      <c r="E1349" t="s">
        <v>32</v>
      </c>
      <c r="F1349" t="s">
        <v>23</v>
      </c>
      <c r="G1349" t="s">
        <v>12</v>
      </c>
      <c r="H1349">
        <v>2462.0700000000002</v>
      </c>
      <c r="I1349" s="8" t="str" cm="1">
        <f t="array" ref="I1349">_xlfn.IFS(C1349&lt;=15,"Children and Young Adolescents", C1349&gt;64, "Seniors", TRUE, "Working Age")</f>
        <v>Seniors</v>
      </c>
      <c r="J1349" s="6">
        <f>VLOOKUP(F1349,Analysis!$F$1:$G$5,2,FALSE)</f>
        <v>2440.2966694490838</v>
      </c>
      <c r="K1349">
        <f t="shared" si="84"/>
        <v>2708.27</v>
      </c>
      <c r="L1349">
        <f t="shared" si="85"/>
        <v>2708.28</v>
      </c>
      <c r="M1349">
        <f t="shared" si="86"/>
        <v>2708.28</v>
      </c>
      <c r="N1349" s="5" t="str">
        <f t="shared" si="87"/>
        <v>July 2022</v>
      </c>
    </row>
    <row r="1350" spans="1:14" x14ac:dyDescent="0.25">
      <c r="A1350" s="1">
        <v>44763</v>
      </c>
      <c r="B1350" t="s">
        <v>1390</v>
      </c>
      <c r="C1350">
        <v>12</v>
      </c>
      <c r="D1350" t="s">
        <v>14</v>
      </c>
      <c r="E1350" t="s">
        <v>34</v>
      </c>
      <c r="F1350" t="s">
        <v>11</v>
      </c>
      <c r="G1350" t="s">
        <v>12</v>
      </c>
      <c r="H1350">
        <v>3281.67</v>
      </c>
      <c r="I1350" s="8" t="str" cm="1">
        <f t="array" ref="I1350">_xlfn.IFS(C1350&lt;=15,"Children and Young Adolescents", C1350&gt;64, "Seniors", TRUE, "Working Age")</f>
        <v>Children and Young Adolescents</v>
      </c>
      <c r="J1350" s="6">
        <f>VLOOKUP(F1350,Analysis!$F$1:$G$5,2,FALSE)</f>
        <v>2503.6022787783854</v>
      </c>
      <c r="K1350">
        <f t="shared" si="84"/>
        <v>3609.83</v>
      </c>
      <c r="L1350">
        <f t="shared" si="85"/>
        <v>3609.84</v>
      </c>
      <c r="M1350">
        <f t="shared" si="86"/>
        <v>3609.84</v>
      </c>
      <c r="N1350" s="5" t="str">
        <f t="shared" si="87"/>
        <v>July 2022</v>
      </c>
    </row>
    <row r="1351" spans="1:14" x14ac:dyDescent="0.25">
      <c r="A1351" s="1">
        <v>44763</v>
      </c>
      <c r="B1351" t="s">
        <v>2103</v>
      </c>
      <c r="C1351">
        <v>98</v>
      </c>
      <c r="D1351" t="s">
        <v>14</v>
      </c>
      <c r="E1351" t="s">
        <v>22</v>
      </c>
      <c r="F1351" t="s">
        <v>11</v>
      </c>
      <c r="G1351" t="s">
        <v>5033</v>
      </c>
      <c r="H1351">
        <v>4433.8900000000003</v>
      </c>
      <c r="I1351" s="8" t="str" cm="1">
        <f t="array" ref="I1351">_xlfn.IFS(C1351&lt;=15,"Children and Young Adolescents", C1351&gt;64, "Seniors", TRUE, "Working Age")</f>
        <v>Seniors</v>
      </c>
      <c r="J1351" s="6">
        <f>VLOOKUP(F1351,Analysis!$F$1:$G$5,2,FALSE)</f>
        <v>2503.6022787783854</v>
      </c>
      <c r="K1351">
        <f t="shared" si="84"/>
        <v>4877.2700000000004</v>
      </c>
      <c r="L1351">
        <f t="shared" si="85"/>
        <v>4877.2800000000007</v>
      </c>
      <c r="M1351">
        <f t="shared" si="86"/>
        <v>4877.28</v>
      </c>
      <c r="N1351" s="5" t="str">
        <f t="shared" si="87"/>
        <v>July 2022</v>
      </c>
    </row>
    <row r="1352" spans="1:14" x14ac:dyDescent="0.25">
      <c r="A1352" s="1">
        <v>44763</v>
      </c>
      <c r="B1352" t="s">
        <v>3244</v>
      </c>
      <c r="C1352">
        <v>9</v>
      </c>
      <c r="D1352" t="s">
        <v>14</v>
      </c>
      <c r="E1352" t="s">
        <v>19</v>
      </c>
      <c r="F1352" t="s">
        <v>23</v>
      </c>
      <c r="G1352" t="s">
        <v>27</v>
      </c>
      <c r="H1352">
        <v>2036.59</v>
      </c>
      <c r="I1352" s="8" t="str" cm="1">
        <f t="array" ref="I1352">_xlfn.IFS(C1352&lt;=15,"Children and Young Adolescents", C1352&gt;64, "Seniors", TRUE, "Working Age")</f>
        <v>Children and Young Adolescents</v>
      </c>
      <c r="J1352" s="6">
        <f>VLOOKUP(F1352,Analysis!$F$1:$G$5,2,FALSE)</f>
        <v>2440.2966694490838</v>
      </c>
      <c r="K1352">
        <f t="shared" si="84"/>
        <v>2240.2399999999998</v>
      </c>
      <c r="L1352">
        <f t="shared" si="85"/>
        <v>2240.25</v>
      </c>
      <c r="M1352">
        <f t="shared" si="86"/>
        <v>2240.25</v>
      </c>
      <c r="N1352" s="5" t="str">
        <f t="shared" si="87"/>
        <v>July 2022</v>
      </c>
    </row>
    <row r="1353" spans="1:14" x14ac:dyDescent="0.25">
      <c r="A1353" s="1">
        <v>44764</v>
      </c>
      <c r="B1353" t="s">
        <v>3774</v>
      </c>
      <c r="C1353">
        <v>7</v>
      </c>
      <c r="D1353" t="s">
        <v>14</v>
      </c>
      <c r="E1353" t="s">
        <v>34</v>
      </c>
      <c r="F1353" t="s">
        <v>23</v>
      </c>
      <c r="G1353" t="s">
        <v>27</v>
      </c>
      <c r="H1353">
        <v>3936.23</v>
      </c>
      <c r="I1353" s="8" t="str" cm="1">
        <f t="array" ref="I1353">_xlfn.IFS(C1353&lt;=15,"Children and Young Adolescents", C1353&gt;64, "Seniors", TRUE, "Working Age")</f>
        <v>Children and Young Adolescents</v>
      </c>
      <c r="J1353" s="6">
        <f>VLOOKUP(F1353,Analysis!$F$1:$G$5,2,FALSE)</f>
        <v>2440.2966694490838</v>
      </c>
      <c r="K1353">
        <f t="shared" si="84"/>
        <v>4329.8500000000004</v>
      </c>
      <c r="L1353">
        <f t="shared" si="85"/>
        <v>4329.8600000000006</v>
      </c>
      <c r="M1353">
        <f t="shared" si="86"/>
        <v>4329.8500000000004</v>
      </c>
      <c r="N1353" s="5" t="str">
        <f t="shared" si="87"/>
        <v>July 2022</v>
      </c>
    </row>
    <row r="1354" spans="1:14" x14ac:dyDescent="0.25">
      <c r="A1354" s="1">
        <v>44764</v>
      </c>
      <c r="B1354" t="s">
        <v>3983</v>
      </c>
      <c r="C1354">
        <v>62</v>
      </c>
      <c r="D1354" t="s">
        <v>14</v>
      </c>
      <c r="E1354" t="s">
        <v>19</v>
      </c>
      <c r="F1354" t="s">
        <v>23</v>
      </c>
      <c r="G1354" t="s">
        <v>36</v>
      </c>
      <c r="H1354">
        <v>3755.5</v>
      </c>
      <c r="I1354" s="8" t="str" cm="1">
        <f t="array" ref="I1354">_xlfn.IFS(C1354&lt;=15,"Children and Young Adolescents", C1354&gt;64, "Seniors", TRUE, "Working Age")</f>
        <v>Working Age</v>
      </c>
      <c r="J1354" s="6">
        <f>VLOOKUP(F1354,Analysis!$F$1:$G$5,2,FALSE)</f>
        <v>2440.2966694490838</v>
      </c>
      <c r="K1354">
        <f t="shared" si="84"/>
        <v>4131.05</v>
      </c>
      <c r="L1354">
        <f t="shared" si="85"/>
        <v>4131.05</v>
      </c>
      <c r="M1354">
        <f t="shared" si="86"/>
        <v>4131.05</v>
      </c>
      <c r="N1354" s="5" t="str">
        <f t="shared" si="87"/>
        <v>July 2022</v>
      </c>
    </row>
    <row r="1355" spans="1:14" x14ac:dyDescent="0.25">
      <c r="A1355" s="1">
        <v>44764</v>
      </c>
      <c r="B1355" t="s">
        <v>1319</v>
      </c>
      <c r="C1355">
        <v>37</v>
      </c>
      <c r="D1355" t="s">
        <v>9</v>
      </c>
      <c r="E1355" t="s">
        <v>5032</v>
      </c>
      <c r="F1355" t="s">
        <v>23</v>
      </c>
      <c r="G1355" t="s">
        <v>36</v>
      </c>
      <c r="H1355">
        <v>2820.53</v>
      </c>
      <c r="I1355" s="8" t="str" cm="1">
        <f t="array" ref="I1355">_xlfn.IFS(C1355&lt;=15,"Children and Young Adolescents", C1355&gt;64, "Seniors", TRUE, "Working Age")</f>
        <v>Working Age</v>
      </c>
      <c r="J1355" s="6">
        <f>VLOOKUP(F1355,Analysis!$F$1:$G$5,2,FALSE)</f>
        <v>2440.2966694490838</v>
      </c>
      <c r="K1355">
        <f t="shared" si="84"/>
        <v>3102.58</v>
      </c>
      <c r="L1355">
        <f t="shared" si="85"/>
        <v>3102.59</v>
      </c>
      <c r="M1355">
        <f t="shared" si="86"/>
        <v>3102.58</v>
      </c>
      <c r="N1355" s="5" t="str">
        <f t="shared" si="87"/>
        <v>July 2022</v>
      </c>
    </row>
    <row r="1356" spans="1:14" x14ac:dyDescent="0.25">
      <c r="A1356" s="1">
        <v>44764</v>
      </c>
      <c r="B1356" t="s">
        <v>3509</v>
      </c>
      <c r="C1356">
        <v>85</v>
      </c>
      <c r="D1356" t="s">
        <v>21</v>
      </c>
      <c r="E1356" t="s">
        <v>22</v>
      </c>
      <c r="F1356" t="s">
        <v>16</v>
      </c>
      <c r="G1356" t="s">
        <v>12</v>
      </c>
      <c r="H1356">
        <v>4379.07</v>
      </c>
      <c r="I1356" s="8" t="str" cm="1">
        <f t="array" ref="I1356">_xlfn.IFS(C1356&lt;=15,"Children and Young Adolescents", C1356&gt;64, "Seniors", TRUE, "Working Age")</f>
        <v>Seniors</v>
      </c>
      <c r="J1356" s="6">
        <f>VLOOKUP(F1356,Analysis!$F$1:$G$5,2,FALSE)</f>
        <v>2509.1716796874912</v>
      </c>
      <c r="K1356">
        <f t="shared" si="84"/>
        <v>4816.97</v>
      </c>
      <c r="L1356">
        <f t="shared" si="85"/>
        <v>4816.9800000000005</v>
      </c>
      <c r="M1356">
        <f t="shared" si="86"/>
        <v>4816.9799999999996</v>
      </c>
      <c r="N1356" s="5" t="str">
        <f t="shared" si="87"/>
        <v>July 2022</v>
      </c>
    </row>
    <row r="1357" spans="1:14" x14ac:dyDescent="0.25">
      <c r="A1357" s="1">
        <v>44764</v>
      </c>
      <c r="B1357" t="s">
        <v>4389</v>
      </c>
      <c r="C1357">
        <v>5</v>
      </c>
      <c r="D1357" t="s">
        <v>14</v>
      </c>
      <c r="E1357" t="s">
        <v>32</v>
      </c>
      <c r="F1357" t="s">
        <v>23</v>
      </c>
      <c r="G1357" t="s">
        <v>39</v>
      </c>
      <c r="H1357">
        <v>4070.95</v>
      </c>
      <c r="I1357" s="8" t="str" cm="1">
        <f t="array" ref="I1357">_xlfn.IFS(C1357&lt;=15,"Children and Young Adolescents", C1357&gt;64, "Seniors", TRUE, "Working Age")</f>
        <v>Children and Young Adolescents</v>
      </c>
      <c r="J1357" s="6">
        <f>VLOOKUP(F1357,Analysis!$F$1:$G$5,2,FALSE)</f>
        <v>2440.2966694490838</v>
      </c>
      <c r="K1357">
        <f t="shared" si="84"/>
        <v>4478.04</v>
      </c>
      <c r="L1357">
        <f t="shared" si="85"/>
        <v>4478.05</v>
      </c>
      <c r="M1357">
        <f t="shared" si="86"/>
        <v>4478.05</v>
      </c>
      <c r="N1357" s="5" t="str">
        <f t="shared" si="87"/>
        <v>July 2022</v>
      </c>
    </row>
    <row r="1358" spans="1:14" x14ac:dyDescent="0.25">
      <c r="A1358" s="1">
        <v>44764</v>
      </c>
      <c r="B1358" t="s">
        <v>985</v>
      </c>
      <c r="C1358">
        <v>41</v>
      </c>
      <c r="D1358" t="s">
        <v>9</v>
      </c>
      <c r="E1358" t="s">
        <v>22</v>
      </c>
      <c r="F1358" t="s">
        <v>23</v>
      </c>
      <c r="G1358" t="s">
        <v>36</v>
      </c>
      <c r="H1358">
        <v>2081.0500000000002</v>
      </c>
      <c r="I1358" s="8" t="str" cm="1">
        <f t="array" ref="I1358">_xlfn.IFS(C1358&lt;=15,"Children and Young Adolescents", C1358&gt;64, "Seniors", TRUE, "Working Age")</f>
        <v>Working Age</v>
      </c>
      <c r="J1358" s="6">
        <f>VLOOKUP(F1358,Analysis!$F$1:$G$5,2,FALSE)</f>
        <v>2440.2966694490838</v>
      </c>
      <c r="K1358">
        <f t="shared" si="84"/>
        <v>2289.15</v>
      </c>
      <c r="L1358">
        <f t="shared" si="85"/>
        <v>2289.1600000000003</v>
      </c>
      <c r="M1358">
        <f t="shared" si="86"/>
        <v>2289.16</v>
      </c>
      <c r="N1358" s="5" t="str">
        <f t="shared" si="87"/>
        <v>July 2022</v>
      </c>
    </row>
    <row r="1359" spans="1:14" x14ac:dyDescent="0.25">
      <c r="A1359" s="1">
        <v>44764</v>
      </c>
      <c r="B1359" t="s">
        <v>4939</v>
      </c>
      <c r="C1359">
        <v>79</v>
      </c>
      <c r="D1359" t="s">
        <v>9</v>
      </c>
      <c r="E1359" t="s">
        <v>15</v>
      </c>
      <c r="F1359" t="s">
        <v>29</v>
      </c>
      <c r="G1359" t="s">
        <v>36</v>
      </c>
      <c r="H1359">
        <v>4129</v>
      </c>
      <c r="I1359" s="8" t="str" cm="1">
        <f t="array" ref="I1359">_xlfn.IFS(C1359&lt;=15,"Children and Young Adolescents", C1359&gt;64, "Seniors", TRUE, "Working Age")</f>
        <v>Seniors</v>
      </c>
      <c r="J1359" s="6">
        <f>VLOOKUP(F1359,Analysis!$F$1:$G$5,2,FALSE)</f>
        <v>2496.7676064256989</v>
      </c>
      <c r="K1359">
        <f t="shared" si="84"/>
        <v>4541.8999999999996</v>
      </c>
      <c r="L1359">
        <f t="shared" si="85"/>
        <v>4541.8999999999996</v>
      </c>
      <c r="M1359">
        <f t="shared" si="86"/>
        <v>4541.8999999999996</v>
      </c>
      <c r="N1359" s="5" t="str">
        <f t="shared" si="87"/>
        <v>July 2022</v>
      </c>
    </row>
    <row r="1360" spans="1:14" x14ac:dyDescent="0.25">
      <c r="A1360" s="1">
        <v>44764</v>
      </c>
      <c r="B1360" t="s">
        <v>3749</v>
      </c>
      <c r="C1360">
        <v>47</v>
      </c>
      <c r="D1360" t="s">
        <v>21</v>
      </c>
      <c r="E1360" t="s">
        <v>19</v>
      </c>
      <c r="F1360" t="s">
        <v>23</v>
      </c>
      <c r="G1360" t="s">
        <v>12</v>
      </c>
      <c r="H1360">
        <v>2270.5500000000002</v>
      </c>
      <c r="I1360" s="8" t="str" cm="1">
        <f t="array" ref="I1360">_xlfn.IFS(C1360&lt;=15,"Children and Young Adolescents", C1360&gt;64, "Seniors", TRUE, "Working Age")</f>
        <v>Working Age</v>
      </c>
      <c r="J1360" s="6">
        <f>VLOOKUP(F1360,Analysis!$F$1:$G$5,2,FALSE)</f>
        <v>2440.2966694490838</v>
      </c>
      <c r="K1360">
        <f t="shared" si="84"/>
        <v>2497.6</v>
      </c>
      <c r="L1360">
        <f t="shared" si="85"/>
        <v>2497.61</v>
      </c>
      <c r="M1360">
        <f t="shared" si="86"/>
        <v>2497.61</v>
      </c>
      <c r="N1360" s="5" t="str">
        <f t="shared" si="87"/>
        <v>July 2022</v>
      </c>
    </row>
    <row r="1361" spans="1:14" x14ac:dyDescent="0.25">
      <c r="A1361" s="1">
        <v>44765</v>
      </c>
      <c r="B1361" t="s">
        <v>4868</v>
      </c>
      <c r="C1361">
        <v>38</v>
      </c>
      <c r="D1361" t="s">
        <v>21</v>
      </c>
      <c r="E1361" t="s">
        <v>34</v>
      </c>
      <c r="F1361" t="s">
        <v>29</v>
      </c>
      <c r="G1361" t="s">
        <v>36</v>
      </c>
      <c r="H1361">
        <v>4289.0200000000004</v>
      </c>
      <c r="I1361" s="8" t="str" cm="1">
        <f t="array" ref="I1361">_xlfn.IFS(C1361&lt;=15,"Children and Young Adolescents", C1361&gt;64, "Seniors", TRUE, "Working Age")</f>
        <v>Working Age</v>
      </c>
      <c r="J1361" s="6">
        <f>VLOOKUP(F1361,Analysis!$F$1:$G$5,2,FALSE)</f>
        <v>2496.7676064256989</v>
      </c>
      <c r="K1361">
        <f t="shared" si="84"/>
        <v>4717.92</v>
      </c>
      <c r="L1361">
        <f t="shared" si="85"/>
        <v>4717.93</v>
      </c>
      <c r="M1361">
        <f t="shared" si="86"/>
        <v>4717.92</v>
      </c>
      <c r="N1361" s="5" t="str">
        <f t="shared" si="87"/>
        <v>July 2022</v>
      </c>
    </row>
    <row r="1362" spans="1:14" x14ac:dyDescent="0.25">
      <c r="A1362" s="1">
        <v>44765</v>
      </c>
      <c r="B1362" t="s">
        <v>4015</v>
      </c>
      <c r="C1362">
        <v>7</v>
      </c>
      <c r="D1362" t="s">
        <v>14</v>
      </c>
      <c r="E1362" t="s">
        <v>10</v>
      </c>
      <c r="F1362" t="s">
        <v>16</v>
      </c>
      <c r="G1362" t="s">
        <v>27</v>
      </c>
      <c r="H1362">
        <v>4080.74</v>
      </c>
      <c r="I1362" s="8" t="str" cm="1">
        <f t="array" ref="I1362">_xlfn.IFS(C1362&lt;=15,"Children and Young Adolescents", C1362&gt;64, "Seniors", TRUE, "Working Age")</f>
        <v>Children and Young Adolescents</v>
      </c>
      <c r="J1362" s="6">
        <f>VLOOKUP(F1362,Analysis!$F$1:$G$5,2,FALSE)</f>
        <v>2509.1716796874912</v>
      </c>
      <c r="K1362">
        <f t="shared" si="84"/>
        <v>4488.8100000000004</v>
      </c>
      <c r="L1362">
        <f t="shared" si="85"/>
        <v>4488.8200000000006</v>
      </c>
      <c r="M1362">
        <f t="shared" si="86"/>
        <v>4488.8100000000004</v>
      </c>
      <c r="N1362" s="5" t="str">
        <f t="shared" si="87"/>
        <v>July 2022</v>
      </c>
    </row>
    <row r="1363" spans="1:14" x14ac:dyDescent="0.25">
      <c r="A1363" s="1">
        <v>44765</v>
      </c>
      <c r="B1363" t="s">
        <v>84</v>
      </c>
      <c r="C1363">
        <v>10</v>
      </c>
      <c r="D1363" t="s">
        <v>14</v>
      </c>
      <c r="E1363" t="s">
        <v>15</v>
      </c>
      <c r="F1363" t="s">
        <v>29</v>
      </c>
      <c r="G1363" t="s">
        <v>12</v>
      </c>
      <c r="H1363">
        <v>4638.34</v>
      </c>
      <c r="I1363" s="8" t="str" cm="1">
        <f t="array" ref="I1363">_xlfn.IFS(C1363&lt;=15,"Children and Young Adolescents", C1363&gt;64, "Seniors", TRUE, "Working Age")</f>
        <v>Children and Young Adolescents</v>
      </c>
      <c r="J1363" s="6">
        <f>VLOOKUP(F1363,Analysis!$F$1:$G$5,2,FALSE)</f>
        <v>2496.7676064256989</v>
      </c>
      <c r="K1363">
        <f t="shared" si="84"/>
        <v>5102.17</v>
      </c>
      <c r="L1363">
        <f t="shared" si="85"/>
        <v>5102.18</v>
      </c>
      <c r="M1363">
        <f t="shared" si="86"/>
        <v>5102.17</v>
      </c>
      <c r="N1363" s="5" t="str">
        <f t="shared" si="87"/>
        <v>July 2022</v>
      </c>
    </row>
    <row r="1364" spans="1:14" x14ac:dyDescent="0.25">
      <c r="A1364" s="1">
        <v>44765</v>
      </c>
      <c r="B1364" t="s">
        <v>732</v>
      </c>
      <c r="C1364">
        <v>95</v>
      </c>
      <c r="D1364" t="s">
        <v>14</v>
      </c>
      <c r="E1364" t="s">
        <v>15</v>
      </c>
      <c r="F1364" t="s">
        <v>23</v>
      </c>
      <c r="G1364" t="s">
        <v>39</v>
      </c>
      <c r="H1364">
        <v>153.22999999999999</v>
      </c>
      <c r="I1364" s="8" t="str" cm="1">
        <f t="array" ref="I1364">_xlfn.IFS(C1364&lt;=15,"Children and Young Adolescents", C1364&gt;64, "Seniors", TRUE, "Working Age")</f>
        <v>Seniors</v>
      </c>
      <c r="J1364" s="6">
        <f>VLOOKUP(F1364,Analysis!$F$1:$G$5,2,FALSE)</f>
        <v>2440.2966694490838</v>
      </c>
      <c r="K1364">
        <f t="shared" si="84"/>
        <v>168.55</v>
      </c>
      <c r="L1364">
        <f t="shared" si="85"/>
        <v>168.56</v>
      </c>
      <c r="M1364">
        <f t="shared" si="86"/>
        <v>168.55</v>
      </c>
      <c r="N1364" s="5" t="str">
        <f t="shared" si="87"/>
        <v>July 2022</v>
      </c>
    </row>
    <row r="1365" spans="1:14" x14ac:dyDescent="0.25">
      <c r="A1365" s="1">
        <v>44765</v>
      </c>
      <c r="B1365" t="s">
        <v>4424</v>
      </c>
      <c r="C1365">
        <v>3</v>
      </c>
      <c r="D1365" t="s">
        <v>14</v>
      </c>
      <c r="E1365" t="s">
        <v>19</v>
      </c>
      <c r="F1365" t="s">
        <v>11</v>
      </c>
      <c r="G1365" t="s">
        <v>36</v>
      </c>
      <c r="H1365">
        <v>826.32</v>
      </c>
      <c r="I1365" s="8" t="str" cm="1">
        <f t="array" ref="I1365">_xlfn.IFS(C1365&lt;=15,"Children and Young Adolescents", C1365&gt;64, "Seniors", TRUE, "Working Age")</f>
        <v>Children and Young Adolescents</v>
      </c>
      <c r="J1365" s="6">
        <f>VLOOKUP(F1365,Analysis!$F$1:$G$5,2,FALSE)</f>
        <v>2503.6022787783854</v>
      </c>
      <c r="K1365">
        <f t="shared" si="84"/>
        <v>908.95</v>
      </c>
      <c r="L1365">
        <f t="shared" si="85"/>
        <v>908.96</v>
      </c>
      <c r="M1365">
        <f t="shared" si="86"/>
        <v>908.95</v>
      </c>
      <c r="N1365" s="5" t="str">
        <f t="shared" si="87"/>
        <v>July 2022</v>
      </c>
    </row>
    <row r="1366" spans="1:14" x14ac:dyDescent="0.25">
      <c r="A1366" s="1">
        <v>44766</v>
      </c>
      <c r="B1366" t="s">
        <v>382</v>
      </c>
      <c r="C1366">
        <v>29</v>
      </c>
      <c r="D1366" t="s">
        <v>9</v>
      </c>
      <c r="E1366" t="s">
        <v>5032</v>
      </c>
      <c r="F1366" t="s">
        <v>23</v>
      </c>
      <c r="G1366" t="s">
        <v>27</v>
      </c>
      <c r="H1366">
        <v>2950.36</v>
      </c>
      <c r="I1366" s="8" t="str" cm="1">
        <f t="array" ref="I1366">_xlfn.IFS(C1366&lt;=15,"Children and Young Adolescents", C1366&gt;64, "Seniors", TRUE, "Working Age")</f>
        <v>Working Age</v>
      </c>
      <c r="J1366" s="6">
        <f>VLOOKUP(F1366,Analysis!$F$1:$G$5,2,FALSE)</f>
        <v>2440.2966694490838</v>
      </c>
      <c r="K1366">
        <f t="shared" si="84"/>
        <v>3245.39</v>
      </c>
      <c r="L1366">
        <f t="shared" si="85"/>
        <v>3245.4</v>
      </c>
      <c r="M1366">
        <f t="shared" si="86"/>
        <v>3245.4</v>
      </c>
      <c r="N1366" s="5" t="str">
        <f t="shared" si="87"/>
        <v>July 2022</v>
      </c>
    </row>
    <row r="1367" spans="1:14" x14ac:dyDescent="0.25">
      <c r="A1367" s="1">
        <v>44766</v>
      </c>
      <c r="B1367" t="s">
        <v>3549</v>
      </c>
      <c r="C1367">
        <v>60</v>
      </c>
      <c r="D1367" t="s">
        <v>21</v>
      </c>
      <c r="E1367" t="s">
        <v>34</v>
      </c>
      <c r="F1367" t="s">
        <v>16</v>
      </c>
      <c r="G1367" t="s">
        <v>27</v>
      </c>
      <c r="H1367">
        <v>1046.72</v>
      </c>
      <c r="I1367" s="8" t="str" cm="1">
        <f t="array" ref="I1367">_xlfn.IFS(C1367&lt;=15,"Children and Young Adolescents", C1367&gt;64, "Seniors", TRUE, "Working Age")</f>
        <v>Working Age</v>
      </c>
      <c r="J1367" s="6">
        <f>VLOOKUP(F1367,Analysis!$F$1:$G$5,2,FALSE)</f>
        <v>2509.1716796874912</v>
      </c>
      <c r="K1367">
        <f t="shared" si="84"/>
        <v>1151.3900000000001</v>
      </c>
      <c r="L1367">
        <f t="shared" si="85"/>
        <v>1151.4000000000001</v>
      </c>
      <c r="M1367">
        <f t="shared" si="86"/>
        <v>1151.3900000000001</v>
      </c>
      <c r="N1367" s="5" t="str">
        <f t="shared" si="87"/>
        <v>July 2022</v>
      </c>
    </row>
    <row r="1368" spans="1:14" x14ac:dyDescent="0.25">
      <c r="A1368" s="1">
        <v>44766</v>
      </c>
      <c r="B1368" t="s">
        <v>1405</v>
      </c>
      <c r="C1368">
        <v>4</v>
      </c>
      <c r="D1368" t="s">
        <v>21</v>
      </c>
      <c r="E1368" t="s">
        <v>34</v>
      </c>
      <c r="F1368" t="s">
        <v>29</v>
      </c>
      <c r="G1368" t="s">
        <v>12</v>
      </c>
      <c r="H1368">
        <v>101.76</v>
      </c>
      <c r="I1368" s="8" t="str" cm="1">
        <f t="array" ref="I1368">_xlfn.IFS(C1368&lt;=15,"Children and Young Adolescents", C1368&gt;64, "Seniors", TRUE, "Working Age")</f>
        <v>Children and Young Adolescents</v>
      </c>
      <c r="J1368" s="6">
        <f>VLOOKUP(F1368,Analysis!$F$1:$G$5,2,FALSE)</f>
        <v>2496.7676064256989</v>
      </c>
      <c r="K1368">
        <f t="shared" si="84"/>
        <v>111.93</v>
      </c>
      <c r="L1368">
        <f t="shared" si="85"/>
        <v>111.94000000000001</v>
      </c>
      <c r="M1368">
        <f t="shared" si="86"/>
        <v>111.94</v>
      </c>
      <c r="N1368" s="5" t="str">
        <f t="shared" si="87"/>
        <v>July 2022</v>
      </c>
    </row>
    <row r="1369" spans="1:14" x14ac:dyDescent="0.25">
      <c r="A1369" s="1">
        <v>44766</v>
      </c>
      <c r="B1369" t="s">
        <v>1829</v>
      </c>
      <c r="C1369">
        <v>12</v>
      </c>
      <c r="D1369" t="s">
        <v>21</v>
      </c>
      <c r="E1369" t="s">
        <v>19</v>
      </c>
      <c r="F1369" t="s">
        <v>11</v>
      </c>
      <c r="G1369" t="s">
        <v>12</v>
      </c>
      <c r="H1369">
        <v>1923.84</v>
      </c>
      <c r="I1369" s="8" t="str" cm="1">
        <f t="array" ref="I1369">_xlfn.IFS(C1369&lt;=15,"Children and Young Adolescents", C1369&gt;64, "Seniors", TRUE, "Working Age")</f>
        <v>Children and Young Adolescents</v>
      </c>
      <c r="J1369" s="6">
        <f>VLOOKUP(F1369,Analysis!$F$1:$G$5,2,FALSE)</f>
        <v>2503.6022787783854</v>
      </c>
      <c r="K1369">
        <f t="shared" si="84"/>
        <v>2116.2199999999998</v>
      </c>
      <c r="L1369">
        <f t="shared" si="85"/>
        <v>2116.23</v>
      </c>
      <c r="M1369">
        <f t="shared" si="86"/>
        <v>2116.2199999999998</v>
      </c>
      <c r="N1369" s="5" t="str">
        <f t="shared" si="87"/>
        <v>July 2022</v>
      </c>
    </row>
    <row r="1370" spans="1:14" x14ac:dyDescent="0.25">
      <c r="A1370" s="1">
        <v>44766</v>
      </c>
      <c r="B1370" t="s">
        <v>4199</v>
      </c>
      <c r="C1370">
        <v>51</v>
      </c>
      <c r="D1370" t="s">
        <v>9</v>
      </c>
      <c r="E1370" t="s">
        <v>34</v>
      </c>
      <c r="F1370" t="s">
        <v>16</v>
      </c>
      <c r="G1370" t="s">
        <v>12</v>
      </c>
      <c r="H1370">
        <v>74.16</v>
      </c>
      <c r="I1370" s="8" t="str" cm="1">
        <f t="array" ref="I1370">_xlfn.IFS(C1370&lt;=15,"Children and Young Adolescents", C1370&gt;64, "Seniors", TRUE, "Working Age")</f>
        <v>Working Age</v>
      </c>
      <c r="J1370" s="6">
        <f>VLOOKUP(F1370,Analysis!$F$1:$G$5,2,FALSE)</f>
        <v>2509.1716796874912</v>
      </c>
      <c r="K1370">
        <f t="shared" si="84"/>
        <v>81.569999999999993</v>
      </c>
      <c r="L1370">
        <f t="shared" si="85"/>
        <v>81.58</v>
      </c>
      <c r="M1370">
        <f t="shared" si="86"/>
        <v>81.58</v>
      </c>
      <c r="N1370" s="5" t="str">
        <f t="shared" si="87"/>
        <v>July 2022</v>
      </c>
    </row>
    <row r="1371" spans="1:14" x14ac:dyDescent="0.25">
      <c r="A1371" s="1">
        <v>44766</v>
      </c>
      <c r="B1371" t="s">
        <v>3594</v>
      </c>
      <c r="C1371">
        <v>63</v>
      </c>
      <c r="D1371" t="s">
        <v>21</v>
      </c>
      <c r="E1371" t="s">
        <v>22</v>
      </c>
      <c r="F1371" t="s">
        <v>16</v>
      </c>
      <c r="G1371" t="s">
        <v>12</v>
      </c>
      <c r="H1371">
        <v>3247.52</v>
      </c>
      <c r="I1371" s="8" t="str" cm="1">
        <f t="array" ref="I1371">_xlfn.IFS(C1371&lt;=15,"Children and Young Adolescents", C1371&gt;64, "Seniors", TRUE, "Working Age")</f>
        <v>Working Age</v>
      </c>
      <c r="J1371" s="6">
        <f>VLOOKUP(F1371,Analysis!$F$1:$G$5,2,FALSE)</f>
        <v>2509.1716796874912</v>
      </c>
      <c r="K1371">
        <f t="shared" si="84"/>
        <v>3572.27</v>
      </c>
      <c r="L1371">
        <f t="shared" si="85"/>
        <v>3572.28</v>
      </c>
      <c r="M1371">
        <f t="shared" si="86"/>
        <v>3572.27</v>
      </c>
      <c r="N1371" s="5" t="str">
        <f t="shared" si="87"/>
        <v>July 2022</v>
      </c>
    </row>
    <row r="1372" spans="1:14" x14ac:dyDescent="0.25">
      <c r="A1372" s="1">
        <v>44767</v>
      </c>
      <c r="B1372" t="s">
        <v>987</v>
      </c>
      <c r="C1372">
        <v>25</v>
      </c>
      <c r="D1372" t="s">
        <v>21</v>
      </c>
      <c r="E1372" t="s">
        <v>5032</v>
      </c>
      <c r="F1372" t="s">
        <v>29</v>
      </c>
      <c r="G1372" t="s">
        <v>17</v>
      </c>
      <c r="H1372">
        <v>208.23</v>
      </c>
      <c r="I1372" s="8" t="str" cm="1">
        <f t="array" ref="I1372">_xlfn.IFS(C1372&lt;=15,"Children and Young Adolescents", C1372&gt;64, "Seniors", TRUE, "Working Age")</f>
        <v>Working Age</v>
      </c>
      <c r="J1372" s="6">
        <f>VLOOKUP(F1372,Analysis!$F$1:$G$5,2,FALSE)</f>
        <v>2496.7676064256989</v>
      </c>
      <c r="K1372">
        <f t="shared" si="84"/>
        <v>229.05</v>
      </c>
      <c r="L1372">
        <f t="shared" si="85"/>
        <v>229.06</v>
      </c>
      <c r="M1372">
        <f t="shared" si="86"/>
        <v>229.05</v>
      </c>
      <c r="N1372" s="5" t="str">
        <f t="shared" si="87"/>
        <v>July 2022</v>
      </c>
    </row>
    <row r="1373" spans="1:14" x14ac:dyDescent="0.25">
      <c r="A1373" s="1">
        <v>44767</v>
      </c>
      <c r="B1373" t="s">
        <v>3649</v>
      </c>
      <c r="C1373">
        <v>90</v>
      </c>
      <c r="D1373" t="s">
        <v>9</v>
      </c>
      <c r="E1373" t="s">
        <v>22</v>
      </c>
      <c r="F1373" t="s">
        <v>23</v>
      </c>
      <c r="G1373" t="s">
        <v>12</v>
      </c>
      <c r="H1373">
        <v>353.49</v>
      </c>
      <c r="I1373" s="8" t="str" cm="1">
        <f t="array" ref="I1373">_xlfn.IFS(C1373&lt;=15,"Children and Young Adolescents", C1373&gt;64, "Seniors", TRUE, "Working Age")</f>
        <v>Seniors</v>
      </c>
      <c r="J1373" s="6">
        <f>VLOOKUP(F1373,Analysis!$F$1:$G$5,2,FALSE)</f>
        <v>2440.2966694490838</v>
      </c>
      <c r="K1373">
        <f t="shared" si="84"/>
        <v>388.83</v>
      </c>
      <c r="L1373">
        <f t="shared" si="85"/>
        <v>388.84</v>
      </c>
      <c r="M1373">
        <f t="shared" si="86"/>
        <v>388.84</v>
      </c>
      <c r="N1373" s="5" t="str">
        <f t="shared" si="87"/>
        <v>July 2022</v>
      </c>
    </row>
    <row r="1374" spans="1:14" x14ac:dyDescent="0.25">
      <c r="A1374" s="1">
        <v>44767</v>
      </c>
      <c r="B1374" t="s">
        <v>1337</v>
      </c>
      <c r="C1374">
        <v>49</v>
      </c>
      <c r="D1374" t="s">
        <v>21</v>
      </c>
      <c r="E1374" t="s">
        <v>25</v>
      </c>
      <c r="F1374" t="s">
        <v>29</v>
      </c>
      <c r="G1374" t="s">
        <v>27</v>
      </c>
      <c r="H1374">
        <v>3047.06</v>
      </c>
      <c r="I1374" s="8" t="str" cm="1">
        <f t="array" ref="I1374">_xlfn.IFS(C1374&lt;=15,"Children and Young Adolescents", C1374&gt;64, "Seniors", TRUE, "Working Age")</f>
        <v>Working Age</v>
      </c>
      <c r="J1374" s="6">
        <f>VLOOKUP(F1374,Analysis!$F$1:$G$5,2,FALSE)</f>
        <v>2496.7676064256989</v>
      </c>
      <c r="K1374">
        <f t="shared" si="84"/>
        <v>3351.76</v>
      </c>
      <c r="L1374">
        <f t="shared" si="85"/>
        <v>3351.7700000000004</v>
      </c>
      <c r="M1374">
        <f t="shared" si="86"/>
        <v>3351.77</v>
      </c>
      <c r="N1374" s="5" t="str">
        <f t="shared" si="87"/>
        <v>July 2022</v>
      </c>
    </row>
    <row r="1375" spans="1:14" x14ac:dyDescent="0.25">
      <c r="A1375" s="1">
        <v>44767</v>
      </c>
      <c r="B1375" t="s">
        <v>1706</v>
      </c>
      <c r="C1375">
        <v>14</v>
      </c>
      <c r="D1375" t="s">
        <v>14</v>
      </c>
      <c r="E1375" t="s">
        <v>34</v>
      </c>
      <c r="F1375" t="s">
        <v>16</v>
      </c>
      <c r="G1375" t="s">
        <v>39</v>
      </c>
      <c r="H1375">
        <v>2031.74</v>
      </c>
      <c r="I1375" s="8" t="str" cm="1">
        <f t="array" ref="I1375">_xlfn.IFS(C1375&lt;=15,"Children and Young Adolescents", C1375&gt;64, "Seniors", TRUE, "Working Age")</f>
        <v>Children and Young Adolescents</v>
      </c>
      <c r="J1375" s="6">
        <f>VLOOKUP(F1375,Analysis!$F$1:$G$5,2,FALSE)</f>
        <v>2509.1716796874912</v>
      </c>
      <c r="K1375">
        <f t="shared" si="84"/>
        <v>2234.91</v>
      </c>
      <c r="L1375">
        <f t="shared" si="85"/>
        <v>2234.92</v>
      </c>
      <c r="M1375">
        <f t="shared" si="86"/>
        <v>2234.91</v>
      </c>
      <c r="N1375" s="5" t="str">
        <f t="shared" si="87"/>
        <v>July 2022</v>
      </c>
    </row>
    <row r="1376" spans="1:14" x14ac:dyDescent="0.25">
      <c r="A1376" s="1">
        <v>44767</v>
      </c>
      <c r="B1376" t="s">
        <v>3826</v>
      </c>
      <c r="C1376">
        <v>16</v>
      </c>
      <c r="D1376" t="s">
        <v>9</v>
      </c>
      <c r="E1376" t="s">
        <v>25</v>
      </c>
      <c r="F1376" t="s">
        <v>11</v>
      </c>
      <c r="G1376" t="s">
        <v>36</v>
      </c>
      <c r="H1376">
        <v>548.59</v>
      </c>
      <c r="I1376" s="8" t="str" cm="1">
        <f t="array" ref="I1376">_xlfn.IFS(C1376&lt;=15,"Children and Young Adolescents", C1376&gt;64, "Seniors", TRUE, "Working Age")</f>
        <v>Working Age</v>
      </c>
      <c r="J1376" s="6">
        <f>VLOOKUP(F1376,Analysis!$F$1:$G$5,2,FALSE)</f>
        <v>2503.6022787783854</v>
      </c>
      <c r="K1376">
        <f t="shared" si="84"/>
        <v>603.44000000000005</v>
      </c>
      <c r="L1376">
        <f t="shared" si="85"/>
        <v>603.45000000000005</v>
      </c>
      <c r="M1376">
        <f t="shared" si="86"/>
        <v>603.45000000000005</v>
      </c>
      <c r="N1376" s="5" t="str">
        <f t="shared" si="87"/>
        <v>July 2022</v>
      </c>
    </row>
    <row r="1377" spans="1:14" x14ac:dyDescent="0.25">
      <c r="A1377" s="1">
        <v>44767</v>
      </c>
      <c r="B1377" t="s">
        <v>3290</v>
      </c>
      <c r="C1377">
        <v>92</v>
      </c>
      <c r="D1377" t="s">
        <v>9</v>
      </c>
      <c r="E1377" t="s">
        <v>32</v>
      </c>
      <c r="F1377" t="s">
        <v>23</v>
      </c>
      <c r="G1377" t="s">
        <v>27</v>
      </c>
      <c r="H1377">
        <v>215.49</v>
      </c>
      <c r="I1377" s="8" t="str" cm="1">
        <f t="array" ref="I1377">_xlfn.IFS(C1377&lt;=15,"Children and Young Adolescents", C1377&gt;64, "Seniors", TRUE, "Working Age")</f>
        <v>Seniors</v>
      </c>
      <c r="J1377" s="6">
        <f>VLOOKUP(F1377,Analysis!$F$1:$G$5,2,FALSE)</f>
        <v>2440.2966694490838</v>
      </c>
      <c r="K1377">
        <f t="shared" si="84"/>
        <v>237.03</v>
      </c>
      <c r="L1377">
        <f t="shared" si="85"/>
        <v>237.04</v>
      </c>
      <c r="M1377">
        <f t="shared" si="86"/>
        <v>237.04</v>
      </c>
      <c r="N1377" s="5" t="str">
        <f t="shared" si="87"/>
        <v>July 2022</v>
      </c>
    </row>
    <row r="1378" spans="1:14" x14ac:dyDescent="0.25">
      <c r="A1378" s="1">
        <v>44767</v>
      </c>
      <c r="B1378" t="s">
        <v>704</v>
      </c>
      <c r="C1378">
        <v>34</v>
      </c>
      <c r="D1378" t="s">
        <v>9</v>
      </c>
      <c r="E1378" t="s">
        <v>19</v>
      </c>
      <c r="F1378" t="s">
        <v>29</v>
      </c>
      <c r="G1378" t="s">
        <v>17</v>
      </c>
      <c r="H1378">
        <v>1255.42</v>
      </c>
      <c r="I1378" s="8" t="str" cm="1">
        <f t="array" ref="I1378">_xlfn.IFS(C1378&lt;=15,"Children and Young Adolescents", C1378&gt;64, "Seniors", TRUE, "Working Age")</f>
        <v>Working Age</v>
      </c>
      <c r="J1378" s="6">
        <f>VLOOKUP(F1378,Analysis!$F$1:$G$5,2,FALSE)</f>
        <v>2496.7676064256989</v>
      </c>
      <c r="K1378">
        <f t="shared" si="84"/>
        <v>1380.96</v>
      </c>
      <c r="L1378">
        <f t="shared" si="85"/>
        <v>1380.97</v>
      </c>
      <c r="M1378">
        <f t="shared" si="86"/>
        <v>1380.96</v>
      </c>
      <c r="N1378" s="5" t="str">
        <f t="shared" si="87"/>
        <v>July 2022</v>
      </c>
    </row>
    <row r="1379" spans="1:14" x14ac:dyDescent="0.25">
      <c r="A1379" s="1">
        <v>44767</v>
      </c>
      <c r="B1379" t="s">
        <v>1869</v>
      </c>
      <c r="C1379">
        <v>68</v>
      </c>
      <c r="D1379" t="s">
        <v>14</v>
      </c>
      <c r="E1379" t="s">
        <v>19</v>
      </c>
      <c r="F1379" t="s">
        <v>23</v>
      </c>
      <c r="G1379" t="s">
        <v>36</v>
      </c>
      <c r="H1379">
        <v>159.22999999999999</v>
      </c>
      <c r="I1379" s="8" t="str" cm="1">
        <f t="array" ref="I1379">_xlfn.IFS(C1379&lt;=15,"Children and Young Adolescents", C1379&gt;64, "Seniors", TRUE, "Working Age")</f>
        <v>Seniors</v>
      </c>
      <c r="J1379" s="6">
        <f>VLOOKUP(F1379,Analysis!$F$1:$G$5,2,FALSE)</f>
        <v>2440.2966694490838</v>
      </c>
      <c r="K1379">
        <f t="shared" si="84"/>
        <v>175.15</v>
      </c>
      <c r="L1379">
        <f t="shared" si="85"/>
        <v>175.16</v>
      </c>
      <c r="M1379">
        <f t="shared" si="86"/>
        <v>175.15</v>
      </c>
      <c r="N1379" s="5" t="str">
        <f t="shared" si="87"/>
        <v>July 2022</v>
      </c>
    </row>
    <row r="1380" spans="1:14" x14ac:dyDescent="0.25">
      <c r="A1380" s="1">
        <v>44767</v>
      </c>
      <c r="B1380" t="s">
        <v>1428</v>
      </c>
      <c r="C1380">
        <v>26</v>
      </c>
      <c r="D1380" t="s">
        <v>14</v>
      </c>
      <c r="E1380" t="s">
        <v>25</v>
      </c>
      <c r="F1380" t="s">
        <v>11</v>
      </c>
      <c r="G1380" t="s">
        <v>12</v>
      </c>
      <c r="H1380">
        <v>2429.52</v>
      </c>
      <c r="I1380" s="8" t="str" cm="1">
        <f t="array" ref="I1380">_xlfn.IFS(C1380&lt;=15,"Children and Young Adolescents", C1380&gt;64, "Seniors", TRUE, "Working Age")</f>
        <v>Working Age</v>
      </c>
      <c r="J1380" s="6">
        <f>VLOOKUP(F1380,Analysis!$F$1:$G$5,2,FALSE)</f>
        <v>2503.6022787783854</v>
      </c>
      <c r="K1380">
        <f t="shared" si="84"/>
        <v>2672.47</v>
      </c>
      <c r="L1380">
        <f t="shared" si="85"/>
        <v>2672.48</v>
      </c>
      <c r="M1380">
        <f t="shared" si="86"/>
        <v>2672.47</v>
      </c>
      <c r="N1380" s="5" t="str">
        <f t="shared" si="87"/>
        <v>July 2022</v>
      </c>
    </row>
    <row r="1381" spans="1:14" x14ac:dyDescent="0.25">
      <c r="A1381" s="1">
        <v>44768</v>
      </c>
      <c r="B1381" t="s">
        <v>736</v>
      </c>
      <c r="C1381">
        <v>99</v>
      </c>
      <c r="D1381" t="s">
        <v>14</v>
      </c>
      <c r="E1381" t="s">
        <v>15</v>
      </c>
      <c r="F1381" t="s">
        <v>23</v>
      </c>
      <c r="G1381" t="s">
        <v>27</v>
      </c>
      <c r="H1381">
        <v>3817.76</v>
      </c>
      <c r="I1381" s="8" t="str" cm="1">
        <f t="array" ref="I1381">_xlfn.IFS(C1381&lt;=15,"Children and Young Adolescents", C1381&gt;64, "Seniors", TRUE, "Working Age")</f>
        <v>Seniors</v>
      </c>
      <c r="J1381" s="6">
        <f>VLOOKUP(F1381,Analysis!$F$1:$G$5,2,FALSE)</f>
        <v>2440.2966694490838</v>
      </c>
      <c r="K1381">
        <f t="shared" si="84"/>
        <v>4199.53</v>
      </c>
      <c r="L1381">
        <f t="shared" si="85"/>
        <v>4199.54</v>
      </c>
      <c r="M1381">
        <f t="shared" si="86"/>
        <v>4199.54</v>
      </c>
      <c r="N1381" s="5" t="str">
        <f t="shared" si="87"/>
        <v>July 2022</v>
      </c>
    </row>
    <row r="1382" spans="1:14" x14ac:dyDescent="0.25">
      <c r="A1382" s="1">
        <v>44768</v>
      </c>
      <c r="B1382" t="s">
        <v>254</v>
      </c>
      <c r="C1382">
        <v>60</v>
      </c>
      <c r="D1382" t="s">
        <v>21</v>
      </c>
      <c r="E1382" t="s">
        <v>32</v>
      </c>
      <c r="F1382" t="s">
        <v>11</v>
      </c>
      <c r="G1382" t="s">
        <v>27</v>
      </c>
      <c r="H1382">
        <v>2707.15</v>
      </c>
      <c r="I1382" s="8" t="str" cm="1">
        <f t="array" ref="I1382">_xlfn.IFS(C1382&lt;=15,"Children and Young Adolescents", C1382&gt;64, "Seniors", TRUE, "Working Age")</f>
        <v>Working Age</v>
      </c>
      <c r="J1382" s="6">
        <f>VLOOKUP(F1382,Analysis!$F$1:$G$5,2,FALSE)</f>
        <v>2503.6022787783854</v>
      </c>
      <c r="K1382">
        <f t="shared" si="84"/>
        <v>2977.86</v>
      </c>
      <c r="L1382">
        <f t="shared" si="85"/>
        <v>2977.8700000000003</v>
      </c>
      <c r="M1382">
        <f t="shared" si="86"/>
        <v>2977.87</v>
      </c>
      <c r="N1382" s="5" t="str">
        <f t="shared" si="87"/>
        <v>July 2022</v>
      </c>
    </row>
    <row r="1383" spans="1:14" x14ac:dyDescent="0.25">
      <c r="A1383" s="1">
        <v>44768</v>
      </c>
      <c r="B1383" t="s">
        <v>4394</v>
      </c>
      <c r="C1383">
        <v>90</v>
      </c>
      <c r="D1383" t="s">
        <v>9</v>
      </c>
      <c r="E1383" t="s">
        <v>10</v>
      </c>
      <c r="F1383" t="s">
        <v>23</v>
      </c>
      <c r="G1383" t="s">
        <v>36</v>
      </c>
      <c r="H1383">
        <v>252.98</v>
      </c>
      <c r="I1383" s="8" t="str" cm="1">
        <f t="array" ref="I1383">_xlfn.IFS(C1383&lt;=15,"Children and Young Adolescents", C1383&gt;64, "Seniors", TRUE, "Working Age")</f>
        <v>Seniors</v>
      </c>
      <c r="J1383" s="6">
        <f>VLOOKUP(F1383,Analysis!$F$1:$G$5,2,FALSE)</f>
        <v>2440.2966694490838</v>
      </c>
      <c r="K1383">
        <f t="shared" si="84"/>
        <v>278.27</v>
      </c>
      <c r="L1383">
        <f t="shared" si="85"/>
        <v>278.27999999999997</v>
      </c>
      <c r="M1383">
        <f t="shared" si="86"/>
        <v>278.27999999999997</v>
      </c>
      <c r="N1383" s="5" t="str">
        <f t="shared" si="87"/>
        <v>July 2022</v>
      </c>
    </row>
    <row r="1384" spans="1:14" x14ac:dyDescent="0.25">
      <c r="A1384" s="1">
        <v>44768</v>
      </c>
      <c r="B1384" t="s">
        <v>505</v>
      </c>
      <c r="C1384">
        <v>41</v>
      </c>
      <c r="D1384" t="s">
        <v>9</v>
      </c>
      <c r="E1384" t="s">
        <v>22</v>
      </c>
      <c r="F1384" t="s">
        <v>11</v>
      </c>
      <c r="G1384" t="s">
        <v>27</v>
      </c>
      <c r="H1384">
        <v>34.880000000000003</v>
      </c>
      <c r="I1384" s="8" t="str" cm="1">
        <f t="array" ref="I1384">_xlfn.IFS(C1384&lt;=15,"Children and Young Adolescents", C1384&gt;64, "Seniors", TRUE, "Working Age")</f>
        <v>Working Age</v>
      </c>
      <c r="J1384" s="6">
        <f>VLOOKUP(F1384,Analysis!$F$1:$G$5,2,FALSE)</f>
        <v>2503.6022787783854</v>
      </c>
      <c r="K1384">
        <f t="shared" si="84"/>
        <v>38.36</v>
      </c>
      <c r="L1384">
        <f t="shared" si="85"/>
        <v>38.369999999999997</v>
      </c>
      <c r="M1384">
        <f t="shared" si="86"/>
        <v>38.369999999999997</v>
      </c>
      <c r="N1384" s="5" t="str">
        <f t="shared" si="87"/>
        <v>July 2022</v>
      </c>
    </row>
    <row r="1385" spans="1:14" x14ac:dyDescent="0.25">
      <c r="A1385" s="1">
        <v>44768</v>
      </c>
      <c r="B1385" t="s">
        <v>1484</v>
      </c>
      <c r="C1385">
        <v>81</v>
      </c>
      <c r="D1385" t="s">
        <v>21</v>
      </c>
      <c r="E1385" t="s">
        <v>22</v>
      </c>
      <c r="F1385" t="s">
        <v>23</v>
      </c>
      <c r="G1385" t="s">
        <v>17</v>
      </c>
      <c r="H1385">
        <v>4014.97</v>
      </c>
      <c r="I1385" s="8" t="str" cm="1">
        <f t="array" ref="I1385">_xlfn.IFS(C1385&lt;=15,"Children and Young Adolescents", C1385&gt;64, "Seniors", TRUE, "Working Age")</f>
        <v>Seniors</v>
      </c>
      <c r="J1385" s="6">
        <f>VLOOKUP(F1385,Analysis!$F$1:$G$5,2,FALSE)</f>
        <v>2440.2966694490838</v>
      </c>
      <c r="K1385">
        <f t="shared" si="84"/>
        <v>4416.46</v>
      </c>
      <c r="L1385">
        <f t="shared" si="85"/>
        <v>4416.47</v>
      </c>
      <c r="M1385">
        <f t="shared" si="86"/>
        <v>4416.47</v>
      </c>
      <c r="N1385" s="5" t="str">
        <f t="shared" si="87"/>
        <v>July 2022</v>
      </c>
    </row>
    <row r="1386" spans="1:14" x14ac:dyDescent="0.25">
      <c r="A1386" s="1">
        <v>44769</v>
      </c>
      <c r="B1386" t="s">
        <v>1648</v>
      </c>
      <c r="C1386">
        <v>32</v>
      </c>
      <c r="D1386" t="s">
        <v>9</v>
      </c>
      <c r="E1386" t="s">
        <v>10</v>
      </c>
      <c r="F1386" t="s">
        <v>29</v>
      </c>
      <c r="G1386" t="s">
        <v>39</v>
      </c>
      <c r="H1386">
        <v>835.27</v>
      </c>
      <c r="I1386" s="8" t="str" cm="1">
        <f t="array" ref="I1386">_xlfn.IFS(C1386&lt;=15,"Children and Young Adolescents", C1386&gt;64, "Seniors", TRUE, "Working Age")</f>
        <v>Working Age</v>
      </c>
      <c r="J1386" s="6">
        <f>VLOOKUP(F1386,Analysis!$F$1:$G$5,2,FALSE)</f>
        <v>2496.7676064256989</v>
      </c>
      <c r="K1386">
        <f t="shared" si="84"/>
        <v>918.79</v>
      </c>
      <c r="L1386">
        <f t="shared" si="85"/>
        <v>918.8</v>
      </c>
      <c r="M1386">
        <f t="shared" si="86"/>
        <v>918.8</v>
      </c>
      <c r="N1386" s="5" t="str">
        <f t="shared" si="87"/>
        <v>July 2022</v>
      </c>
    </row>
    <row r="1387" spans="1:14" x14ac:dyDescent="0.25">
      <c r="A1387" s="1">
        <v>44769</v>
      </c>
      <c r="B1387" t="s">
        <v>3655</v>
      </c>
      <c r="C1387">
        <v>79</v>
      </c>
      <c r="D1387" t="s">
        <v>9</v>
      </c>
      <c r="E1387" t="s">
        <v>5032</v>
      </c>
      <c r="F1387" t="s">
        <v>29</v>
      </c>
      <c r="G1387" t="s">
        <v>27</v>
      </c>
      <c r="H1387">
        <v>4705.7299999999996</v>
      </c>
      <c r="I1387" s="8" t="str" cm="1">
        <f t="array" ref="I1387">_xlfn.IFS(C1387&lt;=15,"Children and Young Adolescents", C1387&gt;64, "Seniors", TRUE, "Working Age")</f>
        <v>Seniors</v>
      </c>
      <c r="J1387" s="6">
        <f>VLOOKUP(F1387,Analysis!$F$1:$G$5,2,FALSE)</f>
        <v>2496.7676064256989</v>
      </c>
      <c r="K1387">
        <f t="shared" si="84"/>
        <v>5176.3</v>
      </c>
      <c r="L1387">
        <f t="shared" si="85"/>
        <v>5176.3100000000004</v>
      </c>
      <c r="M1387">
        <f t="shared" si="86"/>
        <v>5176.3</v>
      </c>
      <c r="N1387" s="5" t="str">
        <f t="shared" si="87"/>
        <v>July 2022</v>
      </c>
    </row>
    <row r="1388" spans="1:14" x14ac:dyDescent="0.25">
      <c r="A1388" s="1">
        <v>44769</v>
      </c>
      <c r="B1388" t="s">
        <v>2471</v>
      </c>
      <c r="C1388">
        <v>54</v>
      </c>
      <c r="D1388" t="s">
        <v>9</v>
      </c>
      <c r="E1388" t="s">
        <v>15</v>
      </c>
      <c r="F1388" t="s">
        <v>16</v>
      </c>
      <c r="G1388" t="s">
        <v>39</v>
      </c>
      <c r="H1388">
        <v>2424.66</v>
      </c>
      <c r="I1388" s="8" t="str" cm="1">
        <f t="array" ref="I1388">_xlfn.IFS(C1388&lt;=15,"Children and Young Adolescents", C1388&gt;64, "Seniors", TRUE, "Working Age")</f>
        <v>Working Age</v>
      </c>
      <c r="J1388" s="6">
        <f>VLOOKUP(F1388,Analysis!$F$1:$G$5,2,FALSE)</f>
        <v>2509.1716796874912</v>
      </c>
      <c r="K1388">
        <f t="shared" si="84"/>
        <v>2667.12</v>
      </c>
      <c r="L1388">
        <f t="shared" si="85"/>
        <v>2667.13</v>
      </c>
      <c r="M1388">
        <f t="shared" si="86"/>
        <v>2667.13</v>
      </c>
      <c r="N1388" s="5" t="str">
        <f t="shared" si="87"/>
        <v>July 2022</v>
      </c>
    </row>
    <row r="1389" spans="1:14" x14ac:dyDescent="0.25">
      <c r="A1389" s="1">
        <v>44769</v>
      </c>
      <c r="B1389" t="s">
        <v>4327</v>
      </c>
      <c r="C1389">
        <v>43</v>
      </c>
      <c r="D1389" t="s">
        <v>21</v>
      </c>
      <c r="E1389" t="s">
        <v>19</v>
      </c>
      <c r="F1389" t="s">
        <v>11</v>
      </c>
      <c r="G1389" t="s">
        <v>12</v>
      </c>
      <c r="H1389">
        <v>2877.52</v>
      </c>
      <c r="I1389" s="8" t="str" cm="1">
        <f t="array" ref="I1389">_xlfn.IFS(C1389&lt;=15,"Children and Young Adolescents", C1389&gt;64, "Seniors", TRUE, "Working Age")</f>
        <v>Working Age</v>
      </c>
      <c r="J1389" s="6">
        <f>VLOOKUP(F1389,Analysis!$F$1:$G$5,2,FALSE)</f>
        <v>2503.6022787783854</v>
      </c>
      <c r="K1389">
        <f t="shared" si="84"/>
        <v>3165.27</v>
      </c>
      <c r="L1389">
        <f t="shared" si="85"/>
        <v>3165.28</v>
      </c>
      <c r="M1389">
        <f t="shared" si="86"/>
        <v>3165.27</v>
      </c>
      <c r="N1389" s="5" t="str">
        <f t="shared" si="87"/>
        <v>July 2022</v>
      </c>
    </row>
    <row r="1390" spans="1:14" x14ac:dyDescent="0.25">
      <c r="A1390" s="1">
        <v>44769</v>
      </c>
      <c r="B1390" t="s">
        <v>2882</v>
      </c>
      <c r="C1390">
        <v>33</v>
      </c>
      <c r="D1390" t="s">
        <v>21</v>
      </c>
      <c r="E1390" t="s">
        <v>15</v>
      </c>
      <c r="F1390" t="s">
        <v>16</v>
      </c>
      <c r="G1390" t="s">
        <v>17</v>
      </c>
      <c r="H1390">
        <v>80.98</v>
      </c>
      <c r="I1390" s="8" t="str" cm="1">
        <f t="array" ref="I1390">_xlfn.IFS(C1390&lt;=15,"Children and Young Adolescents", C1390&gt;64, "Seniors", TRUE, "Working Age")</f>
        <v>Working Age</v>
      </c>
      <c r="J1390" s="6">
        <f>VLOOKUP(F1390,Analysis!$F$1:$G$5,2,FALSE)</f>
        <v>2509.1716796874912</v>
      </c>
      <c r="K1390">
        <f t="shared" si="84"/>
        <v>89.07</v>
      </c>
      <c r="L1390">
        <f t="shared" si="85"/>
        <v>89.08</v>
      </c>
      <c r="M1390">
        <f t="shared" si="86"/>
        <v>89.08</v>
      </c>
      <c r="N1390" s="5" t="str">
        <f t="shared" si="87"/>
        <v>July 2022</v>
      </c>
    </row>
    <row r="1391" spans="1:14" x14ac:dyDescent="0.25">
      <c r="A1391" s="1">
        <v>44770</v>
      </c>
      <c r="B1391" t="s">
        <v>4001</v>
      </c>
      <c r="C1391">
        <v>34</v>
      </c>
      <c r="D1391" t="s">
        <v>9</v>
      </c>
      <c r="E1391" t="s">
        <v>15</v>
      </c>
      <c r="F1391" t="s">
        <v>29</v>
      </c>
      <c r="G1391" t="s">
        <v>17</v>
      </c>
      <c r="H1391">
        <v>2194.11</v>
      </c>
      <c r="I1391" s="8" t="str" cm="1">
        <f t="array" ref="I1391">_xlfn.IFS(C1391&lt;=15,"Children and Young Adolescents", C1391&gt;64, "Seniors", TRUE, "Working Age")</f>
        <v>Working Age</v>
      </c>
      <c r="J1391" s="6">
        <f>VLOOKUP(F1391,Analysis!$F$1:$G$5,2,FALSE)</f>
        <v>2496.7676064256989</v>
      </c>
      <c r="K1391">
        <f t="shared" si="84"/>
        <v>2413.52</v>
      </c>
      <c r="L1391">
        <f t="shared" si="85"/>
        <v>2413.5300000000002</v>
      </c>
      <c r="M1391">
        <f t="shared" si="86"/>
        <v>2413.52</v>
      </c>
      <c r="N1391" s="5" t="str">
        <f t="shared" si="87"/>
        <v>July 2022</v>
      </c>
    </row>
    <row r="1392" spans="1:14" x14ac:dyDescent="0.25">
      <c r="A1392" s="1">
        <v>44770</v>
      </c>
      <c r="B1392" t="s">
        <v>1711</v>
      </c>
      <c r="C1392">
        <v>42</v>
      </c>
      <c r="D1392" t="s">
        <v>21</v>
      </c>
      <c r="E1392" t="s">
        <v>34</v>
      </c>
      <c r="F1392" t="s">
        <v>23</v>
      </c>
      <c r="G1392" t="s">
        <v>36</v>
      </c>
      <c r="H1392">
        <v>2692.66</v>
      </c>
      <c r="I1392" s="8" t="str" cm="1">
        <f t="array" ref="I1392">_xlfn.IFS(C1392&lt;=15,"Children and Young Adolescents", C1392&gt;64, "Seniors", TRUE, "Working Age")</f>
        <v>Working Age</v>
      </c>
      <c r="J1392" s="6">
        <f>VLOOKUP(F1392,Analysis!$F$1:$G$5,2,FALSE)</f>
        <v>2440.2966694490838</v>
      </c>
      <c r="K1392">
        <f t="shared" si="84"/>
        <v>2961.92</v>
      </c>
      <c r="L1392">
        <f t="shared" si="85"/>
        <v>2961.9300000000003</v>
      </c>
      <c r="M1392">
        <f t="shared" si="86"/>
        <v>2961.93</v>
      </c>
      <c r="N1392" s="5" t="str">
        <f t="shared" si="87"/>
        <v>July 2022</v>
      </c>
    </row>
    <row r="1393" spans="1:14" x14ac:dyDescent="0.25">
      <c r="A1393" s="1">
        <v>44770</v>
      </c>
      <c r="B1393" t="s">
        <v>145</v>
      </c>
      <c r="C1393">
        <v>2</v>
      </c>
      <c r="D1393" t="s">
        <v>21</v>
      </c>
      <c r="E1393" t="s">
        <v>15</v>
      </c>
      <c r="F1393" t="s">
        <v>11</v>
      </c>
      <c r="G1393" t="s">
        <v>27</v>
      </c>
      <c r="H1393">
        <v>4804.88</v>
      </c>
      <c r="I1393" s="8" t="str" cm="1">
        <f t="array" ref="I1393">_xlfn.IFS(C1393&lt;=15,"Children and Young Adolescents", C1393&gt;64, "Seniors", TRUE, "Working Age")</f>
        <v>Children and Young Adolescents</v>
      </c>
      <c r="J1393" s="6">
        <f>VLOOKUP(F1393,Analysis!$F$1:$G$5,2,FALSE)</f>
        <v>2503.6022787783854</v>
      </c>
      <c r="K1393">
        <f t="shared" si="84"/>
        <v>5285.36</v>
      </c>
      <c r="L1393">
        <f t="shared" si="85"/>
        <v>5285.37</v>
      </c>
      <c r="M1393">
        <f t="shared" si="86"/>
        <v>5285.37</v>
      </c>
      <c r="N1393" s="5" t="str">
        <f t="shared" si="87"/>
        <v>July 2022</v>
      </c>
    </row>
    <row r="1394" spans="1:14" x14ac:dyDescent="0.25">
      <c r="A1394" s="1">
        <v>44770</v>
      </c>
      <c r="B1394" t="s">
        <v>3061</v>
      </c>
      <c r="C1394">
        <v>78</v>
      </c>
      <c r="D1394" t="s">
        <v>9</v>
      </c>
      <c r="E1394" t="s">
        <v>19</v>
      </c>
      <c r="F1394" t="s">
        <v>23</v>
      </c>
      <c r="G1394" t="s">
        <v>27</v>
      </c>
      <c r="H1394">
        <v>536.69000000000005</v>
      </c>
      <c r="I1394" s="8" t="str" cm="1">
        <f t="array" ref="I1394">_xlfn.IFS(C1394&lt;=15,"Children and Young Adolescents", C1394&gt;64, "Seniors", TRUE, "Working Age")</f>
        <v>Seniors</v>
      </c>
      <c r="J1394" s="6">
        <f>VLOOKUP(F1394,Analysis!$F$1:$G$5,2,FALSE)</f>
        <v>2440.2966694490838</v>
      </c>
      <c r="K1394">
        <f t="shared" si="84"/>
        <v>590.35</v>
      </c>
      <c r="L1394">
        <f t="shared" si="85"/>
        <v>590.36</v>
      </c>
      <c r="M1394">
        <f t="shared" si="86"/>
        <v>590.36</v>
      </c>
      <c r="N1394" s="5" t="str">
        <f t="shared" si="87"/>
        <v>July 2022</v>
      </c>
    </row>
    <row r="1395" spans="1:14" x14ac:dyDescent="0.25">
      <c r="A1395" s="1">
        <v>44771</v>
      </c>
      <c r="B1395" t="s">
        <v>55</v>
      </c>
      <c r="C1395">
        <v>54</v>
      </c>
      <c r="D1395" t="s">
        <v>21</v>
      </c>
      <c r="E1395" t="s">
        <v>15</v>
      </c>
      <c r="F1395" t="s">
        <v>23</v>
      </c>
      <c r="G1395" t="s">
        <v>17</v>
      </c>
      <c r="H1395">
        <v>3123.31</v>
      </c>
      <c r="I1395" s="8" t="str" cm="1">
        <f t="array" ref="I1395">_xlfn.IFS(C1395&lt;=15,"Children and Young Adolescents", C1395&gt;64, "Seniors", TRUE, "Working Age")</f>
        <v>Working Age</v>
      </c>
      <c r="J1395" s="6">
        <f>VLOOKUP(F1395,Analysis!$F$1:$G$5,2,FALSE)</f>
        <v>2440.2966694490838</v>
      </c>
      <c r="K1395">
        <f t="shared" si="84"/>
        <v>3435.64</v>
      </c>
      <c r="L1395">
        <f t="shared" si="85"/>
        <v>3435.65</v>
      </c>
      <c r="M1395">
        <f t="shared" si="86"/>
        <v>3435.64</v>
      </c>
      <c r="N1395" s="5" t="str">
        <f t="shared" si="87"/>
        <v>July 2022</v>
      </c>
    </row>
    <row r="1396" spans="1:14" x14ac:dyDescent="0.25">
      <c r="A1396" s="1">
        <v>44771</v>
      </c>
      <c r="B1396" t="s">
        <v>1270</v>
      </c>
      <c r="C1396">
        <v>50</v>
      </c>
      <c r="D1396" t="s">
        <v>14</v>
      </c>
      <c r="E1396" t="s">
        <v>10</v>
      </c>
      <c r="F1396" t="s">
        <v>11</v>
      </c>
      <c r="G1396" t="s">
        <v>36</v>
      </c>
      <c r="H1396">
        <v>315.92</v>
      </c>
      <c r="I1396" s="8" t="str" cm="1">
        <f t="array" ref="I1396">_xlfn.IFS(C1396&lt;=15,"Children and Young Adolescents", C1396&gt;64, "Seniors", TRUE, "Working Age")</f>
        <v>Working Age</v>
      </c>
      <c r="J1396" s="6">
        <f>VLOOKUP(F1396,Analysis!$F$1:$G$5,2,FALSE)</f>
        <v>2503.6022787783854</v>
      </c>
      <c r="K1396">
        <f t="shared" si="84"/>
        <v>347.51</v>
      </c>
      <c r="L1396">
        <f t="shared" si="85"/>
        <v>347.52</v>
      </c>
      <c r="M1396">
        <f t="shared" si="86"/>
        <v>347.51</v>
      </c>
      <c r="N1396" s="5" t="str">
        <f t="shared" si="87"/>
        <v>July 2022</v>
      </c>
    </row>
    <row r="1397" spans="1:14" x14ac:dyDescent="0.25">
      <c r="A1397" s="1">
        <v>44771</v>
      </c>
      <c r="B1397" t="s">
        <v>3754</v>
      </c>
      <c r="C1397">
        <v>54</v>
      </c>
      <c r="D1397" t="s">
        <v>9</v>
      </c>
      <c r="E1397" t="s">
        <v>25</v>
      </c>
      <c r="F1397" t="s">
        <v>16</v>
      </c>
      <c r="G1397" t="s">
        <v>17</v>
      </c>
      <c r="H1397">
        <v>3465.79</v>
      </c>
      <c r="I1397" s="8" t="str" cm="1">
        <f t="array" ref="I1397">_xlfn.IFS(C1397&lt;=15,"Children and Young Adolescents", C1397&gt;64, "Seniors", TRUE, "Working Age")</f>
        <v>Working Age</v>
      </c>
      <c r="J1397" s="6">
        <f>VLOOKUP(F1397,Analysis!$F$1:$G$5,2,FALSE)</f>
        <v>2509.1716796874912</v>
      </c>
      <c r="K1397">
        <f t="shared" si="84"/>
        <v>3812.36</v>
      </c>
      <c r="L1397">
        <f t="shared" si="85"/>
        <v>3812.3700000000003</v>
      </c>
      <c r="M1397">
        <f t="shared" si="86"/>
        <v>3812.37</v>
      </c>
      <c r="N1397" s="5" t="str">
        <f t="shared" si="87"/>
        <v>July 2022</v>
      </c>
    </row>
    <row r="1398" spans="1:14" x14ac:dyDescent="0.25">
      <c r="A1398" s="1">
        <v>44771</v>
      </c>
      <c r="B1398" t="s">
        <v>506</v>
      </c>
      <c r="C1398">
        <v>56</v>
      </c>
      <c r="D1398" t="s">
        <v>14</v>
      </c>
      <c r="E1398" t="s">
        <v>22</v>
      </c>
      <c r="F1398" t="s">
        <v>16</v>
      </c>
      <c r="G1398" t="s">
        <v>27</v>
      </c>
      <c r="H1398">
        <v>1692.5</v>
      </c>
      <c r="I1398" s="8" t="str" cm="1">
        <f t="array" ref="I1398">_xlfn.IFS(C1398&lt;=15,"Children and Young Adolescents", C1398&gt;64, "Seniors", TRUE, "Working Age")</f>
        <v>Working Age</v>
      </c>
      <c r="J1398" s="6">
        <f>VLOOKUP(F1398,Analysis!$F$1:$G$5,2,FALSE)</f>
        <v>2509.1716796874912</v>
      </c>
      <c r="K1398">
        <f t="shared" si="84"/>
        <v>1861.75</v>
      </c>
      <c r="L1398">
        <f t="shared" si="85"/>
        <v>1861.75</v>
      </c>
      <c r="M1398">
        <f t="shared" si="86"/>
        <v>1861.75</v>
      </c>
      <c r="N1398" s="5" t="str">
        <f t="shared" si="87"/>
        <v>July 2022</v>
      </c>
    </row>
    <row r="1399" spans="1:14" x14ac:dyDescent="0.25">
      <c r="A1399" s="1">
        <v>44771</v>
      </c>
      <c r="B1399" t="s">
        <v>3716</v>
      </c>
      <c r="C1399">
        <v>23</v>
      </c>
      <c r="D1399" t="s">
        <v>9</v>
      </c>
      <c r="E1399" t="s">
        <v>19</v>
      </c>
      <c r="F1399" t="s">
        <v>23</v>
      </c>
      <c r="G1399" t="s">
        <v>36</v>
      </c>
      <c r="H1399">
        <v>436.77</v>
      </c>
      <c r="I1399" s="8" t="str" cm="1">
        <f t="array" ref="I1399">_xlfn.IFS(C1399&lt;=15,"Children and Young Adolescents", C1399&gt;64, "Seniors", TRUE, "Working Age")</f>
        <v>Working Age</v>
      </c>
      <c r="J1399" s="6">
        <f>VLOOKUP(F1399,Analysis!$F$1:$G$5,2,FALSE)</f>
        <v>2440.2966694490838</v>
      </c>
      <c r="K1399">
        <f t="shared" si="84"/>
        <v>480.44</v>
      </c>
      <c r="L1399">
        <f t="shared" si="85"/>
        <v>480.45</v>
      </c>
      <c r="M1399">
        <f t="shared" si="86"/>
        <v>480.45</v>
      </c>
      <c r="N1399" s="5" t="str">
        <f t="shared" si="87"/>
        <v>July 2022</v>
      </c>
    </row>
    <row r="1400" spans="1:14" x14ac:dyDescent="0.25">
      <c r="A1400" s="1">
        <v>44772</v>
      </c>
      <c r="B1400" t="s">
        <v>2830</v>
      </c>
      <c r="C1400">
        <v>56</v>
      </c>
      <c r="D1400" t="s">
        <v>14</v>
      </c>
      <c r="E1400" t="s">
        <v>32</v>
      </c>
      <c r="F1400" t="s">
        <v>23</v>
      </c>
      <c r="G1400" t="s">
        <v>27</v>
      </c>
      <c r="H1400">
        <v>1407.71</v>
      </c>
      <c r="I1400" s="8" t="str" cm="1">
        <f t="array" ref="I1400">_xlfn.IFS(C1400&lt;=15,"Children and Young Adolescents", C1400&gt;64, "Seniors", TRUE, "Working Age")</f>
        <v>Working Age</v>
      </c>
      <c r="J1400" s="6">
        <f>VLOOKUP(F1400,Analysis!$F$1:$G$5,2,FALSE)</f>
        <v>2440.2966694490838</v>
      </c>
      <c r="K1400">
        <f t="shared" si="84"/>
        <v>1548.48</v>
      </c>
      <c r="L1400">
        <f t="shared" si="85"/>
        <v>1548.49</v>
      </c>
      <c r="M1400">
        <f t="shared" si="86"/>
        <v>1548.48</v>
      </c>
      <c r="N1400" s="5" t="str">
        <f t="shared" si="87"/>
        <v>July 2022</v>
      </c>
    </row>
    <row r="1401" spans="1:14" x14ac:dyDescent="0.25">
      <c r="A1401" s="1">
        <v>44772</v>
      </c>
      <c r="B1401" t="s">
        <v>289</v>
      </c>
      <c r="C1401">
        <v>54</v>
      </c>
      <c r="D1401" t="s">
        <v>9</v>
      </c>
      <c r="E1401" t="s">
        <v>22</v>
      </c>
      <c r="F1401" t="s">
        <v>29</v>
      </c>
      <c r="G1401" t="s">
        <v>27</v>
      </c>
      <c r="H1401">
        <v>4783.5600000000004</v>
      </c>
      <c r="I1401" s="8" t="str" cm="1">
        <f t="array" ref="I1401">_xlfn.IFS(C1401&lt;=15,"Children and Young Adolescents", C1401&gt;64, "Seniors", TRUE, "Working Age")</f>
        <v>Working Age</v>
      </c>
      <c r="J1401" s="6">
        <f>VLOOKUP(F1401,Analysis!$F$1:$G$5,2,FALSE)</f>
        <v>2496.7676064256989</v>
      </c>
      <c r="K1401">
        <f t="shared" si="84"/>
        <v>5261.91</v>
      </c>
      <c r="L1401">
        <f t="shared" si="85"/>
        <v>5261.92</v>
      </c>
      <c r="M1401">
        <f t="shared" si="86"/>
        <v>5261.92</v>
      </c>
      <c r="N1401" s="5" t="str">
        <f t="shared" si="87"/>
        <v>July 2022</v>
      </c>
    </row>
    <row r="1402" spans="1:14" x14ac:dyDescent="0.25">
      <c r="A1402" s="1">
        <v>44772</v>
      </c>
      <c r="B1402" t="s">
        <v>4250</v>
      </c>
      <c r="C1402">
        <v>70</v>
      </c>
      <c r="D1402" t="s">
        <v>9</v>
      </c>
      <c r="E1402" t="s">
        <v>34</v>
      </c>
      <c r="F1402" t="s">
        <v>16</v>
      </c>
      <c r="G1402" t="s">
        <v>12</v>
      </c>
      <c r="H1402">
        <v>1072.58</v>
      </c>
      <c r="I1402" s="8" t="str" cm="1">
        <f t="array" ref="I1402">_xlfn.IFS(C1402&lt;=15,"Children and Young Adolescents", C1402&gt;64, "Seniors", TRUE, "Working Age")</f>
        <v>Seniors</v>
      </c>
      <c r="J1402" s="6">
        <f>VLOOKUP(F1402,Analysis!$F$1:$G$5,2,FALSE)</f>
        <v>2509.1716796874912</v>
      </c>
      <c r="K1402">
        <f t="shared" si="84"/>
        <v>1179.83</v>
      </c>
      <c r="L1402">
        <f t="shared" si="85"/>
        <v>1179.8399999999999</v>
      </c>
      <c r="M1402">
        <f t="shared" si="86"/>
        <v>1179.8399999999999</v>
      </c>
      <c r="N1402" s="5" t="str">
        <f t="shared" si="87"/>
        <v>July 2022</v>
      </c>
    </row>
    <row r="1403" spans="1:14" x14ac:dyDescent="0.25">
      <c r="A1403" s="1">
        <v>44772</v>
      </c>
      <c r="B1403" t="s">
        <v>3269</v>
      </c>
      <c r="C1403">
        <v>15</v>
      </c>
      <c r="D1403" t="s">
        <v>21</v>
      </c>
      <c r="E1403" t="s">
        <v>25</v>
      </c>
      <c r="F1403" t="s">
        <v>16</v>
      </c>
      <c r="G1403" t="s">
        <v>17</v>
      </c>
      <c r="H1403">
        <v>333.93</v>
      </c>
      <c r="I1403" s="8" t="str" cm="1">
        <f t="array" ref="I1403">_xlfn.IFS(C1403&lt;=15,"Children and Young Adolescents", C1403&gt;64, "Seniors", TRUE, "Working Age")</f>
        <v>Children and Young Adolescents</v>
      </c>
      <c r="J1403" s="6">
        <f>VLOOKUP(F1403,Analysis!$F$1:$G$5,2,FALSE)</f>
        <v>2509.1716796874912</v>
      </c>
      <c r="K1403">
        <f t="shared" si="84"/>
        <v>367.32</v>
      </c>
      <c r="L1403">
        <f t="shared" si="85"/>
        <v>367.33</v>
      </c>
      <c r="M1403">
        <f t="shared" si="86"/>
        <v>367.32</v>
      </c>
      <c r="N1403" s="5" t="str">
        <f t="shared" si="87"/>
        <v>July 2022</v>
      </c>
    </row>
    <row r="1404" spans="1:14" x14ac:dyDescent="0.25">
      <c r="A1404" s="1">
        <v>44772</v>
      </c>
      <c r="B1404" t="s">
        <v>768</v>
      </c>
      <c r="C1404">
        <v>39</v>
      </c>
      <c r="D1404" t="s">
        <v>9</v>
      </c>
      <c r="E1404" t="s">
        <v>22</v>
      </c>
      <c r="F1404" t="s">
        <v>11</v>
      </c>
      <c r="G1404" t="s">
        <v>27</v>
      </c>
      <c r="H1404">
        <v>371.93</v>
      </c>
      <c r="I1404" s="8" t="str" cm="1">
        <f t="array" ref="I1404">_xlfn.IFS(C1404&lt;=15,"Children and Young Adolescents", C1404&gt;64, "Seniors", TRUE, "Working Age")</f>
        <v>Working Age</v>
      </c>
      <c r="J1404" s="6">
        <f>VLOOKUP(F1404,Analysis!$F$1:$G$5,2,FALSE)</f>
        <v>2503.6022787783854</v>
      </c>
      <c r="K1404">
        <f t="shared" si="84"/>
        <v>409.12</v>
      </c>
      <c r="L1404">
        <f t="shared" si="85"/>
        <v>409.13</v>
      </c>
      <c r="M1404">
        <f t="shared" si="86"/>
        <v>409.12</v>
      </c>
      <c r="N1404" s="5" t="str">
        <f t="shared" si="87"/>
        <v>July 2022</v>
      </c>
    </row>
    <row r="1405" spans="1:14" x14ac:dyDescent="0.25">
      <c r="A1405" s="1">
        <v>44772</v>
      </c>
      <c r="B1405" t="s">
        <v>1340</v>
      </c>
      <c r="C1405">
        <v>82</v>
      </c>
      <c r="D1405" t="s">
        <v>21</v>
      </c>
      <c r="E1405" t="s">
        <v>25</v>
      </c>
      <c r="F1405" t="s">
        <v>16</v>
      </c>
      <c r="G1405" t="s">
        <v>17</v>
      </c>
      <c r="H1405">
        <v>4064.66</v>
      </c>
      <c r="I1405" s="8" t="str" cm="1">
        <f t="array" ref="I1405">_xlfn.IFS(C1405&lt;=15,"Children and Young Adolescents", C1405&gt;64, "Seniors", TRUE, "Working Age")</f>
        <v>Seniors</v>
      </c>
      <c r="J1405" s="6">
        <f>VLOOKUP(F1405,Analysis!$F$1:$G$5,2,FALSE)</f>
        <v>2509.1716796874912</v>
      </c>
      <c r="K1405">
        <f t="shared" si="84"/>
        <v>4471.12</v>
      </c>
      <c r="L1405">
        <f t="shared" si="85"/>
        <v>4471.13</v>
      </c>
      <c r="M1405">
        <f t="shared" si="86"/>
        <v>4471.13</v>
      </c>
      <c r="N1405" s="5" t="str">
        <f t="shared" si="87"/>
        <v>July 2022</v>
      </c>
    </row>
    <row r="1406" spans="1:14" x14ac:dyDescent="0.25">
      <c r="A1406" s="1">
        <v>44773</v>
      </c>
      <c r="B1406" t="s">
        <v>3354</v>
      </c>
      <c r="C1406">
        <v>26</v>
      </c>
      <c r="D1406" t="s">
        <v>21</v>
      </c>
      <c r="E1406" t="s">
        <v>10</v>
      </c>
      <c r="F1406" t="s">
        <v>11</v>
      </c>
      <c r="G1406" t="s">
        <v>17</v>
      </c>
      <c r="H1406">
        <v>2144.42</v>
      </c>
      <c r="I1406" s="8" t="str" cm="1">
        <f t="array" ref="I1406">_xlfn.IFS(C1406&lt;=15,"Children and Young Adolescents", C1406&gt;64, "Seniors", TRUE, "Working Age")</f>
        <v>Working Age</v>
      </c>
      <c r="J1406" s="6">
        <f>VLOOKUP(F1406,Analysis!$F$1:$G$5,2,FALSE)</f>
        <v>2503.6022787783854</v>
      </c>
      <c r="K1406">
        <f t="shared" si="84"/>
        <v>2358.86</v>
      </c>
      <c r="L1406">
        <f t="shared" si="85"/>
        <v>2358.8700000000003</v>
      </c>
      <c r="M1406">
        <f t="shared" si="86"/>
        <v>2358.86</v>
      </c>
      <c r="N1406" s="5" t="str">
        <f t="shared" si="87"/>
        <v>July 2022</v>
      </c>
    </row>
    <row r="1407" spans="1:14" x14ac:dyDescent="0.25">
      <c r="A1407" s="1">
        <v>44773</v>
      </c>
      <c r="B1407" t="s">
        <v>3958</v>
      </c>
      <c r="C1407">
        <v>96</v>
      </c>
      <c r="D1407" t="s">
        <v>9</v>
      </c>
      <c r="E1407" t="s">
        <v>10</v>
      </c>
      <c r="F1407" t="s">
        <v>23</v>
      </c>
      <c r="G1407" t="s">
        <v>39</v>
      </c>
      <c r="H1407">
        <v>4657.3500000000004</v>
      </c>
      <c r="I1407" s="8" t="str" cm="1">
        <f t="array" ref="I1407">_xlfn.IFS(C1407&lt;=15,"Children and Young Adolescents", C1407&gt;64, "Seniors", TRUE, "Working Age")</f>
        <v>Seniors</v>
      </c>
      <c r="J1407" s="6">
        <f>VLOOKUP(F1407,Analysis!$F$1:$G$5,2,FALSE)</f>
        <v>2440.2966694490838</v>
      </c>
      <c r="K1407">
        <f t="shared" si="84"/>
        <v>5123.08</v>
      </c>
      <c r="L1407">
        <f t="shared" si="85"/>
        <v>5123.09</v>
      </c>
      <c r="M1407">
        <f t="shared" si="86"/>
        <v>5123.09</v>
      </c>
      <c r="N1407" s="5" t="str">
        <f t="shared" si="87"/>
        <v>July 2022</v>
      </c>
    </row>
    <row r="1408" spans="1:14" x14ac:dyDescent="0.25">
      <c r="A1408" s="1">
        <v>44773</v>
      </c>
      <c r="B1408" t="s">
        <v>1035</v>
      </c>
      <c r="C1408">
        <v>34</v>
      </c>
      <c r="D1408" t="s">
        <v>9</v>
      </c>
      <c r="E1408" t="s">
        <v>25</v>
      </c>
      <c r="F1408" t="s">
        <v>16</v>
      </c>
      <c r="G1408" t="s">
        <v>17</v>
      </c>
      <c r="H1408">
        <v>3024.26</v>
      </c>
      <c r="I1408" s="8" t="str" cm="1">
        <f t="array" ref="I1408">_xlfn.IFS(C1408&lt;=15,"Children and Young Adolescents", C1408&gt;64, "Seniors", TRUE, "Working Age")</f>
        <v>Working Age</v>
      </c>
      <c r="J1408" s="6">
        <f>VLOOKUP(F1408,Analysis!$F$1:$G$5,2,FALSE)</f>
        <v>2509.1716796874912</v>
      </c>
      <c r="K1408">
        <f t="shared" si="84"/>
        <v>3326.68</v>
      </c>
      <c r="L1408">
        <f t="shared" si="85"/>
        <v>3326.69</v>
      </c>
      <c r="M1408">
        <f t="shared" si="86"/>
        <v>3326.69</v>
      </c>
      <c r="N1408" s="5" t="str">
        <f t="shared" si="87"/>
        <v>July 2022</v>
      </c>
    </row>
    <row r="1409" spans="1:14" x14ac:dyDescent="0.25">
      <c r="A1409" s="1">
        <v>44774</v>
      </c>
      <c r="B1409" t="s">
        <v>1385</v>
      </c>
      <c r="C1409">
        <v>80</v>
      </c>
      <c r="D1409" t="s">
        <v>14</v>
      </c>
      <c r="E1409" t="s">
        <v>19</v>
      </c>
      <c r="F1409" t="s">
        <v>16</v>
      </c>
      <c r="G1409" t="s">
        <v>5033</v>
      </c>
      <c r="H1409">
        <v>2996.76</v>
      </c>
      <c r="I1409" s="8" t="str" cm="1">
        <f t="array" ref="I1409">_xlfn.IFS(C1409&lt;=15,"Children and Young Adolescents", C1409&gt;64, "Seniors", TRUE, "Working Age")</f>
        <v>Seniors</v>
      </c>
      <c r="J1409" s="6">
        <f>VLOOKUP(F1409,Analysis!$F$1:$G$5,2,FALSE)</f>
        <v>2509.1716796874912</v>
      </c>
      <c r="K1409">
        <f t="shared" si="84"/>
        <v>3296.43</v>
      </c>
      <c r="L1409">
        <f t="shared" si="85"/>
        <v>3296.44</v>
      </c>
      <c r="M1409">
        <f t="shared" si="86"/>
        <v>3296.44</v>
      </c>
      <c r="N1409" s="5" t="str">
        <f t="shared" si="87"/>
        <v>August 2022</v>
      </c>
    </row>
    <row r="1410" spans="1:14" x14ac:dyDescent="0.25">
      <c r="A1410" s="1">
        <v>44774</v>
      </c>
      <c r="B1410" t="s">
        <v>180</v>
      </c>
      <c r="C1410">
        <v>64</v>
      </c>
      <c r="D1410" t="s">
        <v>21</v>
      </c>
      <c r="E1410" t="s">
        <v>19</v>
      </c>
      <c r="F1410" t="s">
        <v>23</v>
      </c>
      <c r="G1410" t="s">
        <v>12</v>
      </c>
      <c r="H1410">
        <v>1104.54</v>
      </c>
      <c r="I1410" s="8" t="str" cm="1">
        <f t="array" ref="I1410">_xlfn.IFS(C1410&lt;=15,"Children and Young Adolescents", C1410&gt;64, "Seniors", TRUE, "Working Age")</f>
        <v>Working Age</v>
      </c>
      <c r="J1410" s="6">
        <f>VLOOKUP(F1410,Analysis!$F$1:$G$5,2,FALSE)</f>
        <v>2440.2966694490838</v>
      </c>
      <c r="K1410">
        <f t="shared" si="84"/>
        <v>1214.99</v>
      </c>
      <c r="L1410">
        <f t="shared" si="85"/>
        <v>1215</v>
      </c>
      <c r="M1410">
        <f t="shared" si="86"/>
        <v>1214.99</v>
      </c>
      <c r="N1410" s="5" t="str">
        <f t="shared" si="87"/>
        <v>August 2022</v>
      </c>
    </row>
    <row r="1411" spans="1:14" x14ac:dyDescent="0.25">
      <c r="A1411" s="1">
        <v>44774</v>
      </c>
      <c r="B1411" t="s">
        <v>4650</v>
      </c>
      <c r="C1411">
        <v>58</v>
      </c>
      <c r="D1411" t="s">
        <v>9</v>
      </c>
      <c r="E1411" t="s">
        <v>25</v>
      </c>
      <c r="F1411" t="s">
        <v>11</v>
      </c>
      <c r="G1411" t="s">
        <v>39</v>
      </c>
      <c r="H1411">
        <v>4328.59</v>
      </c>
      <c r="I1411" s="8" t="str" cm="1">
        <f t="array" ref="I1411">_xlfn.IFS(C1411&lt;=15,"Children and Young Adolescents", C1411&gt;64, "Seniors", TRUE, "Working Age")</f>
        <v>Working Age</v>
      </c>
      <c r="J1411" s="6">
        <f>VLOOKUP(F1411,Analysis!$F$1:$G$5,2,FALSE)</f>
        <v>2503.6022787783854</v>
      </c>
      <c r="K1411">
        <f t="shared" ref="K1411:K1474" si="88">ROUNDDOWN(H1411*1.1,2)</f>
        <v>4761.4399999999996</v>
      </c>
      <c r="L1411">
        <f t="shared" ref="L1411:L1474" si="89">ROUNDUP(H1411*1.1,2)</f>
        <v>4761.45</v>
      </c>
      <c r="M1411">
        <f t="shared" ref="M1411:M1474" si="90">ROUND(H1411*1.1,2)</f>
        <v>4761.45</v>
      </c>
      <c r="N1411" s="5" t="str">
        <f t="shared" ref="N1411:N1474" si="91">TEXT(A1411,"mmmm yyyy")</f>
        <v>August 2022</v>
      </c>
    </row>
    <row r="1412" spans="1:14" x14ac:dyDescent="0.25">
      <c r="A1412" s="1">
        <v>44774</v>
      </c>
      <c r="B1412" t="s">
        <v>3576</v>
      </c>
      <c r="C1412">
        <v>37</v>
      </c>
      <c r="D1412" t="s">
        <v>21</v>
      </c>
      <c r="E1412" t="s">
        <v>15</v>
      </c>
      <c r="F1412" t="s">
        <v>29</v>
      </c>
      <c r="G1412" t="s">
        <v>39</v>
      </c>
      <c r="H1412">
        <v>3655.22</v>
      </c>
      <c r="I1412" s="8" t="str" cm="1">
        <f t="array" ref="I1412">_xlfn.IFS(C1412&lt;=15,"Children and Young Adolescents", C1412&gt;64, "Seniors", TRUE, "Working Age")</f>
        <v>Working Age</v>
      </c>
      <c r="J1412" s="6">
        <f>VLOOKUP(F1412,Analysis!$F$1:$G$5,2,FALSE)</f>
        <v>2496.7676064256989</v>
      </c>
      <c r="K1412">
        <f t="shared" si="88"/>
        <v>4020.74</v>
      </c>
      <c r="L1412">
        <f t="shared" si="89"/>
        <v>4020.75</v>
      </c>
      <c r="M1412">
        <f t="shared" si="90"/>
        <v>4020.74</v>
      </c>
      <c r="N1412" s="5" t="str">
        <f t="shared" si="91"/>
        <v>August 2022</v>
      </c>
    </row>
    <row r="1413" spans="1:14" x14ac:dyDescent="0.25">
      <c r="A1413" s="1">
        <v>44774</v>
      </c>
      <c r="B1413" t="s">
        <v>900</v>
      </c>
      <c r="C1413">
        <v>17</v>
      </c>
      <c r="D1413" t="s">
        <v>14</v>
      </c>
      <c r="E1413" t="s">
        <v>10</v>
      </c>
      <c r="F1413" t="s">
        <v>23</v>
      </c>
      <c r="G1413" t="s">
        <v>36</v>
      </c>
      <c r="H1413">
        <v>4499.13</v>
      </c>
      <c r="I1413" s="8" t="str" cm="1">
        <f t="array" ref="I1413">_xlfn.IFS(C1413&lt;=15,"Children and Young Adolescents", C1413&gt;64, "Seniors", TRUE, "Working Age")</f>
        <v>Working Age</v>
      </c>
      <c r="J1413" s="6">
        <f>VLOOKUP(F1413,Analysis!$F$1:$G$5,2,FALSE)</f>
        <v>2440.2966694490838</v>
      </c>
      <c r="K1413">
        <f t="shared" si="88"/>
        <v>4949.04</v>
      </c>
      <c r="L1413">
        <f t="shared" si="89"/>
        <v>4949.05</v>
      </c>
      <c r="M1413">
        <f t="shared" si="90"/>
        <v>4949.04</v>
      </c>
      <c r="N1413" s="5" t="str">
        <f t="shared" si="91"/>
        <v>August 2022</v>
      </c>
    </row>
    <row r="1414" spans="1:14" x14ac:dyDescent="0.25">
      <c r="A1414" s="1">
        <v>44774</v>
      </c>
      <c r="B1414" t="s">
        <v>3663</v>
      </c>
      <c r="C1414">
        <v>75</v>
      </c>
      <c r="D1414" t="s">
        <v>9</v>
      </c>
      <c r="E1414" t="s">
        <v>34</v>
      </c>
      <c r="F1414" t="s">
        <v>23</v>
      </c>
      <c r="G1414" t="s">
        <v>39</v>
      </c>
      <c r="H1414">
        <v>4537.12</v>
      </c>
      <c r="I1414" s="8" t="str" cm="1">
        <f t="array" ref="I1414">_xlfn.IFS(C1414&lt;=15,"Children and Young Adolescents", C1414&gt;64, "Seniors", TRUE, "Working Age")</f>
        <v>Seniors</v>
      </c>
      <c r="J1414" s="6">
        <f>VLOOKUP(F1414,Analysis!$F$1:$G$5,2,FALSE)</f>
        <v>2440.2966694490838</v>
      </c>
      <c r="K1414">
        <f t="shared" si="88"/>
        <v>4990.83</v>
      </c>
      <c r="L1414">
        <f t="shared" si="89"/>
        <v>4990.84</v>
      </c>
      <c r="M1414">
        <f t="shared" si="90"/>
        <v>4990.83</v>
      </c>
      <c r="N1414" s="5" t="str">
        <f t="shared" si="91"/>
        <v>August 2022</v>
      </c>
    </row>
    <row r="1415" spans="1:14" x14ac:dyDescent="0.25">
      <c r="A1415" s="1">
        <v>44774</v>
      </c>
      <c r="B1415" t="s">
        <v>4974</v>
      </c>
      <c r="C1415">
        <v>71</v>
      </c>
      <c r="D1415" t="s">
        <v>21</v>
      </c>
      <c r="E1415" t="s">
        <v>19</v>
      </c>
      <c r="F1415" t="s">
        <v>29</v>
      </c>
      <c r="G1415" t="s">
        <v>12</v>
      </c>
      <c r="H1415">
        <v>4066.74</v>
      </c>
      <c r="I1415" s="8" t="str" cm="1">
        <f t="array" ref="I1415">_xlfn.IFS(C1415&lt;=15,"Children and Young Adolescents", C1415&gt;64, "Seniors", TRUE, "Working Age")</f>
        <v>Seniors</v>
      </c>
      <c r="J1415" s="6">
        <f>VLOOKUP(F1415,Analysis!$F$1:$G$5,2,FALSE)</f>
        <v>2496.7676064256989</v>
      </c>
      <c r="K1415">
        <f t="shared" si="88"/>
        <v>4473.41</v>
      </c>
      <c r="L1415">
        <f t="shared" si="89"/>
        <v>4473.42</v>
      </c>
      <c r="M1415">
        <f t="shared" si="90"/>
        <v>4473.41</v>
      </c>
      <c r="N1415" s="5" t="str">
        <f t="shared" si="91"/>
        <v>August 2022</v>
      </c>
    </row>
    <row r="1416" spans="1:14" x14ac:dyDescent="0.25">
      <c r="A1416" s="1">
        <v>44774</v>
      </c>
      <c r="B1416" t="s">
        <v>2079</v>
      </c>
      <c r="C1416">
        <v>72</v>
      </c>
      <c r="D1416" t="s">
        <v>21</v>
      </c>
      <c r="E1416" t="s">
        <v>32</v>
      </c>
      <c r="F1416" t="s">
        <v>23</v>
      </c>
      <c r="G1416" t="s">
        <v>39</v>
      </c>
      <c r="H1416">
        <v>2011</v>
      </c>
      <c r="I1416" s="8" t="str" cm="1">
        <f t="array" ref="I1416">_xlfn.IFS(C1416&lt;=15,"Children and Young Adolescents", C1416&gt;64, "Seniors", TRUE, "Working Age")</f>
        <v>Seniors</v>
      </c>
      <c r="J1416" s="6">
        <f>VLOOKUP(F1416,Analysis!$F$1:$G$5,2,FALSE)</f>
        <v>2440.2966694490838</v>
      </c>
      <c r="K1416">
        <f t="shared" si="88"/>
        <v>2212.1</v>
      </c>
      <c r="L1416">
        <f t="shared" si="89"/>
        <v>2212.1</v>
      </c>
      <c r="M1416">
        <f t="shared" si="90"/>
        <v>2212.1</v>
      </c>
      <c r="N1416" s="5" t="str">
        <f t="shared" si="91"/>
        <v>August 2022</v>
      </c>
    </row>
    <row r="1417" spans="1:14" x14ac:dyDescent="0.25">
      <c r="A1417" s="1">
        <v>44775</v>
      </c>
      <c r="B1417" t="s">
        <v>4305</v>
      </c>
      <c r="C1417">
        <v>89</v>
      </c>
      <c r="D1417" t="s">
        <v>9</v>
      </c>
      <c r="E1417" t="s">
        <v>22</v>
      </c>
      <c r="F1417" t="s">
        <v>11</v>
      </c>
      <c r="G1417" t="s">
        <v>17</v>
      </c>
      <c r="H1417">
        <v>3305.81</v>
      </c>
      <c r="I1417" s="8" t="str" cm="1">
        <f t="array" ref="I1417">_xlfn.IFS(C1417&lt;=15,"Children and Young Adolescents", C1417&gt;64, "Seniors", TRUE, "Working Age")</f>
        <v>Seniors</v>
      </c>
      <c r="J1417" s="6">
        <f>VLOOKUP(F1417,Analysis!$F$1:$G$5,2,FALSE)</f>
        <v>2503.6022787783854</v>
      </c>
      <c r="K1417">
        <f t="shared" si="88"/>
        <v>3636.39</v>
      </c>
      <c r="L1417">
        <f t="shared" si="89"/>
        <v>3636.4</v>
      </c>
      <c r="M1417">
        <f t="shared" si="90"/>
        <v>3636.39</v>
      </c>
      <c r="N1417" s="5" t="str">
        <f t="shared" si="91"/>
        <v>August 2022</v>
      </c>
    </row>
    <row r="1418" spans="1:14" x14ac:dyDescent="0.25">
      <c r="A1418" s="1">
        <v>44775</v>
      </c>
      <c r="B1418" t="s">
        <v>3230</v>
      </c>
      <c r="C1418">
        <v>22</v>
      </c>
      <c r="D1418" t="s">
        <v>14</v>
      </c>
      <c r="E1418" t="s">
        <v>19</v>
      </c>
      <c r="F1418" t="s">
        <v>16</v>
      </c>
      <c r="G1418" t="s">
        <v>5033</v>
      </c>
      <c r="H1418">
        <v>1896.28</v>
      </c>
      <c r="I1418" s="8" t="str" cm="1">
        <f t="array" ref="I1418">_xlfn.IFS(C1418&lt;=15,"Children and Young Adolescents", C1418&gt;64, "Seniors", TRUE, "Working Age")</f>
        <v>Working Age</v>
      </c>
      <c r="J1418" s="6">
        <f>VLOOKUP(F1418,Analysis!$F$1:$G$5,2,FALSE)</f>
        <v>2509.1716796874912</v>
      </c>
      <c r="K1418">
        <f t="shared" si="88"/>
        <v>2085.9</v>
      </c>
      <c r="L1418">
        <f t="shared" si="89"/>
        <v>2085.9100000000003</v>
      </c>
      <c r="M1418">
        <f t="shared" si="90"/>
        <v>2085.91</v>
      </c>
      <c r="N1418" s="5" t="str">
        <f t="shared" si="91"/>
        <v>August 2022</v>
      </c>
    </row>
    <row r="1419" spans="1:14" x14ac:dyDescent="0.25">
      <c r="A1419" s="1">
        <v>44775</v>
      </c>
      <c r="B1419" t="s">
        <v>294</v>
      </c>
      <c r="C1419">
        <v>41</v>
      </c>
      <c r="D1419" t="s">
        <v>21</v>
      </c>
      <c r="E1419" t="s">
        <v>5032</v>
      </c>
      <c r="F1419" t="s">
        <v>23</v>
      </c>
      <c r="G1419" t="s">
        <v>39</v>
      </c>
      <c r="H1419">
        <v>2139.06</v>
      </c>
      <c r="I1419" s="8" t="str" cm="1">
        <f t="array" ref="I1419">_xlfn.IFS(C1419&lt;=15,"Children and Young Adolescents", C1419&gt;64, "Seniors", TRUE, "Working Age")</f>
        <v>Working Age</v>
      </c>
      <c r="J1419" s="6">
        <f>VLOOKUP(F1419,Analysis!$F$1:$G$5,2,FALSE)</f>
        <v>2440.2966694490838</v>
      </c>
      <c r="K1419">
        <f t="shared" si="88"/>
        <v>2352.96</v>
      </c>
      <c r="L1419">
        <f t="shared" si="89"/>
        <v>2352.9700000000003</v>
      </c>
      <c r="M1419">
        <f t="shared" si="90"/>
        <v>2352.9699999999998</v>
      </c>
      <c r="N1419" s="5" t="str">
        <f t="shared" si="91"/>
        <v>August 2022</v>
      </c>
    </row>
    <row r="1420" spans="1:14" x14ac:dyDescent="0.25">
      <c r="A1420" s="1">
        <v>44775</v>
      </c>
      <c r="B1420" t="s">
        <v>1485</v>
      </c>
      <c r="C1420">
        <v>42</v>
      </c>
      <c r="D1420" t="s">
        <v>14</v>
      </c>
      <c r="E1420" t="s">
        <v>19</v>
      </c>
      <c r="F1420" t="s">
        <v>16</v>
      </c>
      <c r="G1420" t="s">
        <v>17</v>
      </c>
      <c r="H1420">
        <v>634.27</v>
      </c>
      <c r="I1420" s="8" t="str" cm="1">
        <f t="array" ref="I1420">_xlfn.IFS(C1420&lt;=15,"Children and Young Adolescents", C1420&gt;64, "Seniors", TRUE, "Working Age")</f>
        <v>Working Age</v>
      </c>
      <c r="J1420" s="6">
        <f>VLOOKUP(F1420,Analysis!$F$1:$G$5,2,FALSE)</f>
        <v>2509.1716796874912</v>
      </c>
      <c r="K1420">
        <f t="shared" si="88"/>
        <v>697.69</v>
      </c>
      <c r="L1420">
        <f t="shared" si="89"/>
        <v>697.7</v>
      </c>
      <c r="M1420">
        <f t="shared" si="90"/>
        <v>697.7</v>
      </c>
      <c r="N1420" s="5" t="str">
        <f t="shared" si="91"/>
        <v>August 2022</v>
      </c>
    </row>
    <row r="1421" spans="1:14" x14ac:dyDescent="0.25">
      <c r="A1421" s="1">
        <v>44775</v>
      </c>
      <c r="B1421" t="s">
        <v>224</v>
      </c>
      <c r="C1421">
        <v>75</v>
      </c>
      <c r="D1421" t="s">
        <v>21</v>
      </c>
      <c r="E1421" t="s">
        <v>10</v>
      </c>
      <c r="F1421" t="s">
        <v>16</v>
      </c>
      <c r="G1421" t="s">
        <v>39</v>
      </c>
      <c r="H1421">
        <v>3907.71</v>
      </c>
      <c r="I1421" s="8" t="str" cm="1">
        <f t="array" ref="I1421">_xlfn.IFS(C1421&lt;=15,"Children and Young Adolescents", C1421&gt;64, "Seniors", TRUE, "Working Age")</f>
        <v>Seniors</v>
      </c>
      <c r="J1421" s="6">
        <f>VLOOKUP(F1421,Analysis!$F$1:$G$5,2,FALSE)</f>
        <v>2509.1716796874912</v>
      </c>
      <c r="K1421">
        <f t="shared" si="88"/>
        <v>4298.4799999999996</v>
      </c>
      <c r="L1421">
        <f t="shared" si="89"/>
        <v>4298.49</v>
      </c>
      <c r="M1421">
        <f t="shared" si="90"/>
        <v>4298.4799999999996</v>
      </c>
      <c r="N1421" s="5" t="str">
        <f t="shared" si="91"/>
        <v>August 2022</v>
      </c>
    </row>
    <row r="1422" spans="1:14" x14ac:dyDescent="0.25">
      <c r="A1422" s="1">
        <v>44775</v>
      </c>
      <c r="B1422" t="s">
        <v>3130</v>
      </c>
      <c r="C1422">
        <v>94</v>
      </c>
      <c r="D1422" t="s">
        <v>9</v>
      </c>
      <c r="E1422" t="s">
        <v>22</v>
      </c>
      <c r="F1422" t="s">
        <v>23</v>
      </c>
      <c r="G1422" t="s">
        <v>36</v>
      </c>
      <c r="H1422">
        <v>1979.22</v>
      </c>
      <c r="I1422" s="8" t="str" cm="1">
        <f t="array" ref="I1422">_xlfn.IFS(C1422&lt;=15,"Children and Young Adolescents", C1422&gt;64, "Seniors", TRUE, "Working Age")</f>
        <v>Seniors</v>
      </c>
      <c r="J1422" s="6">
        <f>VLOOKUP(F1422,Analysis!$F$1:$G$5,2,FALSE)</f>
        <v>2440.2966694490838</v>
      </c>
      <c r="K1422">
        <f t="shared" si="88"/>
        <v>2177.14</v>
      </c>
      <c r="L1422">
        <f t="shared" si="89"/>
        <v>2177.15</v>
      </c>
      <c r="M1422">
        <f t="shared" si="90"/>
        <v>2177.14</v>
      </c>
      <c r="N1422" s="5" t="str">
        <f t="shared" si="91"/>
        <v>August 2022</v>
      </c>
    </row>
    <row r="1423" spans="1:14" x14ac:dyDescent="0.25">
      <c r="A1423" s="1">
        <v>44776</v>
      </c>
      <c r="B1423" t="s">
        <v>2929</v>
      </c>
      <c r="C1423">
        <v>25</v>
      </c>
      <c r="D1423" t="s">
        <v>14</v>
      </c>
      <c r="E1423" t="s">
        <v>32</v>
      </c>
      <c r="F1423" t="s">
        <v>23</v>
      </c>
      <c r="G1423" t="s">
        <v>36</v>
      </c>
      <c r="H1423">
        <v>4529.8999999999996</v>
      </c>
      <c r="I1423" s="8" t="str" cm="1">
        <f t="array" ref="I1423">_xlfn.IFS(C1423&lt;=15,"Children and Young Adolescents", C1423&gt;64, "Seniors", TRUE, "Working Age")</f>
        <v>Working Age</v>
      </c>
      <c r="J1423" s="6">
        <f>VLOOKUP(F1423,Analysis!$F$1:$G$5,2,FALSE)</f>
        <v>2440.2966694490838</v>
      </c>
      <c r="K1423">
        <f t="shared" si="88"/>
        <v>4982.8900000000003</v>
      </c>
      <c r="L1423">
        <f t="shared" si="89"/>
        <v>4982.8900000000003</v>
      </c>
      <c r="M1423">
        <f t="shared" si="90"/>
        <v>4982.8900000000003</v>
      </c>
      <c r="N1423" s="5" t="str">
        <f t="shared" si="91"/>
        <v>August 2022</v>
      </c>
    </row>
    <row r="1424" spans="1:14" x14ac:dyDescent="0.25">
      <c r="A1424" s="1">
        <v>44776</v>
      </c>
      <c r="B1424" t="s">
        <v>3185</v>
      </c>
      <c r="C1424">
        <v>73</v>
      </c>
      <c r="D1424" t="s">
        <v>21</v>
      </c>
      <c r="E1424" t="s">
        <v>15</v>
      </c>
      <c r="F1424" t="s">
        <v>29</v>
      </c>
      <c r="G1424" t="s">
        <v>39</v>
      </c>
      <c r="H1424">
        <v>1875.54</v>
      </c>
      <c r="I1424" s="8" t="str" cm="1">
        <f t="array" ref="I1424">_xlfn.IFS(C1424&lt;=15,"Children and Young Adolescents", C1424&gt;64, "Seniors", TRUE, "Working Age")</f>
        <v>Seniors</v>
      </c>
      <c r="J1424" s="6">
        <f>VLOOKUP(F1424,Analysis!$F$1:$G$5,2,FALSE)</f>
        <v>2496.7676064256989</v>
      </c>
      <c r="K1424">
        <f t="shared" si="88"/>
        <v>2063.09</v>
      </c>
      <c r="L1424">
        <f t="shared" si="89"/>
        <v>2063.1000000000004</v>
      </c>
      <c r="M1424">
        <f t="shared" si="90"/>
        <v>2063.09</v>
      </c>
      <c r="N1424" s="5" t="str">
        <f t="shared" si="91"/>
        <v>August 2022</v>
      </c>
    </row>
    <row r="1425" spans="1:14" x14ac:dyDescent="0.25">
      <c r="A1425" s="1">
        <v>44776</v>
      </c>
      <c r="B1425" t="s">
        <v>3680</v>
      </c>
      <c r="C1425">
        <v>17</v>
      </c>
      <c r="D1425" t="s">
        <v>21</v>
      </c>
      <c r="E1425" t="s">
        <v>25</v>
      </c>
      <c r="F1425" t="s">
        <v>23</v>
      </c>
      <c r="G1425" t="s">
        <v>36</v>
      </c>
      <c r="H1425">
        <v>241.91</v>
      </c>
      <c r="I1425" s="8" t="str" cm="1">
        <f t="array" ref="I1425">_xlfn.IFS(C1425&lt;=15,"Children and Young Adolescents", C1425&gt;64, "Seniors", TRUE, "Working Age")</f>
        <v>Working Age</v>
      </c>
      <c r="J1425" s="6">
        <f>VLOOKUP(F1425,Analysis!$F$1:$G$5,2,FALSE)</f>
        <v>2440.2966694490838</v>
      </c>
      <c r="K1425">
        <f t="shared" si="88"/>
        <v>266.10000000000002</v>
      </c>
      <c r="L1425">
        <f t="shared" si="89"/>
        <v>266.11</v>
      </c>
      <c r="M1425">
        <f t="shared" si="90"/>
        <v>266.10000000000002</v>
      </c>
      <c r="N1425" s="5" t="str">
        <f t="shared" si="91"/>
        <v>August 2022</v>
      </c>
    </row>
    <row r="1426" spans="1:14" x14ac:dyDescent="0.25">
      <c r="A1426" s="1">
        <v>44776</v>
      </c>
      <c r="B1426" t="s">
        <v>126</v>
      </c>
      <c r="C1426">
        <v>72</v>
      </c>
      <c r="D1426" t="s">
        <v>14</v>
      </c>
      <c r="E1426" t="s">
        <v>34</v>
      </c>
      <c r="F1426" t="s">
        <v>11</v>
      </c>
      <c r="G1426" t="s">
        <v>39</v>
      </c>
      <c r="H1426">
        <v>1090.5999999999999</v>
      </c>
      <c r="I1426" s="8" t="str" cm="1">
        <f t="array" ref="I1426">_xlfn.IFS(C1426&lt;=15,"Children and Young Adolescents", C1426&gt;64, "Seniors", TRUE, "Working Age")</f>
        <v>Seniors</v>
      </c>
      <c r="J1426" s="6">
        <f>VLOOKUP(F1426,Analysis!$F$1:$G$5,2,FALSE)</f>
        <v>2503.6022787783854</v>
      </c>
      <c r="K1426">
        <f t="shared" si="88"/>
        <v>1199.6600000000001</v>
      </c>
      <c r="L1426">
        <f t="shared" si="89"/>
        <v>1199.6600000000001</v>
      </c>
      <c r="M1426">
        <f t="shared" si="90"/>
        <v>1199.6600000000001</v>
      </c>
      <c r="N1426" s="5" t="str">
        <f t="shared" si="91"/>
        <v>August 2022</v>
      </c>
    </row>
    <row r="1427" spans="1:14" x14ac:dyDescent="0.25">
      <c r="A1427" s="1">
        <v>44776</v>
      </c>
      <c r="B1427" t="s">
        <v>2692</v>
      </c>
      <c r="C1427">
        <v>31</v>
      </c>
      <c r="D1427" t="s">
        <v>14</v>
      </c>
      <c r="E1427" t="s">
        <v>32</v>
      </c>
      <c r="F1427" t="s">
        <v>23</v>
      </c>
      <c r="G1427" t="s">
        <v>12</v>
      </c>
      <c r="H1427">
        <v>2608.9299999999998</v>
      </c>
      <c r="I1427" s="8" t="str" cm="1">
        <f t="array" ref="I1427">_xlfn.IFS(C1427&lt;=15,"Children and Young Adolescents", C1427&gt;64, "Seniors", TRUE, "Working Age")</f>
        <v>Working Age</v>
      </c>
      <c r="J1427" s="6">
        <f>VLOOKUP(F1427,Analysis!$F$1:$G$5,2,FALSE)</f>
        <v>2440.2966694490838</v>
      </c>
      <c r="K1427">
        <f t="shared" si="88"/>
        <v>2869.82</v>
      </c>
      <c r="L1427">
        <f t="shared" si="89"/>
        <v>2869.8300000000004</v>
      </c>
      <c r="M1427">
        <f t="shared" si="90"/>
        <v>2869.82</v>
      </c>
      <c r="N1427" s="5" t="str">
        <f t="shared" si="91"/>
        <v>August 2022</v>
      </c>
    </row>
    <row r="1428" spans="1:14" x14ac:dyDescent="0.25">
      <c r="A1428" s="1">
        <v>44776</v>
      </c>
      <c r="B1428" t="s">
        <v>575</v>
      </c>
      <c r="C1428">
        <v>81</v>
      </c>
      <c r="D1428" t="s">
        <v>9</v>
      </c>
      <c r="E1428" t="s">
        <v>10</v>
      </c>
      <c r="F1428" t="s">
        <v>11</v>
      </c>
      <c r="G1428" t="s">
        <v>17</v>
      </c>
      <c r="H1428">
        <v>4754.93</v>
      </c>
      <c r="I1428" s="8" t="str" cm="1">
        <f t="array" ref="I1428">_xlfn.IFS(C1428&lt;=15,"Children and Young Adolescents", C1428&gt;64, "Seniors", TRUE, "Working Age")</f>
        <v>Seniors</v>
      </c>
      <c r="J1428" s="6">
        <f>VLOOKUP(F1428,Analysis!$F$1:$G$5,2,FALSE)</f>
        <v>2503.6022787783854</v>
      </c>
      <c r="K1428">
        <f t="shared" si="88"/>
        <v>5230.42</v>
      </c>
      <c r="L1428">
        <f t="shared" si="89"/>
        <v>5230.43</v>
      </c>
      <c r="M1428">
        <f t="shared" si="90"/>
        <v>5230.42</v>
      </c>
      <c r="N1428" s="5" t="str">
        <f t="shared" si="91"/>
        <v>August 2022</v>
      </c>
    </row>
    <row r="1429" spans="1:14" x14ac:dyDescent="0.25">
      <c r="A1429" s="1">
        <v>44776</v>
      </c>
      <c r="B1429" t="s">
        <v>2016</v>
      </c>
      <c r="C1429">
        <v>38</v>
      </c>
      <c r="D1429" t="s">
        <v>14</v>
      </c>
      <c r="E1429" t="s">
        <v>32</v>
      </c>
      <c r="F1429" t="s">
        <v>23</v>
      </c>
      <c r="G1429" t="s">
        <v>17</v>
      </c>
      <c r="H1429">
        <v>4974.0600000000004</v>
      </c>
      <c r="I1429" s="8" t="str" cm="1">
        <f t="array" ref="I1429">_xlfn.IFS(C1429&lt;=15,"Children and Young Adolescents", C1429&gt;64, "Seniors", TRUE, "Working Age")</f>
        <v>Working Age</v>
      </c>
      <c r="J1429" s="6">
        <f>VLOOKUP(F1429,Analysis!$F$1:$G$5,2,FALSE)</f>
        <v>2440.2966694490838</v>
      </c>
      <c r="K1429">
        <f t="shared" si="88"/>
        <v>5471.46</v>
      </c>
      <c r="L1429">
        <f t="shared" si="89"/>
        <v>5471.47</v>
      </c>
      <c r="M1429">
        <f t="shared" si="90"/>
        <v>5471.47</v>
      </c>
      <c r="N1429" s="5" t="str">
        <f t="shared" si="91"/>
        <v>August 2022</v>
      </c>
    </row>
    <row r="1430" spans="1:14" x14ac:dyDescent="0.25">
      <c r="A1430" s="1">
        <v>44776</v>
      </c>
      <c r="B1430" t="s">
        <v>1635</v>
      </c>
      <c r="C1430">
        <v>71</v>
      </c>
      <c r="D1430" t="s">
        <v>14</v>
      </c>
      <c r="E1430" t="s">
        <v>15</v>
      </c>
      <c r="F1430" t="s">
        <v>23</v>
      </c>
      <c r="G1430" t="s">
        <v>17</v>
      </c>
      <c r="H1430">
        <v>4924.46</v>
      </c>
      <c r="I1430" s="8" t="str" cm="1">
        <f t="array" ref="I1430">_xlfn.IFS(C1430&lt;=15,"Children and Young Adolescents", C1430&gt;64, "Seniors", TRUE, "Working Age")</f>
        <v>Seniors</v>
      </c>
      <c r="J1430" s="6">
        <f>VLOOKUP(F1430,Analysis!$F$1:$G$5,2,FALSE)</f>
        <v>2440.2966694490838</v>
      </c>
      <c r="K1430">
        <f t="shared" si="88"/>
        <v>5416.9</v>
      </c>
      <c r="L1430">
        <f t="shared" si="89"/>
        <v>5416.91</v>
      </c>
      <c r="M1430">
        <f t="shared" si="90"/>
        <v>5416.91</v>
      </c>
      <c r="N1430" s="5" t="str">
        <f t="shared" si="91"/>
        <v>August 2022</v>
      </c>
    </row>
    <row r="1431" spans="1:14" x14ac:dyDescent="0.25">
      <c r="A1431" s="1">
        <v>44776</v>
      </c>
      <c r="B1431" t="s">
        <v>1903</v>
      </c>
      <c r="C1431">
        <v>12</v>
      </c>
      <c r="D1431" t="s">
        <v>9</v>
      </c>
      <c r="E1431" t="s">
        <v>15</v>
      </c>
      <c r="F1431" t="s">
        <v>16</v>
      </c>
      <c r="G1431" t="s">
        <v>36</v>
      </c>
      <c r="H1431">
        <v>3486.6</v>
      </c>
      <c r="I1431" s="8" t="str" cm="1">
        <f t="array" ref="I1431">_xlfn.IFS(C1431&lt;=15,"Children and Young Adolescents", C1431&gt;64, "Seniors", TRUE, "Working Age")</f>
        <v>Children and Young Adolescents</v>
      </c>
      <c r="J1431" s="6">
        <f>VLOOKUP(F1431,Analysis!$F$1:$G$5,2,FALSE)</f>
        <v>2509.1716796874912</v>
      </c>
      <c r="K1431">
        <f t="shared" si="88"/>
        <v>3835.26</v>
      </c>
      <c r="L1431">
        <f t="shared" si="89"/>
        <v>3835.26</v>
      </c>
      <c r="M1431">
        <f t="shared" si="90"/>
        <v>3835.26</v>
      </c>
      <c r="N1431" s="5" t="str">
        <f t="shared" si="91"/>
        <v>August 2022</v>
      </c>
    </row>
    <row r="1432" spans="1:14" x14ac:dyDescent="0.25">
      <c r="A1432" s="1">
        <v>44777</v>
      </c>
      <c r="B1432" t="s">
        <v>691</v>
      </c>
      <c r="C1432">
        <v>22</v>
      </c>
      <c r="D1432" t="s">
        <v>21</v>
      </c>
      <c r="E1432" t="s">
        <v>15</v>
      </c>
      <c r="F1432" t="s">
        <v>16</v>
      </c>
      <c r="G1432" t="s">
        <v>17</v>
      </c>
      <c r="H1432">
        <v>3445.89</v>
      </c>
      <c r="I1432" s="8" t="str" cm="1">
        <f t="array" ref="I1432">_xlfn.IFS(C1432&lt;=15,"Children and Young Adolescents", C1432&gt;64, "Seniors", TRUE, "Working Age")</f>
        <v>Working Age</v>
      </c>
      <c r="J1432" s="6">
        <f>VLOOKUP(F1432,Analysis!$F$1:$G$5,2,FALSE)</f>
        <v>2509.1716796874912</v>
      </c>
      <c r="K1432">
        <f t="shared" si="88"/>
        <v>3790.47</v>
      </c>
      <c r="L1432">
        <f t="shared" si="89"/>
        <v>3790.48</v>
      </c>
      <c r="M1432">
        <f t="shared" si="90"/>
        <v>3790.48</v>
      </c>
      <c r="N1432" s="5" t="str">
        <f t="shared" si="91"/>
        <v>August 2022</v>
      </c>
    </row>
    <row r="1433" spans="1:14" x14ac:dyDescent="0.25">
      <c r="A1433" s="1">
        <v>44777</v>
      </c>
      <c r="B1433" t="s">
        <v>800</v>
      </c>
      <c r="C1433">
        <v>61</v>
      </c>
      <c r="D1433" t="s">
        <v>14</v>
      </c>
      <c r="E1433" t="s">
        <v>34</v>
      </c>
      <c r="F1433" t="s">
        <v>16</v>
      </c>
      <c r="G1433" t="s">
        <v>36</v>
      </c>
      <c r="H1433">
        <v>2760.14</v>
      </c>
      <c r="I1433" s="8" t="str" cm="1">
        <f t="array" ref="I1433">_xlfn.IFS(C1433&lt;=15,"Children and Young Adolescents", C1433&gt;64, "Seniors", TRUE, "Working Age")</f>
        <v>Working Age</v>
      </c>
      <c r="J1433" s="6">
        <f>VLOOKUP(F1433,Analysis!$F$1:$G$5,2,FALSE)</f>
        <v>2509.1716796874912</v>
      </c>
      <c r="K1433">
        <f t="shared" si="88"/>
        <v>3036.15</v>
      </c>
      <c r="L1433">
        <f t="shared" si="89"/>
        <v>3036.1600000000003</v>
      </c>
      <c r="M1433">
        <f t="shared" si="90"/>
        <v>3036.15</v>
      </c>
      <c r="N1433" s="5" t="str">
        <f t="shared" si="91"/>
        <v>August 2022</v>
      </c>
    </row>
    <row r="1434" spans="1:14" x14ac:dyDescent="0.25">
      <c r="A1434" s="1">
        <v>44777</v>
      </c>
      <c r="B1434" t="s">
        <v>251</v>
      </c>
      <c r="C1434">
        <v>41</v>
      </c>
      <c r="D1434" t="s">
        <v>21</v>
      </c>
      <c r="E1434" t="s">
        <v>19</v>
      </c>
      <c r="F1434" t="s">
        <v>29</v>
      </c>
      <c r="G1434" t="s">
        <v>5033</v>
      </c>
      <c r="H1434">
        <v>4671.12</v>
      </c>
      <c r="I1434" s="8" t="str" cm="1">
        <f t="array" ref="I1434">_xlfn.IFS(C1434&lt;=15,"Children and Young Adolescents", C1434&gt;64, "Seniors", TRUE, "Working Age")</f>
        <v>Working Age</v>
      </c>
      <c r="J1434" s="6">
        <f>VLOOKUP(F1434,Analysis!$F$1:$G$5,2,FALSE)</f>
        <v>2496.7676064256989</v>
      </c>
      <c r="K1434">
        <f t="shared" si="88"/>
        <v>5138.2299999999996</v>
      </c>
      <c r="L1434">
        <f t="shared" si="89"/>
        <v>5138.24</v>
      </c>
      <c r="M1434">
        <f t="shared" si="90"/>
        <v>5138.2299999999996</v>
      </c>
      <c r="N1434" s="5" t="str">
        <f t="shared" si="91"/>
        <v>August 2022</v>
      </c>
    </row>
    <row r="1435" spans="1:14" x14ac:dyDescent="0.25">
      <c r="A1435" s="1">
        <v>44777</v>
      </c>
      <c r="B1435" t="s">
        <v>845</v>
      </c>
      <c r="C1435">
        <v>99</v>
      </c>
      <c r="D1435" t="s">
        <v>21</v>
      </c>
      <c r="E1435" t="s">
        <v>15</v>
      </c>
      <c r="F1435" t="s">
        <v>29</v>
      </c>
      <c r="G1435" t="s">
        <v>36</v>
      </c>
      <c r="H1435">
        <v>2003.77</v>
      </c>
      <c r="I1435" s="8" t="str" cm="1">
        <f t="array" ref="I1435">_xlfn.IFS(C1435&lt;=15,"Children and Young Adolescents", C1435&gt;64, "Seniors", TRUE, "Working Age")</f>
        <v>Seniors</v>
      </c>
      <c r="J1435" s="6">
        <f>VLOOKUP(F1435,Analysis!$F$1:$G$5,2,FALSE)</f>
        <v>2496.7676064256989</v>
      </c>
      <c r="K1435">
        <f t="shared" si="88"/>
        <v>2204.14</v>
      </c>
      <c r="L1435">
        <f t="shared" si="89"/>
        <v>2204.15</v>
      </c>
      <c r="M1435">
        <f t="shared" si="90"/>
        <v>2204.15</v>
      </c>
      <c r="N1435" s="5" t="str">
        <f t="shared" si="91"/>
        <v>August 2022</v>
      </c>
    </row>
    <row r="1436" spans="1:14" x14ac:dyDescent="0.25">
      <c r="A1436" s="1">
        <v>44778</v>
      </c>
      <c r="B1436" t="s">
        <v>2208</v>
      </c>
      <c r="C1436">
        <v>29</v>
      </c>
      <c r="D1436" t="s">
        <v>14</v>
      </c>
      <c r="E1436" t="s">
        <v>22</v>
      </c>
      <c r="F1436" t="s">
        <v>29</v>
      </c>
      <c r="G1436" t="s">
        <v>12</v>
      </c>
      <c r="H1436">
        <v>1030.93</v>
      </c>
      <c r="I1436" s="8" t="str" cm="1">
        <f t="array" ref="I1436">_xlfn.IFS(C1436&lt;=15,"Children and Young Adolescents", C1436&gt;64, "Seniors", TRUE, "Working Age")</f>
        <v>Working Age</v>
      </c>
      <c r="J1436" s="6">
        <f>VLOOKUP(F1436,Analysis!$F$1:$G$5,2,FALSE)</f>
        <v>2496.7676064256989</v>
      </c>
      <c r="K1436">
        <f t="shared" si="88"/>
        <v>1134.02</v>
      </c>
      <c r="L1436">
        <f t="shared" si="89"/>
        <v>1134.03</v>
      </c>
      <c r="M1436">
        <f t="shared" si="90"/>
        <v>1134.02</v>
      </c>
      <c r="N1436" s="5" t="str">
        <f t="shared" si="91"/>
        <v>August 2022</v>
      </c>
    </row>
    <row r="1437" spans="1:14" x14ac:dyDescent="0.25">
      <c r="A1437" s="1">
        <v>44778</v>
      </c>
      <c r="B1437" t="s">
        <v>4909</v>
      </c>
      <c r="C1437">
        <v>23</v>
      </c>
      <c r="D1437" t="s">
        <v>21</v>
      </c>
      <c r="E1437" t="s">
        <v>10</v>
      </c>
      <c r="F1437" t="s">
        <v>23</v>
      </c>
      <c r="G1437" t="s">
        <v>36</v>
      </c>
      <c r="H1437">
        <v>535.25</v>
      </c>
      <c r="I1437" s="8" t="str" cm="1">
        <f t="array" ref="I1437">_xlfn.IFS(C1437&lt;=15,"Children and Young Adolescents", C1437&gt;64, "Seniors", TRUE, "Working Age")</f>
        <v>Working Age</v>
      </c>
      <c r="J1437" s="6">
        <f>VLOOKUP(F1437,Analysis!$F$1:$G$5,2,FALSE)</f>
        <v>2440.2966694490838</v>
      </c>
      <c r="K1437">
        <f t="shared" si="88"/>
        <v>588.77</v>
      </c>
      <c r="L1437">
        <f t="shared" si="89"/>
        <v>588.78</v>
      </c>
      <c r="M1437">
        <f t="shared" si="90"/>
        <v>588.78</v>
      </c>
      <c r="N1437" s="5" t="str">
        <f t="shared" si="91"/>
        <v>August 2022</v>
      </c>
    </row>
    <row r="1438" spans="1:14" x14ac:dyDescent="0.25">
      <c r="A1438" s="1">
        <v>44778</v>
      </c>
      <c r="B1438" t="s">
        <v>117</v>
      </c>
      <c r="C1438">
        <v>67</v>
      </c>
      <c r="D1438" t="s">
        <v>9</v>
      </c>
      <c r="E1438" t="s">
        <v>22</v>
      </c>
      <c r="F1438" t="s">
        <v>16</v>
      </c>
      <c r="G1438" t="s">
        <v>12</v>
      </c>
      <c r="H1438">
        <v>788.2</v>
      </c>
      <c r="I1438" s="8" t="str" cm="1">
        <f t="array" ref="I1438">_xlfn.IFS(C1438&lt;=15,"Children and Young Adolescents", C1438&gt;64, "Seniors", TRUE, "Working Age")</f>
        <v>Seniors</v>
      </c>
      <c r="J1438" s="6">
        <f>VLOOKUP(F1438,Analysis!$F$1:$G$5,2,FALSE)</f>
        <v>2509.1716796874912</v>
      </c>
      <c r="K1438">
        <f t="shared" si="88"/>
        <v>867.02</v>
      </c>
      <c r="L1438">
        <f t="shared" si="89"/>
        <v>867.02</v>
      </c>
      <c r="M1438">
        <f t="shared" si="90"/>
        <v>867.02</v>
      </c>
      <c r="N1438" s="5" t="str">
        <f t="shared" si="91"/>
        <v>August 2022</v>
      </c>
    </row>
    <row r="1439" spans="1:14" x14ac:dyDescent="0.25">
      <c r="A1439" s="1">
        <v>44778</v>
      </c>
      <c r="B1439" t="s">
        <v>1788</v>
      </c>
      <c r="C1439">
        <v>91</v>
      </c>
      <c r="D1439" t="s">
        <v>9</v>
      </c>
      <c r="E1439" t="s">
        <v>15</v>
      </c>
      <c r="F1439" t="s">
        <v>16</v>
      </c>
      <c r="G1439" t="s">
        <v>36</v>
      </c>
      <c r="H1439">
        <v>232.94</v>
      </c>
      <c r="I1439" s="8" t="str" cm="1">
        <f t="array" ref="I1439">_xlfn.IFS(C1439&lt;=15,"Children and Young Adolescents", C1439&gt;64, "Seniors", TRUE, "Working Age")</f>
        <v>Seniors</v>
      </c>
      <c r="J1439" s="6">
        <f>VLOOKUP(F1439,Analysis!$F$1:$G$5,2,FALSE)</f>
        <v>2509.1716796874912</v>
      </c>
      <c r="K1439">
        <f t="shared" si="88"/>
        <v>256.23</v>
      </c>
      <c r="L1439">
        <f t="shared" si="89"/>
        <v>256.24</v>
      </c>
      <c r="M1439">
        <f t="shared" si="90"/>
        <v>256.23</v>
      </c>
      <c r="N1439" s="5" t="str">
        <f t="shared" si="91"/>
        <v>August 2022</v>
      </c>
    </row>
    <row r="1440" spans="1:14" x14ac:dyDescent="0.25">
      <c r="A1440" s="1">
        <v>44778</v>
      </c>
      <c r="B1440" t="s">
        <v>4812</v>
      </c>
      <c r="C1440">
        <v>77</v>
      </c>
      <c r="D1440" t="s">
        <v>21</v>
      </c>
      <c r="E1440" t="s">
        <v>15</v>
      </c>
      <c r="F1440" t="s">
        <v>11</v>
      </c>
      <c r="G1440" t="s">
        <v>27</v>
      </c>
      <c r="H1440">
        <v>4898.32</v>
      </c>
      <c r="I1440" s="8" t="str" cm="1">
        <f t="array" ref="I1440">_xlfn.IFS(C1440&lt;=15,"Children and Young Adolescents", C1440&gt;64, "Seniors", TRUE, "Working Age")</f>
        <v>Seniors</v>
      </c>
      <c r="J1440" s="6">
        <f>VLOOKUP(F1440,Analysis!$F$1:$G$5,2,FALSE)</f>
        <v>2503.6022787783854</v>
      </c>
      <c r="K1440">
        <f t="shared" si="88"/>
        <v>5388.15</v>
      </c>
      <c r="L1440">
        <f t="shared" si="89"/>
        <v>5388.16</v>
      </c>
      <c r="M1440">
        <f t="shared" si="90"/>
        <v>5388.15</v>
      </c>
      <c r="N1440" s="5" t="str">
        <f t="shared" si="91"/>
        <v>August 2022</v>
      </c>
    </row>
    <row r="1441" spans="1:14" x14ac:dyDescent="0.25">
      <c r="A1441" s="1">
        <v>44778</v>
      </c>
      <c r="B1441" t="s">
        <v>4675</v>
      </c>
      <c r="C1441">
        <v>54</v>
      </c>
      <c r="D1441" t="s">
        <v>14</v>
      </c>
      <c r="E1441" t="s">
        <v>15</v>
      </c>
      <c r="F1441" t="s">
        <v>29</v>
      </c>
      <c r="G1441" t="s">
        <v>12</v>
      </c>
      <c r="H1441">
        <v>4835.3999999999996</v>
      </c>
      <c r="I1441" s="8" t="str" cm="1">
        <f t="array" ref="I1441">_xlfn.IFS(C1441&lt;=15,"Children and Young Adolescents", C1441&gt;64, "Seniors", TRUE, "Working Age")</f>
        <v>Working Age</v>
      </c>
      <c r="J1441" s="6">
        <f>VLOOKUP(F1441,Analysis!$F$1:$G$5,2,FALSE)</f>
        <v>2496.7676064256989</v>
      </c>
      <c r="K1441">
        <f t="shared" si="88"/>
        <v>5318.94</v>
      </c>
      <c r="L1441">
        <f t="shared" si="89"/>
        <v>5318.94</v>
      </c>
      <c r="M1441">
        <f t="shared" si="90"/>
        <v>5318.94</v>
      </c>
      <c r="N1441" s="5" t="str">
        <f t="shared" si="91"/>
        <v>August 2022</v>
      </c>
    </row>
    <row r="1442" spans="1:14" x14ac:dyDescent="0.25">
      <c r="A1442" s="1">
        <v>44778</v>
      </c>
      <c r="B1442" t="s">
        <v>2749</v>
      </c>
      <c r="C1442">
        <v>44</v>
      </c>
      <c r="D1442" t="s">
        <v>21</v>
      </c>
      <c r="E1442" t="s">
        <v>25</v>
      </c>
      <c r="F1442" t="s">
        <v>16</v>
      </c>
      <c r="G1442" t="s">
        <v>17</v>
      </c>
      <c r="H1442">
        <v>2333.4</v>
      </c>
      <c r="I1442" s="8" t="str" cm="1">
        <f t="array" ref="I1442">_xlfn.IFS(C1442&lt;=15,"Children and Young Adolescents", C1442&gt;64, "Seniors", TRUE, "Working Age")</f>
        <v>Working Age</v>
      </c>
      <c r="J1442" s="6">
        <f>VLOOKUP(F1442,Analysis!$F$1:$G$5,2,FALSE)</f>
        <v>2509.1716796874912</v>
      </c>
      <c r="K1442">
        <f t="shared" si="88"/>
        <v>2566.7399999999998</v>
      </c>
      <c r="L1442">
        <f t="shared" si="89"/>
        <v>2566.7399999999998</v>
      </c>
      <c r="M1442">
        <f t="shared" si="90"/>
        <v>2566.7399999999998</v>
      </c>
      <c r="N1442" s="5" t="str">
        <f t="shared" si="91"/>
        <v>August 2022</v>
      </c>
    </row>
    <row r="1443" spans="1:14" x14ac:dyDescent="0.25">
      <c r="A1443" s="1">
        <v>44778</v>
      </c>
      <c r="B1443" t="s">
        <v>93</v>
      </c>
      <c r="C1443">
        <v>90</v>
      </c>
      <c r="D1443" t="s">
        <v>21</v>
      </c>
      <c r="E1443" t="s">
        <v>32</v>
      </c>
      <c r="F1443" t="s">
        <v>16</v>
      </c>
      <c r="G1443" t="s">
        <v>27</v>
      </c>
      <c r="H1443">
        <v>1222.8499999999999</v>
      </c>
      <c r="I1443" s="8" t="str" cm="1">
        <f t="array" ref="I1443">_xlfn.IFS(C1443&lt;=15,"Children and Young Adolescents", C1443&gt;64, "Seniors", TRUE, "Working Age")</f>
        <v>Seniors</v>
      </c>
      <c r="J1443" s="6">
        <f>VLOOKUP(F1443,Analysis!$F$1:$G$5,2,FALSE)</f>
        <v>2509.1716796874912</v>
      </c>
      <c r="K1443">
        <f t="shared" si="88"/>
        <v>1345.13</v>
      </c>
      <c r="L1443">
        <f t="shared" si="89"/>
        <v>1345.14</v>
      </c>
      <c r="M1443">
        <f t="shared" si="90"/>
        <v>1345.14</v>
      </c>
      <c r="N1443" s="5" t="str">
        <f t="shared" si="91"/>
        <v>August 2022</v>
      </c>
    </row>
    <row r="1444" spans="1:14" x14ac:dyDescent="0.25">
      <c r="A1444" s="1">
        <v>44778</v>
      </c>
      <c r="B1444" t="s">
        <v>171</v>
      </c>
      <c r="C1444">
        <v>39</v>
      </c>
      <c r="D1444" t="s">
        <v>14</v>
      </c>
      <c r="E1444" t="s">
        <v>5032</v>
      </c>
      <c r="F1444" t="s">
        <v>23</v>
      </c>
      <c r="G1444" t="s">
        <v>27</v>
      </c>
      <c r="H1444">
        <v>1868.6</v>
      </c>
      <c r="I1444" s="8" t="str" cm="1">
        <f t="array" ref="I1444">_xlfn.IFS(C1444&lt;=15,"Children and Young Adolescents", C1444&gt;64, "Seniors", TRUE, "Working Age")</f>
        <v>Working Age</v>
      </c>
      <c r="J1444" s="6">
        <f>VLOOKUP(F1444,Analysis!$F$1:$G$5,2,FALSE)</f>
        <v>2440.2966694490838</v>
      </c>
      <c r="K1444">
        <f t="shared" si="88"/>
        <v>2055.46</v>
      </c>
      <c r="L1444">
        <f t="shared" si="89"/>
        <v>2055.46</v>
      </c>
      <c r="M1444">
        <f t="shared" si="90"/>
        <v>2055.46</v>
      </c>
      <c r="N1444" s="5" t="str">
        <f t="shared" si="91"/>
        <v>August 2022</v>
      </c>
    </row>
    <row r="1445" spans="1:14" x14ac:dyDescent="0.25">
      <c r="A1445" s="1">
        <v>44778</v>
      </c>
      <c r="B1445" t="s">
        <v>1447</v>
      </c>
      <c r="C1445">
        <v>6</v>
      </c>
      <c r="D1445" t="s">
        <v>14</v>
      </c>
      <c r="E1445" t="s">
        <v>10</v>
      </c>
      <c r="F1445" t="s">
        <v>29</v>
      </c>
      <c r="G1445" t="s">
        <v>12</v>
      </c>
      <c r="H1445">
        <v>4703.3</v>
      </c>
      <c r="I1445" s="8" t="str" cm="1">
        <f t="array" ref="I1445">_xlfn.IFS(C1445&lt;=15,"Children and Young Adolescents", C1445&gt;64, "Seniors", TRUE, "Working Age")</f>
        <v>Children and Young Adolescents</v>
      </c>
      <c r="J1445" s="6">
        <f>VLOOKUP(F1445,Analysis!$F$1:$G$5,2,FALSE)</f>
        <v>2496.7676064256989</v>
      </c>
      <c r="K1445">
        <f t="shared" si="88"/>
        <v>5173.63</v>
      </c>
      <c r="L1445">
        <f t="shared" si="89"/>
        <v>5173.63</v>
      </c>
      <c r="M1445">
        <f t="shared" si="90"/>
        <v>5173.63</v>
      </c>
      <c r="N1445" s="5" t="str">
        <f t="shared" si="91"/>
        <v>August 2022</v>
      </c>
    </row>
    <row r="1446" spans="1:14" x14ac:dyDescent="0.25">
      <c r="A1446" s="1">
        <v>44779</v>
      </c>
      <c r="B1446" t="s">
        <v>2573</v>
      </c>
      <c r="C1446">
        <v>11</v>
      </c>
      <c r="D1446" t="s">
        <v>14</v>
      </c>
      <c r="E1446" t="s">
        <v>34</v>
      </c>
      <c r="F1446" t="s">
        <v>29</v>
      </c>
      <c r="G1446" t="s">
        <v>39</v>
      </c>
      <c r="H1446">
        <v>4839.71</v>
      </c>
      <c r="I1446" s="8" t="str" cm="1">
        <f t="array" ref="I1446">_xlfn.IFS(C1446&lt;=15,"Children and Young Adolescents", C1446&gt;64, "Seniors", TRUE, "Working Age")</f>
        <v>Children and Young Adolescents</v>
      </c>
      <c r="J1446" s="6">
        <f>VLOOKUP(F1446,Analysis!$F$1:$G$5,2,FALSE)</f>
        <v>2496.7676064256989</v>
      </c>
      <c r="K1446">
        <f t="shared" si="88"/>
        <v>5323.68</v>
      </c>
      <c r="L1446">
        <f t="shared" si="89"/>
        <v>5323.6900000000005</v>
      </c>
      <c r="M1446">
        <f t="shared" si="90"/>
        <v>5323.68</v>
      </c>
      <c r="N1446" s="5" t="str">
        <f t="shared" si="91"/>
        <v>August 2022</v>
      </c>
    </row>
    <row r="1447" spans="1:14" x14ac:dyDescent="0.25">
      <c r="A1447" s="1">
        <v>44779</v>
      </c>
      <c r="B1447" t="s">
        <v>994</v>
      </c>
      <c r="C1447">
        <v>3</v>
      </c>
      <c r="D1447" t="s">
        <v>9</v>
      </c>
      <c r="E1447" t="s">
        <v>34</v>
      </c>
      <c r="F1447" t="s">
        <v>11</v>
      </c>
      <c r="G1447" t="s">
        <v>39</v>
      </c>
      <c r="H1447">
        <v>114.64</v>
      </c>
      <c r="I1447" s="8" t="str" cm="1">
        <f t="array" ref="I1447">_xlfn.IFS(C1447&lt;=15,"Children and Young Adolescents", C1447&gt;64, "Seniors", TRUE, "Working Age")</f>
        <v>Children and Young Adolescents</v>
      </c>
      <c r="J1447" s="6">
        <f>VLOOKUP(F1447,Analysis!$F$1:$G$5,2,FALSE)</f>
        <v>2503.6022787783854</v>
      </c>
      <c r="K1447">
        <f t="shared" si="88"/>
        <v>126.1</v>
      </c>
      <c r="L1447">
        <f t="shared" si="89"/>
        <v>126.11</v>
      </c>
      <c r="M1447">
        <f t="shared" si="90"/>
        <v>126.1</v>
      </c>
      <c r="N1447" s="5" t="str">
        <f t="shared" si="91"/>
        <v>August 2022</v>
      </c>
    </row>
    <row r="1448" spans="1:14" x14ac:dyDescent="0.25">
      <c r="A1448" s="1">
        <v>44779</v>
      </c>
      <c r="B1448" t="s">
        <v>178</v>
      </c>
      <c r="C1448">
        <v>30</v>
      </c>
      <c r="D1448" t="s">
        <v>14</v>
      </c>
      <c r="E1448" t="s">
        <v>25</v>
      </c>
      <c r="F1448" t="s">
        <v>29</v>
      </c>
      <c r="G1448" t="s">
        <v>27</v>
      </c>
      <c r="H1448">
        <v>1834.07</v>
      </c>
      <c r="I1448" s="8" t="str" cm="1">
        <f t="array" ref="I1448">_xlfn.IFS(C1448&lt;=15,"Children and Young Adolescents", C1448&gt;64, "Seniors", TRUE, "Working Age")</f>
        <v>Working Age</v>
      </c>
      <c r="J1448" s="6">
        <f>VLOOKUP(F1448,Analysis!$F$1:$G$5,2,FALSE)</f>
        <v>2496.7676064256989</v>
      </c>
      <c r="K1448">
        <f t="shared" si="88"/>
        <v>2017.47</v>
      </c>
      <c r="L1448">
        <f t="shared" si="89"/>
        <v>2017.48</v>
      </c>
      <c r="M1448">
        <f t="shared" si="90"/>
        <v>2017.48</v>
      </c>
      <c r="N1448" s="5" t="str">
        <f t="shared" si="91"/>
        <v>August 2022</v>
      </c>
    </row>
    <row r="1449" spans="1:14" x14ac:dyDescent="0.25">
      <c r="A1449" s="1">
        <v>44779</v>
      </c>
      <c r="B1449" t="s">
        <v>639</v>
      </c>
      <c r="C1449">
        <v>28</v>
      </c>
      <c r="D1449" t="s">
        <v>9</v>
      </c>
      <c r="E1449" t="s">
        <v>10</v>
      </c>
      <c r="F1449" t="s">
        <v>11</v>
      </c>
      <c r="G1449" t="s">
        <v>5033</v>
      </c>
      <c r="H1449">
        <v>4839.17</v>
      </c>
      <c r="I1449" s="8" t="str" cm="1">
        <f t="array" ref="I1449">_xlfn.IFS(C1449&lt;=15,"Children and Young Adolescents", C1449&gt;64, "Seniors", TRUE, "Working Age")</f>
        <v>Working Age</v>
      </c>
      <c r="J1449" s="6">
        <f>VLOOKUP(F1449,Analysis!$F$1:$G$5,2,FALSE)</f>
        <v>2503.6022787783854</v>
      </c>
      <c r="K1449">
        <f t="shared" si="88"/>
        <v>5323.08</v>
      </c>
      <c r="L1449">
        <f t="shared" si="89"/>
        <v>5323.09</v>
      </c>
      <c r="M1449">
        <f t="shared" si="90"/>
        <v>5323.09</v>
      </c>
      <c r="N1449" s="5" t="str">
        <f t="shared" si="91"/>
        <v>August 2022</v>
      </c>
    </row>
    <row r="1450" spans="1:14" x14ac:dyDescent="0.25">
      <c r="A1450" s="1">
        <v>44779</v>
      </c>
      <c r="B1450" t="s">
        <v>1034</v>
      </c>
      <c r="C1450">
        <v>28</v>
      </c>
      <c r="D1450" t="s">
        <v>21</v>
      </c>
      <c r="E1450" t="s">
        <v>22</v>
      </c>
      <c r="F1450" t="s">
        <v>11</v>
      </c>
      <c r="G1450" t="s">
        <v>39</v>
      </c>
      <c r="H1450">
        <v>3016.47</v>
      </c>
      <c r="I1450" s="8" t="str" cm="1">
        <f t="array" ref="I1450">_xlfn.IFS(C1450&lt;=15,"Children and Young Adolescents", C1450&gt;64, "Seniors", TRUE, "Working Age")</f>
        <v>Working Age</v>
      </c>
      <c r="J1450" s="6">
        <f>VLOOKUP(F1450,Analysis!$F$1:$G$5,2,FALSE)</f>
        <v>2503.6022787783854</v>
      </c>
      <c r="K1450">
        <f t="shared" si="88"/>
        <v>3318.11</v>
      </c>
      <c r="L1450">
        <f t="shared" si="89"/>
        <v>3318.1200000000003</v>
      </c>
      <c r="M1450">
        <f t="shared" si="90"/>
        <v>3318.12</v>
      </c>
      <c r="N1450" s="5" t="str">
        <f t="shared" si="91"/>
        <v>August 2022</v>
      </c>
    </row>
    <row r="1451" spans="1:14" x14ac:dyDescent="0.25">
      <c r="A1451" s="1">
        <v>44779</v>
      </c>
      <c r="B1451" t="s">
        <v>4809</v>
      </c>
      <c r="C1451">
        <v>1</v>
      </c>
      <c r="D1451" t="s">
        <v>14</v>
      </c>
      <c r="E1451" t="s">
        <v>25</v>
      </c>
      <c r="F1451" t="s">
        <v>29</v>
      </c>
      <c r="G1451" t="s">
        <v>39</v>
      </c>
      <c r="H1451">
        <v>2618.4699999999998</v>
      </c>
      <c r="I1451" s="8" t="str" cm="1">
        <f t="array" ref="I1451">_xlfn.IFS(C1451&lt;=15,"Children and Young Adolescents", C1451&gt;64, "Seniors", TRUE, "Working Age")</f>
        <v>Children and Young Adolescents</v>
      </c>
      <c r="J1451" s="6">
        <f>VLOOKUP(F1451,Analysis!$F$1:$G$5,2,FALSE)</f>
        <v>2496.7676064256989</v>
      </c>
      <c r="K1451">
        <f t="shared" si="88"/>
        <v>2880.31</v>
      </c>
      <c r="L1451">
        <f t="shared" si="89"/>
        <v>2880.32</v>
      </c>
      <c r="M1451">
        <f t="shared" si="90"/>
        <v>2880.32</v>
      </c>
      <c r="N1451" s="5" t="str">
        <f t="shared" si="91"/>
        <v>August 2022</v>
      </c>
    </row>
    <row r="1452" spans="1:14" x14ac:dyDescent="0.25">
      <c r="A1452" s="1">
        <v>44779</v>
      </c>
      <c r="B1452" t="s">
        <v>2247</v>
      </c>
      <c r="C1452">
        <v>90</v>
      </c>
      <c r="D1452" t="s">
        <v>14</v>
      </c>
      <c r="E1452" t="s">
        <v>15</v>
      </c>
      <c r="F1452" t="s">
        <v>16</v>
      </c>
      <c r="G1452" t="s">
        <v>12</v>
      </c>
      <c r="H1452">
        <v>4397.2</v>
      </c>
      <c r="I1452" s="8" t="str" cm="1">
        <f t="array" ref="I1452">_xlfn.IFS(C1452&lt;=15,"Children and Young Adolescents", C1452&gt;64, "Seniors", TRUE, "Working Age")</f>
        <v>Seniors</v>
      </c>
      <c r="J1452" s="6">
        <f>VLOOKUP(F1452,Analysis!$F$1:$G$5,2,FALSE)</f>
        <v>2509.1716796874912</v>
      </c>
      <c r="K1452">
        <f t="shared" si="88"/>
        <v>4836.92</v>
      </c>
      <c r="L1452">
        <f t="shared" si="89"/>
        <v>4836.92</v>
      </c>
      <c r="M1452">
        <f t="shared" si="90"/>
        <v>4836.92</v>
      </c>
      <c r="N1452" s="5" t="str">
        <f t="shared" si="91"/>
        <v>August 2022</v>
      </c>
    </row>
    <row r="1453" spans="1:14" x14ac:dyDescent="0.25">
      <c r="A1453" s="1">
        <v>44780</v>
      </c>
      <c r="B1453" t="s">
        <v>4436</v>
      </c>
      <c r="C1453">
        <v>86</v>
      </c>
      <c r="D1453" t="s">
        <v>14</v>
      </c>
      <c r="E1453" t="s">
        <v>22</v>
      </c>
      <c r="F1453" t="s">
        <v>11</v>
      </c>
      <c r="G1453" t="s">
        <v>17</v>
      </c>
      <c r="H1453">
        <v>1125.83</v>
      </c>
      <c r="I1453" s="8" t="str" cm="1">
        <f t="array" ref="I1453">_xlfn.IFS(C1453&lt;=15,"Children and Young Adolescents", C1453&gt;64, "Seniors", TRUE, "Working Age")</f>
        <v>Seniors</v>
      </c>
      <c r="J1453" s="6">
        <f>VLOOKUP(F1453,Analysis!$F$1:$G$5,2,FALSE)</f>
        <v>2503.6022787783854</v>
      </c>
      <c r="K1453">
        <f t="shared" si="88"/>
        <v>1238.4100000000001</v>
      </c>
      <c r="L1453">
        <f t="shared" si="89"/>
        <v>1238.42</v>
      </c>
      <c r="M1453">
        <f t="shared" si="90"/>
        <v>1238.4100000000001</v>
      </c>
      <c r="N1453" s="5" t="str">
        <f t="shared" si="91"/>
        <v>August 2022</v>
      </c>
    </row>
    <row r="1454" spans="1:14" x14ac:dyDescent="0.25">
      <c r="A1454" s="1">
        <v>44780</v>
      </c>
      <c r="B1454" t="s">
        <v>952</v>
      </c>
      <c r="C1454">
        <v>35</v>
      </c>
      <c r="D1454" t="s">
        <v>21</v>
      </c>
      <c r="E1454" t="s">
        <v>19</v>
      </c>
      <c r="F1454" t="s">
        <v>11</v>
      </c>
      <c r="G1454" t="s">
        <v>36</v>
      </c>
      <c r="H1454">
        <v>4802.63</v>
      </c>
      <c r="I1454" s="8" t="str" cm="1">
        <f t="array" ref="I1454">_xlfn.IFS(C1454&lt;=15,"Children and Young Adolescents", C1454&gt;64, "Seniors", TRUE, "Working Age")</f>
        <v>Working Age</v>
      </c>
      <c r="J1454" s="6">
        <f>VLOOKUP(F1454,Analysis!$F$1:$G$5,2,FALSE)</f>
        <v>2503.6022787783854</v>
      </c>
      <c r="K1454">
        <f t="shared" si="88"/>
        <v>5282.89</v>
      </c>
      <c r="L1454">
        <f t="shared" si="89"/>
        <v>5282.9000000000005</v>
      </c>
      <c r="M1454">
        <f t="shared" si="90"/>
        <v>5282.89</v>
      </c>
      <c r="N1454" s="5" t="str">
        <f t="shared" si="91"/>
        <v>August 2022</v>
      </c>
    </row>
    <row r="1455" spans="1:14" x14ac:dyDescent="0.25">
      <c r="A1455" s="1">
        <v>44780</v>
      </c>
      <c r="B1455" t="s">
        <v>216</v>
      </c>
      <c r="C1455">
        <v>56</v>
      </c>
      <c r="D1455" t="s">
        <v>14</v>
      </c>
      <c r="E1455" t="s">
        <v>15</v>
      </c>
      <c r="F1455" t="s">
        <v>11</v>
      </c>
      <c r="G1455" t="s">
        <v>39</v>
      </c>
      <c r="H1455">
        <v>1008.69</v>
      </c>
      <c r="I1455" s="8" t="str" cm="1">
        <f t="array" ref="I1455">_xlfn.IFS(C1455&lt;=15,"Children and Young Adolescents", C1455&gt;64, "Seniors", TRUE, "Working Age")</f>
        <v>Working Age</v>
      </c>
      <c r="J1455" s="6">
        <f>VLOOKUP(F1455,Analysis!$F$1:$G$5,2,FALSE)</f>
        <v>2503.6022787783854</v>
      </c>
      <c r="K1455">
        <f t="shared" si="88"/>
        <v>1109.55</v>
      </c>
      <c r="L1455">
        <f t="shared" si="89"/>
        <v>1109.56</v>
      </c>
      <c r="M1455">
        <f t="shared" si="90"/>
        <v>1109.56</v>
      </c>
      <c r="N1455" s="5" t="str">
        <f t="shared" si="91"/>
        <v>August 2022</v>
      </c>
    </row>
    <row r="1456" spans="1:14" x14ac:dyDescent="0.25">
      <c r="A1456" s="1">
        <v>44780</v>
      </c>
      <c r="B1456" t="s">
        <v>3915</v>
      </c>
      <c r="C1456">
        <v>88</v>
      </c>
      <c r="D1456" t="s">
        <v>21</v>
      </c>
      <c r="E1456" t="s">
        <v>32</v>
      </c>
      <c r="F1456" t="s">
        <v>23</v>
      </c>
      <c r="G1456" t="s">
        <v>12</v>
      </c>
      <c r="H1456">
        <v>1898.43</v>
      </c>
      <c r="I1456" s="8" t="str" cm="1">
        <f t="array" ref="I1456">_xlfn.IFS(C1456&lt;=15,"Children and Young Adolescents", C1456&gt;64, "Seniors", TRUE, "Working Age")</f>
        <v>Seniors</v>
      </c>
      <c r="J1456" s="6">
        <f>VLOOKUP(F1456,Analysis!$F$1:$G$5,2,FALSE)</f>
        <v>2440.2966694490838</v>
      </c>
      <c r="K1456">
        <f t="shared" si="88"/>
        <v>2088.27</v>
      </c>
      <c r="L1456">
        <f t="shared" si="89"/>
        <v>2088.2800000000002</v>
      </c>
      <c r="M1456">
        <f t="shared" si="90"/>
        <v>2088.27</v>
      </c>
      <c r="N1456" s="5" t="str">
        <f t="shared" si="91"/>
        <v>August 2022</v>
      </c>
    </row>
    <row r="1457" spans="1:14" x14ac:dyDescent="0.25">
      <c r="A1457" s="1">
        <v>44780</v>
      </c>
      <c r="B1457" t="s">
        <v>3106</v>
      </c>
      <c r="C1457">
        <v>81</v>
      </c>
      <c r="D1457" t="s">
        <v>9</v>
      </c>
      <c r="E1457" t="s">
        <v>22</v>
      </c>
      <c r="F1457" t="s">
        <v>16</v>
      </c>
      <c r="G1457" t="s">
        <v>12</v>
      </c>
      <c r="H1457">
        <v>3493.89</v>
      </c>
      <c r="I1457" s="8" t="str" cm="1">
        <f t="array" ref="I1457">_xlfn.IFS(C1457&lt;=15,"Children and Young Adolescents", C1457&gt;64, "Seniors", TRUE, "Working Age")</f>
        <v>Seniors</v>
      </c>
      <c r="J1457" s="6">
        <f>VLOOKUP(F1457,Analysis!$F$1:$G$5,2,FALSE)</f>
        <v>2509.1716796874912</v>
      </c>
      <c r="K1457">
        <f t="shared" si="88"/>
        <v>3843.27</v>
      </c>
      <c r="L1457">
        <f t="shared" si="89"/>
        <v>3843.28</v>
      </c>
      <c r="M1457">
        <f t="shared" si="90"/>
        <v>3843.28</v>
      </c>
      <c r="N1457" s="5" t="str">
        <f t="shared" si="91"/>
        <v>August 2022</v>
      </c>
    </row>
    <row r="1458" spans="1:14" x14ac:dyDescent="0.25">
      <c r="A1458" s="1">
        <v>44780</v>
      </c>
      <c r="B1458" t="s">
        <v>3793</v>
      </c>
      <c r="C1458">
        <v>55</v>
      </c>
      <c r="D1458" t="s">
        <v>14</v>
      </c>
      <c r="E1458" t="s">
        <v>10</v>
      </c>
      <c r="F1458" t="s">
        <v>11</v>
      </c>
      <c r="G1458" t="s">
        <v>17</v>
      </c>
      <c r="H1458">
        <v>1895.42</v>
      </c>
      <c r="I1458" s="8" t="str" cm="1">
        <f t="array" ref="I1458">_xlfn.IFS(C1458&lt;=15,"Children and Young Adolescents", C1458&gt;64, "Seniors", TRUE, "Working Age")</f>
        <v>Working Age</v>
      </c>
      <c r="J1458" s="6">
        <f>VLOOKUP(F1458,Analysis!$F$1:$G$5,2,FALSE)</f>
        <v>2503.6022787783854</v>
      </c>
      <c r="K1458">
        <f t="shared" si="88"/>
        <v>2084.96</v>
      </c>
      <c r="L1458">
        <f t="shared" si="89"/>
        <v>2084.9700000000003</v>
      </c>
      <c r="M1458">
        <f t="shared" si="90"/>
        <v>2084.96</v>
      </c>
      <c r="N1458" s="5" t="str">
        <f t="shared" si="91"/>
        <v>August 2022</v>
      </c>
    </row>
    <row r="1459" spans="1:14" x14ac:dyDescent="0.25">
      <c r="A1459" s="1">
        <v>44780</v>
      </c>
      <c r="B1459" t="s">
        <v>717</v>
      </c>
      <c r="C1459">
        <v>79</v>
      </c>
      <c r="D1459" t="s">
        <v>21</v>
      </c>
      <c r="E1459" t="s">
        <v>22</v>
      </c>
      <c r="F1459" t="s">
        <v>29</v>
      </c>
      <c r="G1459" t="s">
        <v>27</v>
      </c>
      <c r="H1459">
        <v>261.66000000000003</v>
      </c>
      <c r="I1459" s="8" t="str" cm="1">
        <f t="array" ref="I1459">_xlfn.IFS(C1459&lt;=15,"Children and Young Adolescents", C1459&gt;64, "Seniors", TRUE, "Working Age")</f>
        <v>Seniors</v>
      </c>
      <c r="J1459" s="6">
        <f>VLOOKUP(F1459,Analysis!$F$1:$G$5,2,FALSE)</f>
        <v>2496.7676064256989</v>
      </c>
      <c r="K1459">
        <f t="shared" si="88"/>
        <v>287.82</v>
      </c>
      <c r="L1459">
        <f t="shared" si="89"/>
        <v>287.83</v>
      </c>
      <c r="M1459">
        <f t="shared" si="90"/>
        <v>287.83</v>
      </c>
      <c r="N1459" s="5" t="str">
        <f t="shared" si="91"/>
        <v>August 2022</v>
      </c>
    </row>
    <row r="1460" spans="1:14" x14ac:dyDescent="0.25">
      <c r="A1460" s="1">
        <v>44780</v>
      </c>
      <c r="B1460" t="s">
        <v>724</v>
      </c>
      <c r="C1460">
        <v>83</v>
      </c>
      <c r="D1460" t="s">
        <v>21</v>
      </c>
      <c r="E1460" t="s">
        <v>32</v>
      </c>
      <c r="F1460" t="s">
        <v>23</v>
      </c>
      <c r="G1460" t="s">
        <v>12</v>
      </c>
      <c r="H1460">
        <v>4810.84</v>
      </c>
      <c r="I1460" s="8" t="str" cm="1">
        <f t="array" ref="I1460">_xlfn.IFS(C1460&lt;=15,"Children and Young Adolescents", C1460&gt;64, "Seniors", TRUE, "Working Age")</f>
        <v>Seniors</v>
      </c>
      <c r="J1460" s="6">
        <f>VLOOKUP(F1460,Analysis!$F$1:$G$5,2,FALSE)</f>
        <v>2440.2966694490838</v>
      </c>
      <c r="K1460">
        <f t="shared" si="88"/>
        <v>5291.92</v>
      </c>
      <c r="L1460">
        <f t="shared" si="89"/>
        <v>5291.93</v>
      </c>
      <c r="M1460">
        <f t="shared" si="90"/>
        <v>5291.92</v>
      </c>
      <c r="N1460" s="5" t="str">
        <f t="shared" si="91"/>
        <v>August 2022</v>
      </c>
    </row>
    <row r="1461" spans="1:14" x14ac:dyDescent="0.25">
      <c r="A1461" s="1">
        <v>44780</v>
      </c>
      <c r="B1461" t="s">
        <v>1947</v>
      </c>
      <c r="C1461">
        <v>25</v>
      </c>
      <c r="D1461" t="s">
        <v>21</v>
      </c>
      <c r="E1461" t="s">
        <v>10</v>
      </c>
      <c r="F1461" t="s">
        <v>11</v>
      </c>
      <c r="G1461" t="s">
        <v>5033</v>
      </c>
      <c r="H1461">
        <v>1777.45</v>
      </c>
      <c r="I1461" s="8" t="str" cm="1">
        <f t="array" ref="I1461">_xlfn.IFS(C1461&lt;=15,"Children and Young Adolescents", C1461&gt;64, "Seniors", TRUE, "Working Age")</f>
        <v>Working Age</v>
      </c>
      <c r="J1461" s="6">
        <f>VLOOKUP(F1461,Analysis!$F$1:$G$5,2,FALSE)</f>
        <v>2503.6022787783854</v>
      </c>
      <c r="K1461">
        <f t="shared" si="88"/>
        <v>1955.19</v>
      </c>
      <c r="L1461">
        <f t="shared" si="89"/>
        <v>1955.2</v>
      </c>
      <c r="M1461">
        <f t="shared" si="90"/>
        <v>1955.2</v>
      </c>
      <c r="N1461" s="5" t="str">
        <f t="shared" si="91"/>
        <v>August 2022</v>
      </c>
    </row>
    <row r="1462" spans="1:14" x14ac:dyDescent="0.25">
      <c r="A1462" s="1">
        <v>44781</v>
      </c>
      <c r="B1462" t="s">
        <v>1281</v>
      </c>
      <c r="C1462">
        <v>27</v>
      </c>
      <c r="D1462" t="s">
        <v>21</v>
      </c>
      <c r="E1462" t="s">
        <v>25</v>
      </c>
      <c r="F1462" t="s">
        <v>23</v>
      </c>
      <c r="G1462" t="s">
        <v>39</v>
      </c>
      <c r="H1462">
        <v>2732.12</v>
      </c>
      <c r="I1462" s="8" t="str" cm="1">
        <f t="array" ref="I1462">_xlfn.IFS(C1462&lt;=15,"Children and Young Adolescents", C1462&gt;64, "Seniors", TRUE, "Working Age")</f>
        <v>Working Age</v>
      </c>
      <c r="J1462" s="6">
        <f>VLOOKUP(F1462,Analysis!$F$1:$G$5,2,FALSE)</f>
        <v>2440.2966694490838</v>
      </c>
      <c r="K1462">
        <f t="shared" si="88"/>
        <v>3005.33</v>
      </c>
      <c r="L1462">
        <f t="shared" si="89"/>
        <v>3005.34</v>
      </c>
      <c r="M1462">
        <f t="shared" si="90"/>
        <v>3005.33</v>
      </c>
      <c r="N1462" s="5" t="str">
        <f t="shared" si="91"/>
        <v>August 2022</v>
      </c>
    </row>
    <row r="1463" spans="1:14" x14ac:dyDescent="0.25">
      <c r="A1463" s="1">
        <v>44781</v>
      </c>
      <c r="B1463" t="s">
        <v>1747</v>
      </c>
      <c r="C1463">
        <v>18</v>
      </c>
      <c r="D1463" t="s">
        <v>21</v>
      </c>
      <c r="E1463" t="s">
        <v>15</v>
      </c>
      <c r="F1463" t="s">
        <v>16</v>
      </c>
      <c r="G1463" t="s">
        <v>12</v>
      </c>
      <c r="H1463">
        <v>953.42</v>
      </c>
      <c r="I1463" s="8" t="str" cm="1">
        <f t="array" ref="I1463">_xlfn.IFS(C1463&lt;=15,"Children and Young Adolescents", C1463&gt;64, "Seniors", TRUE, "Working Age")</f>
        <v>Working Age</v>
      </c>
      <c r="J1463" s="6">
        <f>VLOOKUP(F1463,Analysis!$F$1:$G$5,2,FALSE)</f>
        <v>2509.1716796874912</v>
      </c>
      <c r="K1463">
        <f t="shared" si="88"/>
        <v>1048.76</v>
      </c>
      <c r="L1463">
        <f t="shared" si="89"/>
        <v>1048.77</v>
      </c>
      <c r="M1463">
        <f t="shared" si="90"/>
        <v>1048.76</v>
      </c>
      <c r="N1463" s="5" t="str">
        <f t="shared" si="91"/>
        <v>August 2022</v>
      </c>
    </row>
    <row r="1464" spans="1:14" x14ac:dyDescent="0.25">
      <c r="A1464" s="1">
        <v>44781</v>
      </c>
      <c r="B1464" t="s">
        <v>2122</v>
      </c>
      <c r="C1464">
        <v>0</v>
      </c>
      <c r="D1464" t="s">
        <v>21</v>
      </c>
      <c r="E1464" t="s">
        <v>15</v>
      </c>
      <c r="F1464" t="s">
        <v>23</v>
      </c>
      <c r="G1464" t="s">
        <v>27</v>
      </c>
      <c r="H1464">
        <v>2163.58</v>
      </c>
      <c r="I1464" s="8" t="str" cm="1">
        <f t="array" ref="I1464">_xlfn.IFS(C1464&lt;=15,"Children and Young Adolescents", C1464&gt;64, "Seniors", TRUE, "Working Age")</f>
        <v>Children and Young Adolescents</v>
      </c>
      <c r="J1464" s="6">
        <f>VLOOKUP(F1464,Analysis!$F$1:$G$5,2,FALSE)</f>
        <v>2440.2966694490838</v>
      </c>
      <c r="K1464">
        <f t="shared" si="88"/>
        <v>2379.9299999999998</v>
      </c>
      <c r="L1464">
        <f t="shared" si="89"/>
        <v>2379.94</v>
      </c>
      <c r="M1464">
        <f t="shared" si="90"/>
        <v>2379.94</v>
      </c>
      <c r="N1464" s="5" t="str">
        <f t="shared" si="91"/>
        <v>August 2022</v>
      </c>
    </row>
    <row r="1465" spans="1:14" x14ac:dyDescent="0.25">
      <c r="A1465" s="1">
        <v>44781</v>
      </c>
      <c r="B1465" t="s">
        <v>2881</v>
      </c>
      <c r="C1465">
        <v>22</v>
      </c>
      <c r="D1465" t="s">
        <v>21</v>
      </c>
      <c r="E1465" t="s">
        <v>15</v>
      </c>
      <c r="F1465" t="s">
        <v>16</v>
      </c>
      <c r="G1465" t="s">
        <v>27</v>
      </c>
      <c r="H1465">
        <v>1691.49</v>
      </c>
      <c r="I1465" s="8" t="str" cm="1">
        <f t="array" ref="I1465">_xlfn.IFS(C1465&lt;=15,"Children and Young Adolescents", C1465&gt;64, "Seniors", TRUE, "Working Age")</f>
        <v>Working Age</v>
      </c>
      <c r="J1465" s="6">
        <f>VLOOKUP(F1465,Analysis!$F$1:$G$5,2,FALSE)</f>
        <v>2509.1716796874912</v>
      </c>
      <c r="K1465">
        <f t="shared" si="88"/>
        <v>1860.63</v>
      </c>
      <c r="L1465">
        <f t="shared" si="89"/>
        <v>1860.64</v>
      </c>
      <c r="M1465">
        <f t="shared" si="90"/>
        <v>1860.64</v>
      </c>
      <c r="N1465" s="5" t="str">
        <f t="shared" si="91"/>
        <v>August 2022</v>
      </c>
    </row>
    <row r="1466" spans="1:14" x14ac:dyDescent="0.25">
      <c r="A1466" s="1">
        <v>44781</v>
      </c>
      <c r="B1466" t="s">
        <v>2914</v>
      </c>
      <c r="C1466">
        <v>67</v>
      </c>
      <c r="D1466" t="s">
        <v>14</v>
      </c>
      <c r="E1466" t="s">
        <v>22</v>
      </c>
      <c r="F1466" t="s">
        <v>29</v>
      </c>
      <c r="G1466" t="s">
        <v>5033</v>
      </c>
      <c r="H1466">
        <v>4462.5600000000004</v>
      </c>
      <c r="I1466" s="8" t="str" cm="1">
        <f t="array" ref="I1466">_xlfn.IFS(C1466&lt;=15,"Children and Young Adolescents", C1466&gt;64, "Seniors", TRUE, "Working Age")</f>
        <v>Seniors</v>
      </c>
      <c r="J1466" s="6">
        <f>VLOOKUP(F1466,Analysis!$F$1:$G$5,2,FALSE)</f>
        <v>2496.7676064256989</v>
      </c>
      <c r="K1466">
        <f t="shared" si="88"/>
        <v>4908.8100000000004</v>
      </c>
      <c r="L1466">
        <f t="shared" si="89"/>
        <v>4908.8200000000006</v>
      </c>
      <c r="M1466">
        <f t="shared" si="90"/>
        <v>4908.82</v>
      </c>
      <c r="N1466" s="5" t="str">
        <f t="shared" si="91"/>
        <v>August 2022</v>
      </c>
    </row>
    <row r="1467" spans="1:14" x14ac:dyDescent="0.25">
      <c r="A1467" s="1">
        <v>44781</v>
      </c>
      <c r="B1467" t="s">
        <v>2903</v>
      </c>
      <c r="C1467">
        <v>84</v>
      </c>
      <c r="D1467" t="s">
        <v>14</v>
      </c>
      <c r="E1467" t="s">
        <v>10</v>
      </c>
      <c r="F1467" t="s">
        <v>11</v>
      </c>
      <c r="G1467" t="s">
        <v>39</v>
      </c>
      <c r="H1467">
        <v>1266.45</v>
      </c>
      <c r="I1467" s="8" t="str" cm="1">
        <f t="array" ref="I1467">_xlfn.IFS(C1467&lt;=15,"Children and Young Adolescents", C1467&gt;64, "Seniors", TRUE, "Working Age")</f>
        <v>Seniors</v>
      </c>
      <c r="J1467" s="6">
        <f>VLOOKUP(F1467,Analysis!$F$1:$G$5,2,FALSE)</f>
        <v>2503.6022787783854</v>
      </c>
      <c r="K1467">
        <f t="shared" si="88"/>
        <v>1393.09</v>
      </c>
      <c r="L1467">
        <f t="shared" si="89"/>
        <v>1393.1</v>
      </c>
      <c r="M1467">
        <f t="shared" si="90"/>
        <v>1393.1</v>
      </c>
      <c r="N1467" s="5" t="str">
        <f t="shared" si="91"/>
        <v>August 2022</v>
      </c>
    </row>
    <row r="1468" spans="1:14" x14ac:dyDescent="0.25">
      <c r="A1468" s="1">
        <v>44781</v>
      </c>
      <c r="B1468" t="s">
        <v>38</v>
      </c>
      <c r="C1468">
        <v>9</v>
      </c>
      <c r="D1468" t="s">
        <v>21</v>
      </c>
      <c r="E1468" t="s">
        <v>34</v>
      </c>
      <c r="F1468" t="s">
        <v>16</v>
      </c>
      <c r="G1468" t="s">
        <v>39</v>
      </c>
      <c r="H1468">
        <v>3776.48</v>
      </c>
      <c r="I1468" s="8" t="str" cm="1">
        <f t="array" ref="I1468">_xlfn.IFS(C1468&lt;=15,"Children and Young Adolescents", C1468&gt;64, "Seniors", TRUE, "Working Age")</f>
        <v>Children and Young Adolescents</v>
      </c>
      <c r="J1468" s="6">
        <f>VLOOKUP(F1468,Analysis!$F$1:$G$5,2,FALSE)</f>
        <v>2509.1716796874912</v>
      </c>
      <c r="K1468">
        <f t="shared" si="88"/>
        <v>4154.12</v>
      </c>
      <c r="L1468">
        <f t="shared" si="89"/>
        <v>4154.13</v>
      </c>
      <c r="M1468">
        <f t="shared" si="90"/>
        <v>4154.13</v>
      </c>
      <c r="N1468" s="5" t="str">
        <f t="shared" si="91"/>
        <v>August 2022</v>
      </c>
    </row>
    <row r="1469" spans="1:14" x14ac:dyDescent="0.25">
      <c r="A1469" s="1">
        <v>44781</v>
      </c>
      <c r="B1469" t="s">
        <v>3519</v>
      </c>
      <c r="C1469">
        <v>74</v>
      </c>
      <c r="D1469" t="s">
        <v>14</v>
      </c>
      <c r="E1469" t="s">
        <v>22</v>
      </c>
      <c r="F1469" t="s">
        <v>11</v>
      </c>
      <c r="G1469" t="s">
        <v>12</v>
      </c>
      <c r="H1469">
        <v>4079.98</v>
      </c>
      <c r="I1469" s="8" t="str" cm="1">
        <f t="array" ref="I1469">_xlfn.IFS(C1469&lt;=15,"Children and Young Adolescents", C1469&gt;64, "Seniors", TRUE, "Working Age")</f>
        <v>Seniors</v>
      </c>
      <c r="J1469" s="6">
        <f>VLOOKUP(F1469,Analysis!$F$1:$G$5,2,FALSE)</f>
        <v>2503.6022787783854</v>
      </c>
      <c r="K1469">
        <f t="shared" si="88"/>
        <v>4487.97</v>
      </c>
      <c r="L1469">
        <f t="shared" si="89"/>
        <v>4487.9800000000005</v>
      </c>
      <c r="M1469">
        <f t="shared" si="90"/>
        <v>4487.9799999999996</v>
      </c>
      <c r="N1469" s="5" t="str">
        <f t="shared" si="91"/>
        <v>August 2022</v>
      </c>
    </row>
    <row r="1470" spans="1:14" x14ac:dyDescent="0.25">
      <c r="A1470" s="1">
        <v>44782</v>
      </c>
      <c r="B1470" t="s">
        <v>2996</v>
      </c>
      <c r="C1470">
        <v>0</v>
      </c>
      <c r="D1470" t="s">
        <v>9</v>
      </c>
      <c r="E1470" t="s">
        <v>32</v>
      </c>
      <c r="F1470" t="s">
        <v>16</v>
      </c>
      <c r="G1470" t="s">
        <v>36</v>
      </c>
      <c r="H1470">
        <v>4250.88</v>
      </c>
      <c r="I1470" s="8" t="str" cm="1">
        <f t="array" ref="I1470">_xlfn.IFS(C1470&lt;=15,"Children and Young Adolescents", C1470&gt;64, "Seniors", TRUE, "Working Age")</f>
        <v>Children and Young Adolescents</v>
      </c>
      <c r="J1470" s="6">
        <f>VLOOKUP(F1470,Analysis!$F$1:$G$5,2,FALSE)</f>
        <v>2509.1716796874912</v>
      </c>
      <c r="K1470">
        <f t="shared" si="88"/>
        <v>4675.96</v>
      </c>
      <c r="L1470">
        <f t="shared" si="89"/>
        <v>4675.97</v>
      </c>
      <c r="M1470">
        <f t="shared" si="90"/>
        <v>4675.97</v>
      </c>
      <c r="N1470" s="5" t="str">
        <f t="shared" si="91"/>
        <v>August 2022</v>
      </c>
    </row>
    <row r="1471" spans="1:14" x14ac:dyDescent="0.25">
      <c r="A1471" s="1">
        <v>44782</v>
      </c>
      <c r="B1471" t="s">
        <v>218</v>
      </c>
      <c r="C1471">
        <v>12</v>
      </c>
      <c r="D1471" t="s">
        <v>9</v>
      </c>
      <c r="E1471" t="s">
        <v>22</v>
      </c>
      <c r="F1471" t="s">
        <v>16</v>
      </c>
      <c r="G1471" t="s">
        <v>27</v>
      </c>
      <c r="H1471">
        <v>385.69</v>
      </c>
      <c r="I1471" s="8" t="str" cm="1">
        <f t="array" ref="I1471">_xlfn.IFS(C1471&lt;=15,"Children and Young Adolescents", C1471&gt;64, "Seniors", TRUE, "Working Age")</f>
        <v>Children and Young Adolescents</v>
      </c>
      <c r="J1471" s="6">
        <f>VLOOKUP(F1471,Analysis!$F$1:$G$5,2,FALSE)</f>
        <v>2509.1716796874912</v>
      </c>
      <c r="K1471">
        <f t="shared" si="88"/>
        <v>424.25</v>
      </c>
      <c r="L1471">
        <f t="shared" si="89"/>
        <v>424.26</v>
      </c>
      <c r="M1471">
        <f t="shared" si="90"/>
        <v>424.26</v>
      </c>
      <c r="N1471" s="5" t="str">
        <f t="shared" si="91"/>
        <v>August 2022</v>
      </c>
    </row>
    <row r="1472" spans="1:14" x14ac:dyDescent="0.25">
      <c r="A1472" s="1">
        <v>44782</v>
      </c>
      <c r="B1472" t="s">
        <v>5027</v>
      </c>
      <c r="C1472">
        <v>49</v>
      </c>
      <c r="D1472" t="s">
        <v>14</v>
      </c>
      <c r="E1472" t="s">
        <v>34</v>
      </c>
      <c r="F1472" t="s">
        <v>16</v>
      </c>
      <c r="G1472" t="s">
        <v>27</v>
      </c>
      <c r="H1472">
        <v>2652.31</v>
      </c>
      <c r="I1472" s="8" t="str" cm="1">
        <f t="array" ref="I1472">_xlfn.IFS(C1472&lt;=15,"Children and Young Adolescents", C1472&gt;64, "Seniors", TRUE, "Working Age")</f>
        <v>Working Age</v>
      </c>
      <c r="J1472" s="6">
        <f>VLOOKUP(F1472,Analysis!$F$1:$G$5,2,FALSE)</f>
        <v>2509.1716796874912</v>
      </c>
      <c r="K1472">
        <f t="shared" si="88"/>
        <v>2917.54</v>
      </c>
      <c r="L1472">
        <f t="shared" si="89"/>
        <v>2917.55</v>
      </c>
      <c r="M1472">
        <f t="shared" si="90"/>
        <v>2917.54</v>
      </c>
      <c r="N1472" s="5" t="str">
        <f t="shared" si="91"/>
        <v>August 2022</v>
      </c>
    </row>
    <row r="1473" spans="1:14" x14ac:dyDescent="0.25">
      <c r="A1473" s="1">
        <v>44782</v>
      </c>
      <c r="B1473" t="s">
        <v>2042</v>
      </c>
      <c r="C1473">
        <v>24</v>
      </c>
      <c r="D1473" t="s">
        <v>21</v>
      </c>
      <c r="E1473" t="s">
        <v>15</v>
      </c>
      <c r="F1473" t="s">
        <v>29</v>
      </c>
      <c r="G1473" t="s">
        <v>27</v>
      </c>
      <c r="H1473">
        <v>4984.55</v>
      </c>
      <c r="I1473" s="8" t="str" cm="1">
        <f t="array" ref="I1473">_xlfn.IFS(C1473&lt;=15,"Children and Young Adolescents", C1473&gt;64, "Seniors", TRUE, "Working Age")</f>
        <v>Working Age</v>
      </c>
      <c r="J1473" s="6">
        <f>VLOOKUP(F1473,Analysis!$F$1:$G$5,2,FALSE)</f>
        <v>2496.7676064256989</v>
      </c>
      <c r="K1473">
        <f t="shared" si="88"/>
        <v>5483</v>
      </c>
      <c r="L1473">
        <f t="shared" si="89"/>
        <v>5483.01</v>
      </c>
      <c r="M1473">
        <f t="shared" si="90"/>
        <v>5483.01</v>
      </c>
      <c r="N1473" s="5" t="str">
        <f t="shared" si="91"/>
        <v>August 2022</v>
      </c>
    </row>
    <row r="1474" spans="1:14" x14ac:dyDescent="0.25">
      <c r="A1474" s="1">
        <v>44782</v>
      </c>
      <c r="B1474" t="s">
        <v>3719</v>
      </c>
      <c r="C1474">
        <v>53</v>
      </c>
      <c r="D1474" t="s">
        <v>21</v>
      </c>
      <c r="E1474" t="s">
        <v>25</v>
      </c>
      <c r="F1474" t="s">
        <v>29</v>
      </c>
      <c r="G1474" t="s">
        <v>27</v>
      </c>
      <c r="H1474">
        <v>669.04</v>
      </c>
      <c r="I1474" s="8" t="str" cm="1">
        <f t="array" ref="I1474">_xlfn.IFS(C1474&lt;=15,"Children and Young Adolescents", C1474&gt;64, "Seniors", TRUE, "Working Age")</f>
        <v>Working Age</v>
      </c>
      <c r="J1474" s="6">
        <f>VLOOKUP(F1474,Analysis!$F$1:$G$5,2,FALSE)</f>
        <v>2496.7676064256989</v>
      </c>
      <c r="K1474">
        <f t="shared" si="88"/>
        <v>735.94</v>
      </c>
      <c r="L1474">
        <f t="shared" si="89"/>
        <v>735.95</v>
      </c>
      <c r="M1474">
        <f t="shared" si="90"/>
        <v>735.94</v>
      </c>
      <c r="N1474" s="5" t="str">
        <f t="shared" si="91"/>
        <v>August 2022</v>
      </c>
    </row>
    <row r="1475" spans="1:14" x14ac:dyDescent="0.25">
      <c r="A1475" s="1">
        <v>44782</v>
      </c>
      <c r="B1475" t="s">
        <v>1059</v>
      </c>
      <c r="C1475">
        <v>50</v>
      </c>
      <c r="D1475" t="s">
        <v>9</v>
      </c>
      <c r="E1475" t="s">
        <v>10</v>
      </c>
      <c r="F1475" t="s">
        <v>23</v>
      </c>
      <c r="G1475" t="s">
        <v>12</v>
      </c>
      <c r="H1475">
        <v>3300.63</v>
      </c>
      <c r="I1475" s="8" t="str" cm="1">
        <f t="array" ref="I1475">_xlfn.IFS(C1475&lt;=15,"Children and Young Adolescents", C1475&gt;64, "Seniors", TRUE, "Working Age")</f>
        <v>Working Age</v>
      </c>
      <c r="J1475" s="6">
        <f>VLOOKUP(F1475,Analysis!$F$1:$G$5,2,FALSE)</f>
        <v>2440.2966694490838</v>
      </c>
      <c r="K1475">
        <f t="shared" ref="K1475:K1538" si="92">ROUNDDOWN(H1475*1.1,2)</f>
        <v>3630.69</v>
      </c>
      <c r="L1475">
        <f t="shared" ref="L1475:L1538" si="93">ROUNDUP(H1475*1.1,2)</f>
        <v>3630.7000000000003</v>
      </c>
      <c r="M1475">
        <f t="shared" ref="M1475:M1538" si="94">ROUND(H1475*1.1,2)</f>
        <v>3630.69</v>
      </c>
      <c r="N1475" s="5" t="str">
        <f t="shared" ref="N1475:N1538" si="95">TEXT(A1475,"mmmm yyyy")</f>
        <v>August 2022</v>
      </c>
    </row>
    <row r="1476" spans="1:14" x14ac:dyDescent="0.25">
      <c r="A1476" s="1">
        <v>44782</v>
      </c>
      <c r="B1476" t="s">
        <v>2617</v>
      </c>
      <c r="C1476">
        <v>63</v>
      </c>
      <c r="D1476" t="s">
        <v>21</v>
      </c>
      <c r="E1476" t="s">
        <v>34</v>
      </c>
      <c r="F1476" t="s">
        <v>16</v>
      </c>
      <c r="G1476" t="s">
        <v>17</v>
      </c>
      <c r="H1476">
        <v>1916.55</v>
      </c>
      <c r="I1476" s="8" t="str" cm="1">
        <f t="array" ref="I1476">_xlfn.IFS(C1476&lt;=15,"Children and Young Adolescents", C1476&gt;64, "Seniors", TRUE, "Working Age")</f>
        <v>Working Age</v>
      </c>
      <c r="J1476" s="6">
        <f>VLOOKUP(F1476,Analysis!$F$1:$G$5,2,FALSE)</f>
        <v>2509.1716796874912</v>
      </c>
      <c r="K1476">
        <f t="shared" si="92"/>
        <v>2108.1999999999998</v>
      </c>
      <c r="L1476">
        <f t="shared" si="93"/>
        <v>2108.21</v>
      </c>
      <c r="M1476">
        <f t="shared" si="94"/>
        <v>2108.21</v>
      </c>
      <c r="N1476" s="5" t="str">
        <f t="shared" si="95"/>
        <v>August 2022</v>
      </c>
    </row>
    <row r="1477" spans="1:14" x14ac:dyDescent="0.25">
      <c r="A1477" s="1">
        <v>44783</v>
      </c>
      <c r="B1477" t="s">
        <v>155</v>
      </c>
      <c r="C1477">
        <v>68</v>
      </c>
      <c r="D1477" t="s">
        <v>14</v>
      </c>
      <c r="E1477" t="s">
        <v>15</v>
      </c>
      <c r="F1477" t="s">
        <v>16</v>
      </c>
      <c r="G1477" t="s">
        <v>36</v>
      </c>
      <c r="H1477">
        <v>3738.75</v>
      </c>
      <c r="I1477" s="8" t="str" cm="1">
        <f t="array" ref="I1477">_xlfn.IFS(C1477&lt;=15,"Children and Young Adolescents", C1477&gt;64, "Seniors", TRUE, "Working Age")</f>
        <v>Seniors</v>
      </c>
      <c r="J1477" s="6">
        <f>VLOOKUP(F1477,Analysis!$F$1:$G$5,2,FALSE)</f>
        <v>2509.1716796874912</v>
      </c>
      <c r="K1477">
        <f t="shared" si="92"/>
        <v>4112.62</v>
      </c>
      <c r="L1477">
        <f t="shared" si="93"/>
        <v>4112.63</v>
      </c>
      <c r="M1477">
        <f t="shared" si="94"/>
        <v>4112.63</v>
      </c>
      <c r="N1477" s="5" t="str">
        <f t="shared" si="95"/>
        <v>August 2022</v>
      </c>
    </row>
    <row r="1478" spans="1:14" x14ac:dyDescent="0.25">
      <c r="A1478" s="1">
        <v>44783</v>
      </c>
      <c r="B1478" t="s">
        <v>4928</v>
      </c>
      <c r="C1478">
        <v>47</v>
      </c>
      <c r="D1478" t="s">
        <v>9</v>
      </c>
      <c r="E1478" t="s">
        <v>19</v>
      </c>
      <c r="F1478" t="s">
        <v>29</v>
      </c>
      <c r="G1478" t="s">
        <v>17</v>
      </c>
      <c r="H1478">
        <v>2977.83</v>
      </c>
      <c r="I1478" s="8" t="str" cm="1">
        <f t="array" ref="I1478">_xlfn.IFS(C1478&lt;=15,"Children and Young Adolescents", C1478&gt;64, "Seniors", TRUE, "Working Age")</f>
        <v>Working Age</v>
      </c>
      <c r="J1478" s="6">
        <f>VLOOKUP(F1478,Analysis!$F$1:$G$5,2,FALSE)</f>
        <v>2496.7676064256989</v>
      </c>
      <c r="K1478">
        <f t="shared" si="92"/>
        <v>3275.61</v>
      </c>
      <c r="L1478">
        <f t="shared" si="93"/>
        <v>3275.6200000000003</v>
      </c>
      <c r="M1478">
        <f t="shared" si="94"/>
        <v>3275.61</v>
      </c>
      <c r="N1478" s="5" t="str">
        <f t="shared" si="95"/>
        <v>August 2022</v>
      </c>
    </row>
    <row r="1479" spans="1:14" x14ac:dyDescent="0.25">
      <c r="A1479" s="1">
        <v>44783</v>
      </c>
      <c r="B1479" t="s">
        <v>3080</v>
      </c>
      <c r="C1479">
        <v>19</v>
      </c>
      <c r="D1479" t="s">
        <v>21</v>
      </c>
      <c r="E1479" t="s">
        <v>34</v>
      </c>
      <c r="F1479" t="s">
        <v>29</v>
      </c>
      <c r="G1479" t="s">
        <v>27</v>
      </c>
      <c r="H1479">
        <v>3335.17</v>
      </c>
      <c r="I1479" s="8" t="str" cm="1">
        <f t="array" ref="I1479">_xlfn.IFS(C1479&lt;=15,"Children and Young Adolescents", C1479&gt;64, "Seniors", TRUE, "Working Age")</f>
        <v>Working Age</v>
      </c>
      <c r="J1479" s="6">
        <f>VLOOKUP(F1479,Analysis!$F$1:$G$5,2,FALSE)</f>
        <v>2496.7676064256989</v>
      </c>
      <c r="K1479">
        <f t="shared" si="92"/>
        <v>3668.68</v>
      </c>
      <c r="L1479">
        <f t="shared" si="93"/>
        <v>3668.69</v>
      </c>
      <c r="M1479">
        <f t="shared" si="94"/>
        <v>3668.69</v>
      </c>
      <c r="N1479" s="5" t="str">
        <f t="shared" si="95"/>
        <v>August 2022</v>
      </c>
    </row>
    <row r="1480" spans="1:14" x14ac:dyDescent="0.25">
      <c r="A1480" s="1">
        <v>44783</v>
      </c>
      <c r="B1480" t="s">
        <v>4133</v>
      </c>
      <c r="C1480">
        <v>80</v>
      </c>
      <c r="D1480" t="s">
        <v>21</v>
      </c>
      <c r="E1480" t="s">
        <v>5032</v>
      </c>
      <c r="F1480" t="s">
        <v>11</v>
      </c>
      <c r="G1480" t="s">
        <v>36</v>
      </c>
      <c r="H1480">
        <v>4494.53</v>
      </c>
      <c r="I1480" s="8" t="str" cm="1">
        <f t="array" ref="I1480">_xlfn.IFS(C1480&lt;=15,"Children and Young Adolescents", C1480&gt;64, "Seniors", TRUE, "Working Age")</f>
        <v>Seniors</v>
      </c>
      <c r="J1480" s="6">
        <f>VLOOKUP(F1480,Analysis!$F$1:$G$5,2,FALSE)</f>
        <v>2503.6022787783854</v>
      </c>
      <c r="K1480">
        <f t="shared" si="92"/>
        <v>4943.9799999999996</v>
      </c>
      <c r="L1480">
        <f t="shared" si="93"/>
        <v>4943.99</v>
      </c>
      <c r="M1480">
        <f t="shared" si="94"/>
        <v>4943.9799999999996</v>
      </c>
      <c r="N1480" s="5" t="str">
        <f t="shared" si="95"/>
        <v>August 2022</v>
      </c>
    </row>
    <row r="1481" spans="1:14" x14ac:dyDescent="0.25">
      <c r="A1481" s="1">
        <v>44783</v>
      </c>
      <c r="B1481" t="s">
        <v>4100</v>
      </c>
      <c r="C1481">
        <v>76</v>
      </c>
      <c r="D1481" t="s">
        <v>14</v>
      </c>
      <c r="E1481" t="s">
        <v>10</v>
      </c>
      <c r="F1481" t="s">
        <v>29</v>
      </c>
      <c r="G1481" t="s">
        <v>27</v>
      </c>
      <c r="H1481">
        <v>1611.21</v>
      </c>
      <c r="I1481" s="8" t="str" cm="1">
        <f t="array" ref="I1481">_xlfn.IFS(C1481&lt;=15,"Children and Young Adolescents", C1481&gt;64, "Seniors", TRUE, "Working Age")</f>
        <v>Seniors</v>
      </c>
      <c r="J1481" s="6">
        <f>VLOOKUP(F1481,Analysis!$F$1:$G$5,2,FALSE)</f>
        <v>2496.7676064256989</v>
      </c>
      <c r="K1481">
        <f t="shared" si="92"/>
        <v>1772.33</v>
      </c>
      <c r="L1481">
        <f t="shared" si="93"/>
        <v>1772.34</v>
      </c>
      <c r="M1481">
        <f t="shared" si="94"/>
        <v>1772.33</v>
      </c>
      <c r="N1481" s="5" t="str">
        <f t="shared" si="95"/>
        <v>August 2022</v>
      </c>
    </row>
    <row r="1482" spans="1:14" x14ac:dyDescent="0.25">
      <c r="A1482" s="1">
        <v>44784</v>
      </c>
      <c r="B1482" t="s">
        <v>1891</v>
      </c>
      <c r="C1482">
        <v>78</v>
      </c>
      <c r="D1482" t="s">
        <v>9</v>
      </c>
      <c r="E1482" t="s">
        <v>34</v>
      </c>
      <c r="F1482" t="s">
        <v>16</v>
      </c>
      <c r="G1482" t="s">
        <v>39</v>
      </c>
      <c r="H1482">
        <v>1207.98</v>
      </c>
      <c r="I1482" s="8" t="str" cm="1">
        <f t="array" ref="I1482">_xlfn.IFS(C1482&lt;=15,"Children and Young Adolescents", C1482&gt;64, "Seniors", TRUE, "Working Age")</f>
        <v>Seniors</v>
      </c>
      <c r="J1482" s="6">
        <f>VLOOKUP(F1482,Analysis!$F$1:$G$5,2,FALSE)</f>
        <v>2509.1716796874912</v>
      </c>
      <c r="K1482">
        <f t="shared" si="92"/>
        <v>1328.77</v>
      </c>
      <c r="L1482">
        <f t="shared" si="93"/>
        <v>1328.78</v>
      </c>
      <c r="M1482">
        <f t="shared" si="94"/>
        <v>1328.78</v>
      </c>
      <c r="N1482" s="5" t="str">
        <f t="shared" si="95"/>
        <v>August 2022</v>
      </c>
    </row>
    <row r="1483" spans="1:14" x14ac:dyDescent="0.25">
      <c r="A1483" s="1">
        <v>44784</v>
      </c>
      <c r="B1483" t="s">
        <v>911</v>
      </c>
      <c r="C1483">
        <v>9</v>
      </c>
      <c r="D1483" t="s">
        <v>21</v>
      </c>
      <c r="E1483" t="s">
        <v>19</v>
      </c>
      <c r="F1483" t="s">
        <v>29</v>
      </c>
      <c r="G1483" t="s">
        <v>5033</v>
      </c>
      <c r="H1483">
        <v>223</v>
      </c>
      <c r="I1483" s="8" t="str" cm="1">
        <f t="array" ref="I1483">_xlfn.IFS(C1483&lt;=15,"Children and Young Adolescents", C1483&gt;64, "Seniors", TRUE, "Working Age")</f>
        <v>Children and Young Adolescents</v>
      </c>
      <c r="J1483" s="6">
        <f>VLOOKUP(F1483,Analysis!$F$1:$G$5,2,FALSE)</f>
        <v>2496.7676064256989</v>
      </c>
      <c r="K1483">
        <f t="shared" si="92"/>
        <v>245.3</v>
      </c>
      <c r="L1483">
        <f t="shared" si="93"/>
        <v>245.3</v>
      </c>
      <c r="M1483">
        <f t="shared" si="94"/>
        <v>245.3</v>
      </c>
      <c r="N1483" s="5" t="str">
        <f t="shared" si="95"/>
        <v>August 2022</v>
      </c>
    </row>
    <row r="1484" spans="1:14" x14ac:dyDescent="0.25">
      <c r="A1484" s="1">
        <v>44784</v>
      </c>
      <c r="B1484" t="s">
        <v>4701</v>
      </c>
      <c r="C1484">
        <v>13</v>
      </c>
      <c r="D1484" t="s">
        <v>9</v>
      </c>
      <c r="E1484" t="s">
        <v>22</v>
      </c>
      <c r="F1484" t="s">
        <v>16</v>
      </c>
      <c r="G1484" t="s">
        <v>17</v>
      </c>
      <c r="H1484">
        <v>2847.11</v>
      </c>
      <c r="I1484" s="8" t="str" cm="1">
        <f t="array" ref="I1484">_xlfn.IFS(C1484&lt;=15,"Children and Young Adolescents", C1484&gt;64, "Seniors", TRUE, "Working Age")</f>
        <v>Children and Young Adolescents</v>
      </c>
      <c r="J1484" s="6">
        <f>VLOOKUP(F1484,Analysis!$F$1:$G$5,2,FALSE)</f>
        <v>2509.1716796874912</v>
      </c>
      <c r="K1484">
        <f t="shared" si="92"/>
        <v>3131.82</v>
      </c>
      <c r="L1484">
        <f t="shared" si="93"/>
        <v>3131.8300000000004</v>
      </c>
      <c r="M1484">
        <f t="shared" si="94"/>
        <v>3131.82</v>
      </c>
      <c r="N1484" s="5" t="str">
        <f t="shared" si="95"/>
        <v>August 2022</v>
      </c>
    </row>
    <row r="1485" spans="1:14" x14ac:dyDescent="0.25">
      <c r="A1485" s="1">
        <v>44784</v>
      </c>
      <c r="B1485" t="s">
        <v>4712</v>
      </c>
      <c r="C1485">
        <v>44</v>
      </c>
      <c r="D1485" t="s">
        <v>14</v>
      </c>
      <c r="E1485" t="s">
        <v>32</v>
      </c>
      <c r="F1485" t="s">
        <v>29</v>
      </c>
      <c r="G1485" t="s">
        <v>27</v>
      </c>
      <c r="H1485">
        <v>563.27</v>
      </c>
      <c r="I1485" s="8" t="str" cm="1">
        <f t="array" ref="I1485">_xlfn.IFS(C1485&lt;=15,"Children and Young Adolescents", C1485&gt;64, "Seniors", TRUE, "Working Age")</f>
        <v>Working Age</v>
      </c>
      <c r="J1485" s="6">
        <f>VLOOKUP(F1485,Analysis!$F$1:$G$5,2,FALSE)</f>
        <v>2496.7676064256989</v>
      </c>
      <c r="K1485">
        <f t="shared" si="92"/>
        <v>619.59</v>
      </c>
      <c r="L1485">
        <f t="shared" si="93"/>
        <v>619.6</v>
      </c>
      <c r="M1485">
        <f t="shared" si="94"/>
        <v>619.6</v>
      </c>
      <c r="N1485" s="5" t="str">
        <f t="shared" si="95"/>
        <v>August 2022</v>
      </c>
    </row>
    <row r="1486" spans="1:14" x14ac:dyDescent="0.25">
      <c r="A1486" s="1">
        <v>44784</v>
      </c>
      <c r="B1486" t="s">
        <v>2535</v>
      </c>
      <c r="C1486">
        <v>62</v>
      </c>
      <c r="D1486" t="s">
        <v>14</v>
      </c>
      <c r="E1486" t="s">
        <v>5032</v>
      </c>
      <c r="F1486" t="s">
        <v>23</v>
      </c>
      <c r="G1486" t="s">
        <v>17</v>
      </c>
      <c r="H1486">
        <v>1371.06</v>
      </c>
      <c r="I1486" s="8" t="str" cm="1">
        <f t="array" ref="I1486">_xlfn.IFS(C1486&lt;=15,"Children and Young Adolescents", C1486&gt;64, "Seniors", TRUE, "Working Age")</f>
        <v>Working Age</v>
      </c>
      <c r="J1486" s="6">
        <f>VLOOKUP(F1486,Analysis!$F$1:$G$5,2,FALSE)</f>
        <v>2440.2966694490838</v>
      </c>
      <c r="K1486">
        <f t="shared" si="92"/>
        <v>1508.16</v>
      </c>
      <c r="L1486">
        <f t="shared" si="93"/>
        <v>1508.17</v>
      </c>
      <c r="M1486">
        <f t="shared" si="94"/>
        <v>1508.17</v>
      </c>
      <c r="N1486" s="5" t="str">
        <f t="shared" si="95"/>
        <v>August 2022</v>
      </c>
    </row>
    <row r="1487" spans="1:14" x14ac:dyDescent="0.25">
      <c r="A1487" s="1">
        <v>44784</v>
      </c>
      <c r="B1487" t="s">
        <v>3724</v>
      </c>
      <c r="C1487">
        <v>1</v>
      </c>
      <c r="D1487" t="s">
        <v>14</v>
      </c>
      <c r="E1487" t="s">
        <v>19</v>
      </c>
      <c r="F1487" t="s">
        <v>11</v>
      </c>
      <c r="G1487" t="s">
        <v>12</v>
      </c>
      <c r="H1487">
        <v>2835.6</v>
      </c>
      <c r="I1487" s="8" t="str" cm="1">
        <f t="array" ref="I1487">_xlfn.IFS(C1487&lt;=15,"Children and Young Adolescents", C1487&gt;64, "Seniors", TRUE, "Working Age")</f>
        <v>Children and Young Adolescents</v>
      </c>
      <c r="J1487" s="6">
        <f>VLOOKUP(F1487,Analysis!$F$1:$G$5,2,FALSE)</f>
        <v>2503.6022787783854</v>
      </c>
      <c r="K1487">
        <f t="shared" si="92"/>
        <v>3119.16</v>
      </c>
      <c r="L1487">
        <f t="shared" si="93"/>
        <v>3119.16</v>
      </c>
      <c r="M1487">
        <f t="shared" si="94"/>
        <v>3119.16</v>
      </c>
      <c r="N1487" s="5" t="str">
        <f t="shared" si="95"/>
        <v>August 2022</v>
      </c>
    </row>
    <row r="1488" spans="1:14" x14ac:dyDescent="0.25">
      <c r="A1488" s="1">
        <v>44785</v>
      </c>
      <c r="B1488" t="s">
        <v>3920</v>
      </c>
      <c r="C1488">
        <v>15</v>
      </c>
      <c r="D1488" t="s">
        <v>14</v>
      </c>
      <c r="E1488" t="s">
        <v>32</v>
      </c>
      <c r="F1488" t="s">
        <v>11</v>
      </c>
      <c r="G1488" t="s">
        <v>39</v>
      </c>
      <c r="H1488">
        <v>3728.46</v>
      </c>
      <c r="I1488" s="8" t="str" cm="1">
        <f t="array" ref="I1488">_xlfn.IFS(C1488&lt;=15,"Children and Young Adolescents", C1488&gt;64, "Seniors", TRUE, "Working Age")</f>
        <v>Children and Young Adolescents</v>
      </c>
      <c r="J1488" s="6">
        <f>VLOOKUP(F1488,Analysis!$F$1:$G$5,2,FALSE)</f>
        <v>2503.6022787783854</v>
      </c>
      <c r="K1488">
        <f t="shared" si="92"/>
        <v>4101.3</v>
      </c>
      <c r="L1488">
        <f t="shared" si="93"/>
        <v>4101.3100000000004</v>
      </c>
      <c r="M1488">
        <f t="shared" si="94"/>
        <v>4101.3100000000004</v>
      </c>
      <c r="N1488" s="5" t="str">
        <f t="shared" si="95"/>
        <v>August 2022</v>
      </c>
    </row>
    <row r="1489" spans="1:14" x14ac:dyDescent="0.25">
      <c r="A1489" s="1">
        <v>44785</v>
      </c>
      <c r="B1489" t="s">
        <v>1717</v>
      </c>
      <c r="C1489">
        <v>10</v>
      </c>
      <c r="D1489" t="s">
        <v>9</v>
      </c>
      <c r="E1489" t="s">
        <v>22</v>
      </c>
      <c r="F1489" t="s">
        <v>23</v>
      </c>
      <c r="G1489" t="s">
        <v>36</v>
      </c>
      <c r="H1489">
        <v>4371.3900000000003</v>
      </c>
      <c r="I1489" s="8" t="str" cm="1">
        <f t="array" ref="I1489">_xlfn.IFS(C1489&lt;=15,"Children and Young Adolescents", C1489&gt;64, "Seniors", TRUE, "Working Age")</f>
        <v>Children and Young Adolescents</v>
      </c>
      <c r="J1489" s="6">
        <f>VLOOKUP(F1489,Analysis!$F$1:$G$5,2,FALSE)</f>
        <v>2440.2966694490838</v>
      </c>
      <c r="K1489">
        <f t="shared" si="92"/>
        <v>4808.5200000000004</v>
      </c>
      <c r="L1489">
        <f t="shared" si="93"/>
        <v>4808.5300000000007</v>
      </c>
      <c r="M1489">
        <f t="shared" si="94"/>
        <v>4808.53</v>
      </c>
      <c r="N1489" s="5" t="str">
        <f t="shared" si="95"/>
        <v>August 2022</v>
      </c>
    </row>
    <row r="1490" spans="1:14" x14ac:dyDescent="0.25">
      <c r="A1490" s="1">
        <v>44785</v>
      </c>
      <c r="B1490" t="s">
        <v>3677</v>
      </c>
      <c r="C1490">
        <v>11</v>
      </c>
      <c r="D1490" t="s">
        <v>21</v>
      </c>
      <c r="E1490" t="s">
        <v>32</v>
      </c>
      <c r="F1490" t="s">
        <v>11</v>
      </c>
      <c r="G1490" t="s">
        <v>39</v>
      </c>
      <c r="H1490">
        <v>4174.22</v>
      </c>
      <c r="I1490" s="8" t="str" cm="1">
        <f t="array" ref="I1490">_xlfn.IFS(C1490&lt;=15,"Children and Young Adolescents", C1490&gt;64, "Seniors", TRUE, "Working Age")</f>
        <v>Children and Young Adolescents</v>
      </c>
      <c r="J1490" s="6">
        <f>VLOOKUP(F1490,Analysis!$F$1:$G$5,2,FALSE)</f>
        <v>2503.6022787783854</v>
      </c>
      <c r="K1490">
        <f t="shared" si="92"/>
        <v>4591.6400000000003</v>
      </c>
      <c r="L1490">
        <f t="shared" si="93"/>
        <v>4591.6500000000005</v>
      </c>
      <c r="M1490">
        <f t="shared" si="94"/>
        <v>4591.6400000000003</v>
      </c>
      <c r="N1490" s="5" t="str">
        <f t="shared" si="95"/>
        <v>August 2022</v>
      </c>
    </row>
    <row r="1491" spans="1:14" x14ac:dyDescent="0.25">
      <c r="A1491" s="1">
        <v>44785</v>
      </c>
      <c r="B1491" t="s">
        <v>3696</v>
      </c>
      <c r="C1491">
        <v>42</v>
      </c>
      <c r="D1491" t="s">
        <v>9</v>
      </c>
      <c r="E1491" t="s">
        <v>22</v>
      </c>
      <c r="F1491" t="s">
        <v>16</v>
      </c>
      <c r="G1491" t="s">
        <v>12</v>
      </c>
      <c r="H1491">
        <v>4107.43</v>
      </c>
      <c r="I1491" s="8" t="str" cm="1">
        <f t="array" ref="I1491">_xlfn.IFS(C1491&lt;=15,"Children and Young Adolescents", C1491&gt;64, "Seniors", TRUE, "Working Age")</f>
        <v>Working Age</v>
      </c>
      <c r="J1491" s="6">
        <f>VLOOKUP(F1491,Analysis!$F$1:$G$5,2,FALSE)</f>
        <v>2509.1716796874912</v>
      </c>
      <c r="K1491">
        <f t="shared" si="92"/>
        <v>4518.17</v>
      </c>
      <c r="L1491">
        <f t="shared" si="93"/>
        <v>4518.18</v>
      </c>
      <c r="M1491">
        <f t="shared" si="94"/>
        <v>4518.17</v>
      </c>
      <c r="N1491" s="5" t="str">
        <f t="shared" si="95"/>
        <v>August 2022</v>
      </c>
    </row>
    <row r="1492" spans="1:14" x14ac:dyDescent="0.25">
      <c r="A1492" s="1">
        <v>44785</v>
      </c>
      <c r="B1492" t="s">
        <v>1569</v>
      </c>
      <c r="C1492">
        <v>90</v>
      </c>
      <c r="D1492" t="s">
        <v>14</v>
      </c>
      <c r="E1492" t="s">
        <v>32</v>
      </c>
      <c r="F1492" t="s">
        <v>23</v>
      </c>
      <c r="G1492" t="s">
        <v>17</v>
      </c>
      <c r="H1492">
        <v>2487.3000000000002</v>
      </c>
      <c r="I1492" s="8" t="str" cm="1">
        <f t="array" ref="I1492">_xlfn.IFS(C1492&lt;=15,"Children and Young Adolescents", C1492&gt;64, "Seniors", TRUE, "Working Age")</f>
        <v>Seniors</v>
      </c>
      <c r="J1492" s="6">
        <f>VLOOKUP(F1492,Analysis!$F$1:$G$5,2,FALSE)</f>
        <v>2440.2966694490838</v>
      </c>
      <c r="K1492">
        <f t="shared" si="92"/>
        <v>2736.03</v>
      </c>
      <c r="L1492">
        <f t="shared" si="93"/>
        <v>2736.03</v>
      </c>
      <c r="M1492">
        <f t="shared" si="94"/>
        <v>2736.03</v>
      </c>
      <c r="N1492" s="5" t="str">
        <f t="shared" si="95"/>
        <v>August 2022</v>
      </c>
    </row>
    <row r="1493" spans="1:14" x14ac:dyDescent="0.25">
      <c r="A1493" s="1">
        <v>44786</v>
      </c>
      <c r="B1493" t="s">
        <v>3422</v>
      </c>
      <c r="C1493">
        <v>94</v>
      </c>
      <c r="D1493" t="s">
        <v>9</v>
      </c>
      <c r="E1493" t="s">
        <v>10</v>
      </c>
      <c r="F1493" t="s">
        <v>11</v>
      </c>
      <c r="G1493" t="s">
        <v>12</v>
      </c>
      <c r="H1493">
        <v>2506.7800000000002</v>
      </c>
      <c r="I1493" s="8" t="str" cm="1">
        <f t="array" ref="I1493">_xlfn.IFS(C1493&lt;=15,"Children and Young Adolescents", C1493&gt;64, "Seniors", TRUE, "Working Age")</f>
        <v>Seniors</v>
      </c>
      <c r="J1493" s="6">
        <f>VLOOKUP(F1493,Analysis!$F$1:$G$5,2,FALSE)</f>
        <v>2503.6022787783854</v>
      </c>
      <c r="K1493">
        <f t="shared" si="92"/>
        <v>2757.45</v>
      </c>
      <c r="L1493">
        <f t="shared" si="93"/>
        <v>2757.46</v>
      </c>
      <c r="M1493">
        <f t="shared" si="94"/>
        <v>2757.46</v>
      </c>
      <c r="N1493" s="5" t="str">
        <f t="shared" si="95"/>
        <v>August 2022</v>
      </c>
    </row>
    <row r="1494" spans="1:14" x14ac:dyDescent="0.25">
      <c r="A1494" s="1">
        <v>44786</v>
      </c>
      <c r="B1494" t="s">
        <v>4355</v>
      </c>
      <c r="C1494">
        <v>14</v>
      </c>
      <c r="D1494" t="s">
        <v>14</v>
      </c>
      <c r="E1494" t="s">
        <v>19</v>
      </c>
      <c r="F1494" t="s">
        <v>23</v>
      </c>
      <c r="G1494" t="s">
        <v>39</v>
      </c>
      <c r="H1494">
        <v>2105.21</v>
      </c>
      <c r="I1494" s="8" t="str" cm="1">
        <f t="array" ref="I1494">_xlfn.IFS(C1494&lt;=15,"Children and Young Adolescents", C1494&gt;64, "Seniors", TRUE, "Working Age")</f>
        <v>Children and Young Adolescents</v>
      </c>
      <c r="J1494" s="6">
        <f>VLOOKUP(F1494,Analysis!$F$1:$G$5,2,FALSE)</f>
        <v>2440.2966694490838</v>
      </c>
      <c r="K1494">
        <f t="shared" si="92"/>
        <v>2315.73</v>
      </c>
      <c r="L1494">
        <f t="shared" si="93"/>
        <v>2315.7400000000002</v>
      </c>
      <c r="M1494">
        <f t="shared" si="94"/>
        <v>2315.73</v>
      </c>
      <c r="N1494" s="5" t="str">
        <f t="shared" si="95"/>
        <v>August 2022</v>
      </c>
    </row>
    <row r="1495" spans="1:14" x14ac:dyDescent="0.25">
      <c r="A1495" s="1">
        <v>44786</v>
      </c>
      <c r="B1495" t="s">
        <v>4434</v>
      </c>
      <c r="C1495">
        <v>63</v>
      </c>
      <c r="D1495" t="s">
        <v>14</v>
      </c>
      <c r="E1495" t="s">
        <v>34</v>
      </c>
      <c r="F1495" t="s">
        <v>11</v>
      </c>
      <c r="G1495" t="s">
        <v>17</v>
      </c>
      <c r="H1495">
        <v>4471.3900000000003</v>
      </c>
      <c r="I1495" s="8" t="str" cm="1">
        <f t="array" ref="I1495">_xlfn.IFS(C1495&lt;=15,"Children and Young Adolescents", C1495&gt;64, "Seniors", TRUE, "Working Age")</f>
        <v>Working Age</v>
      </c>
      <c r="J1495" s="6">
        <f>VLOOKUP(F1495,Analysis!$F$1:$G$5,2,FALSE)</f>
        <v>2503.6022787783854</v>
      </c>
      <c r="K1495">
        <f t="shared" si="92"/>
        <v>4918.5200000000004</v>
      </c>
      <c r="L1495">
        <f t="shared" si="93"/>
        <v>4918.5300000000007</v>
      </c>
      <c r="M1495">
        <f t="shared" si="94"/>
        <v>4918.53</v>
      </c>
      <c r="N1495" s="5" t="str">
        <f t="shared" si="95"/>
        <v>August 2022</v>
      </c>
    </row>
    <row r="1496" spans="1:14" x14ac:dyDescent="0.25">
      <c r="A1496" s="1">
        <v>44786</v>
      </c>
      <c r="B1496" t="s">
        <v>3812</v>
      </c>
      <c r="C1496">
        <v>1</v>
      </c>
      <c r="D1496" t="s">
        <v>14</v>
      </c>
      <c r="E1496" t="s">
        <v>19</v>
      </c>
      <c r="F1496" t="s">
        <v>23</v>
      </c>
      <c r="G1496" t="s">
        <v>36</v>
      </c>
      <c r="H1496">
        <v>689.56</v>
      </c>
      <c r="I1496" s="8" t="str" cm="1">
        <f t="array" ref="I1496">_xlfn.IFS(C1496&lt;=15,"Children and Young Adolescents", C1496&gt;64, "Seniors", TRUE, "Working Age")</f>
        <v>Children and Young Adolescents</v>
      </c>
      <c r="J1496" s="6">
        <f>VLOOKUP(F1496,Analysis!$F$1:$G$5,2,FALSE)</f>
        <v>2440.2966694490838</v>
      </c>
      <c r="K1496">
        <f t="shared" si="92"/>
        <v>758.51</v>
      </c>
      <c r="L1496">
        <f t="shared" si="93"/>
        <v>758.52</v>
      </c>
      <c r="M1496">
        <f t="shared" si="94"/>
        <v>758.52</v>
      </c>
      <c r="N1496" s="5" t="str">
        <f t="shared" si="95"/>
        <v>August 2022</v>
      </c>
    </row>
    <row r="1497" spans="1:14" x14ac:dyDescent="0.25">
      <c r="A1497" s="1">
        <v>44786</v>
      </c>
      <c r="B1497" t="s">
        <v>3552</v>
      </c>
      <c r="C1497">
        <v>49</v>
      </c>
      <c r="D1497" t="s">
        <v>21</v>
      </c>
      <c r="E1497" t="s">
        <v>25</v>
      </c>
      <c r="F1497" t="s">
        <v>11</v>
      </c>
      <c r="G1497" t="s">
        <v>12</v>
      </c>
      <c r="H1497">
        <v>1962.3</v>
      </c>
      <c r="I1497" s="8" t="str" cm="1">
        <f t="array" ref="I1497">_xlfn.IFS(C1497&lt;=15,"Children and Young Adolescents", C1497&gt;64, "Seniors", TRUE, "Working Age")</f>
        <v>Working Age</v>
      </c>
      <c r="J1497" s="6">
        <f>VLOOKUP(F1497,Analysis!$F$1:$G$5,2,FALSE)</f>
        <v>2503.6022787783854</v>
      </c>
      <c r="K1497">
        <f t="shared" si="92"/>
        <v>2158.5300000000002</v>
      </c>
      <c r="L1497">
        <f t="shared" si="93"/>
        <v>2158.5300000000002</v>
      </c>
      <c r="M1497">
        <f t="shared" si="94"/>
        <v>2158.5300000000002</v>
      </c>
      <c r="N1497" s="5" t="str">
        <f t="shared" si="95"/>
        <v>August 2022</v>
      </c>
    </row>
    <row r="1498" spans="1:14" x14ac:dyDescent="0.25">
      <c r="A1498" s="1">
        <v>44786</v>
      </c>
      <c r="B1498" t="s">
        <v>2260</v>
      </c>
      <c r="C1498">
        <v>68</v>
      </c>
      <c r="D1498" t="s">
        <v>21</v>
      </c>
      <c r="E1498" t="s">
        <v>22</v>
      </c>
      <c r="F1498" t="s">
        <v>16</v>
      </c>
      <c r="G1498" t="s">
        <v>39</v>
      </c>
      <c r="H1498">
        <v>615.32000000000005</v>
      </c>
      <c r="I1498" s="8" t="str" cm="1">
        <f t="array" ref="I1498">_xlfn.IFS(C1498&lt;=15,"Children and Young Adolescents", C1498&gt;64, "Seniors", TRUE, "Working Age")</f>
        <v>Seniors</v>
      </c>
      <c r="J1498" s="6">
        <f>VLOOKUP(F1498,Analysis!$F$1:$G$5,2,FALSE)</f>
        <v>2509.1716796874912</v>
      </c>
      <c r="K1498">
        <f t="shared" si="92"/>
        <v>676.85</v>
      </c>
      <c r="L1498">
        <f t="shared" si="93"/>
        <v>676.86</v>
      </c>
      <c r="M1498">
        <f t="shared" si="94"/>
        <v>676.85</v>
      </c>
      <c r="N1498" s="5" t="str">
        <f t="shared" si="95"/>
        <v>August 2022</v>
      </c>
    </row>
    <row r="1499" spans="1:14" x14ac:dyDescent="0.25">
      <c r="A1499" s="1">
        <v>44786</v>
      </c>
      <c r="B1499" t="s">
        <v>335</v>
      </c>
      <c r="C1499">
        <v>84</v>
      </c>
      <c r="D1499" t="s">
        <v>21</v>
      </c>
      <c r="E1499" t="s">
        <v>32</v>
      </c>
      <c r="F1499" t="s">
        <v>23</v>
      </c>
      <c r="G1499" t="s">
        <v>27</v>
      </c>
      <c r="H1499">
        <v>340.76</v>
      </c>
      <c r="I1499" s="8" t="str" cm="1">
        <f t="array" ref="I1499">_xlfn.IFS(C1499&lt;=15,"Children and Young Adolescents", C1499&gt;64, "Seniors", TRUE, "Working Age")</f>
        <v>Seniors</v>
      </c>
      <c r="J1499" s="6">
        <f>VLOOKUP(F1499,Analysis!$F$1:$G$5,2,FALSE)</f>
        <v>2440.2966694490838</v>
      </c>
      <c r="K1499">
        <f t="shared" si="92"/>
        <v>374.83</v>
      </c>
      <c r="L1499">
        <f t="shared" si="93"/>
        <v>374.84</v>
      </c>
      <c r="M1499">
        <f t="shared" si="94"/>
        <v>374.84</v>
      </c>
      <c r="N1499" s="5" t="str">
        <f t="shared" si="95"/>
        <v>August 2022</v>
      </c>
    </row>
    <row r="1500" spans="1:14" x14ac:dyDescent="0.25">
      <c r="A1500" s="1">
        <v>44787</v>
      </c>
      <c r="B1500" t="s">
        <v>482</v>
      </c>
      <c r="C1500">
        <v>97</v>
      </c>
      <c r="D1500" t="s">
        <v>21</v>
      </c>
      <c r="E1500" t="s">
        <v>19</v>
      </c>
      <c r="F1500" t="s">
        <v>11</v>
      </c>
      <c r="G1500" t="s">
        <v>17</v>
      </c>
      <c r="H1500">
        <v>952.52</v>
      </c>
      <c r="I1500" s="8" t="str" cm="1">
        <f t="array" ref="I1500">_xlfn.IFS(C1500&lt;=15,"Children and Young Adolescents", C1500&gt;64, "Seniors", TRUE, "Working Age")</f>
        <v>Seniors</v>
      </c>
      <c r="J1500" s="6">
        <f>VLOOKUP(F1500,Analysis!$F$1:$G$5,2,FALSE)</f>
        <v>2503.6022787783854</v>
      </c>
      <c r="K1500">
        <f t="shared" si="92"/>
        <v>1047.77</v>
      </c>
      <c r="L1500">
        <f t="shared" si="93"/>
        <v>1047.78</v>
      </c>
      <c r="M1500">
        <f t="shared" si="94"/>
        <v>1047.77</v>
      </c>
      <c r="N1500" s="5" t="str">
        <f t="shared" si="95"/>
        <v>August 2022</v>
      </c>
    </row>
    <row r="1501" spans="1:14" x14ac:dyDescent="0.25">
      <c r="A1501" s="1">
        <v>44787</v>
      </c>
      <c r="B1501" t="s">
        <v>1467</v>
      </c>
      <c r="C1501">
        <v>35</v>
      </c>
      <c r="D1501" t="s">
        <v>9</v>
      </c>
      <c r="E1501" t="s">
        <v>22</v>
      </c>
      <c r="F1501" t="s">
        <v>29</v>
      </c>
      <c r="G1501" t="s">
        <v>39</v>
      </c>
      <c r="H1501">
        <v>4639.3500000000004</v>
      </c>
      <c r="I1501" s="8" t="str" cm="1">
        <f t="array" ref="I1501">_xlfn.IFS(C1501&lt;=15,"Children and Young Adolescents", C1501&gt;64, "Seniors", TRUE, "Working Age")</f>
        <v>Working Age</v>
      </c>
      <c r="J1501" s="6">
        <f>VLOOKUP(F1501,Analysis!$F$1:$G$5,2,FALSE)</f>
        <v>2496.7676064256989</v>
      </c>
      <c r="K1501">
        <f t="shared" si="92"/>
        <v>5103.28</v>
      </c>
      <c r="L1501">
        <f t="shared" si="93"/>
        <v>5103.29</v>
      </c>
      <c r="M1501">
        <f t="shared" si="94"/>
        <v>5103.29</v>
      </c>
      <c r="N1501" s="5" t="str">
        <f t="shared" si="95"/>
        <v>August 2022</v>
      </c>
    </row>
    <row r="1502" spans="1:14" x14ac:dyDescent="0.25">
      <c r="A1502" s="1">
        <v>44787</v>
      </c>
      <c r="B1502" t="s">
        <v>271</v>
      </c>
      <c r="C1502">
        <v>84</v>
      </c>
      <c r="D1502" t="s">
        <v>14</v>
      </c>
      <c r="E1502" t="s">
        <v>22</v>
      </c>
      <c r="F1502" t="s">
        <v>29</v>
      </c>
      <c r="G1502" t="s">
        <v>17</v>
      </c>
      <c r="H1502">
        <v>1937.43</v>
      </c>
      <c r="I1502" s="8" t="str" cm="1">
        <f t="array" ref="I1502">_xlfn.IFS(C1502&lt;=15,"Children and Young Adolescents", C1502&gt;64, "Seniors", TRUE, "Working Age")</f>
        <v>Seniors</v>
      </c>
      <c r="J1502" s="6">
        <f>VLOOKUP(F1502,Analysis!$F$1:$G$5,2,FALSE)</f>
        <v>2496.7676064256989</v>
      </c>
      <c r="K1502">
        <f t="shared" si="92"/>
        <v>2131.17</v>
      </c>
      <c r="L1502">
        <f t="shared" si="93"/>
        <v>2131.1800000000003</v>
      </c>
      <c r="M1502">
        <f t="shared" si="94"/>
        <v>2131.17</v>
      </c>
      <c r="N1502" s="5" t="str">
        <f t="shared" si="95"/>
        <v>August 2022</v>
      </c>
    </row>
    <row r="1503" spans="1:14" x14ac:dyDescent="0.25">
      <c r="A1503" s="1">
        <v>44787</v>
      </c>
      <c r="B1503" t="s">
        <v>3046</v>
      </c>
      <c r="C1503">
        <v>61</v>
      </c>
      <c r="D1503" t="s">
        <v>9</v>
      </c>
      <c r="E1503" t="s">
        <v>10</v>
      </c>
      <c r="F1503" t="s">
        <v>29</v>
      </c>
      <c r="G1503" t="s">
        <v>39</v>
      </c>
      <c r="H1503">
        <v>253.9</v>
      </c>
      <c r="I1503" s="8" t="str" cm="1">
        <f t="array" ref="I1503">_xlfn.IFS(C1503&lt;=15,"Children and Young Adolescents", C1503&gt;64, "Seniors", TRUE, "Working Age")</f>
        <v>Working Age</v>
      </c>
      <c r="J1503" s="6">
        <f>VLOOKUP(F1503,Analysis!$F$1:$G$5,2,FALSE)</f>
        <v>2496.7676064256989</v>
      </c>
      <c r="K1503">
        <f t="shared" si="92"/>
        <v>279.29000000000002</v>
      </c>
      <c r="L1503">
        <f t="shared" si="93"/>
        <v>279.29000000000002</v>
      </c>
      <c r="M1503">
        <f t="shared" si="94"/>
        <v>279.29000000000002</v>
      </c>
      <c r="N1503" s="5" t="str">
        <f t="shared" si="95"/>
        <v>August 2022</v>
      </c>
    </row>
    <row r="1504" spans="1:14" x14ac:dyDescent="0.25">
      <c r="A1504" s="1">
        <v>44787</v>
      </c>
      <c r="B1504" t="s">
        <v>1094</v>
      </c>
      <c r="C1504">
        <v>47</v>
      </c>
      <c r="D1504" t="s">
        <v>21</v>
      </c>
      <c r="E1504" t="s">
        <v>10</v>
      </c>
      <c r="F1504" t="s">
        <v>11</v>
      </c>
      <c r="G1504" t="s">
        <v>27</v>
      </c>
      <c r="H1504">
        <v>473.63</v>
      </c>
      <c r="I1504" s="8" t="str" cm="1">
        <f t="array" ref="I1504">_xlfn.IFS(C1504&lt;=15,"Children and Young Adolescents", C1504&gt;64, "Seniors", TRUE, "Working Age")</f>
        <v>Working Age</v>
      </c>
      <c r="J1504" s="6">
        <f>VLOOKUP(F1504,Analysis!$F$1:$G$5,2,FALSE)</f>
        <v>2503.6022787783854</v>
      </c>
      <c r="K1504">
        <f t="shared" si="92"/>
        <v>520.99</v>
      </c>
      <c r="L1504">
        <f t="shared" si="93"/>
        <v>521</v>
      </c>
      <c r="M1504">
        <f t="shared" si="94"/>
        <v>520.99</v>
      </c>
      <c r="N1504" s="5" t="str">
        <f t="shared" si="95"/>
        <v>August 2022</v>
      </c>
    </row>
    <row r="1505" spans="1:14" x14ac:dyDescent="0.25">
      <c r="A1505" s="1">
        <v>44787</v>
      </c>
      <c r="B1505" t="s">
        <v>3451</v>
      </c>
      <c r="C1505">
        <v>60</v>
      </c>
      <c r="D1505" t="s">
        <v>9</v>
      </c>
      <c r="E1505" t="s">
        <v>25</v>
      </c>
      <c r="F1505" t="s">
        <v>16</v>
      </c>
      <c r="G1505" t="s">
        <v>17</v>
      </c>
      <c r="H1505">
        <v>1318.12</v>
      </c>
      <c r="I1505" s="8" t="str" cm="1">
        <f t="array" ref="I1505">_xlfn.IFS(C1505&lt;=15,"Children and Young Adolescents", C1505&gt;64, "Seniors", TRUE, "Working Age")</f>
        <v>Working Age</v>
      </c>
      <c r="J1505" s="6">
        <f>VLOOKUP(F1505,Analysis!$F$1:$G$5,2,FALSE)</f>
        <v>2509.1716796874912</v>
      </c>
      <c r="K1505">
        <f t="shared" si="92"/>
        <v>1449.93</v>
      </c>
      <c r="L1505">
        <f t="shared" si="93"/>
        <v>1449.94</v>
      </c>
      <c r="M1505">
        <f t="shared" si="94"/>
        <v>1449.93</v>
      </c>
      <c r="N1505" s="5" t="str">
        <f t="shared" si="95"/>
        <v>August 2022</v>
      </c>
    </row>
    <row r="1506" spans="1:14" x14ac:dyDescent="0.25">
      <c r="A1506" s="1">
        <v>44788</v>
      </c>
      <c r="B1506" t="s">
        <v>3918</v>
      </c>
      <c r="C1506">
        <v>62</v>
      </c>
      <c r="D1506" t="s">
        <v>14</v>
      </c>
      <c r="E1506" t="s">
        <v>10</v>
      </c>
      <c r="F1506" t="s">
        <v>23</v>
      </c>
      <c r="G1506" t="s">
        <v>36</v>
      </c>
      <c r="H1506">
        <v>2717.23</v>
      </c>
      <c r="I1506" s="8" t="str" cm="1">
        <f t="array" ref="I1506">_xlfn.IFS(C1506&lt;=15,"Children and Young Adolescents", C1506&gt;64, "Seniors", TRUE, "Working Age")</f>
        <v>Working Age</v>
      </c>
      <c r="J1506" s="6">
        <f>VLOOKUP(F1506,Analysis!$F$1:$G$5,2,FALSE)</f>
        <v>2440.2966694490838</v>
      </c>
      <c r="K1506">
        <f t="shared" si="92"/>
        <v>2988.95</v>
      </c>
      <c r="L1506">
        <f t="shared" si="93"/>
        <v>2988.96</v>
      </c>
      <c r="M1506">
        <f t="shared" si="94"/>
        <v>2988.95</v>
      </c>
      <c r="N1506" s="5" t="str">
        <f t="shared" si="95"/>
        <v>August 2022</v>
      </c>
    </row>
    <row r="1507" spans="1:14" x14ac:dyDescent="0.25">
      <c r="A1507" s="1">
        <v>44788</v>
      </c>
      <c r="B1507" t="s">
        <v>4236</v>
      </c>
      <c r="C1507">
        <v>70</v>
      </c>
      <c r="D1507" t="s">
        <v>9</v>
      </c>
      <c r="E1507" t="s">
        <v>22</v>
      </c>
      <c r="F1507" t="s">
        <v>29</v>
      </c>
      <c r="G1507" t="s">
        <v>36</v>
      </c>
      <c r="H1507">
        <v>973.27</v>
      </c>
      <c r="I1507" s="8" t="str" cm="1">
        <f t="array" ref="I1507">_xlfn.IFS(C1507&lt;=15,"Children and Young Adolescents", C1507&gt;64, "Seniors", TRUE, "Working Age")</f>
        <v>Seniors</v>
      </c>
      <c r="J1507" s="6">
        <f>VLOOKUP(F1507,Analysis!$F$1:$G$5,2,FALSE)</f>
        <v>2496.7676064256989</v>
      </c>
      <c r="K1507">
        <f t="shared" si="92"/>
        <v>1070.5899999999999</v>
      </c>
      <c r="L1507">
        <f t="shared" si="93"/>
        <v>1070.5999999999999</v>
      </c>
      <c r="M1507">
        <f t="shared" si="94"/>
        <v>1070.5999999999999</v>
      </c>
      <c r="N1507" s="5" t="str">
        <f t="shared" si="95"/>
        <v>August 2022</v>
      </c>
    </row>
    <row r="1508" spans="1:14" x14ac:dyDescent="0.25">
      <c r="A1508" s="1">
        <v>44788</v>
      </c>
      <c r="B1508" t="s">
        <v>3632</v>
      </c>
      <c r="C1508">
        <v>18</v>
      </c>
      <c r="D1508" t="s">
        <v>14</v>
      </c>
      <c r="E1508" t="s">
        <v>15</v>
      </c>
      <c r="F1508" t="s">
        <v>16</v>
      </c>
      <c r="G1508" t="s">
        <v>17</v>
      </c>
      <c r="H1508">
        <v>1840.38</v>
      </c>
      <c r="I1508" s="8" t="str" cm="1">
        <f t="array" ref="I1508">_xlfn.IFS(C1508&lt;=15,"Children and Young Adolescents", C1508&gt;64, "Seniors", TRUE, "Working Age")</f>
        <v>Working Age</v>
      </c>
      <c r="J1508" s="6">
        <f>VLOOKUP(F1508,Analysis!$F$1:$G$5,2,FALSE)</f>
        <v>2509.1716796874912</v>
      </c>
      <c r="K1508">
        <f t="shared" si="92"/>
        <v>2024.41</v>
      </c>
      <c r="L1508">
        <f t="shared" si="93"/>
        <v>2024.42</v>
      </c>
      <c r="M1508">
        <f t="shared" si="94"/>
        <v>2024.42</v>
      </c>
      <c r="N1508" s="5" t="str">
        <f t="shared" si="95"/>
        <v>August 2022</v>
      </c>
    </row>
    <row r="1509" spans="1:14" x14ac:dyDescent="0.25">
      <c r="A1509" s="1">
        <v>44788</v>
      </c>
      <c r="B1509" t="s">
        <v>2481</v>
      </c>
      <c r="C1509">
        <v>44</v>
      </c>
      <c r="D1509" t="s">
        <v>9</v>
      </c>
      <c r="E1509" t="s">
        <v>22</v>
      </c>
      <c r="F1509" t="s">
        <v>11</v>
      </c>
      <c r="G1509" t="s">
        <v>27</v>
      </c>
      <c r="H1509">
        <v>639.41999999999996</v>
      </c>
      <c r="I1509" s="8" t="str" cm="1">
        <f t="array" ref="I1509">_xlfn.IFS(C1509&lt;=15,"Children and Young Adolescents", C1509&gt;64, "Seniors", TRUE, "Working Age")</f>
        <v>Working Age</v>
      </c>
      <c r="J1509" s="6">
        <f>VLOOKUP(F1509,Analysis!$F$1:$G$5,2,FALSE)</f>
        <v>2503.6022787783854</v>
      </c>
      <c r="K1509">
        <f t="shared" si="92"/>
        <v>703.36</v>
      </c>
      <c r="L1509">
        <f t="shared" si="93"/>
        <v>703.37</v>
      </c>
      <c r="M1509">
        <f t="shared" si="94"/>
        <v>703.36</v>
      </c>
      <c r="N1509" s="5" t="str">
        <f t="shared" si="95"/>
        <v>August 2022</v>
      </c>
    </row>
    <row r="1510" spans="1:14" x14ac:dyDescent="0.25">
      <c r="A1510" s="1">
        <v>44788</v>
      </c>
      <c r="B1510" t="s">
        <v>2038</v>
      </c>
      <c r="C1510">
        <v>41</v>
      </c>
      <c r="D1510" t="s">
        <v>21</v>
      </c>
      <c r="E1510" t="s">
        <v>10</v>
      </c>
      <c r="F1510" t="s">
        <v>11</v>
      </c>
      <c r="G1510" t="s">
        <v>39</v>
      </c>
      <c r="H1510">
        <v>2878.32</v>
      </c>
      <c r="I1510" s="8" t="str" cm="1">
        <f t="array" ref="I1510">_xlfn.IFS(C1510&lt;=15,"Children and Young Adolescents", C1510&gt;64, "Seniors", TRUE, "Working Age")</f>
        <v>Working Age</v>
      </c>
      <c r="J1510" s="6">
        <f>VLOOKUP(F1510,Analysis!$F$1:$G$5,2,FALSE)</f>
        <v>2503.6022787783854</v>
      </c>
      <c r="K1510">
        <f t="shared" si="92"/>
        <v>3166.15</v>
      </c>
      <c r="L1510">
        <f t="shared" si="93"/>
        <v>3166.1600000000003</v>
      </c>
      <c r="M1510">
        <f t="shared" si="94"/>
        <v>3166.15</v>
      </c>
      <c r="N1510" s="5" t="str">
        <f t="shared" si="95"/>
        <v>August 2022</v>
      </c>
    </row>
    <row r="1511" spans="1:14" x14ac:dyDescent="0.25">
      <c r="A1511" s="1">
        <v>44788</v>
      </c>
      <c r="B1511" t="s">
        <v>943</v>
      </c>
      <c r="C1511">
        <v>86</v>
      </c>
      <c r="D1511" t="s">
        <v>21</v>
      </c>
      <c r="E1511" t="s">
        <v>10</v>
      </c>
      <c r="F1511" t="s">
        <v>16</v>
      </c>
      <c r="G1511" t="s">
        <v>12</v>
      </c>
      <c r="H1511">
        <v>608.28</v>
      </c>
      <c r="I1511" s="8" t="str" cm="1">
        <f t="array" ref="I1511">_xlfn.IFS(C1511&lt;=15,"Children and Young Adolescents", C1511&gt;64, "Seniors", TRUE, "Working Age")</f>
        <v>Seniors</v>
      </c>
      <c r="J1511" s="6">
        <f>VLOOKUP(F1511,Analysis!$F$1:$G$5,2,FALSE)</f>
        <v>2509.1716796874912</v>
      </c>
      <c r="K1511">
        <f t="shared" si="92"/>
        <v>669.1</v>
      </c>
      <c r="L1511">
        <f t="shared" si="93"/>
        <v>669.11</v>
      </c>
      <c r="M1511">
        <f t="shared" si="94"/>
        <v>669.11</v>
      </c>
      <c r="N1511" s="5" t="str">
        <f t="shared" si="95"/>
        <v>August 2022</v>
      </c>
    </row>
    <row r="1512" spans="1:14" x14ac:dyDescent="0.25">
      <c r="A1512" s="1">
        <v>44788</v>
      </c>
      <c r="B1512" t="s">
        <v>3295</v>
      </c>
      <c r="C1512">
        <v>55</v>
      </c>
      <c r="D1512" t="s">
        <v>21</v>
      </c>
      <c r="E1512" t="s">
        <v>34</v>
      </c>
      <c r="F1512" t="s">
        <v>16</v>
      </c>
      <c r="G1512" t="s">
        <v>27</v>
      </c>
      <c r="H1512">
        <v>1456.41</v>
      </c>
      <c r="I1512" s="8" t="str" cm="1">
        <f t="array" ref="I1512">_xlfn.IFS(C1512&lt;=15,"Children and Young Adolescents", C1512&gt;64, "Seniors", TRUE, "Working Age")</f>
        <v>Working Age</v>
      </c>
      <c r="J1512" s="6">
        <f>VLOOKUP(F1512,Analysis!$F$1:$G$5,2,FALSE)</f>
        <v>2509.1716796874912</v>
      </c>
      <c r="K1512">
        <f t="shared" si="92"/>
        <v>1602.05</v>
      </c>
      <c r="L1512">
        <f t="shared" si="93"/>
        <v>1602.06</v>
      </c>
      <c r="M1512">
        <f t="shared" si="94"/>
        <v>1602.05</v>
      </c>
      <c r="N1512" s="5" t="str">
        <f t="shared" si="95"/>
        <v>August 2022</v>
      </c>
    </row>
    <row r="1513" spans="1:14" x14ac:dyDescent="0.25">
      <c r="A1513" s="1">
        <v>44789</v>
      </c>
      <c r="B1513" t="s">
        <v>395</v>
      </c>
      <c r="C1513">
        <v>55</v>
      </c>
      <c r="D1513" t="s">
        <v>9</v>
      </c>
      <c r="E1513" t="s">
        <v>34</v>
      </c>
      <c r="F1513" t="s">
        <v>16</v>
      </c>
      <c r="G1513" t="s">
        <v>36</v>
      </c>
      <c r="H1513">
        <v>3850.69</v>
      </c>
      <c r="I1513" s="8" t="str" cm="1">
        <f t="array" ref="I1513">_xlfn.IFS(C1513&lt;=15,"Children and Young Adolescents", C1513&gt;64, "Seniors", TRUE, "Working Age")</f>
        <v>Working Age</v>
      </c>
      <c r="J1513" s="6">
        <f>VLOOKUP(F1513,Analysis!$F$1:$G$5,2,FALSE)</f>
        <v>2509.1716796874912</v>
      </c>
      <c r="K1513">
        <f t="shared" si="92"/>
        <v>4235.75</v>
      </c>
      <c r="L1513">
        <f t="shared" si="93"/>
        <v>4235.76</v>
      </c>
      <c r="M1513">
        <f t="shared" si="94"/>
        <v>4235.76</v>
      </c>
      <c r="N1513" s="5" t="str">
        <f t="shared" si="95"/>
        <v>August 2022</v>
      </c>
    </row>
    <row r="1514" spans="1:14" x14ac:dyDescent="0.25">
      <c r="A1514" s="1">
        <v>44789</v>
      </c>
      <c r="B1514" t="s">
        <v>2287</v>
      </c>
      <c r="C1514">
        <v>74</v>
      </c>
      <c r="D1514" t="s">
        <v>14</v>
      </c>
      <c r="E1514" t="s">
        <v>32</v>
      </c>
      <c r="F1514" t="s">
        <v>16</v>
      </c>
      <c r="G1514" t="s">
        <v>39</v>
      </c>
      <c r="H1514">
        <v>4499.3900000000003</v>
      </c>
      <c r="I1514" s="8" t="str" cm="1">
        <f t="array" ref="I1514">_xlfn.IFS(C1514&lt;=15,"Children and Young Adolescents", C1514&gt;64, "Seniors", TRUE, "Working Age")</f>
        <v>Seniors</v>
      </c>
      <c r="J1514" s="6">
        <f>VLOOKUP(F1514,Analysis!$F$1:$G$5,2,FALSE)</f>
        <v>2509.1716796874912</v>
      </c>
      <c r="K1514">
        <f t="shared" si="92"/>
        <v>4949.32</v>
      </c>
      <c r="L1514">
        <f t="shared" si="93"/>
        <v>4949.33</v>
      </c>
      <c r="M1514">
        <f t="shared" si="94"/>
        <v>4949.33</v>
      </c>
      <c r="N1514" s="5" t="str">
        <f t="shared" si="95"/>
        <v>August 2022</v>
      </c>
    </row>
    <row r="1515" spans="1:14" x14ac:dyDescent="0.25">
      <c r="A1515" s="1">
        <v>44789</v>
      </c>
      <c r="B1515" t="s">
        <v>4794</v>
      </c>
      <c r="C1515">
        <v>36</v>
      </c>
      <c r="D1515" t="s">
        <v>14</v>
      </c>
      <c r="E1515" t="s">
        <v>32</v>
      </c>
      <c r="F1515" t="s">
        <v>16</v>
      </c>
      <c r="G1515" t="s">
        <v>12</v>
      </c>
      <c r="H1515">
        <v>3830.65</v>
      </c>
      <c r="I1515" s="8" t="str" cm="1">
        <f t="array" ref="I1515">_xlfn.IFS(C1515&lt;=15,"Children and Young Adolescents", C1515&gt;64, "Seniors", TRUE, "Working Age")</f>
        <v>Working Age</v>
      </c>
      <c r="J1515" s="6">
        <f>VLOOKUP(F1515,Analysis!$F$1:$G$5,2,FALSE)</f>
        <v>2509.1716796874912</v>
      </c>
      <c r="K1515">
        <f t="shared" si="92"/>
        <v>4213.71</v>
      </c>
      <c r="L1515">
        <f t="shared" si="93"/>
        <v>4213.72</v>
      </c>
      <c r="M1515">
        <f t="shared" si="94"/>
        <v>4213.72</v>
      </c>
      <c r="N1515" s="5" t="str">
        <f t="shared" si="95"/>
        <v>August 2022</v>
      </c>
    </row>
    <row r="1516" spans="1:14" x14ac:dyDescent="0.25">
      <c r="A1516" s="1">
        <v>44789</v>
      </c>
      <c r="B1516" t="s">
        <v>3855</v>
      </c>
      <c r="C1516">
        <v>50</v>
      </c>
      <c r="D1516" t="s">
        <v>21</v>
      </c>
      <c r="E1516" t="s">
        <v>32</v>
      </c>
      <c r="F1516" t="s">
        <v>29</v>
      </c>
      <c r="G1516" t="s">
        <v>36</v>
      </c>
      <c r="H1516">
        <v>875.91</v>
      </c>
      <c r="I1516" s="8" t="str" cm="1">
        <f t="array" ref="I1516">_xlfn.IFS(C1516&lt;=15,"Children and Young Adolescents", C1516&gt;64, "Seniors", TRUE, "Working Age")</f>
        <v>Working Age</v>
      </c>
      <c r="J1516" s="6">
        <f>VLOOKUP(F1516,Analysis!$F$1:$G$5,2,FALSE)</f>
        <v>2496.7676064256989</v>
      </c>
      <c r="K1516">
        <f t="shared" si="92"/>
        <v>963.5</v>
      </c>
      <c r="L1516">
        <f t="shared" si="93"/>
        <v>963.51</v>
      </c>
      <c r="M1516">
        <f t="shared" si="94"/>
        <v>963.5</v>
      </c>
      <c r="N1516" s="5" t="str">
        <f t="shared" si="95"/>
        <v>August 2022</v>
      </c>
    </row>
    <row r="1517" spans="1:14" x14ac:dyDescent="0.25">
      <c r="A1517" s="1">
        <v>44789</v>
      </c>
      <c r="B1517" t="s">
        <v>2389</v>
      </c>
      <c r="C1517">
        <v>69</v>
      </c>
      <c r="D1517" t="s">
        <v>14</v>
      </c>
      <c r="E1517" t="s">
        <v>10</v>
      </c>
      <c r="F1517" t="s">
        <v>23</v>
      </c>
      <c r="G1517" t="s">
        <v>17</v>
      </c>
      <c r="H1517">
        <v>4777.99</v>
      </c>
      <c r="I1517" s="8" t="str" cm="1">
        <f t="array" ref="I1517">_xlfn.IFS(C1517&lt;=15,"Children and Young Adolescents", C1517&gt;64, "Seniors", TRUE, "Working Age")</f>
        <v>Seniors</v>
      </c>
      <c r="J1517" s="6">
        <f>VLOOKUP(F1517,Analysis!$F$1:$G$5,2,FALSE)</f>
        <v>2440.2966694490838</v>
      </c>
      <c r="K1517">
        <f t="shared" si="92"/>
        <v>5255.78</v>
      </c>
      <c r="L1517">
        <f t="shared" si="93"/>
        <v>5255.79</v>
      </c>
      <c r="M1517">
        <f t="shared" si="94"/>
        <v>5255.79</v>
      </c>
      <c r="N1517" s="5" t="str">
        <f t="shared" si="95"/>
        <v>August 2022</v>
      </c>
    </row>
    <row r="1518" spans="1:14" x14ac:dyDescent="0.25">
      <c r="A1518" s="1">
        <v>44789</v>
      </c>
      <c r="B1518" t="s">
        <v>3773</v>
      </c>
      <c r="C1518">
        <v>17</v>
      </c>
      <c r="D1518" t="s">
        <v>14</v>
      </c>
      <c r="E1518" t="s">
        <v>32</v>
      </c>
      <c r="F1518" t="s">
        <v>16</v>
      </c>
      <c r="G1518" t="s">
        <v>36</v>
      </c>
      <c r="H1518">
        <v>4092.79</v>
      </c>
      <c r="I1518" s="8" t="str" cm="1">
        <f t="array" ref="I1518">_xlfn.IFS(C1518&lt;=15,"Children and Young Adolescents", C1518&gt;64, "Seniors", TRUE, "Working Age")</f>
        <v>Working Age</v>
      </c>
      <c r="J1518" s="6">
        <f>VLOOKUP(F1518,Analysis!$F$1:$G$5,2,FALSE)</f>
        <v>2509.1716796874912</v>
      </c>
      <c r="K1518">
        <f t="shared" si="92"/>
        <v>4502.0600000000004</v>
      </c>
      <c r="L1518">
        <f t="shared" si="93"/>
        <v>4502.0700000000006</v>
      </c>
      <c r="M1518">
        <f t="shared" si="94"/>
        <v>4502.07</v>
      </c>
      <c r="N1518" s="5" t="str">
        <f t="shared" si="95"/>
        <v>August 2022</v>
      </c>
    </row>
    <row r="1519" spans="1:14" x14ac:dyDescent="0.25">
      <c r="A1519" s="1">
        <v>44789</v>
      </c>
      <c r="B1519" t="s">
        <v>3352</v>
      </c>
      <c r="C1519">
        <v>16</v>
      </c>
      <c r="D1519" t="s">
        <v>14</v>
      </c>
      <c r="E1519" t="s">
        <v>22</v>
      </c>
      <c r="F1519" t="s">
        <v>23</v>
      </c>
      <c r="G1519" t="s">
        <v>12</v>
      </c>
      <c r="H1519">
        <v>71.040000000000006</v>
      </c>
      <c r="I1519" s="8" t="str" cm="1">
        <f t="array" ref="I1519">_xlfn.IFS(C1519&lt;=15,"Children and Young Adolescents", C1519&gt;64, "Seniors", TRUE, "Working Age")</f>
        <v>Working Age</v>
      </c>
      <c r="J1519" s="6">
        <f>VLOOKUP(F1519,Analysis!$F$1:$G$5,2,FALSE)</f>
        <v>2440.2966694490838</v>
      </c>
      <c r="K1519">
        <f t="shared" si="92"/>
        <v>78.14</v>
      </c>
      <c r="L1519">
        <f t="shared" si="93"/>
        <v>78.150000000000006</v>
      </c>
      <c r="M1519">
        <f t="shared" si="94"/>
        <v>78.14</v>
      </c>
      <c r="N1519" s="5" t="str">
        <f t="shared" si="95"/>
        <v>August 2022</v>
      </c>
    </row>
    <row r="1520" spans="1:14" x14ac:dyDescent="0.25">
      <c r="A1520" s="1">
        <v>44789</v>
      </c>
      <c r="B1520" t="s">
        <v>3322</v>
      </c>
      <c r="C1520">
        <v>74</v>
      </c>
      <c r="D1520" t="s">
        <v>14</v>
      </c>
      <c r="E1520" t="s">
        <v>15</v>
      </c>
      <c r="F1520" t="s">
        <v>11</v>
      </c>
      <c r="G1520" t="s">
        <v>39</v>
      </c>
      <c r="H1520">
        <v>2832.25</v>
      </c>
      <c r="I1520" s="8" t="str" cm="1">
        <f t="array" ref="I1520">_xlfn.IFS(C1520&lt;=15,"Children and Young Adolescents", C1520&gt;64, "Seniors", TRUE, "Working Age")</f>
        <v>Seniors</v>
      </c>
      <c r="J1520" s="6">
        <f>VLOOKUP(F1520,Analysis!$F$1:$G$5,2,FALSE)</f>
        <v>2503.6022787783854</v>
      </c>
      <c r="K1520">
        <f t="shared" si="92"/>
        <v>3115.47</v>
      </c>
      <c r="L1520">
        <f t="shared" si="93"/>
        <v>3115.48</v>
      </c>
      <c r="M1520">
        <f t="shared" si="94"/>
        <v>3115.48</v>
      </c>
      <c r="N1520" s="5" t="str">
        <f t="shared" si="95"/>
        <v>August 2022</v>
      </c>
    </row>
    <row r="1521" spans="1:14" x14ac:dyDescent="0.25">
      <c r="A1521" s="1">
        <v>44789</v>
      </c>
      <c r="B1521" t="s">
        <v>4255</v>
      </c>
      <c r="C1521">
        <v>79</v>
      </c>
      <c r="D1521" t="s">
        <v>21</v>
      </c>
      <c r="E1521" t="s">
        <v>10</v>
      </c>
      <c r="F1521" t="s">
        <v>29</v>
      </c>
      <c r="G1521" t="s">
        <v>36</v>
      </c>
      <c r="H1521">
        <v>4771.09</v>
      </c>
      <c r="I1521" s="8" t="str" cm="1">
        <f t="array" ref="I1521">_xlfn.IFS(C1521&lt;=15,"Children and Young Adolescents", C1521&gt;64, "Seniors", TRUE, "Working Age")</f>
        <v>Seniors</v>
      </c>
      <c r="J1521" s="6">
        <f>VLOOKUP(F1521,Analysis!$F$1:$G$5,2,FALSE)</f>
        <v>2496.7676064256989</v>
      </c>
      <c r="K1521">
        <f t="shared" si="92"/>
        <v>5248.19</v>
      </c>
      <c r="L1521">
        <f t="shared" si="93"/>
        <v>5248.2</v>
      </c>
      <c r="M1521">
        <f t="shared" si="94"/>
        <v>5248.2</v>
      </c>
      <c r="N1521" s="5" t="str">
        <f t="shared" si="95"/>
        <v>August 2022</v>
      </c>
    </row>
    <row r="1522" spans="1:14" x14ac:dyDescent="0.25">
      <c r="A1522" s="1">
        <v>44789</v>
      </c>
      <c r="B1522" t="s">
        <v>3901</v>
      </c>
      <c r="C1522">
        <v>30</v>
      </c>
      <c r="D1522" t="s">
        <v>21</v>
      </c>
      <c r="E1522" t="s">
        <v>15</v>
      </c>
      <c r="F1522" t="s">
        <v>11</v>
      </c>
      <c r="G1522" t="s">
        <v>5033</v>
      </c>
      <c r="H1522">
        <v>4462.37</v>
      </c>
      <c r="I1522" s="8" t="str" cm="1">
        <f t="array" ref="I1522">_xlfn.IFS(C1522&lt;=15,"Children and Young Adolescents", C1522&gt;64, "Seniors", TRUE, "Working Age")</f>
        <v>Working Age</v>
      </c>
      <c r="J1522" s="6">
        <f>VLOOKUP(F1522,Analysis!$F$1:$G$5,2,FALSE)</f>
        <v>2503.6022787783854</v>
      </c>
      <c r="K1522">
        <f t="shared" si="92"/>
        <v>4908.6000000000004</v>
      </c>
      <c r="L1522">
        <f t="shared" si="93"/>
        <v>4908.6100000000006</v>
      </c>
      <c r="M1522">
        <f t="shared" si="94"/>
        <v>4908.6099999999997</v>
      </c>
      <c r="N1522" s="5" t="str">
        <f t="shared" si="95"/>
        <v>August 2022</v>
      </c>
    </row>
    <row r="1523" spans="1:14" x14ac:dyDescent="0.25">
      <c r="A1523" s="1">
        <v>44790</v>
      </c>
      <c r="B1523" t="s">
        <v>2743</v>
      </c>
      <c r="C1523">
        <v>77</v>
      </c>
      <c r="D1523" t="s">
        <v>21</v>
      </c>
      <c r="E1523" t="s">
        <v>19</v>
      </c>
      <c r="F1523" t="s">
        <v>29</v>
      </c>
      <c r="G1523" t="s">
        <v>36</v>
      </c>
      <c r="H1523">
        <v>1262.42</v>
      </c>
      <c r="I1523" s="8" t="str" cm="1">
        <f t="array" ref="I1523">_xlfn.IFS(C1523&lt;=15,"Children and Young Adolescents", C1523&gt;64, "Seniors", TRUE, "Working Age")</f>
        <v>Seniors</v>
      </c>
      <c r="J1523" s="6">
        <f>VLOOKUP(F1523,Analysis!$F$1:$G$5,2,FALSE)</f>
        <v>2496.7676064256989</v>
      </c>
      <c r="K1523">
        <f t="shared" si="92"/>
        <v>1388.66</v>
      </c>
      <c r="L1523">
        <f t="shared" si="93"/>
        <v>1388.67</v>
      </c>
      <c r="M1523">
        <f t="shared" si="94"/>
        <v>1388.66</v>
      </c>
      <c r="N1523" s="5" t="str">
        <f t="shared" si="95"/>
        <v>August 2022</v>
      </c>
    </row>
    <row r="1524" spans="1:14" x14ac:dyDescent="0.25">
      <c r="A1524" s="1">
        <v>44790</v>
      </c>
      <c r="B1524" t="s">
        <v>2008</v>
      </c>
      <c r="C1524">
        <v>58</v>
      </c>
      <c r="D1524" t="s">
        <v>21</v>
      </c>
      <c r="E1524" t="s">
        <v>10</v>
      </c>
      <c r="F1524" t="s">
        <v>16</v>
      </c>
      <c r="G1524" t="s">
        <v>12</v>
      </c>
      <c r="H1524">
        <v>2463.5100000000002</v>
      </c>
      <c r="I1524" s="8" t="str" cm="1">
        <f t="array" ref="I1524">_xlfn.IFS(C1524&lt;=15,"Children and Young Adolescents", C1524&gt;64, "Seniors", TRUE, "Working Age")</f>
        <v>Working Age</v>
      </c>
      <c r="J1524" s="6">
        <f>VLOOKUP(F1524,Analysis!$F$1:$G$5,2,FALSE)</f>
        <v>2509.1716796874912</v>
      </c>
      <c r="K1524">
        <f t="shared" si="92"/>
        <v>2709.86</v>
      </c>
      <c r="L1524">
        <f t="shared" si="93"/>
        <v>2709.8700000000003</v>
      </c>
      <c r="M1524">
        <f t="shared" si="94"/>
        <v>2709.86</v>
      </c>
      <c r="N1524" s="5" t="str">
        <f t="shared" si="95"/>
        <v>August 2022</v>
      </c>
    </row>
    <row r="1525" spans="1:14" x14ac:dyDescent="0.25">
      <c r="A1525" s="1">
        <v>44790</v>
      </c>
      <c r="B1525" t="s">
        <v>593</v>
      </c>
      <c r="C1525">
        <v>34</v>
      </c>
      <c r="D1525" t="s">
        <v>21</v>
      </c>
      <c r="E1525" t="s">
        <v>5032</v>
      </c>
      <c r="F1525" t="s">
        <v>16</v>
      </c>
      <c r="G1525" t="s">
        <v>17</v>
      </c>
      <c r="H1525">
        <v>2252.37</v>
      </c>
      <c r="I1525" s="8" t="str" cm="1">
        <f t="array" ref="I1525">_xlfn.IFS(C1525&lt;=15,"Children and Young Adolescents", C1525&gt;64, "Seniors", TRUE, "Working Age")</f>
        <v>Working Age</v>
      </c>
      <c r="J1525" s="6">
        <f>VLOOKUP(F1525,Analysis!$F$1:$G$5,2,FALSE)</f>
        <v>2509.1716796874912</v>
      </c>
      <c r="K1525">
        <f t="shared" si="92"/>
        <v>2477.6</v>
      </c>
      <c r="L1525">
        <f t="shared" si="93"/>
        <v>2477.61</v>
      </c>
      <c r="M1525">
        <f t="shared" si="94"/>
        <v>2477.61</v>
      </c>
      <c r="N1525" s="5" t="str">
        <f t="shared" si="95"/>
        <v>August 2022</v>
      </c>
    </row>
    <row r="1526" spans="1:14" x14ac:dyDescent="0.25">
      <c r="A1526" s="1">
        <v>44790</v>
      </c>
      <c r="B1526" t="s">
        <v>4985</v>
      </c>
      <c r="C1526">
        <v>61</v>
      </c>
      <c r="D1526" t="s">
        <v>14</v>
      </c>
      <c r="E1526" t="s">
        <v>34</v>
      </c>
      <c r="F1526" t="s">
        <v>11</v>
      </c>
      <c r="G1526" t="s">
        <v>36</v>
      </c>
      <c r="H1526">
        <v>4968.22</v>
      </c>
      <c r="I1526" s="8" t="str" cm="1">
        <f t="array" ref="I1526">_xlfn.IFS(C1526&lt;=15,"Children and Young Adolescents", C1526&gt;64, "Seniors", TRUE, "Working Age")</f>
        <v>Working Age</v>
      </c>
      <c r="J1526" s="6">
        <f>VLOOKUP(F1526,Analysis!$F$1:$G$5,2,FALSE)</f>
        <v>2503.6022787783854</v>
      </c>
      <c r="K1526">
        <f t="shared" si="92"/>
        <v>5465.04</v>
      </c>
      <c r="L1526">
        <f t="shared" si="93"/>
        <v>5465.05</v>
      </c>
      <c r="M1526">
        <f t="shared" si="94"/>
        <v>5465.04</v>
      </c>
      <c r="N1526" s="5" t="str">
        <f t="shared" si="95"/>
        <v>August 2022</v>
      </c>
    </row>
    <row r="1527" spans="1:14" x14ac:dyDescent="0.25">
      <c r="A1527" s="1">
        <v>44790</v>
      </c>
      <c r="B1527" t="s">
        <v>1073</v>
      </c>
      <c r="C1527">
        <v>98</v>
      </c>
      <c r="D1527" t="s">
        <v>9</v>
      </c>
      <c r="E1527" t="s">
        <v>32</v>
      </c>
      <c r="F1527" t="s">
        <v>11</v>
      </c>
      <c r="G1527" t="s">
        <v>27</v>
      </c>
      <c r="H1527">
        <v>4829.5200000000004</v>
      </c>
      <c r="I1527" s="8" t="str" cm="1">
        <f t="array" ref="I1527">_xlfn.IFS(C1527&lt;=15,"Children and Young Adolescents", C1527&gt;64, "Seniors", TRUE, "Working Age")</f>
        <v>Seniors</v>
      </c>
      <c r="J1527" s="6">
        <f>VLOOKUP(F1527,Analysis!$F$1:$G$5,2,FALSE)</f>
        <v>2503.6022787783854</v>
      </c>
      <c r="K1527">
        <f t="shared" si="92"/>
        <v>5312.47</v>
      </c>
      <c r="L1527">
        <f t="shared" si="93"/>
        <v>5312.4800000000005</v>
      </c>
      <c r="M1527">
        <f t="shared" si="94"/>
        <v>5312.47</v>
      </c>
      <c r="N1527" s="5" t="str">
        <f t="shared" si="95"/>
        <v>August 2022</v>
      </c>
    </row>
    <row r="1528" spans="1:14" x14ac:dyDescent="0.25">
      <c r="A1528" s="1">
        <v>44790</v>
      </c>
      <c r="B1528" t="s">
        <v>2424</v>
      </c>
      <c r="C1528">
        <v>89</v>
      </c>
      <c r="D1528" t="s">
        <v>21</v>
      </c>
      <c r="E1528" t="s">
        <v>34</v>
      </c>
      <c r="F1528" t="s">
        <v>11</v>
      </c>
      <c r="G1528" t="s">
        <v>39</v>
      </c>
      <c r="H1528">
        <v>4275.93</v>
      </c>
      <c r="I1528" s="8" t="str" cm="1">
        <f t="array" ref="I1528">_xlfn.IFS(C1528&lt;=15,"Children and Young Adolescents", C1528&gt;64, "Seniors", TRUE, "Working Age")</f>
        <v>Seniors</v>
      </c>
      <c r="J1528" s="6">
        <f>VLOOKUP(F1528,Analysis!$F$1:$G$5,2,FALSE)</f>
        <v>2503.6022787783854</v>
      </c>
      <c r="K1528">
        <f t="shared" si="92"/>
        <v>4703.5200000000004</v>
      </c>
      <c r="L1528">
        <f t="shared" si="93"/>
        <v>4703.5300000000007</v>
      </c>
      <c r="M1528">
        <f t="shared" si="94"/>
        <v>4703.5200000000004</v>
      </c>
      <c r="N1528" s="5" t="str">
        <f t="shared" si="95"/>
        <v>August 2022</v>
      </c>
    </row>
    <row r="1529" spans="1:14" x14ac:dyDescent="0.25">
      <c r="A1529" s="1">
        <v>44790</v>
      </c>
      <c r="B1529" t="s">
        <v>1177</v>
      </c>
      <c r="C1529">
        <v>80</v>
      </c>
      <c r="D1529" t="s">
        <v>14</v>
      </c>
      <c r="E1529" t="s">
        <v>19</v>
      </c>
      <c r="F1529" t="s">
        <v>23</v>
      </c>
      <c r="G1529" t="s">
        <v>12</v>
      </c>
      <c r="H1529">
        <v>3695.54</v>
      </c>
      <c r="I1529" s="8" t="str" cm="1">
        <f t="array" ref="I1529">_xlfn.IFS(C1529&lt;=15,"Children and Young Adolescents", C1529&gt;64, "Seniors", TRUE, "Working Age")</f>
        <v>Seniors</v>
      </c>
      <c r="J1529" s="6">
        <f>VLOOKUP(F1529,Analysis!$F$1:$G$5,2,FALSE)</f>
        <v>2440.2966694490838</v>
      </c>
      <c r="K1529">
        <f t="shared" si="92"/>
        <v>4065.09</v>
      </c>
      <c r="L1529">
        <f t="shared" si="93"/>
        <v>4065.1000000000004</v>
      </c>
      <c r="M1529">
        <f t="shared" si="94"/>
        <v>4065.09</v>
      </c>
      <c r="N1529" s="5" t="str">
        <f t="shared" si="95"/>
        <v>August 2022</v>
      </c>
    </row>
    <row r="1530" spans="1:14" x14ac:dyDescent="0.25">
      <c r="A1530" s="1">
        <v>44791</v>
      </c>
      <c r="B1530" t="s">
        <v>2968</v>
      </c>
      <c r="C1530">
        <v>57</v>
      </c>
      <c r="D1530" t="s">
        <v>14</v>
      </c>
      <c r="E1530" t="s">
        <v>19</v>
      </c>
      <c r="F1530" t="s">
        <v>29</v>
      </c>
      <c r="G1530" t="s">
        <v>36</v>
      </c>
      <c r="H1530">
        <v>1157.71</v>
      </c>
      <c r="I1530" s="8" t="str" cm="1">
        <f t="array" ref="I1530">_xlfn.IFS(C1530&lt;=15,"Children and Young Adolescents", C1530&gt;64, "Seniors", TRUE, "Working Age")</f>
        <v>Working Age</v>
      </c>
      <c r="J1530" s="6">
        <f>VLOOKUP(F1530,Analysis!$F$1:$G$5,2,FALSE)</f>
        <v>2496.7676064256989</v>
      </c>
      <c r="K1530">
        <f t="shared" si="92"/>
        <v>1273.48</v>
      </c>
      <c r="L1530">
        <f t="shared" si="93"/>
        <v>1273.49</v>
      </c>
      <c r="M1530">
        <f t="shared" si="94"/>
        <v>1273.48</v>
      </c>
      <c r="N1530" s="5" t="str">
        <f t="shared" si="95"/>
        <v>August 2022</v>
      </c>
    </row>
    <row r="1531" spans="1:14" x14ac:dyDescent="0.25">
      <c r="A1531" s="1">
        <v>44791</v>
      </c>
      <c r="B1531" t="s">
        <v>3586</v>
      </c>
      <c r="C1531">
        <v>25</v>
      </c>
      <c r="D1531" t="s">
        <v>21</v>
      </c>
      <c r="E1531" t="s">
        <v>10</v>
      </c>
      <c r="F1531" t="s">
        <v>23</v>
      </c>
      <c r="G1531" t="s">
        <v>27</v>
      </c>
      <c r="H1531">
        <v>4779.8</v>
      </c>
      <c r="I1531" s="8" t="str" cm="1">
        <f t="array" ref="I1531">_xlfn.IFS(C1531&lt;=15,"Children and Young Adolescents", C1531&gt;64, "Seniors", TRUE, "Working Age")</f>
        <v>Working Age</v>
      </c>
      <c r="J1531" s="6">
        <f>VLOOKUP(F1531,Analysis!$F$1:$G$5,2,FALSE)</f>
        <v>2440.2966694490838</v>
      </c>
      <c r="K1531">
        <f t="shared" si="92"/>
        <v>5257.78</v>
      </c>
      <c r="L1531">
        <f t="shared" si="93"/>
        <v>5257.78</v>
      </c>
      <c r="M1531">
        <f t="shared" si="94"/>
        <v>5257.78</v>
      </c>
      <c r="N1531" s="5" t="str">
        <f t="shared" si="95"/>
        <v>August 2022</v>
      </c>
    </row>
    <row r="1532" spans="1:14" x14ac:dyDescent="0.25">
      <c r="A1532" s="1">
        <v>44791</v>
      </c>
      <c r="B1532" t="s">
        <v>4927</v>
      </c>
      <c r="C1532">
        <v>27</v>
      </c>
      <c r="D1532" t="s">
        <v>9</v>
      </c>
      <c r="E1532" t="s">
        <v>25</v>
      </c>
      <c r="F1532" t="s">
        <v>11</v>
      </c>
      <c r="G1532" t="s">
        <v>39</v>
      </c>
      <c r="H1532">
        <v>2928.21</v>
      </c>
      <c r="I1532" s="8" t="str" cm="1">
        <f t="array" ref="I1532">_xlfn.IFS(C1532&lt;=15,"Children and Young Adolescents", C1532&gt;64, "Seniors", TRUE, "Working Age")</f>
        <v>Working Age</v>
      </c>
      <c r="J1532" s="6">
        <f>VLOOKUP(F1532,Analysis!$F$1:$G$5,2,FALSE)</f>
        <v>2503.6022787783854</v>
      </c>
      <c r="K1532">
        <f t="shared" si="92"/>
        <v>3221.03</v>
      </c>
      <c r="L1532">
        <f t="shared" si="93"/>
        <v>3221.0400000000004</v>
      </c>
      <c r="M1532">
        <f t="shared" si="94"/>
        <v>3221.03</v>
      </c>
      <c r="N1532" s="5" t="str">
        <f t="shared" si="95"/>
        <v>August 2022</v>
      </c>
    </row>
    <row r="1533" spans="1:14" x14ac:dyDescent="0.25">
      <c r="A1533" s="1">
        <v>44791</v>
      </c>
      <c r="B1533" t="s">
        <v>1192</v>
      </c>
      <c r="C1533">
        <v>20</v>
      </c>
      <c r="D1533" t="s">
        <v>9</v>
      </c>
      <c r="E1533" t="s">
        <v>34</v>
      </c>
      <c r="F1533" t="s">
        <v>23</v>
      </c>
      <c r="G1533" t="s">
        <v>39</v>
      </c>
      <c r="H1533">
        <v>4736.42</v>
      </c>
      <c r="I1533" s="8" t="str" cm="1">
        <f t="array" ref="I1533">_xlfn.IFS(C1533&lt;=15,"Children and Young Adolescents", C1533&gt;64, "Seniors", TRUE, "Working Age")</f>
        <v>Working Age</v>
      </c>
      <c r="J1533" s="6">
        <f>VLOOKUP(F1533,Analysis!$F$1:$G$5,2,FALSE)</f>
        <v>2440.2966694490838</v>
      </c>
      <c r="K1533">
        <f t="shared" si="92"/>
        <v>5210.0600000000004</v>
      </c>
      <c r="L1533">
        <f t="shared" si="93"/>
        <v>5210.0700000000006</v>
      </c>
      <c r="M1533">
        <f t="shared" si="94"/>
        <v>5210.0600000000004</v>
      </c>
      <c r="N1533" s="5" t="str">
        <f t="shared" si="95"/>
        <v>August 2022</v>
      </c>
    </row>
    <row r="1534" spans="1:14" x14ac:dyDescent="0.25">
      <c r="A1534" s="1">
        <v>44791</v>
      </c>
      <c r="B1534" t="s">
        <v>4936</v>
      </c>
      <c r="C1534">
        <v>18</v>
      </c>
      <c r="D1534" t="s">
        <v>9</v>
      </c>
      <c r="E1534" t="s">
        <v>19</v>
      </c>
      <c r="F1534" t="s">
        <v>16</v>
      </c>
      <c r="G1534" t="s">
        <v>17</v>
      </c>
      <c r="H1534">
        <v>3171.26</v>
      </c>
      <c r="I1534" s="8" t="str" cm="1">
        <f t="array" ref="I1534">_xlfn.IFS(C1534&lt;=15,"Children and Young Adolescents", C1534&gt;64, "Seniors", TRUE, "Working Age")</f>
        <v>Working Age</v>
      </c>
      <c r="J1534" s="6">
        <f>VLOOKUP(F1534,Analysis!$F$1:$G$5,2,FALSE)</f>
        <v>2509.1716796874912</v>
      </c>
      <c r="K1534">
        <f t="shared" si="92"/>
        <v>3488.38</v>
      </c>
      <c r="L1534">
        <f t="shared" si="93"/>
        <v>3488.3900000000003</v>
      </c>
      <c r="M1534">
        <f t="shared" si="94"/>
        <v>3488.39</v>
      </c>
      <c r="N1534" s="5" t="str">
        <f t="shared" si="95"/>
        <v>August 2022</v>
      </c>
    </row>
    <row r="1535" spans="1:14" x14ac:dyDescent="0.25">
      <c r="A1535" s="1">
        <v>44791</v>
      </c>
      <c r="B1535" t="s">
        <v>4846</v>
      </c>
      <c r="C1535">
        <v>49</v>
      </c>
      <c r="D1535" t="s">
        <v>21</v>
      </c>
      <c r="E1535" t="s">
        <v>34</v>
      </c>
      <c r="F1535" t="s">
        <v>29</v>
      </c>
      <c r="G1535" t="s">
        <v>17</v>
      </c>
      <c r="H1535">
        <v>3186.11</v>
      </c>
      <c r="I1535" s="8" t="str" cm="1">
        <f t="array" ref="I1535">_xlfn.IFS(C1535&lt;=15,"Children and Young Adolescents", C1535&gt;64, "Seniors", TRUE, "Working Age")</f>
        <v>Working Age</v>
      </c>
      <c r="J1535" s="6">
        <f>VLOOKUP(F1535,Analysis!$F$1:$G$5,2,FALSE)</f>
        <v>2496.7676064256989</v>
      </c>
      <c r="K1535">
        <f t="shared" si="92"/>
        <v>3504.72</v>
      </c>
      <c r="L1535">
        <f t="shared" si="93"/>
        <v>3504.73</v>
      </c>
      <c r="M1535">
        <f t="shared" si="94"/>
        <v>3504.72</v>
      </c>
      <c r="N1535" s="5" t="str">
        <f t="shared" si="95"/>
        <v>August 2022</v>
      </c>
    </row>
    <row r="1536" spans="1:14" x14ac:dyDescent="0.25">
      <c r="A1536" s="1">
        <v>44791</v>
      </c>
      <c r="B1536" t="s">
        <v>885</v>
      </c>
      <c r="C1536">
        <v>10</v>
      </c>
      <c r="D1536" t="s">
        <v>9</v>
      </c>
      <c r="E1536" t="s">
        <v>34</v>
      </c>
      <c r="F1536" t="s">
        <v>16</v>
      </c>
      <c r="G1536" t="s">
        <v>39</v>
      </c>
      <c r="H1536">
        <v>4531.1899999999996</v>
      </c>
      <c r="I1536" s="8" t="str" cm="1">
        <f t="array" ref="I1536">_xlfn.IFS(C1536&lt;=15,"Children and Young Adolescents", C1536&gt;64, "Seniors", TRUE, "Working Age")</f>
        <v>Children and Young Adolescents</v>
      </c>
      <c r="J1536" s="6">
        <f>VLOOKUP(F1536,Analysis!$F$1:$G$5,2,FALSE)</f>
        <v>2509.1716796874912</v>
      </c>
      <c r="K1536">
        <f t="shared" si="92"/>
        <v>4984.3</v>
      </c>
      <c r="L1536">
        <f t="shared" si="93"/>
        <v>4984.3100000000004</v>
      </c>
      <c r="M1536">
        <f t="shared" si="94"/>
        <v>4984.3100000000004</v>
      </c>
      <c r="N1536" s="5" t="str">
        <f t="shared" si="95"/>
        <v>August 2022</v>
      </c>
    </row>
    <row r="1537" spans="1:14" x14ac:dyDescent="0.25">
      <c r="A1537" s="1">
        <v>44792</v>
      </c>
      <c r="B1537" t="s">
        <v>1678</v>
      </c>
      <c r="C1537">
        <v>24</v>
      </c>
      <c r="D1537" t="s">
        <v>14</v>
      </c>
      <c r="E1537" t="s">
        <v>34</v>
      </c>
      <c r="F1537" t="s">
        <v>23</v>
      </c>
      <c r="G1537" t="s">
        <v>36</v>
      </c>
      <c r="H1537">
        <v>186.97</v>
      </c>
      <c r="I1537" s="8" t="str" cm="1">
        <f t="array" ref="I1537">_xlfn.IFS(C1537&lt;=15,"Children and Young Adolescents", C1537&gt;64, "Seniors", TRUE, "Working Age")</f>
        <v>Working Age</v>
      </c>
      <c r="J1537" s="6">
        <f>VLOOKUP(F1537,Analysis!$F$1:$G$5,2,FALSE)</f>
        <v>2440.2966694490838</v>
      </c>
      <c r="K1537">
        <f t="shared" si="92"/>
        <v>205.66</v>
      </c>
      <c r="L1537">
        <f t="shared" si="93"/>
        <v>205.67</v>
      </c>
      <c r="M1537">
        <f t="shared" si="94"/>
        <v>205.67</v>
      </c>
      <c r="N1537" s="5" t="str">
        <f t="shared" si="95"/>
        <v>August 2022</v>
      </c>
    </row>
    <row r="1538" spans="1:14" x14ac:dyDescent="0.25">
      <c r="A1538" s="1">
        <v>44792</v>
      </c>
      <c r="B1538" t="s">
        <v>3821</v>
      </c>
      <c r="C1538">
        <v>12</v>
      </c>
      <c r="D1538" t="s">
        <v>14</v>
      </c>
      <c r="E1538" t="s">
        <v>15</v>
      </c>
      <c r="F1538" t="s">
        <v>16</v>
      </c>
      <c r="G1538" t="s">
        <v>12</v>
      </c>
      <c r="H1538">
        <v>928</v>
      </c>
      <c r="I1538" s="8" t="str" cm="1">
        <f t="array" ref="I1538">_xlfn.IFS(C1538&lt;=15,"Children and Young Adolescents", C1538&gt;64, "Seniors", TRUE, "Working Age")</f>
        <v>Children and Young Adolescents</v>
      </c>
      <c r="J1538" s="6">
        <f>VLOOKUP(F1538,Analysis!$F$1:$G$5,2,FALSE)</f>
        <v>2509.1716796874912</v>
      </c>
      <c r="K1538">
        <f t="shared" si="92"/>
        <v>1020.8</v>
      </c>
      <c r="L1538">
        <f t="shared" si="93"/>
        <v>1020.8</v>
      </c>
      <c r="M1538">
        <f t="shared" si="94"/>
        <v>1020.8</v>
      </c>
      <c r="N1538" s="5" t="str">
        <f t="shared" si="95"/>
        <v>August 2022</v>
      </c>
    </row>
    <row r="1539" spans="1:14" x14ac:dyDescent="0.25">
      <c r="A1539" s="1">
        <v>44792</v>
      </c>
      <c r="B1539" t="s">
        <v>156</v>
      </c>
      <c r="C1539">
        <v>93</v>
      </c>
      <c r="D1539" t="s">
        <v>21</v>
      </c>
      <c r="E1539" t="s">
        <v>15</v>
      </c>
      <c r="F1539" t="s">
        <v>11</v>
      </c>
      <c r="G1539" t="s">
        <v>27</v>
      </c>
      <c r="H1539">
        <v>4178.67</v>
      </c>
      <c r="I1539" s="8" t="str" cm="1">
        <f t="array" ref="I1539">_xlfn.IFS(C1539&lt;=15,"Children and Young Adolescents", C1539&gt;64, "Seniors", TRUE, "Working Age")</f>
        <v>Seniors</v>
      </c>
      <c r="J1539" s="6">
        <f>VLOOKUP(F1539,Analysis!$F$1:$G$5,2,FALSE)</f>
        <v>2503.6022787783854</v>
      </c>
      <c r="K1539">
        <f t="shared" ref="K1539:K1602" si="96">ROUNDDOWN(H1539*1.1,2)</f>
        <v>4596.53</v>
      </c>
      <c r="L1539">
        <f t="shared" ref="L1539:L1602" si="97">ROUNDUP(H1539*1.1,2)</f>
        <v>4596.54</v>
      </c>
      <c r="M1539">
        <f t="shared" ref="M1539:M1602" si="98">ROUND(H1539*1.1,2)</f>
        <v>4596.54</v>
      </c>
      <c r="N1539" s="5" t="str">
        <f t="shared" ref="N1539:N1602" si="99">TEXT(A1539,"mmmm yyyy")</f>
        <v>August 2022</v>
      </c>
    </row>
    <row r="1540" spans="1:14" x14ac:dyDescent="0.25">
      <c r="A1540" s="1">
        <v>44792</v>
      </c>
      <c r="B1540" t="s">
        <v>792</v>
      </c>
      <c r="C1540">
        <v>43</v>
      </c>
      <c r="D1540" t="s">
        <v>21</v>
      </c>
      <c r="E1540" t="s">
        <v>5032</v>
      </c>
      <c r="F1540" t="s">
        <v>29</v>
      </c>
      <c r="G1540" t="s">
        <v>27</v>
      </c>
      <c r="H1540">
        <v>4168.9799999999996</v>
      </c>
      <c r="I1540" s="8" t="str" cm="1">
        <f t="array" ref="I1540">_xlfn.IFS(C1540&lt;=15,"Children and Young Adolescents", C1540&gt;64, "Seniors", TRUE, "Working Age")</f>
        <v>Working Age</v>
      </c>
      <c r="J1540" s="6">
        <f>VLOOKUP(F1540,Analysis!$F$1:$G$5,2,FALSE)</f>
        <v>2496.7676064256989</v>
      </c>
      <c r="K1540">
        <f t="shared" si="96"/>
        <v>4585.87</v>
      </c>
      <c r="L1540">
        <f t="shared" si="97"/>
        <v>4585.88</v>
      </c>
      <c r="M1540">
        <f t="shared" si="98"/>
        <v>4585.88</v>
      </c>
      <c r="N1540" s="5" t="str">
        <f t="shared" si="99"/>
        <v>August 2022</v>
      </c>
    </row>
    <row r="1541" spans="1:14" x14ac:dyDescent="0.25">
      <c r="A1541" s="1">
        <v>44792</v>
      </c>
      <c r="B1541" t="s">
        <v>2479</v>
      </c>
      <c r="C1541">
        <v>19</v>
      </c>
      <c r="D1541" t="s">
        <v>14</v>
      </c>
      <c r="E1541" t="s">
        <v>34</v>
      </c>
      <c r="F1541" t="s">
        <v>29</v>
      </c>
      <c r="G1541" t="s">
        <v>17</v>
      </c>
      <c r="H1541">
        <v>4482.5</v>
      </c>
      <c r="I1541" s="8" t="str" cm="1">
        <f t="array" ref="I1541">_xlfn.IFS(C1541&lt;=15,"Children and Young Adolescents", C1541&gt;64, "Seniors", TRUE, "Working Age")</f>
        <v>Working Age</v>
      </c>
      <c r="J1541" s="6">
        <f>VLOOKUP(F1541,Analysis!$F$1:$G$5,2,FALSE)</f>
        <v>2496.7676064256989</v>
      </c>
      <c r="K1541">
        <f t="shared" si="96"/>
        <v>4930.75</v>
      </c>
      <c r="L1541">
        <f t="shared" si="97"/>
        <v>4930.75</v>
      </c>
      <c r="M1541">
        <f t="shared" si="98"/>
        <v>4930.75</v>
      </c>
      <c r="N1541" s="5" t="str">
        <f t="shared" si="99"/>
        <v>August 2022</v>
      </c>
    </row>
    <row r="1542" spans="1:14" x14ac:dyDescent="0.25">
      <c r="A1542" s="1">
        <v>44792</v>
      </c>
      <c r="B1542" t="s">
        <v>483</v>
      </c>
      <c r="C1542">
        <v>48</v>
      </c>
      <c r="D1542" t="s">
        <v>9</v>
      </c>
      <c r="E1542" t="s">
        <v>22</v>
      </c>
      <c r="F1542" t="s">
        <v>11</v>
      </c>
      <c r="G1542" t="s">
        <v>39</v>
      </c>
      <c r="H1542">
        <v>3157.75</v>
      </c>
      <c r="I1542" s="8" t="str" cm="1">
        <f t="array" ref="I1542">_xlfn.IFS(C1542&lt;=15,"Children and Young Adolescents", C1542&gt;64, "Seniors", TRUE, "Working Age")</f>
        <v>Working Age</v>
      </c>
      <c r="J1542" s="6">
        <f>VLOOKUP(F1542,Analysis!$F$1:$G$5,2,FALSE)</f>
        <v>2503.6022787783854</v>
      </c>
      <c r="K1542">
        <f t="shared" si="96"/>
        <v>3473.52</v>
      </c>
      <c r="L1542">
        <f t="shared" si="97"/>
        <v>3473.53</v>
      </c>
      <c r="M1542">
        <f t="shared" si="98"/>
        <v>3473.53</v>
      </c>
      <c r="N1542" s="5" t="str">
        <f t="shared" si="99"/>
        <v>August 2022</v>
      </c>
    </row>
    <row r="1543" spans="1:14" x14ac:dyDescent="0.25">
      <c r="A1543" s="1">
        <v>44793</v>
      </c>
      <c r="B1543" t="s">
        <v>406</v>
      </c>
      <c r="C1543">
        <v>81</v>
      </c>
      <c r="D1543" t="s">
        <v>9</v>
      </c>
      <c r="E1543" t="s">
        <v>34</v>
      </c>
      <c r="F1543" t="s">
        <v>16</v>
      </c>
      <c r="G1543" t="s">
        <v>39</v>
      </c>
      <c r="H1543">
        <v>4990.2299999999996</v>
      </c>
      <c r="I1543" s="8" t="str" cm="1">
        <f t="array" ref="I1543">_xlfn.IFS(C1543&lt;=15,"Children and Young Adolescents", C1543&gt;64, "Seniors", TRUE, "Working Age")</f>
        <v>Seniors</v>
      </c>
      <c r="J1543" s="6">
        <f>VLOOKUP(F1543,Analysis!$F$1:$G$5,2,FALSE)</f>
        <v>2509.1716796874912</v>
      </c>
      <c r="K1543">
        <f t="shared" si="96"/>
        <v>5489.25</v>
      </c>
      <c r="L1543">
        <f t="shared" si="97"/>
        <v>5489.26</v>
      </c>
      <c r="M1543">
        <f t="shared" si="98"/>
        <v>5489.25</v>
      </c>
      <c r="N1543" s="5" t="str">
        <f t="shared" si="99"/>
        <v>August 2022</v>
      </c>
    </row>
    <row r="1544" spans="1:14" x14ac:dyDescent="0.25">
      <c r="A1544" s="1">
        <v>44793</v>
      </c>
      <c r="B1544" t="s">
        <v>3038</v>
      </c>
      <c r="C1544">
        <v>5</v>
      </c>
      <c r="D1544" t="s">
        <v>9</v>
      </c>
      <c r="E1544" t="s">
        <v>34</v>
      </c>
      <c r="F1544" t="s">
        <v>16</v>
      </c>
      <c r="G1544" t="s">
        <v>27</v>
      </c>
      <c r="H1544">
        <v>3875</v>
      </c>
      <c r="I1544" s="8" t="str" cm="1">
        <f t="array" ref="I1544">_xlfn.IFS(C1544&lt;=15,"Children and Young Adolescents", C1544&gt;64, "Seniors", TRUE, "Working Age")</f>
        <v>Children and Young Adolescents</v>
      </c>
      <c r="J1544" s="6">
        <f>VLOOKUP(F1544,Analysis!$F$1:$G$5,2,FALSE)</f>
        <v>2509.1716796874912</v>
      </c>
      <c r="K1544">
        <f t="shared" si="96"/>
        <v>4262.5</v>
      </c>
      <c r="L1544">
        <f t="shared" si="97"/>
        <v>4262.5</v>
      </c>
      <c r="M1544">
        <f t="shared" si="98"/>
        <v>4262.5</v>
      </c>
      <c r="N1544" s="5" t="str">
        <f t="shared" si="99"/>
        <v>August 2022</v>
      </c>
    </row>
    <row r="1545" spans="1:14" x14ac:dyDescent="0.25">
      <c r="A1545" s="1">
        <v>44793</v>
      </c>
      <c r="B1545" t="s">
        <v>1453</v>
      </c>
      <c r="C1545">
        <v>18</v>
      </c>
      <c r="D1545" t="s">
        <v>21</v>
      </c>
      <c r="E1545" t="s">
        <v>32</v>
      </c>
      <c r="F1545" t="s">
        <v>16</v>
      </c>
      <c r="G1545" t="s">
        <v>39</v>
      </c>
      <c r="H1545">
        <v>280.08999999999997</v>
      </c>
      <c r="I1545" s="8" t="str" cm="1">
        <f t="array" ref="I1545">_xlfn.IFS(C1545&lt;=15,"Children and Young Adolescents", C1545&gt;64, "Seniors", TRUE, "Working Age")</f>
        <v>Working Age</v>
      </c>
      <c r="J1545" s="6">
        <f>VLOOKUP(F1545,Analysis!$F$1:$G$5,2,FALSE)</f>
        <v>2509.1716796874912</v>
      </c>
      <c r="K1545">
        <f t="shared" si="96"/>
        <v>308.08999999999997</v>
      </c>
      <c r="L1545">
        <f t="shared" si="97"/>
        <v>308.09999999999997</v>
      </c>
      <c r="M1545">
        <f t="shared" si="98"/>
        <v>308.10000000000002</v>
      </c>
      <c r="N1545" s="5" t="str">
        <f t="shared" si="99"/>
        <v>August 2022</v>
      </c>
    </row>
    <row r="1546" spans="1:14" x14ac:dyDescent="0.25">
      <c r="A1546" s="1">
        <v>44793</v>
      </c>
      <c r="B1546" t="s">
        <v>1688</v>
      </c>
      <c r="C1546">
        <v>87</v>
      </c>
      <c r="D1546" t="s">
        <v>21</v>
      </c>
      <c r="E1546" t="s">
        <v>15</v>
      </c>
      <c r="F1546" t="s">
        <v>16</v>
      </c>
      <c r="G1546" t="s">
        <v>17</v>
      </c>
      <c r="H1546">
        <v>190.54</v>
      </c>
      <c r="I1546" s="8" t="str" cm="1">
        <f t="array" ref="I1546">_xlfn.IFS(C1546&lt;=15,"Children and Young Adolescents", C1546&gt;64, "Seniors", TRUE, "Working Age")</f>
        <v>Seniors</v>
      </c>
      <c r="J1546" s="6">
        <f>VLOOKUP(F1546,Analysis!$F$1:$G$5,2,FALSE)</f>
        <v>2509.1716796874912</v>
      </c>
      <c r="K1546">
        <f t="shared" si="96"/>
        <v>209.59</v>
      </c>
      <c r="L1546">
        <f t="shared" si="97"/>
        <v>209.6</v>
      </c>
      <c r="M1546">
        <f t="shared" si="98"/>
        <v>209.59</v>
      </c>
      <c r="N1546" s="5" t="str">
        <f t="shared" si="99"/>
        <v>August 2022</v>
      </c>
    </row>
    <row r="1547" spans="1:14" x14ac:dyDescent="0.25">
      <c r="A1547" s="1">
        <v>44793</v>
      </c>
      <c r="B1547" t="s">
        <v>431</v>
      </c>
      <c r="C1547">
        <v>10</v>
      </c>
      <c r="D1547" t="s">
        <v>21</v>
      </c>
      <c r="E1547" t="s">
        <v>25</v>
      </c>
      <c r="F1547" t="s">
        <v>29</v>
      </c>
      <c r="G1547" t="s">
        <v>39</v>
      </c>
      <c r="H1547">
        <v>88.93</v>
      </c>
      <c r="I1547" s="8" t="str" cm="1">
        <f t="array" ref="I1547">_xlfn.IFS(C1547&lt;=15,"Children and Young Adolescents", C1547&gt;64, "Seniors", TRUE, "Working Age")</f>
        <v>Children and Young Adolescents</v>
      </c>
      <c r="J1547" s="6">
        <f>VLOOKUP(F1547,Analysis!$F$1:$G$5,2,FALSE)</f>
        <v>2496.7676064256989</v>
      </c>
      <c r="K1547">
        <f t="shared" si="96"/>
        <v>97.82</v>
      </c>
      <c r="L1547">
        <f t="shared" si="97"/>
        <v>97.83</v>
      </c>
      <c r="M1547">
        <f t="shared" si="98"/>
        <v>97.82</v>
      </c>
      <c r="N1547" s="5" t="str">
        <f t="shared" si="99"/>
        <v>August 2022</v>
      </c>
    </row>
    <row r="1548" spans="1:14" x14ac:dyDescent="0.25">
      <c r="A1548" s="1">
        <v>44793</v>
      </c>
      <c r="B1548" t="s">
        <v>4631</v>
      </c>
      <c r="C1548">
        <v>88</v>
      </c>
      <c r="D1548" t="s">
        <v>21</v>
      </c>
      <c r="E1548" t="s">
        <v>10</v>
      </c>
      <c r="F1548" t="s">
        <v>16</v>
      </c>
      <c r="G1548" t="s">
        <v>17</v>
      </c>
      <c r="H1548">
        <v>884.12</v>
      </c>
      <c r="I1548" s="8" t="str" cm="1">
        <f t="array" ref="I1548">_xlfn.IFS(C1548&lt;=15,"Children and Young Adolescents", C1548&gt;64, "Seniors", TRUE, "Working Age")</f>
        <v>Seniors</v>
      </c>
      <c r="J1548" s="6">
        <f>VLOOKUP(F1548,Analysis!$F$1:$G$5,2,FALSE)</f>
        <v>2509.1716796874912</v>
      </c>
      <c r="K1548">
        <f t="shared" si="96"/>
        <v>972.53</v>
      </c>
      <c r="L1548">
        <f t="shared" si="97"/>
        <v>972.54</v>
      </c>
      <c r="M1548">
        <f t="shared" si="98"/>
        <v>972.53</v>
      </c>
      <c r="N1548" s="5" t="str">
        <f t="shared" si="99"/>
        <v>August 2022</v>
      </c>
    </row>
    <row r="1549" spans="1:14" x14ac:dyDescent="0.25">
      <c r="A1549" s="1">
        <v>44793</v>
      </c>
      <c r="B1549" t="s">
        <v>4737</v>
      </c>
      <c r="C1549">
        <v>34</v>
      </c>
      <c r="D1549" t="s">
        <v>14</v>
      </c>
      <c r="E1549" t="s">
        <v>22</v>
      </c>
      <c r="F1549" t="s">
        <v>29</v>
      </c>
      <c r="G1549" t="s">
        <v>36</v>
      </c>
      <c r="H1549">
        <v>602.4</v>
      </c>
      <c r="I1549" s="8" t="str" cm="1">
        <f t="array" ref="I1549">_xlfn.IFS(C1549&lt;=15,"Children and Young Adolescents", C1549&gt;64, "Seniors", TRUE, "Working Age")</f>
        <v>Working Age</v>
      </c>
      <c r="J1549" s="6">
        <f>VLOOKUP(F1549,Analysis!$F$1:$G$5,2,FALSE)</f>
        <v>2496.7676064256989</v>
      </c>
      <c r="K1549">
        <f t="shared" si="96"/>
        <v>662.64</v>
      </c>
      <c r="L1549">
        <f t="shared" si="97"/>
        <v>662.64</v>
      </c>
      <c r="M1549">
        <f t="shared" si="98"/>
        <v>662.64</v>
      </c>
      <c r="N1549" s="5" t="str">
        <f t="shared" si="99"/>
        <v>August 2022</v>
      </c>
    </row>
    <row r="1550" spans="1:14" x14ac:dyDescent="0.25">
      <c r="A1550" s="1">
        <v>44794</v>
      </c>
      <c r="B1550" t="s">
        <v>1718</v>
      </c>
      <c r="C1550">
        <v>34</v>
      </c>
      <c r="D1550" t="s">
        <v>21</v>
      </c>
      <c r="E1550" t="s">
        <v>22</v>
      </c>
      <c r="F1550" t="s">
        <v>16</v>
      </c>
      <c r="G1550" t="s">
        <v>17</v>
      </c>
      <c r="H1550">
        <v>4425.46</v>
      </c>
      <c r="I1550" s="8" t="str" cm="1">
        <f t="array" ref="I1550">_xlfn.IFS(C1550&lt;=15,"Children and Young Adolescents", C1550&gt;64, "Seniors", TRUE, "Working Age")</f>
        <v>Working Age</v>
      </c>
      <c r="J1550" s="6">
        <f>VLOOKUP(F1550,Analysis!$F$1:$G$5,2,FALSE)</f>
        <v>2509.1716796874912</v>
      </c>
      <c r="K1550">
        <f t="shared" si="96"/>
        <v>4868</v>
      </c>
      <c r="L1550">
        <f t="shared" si="97"/>
        <v>4868.01</v>
      </c>
      <c r="M1550">
        <f t="shared" si="98"/>
        <v>4868.01</v>
      </c>
      <c r="N1550" s="5" t="str">
        <f t="shared" si="99"/>
        <v>August 2022</v>
      </c>
    </row>
    <row r="1551" spans="1:14" x14ac:dyDescent="0.25">
      <c r="A1551" s="1">
        <v>44794</v>
      </c>
      <c r="B1551" t="s">
        <v>4993</v>
      </c>
      <c r="C1551">
        <v>87</v>
      </c>
      <c r="D1551" t="s">
        <v>9</v>
      </c>
      <c r="E1551" t="s">
        <v>15</v>
      </c>
      <c r="F1551" t="s">
        <v>11</v>
      </c>
      <c r="G1551" t="s">
        <v>27</v>
      </c>
      <c r="H1551">
        <v>2653.47</v>
      </c>
      <c r="I1551" s="8" t="str" cm="1">
        <f t="array" ref="I1551">_xlfn.IFS(C1551&lt;=15,"Children and Young Adolescents", C1551&gt;64, "Seniors", TRUE, "Working Age")</f>
        <v>Seniors</v>
      </c>
      <c r="J1551" s="6">
        <f>VLOOKUP(F1551,Analysis!$F$1:$G$5,2,FALSE)</f>
        <v>2503.6022787783854</v>
      </c>
      <c r="K1551">
        <f t="shared" si="96"/>
        <v>2918.81</v>
      </c>
      <c r="L1551">
        <f t="shared" si="97"/>
        <v>2918.82</v>
      </c>
      <c r="M1551">
        <f t="shared" si="98"/>
        <v>2918.82</v>
      </c>
      <c r="N1551" s="5" t="str">
        <f t="shared" si="99"/>
        <v>August 2022</v>
      </c>
    </row>
    <row r="1552" spans="1:14" x14ac:dyDescent="0.25">
      <c r="A1552" s="1">
        <v>44794</v>
      </c>
      <c r="B1552" t="s">
        <v>385</v>
      </c>
      <c r="C1552">
        <v>0</v>
      </c>
      <c r="D1552" t="s">
        <v>14</v>
      </c>
      <c r="E1552" t="s">
        <v>10</v>
      </c>
      <c r="F1552" t="s">
        <v>11</v>
      </c>
      <c r="G1552" t="s">
        <v>36</v>
      </c>
      <c r="H1552">
        <v>3722.16</v>
      </c>
      <c r="I1552" s="8" t="str" cm="1">
        <f t="array" ref="I1552">_xlfn.IFS(C1552&lt;=15,"Children and Young Adolescents", C1552&gt;64, "Seniors", TRUE, "Working Age")</f>
        <v>Children and Young Adolescents</v>
      </c>
      <c r="J1552" s="6">
        <f>VLOOKUP(F1552,Analysis!$F$1:$G$5,2,FALSE)</f>
        <v>2503.6022787783854</v>
      </c>
      <c r="K1552">
        <f t="shared" si="96"/>
        <v>4094.37</v>
      </c>
      <c r="L1552">
        <f t="shared" si="97"/>
        <v>4094.38</v>
      </c>
      <c r="M1552">
        <f t="shared" si="98"/>
        <v>4094.38</v>
      </c>
      <c r="N1552" s="5" t="str">
        <f t="shared" si="99"/>
        <v>August 2022</v>
      </c>
    </row>
    <row r="1553" spans="1:14" x14ac:dyDescent="0.25">
      <c r="A1553" s="1">
        <v>44794</v>
      </c>
      <c r="B1553" t="s">
        <v>2871</v>
      </c>
      <c r="C1553">
        <v>63</v>
      </c>
      <c r="D1553" t="s">
        <v>9</v>
      </c>
      <c r="E1553" t="s">
        <v>25</v>
      </c>
      <c r="F1553" t="s">
        <v>11</v>
      </c>
      <c r="G1553" t="s">
        <v>17</v>
      </c>
      <c r="H1553">
        <v>3198.58</v>
      </c>
      <c r="I1553" s="8" t="str" cm="1">
        <f t="array" ref="I1553">_xlfn.IFS(C1553&lt;=15,"Children and Young Adolescents", C1553&gt;64, "Seniors", TRUE, "Working Age")</f>
        <v>Working Age</v>
      </c>
      <c r="J1553" s="6">
        <f>VLOOKUP(F1553,Analysis!$F$1:$G$5,2,FALSE)</f>
        <v>2503.6022787783854</v>
      </c>
      <c r="K1553">
        <f t="shared" si="96"/>
        <v>3518.43</v>
      </c>
      <c r="L1553">
        <f t="shared" si="97"/>
        <v>3518.44</v>
      </c>
      <c r="M1553">
        <f t="shared" si="98"/>
        <v>3518.44</v>
      </c>
      <c r="N1553" s="5" t="str">
        <f t="shared" si="99"/>
        <v>August 2022</v>
      </c>
    </row>
    <row r="1554" spans="1:14" x14ac:dyDescent="0.25">
      <c r="A1554" s="1">
        <v>44794</v>
      </c>
      <c r="B1554" t="s">
        <v>1954</v>
      </c>
      <c r="C1554">
        <v>53</v>
      </c>
      <c r="D1554" t="s">
        <v>21</v>
      </c>
      <c r="E1554" t="s">
        <v>15</v>
      </c>
      <c r="F1554" t="s">
        <v>11</v>
      </c>
      <c r="G1554" t="s">
        <v>39</v>
      </c>
      <c r="H1554">
        <v>3870.24</v>
      </c>
      <c r="I1554" s="8" t="str" cm="1">
        <f t="array" ref="I1554">_xlfn.IFS(C1554&lt;=15,"Children and Young Adolescents", C1554&gt;64, "Seniors", TRUE, "Working Age")</f>
        <v>Working Age</v>
      </c>
      <c r="J1554" s="6">
        <f>VLOOKUP(F1554,Analysis!$F$1:$G$5,2,FALSE)</f>
        <v>2503.6022787783854</v>
      </c>
      <c r="K1554">
        <f t="shared" si="96"/>
        <v>4257.26</v>
      </c>
      <c r="L1554">
        <f t="shared" si="97"/>
        <v>4257.2700000000004</v>
      </c>
      <c r="M1554">
        <f t="shared" si="98"/>
        <v>4257.26</v>
      </c>
      <c r="N1554" s="5" t="str">
        <f t="shared" si="99"/>
        <v>August 2022</v>
      </c>
    </row>
    <row r="1555" spans="1:14" x14ac:dyDescent="0.25">
      <c r="A1555" s="1">
        <v>44794</v>
      </c>
      <c r="B1555" t="s">
        <v>1379</v>
      </c>
      <c r="C1555">
        <v>48</v>
      </c>
      <c r="D1555" t="s">
        <v>9</v>
      </c>
      <c r="E1555" t="s">
        <v>10</v>
      </c>
      <c r="F1555" t="s">
        <v>16</v>
      </c>
      <c r="G1555" t="s">
        <v>17</v>
      </c>
      <c r="H1555">
        <v>840.43</v>
      </c>
      <c r="I1555" s="8" t="str" cm="1">
        <f t="array" ref="I1555">_xlfn.IFS(C1555&lt;=15,"Children and Young Adolescents", C1555&gt;64, "Seniors", TRUE, "Working Age")</f>
        <v>Working Age</v>
      </c>
      <c r="J1555" s="6">
        <f>VLOOKUP(F1555,Analysis!$F$1:$G$5,2,FALSE)</f>
        <v>2509.1716796874912</v>
      </c>
      <c r="K1555">
        <f t="shared" si="96"/>
        <v>924.47</v>
      </c>
      <c r="L1555">
        <f t="shared" si="97"/>
        <v>924.48</v>
      </c>
      <c r="M1555">
        <f t="shared" si="98"/>
        <v>924.47</v>
      </c>
      <c r="N1555" s="5" t="str">
        <f t="shared" si="99"/>
        <v>August 2022</v>
      </c>
    </row>
    <row r="1556" spans="1:14" x14ac:dyDescent="0.25">
      <c r="A1556" s="1">
        <v>44794</v>
      </c>
      <c r="B1556" t="s">
        <v>3783</v>
      </c>
      <c r="C1556">
        <v>52</v>
      </c>
      <c r="D1556" t="s">
        <v>9</v>
      </c>
      <c r="E1556" t="s">
        <v>15</v>
      </c>
      <c r="F1556" t="s">
        <v>11</v>
      </c>
      <c r="G1556" t="s">
        <v>36</v>
      </c>
      <c r="H1556">
        <v>550.22</v>
      </c>
      <c r="I1556" s="8" t="str" cm="1">
        <f t="array" ref="I1556">_xlfn.IFS(C1556&lt;=15,"Children and Young Adolescents", C1556&gt;64, "Seniors", TRUE, "Working Age")</f>
        <v>Working Age</v>
      </c>
      <c r="J1556" s="6">
        <f>VLOOKUP(F1556,Analysis!$F$1:$G$5,2,FALSE)</f>
        <v>2503.6022787783854</v>
      </c>
      <c r="K1556">
        <f t="shared" si="96"/>
        <v>605.24</v>
      </c>
      <c r="L1556">
        <f t="shared" si="97"/>
        <v>605.25</v>
      </c>
      <c r="M1556">
        <f t="shared" si="98"/>
        <v>605.24</v>
      </c>
      <c r="N1556" s="5" t="str">
        <f t="shared" si="99"/>
        <v>August 2022</v>
      </c>
    </row>
    <row r="1557" spans="1:14" x14ac:dyDescent="0.25">
      <c r="A1557" s="1">
        <v>44795</v>
      </c>
      <c r="B1557" t="s">
        <v>3892</v>
      </c>
      <c r="C1557">
        <v>9</v>
      </c>
      <c r="D1557" t="s">
        <v>14</v>
      </c>
      <c r="E1557" t="s">
        <v>15</v>
      </c>
      <c r="F1557" t="s">
        <v>11</v>
      </c>
      <c r="G1557" t="s">
        <v>5033</v>
      </c>
      <c r="H1557">
        <v>1308.73</v>
      </c>
      <c r="I1557" s="8" t="str" cm="1">
        <f t="array" ref="I1557">_xlfn.IFS(C1557&lt;=15,"Children and Young Adolescents", C1557&gt;64, "Seniors", TRUE, "Working Age")</f>
        <v>Children and Young Adolescents</v>
      </c>
      <c r="J1557" s="6">
        <f>VLOOKUP(F1557,Analysis!$F$1:$G$5,2,FALSE)</f>
        <v>2503.6022787783854</v>
      </c>
      <c r="K1557">
        <f t="shared" si="96"/>
        <v>1439.6</v>
      </c>
      <c r="L1557">
        <f t="shared" si="97"/>
        <v>1439.61</v>
      </c>
      <c r="M1557">
        <f t="shared" si="98"/>
        <v>1439.6</v>
      </c>
      <c r="N1557" s="5" t="str">
        <f t="shared" si="99"/>
        <v>August 2022</v>
      </c>
    </row>
    <row r="1558" spans="1:14" x14ac:dyDescent="0.25">
      <c r="A1558" s="1">
        <v>44795</v>
      </c>
      <c r="B1558" t="s">
        <v>3048</v>
      </c>
      <c r="C1558">
        <v>83</v>
      </c>
      <c r="D1558" t="s">
        <v>14</v>
      </c>
      <c r="E1558" t="s">
        <v>5032</v>
      </c>
      <c r="F1558" t="s">
        <v>29</v>
      </c>
      <c r="G1558" t="s">
        <v>27</v>
      </c>
      <c r="H1558">
        <v>914.48</v>
      </c>
      <c r="I1558" s="8" t="str" cm="1">
        <f t="array" ref="I1558">_xlfn.IFS(C1558&lt;=15,"Children and Young Adolescents", C1558&gt;64, "Seniors", TRUE, "Working Age")</f>
        <v>Seniors</v>
      </c>
      <c r="J1558" s="6">
        <f>VLOOKUP(F1558,Analysis!$F$1:$G$5,2,FALSE)</f>
        <v>2496.7676064256989</v>
      </c>
      <c r="K1558">
        <f t="shared" si="96"/>
        <v>1005.92</v>
      </c>
      <c r="L1558">
        <f t="shared" si="97"/>
        <v>1005.93</v>
      </c>
      <c r="M1558">
        <f t="shared" si="98"/>
        <v>1005.93</v>
      </c>
      <c r="N1558" s="5" t="str">
        <f t="shared" si="99"/>
        <v>August 2022</v>
      </c>
    </row>
    <row r="1559" spans="1:14" x14ac:dyDescent="0.25">
      <c r="A1559" s="1">
        <v>44795</v>
      </c>
      <c r="B1559" t="s">
        <v>3034</v>
      </c>
      <c r="C1559">
        <v>25</v>
      </c>
      <c r="D1559" t="s">
        <v>9</v>
      </c>
      <c r="E1559" t="s">
        <v>22</v>
      </c>
      <c r="F1559" t="s">
        <v>16</v>
      </c>
      <c r="G1559" t="s">
        <v>27</v>
      </c>
      <c r="H1559">
        <v>1904.3</v>
      </c>
      <c r="I1559" s="8" t="str" cm="1">
        <f t="array" ref="I1559">_xlfn.IFS(C1559&lt;=15,"Children and Young Adolescents", C1559&gt;64, "Seniors", TRUE, "Working Age")</f>
        <v>Working Age</v>
      </c>
      <c r="J1559" s="6">
        <f>VLOOKUP(F1559,Analysis!$F$1:$G$5,2,FALSE)</f>
        <v>2509.1716796874912</v>
      </c>
      <c r="K1559">
        <f t="shared" si="96"/>
        <v>2094.73</v>
      </c>
      <c r="L1559">
        <f t="shared" si="97"/>
        <v>2094.73</v>
      </c>
      <c r="M1559">
        <f t="shared" si="98"/>
        <v>2094.73</v>
      </c>
      <c r="N1559" s="5" t="str">
        <f t="shared" si="99"/>
        <v>August 2022</v>
      </c>
    </row>
    <row r="1560" spans="1:14" x14ac:dyDescent="0.25">
      <c r="A1560" s="1">
        <v>44795</v>
      </c>
      <c r="B1560" t="s">
        <v>4096</v>
      </c>
      <c r="C1560">
        <v>26</v>
      </c>
      <c r="D1560" t="s">
        <v>9</v>
      </c>
      <c r="E1560" t="s">
        <v>19</v>
      </c>
      <c r="F1560" t="s">
        <v>23</v>
      </c>
      <c r="G1560" t="s">
        <v>39</v>
      </c>
      <c r="H1560">
        <v>979.5</v>
      </c>
      <c r="I1560" s="8" t="str" cm="1">
        <f t="array" ref="I1560">_xlfn.IFS(C1560&lt;=15,"Children and Young Adolescents", C1560&gt;64, "Seniors", TRUE, "Working Age")</f>
        <v>Working Age</v>
      </c>
      <c r="J1560" s="6">
        <f>VLOOKUP(F1560,Analysis!$F$1:$G$5,2,FALSE)</f>
        <v>2440.2966694490838</v>
      </c>
      <c r="K1560">
        <f t="shared" si="96"/>
        <v>1077.45</v>
      </c>
      <c r="L1560">
        <f t="shared" si="97"/>
        <v>1077.45</v>
      </c>
      <c r="M1560">
        <f t="shared" si="98"/>
        <v>1077.45</v>
      </c>
      <c r="N1560" s="5" t="str">
        <f t="shared" si="99"/>
        <v>August 2022</v>
      </c>
    </row>
    <row r="1561" spans="1:14" x14ac:dyDescent="0.25">
      <c r="A1561" s="1">
        <v>44795</v>
      </c>
      <c r="B1561" t="s">
        <v>962</v>
      </c>
      <c r="C1561">
        <v>30</v>
      </c>
      <c r="D1561" t="s">
        <v>9</v>
      </c>
      <c r="E1561" t="s">
        <v>32</v>
      </c>
      <c r="F1561" t="s">
        <v>23</v>
      </c>
      <c r="G1561" t="s">
        <v>36</v>
      </c>
      <c r="H1561">
        <v>3755.39</v>
      </c>
      <c r="I1561" s="8" t="str" cm="1">
        <f t="array" ref="I1561">_xlfn.IFS(C1561&lt;=15,"Children and Young Adolescents", C1561&gt;64, "Seniors", TRUE, "Working Age")</f>
        <v>Working Age</v>
      </c>
      <c r="J1561" s="6">
        <f>VLOOKUP(F1561,Analysis!$F$1:$G$5,2,FALSE)</f>
        <v>2440.2966694490838</v>
      </c>
      <c r="K1561">
        <f t="shared" si="96"/>
        <v>4130.92</v>
      </c>
      <c r="L1561">
        <f t="shared" si="97"/>
        <v>4130.93</v>
      </c>
      <c r="M1561">
        <f t="shared" si="98"/>
        <v>4130.93</v>
      </c>
      <c r="N1561" s="5" t="str">
        <f t="shared" si="99"/>
        <v>August 2022</v>
      </c>
    </row>
    <row r="1562" spans="1:14" x14ac:dyDescent="0.25">
      <c r="A1562" s="1">
        <v>44796</v>
      </c>
      <c r="B1562" t="s">
        <v>585</v>
      </c>
      <c r="C1562">
        <v>95</v>
      </c>
      <c r="D1562" t="s">
        <v>9</v>
      </c>
      <c r="E1562" t="s">
        <v>19</v>
      </c>
      <c r="F1562" t="s">
        <v>16</v>
      </c>
      <c r="G1562" t="s">
        <v>17</v>
      </c>
      <c r="H1562">
        <v>3121.16</v>
      </c>
      <c r="I1562" s="8" t="str" cm="1">
        <f t="array" ref="I1562">_xlfn.IFS(C1562&lt;=15,"Children and Young Adolescents", C1562&gt;64, "Seniors", TRUE, "Working Age")</f>
        <v>Seniors</v>
      </c>
      <c r="J1562" s="6">
        <f>VLOOKUP(F1562,Analysis!$F$1:$G$5,2,FALSE)</f>
        <v>2509.1716796874912</v>
      </c>
      <c r="K1562">
        <f t="shared" si="96"/>
        <v>3433.27</v>
      </c>
      <c r="L1562">
        <f t="shared" si="97"/>
        <v>3433.28</v>
      </c>
      <c r="M1562">
        <f t="shared" si="98"/>
        <v>3433.28</v>
      </c>
      <c r="N1562" s="5" t="str">
        <f t="shared" si="99"/>
        <v>August 2022</v>
      </c>
    </row>
    <row r="1563" spans="1:14" x14ac:dyDescent="0.25">
      <c r="A1563" s="1">
        <v>44796</v>
      </c>
      <c r="B1563" t="s">
        <v>4086</v>
      </c>
      <c r="C1563">
        <v>98</v>
      </c>
      <c r="D1563" t="s">
        <v>14</v>
      </c>
      <c r="E1563" t="s">
        <v>25</v>
      </c>
      <c r="F1563" t="s">
        <v>16</v>
      </c>
      <c r="G1563" t="s">
        <v>36</v>
      </c>
      <c r="H1563">
        <v>790.4</v>
      </c>
      <c r="I1563" s="8" t="str" cm="1">
        <f t="array" ref="I1563">_xlfn.IFS(C1563&lt;=15,"Children and Young Adolescents", C1563&gt;64, "Seniors", TRUE, "Working Age")</f>
        <v>Seniors</v>
      </c>
      <c r="J1563" s="6">
        <f>VLOOKUP(F1563,Analysis!$F$1:$G$5,2,FALSE)</f>
        <v>2509.1716796874912</v>
      </c>
      <c r="K1563">
        <f t="shared" si="96"/>
        <v>869.44</v>
      </c>
      <c r="L1563">
        <f t="shared" si="97"/>
        <v>869.44</v>
      </c>
      <c r="M1563">
        <f t="shared" si="98"/>
        <v>869.44</v>
      </c>
      <c r="N1563" s="5" t="str">
        <f t="shared" si="99"/>
        <v>August 2022</v>
      </c>
    </row>
    <row r="1564" spans="1:14" x14ac:dyDescent="0.25">
      <c r="A1564" s="1">
        <v>44796</v>
      </c>
      <c r="B1564" t="s">
        <v>95</v>
      </c>
      <c r="C1564">
        <v>24</v>
      </c>
      <c r="D1564" t="s">
        <v>21</v>
      </c>
      <c r="E1564" t="s">
        <v>5032</v>
      </c>
      <c r="F1564" t="s">
        <v>29</v>
      </c>
      <c r="G1564" t="s">
        <v>36</v>
      </c>
      <c r="H1564">
        <v>2610.5</v>
      </c>
      <c r="I1564" s="8" t="str" cm="1">
        <f t="array" ref="I1564">_xlfn.IFS(C1564&lt;=15,"Children and Young Adolescents", C1564&gt;64, "Seniors", TRUE, "Working Age")</f>
        <v>Working Age</v>
      </c>
      <c r="J1564" s="6">
        <f>VLOOKUP(F1564,Analysis!$F$1:$G$5,2,FALSE)</f>
        <v>2496.7676064256989</v>
      </c>
      <c r="K1564">
        <f t="shared" si="96"/>
        <v>2871.55</v>
      </c>
      <c r="L1564">
        <f t="shared" si="97"/>
        <v>2871.55</v>
      </c>
      <c r="M1564">
        <f t="shared" si="98"/>
        <v>2871.55</v>
      </c>
      <c r="N1564" s="5" t="str">
        <f t="shared" si="99"/>
        <v>August 2022</v>
      </c>
    </row>
    <row r="1565" spans="1:14" x14ac:dyDescent="0.25">
      <c r="A1565" s="1">
        <v>44796</v>
      </c>
      <c r="B1565" t="s">
        <v>1345</v>
      </c>
      <c r="C1565">
        <v>88</v>
      </c>
      <c r="D1565" t="s">
        <v>14</v>
      </c>
      <c r="E1565" t="s">
        <v>19</v>
      </c>
      <c r="F1565" t="s">
        <v>23</v>
      </c>
      <c r="G1565" t="s">
        <v>39</v>
      </c>
      <c r="H1565">
        <v>2909.55</v>
      </c>
      <c r="I1565" s="8" t="str" cm="1">
        <f t="array" ref="I1565">_xlfn.IFS(C1565&lt;=15,"Children and Young Adolescents", C1565&gt;64, "Seniors", TRUE, "Working Age")</f>
        <v>Seniors</v>
      </c>
      <c r="J1565" s="6">
        <f>VLOOKUP(F1565,Analysis!$F$1:$G$5,2,FALSE)</f>
        <v>2440.2966694490838</v>
      </c>
      <c r="K1565">
        <f t="shared" si="96"/>
        <v>3200.5</v>
      </c>
      <c r="L1565">
        <f t="shared" si="97"/>
        <v>3200.51</v>
      </c>
      <c r="M1565">
        <f t="shared" si="98"/>
        <v>3200.51</v>
      </c>
      <c r="N1565" s="5" t="str">
        <f t="shared" si="99"/>
        <v>August 2022</v>
      </c>
    </row>
    <row r="1566" spans="1:14" x14ac:dyDescent="0.25">
      <c r="A1566" s="1">
        <v>44796</v>
      </c>
      <c r="B1566" t="s">
        <v>3446</v>
      </c>
      <c r="C1566">
        <v>63</v>
      </c>
      <c r="D1566" t="s">
        <v>21</v>
      </c>
      <c r="E1566" t="s">
        <v>22</v>
      </c>
      <c r="F1566" t="s">
        <v>23</v>
      </c>
      <c r="G1566" t="s">
        <v>12</v>
      </c>
      <c r="H1566">
        <v>2758.75</v>
      </c>
      <c r="I1566" s="8" t="str" cm="1">
        <f t="array" ref="I1566">_xlfn.IFS(C1566&lt;=15,"Children and Young Adolescents", C1566&gt;64, "Seniors", TRUE, "Working Age")</f>
        <v>Working Age</v>
      </c>
      <c r="J1566" s="6">
        <f>VLOOKUP(F1566,Analysis!$F$1:$G$5,2,FALSE)</f>
        <v>2440.2966694490838</v>
      </c>
      <c r="K1566">
        <f t="shared" si="96"/>
        <v>3034.62</v>
      </c>
      <c r="L1566">
        <f t="shared" si="97"/>
        <v>3034.63</v>
      </c>
      <c r="M1566">
        <f t="shared" si="98"/>
        <v>3034.63</v>
      </c>
      <c r="N1566" s="5" t="str">
        <f t="shared" si="99"/>
        <v>August 2022</v>
      </c>
    </row>
    <row r="1567" spans="1:14" x14ac:dyDescent="0.25">
      <c r="A1567" s="1">
        <v>44797</v>
      </c>
      <c r="B1567" t="s">
        <v>3084</v>
      </c>
      <c r="C1567">
        <v>86</v>
      </c>
      <c r="D1567" t="s">
        <v>21</v>
      </c>
      <c r="E1567" t="s">
        <v>32</v>
      </c>
      <c r="F1567" t="s">
        <v>16</v>
      </c>
      <c r="G1567" t="s">
        <v>12</v>
      </c>
      <c r="H1567">
        <v>2393.21</v>
      </c>
      <c r="I1567" s="8" t="str" cm="1">
        <f t="array" ref="I1567">_xlfn.IFS(C1567&lt;=15,"Children and Young Adolescents", C1567&gt;64, "Seniors", TRUE, "Working Age")</f>
        <v>Seniors</v>
      </c>
      <c r="J1567" s="6">
        <f>VLOOKUP(F1567,Analysis!$F$1:$G$5,2,FALSE)</f>
        <v>2509.1716796874912</v>
      </c>
      <c r="K1567">
        <f t="shared" si="96"/>
        <v>2632.53</v>
      </c>
      <c r="L1567">
        <f t="shared" si="97"/>
        <v>2632.5400000000004</v>
      </c>
      <c r="M1567">
        <f t="shared" si="98"/>
        <v>2632.53</v>
      </c>
      <c r="N1567" s="5" t="str">
        <f t="shared" si="99"/>
        <v>August 2022</v>
      </c>
    </row>
    <row r="1568" spans="1:14" x14ac:dyDescent="0.25">
      <c r="A1568" s="1">
        <v>44797</v>
      </c>
      <c r="B1568" t="s">
        <v>3903</v>
      </c>
      <c r="C1568">
        <v>64</v>
      </c>
      <c r="D1568" t="s">
        <v>9</v>
      </c>
      <c r="E1568" t="s">
        <v>10</v>
      </c>
      <c r="F1568" t="s">
        <v>16</v>
      </c>
      <c r="G1568" t="s">
        <v>12</v>
      </c>
      <c r="H1568">
        <v>3565.05</v>
      </c>
      <c r="I1568" s="8" t="str" cm="1">
        <f t="array" ref="I1568">_xlfn.IFS(C1568&lt;=15,"Children and Young Adolescents", C1568&gt;64, "Seniors", TRUE, "Working Age")</f>
        <v>Working Age</v>
      </c>
      <c r="J1568" s="6">
        <f>VLOOKUP(F1568,Analysis!$F$1:$G$5,2,FALSE)</f>
        <v>2509.1716796874912</v>
      </c>
      <c r="K1568">
        <f t="shared" si="96"/>
        <v>3921.55</v>
      </c>
      <c r="L1568">
        <f t="shared" si="97"/>
        <v>3921.5600000000004</v>
      </c>
      <c r="M1568">
        <f t="shared" si="98"/>
        <v>3921.56</v>
      </c>
      <c r="N1568" s="5" t="str">
        <f t="shared" si="99"/>
        <v>August 2022</v>
      </c>
    </row>
    <row r="1569" spans="1:14" x14ac:dyDescent="0.25">
      <c r="A1569" s="1">
        <v>44797</v>
      </c>
      <c r="B1569" t="s">
        <v>275</v>
      </c>
      <c r="C1569">
        <v>96</v>
      </c>
      <c r="D1569" t="s">
        <v>21</v>
      </c>
      <c r="E1569" t="s">
        <v>22</v>
      </c>
      <c r="F1569" t="s">
        <v>23</v>
      </c>
      <c r="G1569" t="s">
        <v>27</v>
      </c>
      <c r="H1569">
        <v>1213.92</v>
      </c>
      <c r="I1569" s="8" t="str" cm="1">
        <f t="array" ref="I1569">_xlfn.IFS(C1569&lt;=15,"Children and Young Adolescents", C1569&gt;64, "Seniors", TRUE, "Working Age")</f>
        <v>Seniors</v>
      </c>
      <c r="J1569" s="6">
        <f>VLOOKUP(F1569,Analysis!$F$1:$G$5,2,FALSE)</f>
        <v>2440.2966694490838</v>
      </c>
      <c r="K1569">
        <f t="shared" si="96"/>
        <v>1335.31</v>
      </c>
      <c r="L1569">
        <f t="shared" si="97"/>
        <v>1335.32</v>
      </c>
      <c r="M1569">
        <f t="shared" si="98"/>
        <v>1335.31</v>
      </c>
      <c r="N1569" s="5" t="str">
        <f t="shared" si="99"/>
        <v>August 2022</v>
      </c>
    </row>
    <row r="1570" spans="1:14" x14ac:dyDescent="0.25">
      <c r="A1570" s="1">
        <v>44797</v>
      </c>
      <c r="B1570" t="s">
        <v>857</v>
      </c>
      <c r="C1570">
        <v>47</v>
      </c>
      <c r="D1570" t="s">
        <v>9</v>
      </c>
      <c r="E1570" t="s">
        <v>32</v>
      </c>
      <c r="F1570" t="s">
        <v>23</v>
      </c>
      <c r="G1570" t="s">
        <v>36</v>
      </c>
      <c r="H1570">
        <v>934.75</v>
      </c>
      <c r="I1570" s="8" t="str" cm="1">
        <f t="array" ref="I1570">_xlfn.IFS(C1570&lt;=15,"Children and Young Adolescents", C1570&gt;64, "Seniors", TRUE, "Working Age")</f>
        <v>Working Age</v>
      </c>
      <c r="J1570" s="6">
        <f>VLOOKUP(F1570,Analysis!$F$1:$G$5,2,FALSE)</f>
        <v>2440.2966694490838</v>
      </c>
      <c r="K1570">
        <f t="shared" si="96"/>
        <v>1028.22</v>
      </c>
      <c r="L1570">
        <f t="shared" si="97"/>
        <v>1028.23</v>
      </c>
      <c r="M1570">
        <f t="shared" si="98"/>
        <v>1028.23</v>
      </c>
      <c r="N1570" s="5" t="str">
        <f t="shared" si="99"/>
        <v>August 2022</v>
      </c>
    </row>
    <row r="1571" spans="1:14" x14ac:dyDescent="0.25">
      <c r="A1571" s="1">
        <v>44797</v>
      </c>
      <c r="B1571" t="s">
        <v>239</v>
      </c>
      <c r="C1571">
        <v>98</v>
      </c>
      <c r="D1571" t="s">
        <v>14</v>
      </c>
      <c r="E1571" t="s">
        <v>34</v>
      </c>
      <c r="F1571" t="s">
        <v>29</v>
      </c>
      <c r="G1571" t="s">
        <v>39</v>
      </c>
      <c r="H1571">
        <v>3620.57</v>
      </c>
      <c r="I1571" s="8" t="str" cm="1">
        <f t="array" ref="I1571">_xlfn.IFS(C1571&lt;=15,"Children and Young Adolescents", C1571&gt;64, "Seniors", TRUE, "Working Age")</f>
        <v>Seniors</v>
      </c>
      <c r="J1571" s="6">
        <f>VLOOKUP(F1571,Analysis!$F$1:$G$5,2,FALSE)</f>
        <v>2496.7676064256989</v>
      </c>
      <c r="K1571">
        <f t="shared" si="96"/>
        <v>3982.62</v>
      </c>
      <c r="L1571">
        <f t="shared" si="97"/>
        <v>3982.63</v>
      </c>
      <c r="M1571">
        <f t="shared" si="98"/>
        <v>3982.63</v>
      </c>
      <c r="N1571" s="5" t="str">
        <f t="shared" si="99"/>
        <v>August 2022</v>
      </c>
    </row>
    <row r="1572" spans="1:14" x14ac:dyDescent="0.25">
      <c r="A1572" s="1">
        <v>44797</v>
      </c>
      <c r="B1572" t="s">
        <v>3575</v>
      </c>
      <c r="C1572">
        <v>40</v>
      </c>
      <c r="D1572" t="s">
        <v>21</v>
      </c>
      <c r="E1572" t="s">
        <v>22</v>
      </c>
      <c r="F1572" t="s">
        <v>23</v>
      </c>
      <c r="G1572" t="s">
        <v>5033</v>
      </c>
      <c r="H1572">
        <v>2623.96</v>
      </c>
      <c r="I1572" s="8" t="str" cm="1">
        <f t="array" ref="I1572">_xlfn.IFS(C1572&lt;=15,"Children and Young Adolescents", C1572&gt;64, "Seniors", TRUE, "Working Age")</f>
        <v>Working Age</v>
      </c>
      <c r="J1572" s="6">
        <f>VLOOKUP(F1572,Analysis!$F$1:$G$5,2,FALSE)</f>
        <v>2440.2966694490838</v>
      </c>
      <c r="K1572">
        <f t="shared" si="96"/>
        <v>2886.35</v>
      </c>
      <c r="L1572">
        <f t="shared" si="97"/>
        <v>2886.36</v>
      </c>
      <c r="M1572">
        <f t="shared" si="98"/>
        <v>2886.36</v>
      </c>
      <c r="N1572" s="5" t="str">
        <f t="shared" si="99"/>
        <v>August 2022</v>
      </c>
    </row>
    <row r="1573" spans="1:14" x14ac:dyDescent="0.25">
      <c r="A1573" s="1">
        <v>44797</v>
      </c>
      <c r="B1573" t="s">
        <v>2098</v>
      </c>
      <c r="C1573">
        <v>51</v>
      </c>
      <c r="D1573" t="s">
        <v>14</v>
      </c>
      <c r="E1573" t="s">
        <v>25</v>
      </c>
      <c r="F1573" t="s">
        <v>23</v>
      </c>
      <c r="G1573" t="s">
        <v>27</v>
      </c>
      <c r="H1573">
        <v>884.19</v>
      </c>
      <c r="I1573" s="8" t="str" cm="1">
        <f t="array" ref="I1573">_xlfn.IFS(C1573&lt;=15,"Children and Young Adolescents", C1573&gt;64, "Seniors", TRUE, "Working Age")</f>
        <v>Working Age</v>
      </c>
      <c r="J1573" s="6">
        <f>VLOOKUP(F1573,Analysis!$F$1:$G$5,2,FALSE)</f>
        <v>2440.2966694490838</v>
      </c>
      <c r="K1573">
        <f t="shared" si="96"/>
        <v>972.6</v>
      </c>
      <c r="L1573">
        <f t="shared" si="97"/>
        <v>972.61</v>
      </c>
      <c r="M1573">
        <f t="shared" si="98"/>
        <v>972.61</v>
      </c>
      <c r="N1573" s="5" t="str">
        <f t="shared" si="99"/>
        <v>August 2022</v>
      </c>
    </row>
    <row r="1574" spans="1:14" x14ac:dyDescent="0.25">
      <c r="A1574" s="1">
        <v>44797</v>
      </c>
      <c r="B1574" t="s">
        <v>3426</v>
      </c>
      <c r="C1574">
        <v>80</v>
      </c>
      <c r="D1574" t="s">
        <v>14</v>
      </c>
      <c r="E1574" t="s">
        <v>22</v>
      </c>
      <c r="F1574" t="s">
        <v>11</v>
      </c>
      <c r="G1574" t="s">
        <v>27</v>
      </c>
      <c r="H1574">
        <v>754.55</v>
      </c>
      <c r="I1574" s="8" t="str" cm="1">
        <f t="array" ref="I1574">_xlfn.IFS(C1574&lt;=15,"Children and Young Adolescents", C1574&gt;64, "Seniors", TRUE, "Working Age")</f>
        <v>Seniors</v>
      </c>
      <c r="J1574" s="6">
        <f>VLOOKUP(F1574,Analysis!$F$1:$G$5,2,FALSE)</f>
        <v>2503.6022787783854</v>
      </c>
      <c r="K1574">
        <f t="shared" si="96"/>
        <v>830</v>
      </c>
      <c r="L1574">
        <f t="shared" si="97"/>
        <v>830.01</v>
      </c>
      <c r="M1574">
        <f t="shared" si="98"/>
        <v>830.01</v>
      </c>
      <c r="N1574" s="5" t="str">
        <f t="shared" si="99"/>
        <v>August 2022</v>
      </c>
    </row>
    <row r="1575" spans="1:14" x14ac:dyDescent="0.25">
      <c r="A1575" s="1">
        <v>44797</v>
      </c>
      <c r="B1575" t="s">
        <v>3494</v>
      </c>
      <c r="C1575">
        <v>16</v>
      </c>
      <c r="D1575" t="s">
        <v>9</v>
      </c>
      <c r="E1575" t="s">
        <v>34</v>
      </c>
      <c r="F1575" t="s">
        <v>29</v>
      </c>
      <c r="G1575" t="s">
        <v>27</v>
      </c>
      <c r="H1575">
        <v>4269.78</v>
      </c>
      <c r="I1575" s="8" t="str" cm="1">
        <f t="array" ref="I1575">_xlfn.IFS(C1575&lt;=15,"Children and Young Adolescents", C1575&gt;64, "Seniors", TRUE, "Working Age")</f>
        <v>Working Age</v>
      </c>
      <c r="J1575" s="6">
        <f>VLOOKUP(F1575,Analysis!$F$1:$G$5,2,FALSE)</f>
        <v>2496.7676064256989</v>
      </c>
      <c r="K1575">
        <f t="shared" si="96"/>
        <v>4696.75</v>
      </c>
      <c r="L1575">
        <f t="shared" si="97"/>
        <v>4696.76</v>
      </c>
      <c r="M1575">
        <f t="shared" si="98"/>
        <v>4696.76</v>
      </c>
      <c r="N1575" s="5" t="str">
        <f t="shared" si="99"/>
        <v>August 2022</v>
      </c>
    </row>
    <row r="1576" spans="1:14" x14ac:dyDescent="0.25">
      <c r="A1576" s="1">
        <v>44797</v>
      </c>
      <c r="B1576" t="s">
        <v>1492</v>
      </c>
      <c r="C1576">
        <v>30</v>
      </c>
      <c r="D1576" t="s">
        <v>14</v>
      </c>
      <c r="E1576" t="s">
        <v>34</v>
      </c>
      <c r="F1576" t="s">
        <v>11</v>
      </c>
      <c r="G1576" t="s">
        <v>39</v>
      </c>
      <c r="H1576">
        <v>4422.63</v>
      </c>
      <c r="I1576" s="8" t="str" cm="1">
        <f t="array" ref="I1576">_xlfn.IFS(C1576&lt;=15,"Children and Young Adolescents", C1576&gt;64, "Seniors", TRUE, "Working Age")</f>
        <v>Working Age</v>
      </c>
      <c r="J1576" s="6">
        <f>VLOOKUP(F1576,Analysis!$F$1:$G$5,2,FALSE)</f>
        <v>2503.6022787783854</v>
      </c>
      <c r="K1576">
        <f t="shared" si="96"/>
        <v>4864.8900000000003</v>
      </c>
      <c r="L1576">
        <f t="shared" si="97"/>
        <v>4864.9000000000005</v>
      </c>
      <c r="M1576">
        <f t="shared" si="98"/>
        <v>4864.8900000000003</v>
      </c>
      <c r="N1576" s="5" t="str">
        <f t="shared" si="99"/>
        <v>August 2022</v>
      </c>
    </row>
    <row r="1577" spans="1:14" x14ac:dyDescent="0.25">
      <c r="A1577" s="1">
        <v>44798</v>
      </c>
      <c r="B1577" t="s">
        <v>3767</v>
      </c>
      <c r="C1577">
        <v>1</v>
      </c>
      <c r="D1577" t="s">
        <v>14</v>
      </c>
      <c r="E1577" t="s">
        <v>10</v>
      </c>
      <c r="F1577" t="s">
        <v>11</v>
      </c>
      <c r="G1577" t="s">
        <v>39</v>
      </c>
      <c r="H1577">
        <v>3650.64</v>
      </c>
      <c r="I1577" s="8" t="str" cm="1">
        <f t="array" ref="I1577">_xlfn.IFS(C1577&lt;=15,"Children and Young Adolescents", C1577&gt;64, "Seniors", TRUE, "Working Age")</f>
        <v>Children and Young Adolescents</v>
      </c>
      <c r="J1577" s="6">
        <f>VLOOKUP(F1577,Analysis!$F$1:$G$5,2,FALSE)</f>
        <v>2503.6022787783854</v>
      </c>
      <c r="K1577">
        <f t="shared" si="96"/>
        <v>4015.7</v>
      </c>
      <c r="L1577">
        <f t="shared" si="97"/>
        <v>4015.71</v>
      </c>
      <c r="M1577">
        <f t="shared" si="98"/>
        <v>4015.7</v>
      </c>
      <c r="N1577" s="5" t="str">
        <f t="shared" si="99"/>
        <v>August 2022</v>
      </c>
    </row>
    <row r="1578" spans="1:14" x14ac:dyDescent="0.25">
      <c r="A1578" s="1">
        <v>44798</v>
      </c>
      <c r="B1578" t="s">
        <v>4372</v>
      </c>
      <c r="C1578">
        <v>11</v>
      </c>
      <c r="D1578" t="s">
        <v>21</v>
      </c>
      <c r="E1578" t="s">
        <v>22</v>
      </c>
      <c r="F1578" t="s">
        <v>23</v>
      </c>
      <c r="G1578" t="s">
        <v>27</v>
      </c>
      <c r="H1578">
        <v>3864.3</v>
      </c>
      <c r="I1578" s="8" t="str" cm="1">
        <f t="array" ref="I1578">_xlfn.IFS(C1578&lt;=15,"Children and Young Adolescents", C1578&gt;64, "Seniors", TRUE, "Working Age")</f>
        <v>Children and Young Adolescents</v>
      </c>
      <c r="J1578" s="6">
        <f>VLOOKUP(F1578,Analysis!$F$1:$G$5,2,FALSE)</f>
        <v>2440.2966694490838</v>
      </c>
      <c r="K1578">
        <f t="shared" si="96"/>
        <v>4250.7299999999996</v>
      </c>
      <c r="L1578">
        <f t="shared" si="97"/>
        <v>4250.7299999999996</v>
      </c>
      <c r="M1578">
        <f t="shared" si="98"/>
        <v>4250.7299999999996</v>
      </c>
      <c r="N1578" s="5" t="str">
        <f t="shared" si="99"/>
        <v>August 2022</v>
      </c>
    </row>
    <row r="1579" spans="1:14" x14ac:dyDescent="0.25">
      <c r="A1579" s="1">
        <v>44798</v>
      </c>
      <c r="B1579" t="s">
        <v>3298</v>
      </c>
      <c r="C1579">
        <v>24</v>
      </c>
      <c r="D1579" t="s">
        <v>14</v>
      </c>
      <c r="E1579" t="s">
        <v>15</v>
      </c>
      <c r="F1579" t="s">
        <v>11</v>
      </c>
      <c r="G1579" t="s">
        <v>17</v>
      </c>
      <c r="H1579">
        <v>39.47</v>
      </c>
      <c r="I1579" s="8" t="str" cm="1">
        <f t="array" ref="I1579">_xlfn.IFS(C1579&lt;=15,"Children and Young Adolescents", C1579&gt;64, "Seniors", TRUE, "Working Age")</f>
        <v>Working Age</v>
      </c>
      <c r="J1579" s="6">
        <f>VLOOKUP(F1579,Analysis!$F$1:$G$5,2,FALSE)</f>
        <v>2503.6022787783854</v>
      </c>
      <c r="K1579">
        <f t="shared" si="96"/>
        <v>43.41</v>
      </c>
      <c r="L1579">
        <f t="shared" si="97"/>
        <v>43.419999999999995</v>
      </c>
      <c r="M1579">
        <f t="shared" si="98"/>
        <v>43.42</v>
      </c>
      <c r="N1579" s="5" t="str">
        <f t="shared" si="99"/>
        <v>August 2022</v>
      </c>
    </row>
    <row r="1580" spans="1:14" x14ac:dyDescent="0.25">
      <c r="A1580" s="1">
        <v>44798</v>
      </c>
      <c r="B1580" t="s">
        <v>4410</v>
      </c>
      <c r="C1580">
        <v>65</v>
      </c>
      <c r="D1580" t="s">
        <v>9</v>
      </c>
      <c r="E1580" t="s">
        <v>15</v>
      </c>
      <c r="F1580" t="s">
        <v>29</v>
      </c>
      <c r="G1580" t="s">
        <v>12</v>
      </c>
      <c r="H1580">
        <v>1379.54</v>
      </c>
      <c r="I1580" s="8" t="str" cm="1">
        <f t="array" ref="I1580">_xlfn.IFS(C1580&lt;=15,"Children and Young Adolescents", C1580&gt;64, "Seniors", TRUE, "Working Age")</f>
        <v>Seniors</v>
      </c>
      <c r="J1580" s="6">
        <f>VLOOKUP(F1580,Analysis!$F$1:$G$5,2,FALSE)</f>
        <v>2496.7676064256989</v>
      </c>
      <c r="K1580">
        <f t="shared" si="96"/>
        <v>1517.49</v>
      </c>
      <c r="L1580">
        <f t="shared" si="97"/>
        <v>1517.5</v>
      </c>
      <c r="M1580">
        <f t="shared" si="98"/>
        <v>1517.49</v>
      </c>
      <c r="N1580" s="5" t="str">
        <f t="shared" si="99"/>
        <v>August 2022</v>
      </c>
    </row>
    <row r="1581" spans="1:14" x14ac:dyDescent="0.25">
      <c r="A1581" s="1">
        <v>44799</v>
      </c>
      <c r="B1581" t="s">
        <v>2963</v>
      </c>
      <c r="C1581">
        <v>86</v>
      </c>
      <c r="D1581" t="s">
        <v>9</v>
      </c>
      <c r="E1581" t="s">
        <v>5032</v>
      </c>
      <c r="F1581" t="s">
        <v>11</v>
      </c>
      <c r="G1581" t="s">
        <v>12</v>
      </c>
      <c r="H1581">
        <v>1541.42</v>
      </c>
      <c r="I1581" s="8" t="str" cm="1">
        <f t="array" ref="I1581">_xlfn.IFS(C1581&lt;=15,"Children and Young Adolescents", C1581&gt;64, "Seniors", TRUE, "Working Age")</f>
        <v>Seniors</v>
      </c>
      <c r="J1581" s="6">
        <f>VLOOKUP(F1581,Analysis!$F$1:$G$5,2,FALSE)</f>
        <v>2503.6022787783854</v>
      </c>
      <c r="K1581">
        <f t="shared" si="96"/>
        <v>1695.56</v>
      </c>
      <c r="L1581">
        <f t="shared" si="97"/>
        <v>1695.57</v>
      </c>
      <c r="M1581">
        <f t="shared" si="98"/>
        <v>1695.56</v>
      </c>
      <c r="N1581" s="5" t="str">
        <f t="shared" si="99"/>
        <v>August 2022</v>
      </c>
    </row>
    <row r="1582" spans="1:14" x14ac:dyDescent="0.25">
      <c r="A1582" s="1">
        <v>44799</v>
      </c>
      <c r="B1582" t="s">
        <v>3210</v>
      </c>
      <c r="C1582">
        <v>62</v>
      </c>
      <c r="D1582" t="s">
        <v>14</v>
      </c>
      <c r="E1582" t="s">
        <v>34</v>
      </c>
      <c r="F1582" t="s">
        <v>11</v>
      </c>
      <c r="G1582" t="s">
        <v>17</v>
      </c>
      <c r="H1582">
        <v>2841.48</v>
      </c>
      <c r="I1582" s="8" t="str" cm="1">
        <f t="array" ref="I1582">_xlfn.IFS(C1582&lt;=15,"Children and Young Adolescents", C1582&gt;64, "Seniors", TRUE, "Working Age")</f>
        <v>Working Age</v>
      </c>
      <c r="J1582" s="6">
        <f>VLOOKUP(F1582,Analysis!$F$1:$G$5,2,FALSE)</f>
        <v>2503.6022787783854</v>
      </c>
      <c r="K1582">
        <f t="shared" si="96"/>
        <v>3125.62</v>
      </c>
      <c r="L1582">
        <f t="shared" si="97"/>
        <v>3125.63</v>
      </c>
      <c r="M1582">
        <f t="shared" si="98"/>
        <v>3125.63</v>
      </c>
      <c r="N1582" s="5" t="str">
        <f t="shared" si="99"/>
        <v>August 2022</v>
      </c>
    </row>
    <row r="1583" spans="1:14" x14ac:dyDescent="0.25">
      <c r="A1583" s="1">
        <v>44799</v>
      </c>
      <c r="B1583" t="s">
        <v>3728</v>
      </c>
      <c r="C1583">
        <v>18</v>
      </c>
      <c r="D1583" t="s">
        <v>14</v>
      </c>
      <c r="E1583" t="s">
        <v>15</v>
      </c>
      <c r="F1583" t="s">
        <v>11</v>
      </c>
      <c r="G1583" t="s">
        <v>36</v>
      </c>
      <c r="H1583">
        <v>654.04999999999995</v>
      </c>
      <c r="I1583" s="8" t="str" cm="1">
        <f t="array" ref="I1583">_xlfn.IFS(C1583&lt;=15,"Children and Young Adolescents", C1583&gt;64, "Seniors", TRUE, "Working Age")</f>
        <v>Working Age</v>
      </c>
      <c r="J1583" s="6">
        <f>VLOOKUP(F1583,Analysis!$F$1:$G$5,2,FALSE)</f>
        <v>2503.6022787783854</v>
      </c>
      <c r="K1583">
        <f t="shared" si="96"/>
        <v>719.45</v>
      </c>
      <c r="L1583">
        <f t="shared" si="97"/>
        <v>719.46</v>
      </c>
      <c r="M1583">
        <f t="shared" si="98"/>
        <v>719.46</v>
      </c>
      <c r="N1583" s="5" t="str">
        <f t="shared" si="99"/>
        <v>August 2022</v>
      </c>
    </row>
    <row r="1584" spans="1:14" x14ac:dyDescent="0.25">
      <c r="A1584" s="1">
        <v>44799</v>
      </c>
      <c r="B1584" t="s">
        <v>4481</v>
      </c>
      <c r="C1584">
        <v>69</v>
      </c>
      <c r="D1584" t="s">
        <v>9</v>
      </c>
      <c r="E1584" t="s">
        <v>34</v>
      </c>
      <c r="F1584" t="s">
        <v>11</v>
      </c>
      <c r="G1584" t="s">
        <v>36</v>
      </c>
      <c r="H1584">
        <v>2171.27</v>
      </c>
      <c r="I1584" s="8" t="str" cm="1">
        <f t="array" ref="I1584">_xlfn.IFS(C1584&lt;=15,"Children and Young Adolescents", C1584&gt;64, "Seniors", TRUE, "Working Age")</f>
        <v>Seniors</v>
      </c>
      <c r="J1584" s="6">
        <f>VLOOKUP(F1584,Analysis!$F$1:$G$5,2,FALSE)</f>
        <v>2503.6022787783854</v>
      </c>
      <c r="K1584">
        <f t="shared" si="96"/>
        <v>2388.39</v>
      </c>
      <c r="L1584">
        <f t="shared" si="97"/>
        <v>2388.4</v>
      </c>
      <c r="M1584">
        <f t="shared" si="98"/>
        <v>2388.4</v>
      </c>
      <c r="N1584" s="5" t="str">
        <f t="shared" si="99"/>
        <v>August 2022</v>
      </c>
    </row>
    <row r="1585" spans="1:14" x14ac:dyDescent="0.25">
      <c r="A1585" s="1">
        <v>44799</v>
      </c>
      <c r="B1585" t="s">
        <v>4177</v>
      </c>
      <c r="C1585">
        <v>48</v>
      </c>
      <c r="D1585" t="s">
        <v>14</v>
      </c>
      <c r="E1585" t="s">
        <v>19</v>
      </c>
      <c r="F1585" t="s">
        <v>16</v>
      </c>
      <c r="G1585" t="s">
        <v>27</v>
      </c>
      <c r="H1585">
        <v>2614.2199999999998</v>
      </c>
      <c r="I1585" s="8" t="str" cm="1">
        <f t="array" ref="I1585">_xlfn.IFS(C1585&lt;=15,"Children and Young Adolescents", C1585&gt;64, "Seniors", TRUE, "Working Age")</f>
        <v>Working Age</v>
      </c>
      <c r="J1585" s="6">
        <f>VLOOKUP(F1585,Analysis!$F$1:$G$5,2,FALSE)</f>
        <v>2509.1716796874912</v>
      </c>
      <c r="K1585">
        <f t="shared" si="96"/>
        <v>2875.64</v>
      </c>
      <c r="L1585">
        <f t="shared" si="97"/>
        <v>2875.65</v>
      </c>
      <c r="M1585">
        <f t="shared" si="98"/>
        <v>2875.64</v>
      </c>
      <c r="N1585" s="5" t="str">
        <f t="shared" si="99"/>
        <v>August 2022</v>
      </c>
    </row>
    <row r="1586" spans="1:14" x14ac:dyDescent="0.25">
      <c r="A1586" s="1">
        <v>44799</v>
      </c>
      <c r="B1586" t="s">
        <v>564</v>
      </c>
      <c r="C1586">
        <v>84</v>
      </c>
      <c r="D1586" t="s">
        <v>9</v>
      </c>
      <c r="E1586" t="s">
        <v>15</v>
      </c>
      <c r="F1586" t="s">
        <v>16</v>
      </c>
      <c r="G1586" t="s">
        <v>36</v>
      </c>
      <c r="H1586">
        <v>3319.08</v>
      </c>
      <c r="I1586" s="8" t="str" cm="1">
        <f t="array" ref="I1586">_xlfn.IFS(C1586&lt;=15,"Children and Young Adolescents", C1586&gt;64, "Seniors", TRUE, "Working Age")</f>
        <v>Seniors</v>
      </c>
      <c r="J1586" s="6">
        <f>VLOOKUP(F1586,Analysis!$F$1:$G$5,2,FALSE)</f>
        <v>2509.1716796874912</v>
      </c>
      <c r="K1586">
        <f t="shared" si="96"/>
        <v>3650.98</v>
      </c>
      <c r="L1586">
        <f t="shared" si="97"/>
        <v>3650.9900000000002</v>
      </c>
      <c r="M1586">
        <f t="shared" si="98"/>
        <v>3650.99</v>
      </c>
      <c r="N1586" s="5" t="str">
        <f t="shared" si="99"/>
        <v>August 2022</v>
      </c>
    </row>
    <row r="1587" spans="1:14" x14ac:dyDescent="0.25">
      <c r="A1587" s="1">
        <v>44799</v>
      </c>
      <c r="B1587" t="s">
        <v>1336</v>
      </c>
      <c r="C1587">
        <v>94</v>
      </c>
      <c r="D1587" t="s">
        <v>9</v>
      </c>
      <c r="E1587" t="s">
        <v>5032</v>
      </c>
      <c r="F1587" t="s">
        <v>29</v>
      </c>
      <c r="G1587" t="s">
        <v>17</v>
      </c>
      <c r="H1587">
        <v>2792.18</v>
      </c>
      <c r="I1587" s="8" t="str" cm="1">
        <f t="array" ref="I1587">_xlfn.IFS(C1587&lt;=15,"Children and Young Adolescents", C1587&gt;64, "Seniors", TRUE, "Working Age")</f>
        <v>Seniors</v>
      </c>
      <c r="J1587" s="6">
        <f>VLOOKUP(F1587,Analysis!$F$1:$G$5,2,FALSE)</f>
        <v>2496.7676064256989</v>
      </c>
      <c r="K1587">
        <f t="shared" si="96"/>
        <v>3071.39</v>
      </c>
      <c r="L1587">
        <f t="shared" si="97"/>
        <v>3071.4</v>
      </c>
      <c r="M1587">
        <f t="shared" si="98"/>
        <v>3071.4</v>
      </c>
      <c r="N1587" s="5" t="str">
        <f t="shared" si="99"/>
        <v>August 2022</v>
      </c>
    </row>
    <row r="1588" spans="1:14" x14ac:dyDescent="0.25">
      <c r="A1588" s="1">
        <v>44799</v>
      </c>
      <c r="B1588" t="s">
        <v>4786</v>
      </c>
      <c r="C1588">
        <v>72</v>
      </c>
      <c r="D1588" t="s">
        <v>9</v>
      </c>
      <c r="E1588" t="s">
        <v>15</v>
      </c>
      <c r="F1588" t="s">
        <v>23</v>
      </c>
      <c r="G1588" t="s">
        <v>12</v>
      </c>
      <c r="H1588">
        <v>4831.2299999999996</v>
      </c>
      <c r="I1588" s="8" t="str" cm="1">
        <f t="array" ref="I1588">_xlfn.IFS(C1588&lt;=15,"Children and Young Adolescents", C1588&gt;64, "Seniors", TRUE, "Working Age")</f>
        <v>Seniors</v>
      </c>
      <c r="J1588" s="6">
        <f>VLOOKUP(F1588,Analysis!$F$1:$G$5,2,FALSE)</f>
        <v>2440.2966694490838</v>
      </c>
      <c r="K1588">
        <f t="shared" si="96"/>
        <v>5314.35</v>
      </c>
      <c r="L1588">
        <f t="shared" si="97"/>
        <v>5314.3600000000006</v>
      </c>
      <c r="M1588">
        <f t="shared" si="98"/>
        <v>5314.35</v>
      </c>
      <c r="N1588" s="5" t="str">
        <f t="shared" si="99"/>
        <v>August 2022</v>
      </c>
    </row>
    <row r="1589" spans="1:14" x14ac:dyDescent="0.25">
      <c r="A1589" s="1">
        <v>44799</v>
      </c>
      <c r="B1589" t="s">
        <v>2261</v>
      </c>
      <c r="C1589">
        <v>48</v>
      </c>
      <c r="D1589" t="s">
        <v>14</v>
      </c>
      <c r="E1589" t="s">
        <v>19</v>
      </c>
      <c r="F1589" t="s">
        <v>23</v>
      </c>
      <c r="G1589" t="s">
        <v>12</v>
      </c>
      <c r="H1589">
        <v>2432.89</v>
      </c>
      <c r="I1589" s="8" t="str" cm="1">
        <f t="array" ref="I1589">_xlfn.IFS(C1589&lt;=15,"Children and Young Adolescents", C1589&gt;64, "Seniors", TRUE, "Working Age")</f>
        <v>Working Age</v>
      </c>
      <c r="J1589" s="6">
        <f>VLOOKUP(F1589,Analysis!$F$1:$G$5,2,FALSE)</f>
        <v>2440.2966694490838</v>
      </c>
      <c r="K1589">
        <f t="shared" si="96"/>
        <v>2676.17</v>
      </c>
      <c r="L1589">
        <f t="shared" si="97"/>
        <v>2676.1800000000003</v>
      </c>
      <c r="M1589">
        <f t="shared" si="98"/>
        <v>2676.18</v>
      </c>
      <c r="N1589" s="5" t="str">
        <f t="shared" si="99"/>
        <v>August 2022</v>
      </c>
    </row>
    <row r="1590" spans="1:14" x14ac:dyDescent="0.25">
      <c r="A1590" s="1">
        <v>44799</v>
      </c>
      <c r="B1590" t="s">
        <v>975</v>
      </c>
      <c r="C1590">
        <v>88</v>
      </c>
      <c r="D1590" t="s">
        <v>14</v>
      </c>
      <c r="E1590" t="s">
        <v>25</v>
      </c>
      <c r="F1590" t="s">
        <v>29</v>
      </c>
      <c r="G1590" t="s">
        <v>36</v>
      </c>
      <c r="H1590">
        <v>1045.32</v>
      </c>
      <c r="I1590" s="8" t="str" cm="1">
        <f t="array" ref="I1590">_xlfn.IFS(C1590&lt;=15,"Children and Young Adolescents", C1590&gt;64, "Seniors", TRUE, "Working Age")</f>
        <v>Seniors</v>
      </c>
      <c r="J1590" s="6">
        <f>VLOOKUP(F1590,Analysis!$F$1:$G$5,2,FALSE)</f>
        <v>2496.7676064256989</v>
      </c>
      <c r="K1590">
        <f t="shared" si="96"/>
        <v>1149.8499999999999</v>
      </c>
      <c r="L1590">
        <f t="shared" si="97"/>
        <v>1149.8599999999999</v>
      </c>
      <c r="M1590">
        <f t="shared" si="98"/>
        <v>1149.8499999999999</v>
      </c>
      <c r="N1590" s="5" t="str">
        <f t="shared" si="99"/>
        <v>August 2022</v>
      </c>
    </row>
    <row r="1591" spans="1:14" x14ac:dyDescent="0.25">
      <c r="A1591" s="1">
        <v>44799</v>
      </c>
      <c r="B1591" t="s">
        <v>3128</v>
      </c>
      <c r="C1591">
        <v>99</v>
      </c>
      <c r="D1591" t="s">
        <v>9</v>
      </c>
      <c r="E1591" t="s">
        <v>22</v>
      </c>
      <c r="F1591" t="s">
        <v>11</v>
      </c>
      <c r="G1591" t="s">
        <v>5033</v>
      </c>
      <c r="H1591">
        <v>4007.9</v>
      </c>
      <c r="I1591" s="8" t="str" cm="1">
        <f t="array" ref="I1591">_xlfn.IFS(C1591&lt;=15,"Children and Young Adolescents", C1591&gt;64, "Seniors", TRUE, "Working Age")</f>
        <v>Seniors</v>
      </c>
      <c r="J1591" s="6">
        <f>VLOOKUP(F1591,Analysis!$F$1:$G$5,2,FALSE)</f>
        <v>2503.6022787783854</v>
      </c>
      <c r="K1591">
        <f t="shared" si="96"/>
        <v>4408.6899999999996</v>
      </c>
      <c r="L1591">
        <f t="shared" si="97"/>
        <v>4408.6899999999996</v>
      </c>
      <c r="M1591">
        <f t="shared" si="98"/>
        <v>4408.6899999999996</v>
      </c>
      <c r="N1591" s="5" t="str">
        <f t="shared" si="99"/>
        <v>August 2022</v>
      </c>
    </row>
    <row r="1592" spans="1:14" x14ac:dyDescent="0.25">
      <c r="A1592" s="1">
        <v>44799</v>
      </c>
      <c r="B1592" t="s">
        <v>1457</v>
      </c>
      <c r="C1592">
        <v>17</v>
      </c>
      <c r="D1592" t="s">
        <v>21</v>
      </c>
      <c r="E1592" t="s">
        <v>15</v>
      </c>
      <c r="F1592" t="s">
        <v>29</v>
      </c>
      <c r="G1592" t="s">
        <v>12</v>
      </c>
      <c r="H1592">
        <v>3981.34</v>
      </c>
      <c r="I1592" s="8" t="str" cm="1">
        <f t="array" ref="I1592">_xlfn.IFS(C1592&lt;=15,"Children and Young Adolescents", C1592&gt;64, "Seniors", TRUE, "Working Age")</f>
        <v>Working Age</v>
      </c>
      <c r="J1592" s="6">
        <f>VLOOKUP(F1592,Analysis!$F$1:$G$5,2,FALSE)</f>
        <v>2496.7676064256989</v>
      </c>
      <c r="K1592">
        <f t="shared" si="96"/>
        <v>4379.47</v>
      </c>
      <c r="L1592">
        <f t="shared" si="97"/>
        <v>4379.4800000000005</v>
      </c>
      <c r="M1592">
        <f t="shared" si="98"/>
        <v>4379.47</v>
      </c>
      <c r="N1592" s="5" t="str">
        <f t="shared" si="99"/>
        <v>August 2022</v>
      </c>
    </row>
    <row r="1593" spans="1:14" x14ac:dyDescent="0.25">
      <c r="A1593" s="1">
        <v>44800</v>
      </c>
      <c r="B1593" t="s">
        <v>3004</v>
      </c>
      <c r="C1593">
        <v>30</v>
      </c>
      <c r="D1593" t="s">
        <v>9</v>
      </c>
      <c r="E1593" t="s">
        <v>25</v>
      </c>
      <c r="F1593" t="s">
        <v>23</v>
      </c>
      <c r="G1593" t="s">
        <v>17</v>
      </c>
      <c r="H1593">
        <v>3850.65</v>
      </c>
      <c r="I1593" s="8" t="str" cm="1">
        <f t="array" ref="I1593">_xlfn.IFS(C1593&lt;=15,"Children and Young Adolescents", C1593&gt;64, "Seniors", TRUE, "Working Age")</f>
        <v>Working Age</v>
      </c>
      <c r="J1593" s="6">
        <f>VLOOKUP(F1593,Analysis!$F$1:$G$5,2,FALSE)</f>
        <v>2440.2966694490838</v>
      </c>
      <c r="K1593">
        <f t="shared" si="96"/>
        <v>4235.71</v>
      </c>
      <c r="L1593">
        <f t="shared" si="97"/>
        <v>4235.72</v>
      </c>
      <c r="M1593">
        <f t="shared" si="98"/>
        <v>4235.72</v>
      </c>
      <c r="N1593" s="5" t="str">
        <f t="shared" si="99"/>
        <v>August 2022</v>
      </c>
    </row>
    <row r="1594" spans="1:14" x14ac:dyDescent="0.25">
      <c r="A1594" s="1">
        <v>44800</v>
      </c>
      <c r="B1594" t="s">
        <v>3848</v>
      </c>
      <c r="C1594">
        <v>36</v>
      </c>
      <c r="D1594" t="s">
        <v>9</v>
      </c>
      <c r="E1594" t="s">
        <v>22</v>
      </c>
      <c r="F1594" t="s">
        <v>23</v>
      </c>
      <c r="G1594" t="s">
        <v>27</v>
      </c>
      <c r="H1594">
        <v>3604.47</v>
      </c>
      <c r="I1594" s="8" t="str" cm="1">
        <f t="array" ref="I1594">_xlfn.IFS(C1594&lt;=15,"Children and Young Adolescents", C1594&gt;64, "Seniors", TRUE, "Working Age")</f>
        <v>Working Age</v>
      </c>
      <c r="J1594" s="6">
        <f>VLOOKUP(F1594,Analysis!$F$1:$G$5,2,FALSE)</f>
        <v>2440.2966694490838</v>
      </c>
      <c r="K1594">
        <f t="shared" si="96"/>
        <v>3964.91</v>
      </c>
      <c r="L1594">
        <f t="shared" si="97"/>
        <v>3964.92</v>
      </c>
      <c r="M1594">
        <f t="shared" si="98"/>
        <v>3964.92</v>
      </c>
      <c r="N1594" s="5" t="str">
        <f t="shared" si="99"/>
        <v>August 2022</v>
      </c>
    </row>
    <row r="1595" spans="1:14" x14ac:dyDescent="0.25">
      <c r="A1595" s="1">
        <v>44800</v>
      </c>
      <c r="B1595" t="s">
        <v>3943</v>
      </c>
      <c r="C1595">
        <v>43</v>
      </c>
      <c r="D1595" t="s">
        <v>21</v>
      </c>
      <c r="E1595" t="s">
        <v>10</v>
      </c>
      <c r="F1595" t="s">
        <v>11</v>
      </c>
      <c r="G1595" t="s">
        <v>39</v>
      </c>
      <c r="H1595">
        <v>2922.41</v>
      </c>
      <c r="I1595" s="8" t="str" cm="1">
        <f t="array" ref="I1595">_xlfn.IFS(C1595&lt;=15,"Children and Young Adolescents", C1595&gt;64, "Seniors", TRUE, "Working Age")</f>
        <v>Working Age</v>
      </c>
      <c r="J1595" s="6">
        <f>VLOOKUP(F1595,Analysis!$F$1:$G$5,2,FALSE)</f>
        <v>2503.6022787783854</v>
      </c>
      <c r="K1595">
        <f t="shared" si="96"/>
        <v>3214.65</v>
      </c>
      <c r="L1595">
        <f t="shared" si="97"/>
        <v>3214.6600000000003</v>
      </c>
      <c r="M1595">
        <f t="shared" si="98"/>
        <v>3214.65</v>
      </c>
      <c r="N1595" s="5" t="str">
        <f t="shared" si="99"/>
        <v>August 2022</v>
      </c>
    </row>
    <row r="1596" spans="1:14" x14ac:dyDescent="0.25">
      <c r="A1596" s="1">
        <v>44800</v>
      </c>
      <c r="B1596" t="s">
        <v>1854</v>
      </c>
      <c r="C1596">
        <v>15</v>
      </c>
      <c r="D1596" t="s">
        <v>14</v>
      </c>
      <c r="E1596" t="s">
        <v>22</v>
      </c>
      <c r="F1596" t="s">
        <v>16</v>
      </c>
      <c r="G1596" t="s">
        <v>12</v>
      </c>
      <c r="H1596">
        <v>1537.94</v>
      </c>
      <c r="I1596" s="8" t="str" cm="1">
        <f t="array" ref="I1596">_xlfn.IFS(C1596&lt;=15,"Children and Young Adolescents", C1596&gt;64, "Seniors", TRUE, "Working Age")</f>
        <v>Children and Young Adolescents</v>
      </c>
      <c r="J1596" s="6">
        <f>VLOOKUP(F1596,Analysis!$F$1:$G$5,2,FALSE)</f>
        <v>2509.1716796874912</v>
      </c>
      <c r="K1596">
        <f t="shared" si="96"/>
        <v>1691.73</v>
      </c>
      <c r="L1596">
        <f t="shared" si="97"/>
        <v>1691.74</v>
      </c>
      <c r="M1596">
        <f t="shared" si="98"/>
        <v>1691.73</v>
      </c>
      <c r="N1596" s="5" t="str">
        <f t="shared" si="99"/>
        <v>August 2022</v>
      </c>
    </row>
    <row r="1597" spans="1:14" x14ac:dyDescent="0.25">
      <c r="A1597" s="1">
        <v>44800</v>
      </c>
      <c r="B1597" t="s">
        <v>4819</v>
      </c>
      <c r="C1597">
        <v>26</v>
      </c>
      <c r="D1597" t="s">
        <v>14</v>
      </c>
      <c r="E1597" t="s">
        <v>15</v>
      </c>
      <c r="F1597" t="s">
        <v>16</v>
      </c>
      <c r="G1597" t="s">
        <v>12</v>
      </c>
      <c r="H1597">
        <v>3439.75</v>
      </c>
      <c r="I1597" s="8" t="str" cm="1">
        <f t="array" ref="I1597">_xlfn.IFS(C1597&lt;=15,"Children and Young Adolescents", C1597&gt;64, "Seniors", TRUE, "Working Age")</f>
        <v>Working Age</v>
      </c>
      <c r="J1597" s="6">
        <f>VLOOKUP(F1597,Analysis!$F$1:$G$5,2,FALSE)</f>
        <v>2509.1716796874912</v>
      </c>
      <c r="K1597">
        <f t="shared" si="96"/>
        <v>3783.72</v>
      </c>
      <c r="L1597">
        <f t="shared" si="97"/>
        <v>3783.73</v>
      </c>
      <c r="M1597">
        <f t="shared" si="98"/>
        <v>3783.73</v>
      </c>
      <c r="N1597" s="5" t="str">
        <f t="shared" si="99"/>
        <v>August 2022</v>
      </c>
    </row>
    <row r="1598" spans="1:14" x14ac:dyDescent="0.25">
      <c r="A1598" s="1">
        <v>44801</v>
      </c>
      <c r="B1598" t="s">
        <v>4899</v>
      </c>
      <c r="C1598">
        <v>28</v>
      </c>
      <c r="D1598" t="s">
        <v>21</v>
      </c>
      <c r="E1598" t="s">
        <v>34</v>
      </c>
      <c r="F1598" t="s">
        <v>11</v>
      </c>
      <c r="G1598" t="s">
        <v>17</v>
      </c>
      <c r="H1598">
        <v>676.64</v>
      </c>
      <c r="I1598" s="8" t="str" cm="1">
        <f t="array" ref="I1598">_xlfn.IFS(C1598&lt;=15,"Children and Young Adolescents", C1598&gt;64, "Seniors", TRUE, "Working Age")</f>
        <v>Working Age</v>
      </c>
      <c r="J1598" s="6">
        <f>VLOOKUP(F1598,Analysis!$F$1:$G$5,2,FALSE)</f>
        <v>2503.6022787783854</v>
      </c>
      <c r="K1598">
        <f t="shared" si="96"/>
        <v>744.3</v>
      </c>
      <c r="L1598">
        <f t="shared" si="97"/>
        <v>744.31</v>
      </c>
      <c r="M1598">
        <f t="shared" si="98"/>
        <v>744.3</v>
      </c>
      <c r="N1598" s="5" t="str">
        <f t="shared" si="99"/>
        <v>August 2022</v>
      </c>
    </row>
    <row r="1599" spans="1:14" x14ac:dyDescent="0.25">
      <c r="A1599" s="1">
        <v>44801</v>
      </c>
      <c r="B1599" t="s">
        <v>4919</v>
      </c>
      <c r="C1599">
        <v>71</v>
      </c>
      <c r="D1599" t="s">
        <v>21</v>
      </c>
      <c r="E1599" t="s">
        <v>25</v>
      </c>
      <c r="F1599" t="s">
        <v>29</v>
      </c>
      <c r="G1599" t="s">
        <v>27</v>
      </c>
      <c r="H1599">
        <v>556.54</v>
      </c>
      <c r="I1599" s="8" t="str" cm="1">
        <f t="array" ref="I1599">_xlfn.IFS(C1599&lt;=15,"Children and Young Adolescents", C1599&gt;64, "Seniors", TRUE, "Working Age")</f>
        <v>Seniors</v>
      </c>
      <c r="J1599" s="6">
        <f>VLOOKUP(F1599,Analysis!$F$1:$G$5,2,FALSE)</f>
        <v>2496.7676064256989</v>
      </c>
      <c r="K1599">
        <f t="shared" si="96"/>
        <v>612.19000000000005</v>
      </c>
      <c r="L1599">
        <f t="shared" si="97"/>
        <v>612.20000000000005</v>
      </c>
      <c r="M1599">
        <f t="shared" si="98"/>
        <v>612.19000000000005</v>
      </c>
      <c r="N1599" s="5" t="str">
        <f t="shared" si="99"/>
        <v>August 2022</v>
      </c>
    </row>
    <row r="1600" spans="1:14" x14ac:dyDescent="0.25">
      <c r="A1600" s="1">
        <v>44801</v>
      </c>
      <c r="B1600" t="s">
        <v>4052</v>
      </c>
      <c r="C1600">
        <v>39</v>
      </c>
      <c r="D1600" t="s">
        <v>14</v>
      </c>
      <c r="E1600" t="s">
        <v>15</v>
      </c>
      <c r="F1600" t="s">
        <v>11</v>
      </c>
      <c r="G1600" t="s">
        <v>27</v>
      </c>
      <c r="H1600">
        <v>1728.52</v>
      </c>
      <c r="I1600" s="8" t="str" cm="1">
        <f t="array" ref="I1600">_xlfn.IFS(C1600&lt;=15,"Children and Young Adolescents", C1600&gt;64, "Seniors", TRUE, "Working Age")</f>
        <v>Working Age</v>
      </c>
      <c r="J1600" s="6">
        <f>VLOOKUP(F1600,Analysis!$F$1:$G$5,2,FALSE)</f>
        <v>2503.6022787783854</v>
      </c>
      <c r="K1600">
        <f t="shared" si="96"/>
        <v>1901.37</v>
      </c>
      <c r="L1600">
        <f t="shared" si="97"/>
        <v>1901.3799999999999</v>
      </c>
      <c r="M1600">
        <f t="shared" si="98"/>
        <v>1901.37</v>
      </c>
      <c r="N1600" s="5" t="str">
        <f t="shared" si="99"/>
        <v>August 2022</v>
      </c>
    </row>
    <row r="1601" spans="1:14" x14ac:dyDescent="0.25">
      <c r="A1601" s="1">
        <v>44801</v>
      </c>
      <c r="B1601" t="s">
        <v>2951</v>
      </c>
      <c r="C1601">
        <v>93</v>
      </c>
      <c r="D1601" t="s">
        <v>14</v>
      </c>
      <c r="E1601" t="s">
        <v>19</v>
      </c>
      <c r="F1601" t="s">
        <v>23</v>
      </c>
      <c r="G1601" t="s">
        <v>39</v>
      </c>
      <c r="H1601">
        <v>1286.78</v>
      </c>
      <c r="I1601" s="8" t="str" cm="1">
        <f t="array" ref="I1601">_xlfn.IFS(C1601&lt;=15,"Children and Young Adolescents", C1601&gt;64, "Seniors", TRUE, "Working Age")</f>
        <v>Seniors</v>
      </c>
      <c r="J1601" s="6">
        <f>VLOOKUP(F1601,Analysis!$F$1:$G$5,2,FALSE)</f>
        <v>2440.2966694490838</v>
      </c>
      <c r="K1601">
        <f t="shared" si="96"/>
        <v>1415.45</v>
      </c>
      <c r="L1601">
        <f t="shared" si="97"/>
        <v>1415.46</v>
      </c>
      <c r="M1601">
        <f t="shared" si="98"/>
        <v>1415.46</v>
      </c>
      <c r="N1601" s="5" t="str">
        <f t="shared" si="99"/>
        <v>August 2022</v>
      </c>
    </row>
    <row r="1602" spans="1:14" x14ac:dyDescent="0.25">
      <c r="A1602" s="1">
        <v>44801</v>
      </c>
      <c r="B1602" t="s">
        <v>700</v>
      </c>
      <c r="C1602">
        <v>40</v>
      </c>
      <c r="D1602" t="s">
        <v>14</v>
      </c>
      <c r="E1602" t="s">
        <v>19</v>
      </c>
      <c r="F1602" t="s">
        <v>16</v>
      </c>
      <c r="G1602" t="s">
        <v>39</v>
      </c>
      <c r="H1602">
        <v>2880.78</v>
      </c>
      <c r="I1602" s="8" t="str" cm="1">
        <f t="array" ref="I1602">_xlfn.IFS(C1602&lt;=15,"Children and Young Adolescents", C1602&gt;64, "Seniors", TRUE, "Working Age")</f>
        <v>Working Age</v>
      </c>
      <c r="J1602" s="6">
        <f>VLOOKUP(F1602,Analysis!$F$1:$G$5,2,FALSE)</f>
        <v>2509.1716796874912</v>
      </c>
      <c r="K1602">
        <f t="shared" si="96"/>
        <v>3168.85</v>
      </c>
      <c r="L1602">
        <f t="shared" si="97"/>
        <v>3168.86</v>
      </c>
      <c r="M1602">
        <f t="shared" si="98"/>
        <v>3168.86</v>
      </c>
      <c r="N1602" s="5" t="str">
        <f t="shared" si="99"/>
        <v>August 2022</v>
      </c>
    </row>
    <row r="1603" spans="1:14" x14ac:dyDescent="0.25">
      <c r="A1603" s="1">
        <v>44801</v>
      </c>
      <c r="B1603" t="s">
        <v>2384</v>
      </c>
      <c r="C1603">
        <v>21</v>
      </c>
      <c r="D1603" t="s">
        <v>21</v>
      </c>
      <c r="E1603" t="s">
        <v>34</v>
      </c>
      <c r="F1603" t="s">
        <v>16</v>
      </c>
      <c r="G1603" t="s">
        <v>5033</v>
      </c>
      <c r="H1603">
        <v>2788.07</v>
      </c>
      <c r="I1603" s="8" t="str" cm="1">
        <f t="array" ref="I1603">_xlfn.IFS(C1603&lt;=15,"Children and Young Adolescents", C1603&gt;64, "Seniors", TRUE, "Working Age")</f>
        <v>Working Age</v>
      </c>
      <c r="J1603" s="6">
        <f>VLOOKUP(F1603,Analysis!$F$1:$G$5,2,FALSE)</f>
        <v>2509.1716796874912</v>
      </c>
      <c r="K1603">
        <f t="shared" ref="K1603:K1666" si="100">ROUNDDOWN(H1603*1.1,2)</f>
        <v>3066.87</v>
      </c>
      <c r="L1603">
        <f t="shared" ref="L1603:L1666" si="101">ROUNDUP(H1603*1.1,2)</f>
        <v>3066.88</v>
      </c>
      <c r="M1603">
        <f t="shared" ref="M1603:M1666" si="102">ROUND(H1603*1.1,2)</f>
        <v>3066.88</v>
      </c>
      <c r="N1603" s="5" t="str">
        <f t="shared" ref="N1603:N1666" si="103">TEXT(A1603,"mmmm yyyy")</f>
        <v>August 2022</v>
      </c>
    </row>
    <row r="1604" spans="1:14" x14ac:dyDescent="0.25">
      <c r="A1604" s="1">
        <v>44801</v>
      </c>
      <c r="B1604" t="s">
        <v>2459</v>
      </c>
      <c r="C1604">
        <v>45</v>
      </c>
      <c r="D1604" t="s">
        <v>14</v>
      </c>
      <c r="E1604" t="s">
        <v>25</v>
      </c>
      <c r="F1604" t="s">
        <v>29</v>
      </c>
      <c r="G1604" t="s">
        <v>12</v>
      </c>
      <c r="H1604">
        <v>4909.04</v>
      </c>
      <c r="I1604" s="8" t="str" cm="1">
        <f t="array" ref="I1604">_xlfn.IFS(C1604&lt;=15,"Children and Young Adolescents", C1604&gt;64, "Seniors", TRUE, "Working Age")</f>
        <v>Working Age</v>
      </c>
      <c r="J1604" s="6">
        <f>VLOOKUP(F1604,Analysis!$F$1:$G$5,2,FALSE)</f>
        <v>2496.7676064256989</v>
      </c>
      <c r="K1604">
        <f t="shared" si="100"/>
        <v>5399.94</v>
      </c>
      <c r="L1604">
        <f t="shared" si="101"/>
        <v>5399.95</v>
      </c>
      <c r="M1604">
        <f t="shared" si="102"/>
        <v>5399.94</v>
      </c>
      <c r="N1604" s="5" t="str">
        <f t="shared" si="103"/>
        <v>August 2022</v>
      </c>
    </row>
    <row r="1605" spans="1:14" x14ac:dyDescent="0.25">
      <c r="A1605" s="1">
        <v>44801</v>
      </c>
      <c r="B1605" t="s">
        <v>188</v>
      </c>
      <c r="C1605">
        <v>99</v>
      </c>
      <c r="D1605" t="s">
        <v>9</v>
      </c>
      <c r="E1605" t="s">
        <v>22</v>
      </c>
      <c r="F1605" t="s">
        <v>29</v>
      </c>
      <c r="G1605" t="s">
        <v>27</v>
      </c>
      <c r="H1605">
        <v>3154.07</v>
      </c>
      <c r="I1605" s="8" t="str" cm="1">
        <f t="array" ref="I1605">_xlfn.IFS(C1605&lt;=15,"Children and Young Adolescents", C1605&gt;64, "Seniors", TRUE, "Working Age")</f>
        <v>Seniors</v>
      </c>
      <c r="J1605" s="6">
        <f>VLOOKUP(F1605,Analysis!$F$1:$G$5,2,FALSE)</f>
        <v>2496.7676064256989</v>
      </c>
      <c r="K1605">
        <f t="shared" si="100"/>
        <v>3469.47</v>
      </c>
      <c r="L1605">
        <f t="shared" si="101"/>
        <v>3469.48</v>
      </c>
      <c r="M1605">
        <f t="shared" si="102"/>
        <v>3469.48</v>
      </c>
      <c r="N1605" s="5" t="str">
        <f t="shared" si="103"/>
        <v>August 2022</v>
      </c>
    </row>
    <row r="1606" spans="1:14" x14ac:dyDescent="0.25">
      <c r="A1606" s="1">
        <v>44801</v>
      </c>
      <c r="B1606" t="s">
        <v>3738</v>
      </c>
      <c r="C1606">
        <v>97</v>
      </c>
      <c r="D1606" t="s">
        <v>9</v>
      </c>
      <c r="E1606" t="s">
        <v>15</v>
      </c>
      <c r="F1606" t="s">
        <v>16</v>
      </c>
      <c r="G1606" t="s">
        <v>12</v>
      </c>
      <c r="H1606">
        <v>252.83</v>
      </c>
      <c r="I1606" s="8" t="str" cm="1">
        <f t="array" ref="I1606">_xlfn.IFS(C1606&lt;=15,"Children and Young Adolescents", C1606&gt;64, "Seniors", TRUE, "Working Age")</f>
        <v>Seniors</v>
      </c>
      <c r="J1606" s="6">
        <f>VLOOKUP(F1606,Analysis!$F$1:$G$5,2,FALSE)</f>
        <v>2509.1716796874912</v>
      </c>
      <c r="K1606">
        <f t="shared" si="100"/>
        <v>278.11</v>
      </c>
      <c r="L1606">
        <f t="shared" si="101"/>
        <v>278.12</v>
      </c>
      <c r="M1606">
        <f t="shared" si="102"/>
        <v>278.11</v>
      </c>
      <c r="N1606" s="5" t="str">
        <f t="shared" si="103"/>
        <v>August 2022</v>
      </c>
    </row>
    <row r="1607" spans="1:14" x14ac:dyDescent="0.25">
      <c r="A1607" s="1">
        <v>44802</v>
      </c>
      <c r="B1607" t="s">
        <v>2399</v>
      </c>
      <c r="C1607">
        <v>72</v>
      </c>
      <c r="D1607" t="s">
        <v>21</v>
      </c>
      <c r="E1607" t="s">
        <v>34</v>
      </c>
      <c r="F1607" t="s">
        <v>16</v>
      </c>
      <c r="G1607" t="s">
        <v>36</v>
      </c>
      <c r="H1607">
        <v>4294.16</v>
      </c>
      <c r="I1607" s="8" t="str" cm="1">
        <f t="array" ref="I1607">_xlfn.IFS(C1607&lt;=15,"Children and Young Adolescents", C1607&gt;64, "Seniors", TRUE, "Working Age")</f>
        <v>Seniors</v>
      </c>
      <c r="J1607" s="6">
        <f>VLOOKUP(F1607,Analysis!$F$1:$G$5,2,FALSE)</f>
        <v>2509.1716796874912</v>
      </c>
      <c r="K1607">
        <f t="shared" si="100"/>
        <v>4723.57</v>
      </c>
      <c r="L1607">
        <f t="shared" si="101"/>
        <v>4723.58</v>
      </c>
      <c r="M1607">
        <f t="shared" si="102"/>
        <v>4723.58</v>
      </c>
      <c r="N1607" s="5" t="str">
        <f t="shared" si="103"/>
        <v>August 2022</v>
      </c>
    </row>
    <row r="1608" spans="1:14" x14ac:dyDescent="0.25">
      <c r="A1608" s="1">
        <v>44802</v>
      </c>
      <c r="B1608" t="s">
        <v>3598</v>
      </c>
      <c r="C1608">
        <v>44</v>
      </c>
      <c r="D1608" t="s">
        <v>9</v>
      </c>
      <c r="E1608" t="s">
        <v>25</v>
      </c>
      <c r="F1608" t="s">
        <v>29</v>
      </c>
      <c r="G1608" t="s">
        <v>27</v>
      </c>
      <c r="H1608">
        <v>4915.8999999999996</v>
      </c>
      <c r="I1608" s="8" t="str" cm="1">
        <f t="array" ref="I1608">_xlfn.IFS(C1608&lt;=15,"Children and Young Adolescents", C1608&gt;64, "Seniors", TRUE, "Working Age")</f>
        <v>Working Age</v>
      </c>
      <c r="J1608" s="6">
        <f>VLOOKUP(F1608,Analysis!$F$1:$G$5,2,FALSE)</f>
        <v>2496.7676064256989</v>
      </c>
      <c r="K1608">
        <f t="shared" si="100"/>
        <v>5407.49</v>
      </c>
      <c r="L1608">
        <f t="shared" si="101"/>
        <v>5407.49</v>
      </c>
      <c r="M1608">
        <f t="shared" si="102"/>
        <v>5407.49</v>
      </c>
      <c r="N1608" s="5" t="str">
        <f t="shared" si="103"/>
        <v>August 2022</v>
      </c>
    </row>
    <row r="1609" spans="1:14" x14ac:dyDescent="0.25">
      <c r="A1609" s="1">
        <v>44802</v>
      </c>
      <c r="B1609" t="s">
        <v>643</v>
      </c>
      <c r="C1609">
        <v>15</v>
      </c>
      <c r="D1609" t="s">
        <v>14</v>
      </c>
      <c r="E1609" t="s">
        <v>19</v>
      </c>
      <c r="F1609" t="s">
        <v>29</v>
      </c>
      <c r="G1609" t="s">
        <v>12</v>
      </c>
      <c r="H1609">
        <v>1405.89</v>
      </c>
      <c r="I1609" s="8" t="str" cm="1">
        <f t="array" ref="I1609">_xlfn.IFS(C1609&lt;=15,"Children and Young Adolescents", C1609&gt;64, "Seniors", TRUE, "Working Age")</f>
        <v>Children and Young Adolescents</v>
      </c>
      <c r="J1609" s="6">
        <f>VLOOKUP(F1609,Analysis!$F$1:$G$5,2,FALSE)</f>
        <v>2496.7676064256989</v>
      </c>
      <c r="K1609">
        <f t="shared" si="100"/>
        <v>1546.47</v>
      </c>
      <c r="L1609">
        <f t="shared" si="101"/>
        <v>1546.48</v>
      </c>
      <c r="M1609">
        <f t="shared" si="102"/>
        <v>1546.48</v>
      </c>
      <c r="N1609" s="5" t="str">
        <f t="shared" si="103"/>
        <v>August 2022</v>
      </c>
    </row>
    <row r="1610" spans="1:14" x14ac:dyDescent="0.25">
      <c r="A1610" s="1">
        <v>44802</v>
      </c>
      <c r="B1610" t="s">
        <v>976</v>
      </c>
      <c r="C1610">
        <v>27</v>
      </c>
      <c r="D1610" t="s">
        <v>14</v>
      </c>
      <c r="E1610" t="s">
        <v>19</v>
      </c>
      <c r="F1610" t="s">
        <v>16</v>
      </c>
      <c r="G1610" t="s">
        <v>12</v>
      </c>
      <c r="H1610">
        <v>1209.74</v>
      </c>
      <c r="I1610" s="8" t="str" cm="1">
        <f t="array" ref="I1610">_xlfn.IFS(C1610&lt;=15,"Children and Young Adolescents", C1610&gt;64, "Seniors", TRUE, "Working Age")</f>
        <v>Working Age</v>
      </c>
      <c r="J1610" s="6">
        <f>VLOOKUP(F1610,Analysis!$F$1:$G$5,2,FALSE)</f>
        <v>2509.1716796874912</v>
      </c>
      <c r="K1610">
        <f t="shared" si="100"/>
        <v>1330.71</v>
      </c>
      <c r="L1610">
        <f t="shared" si="101"/>
        <v>1330.72</v>
      </c>
      <c r="M1610">
        <f t="shared" si="102"/>
        <v>1330.71</v>
      </c>
      <c r="N1610" s="5" t="str">
        <f t="shared" si="103"/>
        <v>August 2022</v>
      </c>
    </row>
    <row r="1611" spans="1:14" x14ac:dyDescent="0.25">
      <c r="A1611" s="1">
        <v>44802</v>
      </c>
      <c r="B1611" t="s">
        <v>2058</v>
      </c>
      <c r="C1611">
        <v>72</v>
      </c>
      <c r="D1611" t="s">
        <v>21</v>
      </c>
      <c r="E1611" t="s">
        <v>19</v>
      </c>
      <c r="F1611" t="s">
        <v>29</v>
      </c>
      <c r="G1611" t="s">
        <v>17</v>
      </c>
      <c r="H1611">
        <v>4289.57</v>
      </c>
      <c r="I1611" s="8" t="str" cm="1">
        <f t="array" ref="I1611">_xlfn.IFS(C1611&lt;=15,"Children and Young Adolescents", C1611&gt;64, "Seniors", TRUE, "Working Age")</f>
        <v>Seniors</v>
      </c>
      <c r="J1611" s="6">
        <f>VLOOKUP(F1611,Analysis!$F$1:$G$5,2,FALSE)</f>
        <v>2496.7676064256989</v>
      </c>
      <c r="K1611">
        <f t="shared" si="100"/>
        <v>4718.5200000000004</v>
      </c>
      <c r="L1611">
        <f t="shared" si="101"/>
        <v>4718.5300000000007</v>
      </c>
      <c r="M1611">
        <f t="shared" si="102"/>
        <v>4718.53</v>
      </c>
      <c r="N1611" s="5" t="str">
        <f t="shared" si="103"/>
        <v>August 2022</v>
      </c>
    </row>
    <row r="1612" spans="1:14" x14ac:dyDescent="0.25">
      <c r="A1612" s="1">
        <v>44802</v>
      </c>
      <c r="B1612" t="s">
        <v>4132</v>
      </c>
      <c r="C1612">
        <v>63</v>
      </c>
      <c r="D1612" t="s">
        <v>9</v>
      </c>
      <c r="E1612" t="s">
        <v>19</v>
      </c>
      <c r="F1612" t="s">
        <v>23</v>
      </c>
      <c r="G1612" t="s">
        <v>39</v>
      </c>
      <c r="H1612">
        <v>4432.47</v>
      </c>
      <c r="I1612" s="8" t="str" cm="1">
        <f t="array" ref="I1612">_xlfn.IFS(C1612&lt;=15,"Children and Young Adolescents", C1612&gt;64, "Seniors", TRUE, "Working Age")</f>
        <v>Working Age</v>
      </c>
      <c r="J1612" s="6">
        <f>VLOOKUP(F1612,Analysis!$F$1:$G$5,2,FALSE)</f>
        <v>2440.2966694490838</v>
      </c>
      <c r="K1612">
        <f t="shared" si="100"/>
        <v>4875.71</v>
      </c>
      <c r="L1612">
        <f t="shared" si="101"/>
        <v>4875.72</v>
      </c>
      <c r="M1612">
        <f t="shared" si="102"/>
        <v>4875.72</v>
      </c>
      <c r="N1612" s="5" t="str">
        <f t="shared" si="103"/>
        <v>August 2022</v>
      </c>
    </row>
    <row r="1613" spans="1:14" x14ac:dyDescent="0.25">
      <c r="A1613" s="1">
        <v>44802</v>
      </c>
      <c r="B1613" t="s">
        <v>3846</v>
      </c>
      <c r="C1613">
        <v>79</v>
      </c>
      <c r="D1613" t="s">
        <v>21</v>
      </c>
      <c r="E1613" t="s">
        <v>15</v>
      </c>
      <c r="F1613" t="s">
        <v>16</v>
      </c>
      <c r="G1613" t="s">
        <v>17</v>
      </c>
      <c r="H1613">
        <v>2132.46</v>
      </c>
      <c r="I1613" s="8" t="str" cm="1">
        <f t="array" ref="I1613">_xlfn.IFS(C1613&lt;=15,"Children and Young Adolescents", C1613&gt;64, "Seniors", TRUE, "Working Age")</f>
        <v>Seniors</v>
      </c>
      <c r="J1613" s="6">
        <f>VLOOKUP(F1613,Analysis!$F$1:$G$5,2,FALSE)</f>
        <v>2509.1716796874912</v>
      </c>
      <c r="K1613">
        <f t="shared" si="100"/>
        <v>2345.6999999999998</v>
      </c>
      <c r="L1613">
        <f t="shared" si="101"/>
        <v>2345.71</v>
      </c>
      <c r="M1613">
        <f t="shared" si="102"/>
        <v>2345.71</v>
      </c>
      <c r="N1613" s="5" t="str">
        <f t="shared" si="103"/>
        <v>August 2022</v>
      </c>
    </row>
    <row r="1614" spans="1:14" x14ac:dyDescent="0.25">
      <c r="A1614" s="1">
        <v>44802</v>
      </c>
      <c r="B1614" t="s">
        <v>4999</v>
      </c>
      <c r="C1614">
        <v>14</v>
      </c>
      <c r="D1614" t="s">
        <v>14</v>
      </c>
      <c r="E1614" t="s">
        <v>34</v>
      </c>
      <c r="F1614" t="s">
        <v>11</v>
      </c>
      <c r="G1614" t="s">
        <v>39</v>
      </c>
      <c r="H1614">
        <v>3069.35</v>
      </c>
      <c r="I1614" s="8" t="str" cm="1">
        <f t="array" ref="I1614">_xlfn.IFS(C1614&lt;=15,"Children and Young Adolescents", C1614&gt;64, "Seniors", TRUE, "Working Age")</f>
        <v>Children and Young Adolescents</v>
      </c>
      <c r="J1614" s="6">
        <f>VLOOKUP(F1614,Analysis!$F$1:$G$5,2,FALSE)</f>
        <v>2503.6022787783854</v>
      </c>
      <c r="K1614">
        <f t="shared" si="100"/>
        <v>3376.28</v>
      </c>
      <c r="L1614">
        <f t="shared" si="101"/>
        <v>3376.2900000000004</v>
      </c>
      <c r="M1614">
        <f t="shared" si="102"/>
        <v>3376.29</v>
      </c>
      <c r="N1614" s="5" t="str">
        <f t="shared" si="103"/>
        <v>August 2022</v>
      </c>
    </row>
    <row r="1615" spans="1:14" x14ac:dyDescent="0.25">
      <c r="A1615" s="1">
        <v>44802</v>
      </c>
      <c r="B1615" t="s">
        <v>1669</v>
      </c>
      <c r="C1615">
        <v>35</v>
      </c>
      <c r="D1615" t="s">
        <v>21</v>
      </c>
      <c r="E1615" t="s">
        <v>10</v>
      </c>
      <c r="F1615" t="s">
        <v>11</v>
      </c>
      <c r="G1615" t="s">
        <v>12</v>
      </c>
      <c r="H1615">
        <v>369.89</v>
      </c>
      <c r="I1615" s="8" t="str" cm="1">
        <f t="array" ref="I1615">_xlfn.IFS(C1615&lt;=15,"Children and Young Adolescents", C1615&gt;64, "Seniors", TRUE, "Working Age")</f>
        <v>Working Age</v>
      </c>
      <c r="J1615" s="6">
        <f>VLOOKUP(F1615,Analysis!$F$1:$G$5,2,FALSE)</f>
        <v>2503.6022787783854</v>
      </c>
      <c r="K1615">
        <f t="shared" si="100"/>
        <v>406.87</v>
      </c>
      <c r="L1615">
        <f t="shared" si="101"/>
        <v>406.88</v>
      </c>
      <c r="M1615">
        <f t="shared" si="102"/>
        <v>406.88</v>
      </c>
      <c r="N1615" s="5" t="str">
        <f t="shared" si="103"/>
        <v>August 2022</v>
      </c>
    </row>
    <row r="1616" spans="1:14" x14ac:dyDescent="0.25">
      <c r="A1616" s="1">
        <v>44802</v>
      </c>
      <c r="B1616" t="s">
        <v>4760</v>
      </c>
      <c r="C1616">
        <v>83</v>
      </c>
      <c r="D1616" t="s">
        <v>9</v>
      </c>
      <c r="E1616" t="s">
        <v>32</v>
      </c>
      <c r="F1616" t="s">
        <v>16</v>
      </c>
      <c r="G1616" t="s">
        <v>36</v>
      </c>
      <c r="H1616">
        <v>3162.36</v>
      </c>
      <c r="I1616" s="8" t="str" cm="1">
        <f t="array" ref="I1616">_xlfn.IFS(C1616&lt;=15,"Children and Young Adolescents", C1616&gt;64, "Seniors", TRUE, "Working Age")</f>
        <v>Seniors</v>
      </c>
      <c r="J1616" s="6">
        <f>VLOOKUP(F1616,Analysis!$F$1:$G$5,2,FALSE)</f>
        <v>2509.1716796874912</v>
      </c>
      <c r="K1616">
        <f t="shared" si="100"/>
        <v>3478.59</v>
      </c>
      <c r="L1616">
        <f t="shared" si="101"/>
        <v>3478.6000000000004</v>
      </c>
      <c r="M1616">
        <f t="shared" si="102"/>
        <v>3478.6</v>
      </c>
      <c r="N1616" s="5" t="str">
        <f t="shared" si="103"/>
        <v>August 2022</v>
      </c>
    </row>
    <row r="1617" spans="1:14" x14ac:dyDescent="0.25">
      <c r="A1617" s="1">
        <v>44803</v>
      </c>
      <c r="B1617" t="s">
        <v>2755</v>
      </c>
      <c r="C1617">
        <v>64</v>
      </c>
      <c r="D1617" t="s">
        <v>21</v>
      </c>
      <c r="E1617" t="s">
        <v>15</v>
      </c>
      <c r="F1617" t="s">
        <v>23</v>
      </c>
      <c r="G1617" t="s">
        <v>39</v>
      </c>
      <c r="H1617">
        <v>3604.51</v>
      </c>
      <c r="I1617" s="8" t="str" cm="1">
        <f t="array" ref="I1617">_xlfn.IFS(C1617&lt;=15,"Children and Young Adolescents", C1617&gt;64, "Seniors", TRUE, "Working Age")</f>
        <v>Working Age</v>
      </c>
      <c r="J1617" s="6">
        <f>VLOOKUP(F1617,Analysis!$F$1:$G$5,2,FALSE)</f>
        <v>2440.2966694490838</v>
      </c>
      <c r="K1617">
        <f t="shared" si="100"/>
        <v>3964.96</v>
      </c>
      <c r="L1617">
        <f t="shared" si="101"/>
        <v>3964.9700000000003</v>
      </c>
      <c r="M1617">
        <f t="shared" si="102"/>
        <v>3964.96</v>
      </c>
      <c r="N1617" s="5" t="str">
        <f t="shared" si="103"/>
        <v>August 2022</v>
      </c>
    </row>
    <row r="1618" spans="1:14" x14ac:dyDescent="0.25">
      <c r="A1618" s="1">
        <v>44803</v>
      </c>
      <c r="B1618" t="s">
        <v>3741</v>
      </c>
      <c r="C1618">
        <v>37</v>
      </c>
      <c r="D1618" t="s">
        <v>9</v>
      </c>
      <c r="E1618" t="s">
        <v>22</v>
      </c>
      <c r="F1618" t="s">
        <v>11</v>
      </c>
      <c r="G1618" t="s">
        <v>39</v>
      </c>
      <c r="H1618">
        <v>3701.63</v>
      </c>
      <c r="I1618" s="8" t="str" cm="1">
        <f t="array" ref="I1618">_xlfn.IFS(C1618&lt;=15,"Children and Young Adolescents", C1618&gt;64, "Seniors", TRUE, "Working Age")</f>
        <v>Working Age</v>
      </c>
      <c r="J1618" s="6">
        <f>VLOOKUP(F1618,Analysis!$F$1:$G$5,2,FALSE)</f>
        <v>2503.6022787783854</v>
      </c>
      <c r="K1618">
        <f t="shared" si="100"/>
        <v>4071.79</v>
      </c>
      <c r="L1618">
        <f t="shared" si="101"/>
        <v>4071.8</v>
      </c>
      <c r="M1618">
        <f t="shared" si="102"/>
        <v>4071.79</v>
      </c>
      <c r="N1618" s="5" t="str">
        <f t="shared" si="103"/>
        <v>August 2022</v>
      </c>
    </row>
    <row r="1619" spans="1:14" x14ac:dyDescent="0.25">
      <c r="A1619" s="1">
        <v>44803</v>
      </c>
      <c r="B1619" t="s">
        <v>121</v>
      </c>
      <c r="C1619">
        <v>42</v>
      </c>
      <c r="D1619" t="s">
        <v>9</v>
      </c>
      <c r="E1619" t="s">
        <v>22</v>
      </c>
      <c r="F1619" t="s">
        <v>11</v>
      </c>
      <c r="G1619" t="s">
        <v>27</v>
      </c>
      <c r="H1619">
        <v>2190.85</v>
      </c>
      <c r="I1619" s="8" t="str" cm="1">
        <f t="array" ref="I1619">_xlfn.IFS(C1619&lt;=15,"Children and Young Adolescents", C1619&gt;64, "Seniors", TRUE, "Working Age")</f>
        <v>Working Age</v>
      </c>
      <c r="J1619" s="6">
        <f>VLOOKUP(F1619,Analysis!$F$1:$G$5,2,FALSE)</f>
        <v>2503.6022787783854</v>
      </c>
      <c r="K1619">
        <f t="shared" si="100"/>
        <v>2409.9299999999998</v>
      </c>
      <c r="L1619">
        <f t="shared" si="101"/>
        <v>2409.94</v>
      </c>
      <c r="M1619">
        <f t="shared" si="102"/>
        <v>2409.94</v>
      </c>
      <c r="N1619" s="5" t="str">
        <f t="shared" si="103"/>
        <v>August 2022</v>
      </c>
    </row>
    <row r="1620" spans="1:14" x14ac:dyDescent="0.25">
      <c r="A1620" s="1">
        <v>44803</v>
      </c>
      <c r="B1620" t="s">
        <v>1526</v>
      </c>
      <c r="C1620">
        <v>99</v>
      </c>
      <c r="D1620" t="s">
        <v>14</v>
      </c>
      <c r="E1620" t="s">
        <v>22</v>
      </c>
      <c r="F1620" t="s">
        <v>29</v>
      </c>
      <c r="G1620" t="s">
        <v>27</v>
      </c>
      <c r="H1620">
        <v>3300.27</v>
      </c>
      <c r="I1620" s="8" t="str" cm="1">
        <f t="array" ref="I1620">_xlfn.IFS(C1620&lt;=15,"Children and Young Adolescents", C1620&gt;64, "Seniors", TRUE, "Working Age")</f>
        <v>Seniors</v>
      </c>
      <c r="J1620" s="6">
        <f>VLOOKUP(F1620,Analysis!$F$1:$G$5,2,FALSE)</f>
        <v>2496.7676064256989</v>
      </c>
      <c r="K1620">
        <f t="shared" si="100"/>
        <v>3630.29</v>
      </c>
      <c r="L1620">
        <f t="shared" si="101"/>
        <v>3630.3</v>
      </c>
      <c r="M1620">
        <f t="shared" si="102"/>
        <v>3630.3</v>
      </c>
      <c r="N1620" s="5" t="str">
        <f t="shared" si="103"/>
        <v>August 2022</v>
      </c>
    </row>
    <row r="1621" spans="1:14" x14ac:dyDescent="0.25">
      <c r="A1621" s="1">
        <v>44803</v>
      </c>
      <c r="B1621" t="s">
        <v>1595</v>
      </c>
      <c r="C1621">
        <v>54</v>
      </c>
      <c r="D1621" t="s">
        <v>21</v>
      </c>
      <c r="E1621" t="s">
        <v>34</v>
      </c>
      <c r="F1621" t="s">
        <v>11</v>
      </c>
      <c r="G1621" t="s">
        <v>5033</v>
      </c>
      <c r="H1621">
        <v>1651.86</v>
      </c>
      <c r="I1621" s="8" t="str" cm="1">
        <f t="array" ref="I1621">_xlfn.IFS(C1621&lt;=15,"Children and Young Adolescents", C1621&gt;64, "Seniors", TRUE, "Working Age")</f>
        <v>Working Age</v>
      </c>
      <c r="J1621" s="6">
        <f>VLOOKUP(F1621,Analysis!$F$1:$G$5,2,FALSE)</f>
        <v>2503.6022787783854</v>
      </c>
      <c r="K1621">
        <f t="shared" si="100"/>
        <v>1817.04</v>
      </c>
      <c r="L1621">
        <f t="shared" si="101"/>
        <v>1817.05</v>
      </c>
      <c r="M1621">
        <f t="shared" si="102"/>
        <v>1817.05</v>
      </c>
      <c r="N1621" s="5" t="str">
        <f t="shared" si="103"/>
        <v>August 2022</v>
      </c>
    </row>
    <row r="1622" spans="1:14" x14ac:dyDescent="0.25">
      <c r="A1622" s="1">
        <v>44803</v>
      </c>
      <c r="B1622" t="s">
        <v>948</v>
      </c>
      <c r="C1622">
        <v>7</v>
      </c>
      <c r="D1622" t="s">
        <v>21</v>
      </c>
      <c r="E1622" t="s">
        <v>5032</v>
      </c>
      <c r="F1622" t="s">
        <v>11</v>
      </c>
      <c r="G1622" t="s">
        <v>36</v>
      </c>
      <c r="H1622">
        <v>3476.22</v>
      </c>
      <c r="I1622" s="8" t="str" cm="1">
        <f t="array" ref="I1622">_xlfn.IFS(C1622&lt;=15,"Children and Young Adolescents", C1622&gt;64, "Seniors", TRUE, "Working Age")</f>
        <v>Children and Young Adolescents</v>
      </c>
      <c r="J1622" s="6">
        <f>VLOOKUP(F1622,Analysis!$F$1:$G$5,2,FALSE)</f>
        <v>2503.6022787783854</v>
      </c>
      <c r="K1622">
        <f t="shared" si="100"/>
        <v>3823.84</v>
      </c>
      <c r="L1622">
        <f t="shared" si="101"/>
        <v>3823.8500000000004</v>
      </c>
      <c r="M1622">
        <f t="shared" si="102"/>
        <v>3823.84</v>
      </c>
      <c r="N1622" s="5" t="str">
        <f t="shared" si="103"/>
        <v>August 2022</v>
      </c>
    </row>
    <row r="1623" spans="1:14" x14ac:dyDescent="0.25">
      <c r="A1623" s="1">
        <v>44803</v>
      </c>
      <c r="B1623" t="s">
        <v>515</v>
      </c>
      <c r="C1623">
        <v>40</v>
      </c>
      <c r="D1623" t="s">
        <v>14</v>
      </c>
      <c r="E1623" t="s">
        <v>15</v>
      </c>
      <c r="F1623" t="s">
        <v>16</v>
      </c>
      <c r="G1623" t="s">
        <v>17</v>
      </c>
      <c r="H1623">
        <v>2274.61</v>
      </c>
      <c r="I1623" s="8" t="str" cm="1">
        <f t="array" ref="I1623">_xlfn.IFS(C1623&lt;=15,"Children and Young Adolescents", C1623&gt;64, "Seniors", TRUE, "Working Age")</f>
        <v>Working Age</v>
      </c>
      <c r="J1623" s="6">
        <f>VLOOKUP(F1623,Analysis!$F$1:$G$5,2,FALSE)</f>
        <v>2509.1716796874912</v>
      </c>
      <c r="K1623">
        <f t="shared" si="100"/>
        <v>2502.0700000000002</v>
      </c>
      <c r="L1623">
        <f t="shared" si="101"/>
        <v>2502.0800000000004</v>
      </c>
      <c r="M1623">
        <f t="shared" si="102"/>
        <v>2502.0700000000002</v>
      </c>
      <c r="N1623" s="5" t="str">
        <f t="shared" si="103"/>
        <v>August 2022</v>
      </c>
    </row>
    <row r="1624" spans="1:14" x14ac:dyDescent="0.25">
      <c r="A1624" s="1">
        <v>44804</v>
      </c>
      <c r="B1624" t="s">
        <v>818</v>
      </c>
      <c r="C1624">
        <v>28</v>
      </c>
      <c r="D1624" t="s">
        <v>9</v>
      </c>
      <c r="E1624" t="s">
        <v>32</v>
      </c>
      <c r="F1624" t="s">
        <v>16</v>
      </c>
      <c r="G1624" t="s">
        <v>39</v>
      </c>
      <c r="H1624">
        <v>501.46</v>
      </c>
      <c r="I1624" s="8" t="str" cm="1">
        <f t="array" ref="I1624">_xlfn.IFS(C1624&lt;=15,"Children and Young Adolescents", C1624&gt;64, "Seniors", TRUE, "Working Age")</f>
        <v>Working Age</v>
      </c>
      <c r="J1624" s="6">
        <f>VLOOKUP(F1624,Analysis!$F$1:$G$5,2,FALSE)</f>
        <v>2509.1716796874912</v>
      </c>
      <c r="K1624">
        <f t="shared" si="100"/>
        <v>551.6</v>
      </c>
      <c r="L1624">
        <f t="shared" si="101"/>
        <v>551.61</v>
      </c>
      <c r="M1624">
        <f t="shared" si="102"/>
        <v>551.61</v>
      </c>
      <c r="N1624" s="5" t="str">
        <f t="shared" si="103"/>
        <v>August 2022</v>
      </c>
    </row>
    <row r="1625" spans="1:14" x14ac:dyDescent="0.25">
      <c r="A1625" s="1">
        <v>44804</v>
      </c>
      <c r="B1625" t="s">
        <v>1868</v>
      </c>
      <c r="C1625">
        <v>63</v>
      </c>
      <c r="D1625" t="s">
        <v>14</v>
      </c>
      <c r="E1625" t="s">
        <v>19</v>
      </c>
      <c r="F1625" t="s">
        <v>29</v>
      </c>
      <c r="G1625" t="s">
        <v>5033</v>
      </c>
      <c r="H1625">
        <v>1304.97</v>
      </c>
      <c r="I1625" s="8" t="str" cm="1">
        <f t="array" ref="I1625">_xlfn.IFS(C1625&lt;=15,"Children and Young Adolescents", C1625&gt;64, "Seniors", TRUE, "Working Age")</f>
        <v>Working Age</v>
      </c>
      <c r="J1625" s="6">
        <f>VLOOKUP(F1625,Analysis!$F$1:$G$5,2,FALSE)</f>
        <v>2496.7676064256989</v>
      </c>
      <c r="K1625">
        <f t="shared" si="100"/>
        <v>1435.46</v>
      </c>
      <c r="L1625">
        <f t="shared" si="101"/>
        <v>1435.47</v>
      </c>
      <c r="M1625">
        <f t="shared" si="102"/>
        <v>1435.47</v>
      </c>
      <c r="N1625" s="5" t="str">
        <f t="shared" si="103"/>
        <v>August 2022</v>
      </c>
    </row>
    <row r="1626" spans="1:14" x14ac:dyDescent="0.25">
      <c r="A1626" s="1">
        <v>44804</v>
      </c>
      <c r="B1626" t="s">
        <v>809</v>
      </c>
      <c r="C1626">
        <v>38</v>
      </c>
      <c r="D1626" t="s">
        <v>21</v>
      </c>
      <c r="E1626" t="s">
        <v>22</v>
      </c>
      <c r="F1626" t="s">
        <v>11</v>
      </c>
      <c r="G1626" t="s">
        <v>12</v>
      </c>
      <c r="H1626">
        <v>2327.88</v>
      </c>
      <c r="I1626" s="8" t="str" cm="1">
        <f t="array" ref="I1626">_xlfn.IFS(C1626&lt;=15,"Children and Young Adolescents", C1626&gt;64, "Seniors", TRUE, "Working Age")</f>
        <v>Working Age</v>
      </c>
      <c r="J1626" s="6">
        <f>VLOOKUP(F1626,Analysis!$F$1:$G$5,2,FALSE)</f>
        <v>2503.6022787783854</v>
      </c>
      <c r="K1626">
        <f t="shared" si="100"/>
        <v>2560.66</v>
      </c>
      <c r="L1626">
        <f t="shared" si="101"/>
        <v>2560.67</v>
      </c>
      <c r="M1626">
        <f t="shared" si="102"/>
        <v>2560.67</v>
      </c>
      <c r="N1626" s="5" t="str">
        <f t="shared" si="103"/>
        <v>August 2022</v>
      </c>
    </row>
    <row r="1627" spans="1:14" x14ac:dyDescent="0.25">
      <c r="A1627" s="1">
        <v>44804</v>
      </c>
      <c r="B1627" t="s">
        <v>4727</v>
      </c>
      <c r="C1627">
        <v>47</v>
      </c>
      <c r="D1627" t="s">
        <v>9</v>
      </c>
      <c r="E1627" t="s">
        <v>25</v>
      </c>
      <c r="F1627" t="s">
        <v>16</v>
      </c>
      <c r="G1627" t="s">
        <v>39</v>
      </c>
      <c r="H1627">
        <v>2237.65</v>
      </c>
      <c r="I1627" s="8" t="str" cm="1">
        <f t="array" ref="I1627">_xlfn.IFS(C1627&lt;=15,"Children and Young Adolescents", C1627&gt;64, "Seniors", TRUE, "Working Age")</f>
        <v>Working Age</v>
      </c>
      <c r="J1627" s="6">
        <f>VLOOKUP(F1627,Analysis!$F$1:$G$5,2,FALSE)</f>
        <v>2509.1716796874912</v>
      </c>
      <c r="K1627">
        <f t="shared" si="100"/>
        <v>2461.41</v>
      </c>
      <c r="L1627">
        <f t="shared" si="101"/>
        <v>2461.42</v>
      </c>
      <c r="M1627">
        <f t="shared" si="102"/>
        <v>2461.42</v>
      </c>
      <c r="N1627" s="5" t="str">
        <f t="shared" si="103"/>
        <v>August 2022</v>
      </c>
    </row>
    <row r="1628" spans="1:14" x14ac:dyDescent="0.25">
      <c r="A1628" s="1">
        <v>44804</v>
      </c>
      <c r="B1628" t="s">
        <v>1482</v>
      </c>
      <c r="C1628">
        <v>22</v>
      </c>
      <c r="D1628" t="s">
        <v>14</v>
      </c>
      <c r="E1628" t="s">
        <v>22</v>
      </c>
      <c r="F1628" t="s">
        <v>16</v>
      </c>
      <c r="G1628" t="s">
        <v>12</v>
      </c>
      <c r="H1628">
        <v>4972.6099999999997</v>
      </c>
      <c r="I1628" s="8" t="str" cm="1">
        <f t="array" ref="I1628">_xlfn.IFS(C1628&lt;=15,"Children and Young Adolescents", C1628&gt;64, "Seniors", TRUE, "Working Age")</f>
        <v>Working Age</v>
      </c>
      <c r="J1628" s="6">
        <f>VLOOKUP(F1628,Analysis!$F$1:$G$5,2,FALSE)</f>
        <v>2509.1716796874912</v>
      </c>
      <c r="K1628">
        <f t="shared" si="100"/>
        <v>5469.87</v>
      </c>
      <c r="L1628">
        <f t="shared" si="101"/>
        <v>5469.88</v>
      </c>
      <c r="M1628">
        <f t="shared" si="102"/>
        <v>5469.87</v>
      </c>
      <c r="N1628" s="5" t="str">
        <f t="shared" si="103"/>
        <v>August 2022</v>
      </c>
    </row>
    <row r="1629" spans="1:14" x14ac:dyDescent="0.25">
      <c r="A1629" s="1">
        <v>44804</v>
      </c>
      <c r="B1629" t="s">
        <v>4121</v>
      </c>
      <c r="C1629">
        <v>36</v>
      </c>
      <c r="D1629" t="s">
        <v>9</v>
      </c>
      <c r="E1629" t="s">
        <v>32</v>
      </c>
      <c r="F1629" t="s">
        <v>16</v>
      </c>
      <c r="G1629" t="s">
        <v>39</v>
      </c>
      <c r="H1629">
        <v>4291.13</v>
      </c>
      <c r="I1629" s="8" t="str" cm="1">
        <f t="array" ref="I1629">_xlfn.IFS(C1629&lt;=15,"Children and Young Adolescents", C1629&gt;64, "Seniors", TRUE, "Working Age")</f>
        <v>Working Age</v>
      </c>
      <c r="J1629" s="6">
        <f>VLOOKUP(F1629,Analysis!$F$1:$G$5,2,FALSE)</f>
        <v>2509.1716796874912</v>
      </c>
      <c r="K1629">
        <f t="shared" si="100"/>
        <v>4720.24</v>
      </c>
      <c r="L1629">
        <f t="shared" si="101"/>
        <v>4720.25</v>
      </c>
      <c r="M1629">
        <f t="shared" si="102"/>
        <v>4720.24</v>
      </c>
      <c r="N1629" s="5" t="str">
        <f t="shared" si="103"/>
        <v>August 2022</v>
      </c>
    </row>
    <row r="1630" spans="1:14" x14ac:dyDescent="0.25">
      <c r="A1630" s="1">
        <v>44804</v>
      </c>
      <c r="B1630" t="s">
        <v>4627</v>
      </c>
      <c r="C1630">
        <v>41</v>
      </c>
      <c r="D1630" t="s">
        <v>14</v>
      </c>
      <c r="E1630" t="s">
        <v>19</v>
      </c>
      <c r="F1630" t="s">
        <v>23</v>
      </c>
      <c r="G1630" t="s">
        <v>17</v>
      </c>
      <c r="H1630">
        <v>1777.79</v>
      </c>
      <c r="I1630" s="8" t="str" cm="1">
        <f t="array" ref="I1630">_xlfn.IFS(C1630&lt;=15,"Children and Young Adolescents", C1630&gt;64, "Seniors", TRUE, "Working Age")</f>
        <v>Working Age</v>
      </c>
      <c r="J1630" s="6">
        <f>VLOOKUP(F1630,Analysis!$F$1:$G$5,2,FALSE)</f>
        <v>2440.2966694490838</v>
      </c>
      <c r="K1630">
        <f t="shared" si="100"/>
        <v>1955.56</v>
      </c>
      <c r="L1630">
        <f t="shared" si="101"/>
        <v>1955.57</v>
      </c>
      <c r="M1630">
        <f t="shared" si="102"/>
        <v>1955.57</v>
      </c>
      <c r="N1630" s="5" t="str">
        <f t="shared" si="103"/>
        <v>August 2022</v>
      </c>
    </row>
    <row r="1631" spans="1:14" x14ac:dyDescent="0.25">
      <c r="A1631" s="1">
        <v>44804</v>
      </c>
      <c r="B1631" t="s">
        <v>3520</v>
      </c>
      <c r="C1631">
        <v>25</v>
      </c>
      <c r="D1631" t="s">
        <v>14</v>
      </c>
      <c r="E1631" t="s">
        <v>19</v>
      </c>
      <c r="F1631" t="s">
        <v>16</v>
      </c>
      <c r="G1631" t="s">
        <v>17</v>
      </c>
      <c r="H1631">
        <v>420.46</v>
      </c>
      <c r="I1631" s="8" t="str" cm="1">
        <f t="array" ref="I1631">_xlfn.IFS(C1631&lt;=15,"Children and Young Adolescents", C1631&gt;64, "Seniors", TRUE, "Working Age")</f>
        <v>Working Age</v>
      </c>
      <c r="J1631" s="6">
        <f>VLOOKUP(F1631,Analysis!$F$1:$G$5,2,FALSE)</f>
        <v>2509.1716796874912</v>
      </c>
      <c r="K1631">
        <f t="shared" si="100"/>
        <v>462.5</v>
      </c>
      <c r="L1631">
        <f t="shared" si="101"/>
        <v>462.51</v>
      </c>
      <c r="M1631">
        <f t="shared" si="102"/>
        <v>462.51</v>
      </c>
      <c r="N1631" s="5" t="str">
        <f t="shared" si="103"/>
        <v>August 2022</v>
      </c>
    </row>
    <row r="1632" spans="1:14" x14ac:dyDescent="0.25">
      <c r="A1632" s="1">
        <v>44804</v>
      </c>
      <c r="B1632" t="s">
        <v>823</v>
      </c>
      <c r="C1632">
        <v>41</v>
      </c>
      <c r="D1632" t="s">
        <v>21</v>
      </c>
      <c r="E1632" t="s">
        <v>10</v>
      </c>
      <c r="F1632" t="s">
        <v>29</v>
      </c>
      <c r="G1632" t="s">
        <v>39</v>
      </c>
      <c r="H1632">
        <v>1983.76</v>
      </c>
      <c r="I1632" s="8" t="str" cm="1">
        <f t="array" ref="I1632">_xlfn.IFS(C1632&lt;=15,"Children and Young Adolescents", C1632&gt;64, "Seniors", TRUE, "Working Age")</f>
        <v>Working Age</v>
      </c>
      <c r="J1632" s="6">
        <f>VLOOKUP(F1632,Analysis!$F$1:$G$5,2,FALSE)</f>
        <v>2496.7676064256989</v>
      </c>
      <c r="K1632">
        <f t="shared" si="100"/>
        <v>2182.13</v>
      </c>
      <c r="L1632">
        <f t="shared" si="101"/>
        <v>2182.1400000000003</v>
      </c>
      <c r="M1632">
        <f t="shared" si="102"/>
        <v>2182.14</v>
      </c>
      <c r="N1632" s="5" t="str">
        <f t="shared" si="103"/>
        <v>August 2022</v>
      </c>
    </row>
    <row r="1633" spans="1:14" x14ac:dyDescent="0.25">
      <c r="A1633" s="1">
        <v>44804</v>
      </c>
      <c r="B1633" t="s">
        <v>545</v>
      </c>
      <c r="C1633">
        <v>20</v>
      </c>
      <c r="D1633" t="s">
        <v>9</v>
      </c>
      <c r="E1633" t="s">
        <v>34</v>
      </c>
      <c r="F1633" t="s">
        <v>16</v>
      </c>
      <c r="G1633" t="s">
        <v>27</v>
      </c>
      <c r="H1633">
        <v>1094.9000000000001</v>
      </c>
      <c r="I1633" s="8" t="str" cm="1">
        <f t="array" ref="I1633">_xlfn.IFS(C1633&lt;=15,"Children and Young Adolescents", C1633&gt;64, "Seniors", TRUE, "Working Age")</f>
        <v>Working Age</v>
      </c>
      <c r="J1633" s="6">
        <f>VLOOKUP(F1633,Analysis!$F$1:$G$5,2,FALSE)</f>
        <v>2509.1716796874912</v>
      </c>
      <c r="K1633">
        <f t="shared" si="100"/>
        <v>1204.3900000000001</v>
      </c>
      <c r="L1633">
        <f t="shared" si="101"/>
        <v>1204.3900000000001</v>
      </c>
      <c r="M1633">
        <f t="shared" si="102"/>
        <v>1204.3900000000001</v>
      </c>
      <c r="N1633" s="5" t="str">
        <f t="shared" si="103"/>
        <v>August 2022</v>
      </c>
    </row>
    <row r="1634" spans="1:14" x14ac:dyDescent="0.25">
      <c r="A1634" s="1">
        <v>44804</v>
      </c>
      <c r="B1634" t="s">
        <v>3784</v>
      </c>
      <c r="C1634">
        <v>62</v>
      </c>
      <c r="D1634" t="s">
        <v>21</v>
      </c>
      <c r="E1634" t="s">
        <v>10</v>
      </c>
      <c r="F1634" t="s">
        <v>29</v>
      </c>
      <c r="G1634" t="s">
        <v>17</v>
      </c>
      <c r="H1634">
        <v>4448.42</v>
      </c>
      <c r="I1634" s="8" t="str" cm="1">
        <f t="array" ref="I1634">_xlfn.IFS(C1634&lt;=15,"Children and Young Adolescents", C1634&gt;64, "Seniors", TRUE, "Working Age")</f>
        <v>Working Age</v>
      </c>
      <c r="J1634" s="6">
        <f>VLOOKUP(F1634,Analysis!$F$1:$G$5,2,FALSE)</f>
        <v>2496.7676064256989</v>
      </c>
      <c r="K1634">
        <f t="shared" si="100"/>
        <v>4893.26</v>
      </c>
      <c r="L1634">
        <f t="shared" si="101"/>
        <v>4893.2700000000004</v>
      </c>
      <c r="M1634">
        <f t="shared" si="102"/>
        <v>4893.26</v>
      </c>
      <c r="N1634" s="5" t="str">
        <f t="shared" si="103"/>
        <v>August 2022</v>
      </c>
    </row>
    <row r="1635" spans="1:14" x14ac:dyDescent="0.25">
      <c r="A1635" s="1">
        <v>44804</v>
      </c>
      <c r="B1635" t="s">
        <v>279</v>
      </c>
      <c r="C1635">
        <v>67</v>
      </c>
      <c r="D1635" t="s">
        <v>9</v>
      </c>
      <c r="E1635" t="s">
        <v>19</v>
      </c>
      <c r="F1635" t="s">
        <v>16</v>
      </c>
      <c r="G1635" t="s">
        <v>36</v>
      </c>
      <c r="H1635">
        <v>4679.24</v>
      </c>
      <c r="I1635" s="8" t="str" cm="1">
        <f t="array" ref="I1635">_xlfn.IFS(C1635&lt;=15,"Children and Young Adolescents", C1635&gt;64, "Seniors", TRUE, "Working Age")</f>
        <v>Seniors</v>
      </c>
      <c r="J1635" s="6">
        <f>VLOOKUP(F1635,Analysis!$F$1:$G$5,2,FALSE)</f>
        <v>2509.1716796874912</v>
      </c>
      <c r="K1635">
        <f t="shared" si="100"/>
        <v>5147.16</v>
      </c>
      <c r="L1635">
        <f t="shared" si="101"/>
        <v>5147.17</v>
      </c>
      <c r="M1635">
        <f t="shared" si="102"/>
        <v>5147.16</v>
      </c>
      <c r="N1635" s="5" t="str">
        <f t="shared" si="103"/>
        <v>August 2022</v>
      </c>
    </row>
    <row r="1636" spans="1:14" x14ac:dyDescent="0.25">
      <c r="A1636" s="1">
        <v>44805</v>
      </c>
      <c r="B1636" t="s">
        <v>2037</v>
      </c>
      <c r="C1636">
        <v>20</v>
      </c>
      <c r="D1636" t="s">
        <v>14</v>
      </c>
      <c r="E1636" t="s">
        <v>15</v>
      </c>
      <c r="F1636" t="s">
        <v>11</v>
      </c>
      <c r="G1636" t="s">
        <v>27</v>
      </c>
      <c r="H1636">
        <v>2541.77</v>
      </c>
      <c r="I1636" s="8" t="str" cm="1">
        <f t="array" ref="I1636">_xlfn.IFS(C1636&lt;=15,"Children and Young Adolescents", C1636&gt;64, "Seniors", TRUE, "Working Age")</f>
        <v>Working Age</v>
      </c>
      <c r="J1636" s="6">
        <f>VLOOKUP(F1636,Analysis!$F$1:$G$5,2,FALSE)</f>
        <v>2503.6022787783854</v>
      </c>
      <c r="K1636">
        <f t="shared" si="100"/>
        <v>2795.94</v>
      </c>
      <c r="L1636">
        <f t="shared" si="101"/>
        <v>2795.9500000000003</v>
      </c>
      <c r="M1636">
        <f t="shared" si="102"/>
        <v>2795.95</v>
      </c>
      <c r="N1636" s="5" t="str">
        <f t="shared" si="103"/>
        <v>September 2022</v>
      </c>
    </row>
    <row r="1637" spans="1:14" x14ac:dyDescent="0.25">
      <c r="A1637" s="1">
        <v>44805</v>
      </c>
      <c r="B1637" t="s">
        <v>4772</v>
      </c>
      <c r="C1637">
        <v>38</v>
      </c>
      <c r="D1637" t="s">
        <v>9</v>
      </c>
      <c r="E1637" t="s">
        <v>19</v>
      </c>
      <c r="F1637" t="s">
        <v>11</v>
      </c>
      <c r="G1637" t="s">
        <v>36</v>
      </c>
      <c r="H1637">
        <v>105.83</v>
      </c>
      <c r="I1637" s="8" t="str" cm="1">
        <f t="array" ref="I1637">_xlfn.IFS(C1637&lt;=15,"Children and Young Adolescents", C1637&gt;64, "Seniors", TRUE, "Working Age")</f>
        <v>Working Age</v>
      </c>
      <c r="J1637" s="6">
        <f>VLOOKUP(F1637,Analysis!$F$1:$G$5,2,FALSE)</f>
        <v>2503.6022787783854</v>
      </c>
      <c r="K1637">
        <f t="shared" si="100"/>
        <v>116.41</v>
      </c>
      <c r="L1637">
        <f t="shared" si="101"/>
        <v>116.42</v>
      </c>
      <c r="M1637">
        <f t="shared" si="102"/>
        <v>116.41</v>
      </c>
      <c r="N1637" s="5" t="str">
        <f t="shared" si="103"/>
        <v>September 2022</v>
      </c>
    </row>
    <row r="1638" spans="1:14" x14ac:dyDescent="0.25">
      <c r="A1638" s="1">
        <v>44805</v>
      </c>
      <c r="B1638" t="s">
        <v>1298</v>
      </c>
      <c r="C1638">
        <v>54</v>
      </c>
      <c r="D1638" t="s">
        <v>21</v>
      </c>
      <c r="E1638" t="s">
        <v>19</v>
      </c>
      <c r="F1638" t="s">
        <v>23</v>
      </c>
      <c r="G1638" t="s">
        <v>39</v>
      </c>
      <c r="H1638">
        <v>4276.6499999999996</v>
      </c>
      <c r="I1638" s="8" t="str" cm="1">
        <f t="array" ref="I1638">_xlfn.IFS(C1638&lt;=15,"Children and Young Adolescents", C1638&gt;64, "Seniors", TRUE, "Working Age")</f>
        <v>Working Age</v>
      </c>
      <c r="J1638" s="6">
        <f>VLOOKUP(F1638,Analysis!$F$1:$G$5,2,FALSE)</f>
        <v>2440.2966694490838</v>
      </c>
      <c r="K1638">
        <f t="shared" si="100"/>
        <v>4704.3100000000004</v>
      </c>
      <c r="L1638">
        <f t="shared" si="101"/>
        <v>4704.3200000000006</v>
      </c>
      <c r="M1638">
        <f t="shared" si="102"/>
        <v>4704.32</v>
      </c>
      <c r="N1638" s="5" t="str">
        <f t="shared" si="103"/>
        <v>September 2022</v>
      </c>
    </row>
    <row r="1639" spans="1:14" x14ac:dyDescent="0.25">
      <c r="A1639" s="1">
        <v>44805</v>
      </c>
      <c r="B1639" t="s">
        <v>343</v>
      </c>
      <c r="C1639">
        <v>4</v>
      </c>
      <c r="D1639" t="s">
        <v>9</v>
      </c>
      <c r="E1639" t="s">
        <v>19</v>
      </c>
      <c r="F1639" t="s">
        <v>11</v>
      </c>
      <c r="G1639" t="s">
        <v>12</v>
      </c>
      <c r="H1639">
        <v>4330.8100000000004</v>
      </c>
      <c r="I1639" s="8" t="str" cm="1">
        <f t="array" ref="I1639">_xlfn.IFS(C1639&lt;=15,"Children and Young Adolescents", C1639&gt;64, "Seniors", TRUE, "Working Age")</f>
        <v>Children and Young Adolescents</v>
      </c>
      <c r="J1639" s="6">
        <f>VLOOKUP(F1639,Analysis!$F$1:$G$5,2,FALSE)</f>
        <v>2503.6022787783854</v>
      </c>
      <c r="K1639">
        <f t="shared" si="100"/>
        <v>4763.8900000000003</v>
      </c>
      <c r="L1639">
        <f t="shared" si="101"/>
        <v>4763.9000000000005</v>
      </c>
      <c r="M1639">
        <f t="shared" si="102"/>
        <v>4763.8900000000003</v>
      </c>
      <c r="N1639" s="5" t="str">
        <f t="shared" si="103"/>
        <v>September 2022</v>
      </c>
    </row>
    <row r="1640" spans="1:14" x14ac:dyDescent="0.25">
      <c r="A1640" s="1">
        <v>44805</v>
      </c>
      <c r="B1640" t="s">
        <v>3067</v>
      </c>
      <c r="C1640">
        <v>69</v>
      </c>
      <c r="D1640" t="s">
        <v>9</v>
      </c>
      <c r="E1640" t="s">
        <v>25</v>
      </c>
      <c r="F1640" t="s">
        <v>29</v>
      </c>
      <c r="G1640" t="s">
        <v>5033</v>
      </c>
      <c r="H1640">
        <v>3469.15</v>
      </c>
      <c r="I1640" s="8" t="str" cm="1">
        <f t="array" ref="I1640">_xlfn.IFS(C1640&lt;=15,"Children and Young Adolescents", C1640&gt;64, "Seniors", TRUE, "Working Age")</f>
        <v>Seniors</v>
      </c>
      <c r="J1640" s="6">
        <f>VLOOKUP(F1640,Analysis!$F$1:$G$5,2,FALSE)</f>
        <v>2496.7676064256989</v>
      </c>
      <c r="K1640">
        <f t="shared" si="100"/>
        <v>3816.06</v>
      </c>
      <c r="L1640">
        <f t="shared" si="101"/>
        <v>3816.07</v>
      </c>
      <c r="M1640">
        <f t="shared" si="102"/>
        <v>3816.07</v>
      </c>
      <c r="N1640" s="5" t="str">
        <f t="shared" si="103"/>
        <v>September 2022</v>
      </c>
    </row>
    <row r="1641" spans="1:14" x14ac:dyDescent="0.25">
      <c r="A1641" s="1">
        <v>44806</v>
      </c>
      <c r="B1641" t="s">
        <v>4289</v>
      </c>
      <c r="C1641">
        <v>38</v>
      </c>
      <c r="D1641" t="s">
        <v>9</v>
      </c>
      <c r="E1641" t="s">
        <v>22</v>
      </c>
      <c r="F1641" t="s">
        <v>23</v>
      </c>
      <c r="G1641" t="s">
        <v>36</v>
      </c>
      <c r="H1641">
        <v>3134.14</v>
      </c>
      <c r="I1641" s="8" t="str" cm="1">
        <f t="array" ref="I1641">_xlfn.IFS(C1641&lt;=15,"Children and Young Adolescents", C1641&gt;64, "Seniors", TRUE, "Working Age")</f>
        <v>Working Age</v>
      </c>
      <c r="J1641" s="6">
        <f>VLOOKUP(F1641,Analysis!$F$1:$G$5,2,FALSE)</f>
        <v>2440.2966694490838</v>
      </c>
      <c r="K1641">
        <f t="shared" si="100"/>
        <v>3447.55</v>
      </c>
      <c r="L1641">
        <f t="shared" si="101"/>
        <v>3447.5600000000004</v>
      </c>
      <c r="M1641">
        <f t="shared" si="102"/>
        <v>3447.55</v>
      </c>
      <c r="N1641" s="5" t="str">
        <f t="shared" si="103"/>
        <v>September 2022</v>
      </c>
    </row>
    <row r="1642" spans="1:14" x14ac:dyDescent="0.25">
      <c r="A1642" s="1">
        <v>44806</v>
      </c>
      <c r="B1642" t="s">
        <v>2632</v>
      </c>
      <c r="C1642">
        <v>39</v>
      </c>
      <c r="D1642" t="s">
        <v>21</v>
      </c>
      <c r="E1642" t="s">
        <v>19</v>
      </c>
      <c r="F1642" t="s">
        <v>29</v>
      </c>
      <c r="G1642" t="s">
        <v>27</v>
      </c>
      <c r="H1642">
        <v>1776.58</v>
      </c>
      <c r="I1642" s="8" t="str" cm="1">
        <f t="array" ref="I1642">_xlfn.IFS(C1642&lt;=15,"Children and Young Adolescents", C1642&gt;64, "Seniors", TRUE, "Working Age")</f>
        <v>Working Age</v>
      </c>
      <c r="J1642" s="6">
        <f>VLOOKUP(F1642,Analysis!$F$1:$G$5,2,FALSE)</f>
        <v>2496.7676064256989</v>
      </c>
      <c r="K1642">
        <f t="shared" si="100"/>
        <v>1954.23</v>
      </c>
      <c r="L1642">
        <f t="shared" si="101"/>
        <v>1954.24</v>
      </c>
      <c r="M1642">
        <f t="shared" si="102"/>
        <v>1954.24</v>
      </c>
      <c r="N1642" s="5" t="str">
        <f t="shared" si="103"/>
        <v>September 2022</v>
      </c>
    </row>
    <row r="1643" spans="1:14" x14ac:dyDescent="0.25">
      <c r="A1643" s="1">
        <v>44806</v>
      </c>
      <c r="B1643" t="s">
        <v>2198</v>
      </c>
      <c r="C1643">
        <v>75</v>
      </c>
      <c r="D1643" t="s">
        <v>21</v>
      </c>
      <c r="E1643" t="s">
        <v>19</v>
      </c>
      <c r="F1643" t="s">
        <v>16</v>
      </c>
      <c r="G1643" t="s">
        <v>12</v>
      </c>
      <c r="H1643">
        <v>4419.71</v>
      </c>
      <c r="I1643" s="8" t="str" cm="1">
        <f t="array" ref="I1643">_xlfn.IFS(C1643&lt;=15,"Children and Young Adolescents", C1643&gt;64, "Seniors", TRUE, "Working Age")</f>
        <v>Seniors</v>
      </c>
      <c r="J1643" s="6">
        <f>VLOOKUP(F1643,Analysis!$F$1:$G$5,2,FALSE)</f>
        <v>2509.1716796874912</v>
      </c>
      <c r="K1643">
        <f t="shared" si="100"/>
        <v>4861.68</v>
      </c>
      <c r="L1643">
        <f t="shared" si="101"/>
        <v>4861.6900000000005</v>
      </c>
      <c r="M1643">
        <f t="shared" si="102"/>
        <v>4861.68</v>
      </c>
      <c r="N1643" s="5" t="str">
        <f t="shared" si="103"/>
        <v>September 2022</v>
      </c>
    </row>
    <row r="1644" spans="1:14" x14ac:dyDescent="0.25">
      <c r="A1644" s="1">
        <v>44806</v>
      </c>
      <c r="B1644" t="s">
        <v>3124</v>
      </c>
      <c r="C1644">
        <v>24</v>
      </c>
      <c r="D1644" t="s">
        <v>14</v>
      </c>
      <c r="E1644" t="s">
        <v>22</v>
      </c>
      <c r="F1644" t="s">
        <v>23</v>
      </c>
      <c r="G1644" t="s">
        <v>36</v>
      </c>
      <c r="H1644">
        <v>254.72</v>
      </c>
      <c r="I1644" s="8" t="str" cm="1">
        <f t="array" ref="I1644">_xlfn.IFS(C1644&lt;=15,"Children and Young Adolescents", C1644&gt;64, "Seniors", TRUE, "Working Age")</f>
        <v>Working Age</v>
      </c>
      <c r="J1644" s="6">
        <f>VLOOKUP(F1644,Analysis!$F$1:$G$5,2,FALSE)</f>
        <v>2440.2966694490838</v>
      </c>
      <c r="K1644">
        <f t="shared" si="100"/>
        <v>280.19</v>
      </c>
      <c r="L1644">
        <f t="shared" si="101"/>
        <v>280.2</v>
      </c>
      <c r="M1644">
        <f t="shared" si="102"/>
        <v>280.19</v>
      </c>
      <c r="N1644" s="5" t="str">
        <f t="shared" si="103"/>
        <v>September 2022</v>
      </c>
    </row>
    <row r="1645" spans="1:14" x14ac:dyDescent="0.25">
      <c r="A1645" s="1">
        <v>44806</v>
      </c>
      <c r="B1645" t="s">
        <v>2897</v>
      </c>
      <c r="C1645">
        <v>83</v>
      </c>
      <c r="D1645" t="s">
        <v>21</v>
      </c>
      <c r="E1645" t="s">
        <v>32</v>
      </c>
      <c r="F1645" t="s">
        <v>16</v>
      </c>
      <c r="G1645" t="s">
        <v>17</v>
      </c>
      <c r="H1645">
        <v>323.19</v>
      </c>
      <c r="I1645" s="8" t="str" cm="1">
        <f t="array" ref="I1645">_xlfn.IFS(C1645&lt;=15,"Children and Young Adolescents", C1645&gt;64, "Seniors", TRUE, "Working Age")</f>
        <v>Seniors</v>
      </c>
      <c r="J1645" s="6">
        <f>VLOOKUP(F1645,Analysis!$F$1:$G$5,2,FALSE)</f>
        <v>2509.1716796874912</v>
      </c>
      <c r="K1645">
        <f t="shared" si="100"/>
        <v>355.5</v>
      </c>
      <c r="L1645">
        <f t="shared" si="101"/>
        <v>355.51</v>
      </c>
      <c r="M1645">
        <f t="shared" si="102"/>
        <v>355.51</v>
      </c>
      <c r="N1645" s="5" t="str">
        <f t="shared" si="103"/>
        <v>September 2022</v>
      </c>
    </row>
    <row r="1646" spans="1:14" x14ac:dyDescent="0.25">
      <c r="A1646" s="1">
        <v>44806</v>
      </c>
      <c r="B1646" t="s">
        <v>1068</v>
      </c>
      <c r="C1646">
        <v>23</v>
      </c>
      <c r="D1646" t="s">
        <v>14</v>
      </c>
      <c r="E1646" t="s">
        <v>22</v>
      </c>
      <c r="F1646" t="s">
        <v>16</v>
      </c>
      <c r="G1646" t="s">
        <v>39</v>
      </c>
      <c r="H1646">
        <v>3160.03</v>
      </c>
      <c r="I1646" s="8" t="str" cm="1">
        <f t="array" ref="I1646">_xlfn.IFS(C1646&lt;=15,"Children and Young Adolescents", C1646&gt;64, "Seniors", TRUE, "Working Age")</f>
        <v>Working Age</v>
      </c>
      <c r="J1646" s="6">
        <f>VLOOKUP(F1646,Analysis!$F$1:$G$5,2,FALSE)</f>
        <v>2509.1716796874912</v>
      </c>
      <c r="K1646">
        <f t="shared" si="100"/>
        <v>3476.03</v>
      </c>
      <c r="L1646">
        <f t="shared" si="101"/>
        <v>3476.0400000000004</v>
      </c>
      <c r="M1646">
        <f t="shared" si="102"/>
        <v>3476.03</v>
      </c>
      <c r="N1646" s="5" t="str">
        <f t="shared" si="103"/>
        <v>September 2022</v>
      </c>
    </row>
    <row r="1647" spans="1:14" x14ac:dyDescent="0.25">
      <c r="A1647" s="1">
        <v>44806</v>
      </c>
      <c r="B1647" t="s">
        <v>2060</v>
      </c>
      <c r="C1647">
        <v>54</v>
      </c>
      <c r="D1647" t="s">
        <v>9</v>
      </c>
      <c r="E1647" t="s">
        <v>10</v>
      </c>
      <c r="F1647" t="s">
        <v>16</v>
      </c>
      <c r="G1647" t="s">
        <v>39</v>
      </c>
      <c r="H1647">
        <v>4046.2</v>
      </c>
      <c r="I1647" s="8" t="str" cm="1">
        <f t="array" ref="I1647">_xlfn.IFS(C1647&lt;=15,"Children and Young Adolescents", C1647&gt;64, "Seniors", TRUE, "Working Age")</f>
        <v>Working Age</v>
      </c>
      <c r="J1647" s="6">
        <f>VLOOKUP(F1647,Analysis!$F$1:$G$5,2,FALSE)</f>
        <v>2509.1716796874912</v>
      </c>
      <c r="K1647">
        <f t="shared" si="100"/>
        <v>4450.82</v>
      </c>
      <c r="L1647">
        <f t="shared" si="101"/>
        <v>4450.82</v>
      </c>
      <c r="M1647">
        <f t="shared" si="102"/>
        <v>4450.82</v>
      </c>
      <c r="N1647" s="5" t="str">
        <f t="shared" si="103"/>
        <v>September 2022</v>
      </c>
    </row>
    <row r="1648" spans="1:14" x14ac:dyDescent="0.25">
      <c r="A1648" s="1">
        <v>44807</v>
      </c>
      <c r="B1648" t="s">
        <v>3729</v>
      </c>
      <c r="C1648">
        <v>11</v>
      </c>
      <c r="D1648" t="s">
        <v>14</v>
      </c>
      <c r="E1648" t="s">
        <v>34</v>
      </c>
      <c r="F1648" t="s">
        <v>29</v>
      </c>
      <c r="G1648" t="s">
        <v>27</v>
      </c>
      <c r="H1648">
        <v>3985.62</v>
      </c>
      <c r="I1648" s="8" t="str" cm="1">
        <f t="array" ref="I1648">_xlfn.IFS(C1648&lt;=15,"Children and Young Adolescents", C1648&gt;64, "Seniors", TRUE, "Working Age")</f>
        <v>Children and Young Adolescents</v>
      </c>
      <c r="J1648" s="6">
        <f>VLOOKUP(F1648,Analysis!$F$1:$G$5,2,FALSE)</f>
        <v>2496.7676064256989</v>
      </c>
      <c r="K1648">
        <f t="shared" si="100"/>
        <v>4384.18</v>
      </c>
      <c r="L1648">
        <f t="shared" si="101"/>
        <v>4384.1900000000005</v>
      </c>
      <c r="M1648">
        <f t="shared" si="102"/>
        <v>4384.18</v>
      </c>
      <c r="N1648" s="5" t="str">
        <f t="shared" si="103"/>
        <v>September 2022</v>
      </c>
    </row>
    <row r="1649" spans="1:14" x14ac:dyDescent="0.25">
      <c r="A1649" s="1">
        <v>44807</v>
      </c>
      <c r="B1649" t="s">
        <v>1748</v>
      </c>
      <c r="C1649">
        <v>71</v>
      </c>
      <c r="D1649" t="s">
        <v>14</v>
      </c>
      <c r="E1649" t="s">
        <v>25</v>
      </c>
      <c r="F1649" t="s">
        <v>11</v>
      </c>
      <c r="G1649" t="s">
        <v>36</v>
      </c>
      <c r="H1649">
        <v>1300.52</v>
      </c>
      <c r="I1649" s="8" t="str" cm="1">
        <f t="array" ref="I1649">_xlfn.IFS(C1649&lt;=15,"Children and Young Adolescents", C1649&gt;64, "Seniors", TRUE, "Working Age")</f>
        <v>Seniors</v>
      </c>
      <c r="J1649" s="6">
        <f>VLOOKUP(F1649,Analysis!$F$1:$G$5,2,FALSE)</f>
        <v>2503.6022787783854</v>
      </c>
      <c r="K1649">
        <f t="shared" si="100"/>
        <v>1430.57</v>
      </c>
      <c r="L1649">
        <f t="shared" si="101"/>
        <v>1430.58</v>
      </c>
      <c r="M1649">
        <f t="shared" si="102"/>
        <v>1430.57</v>
      </c>
      <c r="N1649" s="5" t="str">
        <f t="shared" si="103"/>
        <v>September 2022</v>
      </c>
    </row>
    <row r="1650" spans="1:14" x14ac:dyDescent="0.25">
      <c r="A1650" s="1">
        <v>44807</v>
      </c>
      <c r="B1650" t="s">
        <v>4577</v>
      </c>
      <c r="C1650">
        <v>49</v>
      </c>
      <c r="D1650" t="s">
        <v>9</v>
      </c>
      <c r="E1650" t="s">
        <v>22</v>
      </c>
      <c r="F1650" t="s">
        <v>11</v>
      </c>
      <c r="G1650" t="s">
        <v>39</v>
      </c>
      <c r="H1650">
        <v>1120.06</v>
      </c>
      <c r="I1650" s="8" t="str" cm="1">
        <f t="array" ref="I1650">_xlfn.IFS(C1650&lt;=15,"Children and Young Adolescents", C1650&gt;64, "Seniors", TRUE, "Working Age")</f>
        <v>Working Age</v>
      </c>
      <c r="J1650" s="6">
        <f>VLOOKUP(F1650,Analysis!$F$1:$G$5,2,FALSE)</f>
        <v>2503.6022787783854</v>
      </c>
      <c r="K1650">
        <f t="shared" si="100"/>
        <v>1232.06</v>
      </c>
      <c r="L1650">
        <f t="shared" si="101"/>
        <v>1232.07</v>
      </c>
      <c r="M1650">
        <f t="shared" si="102"/>
        <v>1232.07</v>
      </c>
      <c r="N1650" s="5" t="str">
        <f t="shared" si="103"/>
        <v>September 2022</v>
      </c>
    </row>
    <row r="1651" spans="1:14" x14ac:dyDescent="0.25">
      <c r="A1651" s="1">
        <v>44807</v>
      </c>
      <c r="B1651" t="s">
        <v>2545</v>
      </c>
      <c r="C1651">
        <v>52</v>
      </c>
      <c r="D1651" t="s">
        <v>21</v>
      </c>
      <c r="E1651" t="s">
        <v>25</v>
      </c>
      <c r="F1651" t="s">
        <v>16</v>
      </c>
      <c r="G1651" t="s">
        <v>36</v>
      </c>
      <c r="H1651">
        <v>2258.8000000000002</v>
      </c>
      <c r="I1651" s="8" t="str" cm="1">
        <f t="array" ref="I1651">_xlfn.IFS(C1651&lt;=15,"Children and Young Adolescents", C1651&gt;64, "Seniors", TRUE, "Working Age")</f>
        <v>Working Age</v>
      </c>
      <c r="J1651" s="6">
        <f>VLOOKUP(F1651,Analysis!$F$1:$G$5,2,FALSE)</f>
        <v>2509.1716796874912</v>
      </c>
      <c r="K1651">
        <f t="shared" si="100"/>
        <v>2484.6799999999998</v>
      </c>
      <c r="L1651">
        <f t="shared" si="101"/>
        <v>2484.6799999999998</v>
      </c>
      <c r="M1651">
        <f t="shared" si="102"/>
        <v>2484.6799999999998</v>
      </c>
      <c r="N1651" s="5" t="str">
        <f t="shared" si="103"/>
        <v>September 2022</v>
      </c>
    </row>
    <row r="1652" spans="1:14" x14ac:dyDescent="0.25">
      <c r="A1652" s="1">
        <v>44807</v>
      </c>
      <c r="B1652" t="s">
        <v>2533</v>
      </c>
      <c r="C1652">
        <v>63</v>
      </c>
      <c r="D1652" t="s">
        <v>21</v>
      </c>
      <c r="E1652" t="s">
        <v>22</v>
      </c>
      <c r="F1652" t="s">
        <v>23</v>
      </c>
      <c r="G1652" t="s">
        <v>36</v>
      </c>
      <c r="H1652">
        <v>434.95</v>
      </c>
      <c r="I1652" s="8" t="str" cm="1">
        <f t="array" ref="I1652">_xlfn.IFS(C1652&lt;=15,"Children and Young Adolescents", C1652&gt;64, "Seniors", TRUE, "Working Age")</f>
        <v>Working Age</v>
      </c>
      <c r="J1652" s="6">
        <f>VLOOKUP(F1652,Analysis!$F$1:$G$5,2,FALSE)</f>
        <v>2440.2966694490838</v>
      </c>
      <c r="K1652">
        <f t="shared" si="100"/>
        <v>478.44</v>
      </c>
      <c r="L1652">
        <f t="shared" si="101"/>
        <v>478.45</v>
      </c>
      <c r="M1652">
        <f t="shared" si="102"/>
        <v>478.45</v>
      </c>
      <c r="N1652" s="5" t="str">
        <f t="shared" si="103"/>
        <v>September 2022</v>
      </c>
    </row>
    <row r="1653" spans="1:14" x14ac:dyDescent="0.25">
      <c r="A1653" s="1">
        <v>44808</v>
      </c>
      <c r="B1653" t="s">
        <v>2072</v>
      </c>
      <c r="C1653">
        <v>67</v>
      </c>
      <c r="D1653" t="s">
        <v>21</v>
      </c>
      <c r="E1653" t="s">
        <v>34</v>
      </c>
      <c r="F1653" t="s">
        <v>16</v>
      </c>
      <c r="G1653" t="s">
        <v>36</v>
      </c>
      <c r="H1653">
        <v>4319.0200000000004</v>
      </c>
      <c r="I1653" s="8" t="str" cm="1">
        <f t="array" ref="I1653">_xlfn.IFS(C1653&lt;=15,"Children and Young Adolescents", C1653&gt;64, "Seniors", TRUE, "Working Age")</f>
        <v>Seniors</v>
      </c>
      <c r="J1653" s="6">
        <f>VLOOKUP(F1653,Analysis!$F$1:$G$5,2,FALSE)</f>
        <v>2509.1716796874912</v>
      </c>
      <c r="K1653">
        <f t="shared" si="100"/>
        <v>4750.92</v>
      </c>
      <c r="L1653">
        <f t="shared" si="101"/>
        <v>4750.93</v>
      </c>
      <c r="M1653">
        <f t="shared" si="102"/>
        <v>4750.92</v>
      </c>
      <c r="N1653" s="5" t="str">
        <f t="shared" si="103"/>
        <v>September 2022</v>
      </c>
    </row>
    <row r="1654" spans="1:14" x14ac:dyDescent="0.25">
      <c r="A1654" s="1">
        <v>44808</v>
      </c>
      <c r="B1654" t="s">
        <v>4314</v>
      </c>
      <c r="C1654">
        <v>28</v>
      </c>
      <c r="D1654" t="s">
        <v>9</v>
      </c>
      <c r="E1654" t="s">
        <v>34</v>
      </c>
      <c r="F1654" t="s">
        <v>23</v>
      </c>
      <c r="G1654" t="s">
        <v>39</v>
      </c>
      <c r="H1654">
        <v>109.88</v>
      </c>
      <c r="I1654" s="8" t="str" cm="1">
        <f t="array" ref="I1654">_xlfn.IFS(C1654&lt;=15,"Children and Young Adolescents", C1654&gt;64, "Seniors", TRUE, "Working Age")</f>
        <v>Working Age</v>
      </c>
      <c r="J1654" s="6">
        <f>VLOOKUP(F1654,Analysis!$F$1:$G$5,2,FALSE)</f>
        <v>2440.2966694490838</v>
      </c>
      <c r="K1654">
        <f t="shared" si="100"/>
        <v>120.86</v>
      </c>
      <c r="L1654">
        <f t="shared" si="101"/>
        <v>120.87</v>
      </c>
      <c r="M1654">
        <f t="shared" si="102"/>
        <v>120.87</v>
      </c>
      <c r="N1654" s="5" t="str">
        <f t="shared" si="103"/>
        <v>September 2022</v>
      </c>
    </row>
    <row r="1655" spans="1:14" x14ac:dyDescent="0.25">
      <c r="A1655" s="1">
        <v>44808</v>
      </c>
      <c r="B1655" t="s">
        <v>4840</v>
      </c>
      <c r="C1655">
        <v>73</v>
      </c>
      <c r="D1655" t="s">
        <v>21</v>
      </c>
      <c r="E1655" t="s">
        <v>19</v>
      </c>
      <c r="F1655" t="s">
        <v>29</v>
      </c>
      <c r="G1655" t="s">
        <v>36</v>
      </c>
      <c r="H1655">
        <v>3241.72</v>
      </c>
      <c r="I1655" s="8" t="str" cm="1">
        <f t="array" ref="I1655">_xlfn.IFS(C1655&lt;=15,"Children and Young Adolescents", C1655&gt;64, "Seniors", TRUE, "Working Age")</f>
        <v>Seniors</v>
      </c>
      <c r="J1655" s="6">
        <f>VLOOKUP(F1655,Analysis!$F$1:$G$5,2,FALSE)</f>
        <v>2496.7676064256989</v>
      </c>
      <c r="K1655">
        <f t="shared" si="100"/>
        <v>3565.89</v>
      </c>
      <c r="L1655">
        <f t="shared" si="101"/>
        <v>3565.9</v>
      </c>
      <c r="M1655">
        <f t="shared" si="102"/>
        <v>3565.89</v>
      </c>
      <c r="N1655" s="5" t="str">
        <f t="shared" si="103"/>
        <v>September 2022</v>
      </c>
    </row>
    <row r="1656" spans="1:14" x14ac:dyDescent="0.25">
      <c r="A1656" s="1">
        <v>44808</v>
      </c>
      <c r="B1656" t="s">
        <v>4216</v>
      </c>
      <c r="C1656">
        <v>59</v>
      </c>
      <c r="D1656" t="s">
        <v>21</v>
      </c>
      <c r="E1656" t="s">
        <v>10</v>
      </c>
      <c r="F1656" t="s">
        <v>16</v>
      </c>
      <c r="G1656" t="s">
        <v>39</v>
      </c>
      <c r="H1656">
        <v>256.95</v>
      </c>
      <c r="I1656" s="8" t="str" cm="1">
        <f t="array" ref="I1656">_xlfn.IFS(C1656&lt;=15,"Children and Young Adolescents", C1656&gt;64, "Seniors", TRUE, "Working Age")</f>
        <v>Working Age</v>
      </c>
      <c r="J1656" s="6">
        <f>VLOOKUP(F1656,Analysis!$F$1:$G$5,2,FALSE)</f>
        <v>2509.1716796874912</v>
      </c>
      <c r="K1656">
        <f t="shared" si="100"/>
        <v>282.64</v>
      </c>
      <c r="L1656">
        <f t="shared" si="101"/>
        <v>282.64999999999998</v>
      </c>
      <c r="M1656">
        <f t="shared" si="102"/>
        <v>282.64999999999998</v>
      </c>
      <c r="N1656" s="5" t="str">
        <f t="shared" si="103"/>
        <v>September 2022</v>
      </c>
    </row>
    <row r="1657" spans="1:14" x14ac:dyDescent="0.25">
      <c r="A1657" s="1">
        <v>44808</v>
      </c>
      <c r="B1657" t="s">
        <v>3184</v>
      </c>
      <c r="C1657">
        <v>12</v>
      </c>
      <c r="D1657" t="s">
        <v>14</v>
      </c>
      <c r="E1657" t="s">
        <v>22</v>
      </c>
      <c r="F1657" t="s">
        <v>29</v>
      </c>
      <c r="G1657" t="s">
        <v>39</v>
      </c>
      <c r="H1657">
        <v>4575.95</v>
      </c>
      <c r="I1657" s="8" t="str" cm="1">
        <f t="array" ref="I1657">_xlfn.IFS(C1657&lt;=15,"Children and Young Adolescents", C1657&gt;64, "Seniors", TRUE, "Working Age")</f>
        <v>Children and Young Adolescents</v>
      </c>
      <c r="J1657" s="6">
        <f>VLOOKUP(F1657,Analysis!$F$1:$G$5,2,FALSE)</f>
        <v>2496.7676064256989</v>
      </c>
      <c r="K1657">
        <f t="shared" si="100"/>
        <v>5033.54</v>
      </c>
      <c r="L1657">
        <f t="shared" si="101"/>
        <v>5033.55</v>
      </c>
      <c r="M1657">
        <f t="shared" si="102"/>
        <v>5033.55</v>
      </c>
      <c r="N1657" s="5" t="str">
        <f t="shared" si="103"/>
        <v>September 2022</v>
      </c>
    </row>
    <row r="1658" spans="1:14" x14ac:dyDescent="0.25">
      <c r="A1658" s="1">
        <v>44808</v>
      </c>
      <c r="B1658" t="s">
        <v>1302</v>
      </c>
      <c r="C1658">
        <v>73</v>
      </c>
      <c r="D1658" t="s">
        <v>21</v>
      </c>
      <c r="E1658" t="s">
        <v>34</v>
      </c>
      <c r="F1658" t="s">
        <v>29</v>
      </c>
      <c r="G1658" t="s">
        <v>27</v>
      </c>
      <c r="H1658">
        <v>1250.6600000000001</v>
      </c>
      <c r="I1658" s="8" t="str" cm="1">
        <f t="array" ref="I1658">_xlfn.IFS(C1658&lt;=15,"Children and Young Adolescents", C1658&gt;64, "Seniors", TRUE, "Working Age")</f>
        <v>Seniors</v>
      </c>
      <c r="J1658" s="6">
        <f>VLOOKUP(F1658,Analysis!$F$1:$G$5,2,FALSE)</f>
        <v>2496.7676064256989</v>
      </c>
      <c r="K1658">
        <f t="shared" si="100"/>
        <v>1375.72</v>
      </c>
      <c r="L1658">
        <f t="shared" si="101"/>
        <v>1375.73</v>
      </c>
      <c r="M1658">
        <f t="shared" si="102"/>
        <v>1375.73</v>
      </c>
      <c r="N1658" s="5" t="str">
        <f t="shared" si="103"/>
        <v>September 2022</v>
      </c>
    </row>
    <row r="1659" spans="1:14" x14ac:dyDescent="0.25">
      <c r="A1659" s="1">
        <v>44808</v>
      </c>
      <c r="B1659" t="s">
        <v>765</v>
      </c>
      <c r="C1659">
        <v>69</v>
      </c>
      <c r="D1659" t="s">
        <v>14</v>
      </c>
      <c r="E1659" t="s">
        <v>22</v>
      </c>
      <c r="F1659" t="s">
        <v>29</v>
      </c>
      <c r="G1659" t="s">
        <v>27</v>
      </c>
      <c r="H1659">
        <v>956.22</v>
      </c>
      <c r="I1659" s="8" t="str" cm="1">
        <f t="array" ref="I1659">_xlfn.IFS(C1659&lt;=15,"Children and Young Adolescents", C1659&gt;64, "Seniors", TRUE, "Working Age")</f>
        <v>Seniors</v>
      </c>
      <c r="J1659" s="6">
        <f>VLOOKUP(F1659,Analysis!$F$1:$G$5,2,FALSE)</f>
        <v>2496.7676064256989</v>
      </c>
      <c r="K1659">
        <f t="shared" si="100"/>
        <v>1051.8399999999999</v>
      </c>
      <c r="L1659">
        <f t="shared" si="101"/>
        <v>1051.8499999999999</v>
      </c>
      <c r="M1659">
        <f t="shared" si="102"/>
        <v>1051.8399999999999</v>
      </c>
      <c r="N1659" s="5" t="str">
        <f t="shared" si="103"/>
        <v>September 2022</v>
      </c>
    </row>
    <row r="1660" spans="1:14" x14ac:dyDescent="0.25">
      <c r="A1660" s="1">
        <v>44808</v>
      </c>
      <c r="B1660" t="s">
        <v>4501</v>
      </c>
      <c r="C1660">
        <v>71</v>
      </c>
      <c r="D1660" t="s">
        <v>9</v>
      </c>
      <c r="E1660" t="s">
        <v>10</v>
      </c>
      <c r="F1660" t="s">
        <v>11</v>
      </c>
      <c r="G1660" t="s">
        <v>12</v>
      </c>
      <c r="H1660">
        <v>3675.64</v>
      </c>
      <c r="I1660" s="8" t="str" cm="1">
        <f t="array" ref="I1660">_xlfn.IFS(C1660&lt;=15,"Children and Young Adolescents", C1660&gt;64, "Seniors", TRUE, "Working Age")</f>
        <v>Seniors</v>
      </c>
      <c r="J1660" s="6">
        <f>VLOOKUP(F1660,Analysis!$F$1:$G$5,2,FALSE)</f>
        <v>2503.6022787783854</v>
      </c>
      <c r="K1660">
        <f t="shared" si="100"/>
        <v>4043.2</v>
      </c>
      <c r="L1660">
        <f t="shared" si="101"/>
        <v>4043.21</v>
      </c>
      <c r="M1660">
        <f t="shared" si="102"/>
        <v>4043.2</v>
      </c>
      <c r="N1660" s="5" t="str">
        <f t="shared" si="103"/>
        <v>September 2022</v>
      </c>
    </row>
    <row r="1661" spans="1:14" x14ac:dyDescent="0.25">
      <c r="A1661" s="1">
        <v>44809</v>
      </c>
      <c r="B1661" t="s">
        <v>2084</v>
      </c>
      <c r="C1661">
        <v>55</v>
      </c>
      <c r="D1661" t="s">
        <v>14</v>
      </c>
      <c r="E1661" t="s">
        <v>32</v>
      </c>
      <c r="F1661" t="s">
        <v>16</v>
      </c>
      <c r="G1661" t="s">
        <v>12</v>
      </c>
      <c r="H1661">
        <v>2041.73</v>
      </c>
      <c r="I1661" s="8" t="str" cm="1">
        <f t="array" ref="I1661">_xlfn.IFS(C1661&lt;=15,"Children and Young Adolescents", C1661&gt;64, "Seniors", TRUE, "Working Age")</f>
        <v>Working Age</v>
      </c>
      <c r="J1661" s="6">
        <f>VLOOKUP(F1661,Analysis!$F$1:$G$5,2,FALSE)</f>
        <v>2509.1716796874912</v>
      </c>
      <c r="K1661">
        <f t="shared" si="100"/>
        <v>2245.9</v>
      </c>
      <c r="L1661">
        <f t="shared" si="101"/>
        <v>2245.9100000000003</v>
      </c>
      <c r="M1661">
        <f t="shared" si="102"/>
        <v>2245.9</v>
      </c>
      <c r="N1661" s="5" t="str">
        <f t="shared" si="103"/>
        <v>September 2022</v>
      </c>
    </row>
    <row r="1662" spans="1:14" x14ac:dyDescent="0.25">
      <c r="A1662" s="1">
        <v>44809</v>
      </c>
      <c r="B1662" t="s">
        <v>1224</v>
      </c>
      <c r="C1662">
        <v>79</v>
      </c>
      <c r="D1662" t="s">
        <v>9</v>
      </c>
      <c r="E1662" t="s">
        <v>34</v>
      </c>
      <c r="F1662" t="s">
        <v>29</v>
      </c>
      <c r="G1662" t="s">
        <v>36</v>
      </c>
      <c r="H1662">
        <v>3188.62</v>
      </c>
      <c r="I1662" s="8" t="str" cm="1">
        <f t="array" ref="I1662">_xlfn.IFS(C1662&lt;=15,"Children and Young Adolescents", C1662&gt;64, "Seniors", TRUE, "Working Age")</f>
        <v>Seniors</v>
      </c>
      <c r="J1662" s="6">
        <f>VLOOKUP(F1662,Analysis!$F$1:$G$5,2,FALSE)</f>
        <v>2496.7676064256989</v>
      </c>
      <c r="K1662">
        <f t="shared" si="100"/>
        <v>3507.48</v>
      </c>
      <c r="L1662">
        <f t="shared" si="101"/>
        <v>3507.4900000000002</v>
      </c>
      <c r="M1662">
        <f t="shared" si="102"/>
        <v>3507.48</v>
      </c>
      <c r="N1662" s="5" t="str">
        <f t="shared" si="103"/>
        <v>September 2022</v>
      </c>
    </row>
    <row r="1663" spans="1:14" x14ac:dyDescent="0.25">
      <c r="A1663" s="1">
        <v>44809</v>
      </c>
      <c r="B1663" t="s">
        <v>3657</v>
      </c>
      <c r="C1663">
        <v>29</v>
      </c>
      <c r="D1663" t="s">
        <v>9</v>
      </c>
      <c r="E1663" t="s">
        <v>19</v>
      </c>
      <c r="F1663" t="s">
        <v>16</v>
      </c>
      <c r="G1663" t="s">
        <v>39</v>
      </c>
      <c r="H1663">
        <v>4485.54</v>
      </c>
      <c r="I1663" s="8" t="str" cm="1">
        <f t="array" ref="I1663">_xlfn.IFS(C1663&lt;=15,"Children and Young Adolescents", C1663&gt;64, "Seniors", TRUE, "Working Age")</f>
        <v>Working Age</v>
      </c>
      <c r="J1663" s="6">
        <f>VLOOKUP(F1663,Analysis!$F$1:$G$5,2,FALSE)</f>
        <v>2509.1716796874912</v>
      </c>
      <c r="K1663">
        <f t="shared" si="100"/>
        <v>4934.09</v>
      </c>
      <c r="L1663">
        <f t="shared" si="101"/>
        <v>4934.1000000000004</v>
      </c>
      <c r="M1663">
        <f t="shared" si="102"/>
        <v>4934.09</v>
      </c>
      <c r="N1663" s="5" t="str">
        <f t="shared" si="103"/>
        <v>September 2022</v>
      </c>
    </row>
    <row r="1664" spans="1:14" x14ac:dyDescent="0.25">
      <c r="A1664" s="1">
        <v>44809</v>
      </c>
      <c r="B1664" t="s">
        <v>2192</v>
      </c>
      <c r="C1664">
        <v>81</v>
      </c>
      <c r="D1664" t="s">
        <v>14</v>
      </c>
      <c r="E1664" t="s">
        <v>34</v>
      </c>
      <c r="F1664" t="s">
        <v>16</v>
      </c>
      <c r="G1664" t="s">
        <v>27</v>
      </c>
      <c r="H1664">
        <v>1491.26</v>
      </c>
      <c r="I1664" s="8" t="str" cm="1">
        <f t="array" ref="I1664">_xlfn.IFS(C1664&lt;=15,"Children and Young Adolescents", C1664&gt;64, "Seniors", TRUE, "Working Age")</f>
        <v>Seniors</v>
      </c>
      <c r="J1664" s="6">
        <f>VLOOKUP(F1664,Analysis!$F$1:$G$5,2,FALSE)</f>
        <v>2509.1716796874912</v>
      </c>
      <c r="K1664">
        <f t="shared" si="100"/>
        <v>1640.38</v>
      </c>
      <c r="L1664">
        <f t="shared" si="101"/>
        <v>1640.39</v>
      </c>
      <c r="M1664">
        <f t="shared" si="102"/>
        <v>1640.39</v>
      </c>
      <c r="N1664" s="5" t="str">
        <f t="shared" si="103"/>
        <v>September 2022</v>
      </c>
    </row>
    <row r="1665" spans="1:14" x14ac:dyDescent="0.25">
      <c r="A1665" s="1">
        <v>44809</v>
      </c>
      <c r="B1665" t="s">
        <v>1657</v>
      </c>
      <c r="C1665">
        <v>27</v>
      </c>
      <c r="D1665" t="s">
        <v>14</v>
      </c>
      <c r="E1665" t="s">
        <v>10</v>
      </c>
      <c r="F1665" t="s">
        <v>16</v>
      </c>
      <c r="G1665" t="s">
        <v>12</v>
      </c>
      <c r="H1665">
        <v>2495.2800000000002</v>
      </c>
      <c r="I1665" s="8" t="str" cm="1">
        <f t="array" ref="I1665">_xlfn.IFS(C1665&lt;=15,"Children and Young Adolescents", C1665&gt;64, "Seniors", TRUE, "Working Age")</f>
        <v>Working Age</v>
      </c>
      <c r="J1665" s="6">
        <f>VLOOKUP(F1665,Analysis!$F$1:$G$5,2,FALSE)</f>
        <v>2509.1716796874912</v>
      </c>
      <c r="K1665">
        <f t="shared" si="100"/>
        <v>2744.8</v>
      </c>
      <c r="L1665">
        <f t="shared" si="101"/>
        <v>2744.8100000000004</v>
      </c>
      <c r="M1665">
        <f t="shared" si="102"/>
        <v>2744.81</v>
      </c>
      <c r="N1665" s="5" t="str">
        <f t="shared" si="103"/>
        <v>September 2022</v>
      </c>
    </row>
    <row r="1666" spans="1:14" x14ac:dyDescent="0.25">
      <c r="A1666" s="1">
        <v>44810</v>
      </c>
      <c r="B1666" t="s">
        <v>1933</v>
      </c>
      <c r="C1666">
        <v>55</v>
      </c>
      <c r="D1666" t="s">
        <v>21</v>
      </c>
      <c r="E1666" t="s">
        <v>22</v>
      </c>
      <c r="F1666" t="s">
        <v>29</v>
      </c>
      <c r="G1666" t="s">
        <v>39</v>
      </c>
      <c r="H1666">
        <v>4198.51</v>
      </c>
      <c r="I1666" s="8" t="str" cm="1">
        <f t="array" ref="I1666">_xlfn.IFS(C1666&lt;=15,"Children and Young Adolescents", C1666&gt;64, "Seniors", TRUE, "Working Age")</f>
        <v>Working Age</v>
      </c>
      <c r="J1666" s="6">
        <f>VLOOKUP(F1666,Analysis!$F$1:$G$5,2,FALSE)</f>
        <v>2496.7676064256989</v>
      </c>
      <c r="K1666">
        <f t="shared" si="100"/>
        <v>4618.3599999999997</v>
      </c>
      <c r="L1666">
        <f t="shared" si="101"/>
        <v>4618.37</v>
      </c>
      <c r="M1666">
        <f t="shared" si="102"/>
        <v>4618.3599999999997</v>
      </c>
      <c r="N1666" s="5" t="str">
        <f t="shared" si="103"/>
        <v>September 2022</v>
      </c>
    </row>
    <row r="1667" spans="1:14" x14ac:dyDescent="0.25">
      <c r="A1667" s="1">
        <v>44810</v>
      </c>
      <c r="B1667" t="s">
        <v>512</v>
      </c>
      <c r="C1667">
        <v>42</v>
      </c>
      <c r="D1667" t="s">
        <v>21</v>
      </c>
      <c r="E1667" t="s">
        <v>25</v>
      </c>
      <c r="F1667" t="s">
        <v>29</v>
      </c>
      <c r="G1667" t="s">
        <v>12</v>
      </c>
      <c r="H1667">
        <v>4062.4</v>
      </c>
      <c r="I1667" s="8" t="str" cm="1">
        <f t="array" ref="I1667">_xlfn.IFS(C1667&lt;=15,"Children and Young Adolescents", C1667&gt;64, "Seniors", TRUE, "Working Age")</f>
        <v>Working Age</v>
      </c>
      <c r="J1667" s="6">
        <f>VLOOKUP(F1667,Analysis!$F$1:$G$5,2,FALSE)</f>
        <v>2496.7676064256989</v>
      </c>
      <c r="K1667">
        <f t="shared" ref="K1667:K1730" si="104">ROUNDDOWN(H1667*1.1,2)</f>
        <v>4468.6400000000003</v>
      </c>
      <c r="L1667">
        <f t="shared" ref="L1667:L1730" si="105">ROUNDUP(H1667*1.1,2)</f>
        <v>4468.6400000000003</v>
      </c>
      <c r="M1667">
        <f t="shared" ref="M1667:M1730" si="106">ROUND(H1667*1.1,2)</f>
        <v>4468.6400000000003</v>
      </c>
      <c r="N1667" s="5" t="str">
        <f t="shared" ref="N1667:N1730" si="107">TEXT(A1667,"mmmm yyyy")</f>
        <v>September 2022</v>
      </c>
    </row>
    <row r="1668" spans="1:14" x14ac:dyDescent="0.25">
      <c r="A1668" s="1">
        <v>44810</v>
      </c>
      <c r="B1668" t="s">
        <v>2430</v>
      </c>
      <c r="C1668">
        <v>31</v>
      </c>
      <c r="D1668" t="s">
        <v>9</v>
      </c>
      <c r="E1668" t="s">
        <v>5032</v>
      </c>
      <c r="F1668" t="s">
        <v>23</v>
      </c>
      <c r="G1668" t="s">
        <v>39</v>
      </c>
      <c r="H1668">
        <v>1107.3599999999999</v>
      </c>
      <c r="I1668" s="8" t="str" cm="1">
        <f t="array" ref="I1668">_xlfn.IFS(C1668&lt;=15,"Children and Young Adolescents", C1668&gt;64, "Seniors", TRUE, "Working Age")</f>
        <v>Working Age</v>
      </c>
      <c r="J1668" s="6">
        <f>VLOOKUP(F1668,Analysis!$F$1:$G$5,2,FALSE)</f>
        <v>2440.2966694490838</v>
      </c>
      <c r="K1668">
        <f t="shared" si="104"/>
        <v>1218.0899999999999</v>
      </c>
      <c r="L1668">
        <f t="shared" si="105"/>
        <v>1218.0999999999999</v>
      </c>
      <c r="M1668">
        <f t="shared" si="106"/>
        <v>1218.0999999999999</v>
      </c>
      <c r="N1668" s="5" t="str">
        <f t="shared" si="107"/>
        <v>September 2022</v>
      </c>
    </row>
    <row r="1669" spans="1:14" x14ac:dyDescent="0.25">
      <c r="A1669" s="1">
        <v>44810</v>
      </c>
      <c r="B1669" t="s">
        <v>1433</v>
      </c>
      <c r="C1669">
        <v>18</v>
      </c>
      <c r="D1669" t="s">
        <v>21</v>
      </c>
      <c r="E1669" t="s">
        <v>22</v>
      </c>
      <c r="F1669" t="s">
        <v>11</v>
      </c>
      <c r="G1669" t="s">
        <v>17</v>
      </c>
      <c r="H1669">
        <v>3745.38</v>
      </c>
      <c r="I1669" s="8" t="str" cm="1">
        <f t="array" ref="I1669">_xlfn.IFS(C1669&lt;=15,"Children and Young Adolescents", C1669&gt;64, "Seniors", TRUE, "Working Age")</f>
        <v>Working Age</v>
      </c>
      <c r="J1669" s="6">
        <f>VLOOKUP(F1669,Analysis!$F$1:$G$5,2,FALSE)</f>
        <v>2503.6022787783854</v>
      </c>
      <c r="K1669">
        <f t="shared" si="104"/>
        <v>4119.91</v>
      </c>
      <c r="L1669">
        <f t="shared" si="105"/>
        <v>4119.92</v>
      </c>
      <c r="M1669">
        <f t="shared" si="106"/>
        <v>4119.92</v>
      </c>
      <c r="N1669" s="5" t="str">
        <f t="shared" si="107"/>
        <v>September 2022</v>
      </c>
    </row>
    <row r="1670" spans="1:14" x14ac:dyDescent="0.25">
      <c r="A1670" s="1">
        <v>44810</v>
      </c>
      <c r="B1670" t="s">
        <v>2344</v>
      </c>
      <c r="C1670">
        <v>50</v>
      </c>
      <c r="D1670" t="s">
        <v>21</v>
      </c>
      <c r="E1670" t="s">
        <v>32</v>
      </c>
      <c r="F1670" t="s">
        <v>11</v>
      </c>
      <c r="G1670" t="s">
        <v>36</v>
      </c>
      <c r="H1670">
        <v>1057.27</v>
      </c>
      <c r="I1670" s="8" t="str" cm="1">
        <f t="array" ref="I1670">_xlfn.IFS(C1670&lt;=15,"Children and Young Adolescents", C1670&gt;64, "Seniors", TRUE, "Working Age")</f>
        <v>Working Age</v>
      </c>
      <c r="J1670" s="6">
        <f>VLOOKUP(F1670,Analysis!$F$1:$G$5,2,FALSE)</f>
        <v>2503.6022787783854</v>
      </c>
      <c r="K1670">
        <f t="shared" si="104"/>
        <v>1162.99</v>
      </c>
      <c r="L1670">
        <f t="shared" si="105"/>
        <v>1163</v>
      </c>
      <c r="M1670">
        <f t="shared" si="106"/>
        <v>1163</v>
      </c>
      <c r="N1670" s="5" t="str">
        <f t="shared" si="107"/>
        <v>September 2022</v>
      </c>
    </row>
    <row r="1671" spans="1:14" x14ac:dyDescent="0.25">
      <c r="A1671" s="1">
        <v>44810</v>
      </c>
      <c r="B1671" t="s">
        <v>1321</v>
      </c>
      <c r="C1671">
        <v>93</v>
      </c>
      <c r="D1671" t="s">
        <v>21</v>
      </c>
      <c r="E1671" t="s">
        <v>19</v>
      </c>
      <c r="F1671" t="s">
        <v>16</v>
      </c>
      <c r="G1671" t="s">
        <v>27</v>
      </c>
      <c r="H1671">
        <v>4272.0600000000004</v>
      </c>
      <c r="I1671" s="8" t="str" cm="1">
        <f t="array" ref="I1671">_xlfn.IFS(C1671&lt;=15,"Children and Young Adolescents", C1671&gt;64, "Seniors", TRUE, "Working Age")</f>
        <v>Seniors</v>
      </c>
      <c r="J1671" s="6">
        <f>VLOOKUP(F1671,Analysis!$F$1:$G$5,2,FALSE)</f>
        <v>2509.1716796874912</v>
      </c>
      <c r="K1671">
        <f t="shared" si="104"/>
        <v>4699.26</v>
      </c>
      <c r="L1671">
        <f t="shared" si="105"/>
        <v>4699.2700000000004</v>
      </c>
      <c r="M1671">
        <f t="shared" si="106"/>
        <v>4699.2700000000004</v>
      </c>
      <c r="N1671" s="5" t="str">
        <f t="shared" si="107"/>
        <v>September 2022</v>
      </c>
    </row>
    <row r="1672" spans="1:14" x14ac:dyDescent="0.25">
      <c r="A1672" s="1">
        <v>44811</v>
      </c>
      <c r="B1672" t="s">
        <v>1003</v>
      </c>
      <c r="C1672">
        <v>89</v>
      </c>
      <c r="D1672" t="s">
        <v>14</v>
      </c>
      <c r="E1672" t="s">
        <v>10</v>
      </c>
      <c r="F1672" t="s">
        <v>11</v>
      </c>
      <c r="G1672" t="s">
        <v>12</v>
      </c>
      <c r="H1672">
        <v>4282.8</v>
      </c>
      <c r="I1672" s="8" t="str" cm="1">
        <f t="array" ref="I1672">_xlfn.IFS(C1672&lt;=15,"Children and Young Adolescents", C1672&gt;64, "Seniors", TRUE, "Working Age")</f>
        <v>Seniors</v>
      </c>
      <c r="J1672" s="6">
        <f>VLOOKUP(F1672,Analysis!$F$1:$G$5,2,FALSE)</f>
        <v>2503.6022787783854</v>
      </c>
      <c r="K1672">
        <f t="shared" si="104"/>
        <v>4711.08</v>
      </c>
      <c r="L1672">
        <f t="shared" si="105"/>
        <v>4711.08</v>
      </c>
      <c r="M1672">
        <f t="shared" si="106"/>
        <v>4711.08</v>
      </c>
      <c r="N1672" s="5" t="str">
        <f t="shared" si="107"/>
        <v>September 2022</v>
      </c>
    </row>
    <row r="1673" spans="1:14" x14ac:dyDescent="0.25">
      <c r="A1673" s="1">
        <v>44811</v>
      </c>
      <c r="B1673" t="s">
        <v>1910</v>
      </c>
      <c r="C1673">
        <v>88</v>
      </c>
      <c r="D1673" t="s">
        <v>9</v>
      </c>
      <c r="E1673" t="s">
        <v>22</v>
      </c>
      <c r="F1673" t="s">
        <v>29</v>
      </c>
      <c r="G1673" t="s">
        <v>27</v>
      </c>
      <c r="H1673">
        <v>4911.8999999999996</v>
      </c>
      <c r="I1673" s="8" t="str" cm="1">
        <f t="array" ref="I1673">_xlfn.IFS(C1673&lt;=15,"Children and Young Adolescents", C1673&gt;64, "Seniors", TRUE, "Working Age")</f>
        <v>Seniors</v>
      </c>
      <c r="J1673" s="6">
        <f>VLOOKUP(F1673,Analysis!$F$1:$G$5,2,FALSE)</f>
        <v>2496.7676064256989</v>
      </c>
      <c r="K1673">
        <f t="shared" si="104"/>
        <v>5403.09</v>
      </c>
      <c r="L1673">
        <f t="shared" si="105"/>
        <v>5403.09</v>
      </c>
      <c r="M1673">
        <f t="shared" si="106"/>
        <v>5403.09</v>
      </c>
      <c r="N1673" s="5" t="str">
        <f t="shared" si="107"/>
        <v>September 2022</v>
      </c>
    </row>
    <row r="1674" spans="1:14" x14ac:dyDescent="0.25">
      <c r="A1674" s="1">
        <v>44811</v>
      </c>
      <c r="B1674" t="s">
        <v>3292</v>
      </c>
      <c r="C1674">
        <v>77</v>
      </c>
      <c r="D1674" t="s">
        <v>9</v>
      </c>
      <c r="E1674" t="s">
        <v>5032</v>
      </c>
      <c r="F1674" t="s">
        <v>11</v>
      </c>
      <c r="G1674" t="s">
        <v>12</v>
      </c>
      <c r="H1674">
        <v>3688.59</v>
      </c>
      <c r="I1674" s="8" t="str" cm="1">
        <f t="array" ref="I1674">_xlfn.IFS(C1674&lt;=15,"Children and Young Adolescents", C1674&gt;64, "Seniors", TRUE, "Working Age")</f>
        <v>Seniors</v>
      </c>
      <c r="J1674" s="6">
        <f>VLOOKUP(F1674,Analysis!$F$1:$G$5,2,FALSE)</f>
        <v>2503.6022787783854</v>
      </c>
      <c r="K1674">
        <f t="shared" si="104"/>
        <v>4057.44</v>
      </c>
      <c r="L1674">
        <f t="shared" si="105"/>
        <v>4057.4500000000003</v>
      </c>
      <c r="M1674">
        <f t="shared" si="106"/>
        <v>4057.45</v>
      </c>
      <c r="N1674" s="5" t="str">
        <f t="shared" si="107"/>
        <v>September 2022</v>
      </c>
    </row>
    <row r="1675" spans="1:14" x14ac:dyDescent="0.25">
      <c r="A1675" s="1">
        <v>44811</v>
      </c>
      <c r="B1675" t="s">
        <v>1289</v>
      </c>
      <c r="C1675">
        <v>36</v>
      </c>
      <c r="D1675" t="s">
        <v>21</v>
      </c>
      <c r="E1675" t="s">
        <v>25</v>
      </c>
      <c r="F1675" t="s">
        <v>23</v>
      </c>
      <c r="G1675" t="s">
        <v>36</v>
      </c>
      <c r="H1675">
        <v>2131.4</v>
      </c>
      <c r="I1675" s="8" t="str" cm="1">
        <f t="array" ref="I1675">_xlfn.IFS(C1675&lt;=15,"Children and Young Adolescents", C1675&gt;64, "Seniors", TRUE, "Working Age")</f>
        <v>Working Age</v>
      </c>
      <c r="J1675" s="6">
        <f>VLOOKUP(F1675,Analysis!$F$1:$G$5,2,FALSE)</f>
        <v>2440.2966694490838</v>
      </c>
      <c r="K1675">
        <f t="shared" si="104"/>
        <v>2344.54</v>
      </c>
      <c r="L1675">
        <f t="shared" si="105"/>
        <v>2344.54</v>
      </c>
      <c r="M1675">
        <f t="shared" si="106"/>
        <v>2344.54</v>
      </c>
      <c r="N1675" s="5" t="str">
        <f t="shared" si="107"/>
        <v>September 2022</v>
      </c>
    </row>
    <row r="1676" spans="1:14" x14ac:dyDescent="0.25">
      <c r="A1676" s="1">
        <v>44811</v>
      </c>
      <c r="B1676" t="s">
        <v>2930</v>
      </c>
      <c r="C1676">
        <v>88</v>
      </c>
      <c r="D1676" t="s">
        <v>9</v>
      </c>
      <c r="E1676" t="s">
        <v>15</v>
      </c>
      <c r="F1676" t="s">
        <v>16</v>
      </c>
      <c r="G1676" t="s">
        <v>39</v>
      </c>
      <c r="H1676">
        <v>4911.1899999999996</v>
      </c>
      <c r="I1676" s="8" t="str" cm="1">
        <f t="array" ref="I1676">_xlfn.IFS(C1676&lt;=15,"Children and Young Adolescents", C1676&gt;64, "Seniors", TRUE, "Working Age")</f>
        <v>Seniors</v>
      </c>
      <c r="J1676" s="6">
        <f>VLOOKUP(F1676,Analysis!$F$1:$G$5,2,FALSE)</f>
        <v>2509.1716796874912</v>
      </c>
      <c r="K1676">
        <f t="shared" si="104"/>
        <v>5402.3</v>
      </c>
      <c r="L1676">
        <f t="shared" si="105"/>
        <v>5402.31</v>
      </c>
      <c r="M1676">
        <f t="shared" si="106"/>
        <v>5402.31</v>
      </c>
      <c r="N1676" s="5" t="str">
        <f t="shared" si="107"/>
        <v>September 2022</v>
      </c>
    </row>
    <row r="1677" spans="1:14" x14ac:dyDescent="0.25">
      <c r="A1677" s="1">
        <v>44811</v>
      </c>
      <c r="B1677" t="s">
        <v>4771</v>
      </c>
      <c r="C1677">
        <v>72</v>
      </c>
      <c r="D1677" t="s">
        <v>21</v>
      </c>
      <c r="E1677" t="s">
        <v>19</v>
      </c>
      <c r="F1677" t="s">
        <v>16</v>
      </c>
      <c r="G1677" t="s">
        <v>27</v>
      </c>
      <c r="H1677">
        <v>2245.2800000000002</v>
      </c>
      <c r="I1677" s="8" t="str" cm="1">
        <f t="array" ref="I1677">_xlfn.IFS(C1677&lt;=15,"Children and Young Adolescents", C1677&gt;64, "Seniors", TRUE, "Working Age")</f>
        <v>Seniors</v>
      </c>
      <c r="J1677" s="6">
        <f>VLOOKUP(F1677,Analysis!$F$1:$G$5,2,FALSE)</f>
        <v>2509.1716796874912</v>
      </c>
      <c r="K1677">
        <f t="shared" si="104"/>
        <v>2469.8000000000002</v>
      </c>
      <c r="L1677">
        <f t="shared" si="105"/>
        <v>2469.8100000000004</v>
      </c>
      <c r="M1677">
        <f t="shared" si="106"/>
        <v>2469.81</v>
      </c>
      <c r="N1677" s="5" t="str">
        <f t="shared" si="107"/>
        <v>September 2022</v>
      </c>
    </row>
    <row r="1678" spans="1:14" x14ac:dyDescent="0.25">
      <c r="A1678" s="1">
        <v>44811</v>
      </c>
      <c r="B1678" t="s">
        <v>521</v>
      </c>
      <c r="C1678">
        <v>74</v>
      </c>
      <c r="D1678" t="s">
        <v>14</v>
      </c>
      <c r="E1678" t="s">
        <v>34</v>
      </c>
      <c r="F1678" t="s">
        <v>29</v>
      </c>
      <c r="G1678" t="s">
        <v>12</v>
      </c>
      <c r="H1678">
        <v>3903.39</v>
      </c>
      <c r="I1678" s="8" t="str" cm="1">
        <f t="array" ref="I1678">_xlfn.IFS(C1678&lt;=15,"Children and Young Adolescents", C1678&gt;64, "Seniors", TRUE, "Working Age")</f>
        <v>Seniors</v>
      </c>
      <c r="J1678" s="6">
        <f>VLOOKUP(F1678,Analysis!$F$1:$G$5,2,FALSE)</f>
        <v>2496.7676064256989</v>
      </c>
      <c r="K1678">
        <f t="shared" si="104"/>
        <v>4293.72</v>
      </c>
      <c r="L1678">
        <f t="shared" si="105"/>
        <v>4293.7300000000005</v>
      </c>
      <c r="M1678">
        <f t="shared" si="106"/>
        <v>4293.7299999999996</v>
      </c>
      <c r="N1678" s="5" t="str">
        <f t="shared" si="107"/>
        <v>September 2022</v>
      </c>
    </row>
    <row r="1679" spans="1:14" x14ac:dyDescent="0.25">
      <c r="A1679" s="1">
        <v>44811</v>
      </c>
      <c r="B1679" t="s">
        <v>142</v>
      </c>
      <c r="C1679">
        <v>90</v>
      </c>
      <c r="D1679" t="s">
        <v>21</v>
      </c>
      <c r="E1679" t="s">
        <v>25</v>
      </c>
      <c r="F1679" t="s">
        <v>11</v>
      </c>
      <c r="G1679" t="s">
        <v>36</v>
      </c>
      <c r="H1679">
        <v>1809.01</v>
      </c>
      <c r="I1679" s="8" t="str" cm="1">
        <f t="array" ref="I1679">_xlfn.IFS(C1679&lt;=15,"Children and Young Adolescents", C1679&gt;64, "Seniors", TRUE, "Working Age")</f>
        <v>Seniors</v>
      </c>
      <c r="J1679" s="6">
        <f>VLOOKUP(F1679,Analysis!$F$1:$G$5,2,FALSE)</f>
        <v>2503.6022787783854</v>
      </c>
      <c r="K1679">
        <f t="shared" si="104"/>
        <v>1989.91</v>
      </c>
      <c r="L1679">
        <f t="shared" si="105"/>
        <v>1989.92</v>
      </c>
      <c r="M1679">
        <f t="shared" si="106"/>
        <v>1989.91</v>
      </c>
      <c r="N1679" s="5" t="str">
        <f t="shared" si="107"/>
        <v>September 2022</v>
      </c>
    </row>
    <row r="1680" spans="1:14" x14ac:dyDescent="0.25">
      <c r="A1680" s="1">
        <v>44811</v>
      </c>
      <c r="B1680" t="s">
        <v>2436</v>
      </c>
      <c r="C1680">
        <v>71</v>
      </c>
      <c r="D1680" t="s">
        <v>14</v>
      </c>
      <c r="E1680" t="s">
        <v>32</v>
      </c>
      <c r="F1680" t="s">
        <v>29</v>
      </c>
      <c r="G1680" t="s">
        <v>17</v>
      </c>
      <c r="H1680">
        <v>4611.95</v>
      </c>
      <c r="I1680" s="8" t="str" cm="1">
        <f t="array" ref="I1680">_xlfn.IFS(C1680&lt;=15,"Children and Young Adolescents", C1680&gt;64, "Seniors", TRUE, "Working Age")</f>
        <v>Seniors</v>
      </c>
      <c r="J1680" s="6">
        <f>VLOOKUP(F1680,Analysis!$F$1:$G$5,2,FALSE)</f>
        <v>2496.7676064256989</v>
      </c>
      <c r="K1680">
        <f t="shared" si="104"/>
        <v>5073.1400000000003</v>
      </c>
      <c r="L1680">
        <f t="shared" si="105"/>
        <v>5073.1500000000005</v>
      </c>
      <c r="M1680">
        <f t="shared" si="106"/>
        <v>5073.1499999999996</v>
      </c>
      <c r="N1680" s="5" t="str">
        <f t="shared" si="107"/>
        <v>September 2022</v>
      </c>
    </row>
    <row r="1681" spans="1:14" x14ac:dyDescent="0.25">
      <c r="A1681" s="1">
        <v>44811</v>
      </c>
      <c r="B1681" t="s">
        <v>3664</v>
      </c>
      <c r="C1681">
        <v>43</v>
      </c>
      <c r="D1681" t="s">
        <v>14</v>
      </c>
      <c r="E1681" t="s">
        <v>25</v>
      </c>
      <c r="F1681" t="s">
        <v>29</v>
      </c>
      <c r="G1681" t="s">
        <v>27</v>
      </c>
      <c r="H1681">
        <v>2349.0100000000002</v>
      </c>
      <c r="I1681" s="8" t="str" cm="1">
        <f t="array" ref="I1681">_xlfn.IFS(C1681&lt;=15,"Children and Young Adolescents", C1681&gt;64, "Seniors", TRUE, "Working Age")</f>
        <v>Working Age</v>
      </c>
      <c r="J1681" s="6">
        <f>VLOOKUP(F1681,Analysis!$F$1:$G$5,2,FALSE)</f>
        <v>2496.7676064256989</v>
      </c>
      <c r="K1681">
        <f t="shared" si="104"/>
        <v>2583.91</v>
      </c>
      <c r="L1681">
        <f t="shared" si="105"/>
        <v>2583.92</v>
      </c>
      <c r="M1681">
        <f t="shared" si="106"/>
        <v>2583.91</v>
      </c>
      <c r="N1681" s="5" t="str">
        <f t="shared" si="107"/>
        <v>September 2022</v>
      </c>
    </row>
    <row r="1682" spans="1:14" x14ac:dyDescent="0.25">
      <c r="A1682" s="1">
        <v>44812</v>
      </c>
      <c r="B1682" t="s">
        <v>918</v>
      </c>
      <c r="C1682">
        <v>58</v>
      </c>
      <c r="D1682" t="s">
        <v>9</v>
      </c>
      <c r="E1682" t="s">
        <v>10</v>
      </c>
      <c r="F1682" t="s">
        <v>16</v>
      </c>
      <c r="G1682" t="s">
        <v>39</v>
      </c>
      <c r="H1682">
        <v>55.79</v>
      </c>
      <c r="I1682" s="8" t="str" cm="1">
        <f t="array" ref="I1682">_xlfn.IFS(C1682&lt;=15,"Children and Young Adolescents", C1682&gt;64, "Seniors", TRUE, "Working Age")</f>
        <v>Working Age</v>
      </c>
      <c r="J1682" s="6">
        <f>VLOOKUP(F1682,Analysis!$F$1:$G$5,2,FALSE)</f>
        <v>2509.1716796874912</v>
      </c>
      <c r="K1682">
        <f t="shared" si="104"/>
        <v>61.36</v>
      </c>
      <c r="L1682">
        <f t="shared" si="105"/>
        <v>61.37</v>
      </c>
      <c r="M1682">
        <f t="shared" si="106"/>
        <v>61.37</v>
      </c>
      <c r="N1682" s="5" t="str">
        <f t="shared" si="107"/>
        <v>September 2022</v>
      </c>
    </row>
    <row r="1683" spans="1:14" x14ac:dyDescent="0.25">
      <c r="A1683" s="1">
        <v>44812</v>
      </c>
      <c r="B1683" t="s">
        <v>1946</v>
      </c>
      <c r="C1683">
        <v>22</v>
      </c>
      <c r="D1683" t="s">
        <v>9</v>
      </c>
      <c r="E1683" t="s">
        <v>32</v>
      </c>
      <c r="F1683" t="s">
        <v>23</v>
      </c>
      <c r="G1683" t="s">
        <v>27</v>
      </c>
      <c r="H1683">
        <v>3510.88</v>
      </c>
      <c r="I1683" s="8" t="str" cm="1">
        <f t="array" ref="I1683">_xlfn.IFS(C1683&lt;=15,"Children and Young Adolescents", C1683&gt;64, "Seniors", TRUE, "Working Age")</f>
        <v>Working Age</v>
      </c>
      <c r="J1683" s="6">
        <f>VLOOKUP(F1683,Analysis!$F$1:$G$5,2,FALSE)</f>
        <v>2440.2966694490838</v>
      </c>
      <c r="K1683">
        <f t="shared" si="104"/>
        <v>3861.96</v>
      </c>
      <c r="L1683">
        <f t="shared" si="105"/>
        <v>3861.9700000000003</v>
      </c>
      <c r="M1683">
        <f t="shared" si="106"/>
        <v>3861.97</v>
      </c>
      <c r="N1683" s="5" t="str">
        <f t="shared" si="107"/>
        <v>September 2022</v>
      </c>
    </row>
    <row r="1684" spans="1:14" x14ac:dyDescent="0.25">
      <c r="A1684" s="1">
        <v>44812</v>
      </c>
      <c r="B1684" t="s">
        <v>1297</v>
      </c>
      <c r="C1684">
        <v>59</v>
      </c>
      <c r="D1684" t="s">
        <v>9</v>
      </c>
      <c r="E1684" t="s">
        <v>34</v>
      </c>
      <c r="F1684" t="s">
        <v>29</v>
      </c>
      <c r="G1684" t="s">
        <v>27</v>
      </c>
      <c r="H1684">
        <v>658.4</v>
      </c>
      <c r="I1684" s="8" t="str" cm="1">
        <f t="array" ref="I1684">_xlfn.IFS(C1684&lt;=15,"Children and Young Adolescents", C1684&gt;64, "Seniors", TRUE, "Working Age")</f>
        <v>Working Age</v>
      </c>
      <c r="J1684" s="6">
        <f>VLOOKUP(F1684,Analysis!$F$1:$G$5,2,FALSE)</f>
        <v>2496.7676064256989</v>
      </c>
      <c r="K1684">
        <f t="shared" si="104"/>
        <v>724.24</v>
      </c>
      <c r="L1684">
        <f t="shared" si="105"/>
        <v>724.24</v>
      </c>
      <c r="M1684">
        <f t="shared" si="106"/>
        <v>724.24</v>
      </c>
      <c r="N1684" s="5" t="str">
        <f t="shared" si="107"/>
        <v>September 2022</v>
      </c>
    </row>
    <row r="1685" spans="1:14" x14ac:dyDescent="0.25">
      <c r="A1685" s="1">
        <v>44812</v>
      </c>
      <c r="B1685" t="s">
        <v>3233</v>
      </c>
      <c r="C1685">
        <v>38</v>
      </c>
      <c r="D1685" t="s">
        <v>9</v>
      </c>
      <c r="E1685" t="s">
        <v>34</v>
      </c>
      <c r="F1685" t="s">
        <v>23</v>
      </c>
      <c r="G1685" t="s">
        <v>39</v>
      </c>
      <c r="H1685">
        <v>515.25</v>
      </c>
      <c r="I1685" s="8" t="str" cm="1">
        <f t="array" ref="I1685">_xlfn.IFS(C1685&lt;=15,"Children and Young Adolescents", C1685&gt;64, "Seniors", TRUE, "Working Age")</f>
        <v>Working Age</v>
      </c>
      <c r="J1685" s="6">
        <f>VLOOKUP(F1685,Analysis!$F$1:$G$5,2,FALSE)</f>
        <v>2440.2966694490838</v>
      </c>
      <c r="K1685">
        <f t="shared" si="104"/>
        <v>566.77</v>
      </c>
      <c r="L1685">
        <f t="shared" si="105"/>
        <v>566.78</v>
      </c>
      <c r="M1685">
        <f t="shared" si="106"/>
        <v>566.78</v>
      </c>
      <c r="N1685" s="5" t="str">
        <f t="shared" si="107"/>
        <v>September 2022</v>
      </c>
    </row>
    <row r="1686" spans="1:14" x14ac:dyDescent="0.25">
      <c r="A1686" s="1">
        <v>44812</v>
      </c>
      <c r="B1686" t="s">
        <v>4848</v>
      </c>
      <c r="C1686">
        <v>17</v>
      </c>
      <c r="D1686" t="s">
        <v>21</v>
      </c>
      <c r="E1686" t="s">
        <v>19</v>
      </c>
      <c r="F1686" t="s">
        <v>29</v>
      </c>
      <c r="G1686" t="s">
        <v>39</v>
      </c>
      <c r="H1686">
        <v>45.25</v>
      </c>
      <c r="I1686" s="8" t="str" cm="1">
        <f t="array" ref="I1686">_xlfn.IFS(C1686&lt;=15,"Children and Young Adolescents", C1686&gt;64, "Seniors", TRUE, "Working Age")</f>
        <v>Working Age</v>
      </c>
      <c r="J1686" s="6">
        <f>VLOOKUP(F1686,Analysis!$F$1:$G$5,2,FALSE)</f>
        <v>2496.7676064256989</v>
      </c>
      <c r="K1686">
        <f t="shared" si="104"/>
        <v>49.77</v>
      </c>
      <c r="L1686">
        <f t="shared" si="105"/>
        <v>49.78</v>
      </c>
      <c r="M1686">
        <f t="shared" si="106"/>
        <v>49.78</v>
      </c>
      <c r="N1686" s="5" t="str">
        <f t="shared" si="107"/>
        <v>September 2022</v>
      </c>
    </row>
    <row r="1687" spans="1:14" x14ac:dyDescent="0.25">
      <c r="A1687" s="1">
        <v>44812</v>
      </c>
      <c r="B1687" t="s">
        <v>1697</v>
      </c>
      <c r="C1687">
        <v>67</v>
      </c>
      <c r="D1687" t="s">
        <v>21</v>
      </c>
      <c r="E1687" t="s">
        <v>5032</v>
      </c>
      <c r="F1687" t="s">
        <v>11</v>
      </c>
      <c r="G1687" t="s">
        <v>39</v>
      </c>
      <c r="H1687">
        <v>3082.74</v>
      </c>
      <c r="I1687" s="8" t="str" cm="1">
        <f t="array" ref="I1687">_xlfn.IFS(C1687&lt;=15,"Children and Young Adolescents", C1687&gt;64, "Seniors", TRUE, "Working Age")</f>
        <v>Seniors</v>
      </c>
      <c r="J1687" s="6">
        <f>VLOOKUP(F1687,Analysis!$F$1:$G$5,2,FALSE)</f>
        <v>2503.6022787783854</v>
      </c>
      <c r="K1687">
        <f t="shared" si="104"/>
        <v>3391.01</v>
      </c>
      <c r="L1687">
        <f t="shared" si="105"/>
        <v>3391.0200000000004</v>
      </c>
      <c r="M1687">
        <f t="shared" si="106"/>
        <v>3391.01</v>
      </c>
      <c r="N1687" s="5" t="str">
        <f t="shared" si="107"/>
        <v>September 2022</v>
      </c>
    </row>
    <row r="1688" spans="1:14" x14ac:dyDescent="0.25">
      <c r="A1688" s="1">
        <v>44812</v>
      </c>
      <c r="B1688" t="s">
        <v>1602</v>
      </c>
      <c r="C1688">
        <v>1</v>
      </c>
      <c r="D1688" t="s">
        <v>9</v>
      </c>
      <c r="E1688" t="s">
        <v>32</v>
      </c>
      <c r="F1688" t="s">
        <v>29</v>
      </c>
      <c r="G1688" t="s">
        <v>5033</v>
      </c>
      <c r="H1688">
        <v>232.14</v>
      </c>
      <c r="I1688" s="8" t="str" cm="1">
        <f t="array" ref="I1688">_xlfn.IFS(C1688&lt;=15,"Children and Young Adolescents", C1688&gt;64, "Seniors", TRUE, "Working Age")</f>
        <v>Children and Young Adolescents</v>
      </c>
      <c r="J1688" s="6">
        <f>VLOOKUP(F1688,Analysis!$F$1:$G$5,2,FALSE)</f>
        <v>2496.7676064256989</v>
      </c>
      <c r="K1688">
        <f t="shared" si="104"/>
        <v>255.35</v>
      </c>
      <c r="L1688">
        <f t="shared" si="105"/>
        <v>255.35999999999999</v>
      </c>
      <c r="M1688">
        <f t="shared" si="106"/>
        <v>255.35</v>
      </c>
      <c r="N1688" s="5" t="str">
        <f t="shared" si="107"/>
        <v>September 2022</v>
      </c>
    </row>
    <row r="1689" spans="1:14" x14ac:dyDescent="0.25">
      <c r="A1689" s="1">
        <v>44813</v>
      </c>
      <c r="B1689" t="s">
        <v>889</v>
      </c>
      <c r="C1689">
        <v>88</v>
      </c>
      <c r="D1689" t="s">
        <v>14</v>
      </c>
      <c r="E1689" t="s">
        <v>10</v>
      </c>
      <c r="F1689" t="s">
        <v>11</v>
      </c>
      <c r="G1689" t="s">
        <v>39</v>
      </c>
      <c r="H1689">
        <v>245.81</v>
      </c>
      <c r="I1689" s="8" t="str" cm="1">
        <f t="array" ref="I1689">_xlfn.IFS(C1689&lt;=15,"Children and Young Adolescents", C1689&gt;64, "Seniors", TRUE, "Working Age")</f>
        <v>Seniors</v>
      </c>
      <c r="J1689" s="6">
        <f>VLOOKUP(F1689,Analysis!$F$1:$G$5,2,FALSE)</f>
        <v>2503.6022787783854</v>
      </c>
      <c r="K1689">
        <f t="shared" si="104"/>
        <v>270.39</v>
      </c>
      <c r="L1689">
        <f t="shared" si="105"/>
        <v>270.39999999999998</v>
      </c>
      <c r="M1689">
        <f t="shared" si="106"/>
        <v>270.39</v>
      </c>
      <c r="N1689" s="5" t="str">
        <f t="shared" si="107"/>
        <v>September 2022</v>
      </c>
    </row>
    <row r="1690" spans="1:14" x14ac:dyDescent="0.25">
      <c r="A1690" s="1">
        <v>44813</v>
      </c>
      <c r="B1690" t="s">
        <v>4323</v>
      </c>
      <c r="C1690">
        <v>19</v>
      </c>
      <c r="D1690" t="s">
        <v>9</v>
      </c>
      <c r="E1690" t="s">
        <v>22</v>
      </c>
      <c r="F1690" t="s">
        <v>16</v>
      </c>
      <c r="G1690" t="s">
        <v>17</v>
      </c>
      <c r="H1690">
        <v>456.33</v>
      </c>
      <c r="I1690" s="8" t="str" cm="1">
        <f t="array" ref="I1690">_xlfn.IFS(C1690&lt;=15,"Children and Young Adolescents", C1690&gt;64, "Seniors", TRUE, "Working Age")</f>
        <v>Working Age</v>
      </c>
      <c r="J1690" s="6">
        <f>VLOOKUP(F1690,Analysis!$F$1:$G$5,2,FALSE)</f>
        <v>2509.1716796874912</v>
      </c>
      <c r="K1690">
        <f t="shared" si="104"/>
        <v>501.96</v>
      </c>
      <c r="L1690">
        <f t="shared" si="105"/>
        <v>501.96999999999997</v>
      </c>
      <c r="M1690">
        <f t="shared" si="106"/>
        <v>501.96</v>
      </c>
      <c r="N1690" s="5" t="str">
        <f t="shared" si="107"/>
        <v>September 2022</v>
      </c>
    </row>
    <row r="1691" spans="1:14" x14ac:dyDescent="0.25">
      <c r="A1691" s="1">
        <v>44813</v>
      </c>
      <c r="B1691" t="s">
        <v>5008</v>
      </c>
      <c r="C1691">
        <v>49</v>
      </c>
      <c r="D1691" t="s">
        <v>9</v>
      </c>
      <c r="E1691" t="s">
        <v>19</v>
      </c>
      <c r="F1691" t="s">
        <v>16</v>
      </c>
      <c r="G1691" t="s">
        <v>27</v>
      </c>
      <c r="H1691">
        <v>2005.36</v>
      </c>
      <c r="I1691" s="8" t="str" cm="1">
        <f t="array" ref="I1691">_xlfn.IFS(C1691&lt;=15,"Children and Young Adolescents", C1691&gt;64, "Seniors", TRUE, "Working Age")</f>
        <v>Working Age</v>
      </c>
      <c r="J1691" s="6">
        <f>VLOOKUP(F1691,Analysis!$F$1:$G$5,2,FALSE)</f>
        <v>2509.1716796874912</v>
      </c>
      <c r="K1691">
        <f t="shared" si="104"/>
        <v>2205.89</v>
      </c>
      <c r="L1691">
        <f t="shared" si="105"/>
        <v>2205.9</v>
      </c>
      <c r="M1691">
        <f t="shared" si="106"/>
        <v>2205.9</v>
      </c>
      <c r="N1691" s="5" t="str">
        <f t="shared" si="107"/>
        <v>September 2022</v>
      </c>
    </row>
    <row r="1692" spans="1:14" x14ac:dyDescent="0.25">
      <c r="A1692" s="1">
        <v>44813</v>
      </c>
      <c r="B1692" t="s">
        <v>324</v>
      </c>
      <c r="C1692">
        <v>62</v>
      </c>
      <c r="D1692" t="s">
        <v>14</v>
      </c>
      <c r="E1692" t="s">
        <v>32</v>
      </c>
      <c r="F1692" t="s">
        <v>11</v>
      </c>
      <c r="G1692" t="s">
        <v>39</v>
      </c>
      <c r="H1692">
        <v>4764.66</v>
      </c>
      <c r="I1692" s="8" t="str" cm="1">
        <f t="array" ref="I1692">_xlfn.IFS(C1692&lt;=15,"Children and Young Adolescents", C1692&gt;64, "Seniors", TRUE, "Working Age")</f>
        <v>Working Age</v>
      </c>
      <c r="J1692" s="6">
        <f>VLOOKUP(F1692,Analysis!$F$1:$G$5,2,FALSE)</f>
        <v>2503.6022787783854</v>
      </c>
      <c r="K1692">
        <f t="shared" si="104"/>
        <v>5241.12</v>
      </c>
      <c r="L1692">
        <f t="shared" si="105"/>
        <v>5241.13</v>
      </c>
      <c r="M1692">
        <f t="shared" si="106"/>
        <v>5241.13</v>
      </c>
      <c r="N1692" s="5" t="str">
        <f t="shared" si="107"/>
        <v>September 2022</v>
      </c>
    </row>
    <row r="1693" spans="1:14" x14ac:dyDescent="0.25">
      <c r="A1693" s="1">
        <v>44813</v>
      </c>
      <c r="B1693" t="s">
        <v>4916</v>
      </c>
      <c r="C1693">
        <v>80</v>
      </c>
      <c r="D1693" t="s">
        <v>9</v>
      </c>
      <c r="E1693" t="s">
        <v>25</v>
      </c>
      <c r="F1693" t="s">
        <v>16</v>
      </c>
      <c r="G1693" t="s">
        <v>36</v>
      </c>
      <c r="H1693">
        <v>3746.93</v>
      </c>
      <c r="I1693" s="8" t="str" cm="1">
        <f t="array" ref="I1693">_xlfn.IFS(C1693&lt;=15,"Children and Young Adolescents", C1693&gt;64, "Seniors", TRUE, "Working Age")</f>
        <v>Seniors</v>
      </c>
      <c r="J1693" s="6">
        <f>VLOOKUP(F1693,Analysis!$F$1:$G$5,2,FALSE)</f>
        <v>2509.1716796874912</v>
      </c>
      <c r="K1693">
        <f t="shared" si="104"/>
        <v>4121.62</v>
      </c>
      <c r="L1693">
        <f t="shared" si="105"/>
        <v>4121.63</v>
      </c>
      <c r="M1693">
        <f t="shared" si="106"/>
        <v>4121.62</v>
      </c>
      <c r="N1693" s="5" t="str">
        <f t="shared" si="107"/>
        <v>September 2022</v>
      </c>
    </row>
    <row r="1694" spans="1:14" x14ac:dyDescent="0.25">
      <c r="A1694" s="1">
        <v>44813</v>
      </c>
      <c r="B1694" t="s">
        <v>2202</v>
      </c>
      <c r="C1694">
        <v>41</v>
      </c>
      <c r="D1694" t="s">
        <v>9</v>
      </c>
      <c r="E1694" t="s">
        <v>25</v>
      </c>
      <c r="F1694" t="s">
        <v>23</v>
      </c>
      <c r="G1694" t="s">
        <v>36</v>
      </c>
      <c r="H1694">
        <v>1733.08</v>
      </c>
      <c r="I1694" s="8" t="str" cm="1">
        <f t="array" ref="I1694">_xlfn.IFS(C1694&lt;=15,"Children and Young Adolescents", C1694&gt;64, "Seniors", TRUE, "Working Age")</f>
        <v>Working Age</v>
      </c>
      <c r="J1694" s="6">
        <f>VLOOKUP(F1694,Analysis!$F$1:$G$5,2,FALSE)</f>
        <v>2440.2966694490838</v>
      </c>
      <c r="K1694">
        <f t="shared" si="104"/>
        <v>1906.38</v>
      </c>
      <c r="L1694">
        <f t="shared" si="105"/>
        <v>1906.39</v>
      </c>
      <c r="M1694">
        <f t="shared" si="106"/>
        <v>1906.39</v>
      </c>
      <c r="N1694" s="5" t="str">
        <f t="shared" si="107"/>
        <v>September 2022</v>
      </c>
    </row>
    <row r="1695" spans="1:14" x14ac:dyDescent="0.25">
      <c r="A1695" s="1">
        <v>44813</v>
      </c>
      <c r="B1695" t="s">
        <v>1101</v>
      </c>
      <c r="C1695">
        <v>60</v>
      </c>
      <c r="D1695" t="s">
        <v>14</v>
      </c>
      <c r="E1695" t="s">
        <v>32</v>
      </c>
      <c r="F1695" t="s">
        <v>11</v>
      </c>
      <c r="G1695" t="s">
        <v>39</v>
      </c>
      <c r="H1695">
        <v>2740.93</v>
      </c>
      <c r="I1695" s="8" t="str" cm="1">
        <f t="array" ref="I1695">_xlfn.IFS(C1695&lt;=15,"Children and Young Adolescents", C1695&gt;64, "Seniors", TRUE, "Working Age")</f>
        <v>Working Age</v>
      </c>
      <c r="J1695" s="6">
        <f>VLOOKUP(F1695,Analysis!$F$1:$G$5,2,FALSE)</f>
        <v>2503.6022787783854</v>
      </c>
      <c r="K1695">
        <f t="shared" si="104"/>
        <v>3015.02</v>
      </c>
      <c r="L1695">
        <f t="shared" si="105"/>
        <v>3015.03</v>
      </c>
      <c r="M1695">
        <f t="shared" si="106"/>
        <v>3015.02</v>
      </c>
      <c r="N1695" s="5" t="str">
        <f t="shared" si="107"/>
        <v>September 2022</v>
      </c>
    </row>
    <row r="1696" spans="1:14" x14ac:dyDescent="0.25">
      <c r="A1696" s="1">
        <v>44813</v>
      </c>
      <c r="B1696" t="s">
        <v>579</v>
      </c>
      <c r="C1696">
        <v>94</v>
      </c>
      <c r="D1696" t="s">
        <v>9</v>
      </c>
      <c r="E1696" t="s">
        <v>32</v>
      </c>
      <c r="F1696" t="s">
        <v>29</v>
      </c>
      <c r="G1696" t="s">
        <v>17</v>
      </c>
      <c r="H1696">
        <v>2858.85</v>
      </c>
      <c r="I1696" s="8" t="str" cm="1">
        <f t="array" ref="I1696">_xlfn.IFS(C1696&lt;=15,"Children and Young Adolescents", C1696&gt;64, "Seniors", TRUE, "Working Age")</f>
        <v>Seniors</v>
      </c>
      <c r="J1696" s="6">
        <f>VLOOKUP(F1696,Analysis!$F$1:$G$5,2,FALSE)</f>
        <v>2496.7676064256989</v>
      </c>
      <c r="K1696">
        <f t="shared" si="104"/>
        <v>3144.73</v>
      </c>
      <c r="L1696">
        <f t="shared" si="105"/>
        <v>3144.7400000000002</v>
      </c>
      <c r="M1696">
        <f t="shared" si="106"/>
        <v>3144.74</v>
      </c>
      <c r="N1696" s="5" t="str">
        <f t="shared" si="107"/>
        <v>September 2022</v>
      </c>
    </row>
    <row r="1697" spans="1:14" x14ac:dyDescent="0.25">
      <c r="A1697" s="1">
        <v>44813</v>
      </c>
      <c r="B1697" t="s">
        <v>3409</v>
      </c>
      <c r="C1697">
        <v>28</v>
      </c>
      <c r="D1697" t="s">
        <v>14</v>
      </c>
      <c r="E1697" t="s">
        <v>15</v>
      </c>
      <c r="F1697" t="s">
        <v>11</v>
      </c>
      <c r="G1697" t="s">
        <v>12</v>
      </c>
      <c r="H1697">
        <v>3104.37</v>
      </c>
      <c r="I1697" s="8" t="str" cm="1">
        <f t="array" ref="I1697">_xlfn.IFS(C1697&lt;=15,"Children and Young Adolescents", C1697&gt;64, "Seniors", TRUE, "Working Age")</f>
        <v>Working Age</v>
      </c>
      <c r="J1697" s="6">
        <f>VLOOKUP(F1697,Analysis!$F$1:$G$5,2,FALSE)</f>
        <v>2503.6022787783854</v>
      </c>
      <c r="K1697">
        <f t="shared" si="104"/>
        <v>3414.8</v>
      </c>
      <c r="L1697">
        <f t="shared" si="105"/>
        <v>3414.8100000000004</v>
      </c>
      <c r="M1697">
        <f t="shared" si="106"/>
        <v>3414.81</v>
      </c>
      <c r="N1697" s="5" t="str">
        <f t="shared" si="107"/>
        <v>September 2022</v>
      </c>
    </row>
    <row r="1698" spans="1:14" x14ac:dyDescent="0.25">
      <c r="A1698" s="1">
        <v>44814</v>
      </c>
      <c r="B1698" t="s">
        <v>370</v>
      </c>
      <c r="C1698">
        <v>54</v>
      </c>
      <c r="D1698" t="s">
        <v>21</v>
      </c>
      <c r="E1698" t="s">
        <v>10</v>
      </c>
      <c r="F1698" t="s">
        <v>29</v>
      </c>
      <c r="G1698" t="s">
        <v>17</v>
      </c>
      <c r="H1698">
        <v>2490.8200000000002</v>
      </c>
      <c r="I1698" s="8" t="str" cm="1">
        <f t="array" ref="I1698">_xlfn.IFS(C1698&lt;=15,"Children and Young Adolescents", C1698&gt;64, "Seniors", TRUE, "Working Age")</f>
        <v>Working Age</v>
      </c>
      <c r="J1698" s="6">
        <f>VLOOKUP(F1698,Analysis!$F$1:$G$5,2,FALSE)</f>
        <v>2496.7676064256989</v>
      </c>
      <c r="K1698">
        <f t="shared" si="104"/>
        <v>2739.9</v>
      </c>
      <c r="L1698">
        <f t="shared" si="105"/>
        <v>2739.9100000000003</v>
      </c>
      <c r="M1698">
        <f t="shared" si="106"/>
        <v>2739.9</v>
      </c>
      <c r="N1698" s="5" t="str">
        <f t="shared" si="107"/>
        <v>September 2022</v>
      </c>
    </row>
    <row r="1699" spans="1:14" x14ac:dyDescent="0.25">
      <c r="A1699" s="1">
        <v>44814</v>
      </c>
      <c r="B1699" t="s">
        <v>4195</v>
      </c>
      <c r="C1699">
        <v>86</v>
      </c>
      <c r="D1699" t="s">
        <v>14</v>
      </c>
      <c r="E1699" t="s">
        <v>34</v>
      </c>
      <c r="F1699" t="s">
        <v>16</v>
      </c>
      <c r="G1699" t="s">
        <v>17</v>
      </c>
      <c r="H1699">
        <v>3629.46</v>
      </c>
      <c r="I1699" s="8" t="str" cm="1">
        <f t="array" ref="I1699">_xlfn.IFS(C1699&lt;=15,"Children and Young Adolescents", C1699&gt;64, "Seniors", TRUE, "Working Age")</f>
        <v>Seniors</v>
      </c>
      <c r="J1699" s="6">
        <f>VLOOKUP(F1699,Analysis!$F$1:$G$5,2,FALSE)</f>
        <v>2509.1716796874912</v>
      </c>
      <c r="K1699">
        <f t="shared" si="104"/>
        <v>3992.4</v>
      </c>
      <c r="L1699">
        <f t="shared" si="105"/>
        <v>3992.4100000000003</v>
      </c>
      <c r="M1699">
        <f t="shared" si="106"/>
        <v>3992.41</v>
      </c>
      <c r="N1699" s="5" t="str">
        <f t="shared" si="107"/>
        <v>September 2022</v>
      </c>
    </row>
    <row r="1700" spans="1:14" x14ac:dyDescent="0.25">
      <c r="A1700" s="1">
        <v>44814</v>
      </c>
      <c r="B1700" t="s">
        <v>1557</v>
      </c>
      <c r="C1700">
        <v>50</v>
      </c>
      <c r="D1700" t="s">
        <v>21</v>
      </c>
      <c r="E1700" t="s">
        <v>10</v>
      </c>
      <c r="F1700" t="s">
        <v>23</v>
      </c>
      <c r="G1700" t="s">
        <v>17</v>
      </c>
      <c r="H1700">
        <v>2126.1999999999998</v>
      </c>
      <c r="I1700" s="8" t="str" cm="1">
        <f t="array" ref="I1700">_xlfn.IFS(C1700&lt;=15,"Children and Young Adolescents", C1700&gt;64, "Seniors", TRUE, "Working Age")</f>
        <v>Working Age</v>
      </c>
      <c r="J1700" s="6">
        <f>VLOOKUP(F1700,Analysis!$F$1:$G$5,2,FALSE)</f>
        <v>2440.2966694490838</v>
      </c>
      <c r="K1700">
        <f t="shared" si="104"/>
        <v>2338.8200000000002</v>
      </c>
      <c r="L1700">
        <f t="shared" si="105"/>
        <v>2338.8200000000002</v>
      </c>
      <c r="M1700">
        <f t="shared" si="106"/>
        <v>2338.8200000000002</v>
      </c>
      <c r="N1700" s="5" t="str">
        <f t="shared" si="107"/>
        <v>September 2022</v>
      </c>
    </row>
    <row r="1701" spans="1:14" x14ac:dyDescent="0.25">
      <c r="A1701" s="1">
        <v>44814</v>
      </c>
      <c r="B1701" t="s">
        <v>265</v>
      </c>
      <c r="C1701">
        <v>77</v>
      </c>
      <c r="D1701" t="s">
        <v>21</v>
      </c>
      <c r="E1701" t="s">
        <v>25</v>
      </c>
      <c r="F1701" t="s">
        <v>29</v>
      </c>
      <c r="G1701" t="s">
        <v>27</v>
      </c>
      <c r="H1701">
        <v>4541.84</v>
      </c>
      <c r="I1701" s="8" t="str" cm="1">
        <f t="array" ref="I1701">_xlfn.IFS(C1701&lt;=15,"Children and Young Adolescents", C1701&gt;64, "Seniors", TRUE, "Working Age")</f>
        <v>Seniors</v>
      </c>
      <c r="J1701" s="6">
        <f>VLOOKUP(F1701,Analysis!$F$1:$G$5,2,FALSE)</f>
        <v>2496.7676064256989</v>
      </c>
      <c r="K1701">
        <f t="shared" si="104"/>
        <v>4996.0200000000004</v>
      </c>
      <c r="L1701">
        <f t="shared" si="105"/>
        <v>4996.0300000000007</v>
      </c>
      <c r="M1701">
        <f t="shared" si="106"/>
        <v>4996.0200000000004</v>
      </c>
      <c r="N1701" s="5" t="str">
        <f t="shared" si="107"/>
        <v>September 2022</v>
      </c>
    </row>
    <row r="1702" spans="1:14" x14ac:dyDescent="0.25">
      <c r="A1702" s="1">
        <v>44815</v>
      </c>
      <c r="B1702" t="s">
        <v>566</v>
      </c>
      <c r="C1702">
        <v>96</v>
      </c>
      <c r="D1702" t="s">
        <v>9</v>
      </c>
      <c r="E1702" t="s">
        <v>25</v>
      </c>
      <c r="F1702" t="s">
        <v>29</v>
      </c>
      <c r="G1702" t="s">
        <v>27</v>
      </c>
      <c r="H1702">
        <v>3667.41</v>
      </c>
      <c r="I1702" s="8" t="str" cm="1">
        <f t="array" ref="I1702">_xlfn.IFS(C1702&lt;=15,"Children and Young Adolescents", C1702&gt;64, "Seniors", TRUE, "Working Age")</f>
        <v>Seniors</v>
      </c>
      <c r="J1702" s="6">
        <f>VLOOKUP(F1702,Analysis!$F$1:$G$5,2,FALSE)</f>
        <v>2496.7676064256989</v>
      </c>
      <c r="K1702">
        <f t="shared" si="104"/>
        <v>4034.15</v>
      </c>
      <c r="L1702">
        <f t="shared" si="105"/>
        <v>4034.1600000000003</v>
      </c>
      <c r="M1702">
        <f t="shared" si="106"/>
        <v>4034.15</v>
      </c>
      <c r="N1702" s="5" t="str">
        <f t="shared" si="107"/>
        <v>September 2022</v>
      </c>
    </row>
    <row r="1703" spans="1:14" x14ac:dyDescent="0.25">
      <c r="A1703" s="1">
        <v>44815</v>
      </c>
      <c r="B1703" t="s">
        <v>173</v>
      </c>
      <c r="C1703">
        <v>41</v>
      </c>
      <c r="D1703" t="s">
        <v>14</v>
      </c>
      <c r="E1703" t="s">
        <v>15</v>
      </c>
      <c r="F1703" t="s">
        <v>29</v>
      </c>
      <c r="G1703" t="s">
        <v>17</v>
      </c>
      <c r="H1703">
        <v>2332.39</v>
      </c>
      <c r="I1703" s="8" t="str" cm="1">
        <f t="array" ref="I1703">_xlfn.IFS(C1703&lt;=15,"Children and Young Adolescents", C1703&gt;64, "Seniors", TRUE, "Working Age")</f>
        <v>Working Age</v>
      </c>
      <c r="J1703" s="6">
        <f>VLOOKUP(F1703,Analysis!$F$1:$G$5,2,FALSE)</f>
        <v>2496.7676064256989</v>
      </c>
      <c r="K1703">
        <f t="shared" si="104"/>
        <v>2565.62</v>
      </c>
      <c r="L1703">
        <f t="shared" si="105"/>
        <v>2565.63</v>
      </c>
      <c r="M1703">
        <f t="shared" si="106"/>
        <v>2565.63</v>
      </c>
      <c r="N1703" s="5" t="str">
        <f t="shared" si="107"/>
        <v>September 2022</v>
      </c>
    </row>
    <row r="1704" spans="1:14" x14ac:dyDescent="0.25">
      <c r="A1704" s="1">
        <v>44815</v>
      </c>
      <c r="B1704" t="s">
        <v>4538</v>
      </c>
      <c r="C1704">
        <v>61</v>
      </c>
      <c r="D1704" t="s">
        <v>9</v>
      </c>
      <c r="E1704" t="s">
        <v>19</v>
      </c>
      <c r="F1704" t="s">
        <v>29</v>
      </c>
      <c r="G1704" t="s">
        <v>36</v>
      </c>
      <c r="H1704">
        <v>971.85</v>
      </c>
      <c r="I1704" s="8" t="str" cm="1">
        <f t="array" ref="I1704">_xlfn.IFS(C1704&lt;=15,"Children and Young Adolescents", C1704&gt;64, "Seniors", TRUE, "Working Age")</f>
        <v>Working Age</v>
      </c>
      <c r="J1704" s="6">
        <f>VLOOKUP(F1704,Analysis!$F$1:$G$5,2,FALSE)</f>
        <v>2496.7676064256989</v>
      </c>
      <c r="K1704">
        <f t="shared" si="104"/>
        <v>1069.03</v>
      </c>
      <c r="L1704">
        <f t="shared" si="105"/>
        <v>1069.04</v>
      </c>
      <c r="M1704">
        <f t="shared" si="106"/>
        <v>1069.04</v>
      </c>
      <c r="N1704" s="5" t="str">
        <f t="shared" si="107"/>
        <v>September 2022</v>
      </c>
    </row>
    <row r="1705" spans="1:14" x14ac:dyDescent="0.25">
      <c r="A1705" s="1">
        <v>44815</v>
      </c>
      <c r="B1705" t="s">
        <v>2426</v>
      </c>
      <c r="C1705">
        <v>72</v>
      </c>
      <c r="D1705" t="s">
        <v>9</v>
      </c>
      <c r="E1705" t="s">
        <v>22</v>
      </c>
      <c r="F1705" t="s">
        <v>11</v>
      </c>
      <c r="G1705" t="s">
        <v>27</v>
      </c>
      <c r="H1705">
        <v>2014.04</v>
      </c>
      <c r="I1705" s="8" t="str" cm="1">
        <f t="array" ref="I1705">_xlfn.IFS(C1705&lt;=15,"Children and Young Adolescents", C1705&gt;64, "Seniors", TRUE, "Working Age")</f>
        <v>Seniors</v>
      </c>
      <c r="J1705" s="6">
        <f>VLOOKUP(F1705,Analysis!$F$1:$G$5,2,FALSE)</f>
        <v>2503.6022787783854</v>
      </c>
      <c r="K1705">
        <f t="shared" si="104"/>
        <v>2215.44</v>
      </c>
      <c r="L1705">
        <f t="shared" si="105"/>
        <v>2215.4500000000003</v>
      </c>
      <c r="M1705">
        <f t="shared" si="106"/>
        <v>2215.44</v>
      </c>
      <c r="N1705" s="5" t="str">
        <f t="shared" si="107"/>
        <v>September 2022</v>
      </c>
    </row>
    <row r="1706" spans="1:14" x14ac:dyDescent="0.25">
      <c r="A1706" s="1">
        <v>44816</v>
      </c>
      <c r="B1706" t="s">
        <v>257</v>
      </c>
      <c r="C1706">
        <v>58</v>
      </c>
      <c r="D1706" t="s">
        <v>14</v>
      </c>
      <c r="E1706" t="s">
        <v>5032</v>
      </c>
      <c r="F1706" t="s">
        <v>11</v>
      </c>
      <c r="G1706" t="s">
        <v>17</v>
      </c>
      <c r="H1706">
        <v>1524.72</v>
      </c>
      <c r="I1706" s="8" t="str" cm="1">
        <f t="array" ref="I1706">_xlfn.IFS(C1706&lt;=15,"Children and Young Adolescents", C1706&gt;64, "Seniors", TRUE, "Working Age")</f>
        <v>Working Age</v>
      </c>
      <c r="J1706" s="6">
        <f>VLOOKUP(F1706,Analysis!$F$1:$G$5,2,FALSE)</f>
        <v>2503.6022787783854</v>
      </c>
      <c r="K1706">
        <f t="shared" si="104"/>
        <v>1677.19</v>
      </c>
      <c r="L1706">
        <f t="shared" si="105"/>
        <v>1677.2</v>
      </c>
      <c r="M1706">
        <f t="shared" si="106"/>
        <v>1677.19</v>
      </c>
      <c r="N1706" s="5" t="str">
        <f t="shared" si="107"/>
        <v>September 2022</v>
      </c>
    </row>
    <row r="1707" spans="1:14" x14ac:dyDescent="0.25">
      <c r="A1707" s="1">
        <v>44816</v>
      </c>
      <c r="B1707" t="s">
        <v>919</v>
      </c>
      <c r="C1707">
        <v>44</v>
      </c>
      <c r="D1707" t="s">
        <v>21</v>
      </c>
      <c r="E1707" t="s">
        <v>19</v>
      </c>
      <c r="F1707" t="s">
        <v>16</v>
      </c>
      <c r="G1707" t="s">
        <v>17</v>
      </c>
      <c r="H1707">
        <v>681.51</v>
      </c>
      <c r="I1707" s="8" t="str" cm="1">
        <f t="array" ref="I1707">_xlfn.IFS(C1707&lt;=15,"Children and Young Adolescents", C1707&gt;64, "Seniors", TRUE, "Working Age")</f>
        <v>Working Age</v>
      </c>
      <c r="J1707" s="6">
        <f>VLOOKUP(F1707,Analysis!$F$1:$G$5,2,FALSE)</f>
        <v>2509.1716796874912</v>
      </c>
      <c r="K1707">
        <f t="shared" si="104"/>
        <v>749.66</v>
      </c>
      <c r="L1707">
        <f t="shared" si="105"/>
        <v>749.67</v>
      </c>
      <c r="M1707">
        <f t="shared" si="106"/>
        <v>749.66</v>
      </c>
      <c r="N1707" s="5" t="str">
        <f t="shared" si="107"/>
        <v>September 2022</v>
      </c>
    </row>
    <row r="1708" spans="1:14" x14ac:dyDescent="0.25">
      <c r="A1708" s="1">
        <v>44816</v>
      </c>
      <c r="B1708" t="s">
        <v>3413</v>
      </c>
      <c r="C1708">
        <v>36</v>
      </c>
      <c r="D1708" t="s">
        <v>9</v>
      </c>
      <c r="E1708" t="s">
        <v>25</v>
      </c>
      <c r="F1708" t="s">
        <v>16</v>
      </c>
      <c r="G1708" t="s">
        <v>27</v>
      </c>
      <c r="H1708">
        <v>4618.6000000000004</v>
      </c>
      <c r="I1708" s="8" t="str" cm="1">
        <f t="array" ref="I1708">_xlfn.IFS(C1708&lt;=15,"Children and Young Adolescents", C1708&gt;64, "Seniors", TRUE, "Working Age")</f>
        <v>Working Age</v>
      </c>
      <c r="J1708" s="6">
        <f>VLOOKUP(F1708,Analysis!$F$1:$G$5,2,FALSE)</f>
        <v>2509.1716796874912</v>
      </c>
      <c r="K1708">
        <f t="shared" si="104"/>
        <v>5080.46</v>
      </c>
      <c r="L1708">
        <f t="shared" si="105"/>
        <v>5080.46</v>
      </c>
      <c r="M1708">
        <f t="shared" si="106"/>
        <v>5080.46</v>
      </c>
      <c r="N1708" s="5" t="str">
        <f t="shared" si="107"/>
        <v>September 2022</v>
      </c>
    </row>
    <row r="1709" spans="1:14" x14ac:dyDescent="0.25">
      <c r="A1709" s="1">
        <v>44816</v>
      </c>
      <c r="B1709" t="s">
        <v>3595</v>
      </c>
      <c r="C1709">
        <v>48</v>
      </c>
      <c r="D1709" t="s">
        <v>14</v>
      </c>
      <c r="E1709" t="s">
        <v>32</v>
      </c>
      <c r="F1709" t="s">
        <v>11</v>
      </c>
      <c r="G1709" t="s">
        <v>27</v>
      </c>
      <c r="H1709">
        <v>373.47</v>
      </c>
      <c r="I1709" s="8" t="str" cm="1">
        <f t="array" ref="I1709">_xlfn.IFS(C1709&lt;=15,"Children and Young Adolescents", C1709&gt;64, "Seniors", TRUE, "Working Age")</f>
        <v>Working Age</v>
      </c>
      <c r="J1709" s="6">
        <f>VLOOKUP(F1709,Analysis!$F$1:$G$5,2,FALSE)</f>
        <v>2503.6022787783854</v>
      </c>
      <c r="K1709">
        <f t="shared" si="104"/>
        <v>410.81</v>
      </c>
      <c r="L1709">
        <f t="shared" si="105"/>
        <v>410.82</v>
      </c>
      <c r="M1709">
        <f t="shared" si="106"/>
        <v>410.82</v>
      </c>
      <c r="N1709" s="5" t="str">
        <f t="shared" si="107"/>
        <v>September 2022</v>
      </c>
    </row>
    <row r="1710" spans="1:14" x14ac:dyDescent="0.25">
      <c r="A1710" s="1">
        <v>44816</v>
      </c>
      <c r="B1710" t="s">
        <v>79</v>
      </c>
      <c r="C1710">
        <v>12</v>
      </c>
      <c r="D1710" t="s">
        <v>9</v>
      </c>
      <c r="E1710" t="s">
        <v>19</v>
      </c>
      <c r="F1710" t="s">
        <v>16</v>
      </c>
      <c r="G1710" t="s">
        <v>12</v>
      </c>
      <c r="H1710">
        <v>4508.42</v>
      </c>
      <c r="I1710" s="8" t="str" cm="1">
        <f t="array" ref="I1710">_xlfn.IFS(C1710&lt;=15,"Children and Young Adolescents", C1710&gt;64, "Seniors", TRUE, "Working Age")</f>
        <v>Children and Young Adolescents</v>
      </c>
      <c r="J1710" s="6">
        <f>VLOOKUP(F1710,Analysis!$F$1:$G$5,2,FALSE)</f>
        <v>2509.1716796874912</v>
      </c>
      <c r="K1710">
        <f t="shared" si="104"/>
        <v>4959.26</v>
      </c>
      <c r="L1710">
        <f t="shared" si="105"/>
        <v>4959.2700000000004</v>
      </c>
      <c r="M1710">
        <f t="shared" si="106"/>
        <v>4959.26</v>
      </c>
      <c r="N1710" s="5" t="str">
        <f t="shared" si="107"/>
        <v>September 2022</v>
      </c>
    </row>
    <row r="1711" spans="1:14" x14ac:dyDescent="0.25">
      <c r="A1711" s="1">
        <v>44816</v>
      </c>
      <c r="B1711" t="s">
        <v>4106</v>
      </c>
      <c r="C1711">
        <v>91</v>
      </c>
      <c r="D1711" t="s">
        <v>14</v>
      </c>
      <c r="E1711" t="s">
        <v>19</v>
      </c>
      <c r="F1711" t="s">
        <v>16</v>
      </c>
      <c r="G1711" t="s">
        <v>17</v>
      </c>
      <c r="H1711">
        <v>3982.13</v>
      </c>
      <c r="I1711" s="8" t="str" cm="1">
        <f t="array" ref="I1711">_xlfn.IFS(C1711&lt;=15,"Children and Young Adolescents", C1711&gt;64, "Seniors", TRUE, "Working Age")</f>
        <v>Seniors</v>
      </c>
      <c r="J1711" s="6">
        <f>VLOOKUP(F1711,Analysis!$F$1:$G$5,2,FALSE)</f>
        <v>2509.1716796874912</v>
      </c>
      <c r="K1711">
        <f t="shared" si="104"/>
        <v>4380.34</v>
      </c>
      <c r="L1711">
        <f t="shared" si="105"/>
        <v>4380.3500000000004</v>
      </c>
      <c r="M1711">
        <f t="shared" si="106"/>
        <v>4380.34</v>
      </c>
      <c r="N1711" s="5" t="str">
        <f t="shared" si="107"/>
        <v>September 2022</v>
      </c>
    </row>
    <row r="1712" spans="1:14" x14ac:dyDescent="0.25">
      <c r="A1712" s="1">
        <v>44816</v>
      </c>
      <c r="B1712" t="s">
        <v>2031</v>
      </c>
      <c r="C1712">
        <v>80</v>
      </c>
      <c r="D1712" t="s">
        <v>9</v>
      </c>
      <c r="E1712" t="s">
        <v>10</v>
      </c>
      <c r="F1712" t="s">
        <v>11</v>
      </c>
      <c r="G1712" t="s">
        <v>27</v>
      </c>
      <c r="H1712">
        <v>826.46</v>
      </c>
      <c r="I1712" s="8" t="str" cm="1">
        <f t="array" ref="I1712">_xlfn.IFS(C1712&lt;=15,"Children and Young Adolescents", C1712&gt;64, "Seniors", TRUE, "Working Age")</f>
        <v>Seniors</v>
      </c>
      <c r="J1712" s="6">
        <f>VLOOKUP(F1712,Analysis!$F$1:$G$5,2,FALSE)</f>
        <v>2503.6022787783854</v>
      </c>
      <c r="K1712">
        <f t="shared" si="104"/>
        <v>909.1</v>
      </c>
      <c r="L1712">
        <f t="shared" si="105"/>
        <v>909.11</v>
      </c>
      <c r="M1712">
        <f t="shared" si="106"/>
        <v>909.11</v>
      </c>
      <c r="N1712" s="5" t="str">
        <f t="shared" si="107"/>
        <v>September 2022</v>
      </c>
    </row>
    <row r="1713" spans="1:14" x14ac:dyDescent="0.25">
      <c r="A1713" s="1">
        <v>44816</v>
      </c>
      <c r="B1713" t="s">
        <v>4452</v>
      </c>
      <c r="C1713">
        <v>73</v>
      </c>
      <c r="D1713" t="s">
        <v>9</v>
      </c>
      <c r="E1713" t="s">
        <v>5032</v>
      </c>
      <c r="F1713" t="s">
        <v>29</v>
      </c>
      <c r="G1713" t="s">
        <v>39</v>
      </c>
      <c r="H1713">
        <v>2013.7</v>
      </c>
      <c r="I1713" s="8" t="str" cm="1">
        <f t="array" ref="I1713">_xlfn.IFS(C1713&lt;=15,"Children and Young Adolescents", C1713&gt;64, "Seniors", TRUE, "Working Age")</f>
        <v>Seniors</v>
      </c>
      <c r="J1713" s="6">
        <f>VLOOKUP(F1713,Analysis!$F$1:$G$5,2,FALSE)</f>
        <v>2496.7676064256989</v>
      </c>
      <c r="K1713">
        <f t="shared" si="104"/>
        <v>2215.0700000000002</v>
      </c>
      <c r="L1713">
        <f t="shared" si="105"/>
        <v>2215.0700000000002</v>
      </c>
      <c r="M1713">
        <f t="shared" si="106"/>
        <v>2215.0700000000002</v>
      </c>
      <c r="N1713" s="5" t="str">
        <f t="shared" si="107"/>
        <v>September 2022</v>
      </c>
    </row>
    <row r="1714" spans="1:14" x14ac:dyDescent="0.25">
      <c r="A1714" s="1">
        <v>44817</v>
      </c>
      <c r="B1714" t="s">
        <v>938</v>
      </c>
      <c r="C1714">
        <v>57</v>
      </c>
      <c r="D1714" t="s">
        <v>21</v>
      </c>
      <c r="E1714" t="s">
        <v>34</v>
      </c>
      <c r="F1714" t="s">
        <v>16</v>
      </c>
      <c r="G1714" t="s">
        <v>39</v>
      </c>
      <c r="H1714">
        <v>2401.3000000000002</v>
      </c>
      <c r="I1714" s="8" t="str" cm="1">
        <f t="array" ref="I1714">_xlfn.IFS(C1714&lt;=15,"Children and Young Adolescents", C1714&gt;64, "Seniors", TRUE, "Working Age")</f>
        <v>Working Age</v>
      </c>
      <c r="J1714" s="6">
        <f>VLOOKUP(F1714,Analysis!$F$1:$G$5,2,FALSE)</f>
        <v>2509.1716796874912</v>
      </c>
      <c r="K1714">
        <f t="shared" si="104"/>
        <v>2641.43</v>
      </c>
      <c r="L1714">
        <f t="shared" si="105"/>
        <v>2641.43</v>
      </c>
      <c r="M1714">
        <f t="shared" si="106"/>
        <v>2641.43</v>
      </c>
      <c r="N1714" s="5" t="str">
        <f t="shared" si="107"/>
        <v>September 2022</v>
      </c>
    </row>
    <row r="1715" spans="1:14" x14ac:dyDescent="0.25">
      <c r="A1715" s="1">
        <v>44817</v>
      </c>
      <c r="B1715" t="s">
        <v>207</v>
      </c>
      <c r="C1715">
        <v>25</v>
      </c>
      <c r="D1715" t="s">
        <v>21</v>
      </c>
      <c r="E1715" t="s">
        <v>10</v>
      </c>
      <c r="F1715" t="s">
        <v>29</v>
      </c>
      <c r="G1715" t="s">
        <v>36</v>
      </c>
      <c r="H1715">
        <v>2791.53</v>
      </c>
      <c r="I1715" s="8" t="str" cm="1">
        <f t="array" ref="I1715">_xlfn.IFS(C1715&lt;=15,"Children and Young Adolescents", C1715&gt;64, "Seniors", TRUE, "Working Age")</f>
        <v>Working Age</v>
      </c>
      <c r="J1715" s="6">
        <f>VLOOKUP(F1715,Analysis!$F$1:$G$5,2,FALSE)</f>
        <v>2496.7676064256989</v>
      </c>
      <c r="K1715">
        <f t="shared" si="104"/>
        <v>3070.68</v>
      </c>
      <c r="L1715">
        <f t="shared" si="105"/>
        <v>3070.69</v>
      </c>
      <c r="M1715">
        <f t="shared" si="106"/>
        <v>3070.68</v>
      </c>
      <c r="N1715" s="5" t="str">
        <f t="shared" si="107"/>
        <v>September 2022</v>
      </c>
    </row>
    <row r="1716" spans="1:14" x14ac:dyDescent="0.25">
      <c r="A1716" s="1">
        <v>44817</v>
      </c>
      <c r="B1716" t="s">
        <v>3089</v>
      </c>
      <c r="C1716">
        <v>93</v>
      </c>
      <c r="D1716" t="s">
        <v>21</v>
      </c>
      <c r="E1716" t="s">
        <v>15</v>
      </c>
      <c r="F1716" t="s">
        <v>29</v>
      </c>
      <c r="G1716" t="s">
        <v>27</v>
      </c>
      <c r="H1716">
        <v>394.94</v>
      </c>
      <c r="I1716" s="8" t="str" cm="1">
        <f t="array" ref="I1716">_xlfn.IFS(C1716&lt;=15,"Children and Young Adolescents", C1716&gt;64, "Seniors", TRUE, "Working Age")</f>
        <v>Seniors</v>
      </c>
      <c r="J1716" s="6">
        <f>VLOOKUP(F1716,Analysis!$F$1:$G$5,2,FALSE)</f>
        <v>2496.7676064256989</v>
      </c>
      <c r="K1716">
        <f t="shared" si="104"/>
        <v>434.43</v>
      </c>
      <c r="L1716">
        <f t="shared" si="105"/>
        <v>434.44</v>
      </c>
      <c r="M1716">
        <f t="shared" si="106"/>
        <v>434.43</v>
      </c>
      <c r="N1716" s="5" t="str">
        <f t="shared" si="107"/>
        <v>September 2022</v>
      </c>
    </row>
    <row r="1717" spans="1:14" x14ac:dyDescent="0.25">
      <c r="A1717" s="1">
        <v>44817</v>
      </c>
      <c r="B1717" t="s">
        <v>2403</v>
      </c>
      <c r="C1717">
        <v>66</v>
      </c>
      <c r="D1717" t="s">
        <v>9</v>
      </c>
      <c r="E1717" t="s">
        <v>5032</v>
      </c>
      <c r="F1717" t="s">
        <v>11</v>
      </c>
      <c r="G1717" t="s">
        <v>27</v>
      </c>
      <c r="H1717">
        <v>96.28</v>
      </c>
      <c r="I1717" s="8" t="str" cm="1">
        <f t="array" ref="I1717">_xlfn.IFS(C1717&lt;=15,"Children and Young Adolescents", C1717&gt;64, "Seniors", TRUE, "Working Age")</f>
        <v>Seniors</v>
      </c>
      <c r="J1717" s="6">
        <f>VLOOKUP(F1717,Analysis!$F$1:$G$5,2,FALSE)</f>
        <v>2503.6022787783854</v>
      </c>
      <c r="K1717">
        <f t="shared" si="104"/>
        <v>105.9</v>
      </c>
      <c r="L1717">
        <f t="shared" si="105"/>
        <v>105.91000000000001</v>
      </c>
      <c r="M1717">
        <f t="shared" si="106"/>
        <v>105.91</v>
      </c>
      <c r="N1717" s="5" t="str">
        <f t="shared" si="107"/>
        <v>September 2022</v>
      </c>
    </row>
    <row r="1718" spans="1:14" x14ac:dyDescent="0.25">
      <c r="A1718" s="1">
        <v>44817</v>
      </c>
      <c r="B1718" t="s">
        <v>4583</v>
      </c>
      <c r="C1718">
        <v>3</v>
      </c>
      <c r="D1718" t="s">
        <v>14</v>
      </c>
      <c r="E1718" t="s">
        <v>25</v>
      </c>
      <c r="F1718" t="s">
        <v>23</v>
      </c>
      <c r="G1718" t="s">
        <v>36</v>
      </c>
      <c r="H1718">
        <v>1696.04</v>
      </c>
      <c r="I1718" s="8" t="str" cm="1">
        <f t="array" ref="I1718">_xlfn.IFS(C1718&lt;=15,"Children and Young Adolescents", C1718&gt;64, "Seniors", TRUE, "Working Age")</f>
        <v>Children and Young Adolescents</v>
      </c>
      <c r="J1718" s="6">
        <f>VLOOKUP(F1718,Analysis!$F$1:$G$5,2,FALSE)</f>
        <v>2440.2966694490838</v>
      </c>
      <c r="K1718">
        <f t="shared" si="104"/>
        <v>1865.64</v>
      </c>
      <c r="L1718">
        <f t="shared" si="105"/>
        <v>1865.65</v>
      </c>
      <c r="M1718">
        <f t="shared" si="106"/>
        <v>1865.64</v>
      </c>
      <c r="N1718" s="5" t="str">
        <f t="shared" si="107"/>
        <v>September 2022</v>
      </c>
    </row>
    <row r="1719" spans="1:14" x14ac:dyDescent="0.25">
      <c r="A1719" s="1">
        <v>44817</v>
      </c>
      <c r="B1719" t="s">
        <v>4923</v>
      </c>
      <c r="C1719">
        <v>24</v>
      </c>
      <c r="D1719" t="s">
        <v>9</v>
      </c>
      <c r="E1719" t="s">
        <v>32</v>
      </c>
      <c r="F1719" t="s">
        <v>11</v>
      </c>
      <c r="G1719" t="s">
        <v>17</v>
      </c>
      <c r="H1719">
        <v>93.05</v>
      </c>
      <c r="I1719" s="8" t="str" cm="1">
        <f t="array" ref="I1719">_xlfn.IFS(C1719&lt;=15,"Children and Young Adolescents", C1719&gt;64, "Seniors", TRUE, "Working Age")</f>
        <v>Working Age</v>
      </c>
      <c r="J1719" s="6">
        <f>VLOOKUP(F1719,Analysis!$F$1:$G$5,2,FALSE)</f>
        <v>2503.6022787783854</v>
      </c>
      <c r="K1719">
        <f t="shared" si="104"/>
        <v>102.35</v>
      </c>
      <c r="L1719">
        <f t="shared" si="105"/>
        <v>102.36</v>
      </c>
      <c r="M1719">
        <f t="shared" si="106"/>
        <v>102.36</v>
      </c>
      <c r="N1719" s="5" t="str">
        <f t="shared" si="107"/>
        <v>September 2022</v>
      </c>
    </row>
    <row r="1720" spans="1:14" x14ac:dyDescent="0.25">
      <c r="A1720" s="1">
        <v>44817</v>
      </c>
      <c r="B1720" t="s">
        <v>3745</v>
      </c>
      <c r="C1720">
        <v>13</v>
      </c>
      <c r="D1720" t="s">
        <v>14</v>
      </c>
      <c r="E1720" t="s">
        <v>22</v>
      </c>
      <c r="F1720" t="s">
        <v>11</v>
      </c>
      <c r="G1720" t="s">
        <v>12</v>
      </c>
      <c r="H1720">
        <v>4346.63</v>
      </c>
      <c r="I1720" s="8" t="str" cm="1">
        <f t="array" ref="I1720">_xlfn.IFS(C1720&lt;=15,"Children and Young Adolescents", C1720&gt;64, "Seniors", TRUE, "Working Age")</f>
        <v>Children and Young Adolescents</v>
      </c>
      <c r="J1720" s="6">
        <f>VLOOKUP(F1720,Analysis!$F$1:$G$5,2,FALSE)</f>
        <v>2503.6022787783854</v>
      </c>
      <c r="K1720">
        <f t="shared" si="104"/>
        <v>4781.29</v>
      </c>
      <c r="L1720">
        <f t="shared" si="105"/>
        <v>4781.3</v>
      </c>
      <c r="M1720">
        <f t="shared" si="106"/>
        <v>4781.29</v>
      </c>
      <c r="N1720" s="5" t="str">
        <f t="shared" si="107"/>
        <v>September 2022</v>
      </c>
    </row>
    <row r="1721" spans="1:14" x14ac:dyDescent="0.25">
      <c r="A1721" s="1">
        <v>44817</v>
      </c>
      <c r="B1721" t="s">
        <v>4053</v>
      </c>
      <c r="C1721">
        <v>69</v>
      </c>
      <c r="D1721" t="s">
        <v>9</v>
      </c>
      <c r="E1721" t="s">
        <v>22</v>
      </c>
      <c r="F1721" t="s">
        <v>16</v>
      </c>
      <c r="G1721" t="s">
        <v>36</v>
      </c>
      <c r="H1721">
        <v>1825.65</v>
      </c>
      <c r="I1721" s="8" t="str" cm="1">
        <f t="array" ref="I1721">_xlfn.IFS(C1721&lt;=15,"Children and Young Adolescents", C1721&gt;64, "Seniors", TRUE, "Working Age")</f>
        <v>Seniors</v>
      </c>
      <c r="J1721" s="6">
        <f>VLOOKUP(F1721,Analysis!$F$1:$G$5,2,FALSE)</f>
        <v>2509.1716796874912</v>
      </c>
      <c r="K1721">
        <f t="shared" si="104"/>
        <v>2008.21</v>
      </c>
      <c r="L1721">
        <f t="shared" si="105"/>
        <v>2008.22</v>
      </c>
      <c r="M1721">
        <f t="shared" si="106"/>
        <v>2008.22</v>
      </c>
      <c r="N1721" s="5" t="str">
        <f t="shared" si="107"/>
        <v>September 2022</v>
      </c>
    </row>
    <row r="1722" spans="1:14" x14ac:dyDescent="0.25">
      <c r="A1722" s="1">
        <v>44817</v>
      </c>
      <c r="B1722" t="s">
        <v>2802</v>
      </c>
      <c r="C1722">
        <v>63</v>
      </c>
      <c r="D1722" t="s">
        <v>9</v>
      </c>
      <c r="E1722" t="s">
        <v>22</v>
      </c>
      <c r="F1722" t="s">
        <v>23</v>
      </c>
      <c r="G1722" t="s">
        <v>17</v>
      </c>
      <c r="H1722">
        <v>152.4</v>
      </c>
      <c r="I1722" s="8" t="str" cm="1">
        <f t="array" ref="I1722">_xlfn.IFS(C1722&lt;=15,"Children and Young Adolescents", C1722&gt;64, "Seniors", TRUE, "Working Age")</f>
        <v>Working Age</v>
      </c>
      <c r="J1722" s="6">
        <f>VLOOKUP(F1722,Analysis!$F$1:$G$5,2,FALSE)</f>
        <v>2440.2966694490838</v>
      </c>
      <c r="K1722">
        <f t="shared" si="104"/>
        <v>167.64</v>
      </c>
      <c r="L1722">
        <f t="shared" si="105"/>
        <v>167.64</v>
      </c>
      <c r="M1722">
        <f t="shared" si="106"/>
        <v>167.64</v>
      </c>
      <c r="N1722" s="5" t="str">
        <f t="shared" si="107"/>
        <v>September 2022</v>
      </c>
    </row>
    <row r="1723" spans="1:14" x14ac:dyDescent="0.25">
      <c r="A1723" s="1">
        <v>44817</v>
      </c>
      <c r="B1723" t="s">
        <v>3336</v>
      </c>
      <c r="C1723">
        <v>60</v>
      </c>
      <c r="D1723" t="s">
        <v>14</v>
      </c>
      <c r="E1723" t="s">
        <v>34</v>
      </c>
      <c r="F1723" t="s">
        <v>16</v>
      </c>
      <c r="G1723" t="s">
        <v>39</v>
      </c>
      <c r="H1723">
        <v>2791.57</v>
      </c>
      <c r="I1723" s="8" t="str" cm="1">
        <f t="array" ref="I1723">_xlfn.IFS(C1723&lt;=15,"Children and Young Adolescents", C1723&gt;64, "Seniors", TRUE, "Working Age")</f>
        <v>Working Age</v>
      </c>
      <c r="J1723" s="6">
        <f>VLOOKUP(F1723,Analysis!$F$1:$G$5,2,FALSE)</f>
        <v>2509.1716796874912</v>
      </c>
      <c r="K1723">
        <f t="shared" si="104"/>
        <v>3070.72</v>
      </c>
      <c r="L1723">
        <f t="shared" si="105"/>
        <v>3070.73</v>
      </c>
      <c r="M1723">
        <f t="shared" si="106"/>
        <v>3070.73</v>
      </c>
      <c r="N1723" s="5" t="str">
        <f t="shared" si="107"/>
        <v>September 2022</v>
      </c>
    </row>
    <row r="1724" spans="1:14" x14ac:dyDescent="0.25">
      <c r="A1724" s="1">
        <v>44817</v>
      </c>
      <c r="B1724" t="s">
        <v>2275</v>
      </c>
      <c r="C1724">
        <v>43</v>
      </c>
      <c r="D1724" t="s">
        <v>21</v>
      </c>
      <c r="E1724" t="s">
        <v>5032</v>
      </c>
      <c r="F1724" t="s">
        <v>29</v>
      </c>
      <c r="G1724" t="s">
        <v>36</v>
      </c>
      <c r="H1724">
        <v>1553.04</v>
      </c>
      <c r="I1724" s="8" t="str" cm="1">
        <f t="array" ref="I1724">_xlfn.IFS(C1724&lt;=15,"Children and Young Adolescents", C1724&gt;64, "Seniors", TRUE, "Working Age")</f>
        <v>Working Age</v>
      </c>
      <c r="J1724" s="6">
        <f>VLOOKUP(F1724,Analysis!$F$1:$G$5,2,FALSE)</f>
        <v>2496.7676064256989</v>
      </c>
      <c r="K1724">
        <f t="shared" si="104"/>
        <v>1708.34</v>
      </c>
      <c r="L1724">
        <f t="shared" si="105"/>
        <v>1708.35</v>
      </c>
      <c r="M1724">
        <f t="shared" si="106"/>
        <v>1708.34</v>
      </c>
      <c r="N1724" s="5" t="str">
        <f t="shared" si="107"/>
        <v>September 2022</v>
      </c>
    </row>
    <row r="1725" spans="1:14" x14ac:dyDescent="0.25">
      <c r="A1725" s="1">
        <v>44818</v>
      </c>
      <c r="B1725" t="s">
        <v>2147</v>
      </c>
      <c r="C1725">
        <v>32</v>
      </c>
      <c r="D1725" t="s">
        <v>21</v>
      </c>
      <c r="E1725" t="s">
        <v>32</v>
      </c>
      <c r="F1725" t="s">
        <v>16</v>
      </c>
      <c r="G1725" t="s">
        <v>12</v>
      </c>
      <c r="H1725">
        <v>4783.96</v>
      </c>
      <c r="I1725" s="8" t="str" cm="1">
        <f t="array" ref="I1725">_xlfn.IFS(C1725&lt;=15,"Children and Young Adolescents", C1725&gt;64, "Seniors", TRUE, "Working Age")</f>
        <v>Working Age</v>
      </c>
      <c r="J1725" s="6">
        <f>VLOOKUP(F1725,Analysis!$F$1:$G$5,2,FALSE)</f>
        <v>2509.1716796874912</v>
      </c>
      <c r="K1725">
        <f t="shared" si="104"/>
        <v>5262.35</v>
      </c>
      <c r="L1725">
        <f t="shared" si="105"/>
        <v>5262.3600000000006</v>
      </c>
      <c r="M1725">
        <f t="shared" si="106"/>
        <v>5262.36</v>
      </c>
      <c r="N1725" s="5" t="str">
        <f t="shared" si="107"/>
        <v>September 2022</v>
      </c>
    </row>
    <row r="1726" spans="1:14" x14ac:dyDescent="0.25">
      <c r="A1726" s="1">
        <v>44818</v>
      </c>
      <c r="B1726" t="s">
        <v>2322</v>
      </c>
      <c r="C1726">
        <v>20</v>
      </c>
      <c r="D1726" t="s">
        <v>14</v>
      </c>
      <c r="E1726" t="s">
        <v>22</v>
      </c>
      <c r="F1726" t="s">
        <v>29</v>
      </c>
      <c r="G1726" t="s">
        <v>36</v>
      </c>
      <c r="H1726">
        <v>1876.79</v>
      </c>
      <c r="I1726" s="8" t="str" cm="1">
        <f t="array" ref="I1726">_xlfn.IFS(C1726&lt;=15,"Children and Young Adolescents", C1726&gt;64, "Seniors", TRUE, "Working Age")</f>
        <v>Working Age</v>
      </c>
      <c r="J1726" s="6">
        <f>VLOOKUP(F1726,Analysis!$F$1:$G$5,2,FALSE)</f>
        <v>2496.7676064256989</v>
      </c>
      <c r="K1726">
        <f t="shared" si="104"/>
        <v>2064.46</v>
      </c>
      <c r="L1726">
        <f t="shared" si="105"/>
        <v>2064.4700000000003</v>
      </c>
      <c r="M1726">
        <f t="shared" si="106"/>
        <v>2064.4699999999998</v>
      </c>
      <c r="N1726" s="5" t="str">
        <f t="shared" si="107"/>
        <v>September 2022</v>
      </c>
    </row>
    <row r="1727" spans="1:14" x14ac:dyDescent="0.25">
      <c r="A1727" s="1">
        <v>44818</v>
      </c>
      <c r="B1727" t="s">
        <v>750</v>
      </c>
      <c r="C1727">
        <v>31</v>
      </c>
      <c r="D1727" t="s">
        <v>21</v>
      </c>
      <c r="E1727" t="s">
        <v>15</v>
      </c>
      <c r="F1727" t="s">
        <v>16</v>
      </c>
      <c r="G1727" t="s">
        <v>39</v>
      </c>
      <c r="H1727">
        <v>2730.52</v>
      </c>
      <c r="I1727" s="8" t="str" cm="1">
        <f t="array" ref="I1727">_xlfn.IFS(C1727&lt;=15,"Children and Young Adolescents", C1727&gt;64, "Seniors", TRUE, "Working Age")</f>
        <v>Working Age</v>
      </c>
      <c r="J1727" s="6">
        <f>VLOOKUP(F1727,Analysis!$F$1:$G$5,2,FALSE)</f>
        <v>2509.1716796874912</v>
      </c>
      <c r="K1727">
        <f t="shared" si="104"/>
        <v>3003.57</v>
      </c>
      <c r="L1727">
        <f t="shared" si="105"/>
        <v>3003.5800000000004</v>
      </c>
      <c r="M1727">
        <f t="shared" si="106"/>
        <v>3003.57</v>
      </c>
      <c r="N1727" s="5" t="str">
        <f t="shared" si="107"/>
        <v>September 2022</v>
      </c>
    </row>
    <row r="1728" spans="1:14" x14ac:dyDescent="0.25">
      <c r="A1728" s="1">
        <v>44818</v>
      </c>
      <c r="B1728" t="s">
        <v>474</v>
      </c>
      <c r="C1728">
        <v>46</v>
      </c>
      <c r="D1728" t="s">
        <v>9</v>
      </c>
      <c r="E1728" t="s">
        <v>32</v>
      </c>
      <c r="F1728" t="s">
        <v>23</v>
      </c>
      <c r="G1728" t="s">
        <v>39</v>
      </c>
      <c r="H1728">
        <v>4898.6000000000004</v>
      </c>
      <c r="I1728" s="8" t="str" cm="1">
        <f t="array" ref="I1728">_xlfn.IFS(C1728&lt;=15,"Children and Young Adolescents", C1728&gt;64, "Seniors", TRUE, "Working Age")</f>
        <v>Working Age</v>
      </c>
      <c r="J1728" s="6">
        <f>VLOOKUP(F1728,Analysis!$F$1:$G$5,2,FALSE)</f>
        <v>2440.2966694490838</v>
      </c>
      <c r="K1728">
        <f t="shared" si="104"/>
        <v>5388.46</v>
      </c>
      <c r="L1728">
        <f t="shared" si="105"/>
        <v>5388.46</v>
      </c>
      <c r="M1728">
        <f t="shared" si="106"/>
        <v>5388.46</v>
      </c>
      <c r="N1728" s="5" t="str">
        <f t="shared" si="107"/>
        <v>September 2022</v>
      </c>
    </row>
    <row r="1729" spans="1:14" x14ac:dyDescent="0.25">
      <c r="A1729" s="1">
        <v>44818</v>
      </c>
      <c r="B1729" t="s">
        <v>785</v>
      </c>
      <c r="C1729">
        <v>67</v>
      </c>
      <c r="D1729" t="s">
        <v>9</v>
      </c>
      <c r="E1729" t="s">
        <v>5032</v>
      </c>
      <c r="F1729" t="s">
        <v>23</v>
      </c>
      <c r="G1729" t="s">
        <v>39</v>
      </c>
      <c r="H1729">
        <v>2366.04</v>
      </c>
      <c r="I1729" s="8" t="str" cm="1">
        <f t="array" ref="I1729">_xlfn.IFS(C1729&lt;=15,"Children and Young Adolescents", C1729&gt;64, "Seniors", TRUE, "Working Age")</f>
        <v>Seniors</v>
      </c>
      <c r="J1729" s="6">
        <f>VLOOKUP(F1729,Analysis!$F$1:$G$5,2,FALSE)</f>
        <v>2440.2966694490838</v>
      </c>
      <c r="K1729">
        <f t="shared" si="104"/>
        <v>2602.64</v>
      </c>
      <c r="L1729">
        <f t="shared" si="105"/>
        <v>2602.65</v>
      </c>
      <c r="M1729">
        <f t="shared" si="106"/>
        <v>2602.64</v>
      </c>
      <c r="N1729" s="5" t="str">
        <f t="shared" si="107"/>
        <v>September 2022</v>
      </c>
    </row>
    <row r="1730" spans="1:14" x14ac:dyDescent="0.25">
      <c r="A1730" s="1">
        <v>44818</v>
      </c>
      <c r="B1730" t="s">
        <v>1424</v>
      </c>
      <c r="C1730">
        <v>97</v>
      </c>
      <c r="D1730" t="s">
        <v>9</v>
      </c>
      <c r="E1730" t="s">
        <v>15</v>
      </c>
      <c r="F1730" t="s">
        <v>16</v>
      </c>
      <c r="G1730" t="s">
        <v>39</v>
      </c>
      <c r="H1730">
        <v>2262.2199999999998</v>
      </c>
      <c r="I1730" s="8" t="str" cm="1">
        <f t="array" ref="I1730">_xlfn.IFS(C1730&lt;=15,"Children and Young Adolescents", C1730&gt;64, "Seniors", TRUE, "Working Age")</f>
        <v>Seniors</v>
      </c>
      <c r="J1730" s="6">
        <f>VLOOKUP(F1730,Analysis!$F$1:$G$5,2,FALSE)</f>
        <v>2509.1716796874912</v>
      </c>
      <c r="K1730">
        <f t="shared" si="104"/>
        <v>2488.44</v>
      </c>
      <c r="L1730">
        <f t="shared" si="105"/>
        <v>2488.4500000000003</v>
      </c>
      <c r="M1730">
        <f t="shared" si="106"/>
        <v>2488.44</v>
      </c>
      <c r="N1730" s="5" t="str">
        <f t="shared" si="107"/>
        <v>September 2022</v>
      </c>
    </row>
    <row r="1731" spans="1:14" x14ac:dyDescent="0.25">
      <c r="A1731" s="1">
        <v>44818</v>
      </c>
      <c r="B1731" t="s">
        <v>1892</v>
      </c>
      <c r="C1731">
        <v>87</v>
      </c>
      <c r="D1731" t="s">
        <v>14</v>
      </c>
      <c r="E1731" t="s">
        <v>15</v>
      </c>
      <c r="F1731" t="s">
        <v>29</v>
      </c>
      <c r="G1731" t="s">
        <v>12</v>
      </c>
      <c r="H1731">
        <v>470.47</v>
      </c>
      <c r="I1731" s="8" t="str" cm="1">
        <f t="array" ref="I1731">_xlfn.IFS(C1731&lt;=15,"Children and Young Adolescents", C1731&gt;64, "Seniors", TRUE, "Working Age")</f>
        <v>Seniors</v>
      </c>
      <c r="J1731" s="6">
        <f>VLOOKUP(F1731,Analysis!$F$1:$G$5,2,FALSE)</f>
        <v>2496.7676064256989</v>
      </c>
      <c r="K1731">
        <f t="shared" ref="K1731:K1794" si="108">ROUNDDOWN(H1731*1.1,2)</f>
        <v>517.51</v>
      </c>
      <c r="L1731">
        <f t="shared" ref="L1731:L1794" si="109">ROUNDUP(H1731*1.1,2)</f>
        <v>517.52</v>
      </c>
      <c r="M1731">
        <f t="shared" ref="M1731:M1794" si="110">ROUND(H1731*1.1,2)</f>
        <v>517.52</v>
      </c>
      <c r="N1731" s="5" t="str">
        <f t="shared" ref="N1731:N1794" si="111">TEXT(A1731,"mmmm yyyy")</f>
        <v>September 2022</v>
      </c>
    </row>
    <row r="1732" spans="1:14" x14ac:dyDescent="0.25">
      <c r="A1732" s="1">
        <v>44818</v>
      </c>
      <c r="B1732" t="s">
        <v>2549</v>
      </c>
      <c r="C1732">
        <v>98</v>
      </c>
      <c r="D1732" t="s">
        <v>14</v>
      </c>
      <c r="E1732" t="s">
        <v>22</v>
      </c>
      <c r="F1732" t="s">
        <v>16</v>
      </c>
      <c r="G1732" t="s">
        <v>27</v>
      </c>
      <c r="H1732">
        <v>1705.46</v>
      </c>
      <c r="I1732" s="8" t="str" cm="1">
        <f t="array" ref="I1732">_xlfn.IFS(C1732&lt;=15,"Children and Young Adolescents", C1732&gt;64, "Seniors", TRUE, "Working Age")</f>
        <v>Seniors</v>
      </c>
      <c r="J1732" s="6">
        <f>VLOOKUP(F1732,Analysis!$F$1:$G$5,2,FALSE)</f>
        <v>2509.1716796874912</v>
      </c>
      <c r="K1732">
        <f t="shared" si="108"/>
        <v>1876</v>
      </c>
      <c r="L1732">
        <f t="shared" si="109"/>
        <v>1876.01</v>
      </c>
      <c r="M1732">
        <f t="shared" si="110"/>
        <v>1876.01</v>
      </c>
      <c r="N1732" s="5" t="str">
        <f t="shared" si="111"/>
        <v>September 2022</v>
      </c>
    </row>
    <row r="1733" spans="1:14" x14ac:dyDescent="0.25">
      <c r="A1733" s="1">
        <v>44818</v>
      </c>
      <c r="B1733" t="s">
        <v>1254</v>
      </c>
      <c r="C1733">
        <v>87</v>
      </c>
      <c r="D1733" t="s">
        <v>21</v>
      </c>
      <c r="E1733" t="s">
        <v>15</v>
      </c>
      <c r="F1733" t="s">
        <v>23</v>
      </c>
      <c r="G1733" t="s">
        <v>39</v>
      </c>
      <c r="H1733">
        <v>3441.45</v>
      </c>
      <c r="I1733" s="8" t="str" cm="1">
        <f t="array" ref="I1733">_xlfn.IFS(C1733&lt;=15,"Children and Young Adolescents", C1733&gt;64, "Seniors", TRUE, "Working Age")</f>
        <v>Seniors</v>
      </c>
      <c r="J1733" s="6">
        <f>VLOOKUP(F1733,Analysis!$F$1:$G$5,2,FALSE)</f>
        <v>2440.2966694490838</v>
      </c>
      <c r="K1733">
        <f t="shared" si="108"/>
        <v>3785.59</v>
      </c>
      <c r="L1733">
        <f t="shared" si="109"/>
        <v>3785.6000000000004</v>
      </c>
      <c r="M1733">
        <f t="shared" si="110"/>
        <v>3785.6</v>
      </c>
      <c r="N1733" s="5" t="str">
        <f t="shared" si="111"/>
        <v>September 2022</v>
      </c>
    </row>
    <row r="1734" spans="1:14" x14ac:dyDescent="0.25">
      <c r="A1734" s="1">
        <v>44819</v>
      </c>
      <c r="B1734" t="s">
        <v>1969</v>
      </c>
      <c r="C1734">
        <v>39</v>
      </c>
      <c r="D1734" t="s">
        <v>14</v>
      </c>
      <c r="E1734" t="s">
        <v>15</v>
      </c>
      <c r="F1734" t="s">
        <v>16</v>
      </c>
      <c r="G1734" t="s">
        <v>27</v>
      </c>
      <c r="H1734">
        <v>4152.51</v>
      </c>
      <c r="I1734" s="8" t="str" cm="1">
        <f t="array" ref="I1734">_xlfn.IFS(C1734&lt;=15,"Children and Young Adolescents", C1734&gt;64, "Seniors", TRUE, "Working Age")</f>
        <v>Working Age</v>
      </c>
      <c r="J1734" s="6">
        <f>VLOOKUP(F1734,Analysis!$F$1:$G$5,2,FALSE)</f>
        <v>2509.1716796874912</v>
      </c>
      <c r="K1734">
        <f t="shared" si="108"/>
        <v>4567.76</v>
      </c>
      <c r="L1734">
        <f t="shared" si="109"/>
        <v>4567.7700000000004</v>
      </c>
      <c r="M1734">
        <f t="shared" si="110"/>
        <v>4567.76</v>
      </c>
      <c r="N1734" s="5" t="str">
        <f t="shared" si="111"/>
        <v>September 2022</v>
      </c>
    </row>
    <row r="1735" spans="1:14" x14ac:dyDescent="0.25">
      <c r="A1735" s="1">
        <v>44819</v>
      </c>
      <c r="B1735" t="s">
        <v>4029</v>
      </c>
      <c r="C1735">
        <v>2</v>
      </c>
      <c r="D1735" t="s">
        <v>14</v>
      </c>
      <c r="E1735" t="s">
        <v>19</v>
      </c>
      <c r="F1735" t="s">
        <v>16</v>
      </c>
      <c r="G1735" t="s">
        <v>36</v>
      </c>
      <c r="H1735">
        <v>3514.6</v>
      </c>
      <c r="I1735" s="8" t="str" cm="1">
        <f t="array" ref="I1735">_xlfn.IFS(C1735&lt;=15,"Children and Young Adolescents", C1735&gt;64, "Seniors", TRUE, "Working Age")</f>
        <v>Children and Young Adolescents</v>
      </c>
      <c r="J1735" s="6">
        <f>VLOOKUP(F1735,Analysis!$F$1:$G$5,2,FALSE)</f>
        <v>2509.1716796874912</v>
      </c>
      <c r="K1735">
        <f t="shared" si="108"/>
        <v>3866.06</v>
      </c>
      <c r="L1735">
        <f t="shared" si="109"/>
        <v>3866.06</v>
      </c>
      <c r="M1735">
        <f t="shared" si="110"/>
        <v>3866.06</v>
      </c>
      <c r="N1735" s="5" t="str">
        <f t="shared" si="111"/>
        <v>September 2022</v>
      </c>
    </row>
    <row r="1736" spans="1:14" x14ac:dyDescent="0.25">
      <c r="A1736" s="1">
        <v>44819</v>
      </c>
      <c r="B1736" t="s">
        <v>627</v>
      </c>
      <c r="C1736">
        <v>43</v>
      </c>
      <c r="D1736" t="s">
        <v>9</v>
      </c>
      <c r="E1736" t="s">
        <v>15</v>
      </c>
      <c r="F1736" t="s">
        <v>29</v>
      </c>
      <c r="G1736" t="s">
        <v>39</v>
      </c>
      <c r="H1736">
        <v>1816.27</v>
      </c>
      <c r="I1736" s="8" t="str" cm="1">
        <f t="array" ref="I1736">_xlfn.IFS(C1736&lt;=15,"Children and Young Adolescents", C1736&gt;64, "Seniors", TRUE, "Working Age")</f>
        <v>Working Age</v>
      </c>
      <c r="J1736" s="6">
        <f>VLOOKUP(F1736,Analysis!$F$1:$G$5,2,FALSE)</f>
        <v>2496.7676064256989</v>
      </c>
      <c r="K1736">
        <f t="shared" si="108"/>
        <v>1997.89</v>
      </c>
      <c r="L1736">
        <f t="shared" si="109"/>
        <v>1997.9</v>
      </c>
      <c r="M1736">
        <f t="shared" si="110"/>
        <v>1997.9</v>
      </c>
      <c r="N1736" s="5" t="str">
        <f t="shared" si="111"/>
        <v>September 2022</v>
      </c>
    </row>
    <row r="1737" spans="1:14" x14ac:dyDescent="0.25">
      <c r="A1737" s="1">
        <v>44819</v>
      </c>
      <c r="B1737" t="s">
        <v>2915</v>
      </c>
      <c r="C1737">
        <v>96</v>
      </c>
      <c r="D1737" t="s">
        <v>21</v>
      </c>
      <c r="E1737" t="s">
        <v>19</v>
      </c>
      <c r="F1737" t="s">
        <v>11</v>
      </c>
      <c r="G1737" t="s">
        <v>39</v>
      </c>
      <c r="H1737">
        <v>4610.16</v>
      </c>
      <c r="I1737" s="8" t="str" cm="1">
        <f t="array" ref="I1737">_xlfn.IFS(C1737&lt;=15,"Children and Young Adolescents", C1737&gt;64, "Seniors", TRUE, "Working Age")</f>
        <v>Seniors</v>
      </c>
      <c r="J1737" s="6">
        <f>VLOOKUP(F1737,Analysis!$F$1:$G$5,2,FALSE)</f>
        <v>2503.6022787783854</v>
      </c>
      <c r="K1737">
        <f t="shared" si="108"/>
        <v>5071.17</v>
      </c>
      <c r="L1737">
        <f t="shared" si="109"/>
        <v>5071.18</v>
      </c>
      <c r="M1737">
        <f t="shared" si="110"/>
        <v>5071.18</v>
      </c>
      <c r="N1737" s="5" t="str">
        <f t="shared" si="111"/>
        <v>September 2022</v>
      </c>
    </row>
    <row r="1738" spans="1:14" x14ac:dyDescent="0.25">
      <c r="A1738" s="1">
        <v>44819</v>
      </c>
      <c r="B1738" t="s">
        <v>3700</v>
      </c>
      <c r="C1738">
        <v>66</v>
      </c>
      <c r="D1738" t="s">
        <v>9</v>
      </c>
      <c r="E1738" t="s">
        <v>22</v>
      </c>
      <c r="F1738" t="s">
        <v>11</v>
      </c>
      <c r="G1738" t="s">
        <v>39</v>
      </c>
      <c r="H1738">
        <v>2583.61</v>
      </c>
      <c r="I1738" s="8" t="str" cm="1">
        <f t="array" ref="I1738">_xlfn.IFS(C1738&lt;=15,"Children and Young Adolescents", C1738&gt;64, "Seniors", TRUE, "Working Age")</f>
        <v>Seniors</v>
      </c>
      <c r="J1738" s="6">
        <f>VLOOKUP(F1738,Analysis!$F$1:$G$5,2,FALSE)</f>
        <v>2503.6022787783854</v>
      </c>
      <c r="K1738">
        <f t="shared" si="108"/>
        <v>2841.97</v>
      </c>
      <c r="L1738">
        <f t="shared" si="109"/>
        <v>2841.98</v>
      </c>
      <c r="M1738">
        <f t="shared" si="110"/>
        <v>2841.97</v>
      </c>
      <c r="N1738" s="5" t="str">
        <f t="shared" si="111"/>
        <v>September 2022</v>
      </c>
    </row>
    <row r="1739" spans="1:14" x14ac:dyDescent="0.25">
      <c r="A1739" s="1">
        <v>44820</v>
      </c>
      <c r="B1739" t="s">
        <v>463</v>
      </c>
      <c r="C1739">
        <v>7</v>
      </c>
      <c r="D1739" t="s">
        <v>9</v>
      </c>
      <c r="E1739" t="s">
        <v>25</v>
      </c>
      <c r="F1739" t="s">
        <v>11</v>
      </c>
      <c r="G1739" t="s">
        <v>17</v>
      </c>
      <c r="H1739">
        <v>3711.15</v>
      </c>
      <c r="I1739" s="8" t="str" cm="1">
        <f t="array" ref="I1739">_xlfn.IFS(C1739&lt;=15,"Children and Young Adolescents", C1739&gt;64, "Seniors", TRUE, "Working Age")</f>
        <v>Children and Young Adolescents</v>
      </c>
      <c r="J1739" s="6">
        <f>VLOOKUP(F1739,Analysis!$F$1:$G$5,2,FALSE)</f>
        <v>2503.6022787783854</v>
      </c>
      <c r="K1739">
        <f t="shared" si="108"/>
        <v>4082.26</v>
      </c>
      <c r="L1739">
        <f t="shared" si="109"/>
        <v>4082.2700000000004</v>
      </c>
      <c r="M1739">
        <f t="shared" si="110"/>
        <v>4082.27</v>
      </c>
      <c r="N1739" s="5" t="str">
        <f t="shared" si="111"/>
        <v>September 2022</v>
      </c>
    </row>
    <row r="1740" spans="1:14" x14ac:dyDescent="0.25">
      <c r="A1740" s="1">
        <v>44820</v>
      </c>
      <c r="B1740" t="s">
        <v>4196</v>
      </c>
      <c r="C1740">
        <v>93</v>
      </c>
      <c r="D1740" t="s">
        <v>9</v>
      </c>
      <c r="E1740" t="s">
        <v>15</v>
      </c>
      <c r="F1740" t="s">
        <v>16</v>
      </c>
      <c r="G1740" t="s">
        <v>12</v>
      </c>
      <c r="H1740">
        <v>3149.42</v>
      </c>
      <c r="I1740" s="8" t="str" cm="1">
        <f t="array" ref="I1740">_xlfn.IFS(C1740&lt;=15,"Children and Young Adolescents", C1740&gt;64, "Seniors", TRUE, "Working Age")</f>
        <v>Seniors</v>
      </c>
      <c r="J1740" s="6">
        <f>VLOOKUP(F1740,Analysis!$F$1:$G$5,2,FALSE)</f>
        <v>2509.1716796874912</v>
      </c>
      <c r="K1740">
        <f t="shared" si="108"/>
        <v>3464.36</v>
      </c>
      <c r="L1740">
        <f t="shared" si="109"/>
        <v>3464.3700000000003</v>
      </c>
      <c r="M1740">
        <f t="shared" si="110"/>
        <v>3464.36</v>
      </c>
      <c r="N1740" s="5" t="str">
        <f t="shared" si="111"/>
        <v>September 2022</v>
      </c>
    </row>
    <row r="1741" spans="1:14" x14ac:dyDescent="0.25">
      <c r="A1741" s="1">
        <v>44820</v>
      </c>
      <c r="B1741" t="s">
        <v>3769</v>
      </c>
      <c r="C1741">
        <v>4</v>
      </c>
      <c r="D1741" t="s">
        <v>14</v>
      </c>
      <c r="E1741" t="s">
        <v>25</v>
      </c>
      <c r="F1741" t="s">
        <v>23</v>
      </c>
      <c r="G1741" t="s">
        <v>36</v>
      </c>
      <c r="H1741">
        <v>2111.3200000000002</v>
      </c>
      <c r="I1741" s="8" t="str" cm="1">
        <f t="array" ref="I1741">_xlfn.IFS(C1741&lt;=15,"Children and Young Adolescents", C1741&gt;64, "Seniors", TRUE, "Working Age")</f>
        <v>Children and Young Adolescents</v>
      </c>
      <c r="J1741" s="6">
        <f>VLOOKUP(F1741,Analysis!$F$1:$G$5,2,FALSE)</f>
        <v>2440.2966694490838</v>
      </c>
      <c r="K1741">
        <f t="shared" si="108"/>
        <v>2322.4499999999998</v>
      </c>
      <c r="L1741">
        <f t="shared" si="109"/>
        <v>2322.46</v>
      </c>
      <c r="M1741">
        <f t="shared" si="110"/>
        <v>2322.4499999999998</v>
      </c>
      <c r="N1741" s="5" t="str">
        <f t="shared" si="111"/>
        <v>September 2022</v>
      </c>
    </row>
    <row r="1742" spans="1:14" x14ac:dyDescent="0.25">
      <c r="A1742" s="1">
        <v>44820</v>
      </c>
      <c r="B1742" t="s">
        <v>2123</v>
      </c>
      <c r="C1742">
        <v>26</v>
      </c>
      <c r="D1742" t="s">
        <v>21</v>
      </c>
      <c r="E1742" t="s">
        <v>25</v>
      </c>
      <c r="F1742" t="s">
        <v>29</v>
      </c>
      <c r="G1742" t="s">
        <v>27</v>
      </c>
      <c r="H1742">
        <v>918.04</v>
      </c>
      <c r="I1742" s="8" t="str" cm="1">
        <f t="array" ref="I1742">_xlfn.IFS(C1742&lt;=15,"Children and Young Adolescents", C1742&gt;64, "Seniors", TRUE, "Working Age")</f>
        <v>Working Age</v>
      </c>
      <c r="J1742" s="6">
        <f>VLOOKUP(F1742,Analysis!$F$1:$G$5,2,FALSE)</f>
        <v>2496.7676064256989</v>
      </c>
      <c r="K1742">
        <f t="shared" si="108"/>
        <v>1009.84</v>
      </c>
      <c r="L1742">
        <f t="shared" si="109"/>
        <v>1009.85</v>
      </c>
      <c r="M1742">
        <f t="shared" si="110"/>
        <v>1009.84</v>
      </c>
      <c r="N1742" s="5" t="str">
        <f t="shared" si="111"/>
        <v>September 2022</v>
      </c>
    </row>
    <row r="1743" spans="1:14" x14ac:dyDescent="0.25">
      <c r="A1743" s="1">
        <v>44820</v>
      </c>
      <c r="B1743" t="s">
        <v>282</v>
      </c>
      <c r="C1743">
        <v>11</v>
      </c>
      <c r="D1743" t="s">
        <v>9</v>
      </c>
      <c r="E1743" t="s">
        <v>34</v>
      </c>
      <c r="F1743" t="s">
        <v>23</v>
      </c>
      <c r="G1743" t="s">
        <v>27</v>
      </c>
      <c r="H1743">
        <v>3526.41</v>
      </c>
      <c r="I1743" s="8" t="str" cm="1">
        <f t="array" ref="I1743">_xlfn.IFS(C1743&lt;=15,"Children and Young Adolescents", C1743&gt;64, "Seniors", TRUE, "Working Age")</f>
        <v>Children and Young Adolescents</v>
      </c>
      <c r="J1743" s="6">
        <f>VLOOKUP(F1743,Analysis!$F$1:$G$5,2,FALSE)</f>
        <v>2440.2966694490838</v>
      </c>
      <c r="K1743">
        <f t="shared" si="108"/>
        <v>3879.05</v>
      </c>
      <c r="L1743">
        <f t="shared" si="109"/>
        <v>3879.0600000000004</v>
      </c>
      <c r="M1743">
        <f t="shared" si="110"/>
        <v>3879.05</v>
      </c>
      <c r="N1743" s="5" t="str">
        <f t="shared" si="111"/>
        <v>September 2022</v>
      </c>
    </row>
    <row r="1744" spans="1:14" x14ac:dyDescent="0.25">
      <c r="A1744" s="1">
        <v>44820</v>
      </c>
      <c r="B1744" t="s">
        <v>1083</v>
      </c>
      <c r="C1744">
        <v>98</v>
      </c>
      <c r="D1744" t="s">
        <v>14</v>
      </c>
      <c r="E1744" t="s">
        <v>10</v>
      </c>
      <c r="F1744" t="s">
        <v>16</v>
      </c>
      <c r="G1744" t="s">
        <v>12</v>
      </c>
      <c r="H1744">
        <v>2570.5300000000002</v>
      </c>
      <c r="I1744" s="8" t="str" cm="1">
        <f t="array" ref="I1744">_xlfn.IFS(C1744&lt;=15,"Children and Young Adolescents", C1744&gt;64, "Seniors", TRUE, "Working Age")</f>
        <v>Seniors</v>
      </c>
      <c r="J1744" s="6">
        <f>VLOOKUP(F1744,Analysis!$F$1:$G$5,2,FALSE)</f>
        <v>2509.1716796874912</v>
      </c>
      <c r="K1744">
        <f t="shared" si="108"/>
        <v>2827.58</v>
      </c>
      <c r="L1744">
        <f t="shared" si="109"/>
        <v>2827.59</v>
      </c>
      <c r="M1744">
        <f t="shared" si="110"/>
        <v>2827.58</v>
      </c>
      <c r="N1744" s="5" t="str">
        <f t="shared" si="111"/>
        <v>September 2022</v>
      </c>
    </row>
    <row r="1745" spans="1:14" x14ac:dyDescent="0.25">
      <c r="A1745" s="1">
        <v>44820</v>
      </c>
      <c r="B1745" t="s">
        <v>2696</v>
      </c>
      <c r="C1745">
        <v>5</v>
      </c>
      <c r="D1745" t="s">
        <v>14</v>
      </c>
      <c r="E1745" t="s">
        <v>5032</v>
      </c>
      <c r="F1745" t="s">
        <v>11</v>
      </c>
      <c r="G1745" t="s">
        <v>27</v>
      </c>
      <c r="H1745">
        <v>767.5</v>
      </c>
      <c r="I1745" s="8" t="str" cm="1">
        <f t="array" ref="I1745">_xlfn.IFS(C1745&lt;=15,"Children and Young Adolescents", C1745&gt;64, "Seniors", TRUE, "Working Age")</f>
        <v>Children and Young Adolescents</v>
      </c>
      <c r="J1745" s="6">
        <f>VLOOKUP(F1745,Analysis!$F$1:$G$5,2,FALSE)</f>
        <v>2503.6022787783854</v>
      </c>
      <c r="K1745">
        <f t="shared" si="108"/>
        <v>844.25</v>
      </c>
      <c r="L1745">
        <f t="shared" si="109"/>
        <v>844.25</v>
      </c>
      <c r="M1745">
        <f t="shared" si="110"/>
        <v>844.25</v>
      </c>
      <c r="N1745" s="5" t="str">
        <f t="shared" si="111"/>
        <v>September 2022</v>
      </c>
    </row>
    <row r="1746" spans="1:14" x14ac:dyDescent="0.25">
      <c r="A1746" s="1">
        <v>44820</v>
      </c>
      <c r="B1746" t="s">
        <v>2360</v>
      </c>
      <c r="C1746">
        <v>32</v>
      </c>
      <c r="D1746" t="s">
        <v>9</v>
      </c>
      <c r="E1746" t="s">
        <v>19</v>
      </c>
      <c r="F1746" t="s">
        <v>16</v>
      </c>
      <c r="G1746" t="s">
        <v>17</v>
      </c>
      <c r="H1746">
        <v>4799.0600000000004</v>
      </c>
      <c r="I1746" s="8" t="str" cm="1">
        <f t="array" ref="I1746">_xlfn.IFS(C1746&lt;=15,"Children and Young Adolescents", C1746&gt;64, "Seniors", TRUE, "Working Age")</f>
        <v>Working Age</v>
      </c>
      <c r="J1746" s="6">
        <f>VLOOKUP(F1746,Analysis!$F$1:$G$5,2,FALSE)</f>
        <v>2509.1716796874912</v>
      </c>
      <c r="K1746">
        <f t="shared" si="108"/>
        <v>5278.96</v>
      </c>
      <c r="L1746">
        <f t="shared" si="109"/>
        <v>5278.97</v>
      </c>
      <c r="M1746">
        <f t="shared" si="110"/>
        <v>5278.97</v>
      </c>
      <c r="N1746" s="5" t="str">
        <f t="shared" si="111"/>
        <v>September 2022</v>
      </c>
    </row>
    <row r="1747" spans="1:14" x14ac:dyDescent="0.25">
      <c r="A1747" s="1">
        <v>44820</v>
      </c>
      <c r="B1747" t="s">
        <v>3529</v>
      </c>
      <c r="C1747">
        <v>63</v>
      </c>
      <c r="D1747" t="s">
        <v>21</v>
      </c>
      <c r="E1747" t="s">
        <v>10</v>
      </c>
      <c r="F1747" t="s">
        <v>29</v>
      </c>
      <c r="G1747" t="s">
        <v>27</v>
      </c>
      <c r="H1747">
        <v>1423.37</v>
      </c>
      <c r="I1747" s="8" t="str" cm="1">
        <f t="array" ref="I1747">_xlfn.IFS(C1747&lt;=15,"Children and Young Adolescents", C1747&gt;64, "Seniors", TRUE, "Working Age")</f>
        <v>Working Age</v>
      </c>
      <c r="J1747" s="6">
        <f>VLOOKUP(F1747,Analysis!$F$1:$G$5,2,FALSE)</f>
        <v>2496.7676064256989</v>
      </c>
      <c r="K1747">
        <f t="shared" si="108"/>
        <v>1565.7</v>
      </c>
      <c r="L1747">
        <f t="shared" si="109"/>
        <v>1565.71</v>
      </c>
      <c r="M1747">
        <f t="shared" si="110"/>
        <v>1565.71</v>
      </c>
      <c r="N1747" s="5" t="str">
        <f t="shared" si="111"/>
        <v>September 2022</v>
      </c>
    </row>
    <row r="1748" spans="1:14" x14ac:dyDescent="0.25">
      <c r="A1748" s="1">
        <v>44820</v>
      </c>
      <c r="B1748" t="s">
        <v>4245</v>
      </c>
      <c r="C1748">
        <v>14</v>
      </c>
      <c r="D1748" t="s">
        <v>9</v>
      </c>
      <c r="E1748" t="s">
        <v>32</v>
      </c>
      <c r="F1748" t="s">
        <v>11</v>
      </c>
      <c r="G1748" t="s">
        <v>27</v>
      </c>
      <c r="H1748">
        <v>4442.88</v>
      </c>
      <c r="I1748" s="8" t="str" cm="1">
        <f t="array" ref="I1748">_xlfn.IFS(C1748&lt;=15,"Children and Young Adolescents", C1748&gt;64, "Seniors", TRUE, "Working Age")</f>
        <v>Children and Young Adolescents</v>
      </c>
      <c r="J1748" s="6">
        <f>VLOOKUP(F1748,Analysis!$F$1:$G$5,2,FALSE)</f>
        <v>2503.6022787783854</v>
      </c>
      <c r="K1748">
        <f t="shared" si="108"/>
        <v>4887.16</v>
      </c>
      <c r="L1748">
        <f t="shared" si="109"/>
        <v>4887.17</v>
      </c>
      <c r="M1748">
        <f t="shared" si="110"/>
        <v>4887.17</v>
      </c>
      <c r="N1748" s="5" t="str">
        <f t="shared" si="111"/>
        <v>September 2022</v>
      </c>
    </row>
    <row r="1749" spans="1:14" x14ac:dyDescent="0.25">
      <c r="A1749" s="1">
        <v>44821</v>
      </c>
      <c r="B1749" t="s">
        <v>3911</v>
      </c>
      <c r="C1749">
        <v>38</v>
      </c>
      <c r="D1749" t="s">
        <v>9</v>
      </c>
      <c r="E1749" t="s">
        <v>34</v>
      </c>
      <c r="F1749" t="s">
        <v>29</v>
      </c>
      <c r="G1749" t="s">
        <v>27</v>
      </c>
      <c r="H1749">
        <v>4655.07</v>
      </c>
      <c r="I1749" s="8" t="str" cm="1">
        <f t="array" ref="I1749">_xlfn.IFS(C1749&lt;=15,"Children and Young Adolescents", C1749&gt;64, "Seniors", TRUE, "Working Age")</f>
        <v>Working Age</v>
      </c>
      <c r="J1749" s="6">
        <f>VLOOKUP(F1749,Analysis!$F$1:$G$5,2,FALSE)</f>
        <v>2496.7676064256989</v>
      </c>
      <c r="K1749">
        <f t="shared" si="108"/>
        <v>5120.57</v>
      </c>
      <c r="L1749">
        <f t="shared" si="109"/>
        <v>5120.58</v>
      </c>
      <c r="M1749">
        <f t="shared" si="110"/>
        <v>5120.58</v>
      </c>
      <c r="N1749" s="5" t="str">
        <f t="shared" si="111"/>
        <v>September 2022</v>
      </c>
    </row>
    <row r="1750" spans="1:14" x14ac:dyDescent="0.25">
      <c r="A1750" s="1">
        <v>44821</v>
      </c>
      <c r="B1750" t="s">
        <v>4872</v>
      </c>
      <c r="C1750">
        <v>35</v>
      </c>
      <c r="D1750" t="s">
        <v>21</v>
      </c>
      <c r="E1750" t="s">
        <v>10</v>
      </c>
      <c r="F1750" t="s">
        <v>11</v>
      </c>
      <c r="G1750" t="s">
        <v>36</v>
      </c>
      <c r="H1750">
        <v>1251.46</v>
      </c>
      <c r="I1750" s="8" t="str" cm="1">
        <f t="array" ref="I1750">_xlfn.IFS(C1750&lt;=15,"Children and Young Adolescents", C1750&gt;64, "Seniors", TRUE, "Working Age")</f>
        <v>Working Age</v>
      </c>
      <c r="J1750" s="6">
        <f>VLOOKUP(F1750,Analysis!$F$1:$G$5,2,FALSE)</f>
        <v>2503.6022787783854</v>
      </c>
      <c r="K1750">
        <f t="shared" si="108"/>
        <v>1376.6</v>
      </c>
      <c r="L1750">
        <f t="shared" si="109"/>
        <v>1376.61</v>
      </c>
      <c r="M1750">
        <f t="shared" si="110"/>
        <v>1376.61</v>
      </c>
      <c r="N1750" s="5" t="str">
        <f t="shared" si="111"/>
        <v>September 2022</v>
      </c>
    </row>
    <row r="1751" spans="1:14" x14ac:dyDescent="0.25">
      <c r="A1751" s="1">
        <v>44821</v>
      </c>
      <c r="B1751" t="s">
        <v>4929</v>
      </c>
      <c r="C1751">
        <v>30</v>
      </c>
      <c r="D1751" t="s">
        <v>21</v>
      </c>
      <c r="E1751" t="s">
        <v>10</v>
      </c>
      <c r="F1751" t="s">
        <v>11</v>
      </c>
      <c r="G1751" t="s">
        <v>5033</v>
      </c>
      <c r="H1751">
        <v>425.62</v>
      </c>
      <c r="I1751" s="8" t="str" cm="1">
        <f t="array" ref="I1751">_xlfn.IFS(C1751&lt;=15,"Children and Young Adolescents", C1751&gt;64, "Seniors", TRUE, "Working Age")</f>
        <v>Working Age</v>
      </c>
      <c r="J1751" s="6">
        <f>VLOOKUP(F1751,Analysis!$F$1:$G$5,2,FALSE)</f>
        <v>2503.6022787783854</v>
      </c>
      <c r="K1751">
        <f t="shared" si="108"/>
        <v>468.18</v>
      </c>
      <c r="L1751">
        <f t="shared" si="109"/>
        <v>468.19</v>
      </c>
      <c r="M1751">
        <f t="shared" si="110"/>
        <v>468.18</v>
      </c>
      <c r="N1751" s="5" t="str">
        <f t="shared" si="111"/>
        <v>September 2022</v>
      </c>
    </row>
    <row r="1752" spans="1:14" x14ac:dyDescent="0.25">
      <c r="A1752" s="1">
        <v>44821</v>
      </c>
      <c r="B1752" t="s">
        <v>2797</v>
      </c>
      <c r="C1752">
        <v>47</v>
      </c>
      <c r="D1752" t="s">
        <v>21</v>
      </c>
      <c r="E1752" t="s">
        <v>10</v>
      </c>
      <c r="F1752" t="s">
        <v>11</v>
      </c>
      <c r="G1752" t="s">
        <v>27</v>
      </c>
      <c r="H1752">
        <v>183.03</v>
      </c>
      <c r="I1752" s="8" t="str" cm="1">
        <f t="array" ref="I1752">_xlfn.IFS(C1752&lt;=15,"Children and Young Adolescents", C1752&gt;64, "Seniors", TRUE, "Working Age")</f>
        <v>Working Age</v>
      </c>
      <c r="J1752" s="6">
        <f>VLOOKUP(F1752,Analysis!$F$1:$G$5,2,FALSE)</f>
        <v>2503.6022787783854</v>
      </c>
      <c r="K1752">
        <f t="shared" si="108"/>
        <v>201.33</v>
      </c>
      <c r="L1752">
        <f t="shared" si="109"/>
        <v>201.34</v>
      </c>
      <c r="M1752">
        <f t="shared" si="110"/>
        <v>201.33</v>
      </c>
      <c r="N1752" s="5" t="str">
        <f t="shared" si="111"/>
        <v>September 2022</v>
      </c>
    </row>
    <row r="1753" spans="1:14" x14ac:dyDescent="0.25">
      <c r="A1753" s="1">
        <v>44821</v>
      </c>
      <c r="B1753" t="s">
        <v>3361</v>
      </c>
      <c r="C1753">
        <v>30</v>
      </c>
      <c r="D1753" t="s">
        <v>9</v>
      </c>
      <c r="E1753" t="s">
        <v>34</v>
      </c>
      <c r="F1753" t="s">
        <v>16</v>
      </c>
      <c r="G1753" t="s">
        <v>27</v>
      </c>
      <c r="H1753">
        <v>2861.15</v>
      </c>
      <c r="I1753" s="8" t="str" cm="1">
        <f t="array" ref="I1753">_xlfn.IFS(C1753&lt;=15,"Children and Young Adolescents", C1753&gt;64, "Seniors", TRUE, "Working Age")</f>
        <v>Working Age</v>
      </c>
      <c r="J1753" s="6">
        <f>VLOOKUP(F1753,Analysis!$F$1:$G$5,2,FALSE)</f>
        <v>2509.1716796874912</v>
      </c>
      <c r="K1753">
        <f t="shared" si="108"/>
        <v>3147.26</v>
      </c>
      <c r="L1753">
        <f t="shared" si="109"/>
        <v>3147.2700000000004</v>
      </c>
      <c r="M1753">
        <f t="shared" si="110"/>
        <v>3147.27</v>
      </c>
      <c r="N1753" s="5" t="str">
        <f t="shared" si="111"/>
        <v>September 2022</v>
      </c>
    </row>
    <row r="1754" spans="1:14" x14ac:dyDescent="0.25">
      <c r="A1754" s="1">
        <v>44822</v>
      </c>
      <c r="B1754" t="s">
        <v>2690</v>
      </c>
      <c r="C1754">
        <v>57</v>
      </c>
      <c r="D1754" t="s">
        <v>14</v>
      </c>
      <c r="E1754" t="s">
        <v>34</v>
      </c>
      <c r="F1754" t="s">
        <v>16</v>
      </c>
      <c r="G1754" t="s">
        <v>39</v>
      </c>
      <c r="H1754">
        <v>2316.61</v>
      </c>
      <c r="I1754" s="8" t="str" cm="1">
        <f t="array" ref="I1754">_xlfn.IFS(C1754&lt;=15,"Children and Young Adolescents", C1754&gt;64, "Seniors", TRUE, "Working Age")</f>
        <v>Working Age</v>
      </c>
      <c r="J1754" s="6">
        <f>VLOOKUP(F1754,Analysis!$F$1:$G$5,2,FALSE)</f>
        <v>2509.1716796874912</v>
      </c>
      <c r="K1754">
        <f t="shared" si="108"/>
        <v>2548.27</v>
      </c>
      <c r="L1754">
        <f t="shared" si="109"/>
        <v>2548.2800000000002</v>
      </c>
      <c r="M1754">
        <f t="shared" si="110"/>
        <v>2548.27</v>
      </c>
      <c r="N1754" s="5" t="str">
        <f t="shared" si="111"/>
        <v>September 2022</v>
      </c>
    </row>
    <row r="1755" spans="1:14" x14ac:dyDescent="0.25">
      <c r="A1755" s="1">
        <v>44822</v>
      </c>
      <c r="B1755" t="s">
        <v>920</v>
      </c>
      <c r="C1755">
        <v>56</v>
      </c>
      <c r="D1755" t="s">
        <v>9</v>
      </c>
      <c r="E1755" t="s">
        <v>34</v>
      </c>
      <c r="F1755" t="s">
        <v>16</v>
      </c>
      <c r="G1755" t="s">
        <v>36</v>
      </c>
      <c r="H1755">
        <v>4874.1000000000004</v>
      </c>
      <c r="I1755" s="8" t="str" cm="1">
        <f t="array" ref="I1755">_xlfn.IFS(C1755&lt;=15,"Children and Young Adolescents", C1755&gt;64, "Seniors", TRUE, "Working Age")</f>
        <v>Working Age</v>
      </c>
      <c r="J1755" s="6">
        <f>VLOOKUP(F1755,Analysis!$F$1:$G$5,2,FALSE)</f>
        <v>2509.1716796874912</v>
      </c>
      <c r="K1755">
        <f t="shared" si="108"/>
        <v>5361.51</v>
      </c>
      <c r="L1755">
        <f t="shared" si="109"/>
        <v>5361.51</v>
      </c>
      <c r="M1755">
        <f t="shared" si="110"/>
        <v>5361.51</v>
      </c>
      <c r="N1755" s="5" t="str">
        <f t="shared" si="111"/>
        <v>September 2022</v>
      </c>
    </row>
    <row r="1756" spans="1:14" x14ac:dyDescent="0.25">
      <c r="A1756" s="1">
        <v>44822</v>
      </c>
      <c r="B1756" t="s">
        <v>1752</v>
      </c>
      <c r="C1756">
        <v>12</v>
      </c>
      <c r="D1756" t="s">
        <v>14</v>
      </c>
      <c r="E1756" t="s">
        <v>10</v>
      </c>
      <c r="F1756" t="s">
        <v>29</v>
      </c>
      <c r="G1756" t="s">
        <v>12</v>
      </c>
      <c r="H1756">
        <v>3933.33</v>
      </c>
      <c r="I1756" s="8" t="str" cm="1">
        <f t="array" ref="I1756">_xlfn.IFS(C1756&lt;=15,"Children and Young Adolescents", C1756&gt;64, "Seniors", TRUE, "Working Age")</f>
        <v>Children and Young Adolescents</v>
      </c>
      <c r="J1756" s="6">
        <f>VLOOKUP(F1756,Analysis!$F$1:$G$5,2,FALSE)</f>
        <v>2496.7676064256989</v>
      </c>
      <c r="K1756">
        <f t="shared" si="108"/>
        <v>4326.66</v>
      </c>
      <c r="L1756">
        <f t="shared" si="109"/>
        <v>4326.67</v>
      </c>
      <c r="M1756">
        <f t="shared" si="110"/>
        <v>4326.66</v>
      </c>
      <c r="N1756" s="5" t="str">
        <f t="shared" si="111"/>
        <v>September 2022</v>
      </c>
    </row>
    <row r="1757" spans="1:14" x14ac:dyDescent="0.25">
      <c r="A1757" s="1">
        <v>44822</v>
      </c>
      <c r="B1757" t="s">
        <v>3007</v>
      </c>
      <c r="C1757">
        <v>97</v>
      </c>
      <c r="D1757" t="s">
        <v>21</v>
      </c>
      <c r="E1757" t="s">
        <v>5032</v>
      </c>
      <c r="F1757" t="s">
        <v>16</v>
      </c>
      <c r="G1757" t="s">
        <v>12</v>
      </c>
      <c r="H1757">
        <v>4145.25</v>
      </c>
      <c r="I1757" s="8" t="str" cm="1">
        <f t="array" ref="I1757">_xlfn.IFS(C1757&lt;=15,"Children and Young Adolescents", C1757&gt;64, "Seniors", TRUE, "Working Age")</f>
        <v>Seniors</v>
      </c>
      <c r="J1757" s="6">
        <f>VLOOKUP(F1757,Analysis!$F$1:$G$5,2,FALSE)</f>
        <v>2509.1716796874912</v>
      </c>
      <c r="K1757">
        <f t="shared" si="108"/>
        <v>4559.7700000000004</v>
      </c>
      <c r="L1757">
        <f t="shared" si="109"/>
        <v>4559.7800000000007</v>
      </c>
      <c r="M1757">
        <f t="shared" si="110"/>
        <v>4559.78</v>
      </c>
      <c r="N1757" s="5" t="str">
        <f t="shared" si="111"/>
        <v>September 2022</v>
      </c>
    </row>
    <row r="1758" spans="1:14" x14ac:dyDescent="0.25">
      <c r="A1758" s="1">
        <v>44822</v>
      </c>
      <c r="B1758" t="s">
        <v>1344</v>
      </c>
      <c r="C1758">
        <v>18</v>
      </c>
      <c r="D1758" t="s">
        <v>14</v>
      </c>
      <c r="E1758" t="s">
        <v>5032</v>
      </c>
      <c r="F1758" t="s">
        <v>23</v>
      </c>
      <c r="G1758" t="s">
        <v>39</v>
      </c>
      <c r="H1758">
        <v>3813.25</v>
      </c>
      <c r="I1758" s="8" t="str" cm="1">
        <f t="array" ref="I1758">_xlfn.IFS(C1758&lt;=15,"Children and Young Adolescents", C1758&gt;64, "Seniors", TRUE, "Working Age")</f>
        <v>Working Age</v>
      </c>
      <c r="J1758" s="6">
        <f>VLOOKUP(F1758,Analysis!$F$1:$G$5,2,FALSE)</f>
        <v>2440.2966694490838</v>
      </c>
      <c r="K1758">
        <f t="shared" si="108"/>
        <v>4194.57</v>
      </c>
      <c r="L1758">
        <f t="shared" si="109"/>
        <v>4194.58</v>
      </c>
      <c r="M1758">
        <f t="shared" si="110"/>
        <v>4194.58</v>
      </c>
      <c r="N1758" s="5" t="str">
        <f t="shared" si="111"/>
        <v>September 2022</v>
      </c>
    </row>
    <row r="1759" spans="1:14" x14ac:dyDescent="0.25">
      <c r="A1759" s="1">
        <v>44822</v>
      </c>
      <c r="B1759" t="s">
        <v>518</v>
      </c>
      <c r="C1759">
        <v>14</v>
      </c>
      <c r="D1759" t="s">
        <v>9</v>
      </c>
      <c r="E1759" t="s">
        <v>34</v>
      </c>
      <c r="F1759" t="s">
        <v>11</v>
      </c>
      <c r="G1759" t="s">
        <v>17</v>
      </c>
      <c r="H1759">
        <v>2038.9</v>
      </c>
      <c r="I1759" s="8" t="str" cm="1">
        <f t="array" ref="I1759">_xlfn.IFS(C1759&lt;=15,"Children and Young Adolescents", C1759&gt;64, "Seniors", TRUE, "Working Age")</f>
        <v>Children and Young Adolescents</v>
      </c>
      <c r="J1759" s="6">
        <f>VLOOKUP(F1759,Analysis!$F$1:$G$5,2,FALSE)</f>
        <v>2503.6022787783854</v>
      </c>
      <c r="K1759">
        <f t="shared" si="108"/>
        <v>2242.79</v>
      </c>
      <c r="L1759">
        <f t="shared" si="109"/>
        <v>2242.79</v>
      </c>
      <c r="M1759">
        <f t="shared" si="110"/>
        <v>2242.79</v>
      </c>
      <c r="N1759" s="5" t="str">
        <f t="shared" si="111"/>
        <v>September 2022</v>
      </c>
    </row>
    <row r="1760" spans="1:14" x14ac:dyDescent="0.25">
      <c r="A1760" s="1">
        <v>44822</v>
      </c>
      <c r="B1760" t="s">
        <v>3403</v>
      </c>
      <c r="C1760">
        <v>74</v>
      </c>
      <c r="D1760" t="s">
        <v>9</v>
      </c>
      <c r="E1760" t="s">
        <v>25</v>
      </c>
      <c r="F1760" t="s">
        <v>11</v>
      </c>
      <c r="G1760" t="s">
        <v>17</v>
      </c>
      <c r="H1760">
        <v>4379.3</v>
      </c>
      <c r="I1760" s="8" t="str" cm="1">
        <f t="array" ref="I1760">_xlfn.IFS(C1760&lt;=15,"Children and Young Adolescents", C1760&gt;64, "Seniors", TRUE, "Working Age")</f>
        <v>Seniors</v>
      </c>
      <c r="J1760" s="6">
        <f>VLOOKUP(F1760,Analysis!$F$1:$G$5,2,FALSE)</f>
        <v>2503.6022787783854</v>
      </c>
      <c r="K1760">
        <f t="shared" si="108"/>
        <v>4817.2299999999996</v>
      </c>
      <c r="L1760">
        <f t="shared" si="109"/>
        <v>4817.2299999999996</v>
      </c>
      <c r="M1760">
        <f t="shared" si="110"/>
        <v>4817.2299999999996</v>
      </c>
      <c r="N1760" s="5" t="str">
        <f t="shared" si="111"/>
        <v>September 2022</v>
      </c>
    </row>
    <row r="1761" spans="1:14" x14ac:dyDescent="0.25">
      <c r="A1761" s="1">
        <v>44823</v>
      </c>
      <c r="B1761" t="s">
        <v>1401</v>
      </c>
      <c r="C1761">
        <v>40</v>
      </c>
      <c r="D1761" t="s">
        <v>9</v>
      </c>
      <c r="E1761" t="s">
        <v>10</v>
      </c>
      <c r="F1761" t="s">
        <v>23</v>
      </c>
      <c r="G1761" t="s">
        <v>36</v>
      </c>
      <c r="H1761">
        <v>1876.17</v>
      </c>
      <c r="I1761" s="8" t="str" cm="1">
        <f t="array" ref="I1761">_xlfn.IFS(C1761&lt;=15,"Children and Young Adolescents", C1761&gt;64, "Seniors", TRUE, "Working Age")</f>
        <v>Working Age</v>
      </c>
      <c r="J1761" s="6">
        <f>VLOOKUP(F1761,Analysis!$F$1:$G$5,2,FALSE)</f>
        <v>2440.2966694490838</v>
      </c>
      <c r="K1761">
        <f t="shared" si="108"/>
        <v>2063.7800000000002</v>
      </c>
      <c r="L1761">
        <f t="shared" si="109"/>
        <v>2063.7900000000004</v>
      </c>
      <c r="M1761">
        <f t="shared" si="110"/>
        <v>2063.79</v>
      </c>
      <c r="N1761" s="5" t="str">
        <f t="shared" si="111"/>
        <v>September 2022</v>
      </c>
    </row>
    <row r="1762" spans="1:14" x14ac:dyDescent="0.25">
      <c r="A1762" s="1">
        <v>44823</v>
      </c>
      <c r="B1762" t="s">
        <v>1625</v>
      </c>
      <c r="C1762">
        <v>50</v>
      </c>
      <c r="D1762" t="s">
        <v>9</v>
      </c>
      <c r="E1762" t="s">
        <v>32</v>
      </c>
      <c r="F1762" t="s">
        <v>23</v>
      </c>
      <c r="G1762" t="s">
        <v>17</v>
      </c>
      <c r="H1762">
        <v>1090.81</v>
      </c>
      <c r="I1762" s="8" t="str" cm="1">
        <f t="array" ref="I1762">_xlfn.IFS(C1762&lt;=15,"Children and Young Adolescents", C1762&gt;64, "Seniors", TRUE, "Working Age")</f>
        <v>Working Age</v>
      </c>
      <c r="J1762" s="6">
        <f>VLOOKUP(F1762,Analysis!$F$1:$G$5,2,FALSE)</f>
        <v>2440.2966694490838</v>
      </c>
      <c r="K1762">
        <f t="shared" si="108"/>
        <v>1199.8900000000001</v>
      </c>
      <c r="L1762">
        <f t="shared" si="109"/>
        <v>1199.9000000000001</v>
      </c>
      <c r="M1762">
        <f t="shared" si="110"/>
        <v>1199.8900000000001</v>
      </c>
      <c r="N1762" s="5" t="str">
        <f t="shared" si="111"/>
        <v>September 2022</v>
      </c>
    </row>
    <row r="1763" spans="1:14" x14ac:dyDescent="0.25">
      <c r="A1763" s="1">
        <v>44823</v>
      </c>
      <c r="B1763" t="s">
        <v>2021</v>
      </c>
      <c r="C1763">
        <v>46</v>
      </c>
      <c r="D1763" t="s">
        <v>21</v>
      </c>
      <c r="E1763" t="s">
        <v>19</v>
      </c>
      <c r="F1763" t="s">
        <v>23</v>
      </c>
      <c r="G1763" t="s">
        <v>39</v>
      </c>
      <c r="H1763">
        <v>4428.6000000000004</v>
      </c>
      <c r="I1763" s="8" t="str" cm="1">
        <f t="array" ref="I1763">_xlfn.IFS(C1763&lt;=15,"Children and Young Adolescents", C1763&gt;64, "Seniors", TRUE, "Working Age")</f>
        <v>Working Age</v>
      </c>
      <c r="J1763" s="6">
        <f>VLOOKUP(F1763,Analysis!$F$1:$G$5,2,FALSE)</f>
        <v>2440.2966694490838</v>
      </c>
      <c r="K1763">
        <f t="shared" si="108"/>
        <v>4871.46</v>
      </c>
      <c r="L1763">
        <f t="shared" si="109"/>
        <v>4871.46</v>
      </c>
      <c r="M1763">
        <f t="shared" si="110"/>
        <v>4871.46</v>
      </c>
      <c r="N1763" s="5" t="str">
        <f t="shared" si="111"/>
        <v>September 2022</v>
      </c>
    </row>
    <row r="1764" spans="1:14" x14ac:dyDescent="0.25">
      <c r="A1764" s="1">
        <v>44823</v>
      </c>
      <c r="B1764" t="s">
        <v>3082</v>
      </c>
      <c r="C1764">
        <v>10</v>
      </c>
      <c r="D1764" t="s">
        <v>9</v>
      </c>
      <c r="E1764" t="s">
        <v>10</v>
      </c>
      <c r="F1764" t="s">
        <v>16</v>
      </c>
      <c r="G1764" t="s">
        <v>17</v>
      </c>
      <c r="H1764">
        <v>1201.92</v>
      </c>
      <c r="I1764" s="8" t="str" cm="1">
        <f t="array" ref="I1764">_xlfn.IFS(C1764&lt;=15,"Children and Young Adolescents", C1764&gt;64, "Seniors", TRUE, "Working Age")</f>
        <v>Children and Young Adolescents</v>
      </c>
      <c r="J1764" s="6">
        <f>VLOOKUP(F1764,Analysis!$F$1:$G$5,2,FALSE)</f>
        <v>2509.1716796874912</v>
      </c>
      <c r="K1764">
        <f t="shared" si="108"/>
        <v>1322.11</v>
      </c>
      <c r="L1764">
        <f t="shared" si="109"/>
        <v>1322.12</v>
      </c>
      <c r="M1764">
        <f t="shared" si="110"/>
        <v>1322.11</v>
      </c>
      <c r="N1764" s="5" t="str">
        <f t="shared" si="111"/>
        <v>September 2022</v>
      </c>
    </row>
    <row r="1765" spans="1:14" x14ac:dyDescent="0.25">
      <c r="A1765" s="1">
        <v>44823</v>
      </c>
      <c r="B1765" t="s">
        <v>4226</v>
      </c>
      <c r="C1765">
        <v>36</v>
      </c>
      <c r="D1765" t="s">
        <v>21</v>
      </c>
      <c r="E1765" t="s">
        <v>32</v>
      </c>
      <c r="F1765" t="s">
        <v>16</v>
      </c>
      <c r="G1765" t="s">
        <v>36</v>
      </c>
      <c r="H1765">
        <v>3375.08</v>
      </c>
      <c r="I1765" s="8" t="str" cm="1">
        <f t="array" ref="I1765">_xlfn.IFS(C1765&lt;=15,"Children and Young Adolescents", C1765&gt;64, "Seniors", TRUE, "Working Age")</f>
        <v>Working Age</v>
      </c>
      <c r="J1765" s="6">
        <f>VLOOKUP(F1765,Analysis!$F$1:$G$5,2,FALSE)</f>
        <v>2509.1716796874912</v>
      </c>
      <c r="K1765">
        <f t="shared" si="108"/>
        <v>3712.58</v>
      </c>
      <c r="L1765">
        <f t="shared" si="109"/>
        <v>3712.59</v>
      </c>
      <c r="M1765">
        <f t="shared" si="110"/>
        <v>3712.59</v>
      </c>
      <c r="N1765" s="5" t="str">
        <f t="shared" si="111"/>
        <v>September 2022</v>
      </c>
    </row>
    <row r="1766" spans="1:14" x14ac:dyDescent="0.25">
      <c r="A1766" s="1">
        <v>44823</v>
      </c>
      <c r="B1766" t="s">
        <v>1267</v>
      </c>
      <c r="C1766">
        <v>98</v>
      </c>
      <c r="D1766" t="s">
        <v>9</v>
      </c>
      <c r="E1766" t="s">
        <v>1268</v>
      </c>
      <c r="F1766" t="s">
        <v>16</v>
      </c>
      <c r="G1766" t="s">
        <v>17</v>
      </c>
      <c r="H1766">
        <v>91.81</v>
      </c>
      <c r="I1766" s="8" t="str" cm="1">
        <f t="array" ref="I1766">_xlfn.IFS(C1766&lt;=15,"Children and Young Adolescents", C1766&gt;64, "Seniors", TRUE, "Working Age")</f>
        <v>Seniors</v>
      </c>
      <c r="J1766" s="6">
        <f>VLOOKUP(F1766,Analysis!$F$1:$G$5,2,FALSE)</f>
        <v>2509.1716796874912</v>
      </c>
      <c r="K1766">
        <f t="shared" si="108"/>
        <v>100.99</v>
      </c>
      <c r="L1766">
        <f t="shared" si="109"/>
        <v>101</v>
      </c>
      <c r="M1766">
        <f t="shared" si="110"/>
        <v>100.99</v>
      </c>
      <c r="N1766" s="5" t="str">
        <f t="shared" si="111"/>
        <v>September 2022</v>
      </c>
    </row>
    <row r="1767" spans="1:14" x14ac:dyDescent="0.25">
      <c r="A1767" s="1">
        <v>44823</v>
      </c>
      <c r="B1767" t="s">
        <v>2977</v>
      </c>
      <c r="C1767">
        <v>95</v>
      </c>
      <c r="D1767" t="s">
        <v>14</v>
      </c>
      <c r="E1767" t="s">
        <v>10</v>
      </c>
      <c r="F1767" t="s">
        <v>16</v>
      </c>
      <c r="G1767" t="s">
        <v>39</v>
      </c>
      <c r="H1767">
        <v>3015.03</v>
      </c>
      <c r="I1767" s="8" t="str" cm="1">
        <f t="array" ref="I1767">_xlfn.IFS(C1767&lt;=15,"Children and Young Adolescents", C1767&gt;64, "Seniors", TRUE, "Working Age")</f>
        <v>Seniors</v>
      </c>
      <c r="J1767" s="6">
        <f>VLOOKUP(F1767,Analysis!$F$1:$G$5,2,FALSE)</f>
        <v>2509.1716796874912</v>
      </c>
      <c r="K1767">
        <f t="shared" si="108"/>
        <v>3316.53</v>
      </c>
      <c r="L1767">
        <f t="shared" si="109"/>
        <v>3316.5400000000004</v>
      </c>
      <c r="M1767">
        <f t="shared" si="110"/>
        <v>3316.53</v>
      </c>
      <c r="N1767" s="5" t="str">
        <f t="shared" si="111"/>
        <v>September 2022</v>
      </c>
    </row>
    <row r="1768" spans="1:14" x14ac:dyDescent="0.25">
      <c r="A1768" s="1">
        <v>44823</v>
      </c>
      <c r="B1768" t="s">
        <v>267</v>
      </c>
      <c r="C1768">
        <v>90</v>
      </c>
      <c r="D1768" t="s">
        <v>14</v>
      </c>
      <c r="E1768" t="s">
        <v>22</v>
      </c>
      <c r="F1768" t="s">
        <v>29</v>
      </c>
      <c r="G1768" t="s">
        <v>39</v>
      </c>
      <c r="H1768">
        <v>2156.1999999999998</v>
      </c>
      <c r="I1768" s="8" t="str" cm="1">
        <f t="array" ref="I1768">_xlfn.IFS(C1768&lt;=15,"Children and Young Adolescents", C1768&gt;64, "Seniors", TRUE, "Working Age")</f>
        <v>Seniors</v>
      </c>
      <c r="J1768" s="6">
        <f>VLOOKUP(F1768,Analysis!$F$1:$G$5,2,FALSE)</f>
        <v>2496.7676064256989</v>
      </c>
      <c r="K1768">
        <f t="shared" si="108"/>
        <v>2371.8200000000002</v>
      </c>
      <c r="L1768">
        <f t="shared" si="109"/>
        <v>2371.8200000000002</v>
      </c>
      <c r="M1768">
        <f t="shared" si="110"/>
        <v>2371.8200000000002</v>
      </c>
      <c r="N1768" s="5" t="str">
        <f t="shared" si="111"/>
        <v>September 2022</v>
      </c>
    </row>
    <row r="1769" spans="1:14" x14ac:dyDescent="0.25">
      <c r="A1769" s="1">
        <v>44823</v>
      </c>
      <c r="B1769" t="s">
        <v>4272</v>
      </c>
      <c r="C1769">
        <v>2</v>
      </c>
      <c r="D1769" t="s">
        <v>9</v>
      </c>
      <c r="E1769" t="s">
        <v>19</v>
      </c>
      <c r="F1769" t="s">
        <v>16</v>
      </c>
      <c r="G1769" t="s">
        <v>12</v>
      </c>
      <c r="H1769">
        <v>3554.41</v>
      </c>
      <c r="I1769" s="8" t="str" cm="1">
        <f t="array" ref="I1769">_xlfn.IFS(C1769&lt;=15,"Children and Young Adolescents", C1769&gt;64, "Seniors", TRUE, "Working Age")</f>
        <v>Children and Young Adolescents</v>
      </c>
      <c r="J1769" s="6">
        <f>VLOOKUP(F1769,Analysis!$F$1:$G$5,2,FALSE)</f>
        <v>2509.1716796874912</v>
      </c>
      <c r="K1769">
        <f t="shared" si="108"/>
        <v>3909.85</v>
      </c>
      <c r="L1769">
        <f t="shared" si="109"/>
        <v>3909.86</v>
      </c>
      <c r="M1769">
        <f t="shared" si="110"/>
        <v>3909.85</v>
      </c>
      <c r="N1769" s="5" t="str">
        <f t="shared" si="111"/>
        <v>September 2022</v>
      </c>
    </row>
    <row r="1770" spans="1:14" x14ac:dyDescent="0.25">
      <c r="A1770" s="1">
        <v>44823</v>
      </c>
      <c r="B1770" t="s">
        <v>4124</v>
      </c>
      <c r="C1770">
        <v>72</v>
      </c>
      <c r="D1770" t="s">
        <v>14</v>
      </c>
      <c r="E1770" t="s">
        <v>15</v>
      </c>
      <c r="F1770" t="s">
        <v>16</v>
      </c>
      <c r="G1770" t="s">
        <v>12</v>
      </c>
      <c r="H1770">
        <v>3765.2</v>
      </c>
      <c r="I1770" s="8" t="str" cm="1">
        <f t="array" ref="I1770">_xlfn.IFS(C1770&lt;=15,"Children and Young Adolescents", C1770&gt;64, "Seniors", TRUE, "Working Age")</f>
        <v>Seniors</v>
      </c>
      <c r="J1770" s="6">
        <f>VLOOKUP(F1770,Analysis!$F$1:$G$5,2,FALSE)</f>
        <v>2509.1716796874912</v>
      </c>
      <c r="K1770">
        <f t="shared" si="108"/>
        <v>4141.72</v>
      </c>
      <c r="L1770">
        <f t="shared" si="109"/>
        <v>4141.72</v>
      </c>
      <c r="M1770">
        <f t="shared" si="110"/>
        <v>4141.72</v>
      </c>
      <c r="N1770" s="5" t="str">
        <f t="shared" si="111"/>
        <v>September 2022</v>
      </c>
    </row>
    <row r="1771" spans="1:14" x14ac:dyDescent="0.25">
      <c r="A1771" s="1">
        <v>44823</v>
      </c>
      <c r="B1771" t="s">
        <v>4889</v>
      </c>
      <c r="C1771">
        <v>46</v>
      </c>
      <c r="D1771" t="s">
        <v>21</v>
      </c>
      <c r="E1771" t="s">
        <v>25</v>
      </c>
      <c r="F1771" t="s">
        <v>23</v>
      </c>
      <c r="G1771" t="s">
        <v>12</v>
      </c>
      <c r="H1771">
        <v>1559.67</v>
      </c>
      <c r="I1771" s="8" t="str" cm="1">
        <f t="array" ref="I1771">_xlfn.IFS(C1771&lt;=15,"Children and Young Adolescents", C1771&gt;64, "Seniors", TRUE, "Working Age")</f>
        <v>Working Age</v>
      </c>
      <c r="J1771" s="6">
        <f>VLOOKUP(F1771,Analysis!$F$1:$G$5,2,FALSE)</f>
        <v>2440.2966694490838</v>
      </c>
      <c r="K1771">
        <f t="shared" si="108"/>
        <v>1715.63</v>
      </c>
      <c r="L1771">
        <f t="shared" si="109"/>
        <v>1715.64</v>
      </c>
      <c r="M1771">
        <f t="shared" si="110"/>
        <v>1715.64</v>
      </c>
      <c r="N1771" s="5" t="str">
        <f t="shared" si="111"/>
        <v>September 2022</v>
      </c>
    </row>
    <row r="1772" spans="1:14" x14ac:dyDescent="0.25">
      <c r="A1772" s="1">
        <v>44824</v>
      </c>
      <c r="B1772" t="s">
        <v>4225</v>
      </c>
      <c r="C1772">
        <v>95</v>
      </c>
      <c r="D1772" t="s">
        <v>9</v>
      </c>
      <c r="E1772" t="s">
        <v>10</v>
      </c>
      <c r="F1772" t="s">
        <v>29</v>
      </c>
      <c r="G1772" t="s">
        <v>36</v>
      </c>
      <c r="H1772">
        <v>2406.75</v>
      </c>
      <c r="I1772" s="8" t="str" cm="1">
        <f t="array" ref="I1772">_xlfn.IFS(C1772&lt;=15,"Children and Young Adolescents", C1772&gt;64, "Seniors", TRUE, "Working Age")</f>
        <v>Seniors</v>
      </c>
      <c r="J1772" s="6">
        <f>VLOOKUP(F1772,Analysis!$F$1:$G$5,2,FALSE)</f>
        <v>2496.7676064256989</v>
      </c>
      <c r="K1772">
        <f t="shared" si="108"/>
        <v>2647.42</v>
      </c>
      <c r="L1772">
        <f t="shared" si="109"/>
        <v>2647.4300000000003</v>
      </c>
      <c r="M1772">
        <f t="shared" si="110"/>
        <v>2647.43</v>
      </c>
      <c r="N1772" s="5" t="str">
        <f t="shared" si="111"/>
        <v>September 2022</v>
      </c>
    </row>
    <row r="1773" spans="1:14" x14ac:dyDescent="0.25">
      <c r="A1773" s="1">
        <v>44824</v>
      </c>
      <c r="B1773" t="s">
        <v>3268</v>
      </c>
      <c r="C1773">
        <v>81</v>
      </c>
      <c r="D1773" t="s">
        <v>9</v>
      </c>
      <c r="E1773" t="s">
        <v>5032</v>
      </c>
      <c r="F1773" t="s">
        <v>16</v>
      </c>
      <c r="G1773" t="s">
        <v>27</v>
      </c>
      <c r="H1773">
        <v>2134.44</v>
      </c>
      <c r="I1773" s="8" t="str" cm="1">
        <f t="array" ref="I1773">_xlfn.IFS(C1773&lt;=15,"Children and Young Adolescents", C1773&gt;64, "Seniors", TRUE, "Working Age")</f>
        <v>Seniors</v>
      </c>
      <c r="J1773" s="6">
        <f>VLOOKUP(F1773,Analysis!$F$1:$G$5,2,FALSE)</f>
        <v>2509.1716796874912</v>
      </c>
      <c r="K1773">
        <f t="shared" si="108"/>
        <v>2347.88</v>
      </c>
      <c r="L1773">
        <f t="shared" si="109"/>
        <v>2347.8900000000003</v>
      </c>
      <c r="M1773">
        <f t="shared" si="110"/>
        <v>2347.88</v>
      </c>
      <c r="N1773" s="5" t="str">
        <f t="shared" si="111"/>
        <v>September 2022</v>
      </c>
    </row>
    <row r="1774" spans="1:14" x14ac:dyDescent="0.25">
      <c r="A1774" s="1">
        <v>44824</v>
      </c>
      <c r="B1774" t="s">
        <v>4047</v>
      </c>
      <c r="C1774">
        <v>23</v>
      </c>
      <c r="D1774" t="s">
        <v>9</v>
      </c>
      <c r="E1774" t="s">
        <v>34</v>
      </c>
      <c r="F1774" t="s">
        <v>16</v>
      </c>
      <c r="G1774" t="s">
        <v>27</v>
      </c>
      <c r="H1774">
        <v>3612.48</v>
      </c>
      <c r="I1774" s="8" t="str" cm="1">
        <f t="array" ref="I1774">_xlfn.IFS(C1774&lt;=15,"Children and Young Adolescents", C1774&gt;64, "Seniors", TRUE, "Working Age")</f>
        <v>Working Age</v>
      </c>
      <c r="J1774" s="6">
        <f>VLOOKUP(F1774,Analysis!$F$1:$G$5,2,FALSE)</f>
        <v>2509.1716796874912</v>
      </c>
      <c r="K1774">
        <f t="shared" si="108"/>
        <v>3973.72</v>
      </c>
      <c r="L1774">
        <f t="shared" si="109"/>
        <v>3973.73</v>
      </c>
      <c r="M1774">
        <f t="shared" si="110"/>
        <v>3973.73</v>
      </c>
      <c r="N1774" s="5" t="str">
        <f t="shared" si="111"/>
        <v>September 2022</v>
      </c>
    </row>
    <row r="1775" spans="1:14" x14ac:dyDescent="0.25">
      <c r="A1775" s="1">
        <v>44824</v>
      </c>
      <c r="B1775" t="s">
        <v>2886</v>
      </c>
      <c r="C1775">
        <v>3</v>
      </c>
      <c r="D1775" t="s">
        <v>21</v>
      </c>
      <c r="E1775" t="s">
        <v>34</v>
      </c>
      <c r="F1775" t="s">
        <v>11</v>
      </c>
      <c r="G1775" t="s">
        <v>12</v>
      </c>
      <c r="H1775">
        <v>2679.42</v>
      </c>
      <c r="I1775" s="8" t="str" cm="1">
        <f t="array" ref="I1775">_xlfn.IFS(C1775&lt;=15,"Children and Young Adolescents", C1775&gt;64, "Seniors", TRUE, "Working Age")</f>
        <v>Children and Young Adolescents</v>
      </c>
      <c r="J1775" s="6">
        <f>VLOOKUP(F1775,Analysis!$F$1:$G$5,2,FALSE)</f>
        <v>2503.6022787783854</v>
      </c>
      <c r="K1775">
        <f t="shared" si="108"/>
        <v>2947.36</v>
      </c>
      <c r="L1775">
        <f t="shared" si="109"/>
        <v>2947.3700000000003</v>
      </c>
      <c r="M1775">
        <f t="shared" si="110"/>
        <v>2947.36</v>
      </c>
      <c r="N1775" s="5" t="str">
        <f t="shared" si="111"/>
        <v>September 2022</v>
      </c>
    </row>
    <row r="1776" spans="1:14" x14ac:dyDescent="0.25">
      <c r="A1776" s="1">
        <v>44824</v>
      </c>
      <c r="B1776" t="s">
        <v>30</v>
      </c>
      <c r="C1776">
        <v>68</v>
      </c>
      <c r="D1776" t="s">
        <v>14</v>
      </c>
      <c r="E1776" t="s">
        <v>19</v>
      </c>
      <c r="F1776" t="s">
        <v>23</v>
      </c>
      <c r="G1776" t="s">
        <v>27</v>
      </c>
      <c r="H1776">
        <v>2462.11</v>
      </c>
      <c r="I1776" s="8" t="str" cm="1">
        <f t="array" ref="I1776">_xlfn.IFS(C1776&lt;=15,"Children and Young Adolescents", C1776&gt;64, "Seniors", TRUE, "Working Age")</f>
        <v>Seniors</v>
      </c>
      <c r="J1776" s="6">
        <f>VLOOKUP(F1776,Analysis!$F$1:$G$5,2,FALSE)</f>
        <v>2440.2966694490838</v>
      </c>
      <c r="K1776">
        <f t="shared" si="108"/>
        <v>2708.32</v>
      </c>
      <c r="L1776">
        <f t="shared" si="109"/>
        <v>2708.3300000000004</v>
      </c>
      <c r="M1776">
        <f t="shared" si="110"/>
        <v>2708.32</v>
      </c>
      <c r="N1776" s="5" t="str">
        <f t="shared" si="111"/>
        <v>September 2022</v>
      </c>
    </row>
    <row r="1777" spans="1:14" x14ac:dyDescent="0.25">
      <c r="A1777" s="1">
        <v>44824</v>
      </c>
      <c r="B1777" t="s">
        <v>3956</v>
      </c>
      <c r="C1777">
        <v>24</v>
      </c>
      <c r="D1777" t="s">
        <v>21</v>
      </c>
      <c r="E1777" t="s">
        <v>34</v>
      </c>
      <c r="F1777" t="s">
        <v>16</v>
      </c>
      <c r="G1777" t="s">
        <v>39</v>
      </c>
      <c r="H1777">
        <v>2880.55</v>
      </c>
      <c r="I1777" s="8" t="str" cm="1">
        <f t="array" ref="I1777">_xlfn.IFS(C1777&lt;=15,"Children and Young Adolescents", C1777&gt;64, "Seniors", TRUE, "Working Age")</f>
        <v>Working Age</v>
      </c>
      <c r="J1777" s="6">
        <f>VLOOKUP(F1777,Analysis!$F$1:$G$5,2,FALSE)</f>
        <v>2509.1716796874912</v>
      </c>
      <c r="K1777">
        <f t="shared" si="108"/>
        <v>3168.6</v>
      </c>
      <c r="L1777">
        <f t="shared" si="109"/>
        <v>3168.61</v>
      </c>
      <c r="M1777">
        <f t="shared" si="110"/>
        <v>3168.61</v>
      </c>
      <c r="N1777" s="5" t="str">
        <f t="shared" si="111"/>
        <v>September 2022</v>
      </c>
    </row>
    <row r="1778" spans="1:14" x14ac:dyDescent="0.25">
      <c r="A1778" s="1">
        <v>44825</v>
      </c>
      <c r="B1778" t="s">
        <v>444</v>
      </c>
      <c r="C1778">
        <v>28</v>
      </c>
      <c r="D1778" t="s">
        <v>14</v>
      </c>
      <c r="E1778" t="s">
        <v>22</v>
      </c>
      <c r="F1778" t="s">
        <v>23</v>
      </c>
      <c r="G1778" t="s">
        <v>39</v>
      </c>
      <c r="H1778">
        <v>2693.31</v>
      </c>
      <c r="I1778" s="8" t="str" cm="1">
        <f t="array" ref="I1778">_xlfn.IFS(C1778&lt;=15,"Children and Young Adolescents", C1778&gt;64, "Seniors", TRUE, "Working Age")</f>
        <v>Working Age</v>
      </c>
      <c r="J1778" s="6">
        <f>VLOOKUP(F1778,Analysis!$F$1:$G$5,2,FALSE)</f>
        <v>2440.2966694490838</v>
      </c>
      <c r="K1778">
        <f t="shared" si="108"/>
        <v>2962.64</v>
      </c>
      <c r="L1778">
        <f t="shared" si="109"/>
        <v>2962.65</v>
      </c>
      <c r="M1778">
        <f t="shared" si="110"/>
        <v>2962.64</v>
      </c>
      <c r="N1778" s="5" t="str">
        <f t="shared" si="111"/>
        <v>September 2022</v>
      </c>
    </row>
    <row r="1779" spans="1:14" x14ac:dyDescent="0.25">
      <c r="A1779" s="1">
        <v>44825</v>
      </c>
      <c r="B1779" t="s">
        <v>1168</v>
      </c>
      <c r="C1779">
        <v>73</v>
      </c>
      <c r="D1779" t="s">
        <v>21</v>
      </c>
      <c r="E1779" t="s">
        <v>22</v>
      </c>
      <c r="F1779" t="s">
        <v>23</v>
      </c>
      <c r="G1779" t="s">
        <v>17</v>
      </c>
      <c r="H1779">
        <v>1896.52</v>
      </c>
      <c r="I1779" s="8" t="str" cm="1">
        <f t="array" ref="I1779">_xlfn.IFS(C1779&lt;=15,"Children and Young Adolescents", C1779&gt;64, "Seniors", TRUE, "Working Age")</f>
        <v>Seniors</v>
      </c>
      <c r="J1779" s="6">
        <f>VLOOKUP(F1779,Analysis!$F$1:$G$5,2,FALSE)</f>
        <v>2440.2966694490838</v>
      </c>
      <c r="K1779">
        <f t="shared" si="108"/>
        <v>2086.17</v>
      </c>
      <c r="L1779">
        <f t="shared" si="109"/>
        <v>2086.1800000000003</v>
      </c>
      <c r="M1779">
        <f t="shared" si="110"/>
        <v>2086.17</v>
      </c>
      <c r="N1779" s="5" t="str">
        <f t="shared" si="111"/>
        <v>September 2022</v>
      </c>
    </row>
    <row r="1780" spans="1:14" x14ac:dyDescent="0.25">
      <c r="A1780" s="1">
        <v>44825</v>
      </c>
      <c r="B1780" t="s">
        <v>4158</v>
      </c>
      <c r="C1780">
        <v>72</v>
      </c>
      <c r="D1780" t="s">
        <v>21</v>
      </c>
      <c r="E1780" t="s">
        <v>22</v>
      </c>
      <c r="F1780" t="s">
        <v>11</v>
      </c>
      <c r="G1780" t="s">
        <v>36</v>
      </c>
      <c r="H1780">
        <v>4921.91</v>
      </c>
      <c r="I1780" s="8" t="str" cm="1">
        <f t="array" ref="I1780">_xlfn.IFS(C1780&lt;=15,"Children and Young Adolescents", C1780&gt;64, "Seniors", TRUE, "Working Age")</f>
        <v>Seniors</v>
      </c>
      <c r="J1780" s="6">
        <f>VLOOKUP(F1780,Analysis!$F$1:$G$5,2,FALSE)</f>
        <v>2503.6022787783854</v>
      </c>
      <c r="K1780">
        <f t="shared" si="108"/>
        <v>5414.1</v>
      </c>
      <c r="L1780">
        <f t="shared" si="109"/>
        <v>5414.1100000000006</v>
      </c>
      <c r="M1780">
        <f t="shared" si="110"/>
        <v>5414.1</v>
      </c>
      <c r="N1780" s="5" t="str">
        <f t="shared" si="111"/>
        <v>September 2022</v>
      </c>
    </row>
    <row r="1781" spans="1:14" x14ac:dyDescent="0.25">
      <c r="A1781" s="1">
        <v>44825</v>
      </c>
      <c r="B1781" t="s">
        <v>3463</v>
      </c>
      <c r="C1781">
        <v>98</v>
      </c>
      <c r="D1781" t="s">
        <v>9</v>
      </c>
      <c r="E1781" t="s">
        <v>32</v>
      </c>
      <c r="F1781" t="s">
        <v>29</v>
      </c>
      <c r="G1781" t="s">
        <v>36</v>
      </c>
      <c r="H1781">
        <v>3599.51</v>
      </c>
      <c r="I1781" s="8" t="str" cm="1">
        <f t="array" ref="I1781">_xlfn.IFS(C1781&lt;=15,"Children and Young Adolescents", C1781&gt;64, "Seniors", TRUE, "Working Age")</f>
        <v>Seniors</v>
      </c>
      <c r="J1781" s="6">
        <f>VLOOKUP(F1781,Analysis!$F$1:$G$5,2,FALSE)</f>
        <v>2496.7676064256989</v>
      </c>
      <c r="K1781">
        <f t="shared" si="108"/>
        <v>3959.46</v>
      </c>
      <c r="L1781">
        <f t="shared" si="109"/>
        <v>3959.4700000000003</v>
      </c>
      <c r="M1781">
        <f t="shared" si="110"/>
        <v>3959.46</v>
      </c>
      <c r="N1781" s="5" t="str">
        <f t="shared" si="111"/>
        <v>September 2022</v>
      </c>
    </row>
    <row r="1782" spans="1:14" x14ac:dyDescent="0.25">
      <c r="A1782" s="1">
        <v>44825</v>
      </c>
      <c r="B1782" t="s">
        <v>4065</v>
      </c>
      <c r="C1782">
        <v>21</v>
      </c>
      <c r="D1782" t="s">
        <v>14</v>
      </c>
      <c r="E1782" t="s">
        <v>34</v>
      </c>
      <c r="F1782" t="s">
        <v>29</v>
      </c>
      <c r="G1782" t="s">
        <v>36</v>
      </c>
      <c r="H1782">
        <v>4683.1499999999996</v>
      </c>
      <c r="I1782" s="8" t="str" cm="1">
        <f t="array" ref="I1782">_xlfn.IFS(C1782&lt;=15,"Children and Young Adolescents", C1782&gt;64, "Seniors", TRUE, "Working Age")</f>
        <v>Working Age</v>
      </c>
      <c r="J1782" s="6">
        <f>VLOOKUP(F1782,Analysis!$F$1:$G$5,2,FALSE)</f>
        <v>2496.7676064256989</v>
      </c>
      <c r="K1782">
        <f t="shared" si="108"/>
        <v>5151.46</v>
      </c>
      <c r="L1782">
        <f t="shared" si="109"/>
        <v>5151.47</v>
      </c>
      <c r="M1782">
        <f t="shared" si="110"/>
        <v>5151.47</v>
      </c>
      <c r="N1782" s="5" t="str">
        <f t="shared" si="111"/>
        <v>September 2022</v>
      </c>
    </row>
    <row r="1783" spans="1:14" x14ac:dyDescent="0.25">
      <c r="A1783" s="1">
        <v>44825</v>
      </c>
      <c r="B1783" t="s">
        <v>3726</v>
      </c>
      <c r="C1783">
        <v>28</v>
      </c>
      <c r="D1783" t="s">
        <v>21</v>
      </c>
      <c r="E1783" t="s">
        <v>10</v>
      </c>
      <c r="F1783" t="s">
        <v>16</v>
      </c>
      <c r="G1783" t="s">
        <v>39</v>
      </c>
      <c r="H1783">
        <v>3701.08</v>
      </c>
      <c r="I1783" s="8" t="str" cm="1">
        <f t="array" ref="I1783">_xlfn.IFS(C1783&lt;=15,"Children and Young Adolescents", C1783&gt;64, "Seniors", TRUE, "Working Age")</f>
        <v>Working Age</v>
      </c>
      <c r="J1783" s="6">
        <f>VLOOKUP(F1783,Analysis!$F$1:$G$5,2,FALSE)</f>
        <v>2509.1716796874912</v>
      </c>
      <c r="K1783">
        <f t="shared" si="108"/>
        <v>4071.18</v>
      </c>
      <c r="L1783">
        <f t="shared" si="109"/>
        <v>4071.19</v>
      </c>
      <c r="M1783">
        <f t="shared" si="110"/>
        <v>4071.19</v>
      </c>
      <c r="N1783" s="5" t="str">
        <f t="shared" si="111"/>
        <v>September 2022</v>
      </c>
    </row>
    <row r="1784" spans="1:14" x14ac:dyDescent="0.25">
      <c r="A1784" s="1">
        <v>44825</v>
      </c>
      <c r="B1784" t="s">
        <v>1240</v>
      </c>
      <c r="C1784">
        <v>84</v>
      </c>
      <c r="D1784" t="s">
        <v>21</v>
      </c>
      <c r="E1784" t="s">
        <v>22</v>
      </c>
      <c r="F1784" t="s">
        <v>23</v>
      </c>
      <c r="G1784" t="s">
        <v>27</v>
      </c>
      <c r="H1784">
        <v>4219.2700000000004</v>
      </c>
      <c r="I1784" s="8" t="str" cm="1">
        <f t="array" ref="I1784">_xlfn.IFS(C1784&lt;=15,"Children and Young Adolescents", C1784&gt;64, "Seniors", TRUE, "Working Age")</f>
        <v>Seniors</v>
      </c>
      <c r="J1784" s="6">
        <f>VLOOKUP(F1784,Analysis!$F$1:$G$5,2,FALSE)</f>
        <v>2440.2966694490838</v>
      </c>
      <c r="K1784">
        <f t="shared" si="108"/>
        <v>4641.1899999999996</v>
      </c>
      <c r="L1784">
        <f t="shared" si="109"/>
        <v>4641.2</v>
      </c>
      <c r="M1784">
        <f t="shared" si="110"/>
        <v>4641.2</v>
      </c>
      <c r="N1784" s="5" t="str">
        <f t="shared" si="111"/>
        <v>September 2022</v>
      </c>
    </row>
    <row r="1785" spans="1:14" x14ac:dyDescent="0.25">
      <c r="A1785" s="1">
        <v>44825</v>
      </c>
      <c r="B1785" t="s">
        <v>690</v>
      </c>
      <c r="C1785">
        <v>22</v>
      </c>
      <c r="D1785" t="s">
        <v>9</v>
      </c>
      <c r="E1785" t="s">
        <v>15</v>
      </c>
      <c r="F1785" t="s">
        <v>11</v>
      </c>
      <c r="G1785" t="s">
        <v>39</v>
      </c>
      <c r="H1785">
        <v>2569.65</v>
      </c>
      <c r="I1785" s="8" t="str" cm="1">
        <f t="array" ref="I1785">_xlfn.IFS(C1785&lt;=15,"Children and Young Adolescents", C1785&gt;64, "Seniors", TRUE, "Working Age")</f>
        <v>Working Age</v>
      </c>
      <c r="J1785" s="6">
        <f>VLOOKUP(F1785,Analysis!$F$1:$G$5,2,FALSE)</f>
        <v>2503.6022787783854</v>
      </c>
      <c r="K1785">
        <f t="shared" si="108"/>
        <v>2826.61</v>
      </c>
      <c r="L1785">
        <f t="shared" si="109"/>
        <v>2826.6200000000003</v>
      </c>
      <c r="M1785">
        <f t="shared" si="110"/>
        <v>2826.62</v>
      </c>
      <c r="N1785" s="5" t="str">
        <f t="shared" si="111"/>
        <v>September 2022</v>
      </c>
    </row>
    <row r="1786" spans="1:14" x14ac:dyDescent="0.25">
      <c r="A1786" s="1">
        <v>44825</v>
      </c>
      <c r="B1786" t="s">
        <v>4803</v>
      </c>
      <c r="C1786">
        <v>67</v>
      </c>
      <c r="D1786" t="s">
        <v>21</v>
      </c>
      <c r="E1786" t="s">
        <v>15</v>
      </c>
      <c r="F1786" t="s">
        <v>16</v>
      </c>
      <c r="G1786" t="s">
        <v>36</v>
      </c>
      <c r="H1786">
        <v>2507.8000000000002</v>
      </c>
      <c r="I1786" s="8" t="str" cm="1">
        <f t="array" ref="I1786">_xlfn.IFS(C1786&lt;=15,"Children and Young Adolescents", C1786&gt;64, "Seniors", TRUE, "Working Age")</f>
        <v>Seniors</v>
      </c>
      <c r="J1786" s="6">
        <f>VLOOKUP(F1786,Analysis!$F$1:$G$5,2,FALSE)</f>
        <v>2509.1716796874912</v>
      </c>
      <c r="K1786">
        <f t="shared" si="108"/>
        <v>2758.58</v>
      </c>
      <c r="L1786">
        <f t="shared" si="109"/>
        <v>2758.58</v>
      </c>
      <c r="M1786">
        <f t="shared" si="110"/>
        <v>2758.58</v>
      </c>
      <c r="N1786" s="5" t="str">
        <f t="shared" si="111"/>
        <v>September 2022</v>
      </c>
    </row>
    <row r="1787" spans="1:14" x14ac:dyDescent="0.25">
      <c r="A1787" s="1">
        <v>44825</v>
      </c>
      <c r="B1787" t="s">
        <v>874</v>
      </c>
      <c r="C1787">
        <v>68</v>
      </c>
      <c r="D1787" t="s">
        <v>21</v>
      </c>
      <c r="E1787" t="s">
        <v>5032</v>
      </c>
      <c r="F1787" t="s">
        <v>23</v>
      </c>
      <c r="G1787" t="s">
        <v>39</v>
      </c>
      <c r="H1787">
        <v>192.7</v>
      </c>
      <c r="I1787" s="8" t="str" cm="1">
        <f t="array" ref="I1787">_xlfn.IFS(C1787&lt;=15,"Children and Young Adolescents", C1787&gt;64, "Seniors", TRUE, "Working Age")</f>
        <v>Seniors</v>
      </c>
      <c r="J1787" s="6">
        <f>VLOOKUP(F1787,Analysis!$F$1:$G$5,2,FALSE)</f>
        <v>2440.2966694490838</v>
      </c>
      <c r="K1787">
        <f t="shared" si="108"/>
        <v>211.97</v>
      </c>
      <c r="L1787">
        <f t="shared" si="109"/>
        <v>211.97</v>
      </c>
      <c r="M1787">
        <f t="shared" si="110"/>
        <v>211.97</v>
      </c>
      <c r="N1787" s="5" t="str">
        <f t="shared" si="111"/>
        <v>September 2022</v>
      </c>
    </row>
    <row r="1788" spans="1:14" x14ac:dyDescent="0.25">
      <c r="A1788" s="1">
        <v>44826</v>
      </c>
      <c r="B1788" t="s">
        <v>2738</v>
      </c>
      <c r="C1788">
        <v>23</v>
      </c>
      <c r="D1788" t="s">
        <v>21</v>
      </c>
      <c r="E1788" t="s">
        <v>19</v>
      </c>
      <c r="F1788" t="s">
        <v>29</v>
      </c>
      <c r="G1788" t="s">
        <v>27</v>
      </c>
      <c r="H1788">
        <v>427.95</v>
      </c>
      <c r="I1788" s="8" t="str" cm="1">
        <f t="array" ref="I1788">_xlfn.IFS(C1788&lt;=15,"Children and Young Adolescents", C1788&gt;64, "Seniors", TRUE, "Working Age")</f>
        <v>Working Age</v>
      </c>
      <c r="J1788" s="6">
        <f>VLOOKUP(F1788,Analysis!$F$1:$G$5,2,FALSE)</f>
        <v>2496.7676064256989</v>
      </c>
      <c r="K1788">
        <f t="shared" si="108"/>
        <v>470.74</v>
      </c>
      <c r="L1788">
        <f t="shared" si="109"/>
        <v>470.75</v>
      </c>
      <c r="M1788">
        <f t="shared" si="110"/>
        <v>470.75</v>
      </c>
      <c r="N1788" s="5" t="str">
        <f t="shared" si="111"/>
        <v>September 2022</v>
      </c>
    </row>
    <row r="1789" spans="1:14" x14ac:dyDescent="0.25">
      <c r="A1789" s="1">
        <v>44826</v>
      </c>
      <c r="B1789" t="s">
        <v>1161</v>
      </c>
      <c r="C1789">
        <v>36</v>
      </c>
      <c r="D1789" t="s">
        <v>9</v>
      </c>
      <c r="E1789" t="s">
        <v>15</v>
      </c>
      <c r="F1789" t="s">
        <v>23</v>
      </c>
      <c r="G1789" t="s">
        <v>17</v>
      </c>
      <c r="H1789">
        <v>80.28</v>
      </c>
      <c r="I1789" s="8" t="str" cm="1">
        <f t="array" ref="I1789">_xlfn.IFS(C1789&lt;=15,"Children and Young Adolescents", C1789&gt;64, "Seniors", TRUE, "Working Age")</f>
        <v>Working Age</v>
      </c>
      <c r="J1789" s="6">
        <f>VLOOKUP(F1789,Analysis!$F$1:$G$5,2,FALSE)</f>
        <v>2440.2966694490838</v>
      </c>
      <c r="K1789">
        <f t="shared" si="108"/>
        <v>88.3</v>
      </c>
      <c r="L1789">
        <f t="shared" si="109"/>
        <v>88.31</v>
      </c>
      <c r="M1789">
        <f t="shared" si="110"/>
        <v>88.31</v>
      </c>
      <c r="N1789" s="5" t="str">
        <f t="shared" si="111"/>
        <v>September 2022</v>
      </c>
    </row>
    <row r="1790" spans="1:14" x14ac:dyDescent="0.25">
      <c r="A1790" s="1">
        <v>44826</v>
      </c>
      <c r="B1790" t="s">
        <v>3637</v>
      </c>
      <c r="C1790">
        <v>13</v>
      </c>
      <c r="D1790" t="s">
        <v>14</v>
      </c>
      <c r="E1790" t="s">
        <v>19</v>
      </c>
      <c r="F1790" t="s">
        <v>23</v>
      </c>
      <c r="G1790" t="s">
        <v>39</v>
      </c>
      <c r="H1790">
        <v>1655.48</v>
      </c>
      <c r="I1790" s="8" t="str" cm="1">
        <f t="array" ref="I1790">_xlfn.IFS(C1790&lt;=15,"Children and Young Adolescents", C1790&gt;64, "Seniors", TRUE, "Working Age")</f>
        <v>Children and Young Adolescents</v>
      </c>
      <c r="J1790" s="6">
        <f>VLOOKUP(F1790,Analysis!$F$1:$G$5,2,FALSE)</f>
        <v>2440.2966694490838</v>
      </c>
      <c r="K1790">
        <f t="shared" si="108"/>
        <v>1821.02</v>
      </c>
      <c r="L1790">
        <f t="shared" si="109"/>
        <v>1821.03</v>
      </c>
      <c r="M1790">
        <f t="shared" si="110"/>
        <v>1821.03</v>
      </c>
      <c r="N1790" s="5" t="str">
        <f t="shared" si="111"/>
        <v>September 2022</v>
      </c>
    </row>
    <row r="1791" spans="1:14" x14ac:dyDescent="0.25">
      <c r="A1791" s="1">
        <v>44826</v>
      </c>
      <c r="B1791" t="s">
        <v>932</v>
      </c>
      <c r="C1791">
        <v>6</v>
      </c>
      <c r="D1791" t="s">
        <v>14</v>
      </c>
      <c r="E1791" t="s">
        <v>25</v>
      </c>
      <c r="F1791" t="s">
        <v>29</v>
      </c>
      <c r="G1791" t="s">
        <v>12</v>
      </c>
      <c r="H1791">
        <v>4322.8999999999996</v>
      </c>
      <c r="I1791" s="8" t="str" cm="1">
        <f t="array" ref="I1791">_xlfn.IFS(C1791&lt;=15,"Children and Young Adolescents", C1791&gt;64, "Seniors", TRUE, "Working Age")</f>
        <v>Children and Young Adolescents</v>
      </c>
      <c r="J1791" s="6">
        <f>VLOOKUP(F1791,Analysis!$F$1:$G$5,2,FALSE)</f>
        <v>2496.7676064256989</v>
      </c>
      <c r="K1791">
        <f t="shared" si="108"/>
        <v>4755.1899999999996</v>
      </c>
      <c r="L1791">
        <f t="shared" si="109"/>
        <v>4755.1899999999996</v>
      </c>
      <c r="M1791">
        <f t="shared" si="110"/>
        <v>4755.1899999999996</v>
      </c>
      <c r="N1791" s="5" t="str">
        <f t="shared" si="111"/>
        <v>September 2022</v>
      </c>
    </row>
    <row r="1792" spans="1:14" x14ac:dyDescent="0.25">
      <c r="A1792" s="1">
        <v>44826</v>
      </c>
      <c r="B1792" t="s">
        <v>4243</v>
      </c>
      <c r="C1792">
        <v>24</v>
      </c>
      <c r="D1792" t="s">
        <v>21</v>
      </c>
      <c r="E1792" t="s">
        <v>32</v>
      </c>
      <c r="F1792" t="s">
        <v>29</v>
      </c>
      <c r="G1792" t="s">
        <v>36</v>
      </c>
      <c r="H1792">
        <v>3010.84</v>
      </c>
      <c r="I1792" s="8" t="str" cm="1">
        <f t="array" ref="I1792">_xlfn.IFS(C1792&lt;=15,"Children and Young Adolescents", C1792&gt;64, "Seniors", TRUE, "Working Age")</f>
        <v>Working Age</v>
      </c>
      <c r="J1792" s="6">
        <f>VLOOKUP(F1792,Analysis!$F$1:$G$5,2,FALSE)</f>
        <v>2496.7676064256989</v>
      </c>
      <c r="K1792">
        <f t="shared" si="108"/>
        <v>3311.92</v>
      </c>
      <c r="L1792">
        <f t="shared" si="109"/>
        <v>3311.9300000000003</v>
      </c>
      <c r="M1792">
        <f t="shared" si="110"/>
        <v>3311.92</v>
      </c>
      <c r="N1792" s="5" t="str">
        <f t="shared" si="111"/>
        <v>September 2022</v>
      </c>
    </row>
    <row r="1793" spans="1:14" x14ac:dyDescent="0.25">
      <c r="A1793" s="1">
        <v>44826</v>
      </c>
      <c r="B1793" t="s">
        <v>4071</v>
      </c>
      <c r="C1793">
        <v>9</v>
      </c>
      <c r="D1793" t="s">
        <v>9</v>
      </c>
      <c r="E1793" t="s">
        <v>10</v>
      </c>
      <c r="F1793" t="s">
        <v>11</v>
      </c>
      <c r="G1793" t="s">
        <v>39</v>
      </c>
      <c r="H1793">
        <v>3632.65</v>
      </c>
      <c r="I1793" s="8" t="str" cm="1">
        <f t="array" ref="I1793">_xlfn.IFS(C1793&lt;=15,"Children and Young Adolescents", C1793&gt;64, "Seniors", TRUE, "Working Age")</f>
        <v>Children and Young Adolescents</v>
      </c>
      <c r="J1793" s="6">
        <f>VLOOKUP(F1793,Analysis!$F$1:$G$5,2,FALSE)</f>
        <v>2503.6022787783854</v>
      </c>
      <c r="K1793">
        <f t="shared" si="108"/>
        <v>3995.91</v>
      </c>
      <c r="L1793">
        <f t="shared" si="109"/>
        <v>3995.92</v>
      </c>
      <c r="M1793">
        <f t="shared" si="110"/>
        <v>3995.92</v>
      </c>
      <c r="N1793" s="5" t="str">
        <f t="shared" si="111"/>
        <v>September 2022</v>
      </c>
    </row>
    <row r="1794" spans="1:14" x14ac:dyDescent="0.25">
      <c r="A1794" s="1">
        <v>44826</v>
      </c>
      <c r="B1794" t="s">
        <v>4295</v>
      </c>
      <c r="C1794">
        <v>14</v>
      </c>
      <c r="D1794" t="s">
        <v>9</v>
      </c>
      <c r="E1794" t="s">
        <v>5032</v>
      </c>
      <c r="F1794" t="s">
        <v>29</v>
      </c>
      <c r="G1794" t="s">
        <v>27</v>
      </c>
      <c r="H1794">
        <v>2822.96</v>
      </c>
      <c r="I1794" s="8" t="str" cm="1">
        <f t="array" ref="I1794">_xlfn.IFS(C1794&lt;=15,"Children and Young Adolescents", C1794&gt;64, "Seniors", TRUE, "Working Age")</f>
        <v>Children and Young Adolescents</v>
      </c>
      <c r="J1794" s="6">
        <f>VLOOKUP(F1794,Analysis!$F$1:$G$5,2,FALSE)</f>
        <v>2496.7676064256989</v>
      </c>
      <c r="K1794">
        <f t="shared" si="108"/>
        <v>3105.25</v>
      </c>
      <c r="L1794">
        <f t="shared" si="109"/>
        <v>3105.26</v>
      </c>
      <c r="M1794">
        <f t="shared" si="110"/>
        <v>3105.26</v>
      </c>
      <c r="N1794" s="5" t="str">
        <f t="shared" si="111"/>
        <v>September 2022</v>
      </c>
    </row>
    <row r="1795" spans="1:14" x14ac:dyDescent="0.25">
      <c r="A1795" s="1">
        <v>44826</v>
      </c>
      <c r="B1795" t="s">
        <v>3078</v>
      </c>
      <c r="C1795">
        <v>32</v>
      </c>
      <c r="D1795" t="s">
        <v>14</v>
      </c>
      <c r="E1795" t="s">
        <v>34</v>
      </c>
      <c r="F1795" t="s">
        <v>16</v>
      </c>
      <c r="G1795" t="s">
        <v>36</v>
      </c>
      <c r="H1795">
        <v>3661.72</v>
      </c>
      <c r="I1795" s="8" t="str" cm="1">
        <f t="array" ref="I1795">_xlfn.IFS(C1795&lt;=15,"Children and Young Adolescents", C1795&gt;64, "Seniors", TRUE, "Working Age")</f>
        <v>Working Age</v>
      </c>
      <c r="J1795" s="6">
        <f>VLOOKUP(F1795,Analysis!$F$1:$G$5,2,FALSE)</f>
        <v>2509.1716796874912</v>
      </c>
      <c r="K1795">
        <f t="shared" ref="K1795:K1858" si="112">ROUNDDOWN(H1795*1.1,2)</f>
        <v>4027.89</v>
      </c>
      <c r="L1795">
        <f t="shared" ref="L1795:L1858" si="113">ROUNDUP(H1795*1.1,2)</f>
        <v>4027.9</v>
      </c>
      <c r="M1795">
        <f t="shared" ref="M1795:M1858" si="114">ROUND(H1795*1.1,2)</f>
        <v>4027.89</v>
      </c>
      <c r="N1795" s="5" t="str">
        <f t="shared" ref="N1795:N1858" si="115">TEXT(A1795,"mmmm yyyy")</f>
        <v>September 2022</v>
      </c>
    </row>
    <row r="1796" spans="1:14" x14ac:dyDescent="0.25">
      <c r="A1796" s="1">
        <v>44826</v>
      </c>
      <c r="B1796" t="s">
        <v>3638</v>
      </c>
      <c r="C1796">
        <v>78</v>
      </c>
      <c r="D1796" t="s">
        <v>21</v>
      </c>
      <c r="E1796" t="s">
        <v>19</v>
      </c>
      <c r="F1796" t="s">
        <v>11</v>
      </c>
      <c r="G1796" t="s">
        <v>36</v>
      </c>
      <c r="H1796">
        <v>4901.8500000000004</v>
      </c>
      <c r="I1796" s="8" t="str" cm="1">
        <f t="array" ref="I1796">_xlfn.IFS(C1796&lt;=15,"Children and Young Adolescents", C1796&gt;64, "Seniors", TRUE, "Working Age")</f>
        <v>Seniors</v>
      </c>
      <c r="J1796" s="6">
        <f>VLOOKUP(F1796,Analysis!$F$1:$G$5,2,FALSE)</f>
        <v>2503.6022787783854</v>
      </c>
      <c r="K1796">
        <f t="shared" si="112"/>
        <v>5392.03</v>
      </c>
      <c r="L1796">
        <f t="shared" si="113"/>
        <v>5392.04</v>
      </c>
      <c r="M1796">
        <f t="shared" si="114"/>
        <v>5392.04</v>
      </c>
      <c r="N1796" s="5" t="str">
        <f t="shared" si="115"/>
        <v>September 2022</v>
      </c>
    </row>
    <row r="1797" spans="1:14" x14ac:dyDescent="0.25">
      <c r="A1797" s="1">
        <v>44827</v>
      </c>
      <c r="B1797" t="s">
        <v>2759</v>
      </c>
      <c r="C1797">
        <v>53</v>
      </c>
      <c r="D1797" t="s">
        <v>9</v>
      </c>
      <c r="E1797" t="s">
        <v>25</v>
      </c>
      <c r="F1797" t="s">
        <v>16</v>
      </c>
      <c r="G1797" t="s">
        <v>36</v>
      </c>
      <c r="H1797">
        <v>3450.03</v>
      </c>
      <c r="I1797" s="8" t="str" cm="1">
        <f t="array" ref="I1797">_xlfn.IFS(C1797&lt;=15,"Children and Young Adolescents", C1797&gt;64, "Seniors", TRUE, "Working Age")</f>
        <v>Working Age</v>
      </c>
      <c r="J1797" s="6">
        <f>VLOOKUP(F1797,Analysis!$F$1:$G$5,2,FALSE)</f>
        <v>2509.1716796874912</v>
      </c>
      <c r="K1797">
        <f t="shared" si="112"/>
        <v>3795.03</v>
      </c>
      <c r="L1797">
        <f t="shared" si="113"/>
        <v>3795.0400000000004</v>
      </c>
      <c r="M1797">
        <f t="shared" si="114"/>
        <v>3795.03</v>
      </c>
      <c r="N1797" s="5" t="str">
        <f t="shared" si="115"/>
        <v>September 2022</v>
      </c>
    </row>
    <row r="1798" spans="1:14" x14ac:dyDescent="0.25">
      <c r="A1798" s="1">
        <v>44827</v>
      </c>
      <c r="B1798" t="s">
        <v>4888</v>
      </c>
      <c r="C1798">
        <v>90</v>
      </c>
      <c r="D1798" t="s">
        <v>21</v>
      </c>
      <c r="E1798" t="s">
        <v>15</v>
      </c>
      <c r="F1798" t="s">
        <v>23</v>
      </c>
      <c r="G1798" t="s">
        <v>27</v>
      </c>
      <c r="H1798">
        <v>858.86</v>
      </c>
      <c r="I1798" s="8" t="str" cm="1">
        <f t="array" ref="I1798">_xlfn.IFS(C1798&lt;=15,"Children and Young Adolescents", C1798&gt;64, "Seniors", TRUE, "Working Age")</f>
        <v>Seniors</v>
      </c>
      <c r="J1798" s="6">
        <f>VLOOKUP(F1798,Analysis!$F$1:$G$5,2,FALSE)</f>
        <v>2440.2966694490838</v>
      </c>
      <c r="K1798">
        <f t="shared" si="112"/>
        <v>944.74</v>
      </c>
      <c r="L1798">
        <f t="shared" si="113"/>
        <v>944.75</v>
      </c>
      <c r="M1798">
        <f t="shared" si="114"/>
        <v>944.75</v>
      </c>
      <c r="N1798" s="5" t="str">
        <f t="shared" si="115"/>
        <v>September 2022</v>
      </c>
    </row>
    <row r="1799" spans="1:14" x14ac:dyDescent="0.25">
      <c r="A1799" s="1">
        <v>44827</v>
      </c>
      <c r="B1799" t="s">
        <v>52</v>
      </c>
      <c r="C1799">
        <v>26</v>
      </c>
      <c r="D1799" t="s">
        <v>21</v>
      </c>
      <c r="E1799" t="s">
        <v>34</v>
      </c>
      <c r="F1799" t="s">
        <v>29</v>
      </c>
      <c r="G1799" t="s">
        <v>39</v>
      </c>
      <c r="H1799">
        <v>2025.75</v>
      </c>
      <c r="I1799" s="8" t="str" cm="1">
        <f t="array" ref="I1799">_xlfn.IFS(C1799&lt;=15,"Children and Young Adolescents", C1799&gt;64, "Seniors", TRUE, "Working Age")</f>
        <v>Working Age</v>
      </c>
      <c r="J1799" s="6">
        <f>VLOOKUP(F1799,Analysis!$F$1:$G$5,2,FALSE)</f>
        <v>2496.7676064256989</v>
      </c>
      <c r="K1799">
        <f t="shared" si="112"/>
        <v>2228.3200000000002</v>
      </c>
      <c r="L1799">
        <f t="shared" si="113"/>
        <v>2228.3300000000004</v>
      </c>
      <c r="M1799">
        <f t="shared" si="114"/>
        <v>2228.33</v>
      </c>
      <c r="N1799" s="5" t="str">
        <f t="shared" si="115"/>
        <v>September 2022</v>
      </c>
    </row>
    <row r="1800" spans="1:14" x14ac:dyDescent="0.25">
      <c r="A1800" s="1">
        <v>44827</v>
      </c>
      <c r="B1800" t="s">
        <v>1423</v>
      </c>
      <c r="C1800">
        <v>11</v>
      </c>
      <c r="D1800" t="s">
        <v>21</v>
      </c>
      <c r="E1800" t="s">
        <v>5032</v>
      </c>
      <c r="F1800" t="s">
        <v>16</v>
      </c>
      <c r="G1800" t="s">
        <v>5033</v>
      </c>
      <c r="H1800">
        <v>4209.43</v>
      </c>
      <c r="I1800" s="8" t="str" cm="1">
        <f t="array" ref="I1800">_xlfn.IFS(C1800&lt;=15,"Children and Young Adolescents", C1800&gt;64, "Seniors", TRUE, "Working Age")</f>
        <v>Children and Young Adolescents</v>
      </c>
      <c r="J1800" s="6">
        <f>VLOOKUP(F1800,Analysis!$F$1:$G$5,2,FALSE)</f>
        <v>2509.1716796874912</v>
      </c>
      <c r="K1800">
        <f t="shared" si="112"/>
        <v>4630.37</v>
      </c>
      <c r="L1800">
        <f t="shared" si="113"/>
        <v>4630.38</v>
      </c>
      <c r="M1800">
        <f t="shared" si="114"/>
        <v>4630.37</v>
      </c>
      <c r="N1800" s="5" t="str">
        <f t="shared" si="115"/>
        <v>September 2022</v>
      </c>
    </row>
    <row r="1801" spans="1:14" x14ac:dyDescent="0.25">
      <c r="A1801" s="1">
        <v>44827</v>
      </c>
      <c r="B1801" t="s">
        <v>3111</v>
      </c>
      <c r="C1801">
        <v>28</v>
      </c>
      <c r="D1801" t="s">
        <v>21</v>
      </c>
      <c r="E1801" t="s">
        <v>34</v>
      </c>
      <c r="F1801" t="s">
        <v>29</v>
      </c>
      <c r="G1801" t="s">
        <v>12</v>
      </c>
      <c r="H1801">
        <v>856.15</v>
      </c>
      <c r="I1801" s="8" t="str" cm="1">
        <f t="array" ref="I1801">_xlfn.IFS(C1801&lt;=15,"Children and Young Adolescents", C1801&gt;64, "Seniors", TRUE, "Working Age")</f>
        <v>Working Age</v>
      </c>
      <c r="J1801" s="6">
        <f>VLOOKUP(F1801,Analysis!$F$1:$G$5,2,FALSE)</f>
        <v>2496.7676064256989</v>
      </c>
      <c r="K1801">
        <f t="shared" si="112"/>
        <v>941.76</v>
      </c>
      <c r="L1801">
        <f t="shared" si="113"/>
        <v>941.77</v>
      </c>
      <c r="M1801">
        <f t="shared" si="114"/>
        <v>941.77</v>
      </c>
      <c r="N1801" s="5" t="str">
        <f t="shared" si="115"/>
        <v>September 2022</v>
      </c>
    </row>
    <row r="1802" spans="1:14" x14ac:dyDescent="0.25">
      <c r="A1802" s="1">
        <v>44827</v>
      </c>
      <c r="B1802" t="s">
        <v>2858</v>
      </c>
      <c r="C1802">
        <v>5</v>
      </c>
      <c r="D1802" t="s">
        <v>14</v>
      </c>
      <c r="E1802" t="s">
        <v>15</v>
      </c>
      <c r="F1802" t="s">
        <v>16</v>
      </c>
      <c r="G1802" t="s">
        <v>27</v>
      </c>
      <c r="H1802">
        <v>2536.69</v>
      </c>
      <c r="I1802" s="8" t="str" cm="1">
        <f t="array" ref="I1802">_xlfn.IFS(C1802&lt;=15,"Children and Young Adolescents", C1802&gt;64, "Seniors", TRUE, "Working Age")</f>
        <v>Children and Young Adolescents</v>
      </c>
      <c r="J1802" s="6">
        <f>VLOOKUP(F1802,Analysis!$F$1:$G$5,2,FALSE)</f>
        <v>2509.1716796874912</v>
      </c>
      <c r="K1802">
        <f t="shared" si="112"/>
        <v>2790.35</v>
      </c>
      <c r="L1802">
        <f t="shared" si="113"/>
        <v>2790.36</v>
      </c>
      <c r="M1802">
        <f t="shared" si="114"/>
        <v>2790.36</v>
      </c>
      <c r="N1802" s="5" t="str">
        <f t="shared" si="115"/>
        <v>September 2022</v>
      </c>
    </row>
    <row r="1803" spans="1:14" x14ac:dyDescent="0.25">
      <c r="A1803" s="1">
        <v>44827</v>
      </c>
      <c r="B1803" t="s">
        <v>337</v>
      </c>
      <c r="C1803">
        <v>41</v>
      </c>
      <c r="D1803" t="s">
        <v>21</v>
      </c>
      <c r="E1803" t="s">
        <v>34</v>
      </c>
      <c r="F1803" t="s">
        <v>11</v>
      </c>
      <c r="G1803" t="s">
        <v>12</v>
      </c>
      <c r="H1803">
        <v>869.47</v>
      </c>
      <c r="I1803" s="8" t="str" cm="1">
        <f t="array" ref="I1803">_xlfn.IFS(C1803&lt;=15,"Children and Young Adolescents", C1803&gt;64, "Seniors", TRUE, "Working Age")</f>
        <v>Working Age</v>
      </c>
      <c r="J1803" s="6">
        <f>VLOOKUP(F1803,Analysis!$F$1:$G$5,2,FALSE)</f>
        <v>2503.6022787783854</v>
      </c>
      <c r="K1803">
        <f t="shared" si="112"/>
        <v>956.41</v>
      </c>
      <c r="L1803">
        <f t="shared" si="113"/>
        <v>956.42</v>
      </c>
      <c r="M1803">
        <f t="shared" si="114"/>
        <v>956.42</v>
      </c>
      <c r="N1803" s="5" t="str">
        <f t="shared" si="115"/>
        <v>September 2022</v>
      </c>
    </row>
    <row r="1804" spans="1:14" x14ac:dyDescent="0.25">
      <c r="A1804" s="1">
        <v>44827</v>
      </c>
      <c r="B1804" t="s">
        <v>2818</v>
      </c>
      <c r="C1804">
        <v>45</v>
      </c>
      <c r="D1804" t="s">
        <v>9</v>
      </c>
      <c r="E1804" t="s">
        <v>5032</v>
      </c>
      <c r="F1804" t="s">
        <v>11</v>
      </c>
      <c r="G1804" t="s">
        <v>12</v>
      </c>
      <c r="H1804">
        <v>3346.23</v>
      </c>
      <c r="I1804" s="8" t="str" cm="1">
        <f t="array" ref="I1804">_xlfn.IFS(C1804&lt;=15,"Children and Young Adolescents", C1804&gt;64, "Seniors", TRUE, "Working Age")</f>
        <v>Working Age</v>
      </c>
      <c r="J1804" s="6">
        <f>VLOOKUP(F1804,Analysis!$F$1:$G$5,2,FALSE)</f>
        <v>2503.6022787783854</v>
      </c>
      <c r="K1804">
        <f t="shared" si="112"/>
        <v>3680.85</v>
      </c>
      <c r="L1804">
        <f t="shared" si="113"/>
        <v>3680.86</v>
      </c>
      <c r="M1804">
        <f t="shared" si="114"/>
        <v>3680.85</v>
      </c>
      <c r="N1804" s="5" t="str">
        <f t="shared" si="115"/>
        <v>September 2022</v>
      </c>
    </row>
    <row r="1805" spans="1:14" x14ac:dyDescent="0.25">
      <c r="A1805" s="1">
        <v>44828</v>
      </c>
      <c r="B1805" t="s">
        <v>540</v>
      </c>
      <c r="C1805">
        <v>52</v>
      </c>
      <c r="D1805" t="s">
        <v>21</v>
      </c>
      <c r="E1805" t="s">
        <v>19</v>
      </c>
      <c r="F1805" t="s">
        <v>16</v>
      </c>
      <c r="G1805" t="s">
        <v>27</v>
      </c>
      <c r="H1805">
        <v>722.38</v>
      </c>
      <c r="I1805" s="8" t="str" cm="1">
        <f t="array" ref="I1805">_xlfn.IFS(C1805&lt;=15,"Children and Young Adolescents", C1805&gt;64, "Seniors", TRUE, "Working Age")</f>
        <v>Working Age</v>
      </c>
      <c r="J1805" s="6">
        <f>VLOOKUP(F1805,Analysis!$F$1:$G$5,2,FALSE)</f>
        <v>2509.1716796874912</v>
      </c>
      <c r="K1805">
        <f t="shared" si="112"/>
        <v>794.61</v>
      </c>
      <c r="L1805">
        <f t="shared" si="113"/>
        <v>794.62</v>
      </c>
      <c r="M1805">
        <f t="shared" si="114"/>
        <v>794.62</v>
      </c>
      <c r="N1805" s="5" t="str">
        <f t="shared" si="115"/>
        <v>September 2022</v>
      </c>
    </row>
    <row r="1806" spans="1:14" x14ac:dyDescent="0.25">
      <c r="A1806" s="1">
        <v>44828</v>
      </c>
      <c r="B1806" t="s">
        <v>4597</v>
      </c>
      <c r="C1806">
        <v>11</v>
      </c>
      <c r="D1806" t="s">
        <v>21</v>
      </c>
      <c r="E1806" t="s">
        <v>32</v>
      </c>
      <c r="F1806" t="s">
        <v>29</v>
      </c>
      <c r="G1806" t="s">
        <v>39</v>
      </c>
      <c r="H1806">
        <v>3779.69</v>
      </c>
      <c r="I1806" s="8" t="str" cm="1">
        <f t="array" ref="I1806">_xlfn.IFS(C1806&lt;=15,"Children and Young Adolescents", C1806&gt;64, "Seniors", TRUE, "Working Age")</f>
        <v>Children and Young Adolescents</v>
      </c>
      <c r="J1806" s="6">
        <f>VLOOKUP(F1806,Analysis!$F$1:$G$5,2,FALSE)</f>
        <v>2496.7676064256989</v>
      </c>
      <c r="K1806">
        <f t="shared" si="112"/>
        <v>4157.6499999999996</v>
      </c>
      <c r="L1806">
        <f t="shared" si="113"/>
        <v>4157.66</v>
      </c>
      <c r="M1806">
        <f t="shared" si="114"/>
        <v>4157.66</v>
      </c>
      <c r="N1806" s="5" t="str">
        <f t="shared" si="115"/>
        <v>September 2022</v>
      </c>
    </row>
    <row r="1807" spans="1:14" x14ac:dyDescent="0.25">
      <c r="A1807" s="1">
        <v>44828</v>
      </c>
      <c r="B1807" t="s">
        <v>2456</v>
      </c>
      <c r="C1807">
        <v>55</v>
      </c>
      <c r="D1807" t="s">
        <v>14</v>
      </c>
      <c r="E1807" t="s">
        <v>10</v>
      </c>
      <c r="F1807" t="s">
        <v>11</v>
      </c>
      <c r="G1807" t="s">
        <v>27</v>
      </c>
      <c r="H1807">
        <v>1166.44</v>
      </c>
      <c r="I1807" s="8" t="str" cm="1">
        <f t="array" ref="I1807">_xlfn.IFS(C1807&lt;=15,"Children and Young Adolescents", C1807&gt;64, "Seniors", TRUE, "Working Age")</f>
        <v>Working Age</v>
      </c>
      <c r="J1807" s="6">
        <f>VLOOKUP(F1807,Analysis!$F$1:$G$5,2,FALSE)</f>
        <v>2503.6022787783854</v>
      </c>
      <c r="K1807">
        <f t="shared" si="112"/>
        <v>1283.08</v>
      </c>
      <c r="L1807">
        <f t="shared" si="113"/>
        <v>1283.0899999999999</v>
      </c>
      <c r="M1807">
        <f t="shared" si="114"/>
        <v>1283.08</v>
      </c>
      <c r="N1807" s="5" t="str">
        <f t="shared" si="115"/>
        <v>September 2022</v>
      </c>
    </row>
    <row r="1808" spans="1:14" x14ac:dyDescent="0.25">
      <c r="A1808" s="1">
        <v>44828</v>
      </c>
      <c r="B1808" t="s">
        <v>4067</v>
      </c>
      <c r="C1808">
        <v>48</v>
      </c>
      <c r="D1808" t="s">
        <v>14</v>
      </c>
      <c r="E1808" t="s">
        <v>25</v>
      </c>
      <c r="F1808" t="s">
        <v>11</v>
      </c>
      <c r="G1808" t="s">
        <v>39</v>
      </c>
      <c r="H1808">
        <v>4581.37</v>
      </c>
      <c r="I1808" s="8" t="str" cm="1">
        <f t="array" ref="I1808">_xlfn.IFS(C1808&lt;=15,"Children and Young Adolescents", C1808&gt;64, "Seniors", TRUE, "Working Age")</f>
        <v>Working Age</v>
      </c>
      <c r="J1808" s="6">
        <f>VLOOKUP(F1808,Analysis!$F$1:$G$5,2,FALSE)</f>
        <v>2503.6022787783854</v>
      </c>
      <c r="K1808">
        <f t="shared" si="112"/>
        <v>5039.5</v>
      </c>
      <c r="L1808">
        <f t="shared" si="113"/>
        <v>5039.51</v>
      </c>
      <c r="M1808">
        <f t="shared" si="114"/>
        <v>5039.51</v>
      </c>
      <c r="N1808" s="5" t="str">
        <f t="shared" si="115"/>
        <v>September 2022</v>
      </c>
    </row>
    <row r="1809" spans="1:14" x14ac:dyDescent="0.25">
      <c r="A1809" s="1">
        <v>44828</v>
      </c>
      <c r="B1809" t="s">
        <v>322</v>
      </c>
      <c r="C1809">
        <v>44</v>
      </c>
      <c r="D1809" t="s">
        <v>14</v>
      </c>
      <c r="E1809" t="s">
        <v>10</v>
      </c>
      <c r="F1809" t="s">
        <v>29</v>
      </c>
      <c r="G1809" t="s">
        <v>17</v>
      </c>
      <c r="H1809">
        <v>3809.31</v>
      </c>
      <c r="I1809" s="8" t="str" cm="1">
        <f t="array" ref="I1809">_xlfn.IFS(C1809&lt;=15,"Children and Young Adolescents", C1809&gt;64, "Seniors", TRUE, "Working Age")</f>
        <v>Working Age</v>
      </c>
      <c r="J1809" s="6">
        <f>VLOOKUP(F1809,Analysis!$F$1:$G$5,2,FALSE)</f>
        <v>2496.7676064256989</v>
      </c>
      <c r="K1809">
        <f t="shared" si="112"/>
        <v>4190.24</v>
      </c>
      <c r="L1809">
        <f t="shared" si="113"/>
        <v>4190.25</v>
      </c>
      <c r="M1809">
        <f t="shared" si="114"/>
        <v>4190.24</v>
      </c>
      <c r="N1809" s="5" t="str">
        <f t="shared" si="115"/>
        <v>September 2022</v>
      </c>
    </row>
    <row r="1810" spans="1:14" x14ac:dyDescent="0.25">
      <c r="A1810" s="1">
        <v>44828</v>
      </c>
      <c r="B1810" t="s">
        <v>4972</v>
      </c>
      <c r="C1810">
        <v>38</v>
      </c>
      <c r="D1810" t="s">
        <v>9</v>
      </c>
      <c r="E1810" t="s">
        <v>10</v>
      </c>
      <c r="F1810" t="s">
        <v>23</v>
      </c>
      <c r="G1810" t="s">
        <v>12</v>
      </c>
      <c r="H1810">
        <v>3576.56</v>
      </c>
      <c r="I1810" s="8" t="str" cm="1">
        <f t="array" ref="I1810">_xlfn.IFS(C1810&lt;=15,"Children and Young Adolescents", C1810&gt;64, "Seniors", TRUE, "Working Age")</f>
        <v>Working Age</v>
      </c>
      <c r="J1810" s="6">
        <f>VLOOKUP(F1810,Analysis!$F$1:$G$5,2,FALSE)</f>
        <v>2440.2966694490838</v>
      </c>
      <c r="K1810">
        <f t="shared" si="112"/>
        <v>3934.21</v>
      </c>
      <c r="L1810">
        <f t="shared" si="113"/>
        <v>3934.2200000000003</v>
      </c>
      <c r="M1810">
        <f t="shared" si="114"/>
        <v>3934.22</v>
      </c>
      <c r="N1810" s="5" t="str">
        <f t="shared" si="115"/>
        <v>September 2022</v>
      </c>
    </row>
    <row r="1811" spans="1:14" x14ac:dyDescent="0.25">
      <c r="A1811" s="1">
        <v>44828</v>
      </c>
      <c r="B1811" t="s">
        <v>3861</v>
      </c>
      <c r="C1811">
        <v>68</v>
      </c>
      <c r="D1811" t="s">
        <v>14</v>
      </c>
      <c r="E1811" t="s">
        <v>10</v>
      </c>
      <c r="F1811" t="s">
        <v>23</v>
      </c>
      <c r="G1811" t="s">
        <v>12</v>
      </c>
      <c r="H1811">
        <v>3015.33</v>
      </c>
      <c r="I1811" s="8" t="str" cm="1">
        <f t="array" ref="I1811">_xlfn.IFS(C1811&lt;=15,"Children and Young Adolescents", C1811&gt;64, "Seniors", TRUE, "Working Age")</f>
        <v>Seniors</v>
      </c>
      <c r="J1811" s="6">
        <f>VLOOKUP(F1811,Analysis!$F$1:$G$5,2,FALSE)</f>
        <v>2440.2966694490838</v>
      </c>
      <c r="K1811">
        <f t="shared" si="112"/>
        <v>3316.86</v>
      </c>
      <c r="L1811">
        <f t="shared" si="113"/>
        <v>3316.8700000000003</v>
      </c>
      <c r="M1811">
        <f t="shared" si="114"/>
        <v>3316.86</v>
      </c>
      <c r="N1811" s="5" t="str">
        <f t="shared" si="115"/>
        <v>September 2022</v>
      </c>
    </row>
    <row r="1812" spans="1:14" x14ac:dyDescent="0.25">
      <c r="A1812" s="1">
        <v>44829</v>
      </c>
      <c r="B1812" t="s">
        <v>4948</v>
      </c>
      <c r="C1812">
        <v>74</v>
      </c>
      <c r="D1812" t="s">
        <v>21</v>
      </c>
      <c r="E1812" t="s">
        <v>19</v>
      </c>
      <c r="F1812" t="s">
        <v>16</v>
      </c>
      <c r="G1812" t="s">
        <v>39</v>
      </c>
      <c r="H1812">
        <v>3513.97</v>
      </c>
      <c r="I1812" s="8" t="str" cm="1">
        <f t="array" ref="I1812">_xlfn.IFS(C1812&lt;=15,"Children and Young Adolescents", C1812&gt;64, "Seniors", TRUE, "Working Age")</f>
        <v>Seniors</v>
      </c>
      <c r="J1812" s="6">
        <f>VLOOKUP(F1812,Analysis!$F$1:$G$5,2,FALSE)</f>
        <v>2509.1716796874912</v>
      </c>
      <c r="K1812">
        <f t="shared" si="112"/>
        <v>3865.36</v>
      </c>
      <c r="L1812">
        <f t="shared" si="113"/>
        <v>3865.3700000000003</v>
      </c>
      <c r="M1812">
        <f t="shared" si="114"/>
        <v>3865.37</v>
      </c>
      <c r="N1812" s="5" t="str">
        <f t="shared" si="115"/>
        <v>September 2022</v>
      </c>
    </row>
    <row r="1813" spans="1:14" x14ac:dyDescent="0.25">
      <c r="A1813" s="1">
        <v>44829</v>
      </c>
      <c r="B1813" t="s">
        <v>788</v>
      </c>
      <c r="C1813">
        <v>97</v>
      </c>
      <c r="D1813" t="s">
        <v>9</v>
      </c>
      <c r="E1813" t="s">
        <v>15</v>
      </c>
      <c r="F1813" t="s">
        <v>29</v>
      </c>
      <c r="G1813" t="s">
        <v>36</v>
      </c>
      <c r="H1813">
        <v>435.59</v>
      </c>
      <c r="I1813" s="8" t="str" cm="1">
        <f t="array" ref="I1813">_xlfn.IFS(C1813&lt;=15,"Children and Young Adolescents", C1813&gt;64, "Seniors", TRUE, "Working Age")</f>
        <v>Seniors</v>
      </c>
      <c r="J1813" s="6">
        <f>VLOOKUP(F1813,Analysis!$F$1:$G$5,2,FALSE)</f>
        <v>2496.7676064256989</v>
      </c>
      <c r="K1813">
        <f t="shared" si="112"/>
        <v>479.14</v>
      </c>
      <c r="L1813">
        <f t="shared" si="113"/>
        <v>479.15</v>
      </c>
      <c r="M1813">
        <f t="shared" si="114"/>
        <v>479.15</v>
      </c>
      <c r="N1813" s="5" t="str">
        <f t="shared" si="115"/>
        <v>September 2022</v>
      </c>
    </row>
    <row r="1814" spans="1:14" x14ac:dyDescent="0.25">
      <c r="A1814" s="1">
        <v>44829</v>
      </c>
      <c r="B1814" t="s">
        <v>452</v>
      </c>
      <c r="C1814">
        <v>19</v>
      </c>
      <c r="D1814" t="s">
        <v>14</v>
      </c>
      <c r="E1814" t="s">
        <v>19</v>
      </c>
      <c r="F1814" t="s">
        <v>16</v>
      </c>
      <c r="G1814" t="s">
        <v>5033</v>
      </c>
      <c r="H1814">
        <v>390.12</v>
      </c>
      <c r="I1814" s="8" t="str" cm="1">
        <f t="array" ref="I1814">_xlfn.IFS(C1814&lt;=15,"Children and Young Adolescents", C1814&gt;64, "Seniors", TRUE, "Working Age")</f>
        <v>Working Age</v>
      </c>
      <c r="J1814" s="6">
        <f>VLOOKUP(F1814,Analysis!$F$1:$G$5,2,FALSE)</f>
        <v>2509.1716796874912</v>
      </c>
      <c r="K1814">
        <f t="shared" si="112"/>
        <v>429.13</v>
      </c>
      <c r="L1814">
        <f t="shared" si="113"/>
        <v>429.14</v>
      </c>
      <c r="M1814">
        <f t="shared" si="114"/>
        <v>429.13</v>
      </c>
      <c r="N1814" s="5" t="str">
        <f t="shared" si="115"/>
        <v>September 2022</v>
      </c>
    </row>
    <row r="1815" spans="1:14" x14ac:dyDescent="0.25">
      <c r="A1815" s="1">
        <v>44829</v>
      </c>
      <c r="B1815" t="s">
        <v>3936</v>
      </c>
      <c r="C1815">
        <v>41</v>
      </c>
      <c r="D1815" t="s">
        <v>9</v>
      </c>
      <c r="E1815" t="s">
        <v>34</v>
      </c>
      <c r="F1815" t="s">
        <v>11</v>
      </c>
      <c r="G1815" t="s">
        <v>39</v>
      </c>
      <c r="H1815">
        <v>4789.88</v>
      </c>
      <c r="I1815" s="8" t="str" cm="1">
        <f t="array" ref="I1815">_xlfn.IFS(C1815&lt;=15,"Children and Young Adolescents", C1815&gt;64, "Seniors", TRUE, "Working Age")</f>
        <v>Working Age</v>
      </c>
      <c r="J1815" s="6">
        <f>VLOOKUP(F1815,Analysis!$F$1:$G$5,2,FALSE)</f>
        <v>2503.6022787783854</v>
      </c>
      <c r="K1815">
        <f t="shared" si="112"/>
        <v>5268.86</v>
      </c>
      <c r="L1815">
        <f t="shared" si="113"/>
        <v>5268.87</v>
      </c>
      <c r="M1815">
        <f t="shared" si="114"/>
        <v>5268.87</v>
      </c>
      <c r="N1815" s="5" t="str">
        <f t="shared" si="115"/>
        <v>September 2022</v>
      </c>
    </row>
    <row r="1816" spans="1:14" x14ac:dyDescent="0.25">
      <c r="A1816" s="1">
        <v>44829</v>
      </c>
      <c r="B1816" t="s">
        <v>1426</v>
      </c>
      <c r="C1816">
        <v>80</v>
      </c>
      <c r="D1816" t="s">
        <v>14</v>
      </c>
      <c r="E1816" t="s">
        <v>34</v>
      </c>
      <c r="F1816" t="s">
        <v>29</v>
      </c>
      <c r="G1816" t="s">
        <v>12</v>
      </c>
      <c r="H1816">
        <v>551.78</v>
      </c>
      <c r="I1816" s="8" t="str" cm="1">
        <f t="array" ref="I1816">_xlfn.IFS(C1816&lt;=15,"Children and Young Adolescents", C1816&gt;64, "Seniors", TRUE, "Working Age")</f>
        <v>Seniors</v>
      </c>
      <c r="J1816" s="6">
        <f>VLOOKUP(F1816,Analysis!$F$1:$G$5,2,FALSE)</f>
        <v>2496.7676064256989</v>
      </c>
      <c r="K1816">
        <f t="shared" si="112"/>
        <v>606.95000000000005</v>
      </c>
      <c r="L1816">
        <f t="shared" si="113"/>
        <v>606.96</v>
      </c>
      <c r="M1816">
        <f t="shared" si="114"/>
        <v>606.96</v>
      </c>
      <c r="N1816" s="5" t="str">
        <f t="shared" si="115"/>
        <v>September 2022</v>
      </c>
    </row>
    <row r="1817" spans="1:14" x14ac:dyDescent="0.25">
      <c r="A1817" s="1">
        <v>44829</v>
      </c>
      <c r="B1817" t="s">
        <v>2130</v>
      </c>
      <c r="C1817">
        <v>9</v>
      </c>
      <c r="D1817" t="s">
        <v>14</v>
      </c>
      <c r="E1817" t="s">
        <v>25</v>
      </c>
      <c r="F1817" t="s">
        <v>11</v>
      </c>
      <c r="G1817" t="s">
        <v>39</v>
      </c>
      <c r="H1817">
        <v>27.29</v>
      </c>
      <c r="I1817" s="8" t="str" cm="1">
        <f t="array" ref="I1817">_xlfn.IFS(C1817&lt;=15,"Children and Young Adolescents", C1817&gt;64, "Seniors", TRUE, "Working Age")</f>
        <v>Children and Young Adolescents</v>
      </c>
      <c r="J1817" s="6">
        <f>VLOOKUP(F1817,Analysis!$F$1:$G$5,2,FALSE)</f>
        <v>2503.6022787783854</v>
      </c>
      <c r="K1817">
        <f t="shared" si="112"/>
        <v>30.01</v>
      </c>
      <c r="L1817">
        <f t="shared" si="113"/>
        <v>30.020000000000003</v>
      </c>
      <c r="M1817">
        <f t="shared" si="114"/>
        <v>30.02</v>
      </c>
      <c r="N1817" s="5" t="str">
        <f t="shared" si="115"/>
        <v>September 2022</v>
      </c>
    </row>
    <row r="1818" spans="1:14" x14ac:dyDescent="0.25">
      <c r="A1818" s="1">
        <v>44829</v>
      </c>
      <c r="B1818" t="s">
        <v>3548</v>
      </c>
      <c r="C1818">
        <v>98</v>
      </c>
      <c r="D1818" t="s">
        <v>21</v>
      </c>
      <c r="E1818" t="s">
        <v>25</v>
      </c>
      <c r="F1818" t="s">
        <v>29</v>
      </c>
      <c r="G1818" t="s">
        <v>17</v>
      </c>
      <c r="H1818">
        <v>1167.83</v>
      </c>
      <c r="I1818" s="8" t="str" cm="1">
        <f t="array" ref="I1818">_xlfn.IFS(C1818&lt;=15,"Children and Young Adolescents", C1818&gt;64, "Seniors", TRUE, "Working Age")</f>
        <v>Seniors</v>
      </c>
      <c r="J1818" s="6">
        <f>VLOOKUP(F1818,Analysis!$F$1:$G$5,2,FALSE)</f>
        <v>2496.7676064256989</v>
      </c>
      <c r="K1818">
        <f t="shared" si="112"/>
        <v>1284.6099999999999</v>
      </c>
      <c r="L1818">
        <f t="shared" si="113"/>
        <v>1284.6199999999999</v>
      </c>
      <c r="M1818">
        <f t="shared" si="114"/>
        <v>1284.6099999999999</v>
      </c>
      <c r="N1818" s="5" t="str">
        <f t="shared" si="115"/>
        <v>September 2022</v>
      </c>
    </row>
    <row r="1819" spans="1:14" x14ac:dyDescent="0.25">
      <c r="A1819" s="1">
        <v>44829</v>
      </c>
      <c r="B1819" t="s">
        <v>2339</v>
      </c>
      <c r="C1819">
        <v>99</v>
      </c>
      <c r="D1819" t="s">
        <v>14</v>
      </c>
      <c r="E1819" t="s">
        <v>22</v>
      </c>
      <c r="F1819" t="s">
        <v>16</v>
      </c>
      <c r="G1819" t="s">
        <v>36</v>
      </c>
      <c r="H1819">
        <v>3932.7</v>
      </c>
      <c r="I1819" s="8" t="str" cm="1">
        <f t="array" ref="I1819">_xlfn.IFS(C1819&lt;=15,"Children and Young Adolescents", C1819&gt;64, "Seniors", TRUE, "Working Age")</f>
        <v>Seniors</v>
      </c>
      <c r="J1819" s="6">
        <f>VLOOKUP(F1819,Analysis!$F$1:$G$5,2,FALSE)</f>
        <v>2509.1716796874912</v>
      </c>
      <c r="K1819">
        <f t="shared" si="112"/>
        <v>4325.97</v>
      </c>
      <c r="L1819">
        <f t="shared" si="113"/>
        <v>4325.97</v>
      </c>
      <c r="M1819">
        <f t="shared" si="114"/>
        <v>4325.97</v>
      </c>
      <c r="N1819" s="5" t="str">
        <f t="shared" si="115"/>
        <v>September 2022</v>
      </c>
    </row>
    <row r="1820" spans="1:14" x14ac:dyDescent="0.25">
      <c r="A1820" s="1">
        <v>44830</v>
      </c>
      <c r="B1820" t="s">
        <v>3456</v>
      </c>
      <c r="C1820">
        <v>26</v>
      </c>
      <c r="D1820" t="s">
        <v>9</v>
      </c>
      <c r="E1820" t="s">
        <v>34</v>
      </c>
      <c r="F1820" t="s">
        <v>23</v>
      </c>
      <c r="G1820" t="s">
        <v>36</v>
      </c>
      <c r="H1820">
        <v>482.86</v>
      </c>
      <c r="I1820" s="8" t="str" cm="1">
        <f t="array" ref="I1820">_xlfn.IFS(C1820&lt;=15,"Children and Young Adolescents", C1820&gt;64, "Seniors", TRUE, "Working Age")</f>
        <v>Working Age</v>
      </c>
      <c r="J1820" s="6">
        <f>VLOOKUP(F1820,Analysis!$F$1:$G$5,2,FALSE)</f>
        <v>2440.2966694490838</v>
      </c>
      <c r="K1820">
        <f t="shared" si="112"/>
        <v>531.14</v>
      </c>
      <c r="L1820">
        <f t="shared" si="113"/>
        <v>531.15</v>
      </c>
      <c r="M1820">
        <f t="shared" si="114"/>
        <v>531.15</v>
      </c>
      <c r="N1820" s="5" t="str">
        <f t="shared" si="115"/>
        <v>September 2022</v>
      </c>
    </row>
    <row r="1821" spans="1:14" x14ac:dyDescent="0.25">
      <c r="A1821" s="1">
        <v>44830</v>
      </c>
      <c r="B1821" t="s">
        <v>1912</v>
      </c>
      <c r="C1821">
        <v>75</v>
      </c>
      <c r="D1821" t="s">
        <v>14</v>
      </c>
      <c r="E1821" t="s">
        <v>10</v>
      </c>
      <c r="F1821" t="s">
        <v>29</v>
      </c>
      <c r="G1821" t="s">
        <v>36</v>
      </c>
      <c r="H1821">
        <v>2275.6</v>
      </c>
      <c r="I1821" s="8" t="str" cm="1">
        <f t="array" ref="I1821">_xlfn.IFS(C1821&lt;=15,"Children and Young Adolescents", C1821&gt;64, "Seniors", TRUE, "Working Age")</f>
        <v>Seniors</v>
      </c>
      <c r="J1821" s="6">
        <f>VLOOKUP(F1821,Analysis!$F$1:$G$5,2,FALSE)</f>
        <v>2496.7676064256989</v>
      </c>
      <c r="K1821">
        <f t="shared" si="112"/>
        <v>2503.16</v>
      </c>
      <c r="L1821">
        <f t="shared" si="113"/>
        <v>2503.16</v>
      </c>
      <c r="M1821">
        <f t="shared" si="114"/>
        <v>2503.16</v>
      </c>
      <c r="N1821" s="5" t="str">
        <f t="shared" si="115"/>
        <v>September 2022</v>
      </c>
    </row>
    <row r="1822" spans="1:14" x14ac:dyDescent="0.25">
      <c r="A1822" s="1">
        <v>44830</v>
      </c>
      <c r="B1822" t="s">
        <v>4455</v>
      </c>
      <c r="C1822">
        <v>24</v>
      </c>
      <c r="D1822" t="s">
        <v>14</v>
      </c>
      <c r="E1822" t="s">
        <v>32</v>
      </c>
      <c r="F1822" t="s">
        <v>16</v>
      </c>
      <c r="G1822" t="s">
        <v>17</v>
      </c>
      <c r="H1822">
        <v>1238.79</v>
      </c>
      <c r="I1822" s="8" t="str" cm="1">
        <f t="array" ref="I1822">_xlfn.IFS(C1822&lt;=15,"Children and Young Adolescents", C1822&gt;64, "Seniors", TRUE, "Working Age")</f>
        <v>Working Age</v>
      </c>
      <c r="J1822" s="6">
        <f>VLOOKUP(F1822,Analysis!$F$1:$G$5,2,FALSE)</f>
        <v>2509.1716796874912</v>
      </c>
      <c r="K1822">
        <f t="shared" si="112"/>
        <v>1362.66</v>
      </c>
      <c r="L1822">
        <f t="shared" si="113"/>
        <v>1362.67</v>
      </c>
      <c r="M1822">
        <f t="shared" si="114"/>
        <v>1362.67</v>
      </c>
      <c r="N1822" s="5" t="str">
        <f t="shared" si="115"/>
        <v>September 2022</v>
      </c>
    </row>
    <row r="1823" spans="1:14" x14ac:dyDescent="0.25">
      <c r="A1823" s="1">
        <v>44830</v>
      </c>
      <c r="B1823" t="s">
        <v>4268</v>
      </c>
      <c r="C1823">
        <v>2</v>
      </c>
      <c r="D1823" t="s">
        <v>14</v>
      </c>
      <c r="E1823" t="s">
        <v>19</v>
      </c>
      <c r="F1823" t="s">
        <v>11</v>
      </c>
      <c r="G1823" t="s">
        <v>36</v>
      </c>
      <c r="H1823">
        <v>1703.35</v>
      </c>
      <c r="I1823" s="8" t="str" cm="1">
        <f t="array" ref="I1823">_xlfn.IFS(C1823&lt;=15,"Children and Young Adolescents", C1823&gt;64, "Seniors", TRUE, "Working Age")</f>
        <v>Children and Young Adolescents</v>
      </c>
      <c r="J1823" s="6">
        <f>VLOOKUP(F1823,Analysis!$F$1:$G$5,2,FALSE)</f>
        <v>2503.6022787783854</v>
      </c>
      <c r="K1823">
        <f t="shared" si="112"/>
        <v>1873.68</v>
      </c>
      <c r="L1823">
        <f t="shared" si="113"/>
        <v>1873.69</v>
      </c>
      <c r="M1823">
        <f t="shared" si="114"/>
        <v>1873.69</v>
      </c>
      <c r="N1823" s="5" t="str">
        <f t="shared" si="115"/>
        <v>September 2022</v>
      </c>
    </row>
    <row r="1824" spans="1:14" x14ac:dyDescent="0.25">
      <c r="A1824" s="1">
        <v>44830</v>
      </c>
      <c r="B1824" t="s">
        <v>4264</v>
      </c>
      <c r="C1824">
        <v>10</v>
      </c>
      <c r="D1824" t="s">
        <v>9</v>
      </c>
      <c r="E1824" t="s">
        <v>34</v>
      </c>
      <c r="F1824" t="s">
        <v>29</v>
      </c>
      <c r="G1824" t="s">
        <v>27</v>
      </c>
      <c r="H1824">
        <v>1245.19</v>
      </c>
      <c r="I1824" s="8" t="str" cm="1">
        <f t="array" ref="I1824">_xlfn.IFS(C1824&lt;=15,"Children and Young Adolescents", C1824&gt;64, "Seniors", TRUE, "Working Age")</f>
        <v>Children and Young Adolescents</v>
      </c>
      <c r="J1824" s="6">
        <f>VLOOKUP(F1824,Analysis!$F$1:$G$5,2,FALSE)</f>
        <v>2496.7676064256989</v>
      </c>
      <c r="K1824">
        <f t="shared" si="112"/>
        <v>1369.7</v>
      </c>
      <c r="L1824">
        <f t="shared" si="113"/>
        <v>1369.71</v>
      </c>
      <c r="M1824">
        <f t="shared" si="114"/>
        <v>1369.71</v>
      </c>
      <c r="N1824" s="5" t="str">
        <f t="shared" si="115"/>
        <v>September 2022</v>
      </c>
    </row>
    <row r="1825" spans="1:14" x14ac:dyDescent="0.25">
      <c r="A1825" s="1">
        <v>44830</v>
      </c>
      <c r="B1825" t="s">
        <v>3081</v>
      </c>
      <c r="C1825">
        <v>85</v>
      </c>
      <c r="D1825" t="s">
        <v>9</v>
      </c>
      <c r="E1825" t="s">
        <v>22</v>
      </c>
      <c r="F1825" t="s">
        <v>11</v>
      </c>
      <c r="G1825" t="s">
        <v>12</v>
      </c>
      <c r="H1825">
        <v>1929.04</v>
      </c>
      <c r="I1825" s="8" t="str" cm="1">
        <f t="array" ref="I1825">_xlfn.IFS(C1825&lt;=15,"Children and Young Adolescents", C1825&gt;64, "Seniors", TRUE, "Working Age")</f>
        <v>Seniors</v>
      </c>
      <c r="J1825" s="6">
        <f>VLOOKUP(F1825,Analysis!$F$1:$G$5,2,FALSE)</f>
        <v>2503.6022787783854</v>
      </c>
      <c r="K1825">
        <f t="shared" si="112"/>
        <v>2121.94</v>
      </c>
      <c r="L1825">
        <f t="shared" si="113"/>
        <v>2121.9500000000003</v>
      </c>
      <c r="M1825">
        <f t="shared" si="114"/>
        <v>2121.94</v>
      </c>
      <c r="N1825" s="5" t="str">
        <f t="shared" si="115"/>
        <v>September 2022</v>
      </c>
    </row>
    <row r="1826" spans="1:14" x14ac:dyDescent="0.25">
      <c r="A1826" s="1">
        <v>44830</v>
      </c>
      <c r="B1826" t="s">
        <v>4178</v>
      </c>
      <c r="C1826">
        <v>69</v>
      </c>
      <c r="D1826" t="s">
        <v>21</v>
      </c>
      <c r="E1826" t="s">
        <v>22</v>
      </c>
      <c r="F1826" t="s">
        <v>16</v>
      </c>
      <c r="G1826" t="s">
        <v>39</v>
      </c>
      <c r="H1826">
        <v>768.12</v>
      </c>
      <c r="I1826" s="8" t="str" cm="1">
        <f t="array" ref="I1826">_xlfn.IFS(C1826&lt;=15,"Children and Young Adolescents", C1826&gt;64, "Seniors", TRUE, "Working Age")</f>
        <v>Seniors</v>
      </c>
      <c r="J1826" s="6">
        <f>VLOOKUP(F1826,Analysis!$F$1:$G$5,2,FALSE)</f>
        <v>2509.1716796874912</v>
      </c>
      <c r="K1826">
        <f t="shared" si="112"/>
        <v>844.93</v>
      </c>
      <c r="L1826">
        <f t="shared" si="113"/>
        <v>844.93999999999994</v>
      </c>
      <c r="M1826">
        <f t="shared" si="114"/>
        <v>844.93</v>
      </c>
      <c r="N1826" s="5" t="str">
        <f t="shared" si="115"/>
        <v>September 2022</v>
      </c>
    </row>
    <row r="1827" spans="1:14" x14ac:dyDescent="0.25">
      <c r="A1827" s="1">
        <v>44830</v>
      </c>
      <c r="B1827" t="s">
        <v>4546</v>
      </c>
      <c r="C1827">
        <v>34</v>
      </c>
      <c r="D1827" t="s">
        <v>9</v>
      </c>
      <c r="E1827" t="s">
        <v>22</v>
      </c>
      <c r="F1827" t="s">
        <v>23</v>
      </c>
      <c r="G1827" t="s">
        <v>27</v>
      </c>
      <c r="H1827">
        <v>3223.33</v>
      </c>
      <c r="I1827" s="8" t="str" cm="1">
        <f t="array" ref="I1827">_xlfn.IFS(C1827&lt;=15,"Children and Young Adolescents", C1827&gt;64, "Seniors", TRUE, "Working Age")</f>
        <v>Working Age</v>
      </c>
      <c r="J1827" s="6">
        <f>VLOOKUP(F1827,Analysis!$F$1:$G$5,2,FALSE)</f>
        <v>2440.2966694490838</v>
      </c>
      <c r="K1827">
        <f t="shared" si="112"/>
        <v>3545.66</v>
      </c>
      <c r="L1827">
        <f t="shared" si="113"/>
        <v>3545.67</v>
      </c>
      <c r="M1827">
        <f t="shared" si="114"/>
        <v>3545.66</v>
      </c>
      <c r="N1827" s="5" t="str">
        <f t="shared" si="115"/>
        <v>September 2022</v>
      </c>
    </row>
    <row r="1828" spans="1:14" x14ac:dyDescent="0.25">
      <c r="A1828" s="1">
        <v>44830</v>
      </c>
      <c r="B1828" t="s">
        <v>1674</v>
      </c>
      <c r="C1828">
        <v>70</v>
      </c>
      <c r="D1828" t="s">
        <v>21</v>
      </c>
      <c r="E1828" t="s">
        <v>32</v>
      </c>
      <c r="F1828" t="s">
        <v>29</v>
      </c>
      <c r="G1828" t="s">
        <v>39</v>
      </c>
      <c r="H1828">
        <v>430.67</v>
      </c>
      <c r="I1828" s="8" t="str" cm="1">
        <f t="array" ref="I1828">_xlfn.IFS(C1828&lt;=15,"Children and Young Adolescents", C1828&gt;64, "Seniors", TRUE, "Working Age")</f>
        <v>Seniors</v>
      </c>
      <c r="J1828" s="6">
        <f>VLOOKUP(F1828,Analysis!$F$1:$G$5,2,FALSE)</f>
        <v>2496.7676064256989</v>
      </c>
      <c r="K1828">
        <f t="shared" si="112"/>
        <v>473.73</v>
      </c>
      <c r="L1828">
        <f t="shared" si="113"/>
        <v>473.74</v>
      </c>
      <c r="M1828">
        <f t="shared" si="114"/>
        <v>473.74</v>
      </c>
      <c r="N1828" s="5" t="str">
        <f t="shared" si="115"/>
        <v>September 2022</v>
      </c>
    </row>
    <row r="1829" spans="1:14" x14ac:dyDescent="0.25">
      <c r="A1829" s="1">
        <v>44831</v>
      </c>
      <c r="B1829" t="s">
        <v>1223</v>
      </c>
      <c r="C1829">
        <v>95</v>
      </c>
      <c r="D1829" t="s">
        <v>9</v>
      </c>
      <c r="E1829" t="s">
        <v>15</v>
      </c>
      <c r="F1829" t="s">
        <v>11</v>
      </c>
      <c r="G1829" t="s">
        <v>17</v>
      </c>
      <c r="H1829">
        <v>1430.81</v>
      </c>
      <c r="I1829" s="8" t="str" cm="1">
        <f t="array" ref="I1829">_xlfn.IFS(C1829&lt;=15,"Children and Young Adolescents", C1829&gt;64, "Seniors", TRUE, "Working Age")</f>
        <v>Seniors</v>
      </c>
      <c r="J1829" s="6">
        <f>VLOOKUP(F1829,Analysis!$F$1:$G$5,2,FALSE)</f>
        <v>2503.6022787783854</v>
      </c>
      <c r="K1829">
        <f t="shared" si="112"/>
        <v>1573.89</v>
      </c>
      <c r="L1829">
        <f t="shared" si="113"/>
        <v>1573.9</v>
      </c>
      <c r="M1829">
        <f t="shared" si="114"/>
        <v>1573.89</v>
      </c>
      <c r="N1829" s="5" t="str">
        <f t="shared" si="115"/>
        <v>September 2022</v>
      </c>
    </row>
    <row r="1830" spans="1:14" x14ac:dyDescent="0.25">
      <c r="A1830" s="1">
        <v>44831</v>
      </c>
      <c r="B1830" t="s">
        <v>2520</v>
      </c>
      <c r="C1830">
        <v>29</v>
      </c>
      <c r="D1830" t="s">
        <v>14</v>
      </c>
      <c r="E1830" t="s">
        <v>19</v>
      </c>
      <c r="F1830" t="s">
        <v>11</v>
      </c>
      <c r="G1830" t="s">
        <v>36</v>
      </c>
      <c r="H1830">
        <v>1663.69</v>
      </c>
      <c r="I1830" s="8" t="str" cm="1">
        <f t="array" ref="I1830">_xlfn.IFS(C1830&lt;=15,"Children and Young Adolescents", C1830&gt;64, "Seniors", TRUE, "Working Age")</f>
        <v>Working Age</v>
      </c>
      <c r="J1830" s="6">
        <f>VLOOKUP(F1830,Analysis!$F$1:$G$5,2,FALSE)</f>
        <v>2503.6022787783854</v>
      </c>
      <c r="K1830">
        <f t="shared" si="112"/>
        <v>1830.05</v>
      </c>
      <c r="L1830">
        <f t="shared" si="113"/>
        <v>1830.06</v>
      </c>
      <c r="M1830">
        <f t="shared" si="114"/>
        <v>1830.06</v>
      </c>
      <c r="N1830" s="5" t="str">
        <f t="shared" si="115"/>
        <v>September 2022</v>
      </c>
    </row>
    <row r="1831" spans="1:14" x14ac:dyDescent="0.25">
      <c r="A1831" s="1">
        <v>44831</v>
      </c>
      <c r="B1831" t="s">
        <v>1929</v>
      </c>
      <c r="C1831">
        <v>52</v>
      </c>
      <c r="D1831" t="s">
        <v>9</v>
      </c>
      <c r="E1831" t="s">
        <v>19</v>
      </c>
      <c r="F1831" t="s">
        <v>23</v>
      </c>
      <c r="G1831" t="s">
        <v>17</v>
      </c>
      <c r="H1831">
        <v>583.67999999999995</v>
      </c>
      <c r="I1831" s="8" t="str" cm="1">
        <f t="array" ref="I1831">_xlfn.IFS(C1831&lt;=15,"Children and Young Adolescents", C1831&gt;64, "Seniors", TRUE, "Working Age")</f>
        <v>Working Age</v>
      </c>
      <c r="J1831" s="6">
        <f>VLOOKUP(F1831,Analysis!$F$1:$G$5,2,FALSE)</f>
        <v>2440.2966694490838</v>
      </c>
      <c r="K1831">
        <f t="shared" si="112"/>
        <v>642.04</v>
      </c>
      <c r="L1831">
        <f t="shared" si="113"/>
        <v>642.04999999999995</v>
      </c>
      <c r="M1831">
        <f t="shared" si="114"/>
        <v>642.04999999999995</v>
      </c>
      <c r="N1831" s="5" t="str">
        <f t="shared" si="115"/>
        <v>September 2022</v>
      </c>
    </row>
    <row r="1832" spans="1:14" x14ac:dyDescent="0.25">
      <c r="A1832" s="1">
        <v>44831</v>
      </c>
      <c r="B1832" t="s">
        <v>4740</v>
      </c>
      <c r="C1832">
        <v>24</v>
      </c>
      <c r="D1832" t="s">
        <v>21</v>
      </c>
      <c r="E1832" t="s">
        <v>22</v>
      </c>
      <c r="F1832" t="s">
        <v>16</v>
      </c>
      <c r="G1832" t="s">
        <v>27</v>
      </c>
      <c r="H1832">
        <v>471.68</v>
      </c>
      <c r="I1832" s="8" t="str" cm="1">
        <f t="array" ref="I1832">_xlfn.IFS(C1832&lt;=15,"Children and Young Adolescents", C1832&gt;64, "Seniors", TRUE, "Working Age")</f>
        <v>Working Age</v>
      </c>
      <c r="J1832" s="6">
        <f>VLOOKUP(F1832,Analysis!$F$1:$G$5,2,FALSE)</f>
        <v>2509.1716796874912</v>
      </c>
      <c r="K1832">
        <f t="shared" si="112"/>
        <v>518.84</v>
      </c>
      <c r="L1832">
        <f t="shared" si="113"/>
        <v>518.85</v>
      </c>
      <c r="M1832">
        <f t="shared" si="114"/>
        <v>518.85</v>
      </c>
      <c r="N1832" s="5" t="str">
        <f t="shared" si="115"/>
        <v>September 2022</v>
      </c>
    </row>
    <row r="1833" spans="1:14" x14ac:dyDescent="0.25">
      <c r="A1833" s="1">
        <v>44831</v>
      </c>
      <c r="B1833" t="s">
        <v>2238</v>
      </c>
      <c r="C1833">
        <v>52</v>
      </c>
      <c r="D1833" t="s">
        <v>14</v>
      </c>
      <c r="E1833" t="s">
        <v>15</v>
      </c>
      <c r="F1833" t="s">
        <v>16</v>
      </c>
      <c r="G1833" t="s">
        <v>17</v>
      </c>
      <c r="H1833">
        <v>4015.57</v>
      </c>
      <c r="I1833" s="8" t="str" cm="1">
        <f t="array" ref="I1833">_xlfn.IFS(C1833&lt;=15,"Children and Young Adolescents", C1833&gt;64, "Seniors", TRUE, "Working Age")</f>
        <v>Working Age</v>
      </c>
      <c r="J1833" s="6">
        <f>VLOOKUP(F1833,Analysis!$F$1:$G$5,2,FALSE)</f>
        <v>2509.1716796874912</v>
      </c>
      <c r="K1833">
        <f t="shared" si="112"/>
        <v>4417.12</v>
      </c>
      <c r="L1833">
        <f t="shared" si="113"/>
        <v>4417.13</v>
      </c>
      <c r="M1833">
        <f t="shared" si="114"/>
        <v>4417.13</v>
      </c>
      <c r="N1833" s="5" t="str">
        <f t="shared" si="115"/>
        <v>September 2022</v>
      </c>
    </row>
    <row r="1834" spans="1:14" x14ac:dyDescent="0.25">
      <c r="A1834" s="1">
        <v>44831</v>
      </c>
      <c r="B1834" t="s">
        <v>3986</v>
      </c>
      <c r="C1834">
        <v>19</v>
      </c>
      <c r="D1834" t="s">
        <v>9</v>
      </c>
      <c r="E1834" t="s">
        <v>25</v>
      </c>
      <c r="F1834" t="s">
        <v>29</v>
      </c>
      <c r="G1834" t="s">
        <v>27</v>
      </c>
      <c r="H1834">
        <v>1483.47</v>
      </c>
      <c r="I1834" s="8" t="str" cm="1">
        <f t="array" ref="I1834">_xlfn.IFS(C1834&lt;=15,"Children and Young Adolescents", C1834&gt;64, "Seniors", TRUE, "Working Age")</f>
        <v>Working Age</v>
      </c>
      <c r="J1834" s="6">
        <f>VLOOKUP(F1834,Analysis!$F$1:$G$5,2,FALSE)</f>
        <v>2496.7676064256989</v>
      </c>
      <c r="K1834">
        <f t="shared" si="112"/>
        <v>1631.81</v>
      </c>
      <c r="L1834">
        <f t="shared" si="113"/>
        <v>1631.82</v>
      </c>
      <c r="M1834">
        <f t="shared" si="114"/>
        <v>1631.82</v>
      </c>
      <c r="N1834" s="5" t="str">
        <f t="shared" si="115"/>
        <v>September 2022</v>
      </c>
    </row>
    <row r="1835" spans="1:14" x14ac:dyDescent="0.25">
      <c r="A1835" s="1">
        <v>44831</v>
      </c>
      <c r="B1835" t="s">
        <v>2513</v>
      </c>
      <c r="C1835">
        <v>94</v>
      </c>
      <c r="D1835" t="s">
        <v>14</v>
      </c>
      <c r="E1835" t="s">
        <v>5032</v>
      </c>
      <c r="F1835" t="s">
        <v>11</v>
      </c>
      <c r="G1835" t="s">
        <v>27</v>
      </c>
      <c r="H1835">
        <v>4239.66</v>
      </c>
      <c r="I1835" s="8" t="str" cm="1">
        <f t="array" ref="I1835">_xlfn.IFS(C1835&lt;=15,"Children and Young Adolescents", C1835&gt;64, "Seniors", TRUE, "Working Age")</f>
        <v>Seniors</v>
      </c>
      <c r="J1835" s="6">
        <f>VLOOKUP(F1835,Analysis!$F$1:$G$5,2,FALSE)</f>
        <v>2503.6022787783854</v>
      </c>
      <c r="K1835">
        <f t="shared" si="112"/>
        <v>4663.62</v>
      </c>
      <c r="L1835">
        <f t="shared" si="113"/>
        <v>4663.63</v>
      </c>
      <c r="M1835">
        <f t="shared" si="114"/>
        <v>4663.63</v>
      </c>
      <c r="N1835" s="5" t="str">
        <f t="shared" si="115"/>
        <v>September 2022</v>
      </c>
    </row>
    <row r="1836" spans="1:14" x14ac:dyDescent="0.25">
      <c r="A1836" s="1">
        <v>44831</v>
      </c>
      <c r="B1836" t="s">
        <v>3205</v>
      </c>
      <c r="C1836">
        <v>8</v>
      </c>
      <c r="D1836" t="s">
        <v>14</v>
      </c>
      <c r="E1836" t="s">
        <v>19</v>
      </c>
      <c r="F1836" t="s">
        <v>11</v>
      </c>
      <c r="G1836" t="s">
        <v>39</v>
      </c>
      <c r="H1836">
        <v>2063.06</v>
      </c>
      <c r="I1836" s="8" t="str" cm="1">
        <f t="array" ref="I1836">_xlfn.IFS(C1836&lt;=15,"Children and Young Adolescents", C1836&gt;64, "Seniors", TRUE, "Working Age")</f>
        <v>Children and Young Adolescents</v>
      </c>
      <c r="J1836" s="6">
        <f>VLOOKUP(F1836,Analysis!$F$1:$G$5,2,FALSE)</f>
        <v>2503.6022787783854</v>
      </c>
      <c r="K1836">
        <f t="shared" si="112"/>
        <v>2269.36</v>
      </c>
      <c r="L1836">
        <f t="shared" si="113"/>
        <v>2269.3700000000003</v>
      </c>
      <c r="M1836">
        <f t="shared" si="114"/>
        <v>2269.37</v>
      </c>
      <c r="N1836" s="5" t="str">
        <f t="shared" si="115"/>
        <v>September 2022</v>
      </c>
    </row>
    <row r="1837" spans="1:14" x14ac:dyDescent="0.25">
      <c r="A1837" s="1">
        <v>44832</v>
      </c>
      <c r="B1837" t="s">
        <v>3972</v>
      </c>
      <c r="C1837">
        <v>38</v>
      </c>
      <c r="D1837" t="s">
        <v>9</v>
      </c>
      <c r="E1837" t="s">
        <v>19</v>
      </c>
      <c r="F1837" t="s">
        <v>29</v>
      </c>
      <c r="G1837" t="s">
        <v>27</v>
      </c>
      <c r="H1837">
        <v>1031.17</v>
      </c>
      <c r="I1837" s="8" t="str" cm="1">
        <f t="array" ref="I1837">_xlfn.IFS(C1837&lt;=15,"Children and Young Adolescents", C1837&gt;64, "Seniors", TRUE, "Working Age")</f>
        <v>Working Age</v>
      </c>
      <c r="J1837" s="6">
        <f>VLOOKUP(F1837,Analysis!$F$1:$G$5,2,FALSE)</f>
        <v>2496.7676064256989</v>
      </c>
      <c r="K1837">
        <f t="shared" si="112"/>
        <v>1134.28</v>
      </c>
      <c r="L1837">
        <f t="shared" si="113"/>
        <v>1134.29</v>
      </c>
      <c r="M1837">
        <f t="shared" si="114"/>
        <v>1134.29</v>
      </c>
      <c r="N1837" s="5" t="str">
        <f t="shared" si="115"/>
        <v>September 2022</v>
      </c>
    </row>
    <row r="1838" spans="1:14" x14ac:dyDescent="0.25">
      <c r="A1838" s="1">
        <v>44832</v>
      </c>
      <c r="B1838" t="s">
        <v>534</v>
      </c>
      <c r="C1838">
        <v>22</v>
      </c>
      <c r="D1838" t="s">
        <v>9</v>
      </c>
      <c r="E1838" t="s">
        <v>22</v>
      </c>
      <c r="F1838" t="s">
        <v>11</v>
      </c>
      <c r="G1838" t="s">
        <v>12</v>
      </c>
      <c r="H1838">
        <v>4379.32</v>
      </c>
      <c r="I1838" s="8" t="str" cm="1">
        <f t="array" ref="I1838">_xlfn.IFS(C1838&lt;=15,"Children and Young Adolescents", C1838&gt;64, "Seniors", TRUE, "Working Age")</f>
        <v>Working Age</v>
      </c>
      <c r="J1838" s="6">
        <f>VLOOKUP(F1838,Analysis!$F$1:$G$5,2,FALSE)</f>
        <v>2503.6022787783854</v>
      </c>
      <c r="K1838">
        <f t="shared" si="112"/>
        <v>4817.25</v>
      </c>
      <c r="L1838">
        <f t="shared" si="113"/>
        <v>4817.26</v>
      </c>
      <c r="M1838">
        <f t="shared" si="114"/>
        <v>4817.25</v>
      </c>
      <c r="N1838" s="5" t="str">
        <f t="shared" si="115"/>
        <v>September 2022</v>
      </c>
    </row>
    <row r="1839" spans="1:14" x14ac:dyDescent="0.25">
      <c r="A1839" s="1">
        <v>44832</v>
      </c>
      <c r="B1839" t="s">
        <v>3041</v>
      </c>
      <c r="C1839">
        <v>75</v>
      </c>
      <c r="D1839" t="s">
        <v>21</v>
      </c>
      <c r="E1839" t="s">
        <v>19</v>
      </c>
      <c r="F1839" t="s">
        <v>29</v>
      </c>
      <c r="G1839" t="s">
        <v>17</v>
      </c>
      <c r="H1839">
        <v>128.85</v>
      </c>
      <c r="I1839" s="8" t="str" cm="1">
        <f t="array" ref="I1839">_xlfn.IFS(C1839&lt;=15,"Children and Young Adolescents", C1839&gt;64, "Seniors", TRUE, "Working Age")</f>
        <v>Seniors</v>
      </c>
      <c r="J1839" s="6">
        <f>VLOOKUP(F1839,Analysis!$F$1:$G$5,2,FALSE)</f>
        <v>2496.7676064256989</v>
      </c>
      <c r="K1839">
        <f t="shared" si="112"/>
        <v>141.72999999999999</v>
      </c>
      <c r="L1839">
        <f t="shared" si="113"/>
        <v>141.73999999999998</v>
      </c>
      <c r="M1839">
        <f t="shared" si="114"/>
        <v>141.74</v>
      </c>
      <c r="N1839" s="5" t="str">
        <f t="shared" si="115"/>
        <v>September 2022</v>
      </c>
    </row>
    <row r="1840" spans="1:14" x14ac:dyDescent="0.25">
      <c r="A1840" s="1">
        <v>44832</v>
      </c>
      <c r="B1840" t="s">
        <v>3641</v>
      </c>
      <c r="C1840">
        <v>36</v>
      </c>
      <c r="D1840" t="s">
        <v>14</v>
      </c>
      <c r="E1840" t="s">
        <v>34</v>
      </c>
      <c r="F1840" t="s">
        <v>23</v>
      </c>
      <c r="G1840" t="s">
        <v>12</v>
      </c>
      <c r="H1840">
        <v>3843.77</v>
      </c>
      <c r="I1840" s="8" t="str" cm="1">
        <f t="array" ref="I1840">_xlfn.IFS(C1840&lt;=15,"Children and Young Adolescents", C1840&gt;64, "Seniors", TRUE, "Working Age")</f>
        <v>Working Age</v>
      </c>
      <c r="J1840" s="6">
        <f>VLOOKUP(F1840,Analysis!$F$1:$G$5,2,FALSE)</f>
        <v>2440.2966694490838</v>
      </c>
      <c r="K1840">
        <f t="shared" si="112"/>
        <v>4228.1400000000003</v>
      </c>
      <c r="L1840">
        <f t="shared" si="113"/>
        <v>4228.1500000000005</v>
      </c>
      <c r="M1840">
        <f t="shared" si="114"/>
        <v>4228.1499999999996</v>
      </c>
      <c r="N1840" s="5" t="str">
        <f t="shared" si="115"/>
        <v>September 2022</v>
      </c>
    </row>
    <row r="1841" spans="1:14" x14ac:dyDescent="0.25">
      <c r="A1841" s="1">
        <v>44832</v>
      </c>
      <c r="B1841" t="s">
        <v>1521</v>
      </c>
      <c r="C1841">
        <v>76</v>
      </c>
      <c r="D1841" t="s">
        <v>21</v>
      </c>
      <c r="E1841" t="s">
        <v>5032</v>
      </c>
      <c r="F1841" t="s">
        <v>23</v>
      </c>
      <c r="G1841" t="s">
        <v>36</v>
      </c>
      <c r="H1841">
        <v>1770.34</v>
      </c>
      <c r="I1841" s="8" t="str" cm="1">
        <f t="array" ref="I1841">_xlfn.IFS(C1841&lt;=15,"Children and Young Adolescents", C1841&gt;64, "Seniors", TRUE, "Working Age")</f>
        <v>Seniors</v>
      </c>
      <c r="J1841" s="6">
        <f>VLOOKUP(F1841,Analysis!$F$1:$G$5,2,FALSE)</f>
        <v>2440.2966694490838</v>
      </c>
      <c r="K1841">
        <f t="shared" si="112"/>
        <v>1947.37</v>
      </c>
      <c r="L1841">
        <f t="shared" si="113"/>
        <v>1947.3799999999999</v>
      </c>
      <c r="M1841">
        <f t="shared" si="114"/>
        <v>1947.37</v>
      </c>
      <c r="N1841" s="5" t="str">
        <f t="shared" si="115"/>
        <v>September 2022</v>
      </c>
    </row>
    <row r="1842" spans="1:14" x14ac:dyDescent="0.25">
      <c r="A1842" s="1">
        <v>44832</v>
      </c>
      <c r="B1842" t="s">
        <v>1230</v>
      </c>
      <c r="C1842">
        <v>96</v>
      </c>
      <c r="D1842" t="s">
        <v>14</v>
      </c>
      <c r="E1842" t="s">
        <v>32</v>
      </c>
      <c r="F1842" t="s">
        <v>23</v>
      </c>
      <c r="G1842" t="s">
        <v>27</v>
      </c>
      <c r="H1842">
        <v>1174.0999999999999</v>
      </c>
      <c r="I1842" s="8" t="str" cm="1">
        <f t="array" ref="I1842">_xlfn.IFS(C1842&lt;=15,"Children and Young Adolescents", C1842&gt;64, "Seniors", TRUE, "Working Age")</f>
        <v>Seniors</v>
      </c>
      <c r="J1842" s="6">
        <f>VLOOKUP(F1842,Analysis!$F$1:$G$5,2,FALSE)</f>
        <v>2440.2966694490838</v>
      </c>
      <c r="K1842">
        <f t="shared" si="112"/>
        <v>1291.51</v>
      </c>
      <c r="L1842">
        <f t="shared" si="113"/>
        <v>1291.51</v>
      </c>
      <c r="M1842">
        <f t="shared" si="114"/>
        <v>1291.51</v>
      </c>
      <c r="N1842" s="5" t="str">
        <f t="shared" si="115"/>
        <v>September 2022</v>
      </c>
    </row>
    <row r="1843" spans="1:14" x14ac:dyDescent="0.25">
      <c r="A1843" s="1">
        <v>44832</v>
      </c>
      <c r="B1843" t="s">
        <v>3921</v>
      </c>
      <c r="C1843">
        <v>21</v>
      </c>
      <c r="D1843" t="s">
        <v>9</v>
      </c>
      <c r="E1843" t="s">
        <v>15</v>
      </c>
      <c r="F1843" t="s">
        <v>23</v>
      </c>
      <c r="G1843" t="s">
        <v>12</v>
      </c>
      <c r="H1843">
        <v>2742.38</v>
      </c>
      <c r="I1843" s="8" t="str" cm="1">
        <f t="array" ref="I1843">_xlfn.IFS(C1843&lt;=15,"Children and Young Adolescents", C1843&gt;64, "Seniors", TRUE, "Working Age")</f>
        <v>Working Age</v>
      </c>
      <c r="J1843" s="6">
        <f>VLOOKUP(F1843,Analysis!$F$1:$G$5,2,FALSE)</f>
        <v>2440.2966694490838</v>
      </c>
      <c r="K1843">
        <f t="shared" si="112"/>
        <v>3016.61</v>
      </c>
      <c r="L1843">
        <f t="shared" si="113"/>
        <v>3016.6200000000003</v>
      </c>
      <c r="M1843">
        <f t="shared" si="114"/>
        <v>3016.62</v>
      </c>
      <c r="N1843" s="5" t="str">
        <f t="shared" si="115"/>
        <v>September 2022</v>
      </c>
    </row>
    <row r="1844" spans="1:14" x14ac:dyDescent="0.25">
      <c r="A1844" s="1">
        <v>44833</v>
      </c>
      <c r="B1844" t="s">
        <v>3930</v>
      </c>
      <c r="C1844">
        <v>79</v>
      </c>
      <c r="D1844" t="s">
        <v>14</v>
      </c>
      <c r="E1844" t="s">
        <v>5032</v>
      </c>
      <c r="F1844" t="s">
        <v>11</v>
      </c>
      <c r="G1844" t="s">
        <v>39</v>
      </c>
      <c r="H1844">
        <v>204.95</v>
      </c>
      <c r="I1844" s="8" t="str" cm="1">
        <f t="array" ref="I1844">_xlfn.IFS(C1844&lt;=15,"Children and Young Adolescents", C1844&gt;64, "Seniors", TRUE, "Working Age")</f>
        <v>Seniors</v>
      </c>
      <c r="J1844" s="6">
        <f>VLOOKUP(F1844,Analysis!$F$1:$G$5,2,FALSE)</f>
        <v>2503.6022787783854</v>
      </c>
      <c r="K1844">
        <f t="shared" si="112"/>
        <v>225.44</v>
      </c>
      <c r="L1844">
        <f t="shared" si="113"/>
        <v>225.45</v>
      </c>
      <c r="M1844">
        <f t="shared" si="114"/>
        <v>225.45</v>
      </c>
      <c r="N1844" s="5" t="str">
        <f t="shared" si="115"/>
        <v>September 2022</v>
      </c>
    </row>
    <row r="1845" spans="1:14" x14ac:dyDescent="0.25">
      <c r="A1845" s="1">
        <v>44833</v>
      </c>
      <c r="B1845" t="s">
        <v>4361</v>
      </c>
      <c r="C1845">
        <v>86</v>
      </c>
      <c r="D1845" t="s">
        <v>9</v>
      </c>
      <c r="E1845" t="s">
        <v>15</v>
      </c>
      <c r="F1845" t="s">
        <v>11</v>
      </c>
      <c r="G1845" t="s">
        <v>36</v>
      </c>
      <c r="H1845">
        <v>1391.88</v>
      </c>
      <c r="I1845" s="8" t="str" cm="1">
        <f t="array" ref="I1845">_xlfn.IFS(C1845&lt;=15,"Children and Young Adolescents", C1845&gt;64, "Seniors", TRUE, "Working Age")</f>
        <v>Seniors</v>
      </c>
      <c r="J1845" s="6">
        <f>VLOOKUP(F1845,Analysis!$F$1:$G$5,2,FALSE)</f>
        <v>2503.6022787783854</v>
      </c>
      <c r="K1845">
        <f t="shared" si="112"/>
        <v>1531.06</v>
      </c>
      <c r="L1845">
        <f t="shared" si="113"/>
        <v>1531.07</v>
      </c>
      <c r="M1845">
        <f t="shared" si="114"/>
        <v>1531.07</v>
      </c>
      <c r="N1845" s="5" t="str">
        <f t="shared" si="115"/>
        <v>September 2022</v>
      </c>
    </row>
    <row r="1846" spans="1:14" x14ac:dyDescent="0.25">
      <c r="A1846" s="1">
        <v>44833</v>
      </c>
      <c r="B1846" t="s">
        <v>2599</v>
      </c>
      <c r="C1846">
        <v>26</v>
      </c>
      <c r="D1846" t="s">
        <v>21</v>
      </c>
      <c r="E1846" t="s">
        <v>19</v>
      </c>
      <c r="F1846" t="s">
        <v>29</v>
      </c>
      <c r="G1846" t="s">
        <v>27</v>
      </c>
      <c r="H1846">
        <v>143.91</v>
      </c>
      <c r="I1846" s="8" t="str" cm="1">
        <f t="array" ref="I1846">_xlfn.IFS(C1846&lt;=15,"Children and Young Adolescents", C1846&gt;64, "Seniors", TRUE, "Working Age")</f>
        <v>Working Age</v>
      </c>
      <c r="J1846" s="6">
        <f>VLOOKUP(F1846,Analysis!$F$1:$G$5,2,FALSE)</f>
        <v>2496.7676064256989</v>
      </c>
      <c r="K1846">
        <f t="shared" si="112"/>
        <v>158.30000000000001</v>
      </c>
      <c r="L1846">
        <f t="shared" si="113"/>
        <v>158.31</v>
      </c>
      <c r="M1846">
        <f t="shared" si="114"/>
        <v>158.30000000000001</v>
      </c>
      <c r="N1846" s="5" t="str">
        <f t="shared" si="115"/>
        <v>September 2022</v>
      </c>
    </row>
    <row r="1847" spans="1:14" x14ac:dyDescent="0.25">
      <c r="A1847" s="1">
        <v>44833</v>
      </c>
      <c r="B1847" t="s">
        <v>4578</v>
      </c>
      <c r="C1847">
        <v>34</v>
      </c>
      <c r="D1847" t="s">
        <v>14</v>
      </c>
      <c r="E1847" t="s">
        <v>34</v>
      </c>
      <c r="F1847" t="s">
        <v>11</v>
      </c>
      <c r="G1847" t="s">
        <v>39</v>
      </c>
      <c r="H1847">
        <v>675.6</v>
      </c>
      <c r="I1847" s="8" t="str" cm="1">
        <f t="array" ref="I1847">_xlfn.IFS(C1847&lt;=15,"Children and Young Adolescents", C1847&gt;64, "Seniors", TRUE, "Working Age")</f>
        <v>Working Age</v>
      </c>
      <c r="J1847" s="6">
        <f>VLOOKUP(F1847,Analysis!$F$1:$G$5,2,FALSE)</f>
        <v>2503.6022787783854</v>
      </c>
      <c r="K1847">
        <f t="shared" si="112"/>
        <v>743.16</v>
      </c>
      <c r="L1847">
        <f t="shared" si="113"/>
        <v>743.16</v>
      </c>
      <c r="M1847">
        <f t="shared" si="114"/>
        <v>743.16</v>
      </c>
      <c r="N1847" s="5" t="str">
        <f t="shared" si="115"/>
        <v>September 2022</v>
      </c>
    </row>
    <row r="1848" spans="1:14" x14ac:dyDescent="0.25">
      <c r="A1848" s="1">
        <v>44833</v>
      </c>
      <c r="B1848" t="s">
        <v>2956</v>
      </c>
      <c r="C1848">
        <v>0</v>
      </c>
      <c r="D1848" t="s">
        <v>9</v>
      </c>
      <c r="E1848" t="s">
        <v>22</v>
      </c>
      <c r="F1848" t="s">
        <v>23</v>
      </c>
      <c r="G1848" t="s">
        <v>12</v>
      </c>
      <c r="H1848">
        <v>3572.16</v>
      </c>
      <c r="I1848" s="8" t="str" cm="1">
        <f t="array" ref="I1848">_xlfn.IFS(C1848&lt;=15,"Children and Young Adolescents", C1848&gt;64, "Seniors", TRUE, "Working Age")</f>
        <v>Children and Young Adolescents</v>
      </c>
      <c r="J1848" s="6">
        <f>VLOOKUP(F1848,Analysis!$F$1:$G$5,2,FALSE)</f>
        <v>2440.2966694490838</v>
      </c>
      <c r="K1848">
        <f t="shared" si="112"/>
        <v>3929.37</v>
      </c>
      <c r="L1848">
        <f t="shared" si="113"/>
        <v>3929.38</v>
      </c>
      <c r="M1848">
        <f t="shared" si="114"/>
        <v>3929.38</v>
      </c>
      <c r="N1848" s="5" t="str">
        <f t="shared" si="115"/>
        <v>September 2022</v>
      </c>
    </row>
    <row r="1849" spans="1:14" x14ac:dyDescent="0.25">
      <c r="A1849" s="1">
        <v>44833</v>
      </c>
      <c r="B1849" t="s">
        <v>2475</v>
      </c>
      <c r="C1849">
        <v>46</v>
      </c>
      <c r="D1849" t="s">
        <v>9</v>
      </c>
      <c r="E1849" t="s">
        <v>34</v>
      </c>
      <c r="F1849" t="s">
        <v>23</v>
      </c>
      <c r="G1849" t="s">
        <v>27</v>
      </c>
      <c r="H1849">
        <v>2802.95</v>
      </c>
      <c r="I1849" s="8" t="str" cm="1">
        <f t="array" ref="I1849">_xlfn.IFS(C1849&lt;=15,"Children and Young Adolescents", C1849&gt;64, "Seniors", TRUE, "Working Age")</f>
        <v>Working Age</v>
      </c>
      <c r="J1849" s="6">
        <f>VLOOKUP(F1849,Analysis!$F$1:$G$5,2,FALSE)</f>
        <v>2440.2966694490838</v>
      </c>
      <c r="K1849">
        <f t="shared" si="112"/>
        <v>3083.24</v>
      </c>
      <c r="L1849">
        <f t="shared" si="113"/>
        <v>3083.25</v>
      </c>
      <c r="M1849">
        <f t="shared" si="114"/>
        <v>3083.25</v>
      </c>
      <c r="N1849" s="5" t="str">
        <f t="shared" si="115"/>
        <v>September 2022</v>
      </c>
    </row>
    <row r="1850" spans="1:14" x14ac:dyDescent="0.25">
      <c r="A1850" s="1">
        <v>44833</v>
      </c>
      <c r="B1850" t="s">
        <v>2601</v>
      </c>
      <c r="C1850">
        <v>92</v>
      </c>
      <c r="D1850" t="s">
        <v>14</v>
      </c>
      <c r="E1850" t="s">
        <v>15</v>
      </c>
      <c r="F1850" t="s">
        <v>16</v>
      </c>
      <c r="G1850" t="s">
        <v>12</v>
      </c>
      <c r="H1850">
        <v>3774.84</v>
      </c>
      <c r="I1850" s="8" t="str" cm="1">
        <f t="array" ref="I1850">_xlfn.IFS(C1850&lt;=15,"Children and Young Adolescents", C1850&gt;64, "Seniors", TRUE, "Working Age")</f>
        <v>Seniors</v>
      </c>
      <c r="J1850" s="6">
        <f>VLOOKUP(F1850,Analysis!$F$1:$G$5,2,FALSE)</f>
        <v>2509.1716796874912</v>
      </c>
      <c r="K1850">
        <f t="shared" si="112"/>
        <v>4152.32</v>
      </c>
      <c r="L1850">
        <f t="shared" si="113"/>
        <v>4152.33</v>
      </c>
      <c r="M1850">
        <f t="shared" si="114"/>
        <v>4152.32</v>
      </c>
      <c r="N1850" s="5" t="str">
        <f t="shared" si="115"/>
        <v>September 2022</v>
      </c>
    </row>
    <row r="1851" spans="1:14" x14ac:dyDescent="0.25">
      <c r="A1851" s="1">
        <v>44833</v>
      </c>
      <c r="B1851" t="s">
        <v>647</v>
      </c>
      <c r="C1851">
        <v>86</v>
      </c>
      <c r="D1851" t="s">
        <v>14</v>
      </c>
      <c r="E1851" t="s">
        <v>5032</v>
      </c>
      <c r="F1851" t="s">
        <v>11</v>
      </c>
      <c r="G1851" t="s">
        <v>27</v>
      </c>
      <c r="H1851">
        <v>4802.72</v>
      </c>
      <c r="I1851" s="8" t="str" cm="1">
        <f t="array" ref="I1851">_xlfn.IFS(C1851&lt;=15,"Children and Young Adolescents", C1851&gt;64, "Seniors", TRUE, "Working Age")</f>
        <v>Seniors</v>
      </c>
      <c r="J1851" s="6">
        <f>VLOOKUP(F1851,Analysis!$F$1:$G$5,2,FALSE)</f>
        <v>2503.6022787783854</v>
      </c>
      <c r="K1851">
        <f t="shared" si="112"/>
        <v>5282.99</v>
      </c>
      <c r="L1851">
        <f t="shared" si="113"/>
        <v>5283</v>
      </c>
      <c r="M1851">
        <f t="shared" si="114"/>
        <v>5282.99</v>
      </c>
      <c r="N1851" s="5" t="str">
        <f t="shared" si="115"/>
        <v>September 2022</v>
      </c>
    </row>
    <row r="1852" spans="1:14" x14ac:dyDescent="0.25">
      <c r="A1852" s="1">
        <v>44834</v>
      </c>
      <c r="B1852" t="s">
        <v>2888</v>
      </c>
      <c r="C1852">
        <v>46</v>
      </c>
      <c r="D1852" t="s">
        <v>14</v>
      </c>
      <c r="E1852" t="s">
        <v>34</v>
      </c>
      <c r="F1852" t="s">
        <v>11</v>
      </c>
      <c r="G1852" t="s">
        <v>27</v>
      </c>
      <c r="H1852">
        <v>3996.27</v>
      </c>
      <c r="I1852" s="8" t="str" cm="1">
        <f t="array" ref="I1852">_xlfn.IFS(C1852&lt;=15,"Children and Young Adolescents", C1852&gt;64, "Seniors", TRUE, "Working Age")</f>
        <v>Working Age</v>
      </c>
      <c r="J1852" s="6">
        <f>VLOOKUP(F1852,Analysis!$F$1:$G$5,2,FALSE)</f>
        <v>2503.6022787783854</v>
      </c>
      <c r="K1852">
        <f t="shared" si="112"/>
        <v>4395.8900000000003</v>
      </c>
      <c r="L1852">
        <f t="shared" si="113"/>
        <v>4395.9000000000005</v>
      </c>
      <c r="M1852">
        <f t="shared" si="114"/>
        <v>4395.8999999999996</v>
      </c>
      <c r="N1852" s="5" t="str">
        <f t="shared" si="115"/>
        <v>September 2022</v>
      </c>
    </row>
    <row r="1853" spans="1:14" x14ac:dyDescent="0.25">
      <c r="A1853" s="1">
        <v>44834</v>
      </c>
      <c r="B1853" t="s">
        <v>712</v>
      </c>
      <c r="C1853">
        <v>46</v>
      </c>
      <c r="D1853" t="s">
        <v>21</v>
      </c>
      <c r="E1853" t="s">
        <v>15</v>
      </c>
      <c r="F1853" t="s">
        <v>23</v>
      </c>
      <c r="G1853" t="s">
        <v>39</v>
      </c>
      <c r="H1853">
        <v>3790.04</v>
      </c>
      <c r="I1853" s="8" t="str" cm="1">
        <f t="array" ref="I1853">_xlfn.IFS(C1853&lt;=15,"Children and Young Adolescents", C1853&gt;64, "Seniors", TRUE, "Working Age")</f>
        <v>Working Age</v>
      </c>
      <c r="J1853" s="6">
        <f>VLOOKUP(F1853,Analysis!$F$1:$G$5,2,FALSE)</f>
        <v>2440.2966694490838</v>
      </c>
      <c r="K1853">
        <f t="shared" si="112"/>
        <v>4169.04</v>
      </c>
      <c r="L1853">
        <f t="shared" si="113"/>
        <v>4169.05</v>
      </c>
      <c r="M1853">
        <f t="shared" si="114"/>
        <v>4169.04</v>
      </c>
      <c r="N1853" s="5" t="str">
        <f t="shared" si="115"/>
        <v>September 2022</v>
      </c>
    </row>
    <row r="1854" spans="1:14" x14ac:dyDescent="0.25">
      <c r="A1854" s="1">
        <v>44834</v>
      </c>
      <c r="B1854" t="s">
        <v>1993</v>
      </c>
      <c r="C1854">
        <v>85</v>
      </c>
      <c r="D1854" t="s">
        <v>21</v>
      </c>
      <c r="E1854" t="s">
        <v>19</v>
      </c>
      <c r="F1854" t="s">
        <v>29</v>
      </c>
      <c r="G1854" t="s">
        <v>12</v>
      </c>
      <c r="H1854">
        <v>3517.33</v>
      </c>
      <c r="I1854" s="8" t="str" cm="1">
        <f t="array" ref="I1854">_xlfn.IFS(C1854&lt;=15,"Children and Young Adolescents", C1854&gt;64, "Seniors", TRUE, "Working Age")</f>
        <v>Seniors</v>
      </c>
      <c r="J1854" s="6">
        <f>VLOOKUP(F1854,Analysis!$F$1:$G$5,2,FALSE)</f>
        <v>2496.7676064256989</v>
      </c>
      <c r="K1854">
        <f t="shared" si="112"/>
        <v>3869.06</v>
      </c>
      <c r="L1854">
        <f t="shared" si="113"/>
        <v>3869.07</v>
      </c>
      <c r="M1854">
        <f t="shared" si="114"/>
        <v>3869.06</v>
      </c>
      <c r="N1854" s="5" t="str">
        <f t="shared" si="115"/>
        <v>September 2022</v>
      </c>
    </row>
    <row r="1855" spans="1:14" x14ac:dyDescent="0.25">
      <c r="A1855" s="1">
        <v>44834</v>
      </c>
      <c r="B1855" t="s">
        <v>2643</v>
      </c>
      <c r="C1855">
        <v>39</v>
      </c>
      <c r="D1855" t="s">
        <v>14</v>
      </c>
      <c r="E1855" t="s">
        <v>32</v>
      </c>
      <c r="F1855" t="s">
        <v>11</v>
      </c>
      <c r="G1855" t="s">
        <v>12</v>
      </c>
      <c r="H1855">
        <v>1681.74</v>
      </c>
      <c r="I1855" s="8" t="str" cm="1">
        <f t="array" ref="I1855">_xlfn.IFS(C1855&lt;=15,"Children and Young Adolescents", C1855&gt;64, "Seniors", TRUE, "Working Age")</f>
        <v>Working Age</v>
      </c>
      <c r="J1855" s="6">
        <f>VLOOKUP(F1855,Analysis!$F$1:$G$5,2,FALSE)</f>
        <v>2503.6022787783854</v>
      </c>
      <c r="K1855">
        <f t="shared" si="112"/>
        <v>1849.91</v>
      </c>
      <c r="L1855">
        <f t="shared" si="113"/>
        <v>1849.92</v>
      </c>
      <c r="M1855">
        <f t="shared" si="114"/>
        <v>1849.91</v>
      </c>
      <c r="N1855" s="5" t="str">
        <f t="shared" si="115"/>
        <v>September 2022</v>
      </c>
    </row>
    <row r="1856" spans="1:14" x14ac:dyDescent="0.25">
      <c r="A1856" s="1">
        <v>44835</v>
      </c>
      <c r="B1856" t="s">
        <v>2946</v>
      </c>
      <c r="C1856">
        <v>36</v>
      </c>
      <c r="D1856" t="s">
        <v>14</v>
      </c>
      <c r="E1856" t="s">
        <v>10</v>
      </c>
      <c r="F1856" t="s">
        <v>23</v>
      </c>
      <c r="G1856" t="s">
        <v>36</v>
      </c>
      <c r="H1856">
        <v>4564.59</v>
      </c>
      <c r="I1856" s="8" t="str" cm="1">
        <f t="array" ref="I1856">_xlfn.IFS(C1856&lt;=15,"Children and Young Adolescents", C1856&gt;64, "Seniors", TRUE, "Working Age")</f>
        <v>Working Age</v>
      </c>
      <c r="J1856" s="6">
        <f>VLOOKUP(F1856,Analysis!$F$1:$G$5,2,FALSE)</f>
        <v>2440.2966694490838</v>
      </c>
      <c r="K1856">
        <f t="shared" si="112"/>
        <v>5021.04</v>
      </c>
      <c r="L1856">
        <f t="shared" si="113"/>
        <v>5021.05</v>
      </c>
      <c r="M1856">
        <f t="shared" si="114"/>
        <v>5021.05</v>
      </c>
      <c r="N1856" s="5" t="str">
        <f t="shared" si="115"/>
        <v>October 2022</v>
      </c>
    </row>
    <row r="1857" spans="1:14" x14ac:dyDescent="0.25">
      <c r="A1857" s="1">
        <v>44835</v>
      </c>
      <c r="B1857" t="s">
        <v>2653</v>
      </c>
      <c r="C1857">
        <v>30</v>
      </c>
      <c r="D1857" t="s">
        <v>14</v>
      </c>
      <c r="E1857" t="s">
        <v>34</v>
      </c>
      <c r="F1857" t="s">
        <v>23</v>
      </c>
      <c r="G1857" t="s">
        <v>36</v>
      </c>
      <c r="H1857">
        <v>1865.32</v>
      </c>
      <c r="I1857" s="8" t="str" cm="1">
        <f t="array" ref="I1857">_xlfn.IFS(C1857&lt;=15,"Children and Young Adolescents", C1857&gt;64, "Seniors", TRUE, "Working Age")</f>
        <v>Working Age</v>
      </c>
      <c r="J1857" s="6">
        <f>VLOOKUP(F1857,Analysis!$F$1:$G$5,2,FALSE)</f>
        <v>2440.2966694490838</v>
      </c>
      <c r="K1857">
        <f t="shared" si="112"/>
        <v>2051.85</v>
      </c>
      <c r="L1857">
        <f t="shared" si="113"/>
        <v>2051.86</v>
      </c>
      <c r="M1857">
        <f t="shared" si="114"/>
        <v>2051.85</v>
      </c>
      <c r="N1857" s="5" t="str">
        <f t="shared" si="115"/>
        <v>October 2022</v>
      </c>
    </row>
    <row r="1858" spans="1:14" x14ac:dyDescent="0.25">
      <c r="A1858" s="1">
        <v>44835</v>
      </c>
      <c r="B1858" t="s">
        <v>1740</v>
      </c>
      <c r="C1858">
        <v>61</v>
      </c>
      <c r="D1858" t="s">
        <v>21</v>
      </c>
      <c r="E1858" t="s">
        <v>34</v>
      </c>
      <c r="F1858" t="s">
        <v>29</v>
      </c>
      <c r="G1858" t="s">
        <v>12</v>
      </c>
      <c r="H1858">
        <v>924.06</v>
      </c>
      <c r="I1858" s="8" t="str" cm="1">
        <f t="array" ref="I1858">_xlfn.IFS(C1858&lt;=15,"Children and Young Adolescents", C1858&gt;64, "Seniors", TRUE, "Working Age")</f>
        <v>Working Age</v>
      </c>
      <c r="J1858" s="6">
        <f>VLOOKUP(F1858,Analysis!$F$1:$G$5,2,FALSE)</f>
        <v>2496.7676064256989</v>
      </c>
      <c r="K1858">
        <f t="shared" si="112"/>
        <v>1016.46</v>
      </c>
      <c r="L1858">
        <f t="shared" si="113"/>
        <v>1016.47</v>
      </c>
      <c r="M1858">
        <f t="shared" si="114"/>
        <v>1016.47</v>
      </c>
      <c r="N1858" s="5" t="str">
        <f t="shared" si="115"/>
        <v>October 2022</v>
      </c>
    </row>
    <row r="1859" spans="1:14" x14ac:dyDescent="0.25">
      <c r="A1859" s="1">
        <v>44835</v>
      </c>
      <c r="B1859" t="s">
        <v>2884</v>
      </c>
      <c r="C1859">
        <v>35</v>
      </c>
      <c r="D1859" t="s">
        <v>14</v>
      </c>
      <c r="E1859" t="s">
        <v>15</v>
      </c>
      <c r="F1859" t="s">
        <v>11</v>
      </c>
      <c r="G1859" t="s">
        <v>39</v>
      </c>
      <c r="H1859">
        <v>1575.4</v>
      </c>
      <c r="I1859" s="8" t="str" cm="1">
        <f t="array" ref="I1859">_xlfn.IFS(C1859&lt;=15,"Children and Young Adolescents", C1859&gt;64, "Seniors", TRUE, "Working Age")</f>
        <v>Working Age</v>
      </c>
      <c r="J1859" s="6">
        <f>VLOOKUP(F1859,Analysis!$F$1:$G$5,2,FALSE)</f>
        <v>2503.6022787783854</v>
      </c>
      <c r="K1859">
        <f t="shared" ref="K1859:K1922" si="116">ROUNDDOWN(H1859*1.1,2)</f>
        <v>1732.94</v>
      </c>
      <c r="L1859">
        <f t="shared" ref="L1859:L1922" si="117">ROUNDUP(H1859*1.1,2)</f>
        <v>1732.94</v>
      </c>
      <c r="M1859">
        <f t="shared" ref="M1859:M1922" si="118">ROUND(H1859*1.1,2)</f>
        <v>1732.94</v>
      </c>
      <c r="N1859" s="5" t="str">
        <f t="shared" ref="N1859:N1922" si="119">TEXT(A1859,"mmmm yyyy")</f>
        <v>October 2022</v>
      </c>
    </row>
    <row r="1860" spans="1:14" x14ac:dyDescent="0.25">
      <c r="A1860" s="1">
        <v>44835</v>
      </c>
      <c r="B1860" t="s">
        <v>339</v>
      </c>
      <c r="C1860">
        <v>8</v>
      </c>
      <c r="D1860" t="s">
        <v>9</v>
      </c>
      <c r="E1860" t="s">
        <v>34</v>
      </c>
      <c r="F1860" t="s">
        <v>16</v>
      </c>
      <c r="G1860" t="s">
        <v>39</v>
      </c>
      <c r="H1860">
        <v>3307.43</v>
      </c>
      <c r="I1860" s="8" t="str" cm="1">
        <f t="array" ref="I1860">_xlfn.IFS(C1860&lt;=15,"Children and Young Adolescents", C1860&gt;64, "Seniors", TRUE, "Working Age")</f>
        <v>Children and Young Adolescents</v>
      </c>
      <c r="J1860" s="6">
        <f>VLOOKUP(F1860,Analysis!$F$1:$G$5,2,FALSE)</f>
        <v>2509.1716796874912</v>
      </c>
      <c r="K1860">
        <f t="shared" si="116"/>
        <v>3638.17</v>
      </c>
      <c r="L1860">
        <f t="shared" si="117"/>
        <v>3638.1800000000003</v>
      </c>
      <c r="M1860">
        <f t="shared" si="118"/>
        <v>3638.17</v>
      </c>
      <c r="N1860" s="5" t="str">
        <f t="shared" si="119"/>
        <v>October 2022</v>
      </c>
    </row>
    <row r="1861" spans="1:14" x14ac:dyDescent="0.25">
      <c r="A1861" s="1">
        <v>44835</v>
      </c>
      <c r="B1861" t="s">
        <v>3191</v>
      </c>
      <c r="C1861">
        <v>38</v>
      </c>
      <c r="D1861" t="s">
        <v>21</v>
      </c>
      <c r="E1861" t="s">
        <v>5032</v>
      </c>
      <c r="F1861" t="s">
        <v>23</v>
      </c>
      <c r="G1861" t="s">
        <v>27</v>
      </c>
      <c r="H1861">
        <v>1946.97</v>
      </c>
      <c r="I1861" s="8" t="str" cm="1">
        <f t="array" ref="I1861">_xlfn.IFS(C1861&lt;=15,"Children and Young Adolescents", C1861&gt;64, "Seniors", TRUE, "Working Age")</f>
        <v>Working Age</v>
      </c>
      <c r="J1861" s="6">
        <f>VLOOKUP(F1861,Analysis!$F$1:$G$5,2,FALSE)</f>
        <v>2440.2966694490838</v>
      </c>
      <c r="K1861">
        <f t="shared" si="116"/>
        <v>2141.66</v>
      </c>
      <c r="L1861">
        <f t="shared" si="117"/>
        <v>2141.67</v>
      </c>
      <c r="M1861">
        <f t="shared" si="118"/>
        <v>2141.67</v>
      </c>
      <c r="N1861" s="5" t="str">
        <f t="shared" si="119"/>
        <v>October 2022</v>
      </c>
    </row>
    <row r="1862" spans="1:14" x14ac:dyDescent="0.25">
      <c r="A1862" s="1">
        <v>44835</v>
      </c>
      <c r="B1862" t="s">
        <v>4415</v>
      </c>
      <c r="C1862">
        <v>86</v>
      </c>
      <c r="D1862" t="s">
        <v>9</v>
      </c>
      <c r="E1862" t="s">
        <v>19</v>
      </c>
      <c r="F1862" t="s">
        <v>29</v>
      </c>
      <c r="G1862" t="s">
        <v>12</v>
      </c>
      <c r="H1862">
        <v>3381.95</v>
      </c>
      <c r="I1862" s="8" t="str" cm="1">
        <f t="array" ref="I1862">_xlfn.IFS(C1862&lt;=15,"Children and Young Adolescents", C1862&gt;64, "Seniors", TRUE, "Working Age")</f>
        <v>Seniors</v>
      </c>
      <c r="J1862" s="6">
        <f>VLOOKUP(F1862,Analysis!$F$1:$G$5,2,FALSE)</f>
        <v>2496.7676064256989</v>
      </c>
      <c r="K1862">
        <f t="shared" si="116"/>
        <v>3720.14</v>
      </c>
      <c r="L1862">
        <f t="shared" si="117"/>
        <v>3720.15</v>
      </c>
      <c r="M1862">
        <f t="shared" si="118"/>
        <v>3720.15</v>
      </c>
      <c r="N1862" s="5" t="str">
        <f t="shared" si="119"/>
        <v>October 2022</v>
      </c>
    </row>
    <row r="1863" spans="1:14" x14ac:dyDescent="0.25">
      <c r="A1863" s="1">
        <v>44836</v>
      </c>
      <c r="B1863" t="s">
        <v>2918</v>
      </c>
      <c r="C1863">
        <v>16</v>
      </c>
      <c r="D1863" t="s">
        <v>9</v>
      </c>
      <c r="E1863" t="s">
        <v>22</v>
      </c>
      <c r="F1863" t="s">
        <v>16</v>
      </c>
      <c r="G1863" t="s">
        <v>5033</v>
      </c>
      <c r="H1863">
        <v>1410.47</v>
      </c>
      <c r="I1863" s="8" t="str" cm="1">
        <f t="array" ref="I1863">_xlfn.IFS(C1863&lt;=15,"Children and Young Adolescents", C1863&gt;64, "Seniors", TRUE, "Working Age")</f>
        <v>Working Age</v>
      </c>
      <c r="J1863" s="6">
        <f>VLOOKUP(F1863,Analysis!$F$1:$G$5,2,FALSE)</f>
        <v>2509.1716796874912</v>
      </c>
      <c r="K1863">
        <f t="shared" si="116"/>
        <v>1551.51</v>
      </c>
      <c r="L1863">
        <f t="shared" si="117"/>
        <v>1551.52</v>
      </c>
      <c r="M1863">
        <f t="shared" si="118"/>
        <v>1551.52</v>
      </c>
      <c r="N1863" s="5" t="str">
        <f t="shared" si="119"/>
        <v>October 2022</v>
      </c>
    </row>
    <row r="1864" spans="1:14" x14ac:dyDescent="0.25">
      <c r="A1864" s="1">
        <v>44836</v>
      </c>
      <c r="B1864" t="s">
        <v>4887</v>
      </c>
      <c r="C1864">
        <v>74</v>
      </c>
      <c r="D1864" t="s">
        <v>9</v>
      </c>
      <c r="E1864" t="s">
        <v>25</v>
      </c>
      <c r="F1864" t="s">
        <v>23</v>
      </c>
      <c r="G1864" t="s">
        <v>27</v>
      </c>
      <c r="H1864">
        <v>3642.08</v>
      </c>
      <c r="I1864" s="8" t="str" cm="1">
        <f t="array" ref="I1864">_xlfn.IFS(C1864&lt;=15,"Children and Young Adolescents", C1864&gt;64, "Seniors", TRUE, "Working Age")</f>
        <v>Seniors</v>
      </c>
      <c r="J1864" s="6">
        <f>VLOOKUP(F1864,Analysis!$F$1:$G$5,2,FALSE)</f>
        <v>2440.2966694490838</v>
      </c>
      <c r="K1864">
        <f t="shared" si="116"/>
        <v>4006.28</v>
      </c>
      <c r="L1864">
        <f t="shared" si="117"/>
        <v>4006.2900000000004</v>
      </c>
      <c r="M1864">
        <f t="shared" si="118"/>
        <v>4006.29</v>
      </c>
      <c r="N1864" s="5" t="str">
        <f t="shared" si="119"/>
        <v>October 2022</v>
      </c>
    </row>
    <row r="1865" spans="1:14" x14ac:dyDescent="0.25">
      <c r="A1865" s="1">
        <v>44836</v>
      </c>
      <c r="B1865" t="s">
        <v>2363</v>
      </c>
      <c r="C1865">
        <v>72</v>
      </c>
      <c r="D1865" t="s">
        <v>21</v>
      </c>
      <c r="E1865" t="s">
        <v>32</v>
      </c>
      <c r="F1865" t="s">
        <v>29</v>
      </c>
      <c r="G1865" t="s">
        <v>27</v>
      </c>
      <c r="H1865">
        <v>3453.33</v>
      </c>
      <c r="I1865" s="8" t="str" cm="1">
        <f t="array" ref="I1865">_xlfn.IFS(C1865&lt;=15,"Children and Young Adolescents", C1865&gt;64, "Seniors", TRUE, "Working Age")</f>
        <v>Seniors</v>
      </c>
      <c r="J1865" s="6">
        <f>VLOOKUP(F1865,Analysis!$F$1:$G$5,2,FALSE)</f>
        <v>2496.7676064256989</v>
      </c>
      <c r="K1865">
        <f t="shared" si="116"/>
        <v>3798.66</v>
      </c>
      <c r="L1865">
        <f t="shared" si="117"/>
        <v>3798.67</v>
      </c>
      <c r="M1865">
        <f t="shared" si="118"/>
        <v>3798.66</v>
      </c>
      <c r="N1865" s="5" t="str">
        <f t="shared" si="119"/>
        <v>October 2022</v>
      </c>
    </row>
    <row r="1866" spans="1:14" x14ac:dyDescent="0.25">
      <c r="A1866" s="1">
        <v>44836</v>
      </c>
      <c r="B1866" t="s">
        <v>2538</v>
      </c>
      <c r="C1866">
        <v>18</v>
      </c>
      <c r="D1866" t="s">
        <v>21</v>
      </c>
      <c r="E1866" t="s">
        <v>22</v>
      </c>
      <c r="F1866" t="s">
        <v>23</v>
      </c>
      <c r="G1866" t="s">
        <v>27</v>
      </c>
      <c r="H1866">
        <v>1869.11</v>
      </c>
      <c r="I1866" s="8" t="str" cm="1">
        <f t="array" ref="I1866">_xlfn.IFS(C1866&lt;=15,"Children and Young Adolescents", C1866&gt;64, "Seniors", TRUE, "Working Age")</f>
        <v>Working Age</v>
      </c>
      <c r="J1866" s="6">
        <f>VLOOKUP(F1866,Analysis!$F$1:$G$5,2,FALSE)</f>
        <v>2440.2966694490838</v>
      </c>
      <c r="K1866">
        <f t="shared" si="116"/>
        <v>2056.02</v>
      </c>
      <c r="L1866">
        <f t="shared" si="117"/>
        <v>2056.0300000000002</v>
      </c>
      <c r="M1866">
        <f t="shared" si="118"/>
        <v>2056.02</v>
      </c>
      <c r="N1866" s="5" t="str">
        <f t="shared" si="119"/>
        <v>October 2022</v>
      </c>
    </row>
    <row r="1867" spans="1:14" x14ac:dyDescent="0.25">
      <c r="A1867" s="1">
        <v>44836</v>
      </c>
      <c r="B1867" t="s">
        <v>1757</v>
      </c>
      <c r="C1867">
        <v>91</v>
      </c>
      <c r="D1867" t="s">
        <v>21</v>
      </c>
      <c r="E1867" t="s">
        <v>22</v>
      </c>
      <c r="F1867" t="s">
        <v>11</v>
      </c>
      <c r="G1867" t="s">
        <v>12</v>
      </c>
      <c r="H1867">
        <v>779.71</v>
      </c>
      <c r="I1867" s="8" t="str" cm="1">
        <f t="array" ref="I1867">_xlfn.IFS(C1867&lt;=15,"Children and Young Adolescents", C1867&gt;64, "Seniors", TRUE, "Working Age")</f>
        <v>Seniors</v>
      </c>
      <c r="J1867" s="6">
        <f>VLOOKUP(F1867,Analysis!$F$1:$G$5,2,FALSE)</f>
        <v>2503.6022787783854</v>
      </c>
      <c r="K1867">
        <f t="shared" si="116"/>
        <v>857.68</v>
      </c>
      <c r="L1867">
        <f t="shared" si="117"/>
        <v>857.68999999999994</v>
      </c>
      <c r="M1867">
        <f t="shared" si="118"/>
        <v>857.68</v>
      </c>
      <c r="N1867" s="5" t="str">
        <f t="shared" si="119"/>
        <v>October 2022</v>
      </c>
    </row>
    <row r="1868" spans="1:14" x14ac:dyDescent="0.25">
      <c r="A1868" s="1">
        <v>44836</v>
      </c>
      <c r="B1868" t="s">
        <v>4347</v>
      </c>
      <c r="C1868">
        <v>84</v>
      </c>
      <c r="D1868" t="s">
        <v>14</v>
      </c>
      <c r="E1868" t="s">
        <v>10</v>
      </c>
      <c r="F1868" t="s">
        <v>16</v>
      </c>
      <c r="G1868" t="s">
        <v>5033</v>
      </c>
      <c r="H1868">
        <v>1159.3699999999999</v>
      </c>
      <c r="I1868" s="8" t="str" cm="1">
        <f t="array" ref="I1868">_xlfn.IFS(C1868&lt;=15,"Children and Young Adolescents", C1868&gt;64, "Seniors", TRUE, "Working Age")</f>
        <v>Seniors</v>
      </c>
      <c r="J1868" s="6">
        <f>VLOOKUP(F1868,Analysis!$F$1:$G$5,2,FALSE)</f>
        <v>2509.1716796874912</v>
      </c>
      <c r="K1868">
        <f t="shared" si="116"/>
        <v>1275.3</v>
      </c>
      <c r="L1868">
        <f t="shared" si="117"/>
        <v>1275.31</v>
      </c>
      <c r="M1868">
        <f t="shared" si="118"/>
        <v>1275.31</v>
      </c>
      <c r="N1868" s="5" t="str">
        <f t="shared" si="119"/>
        <v>October 2022</v>
      </c>
    </row>
    <row r="1869" spans="1:14" x14ac:dyDescent="0.25">
      <c r="A1869" s="1">
        <v>44836</v>
      </c>
      <c r="B1869" t="s">
        <v>2215</v>
      </c>
      <c r="C1869">
        <v>42</v>
      </c>
      <c r="D1869" t="s">
        <v>9</v>
      </c>
      <c r="E1869" t="s">
        <v>32</v>
      </c>
      <c r="F1869" t="s">
        <v>23</v>
      </c>
      <c r="G1869" t="s">
        <v>12</v>
      </c>
      <c r="H1869">
        <v>4914.41</v>
      </c>
      <c r="I1869" s="8" t="str" cm="1">
        <f t="array" ref="I1869">_xlfn.IFS(C1869&lt;=15,"Children and Young Adolescents", C1869&gt;64, "Seniors", TRUE, "Working Age")</f>
        <v>Working Age</v>
      </c>
      <c r="J1869" s="6">
        <f>VLOOKUP(F1869,Analysis!$F$1:$G$5,2,FALSE)</f>
        <v>2440.2966694490838</v>
      </c>
      <c r="K1869">
        <f t="shared" si="116"/>
        <v>5405.85</v>
      </c>
      <c r="L1869">
        <f t="shared" si="117"/>
        <v>5405.8600000000006</v>
      </c>
      <c r="M1869">
        <f t="shared" si="118"/>
        <v>5405.85</v>
      </c>
      <c r="N1869" s="5" t="str">
        <f t="shared" si="119"/>
        <v>October 2022</v>
      </c>
    </row>
    <row r="1870" spans="1:14" x14ac:dyDescent="0.25">
      <c r="A1870" s="1">
        <v>44837</v>
      </c>
      <c r="B1870" t="s">
        <v>1496</v>
      </c>
      <c r="C1870">
        <v>0</v>
      </c>
      <c r="D1870" t="s">
        <v>21</v>
      </c>
      <c r="E1870" t="s">
        <v>5032</v>
      </c>
      <c r="F1870" t="s">
        <v>16</v>
      </c>
      <c r="G1870" t="s">
        <v>17</v>
      </c>
      <c r="H1870">
        <v>2972.91</v>
      </c>
      <c r="I1870" s="8" t="str" cm="1">
        <f t="array" ref="I1870">_xlfn.IFS(C1870&lt;=15,"Children and Young Adolescents", C1870&gt;64, "Seniors", TRUE, "Working Age")</f>
        <v>Children and Young Adolescents</v>
      </c>
      <c r="J1870" s="6">
        <f>VLOOKUP(F1870,Analysis!$F$1:$G$5,2,FALSE)</f>
        <v>2509.1716796874912</v>
      </c>
      <c r="K1870">
        <f t="shared" si="116"/>
        <v>3270.2</v>
      </c>
      <c r="L1870">
        <f t="shared" si="117"/>
        <v>3270.21</v>
      </c>
      <c r="M1870">
        <f t="shared" si="118"/>
        <v>3270.2</v>
      </c>
      <c r="N1870" s="5" t="str">
        <f t="shared" si="119"/>
        <v>October 2022</v>
      </c>
    </row>
    <row r="1871" spans="1:14" x14ac:dyDescent="0.25">
      <c r="A1871" s="1">
        <v>44837</v>
      </c>
      <c r="B1871" t="s">
        <v>695</v>
      </c>
      <c r="C1871">
        <v>50</v>
      </c>
      <c r="D1871" t="s">
        <v>9</v>
      </c>
      <c r="E1871" t="s">
        <v>10</v>
      </c>
      <c r="F1871" t="s">
        <v>11</v>
      </c>
      <c r="G1871" t="s">
        <v>27</v>
      </c>
      <c r="H1871">
        <v>4717.18</v>
      </c>
      <c r="I1871" s="8" t="str" cm="1">
        <f t="array" ref="I1871">_xlfn.IFS(C1871&lt;=15,"Children and Young Adolescents", C1871&gt;64, "Seniors", TRUE, "Working Age")</f>
        <v>Working Age</v>
      </c>
      <c r="J1871" s="6">
        <f>VLOOKUP(F1871,Analysis!$F$1:$G$5,2,FALSE)</f>
        <v>2503.6022787783854</v>
      </c>
      <c r="K1871">
        <f t="shared" si="116"/>
        <v>5188.8900000000003</v>
      </c>
      <c r="L1871">
        <f t="shared" si="117"/>
        <v>5188.9000000000005</v>
      </c>
      <c r="M1871">
        <f t="shared" si="118"/>
        <v>5188.8999999999996</v>
      </c>
      <c r="N1871" s="5" t="str">
        <f t="shared" si="119"/>
        <v>October 2022</v>
      </c>
    </row>
    <row r="1872" spans="1:14" x14ac:dyDescent="0.25">
      <c r="A1872" s="1">
        <v>44837</v>
      </c>
      <c r="B1872" t="s">
        <v>2467</v>
      </c>
      <c r="C1872">
        <v>7</v>
      </c>
      <c r="D1872" t="s">
        <v>9</v>
      </c>
      <c r="E1872" t="s">
        <v>19</v>
      </c>
      <c r="F1872" t="s">
        <v>23</v>
      </c>
      <c r="G1872" t="s">
        <v>27</v>
      </c>
      <c r="H1872">
        <v>717.35</v>
      </c>
      <c r="I1872" s="8" t="str" cm="1">
        <f t="array" ref="I1872">_xlfn.IFS(C1872&lt;=15,"Children and Young Adolescents", C1872&gt;64, "Seniors", TRUE, "Working Age")</f>
        <v>Children and Young Adolescents</v>
      </c>
      <c r="J1872" s="6">
        <f>VLOOKUP(F1872,Analysis!$F$1:$G$5,2,FALSE)</f>
        <v>2440.2966694490838</v>
      </c>
      <c r="K1872">
        <f t="shared" si="116"/>
        <v>789.08</v>
      </c>
      <c r="L1872">
        <f t="shared" si="117"/>
        <v>789.09</v>
      </c>
      <c r="M1872">
        <f t="shared" si="118"/>
        <v>789.09</v>
      </c>
      <c r="N1872" s="5" t="str">
        <f t="shared" si="119"/>
        <v>October 2022</v>
      </c>
    </row>
    <row r="1873" spans="1:14" x14ac:dyDescent="0.25">
      <c r="A1873" s="1">
        <v>44837</v>
      </c>
      <c r="B1873" t="s">
        <v>1239</v>
      </c>
      <c r="C1873">
        <v>44</v>
      </c>
      <c r="D1873" t="s">
        <v>14</v>
      </c>
      <c r="E1873" t="s">
        <v>15</v>
      </c>
      <c r="F1873" t="s">
        <v>23</v>
      </c>
      <c r="G1873" t="s">
        <v>5033</v>
      </c>
      <c r="H1873">
        <v>3022.08</v>
      </c>
      <c r="I1873" s="8" t="str" cm="1">
        <f t="array" ref="I1873">_xlfn.IFS(C1873&lt;=15,"Children and Young Adolescents", C1873&gt;64, "Seniors", TRUE, "Working Age")</f>
        <v>Working Age</v>
      </c>
      <c r="J1873" s="6">
        <f>VLOOKUP(F1873,Analysis!$F$1:$G$5,2,FALSE)</f>
        <v>2440.2966694490838</v>
      </c>
      <c r="K1873">
        <f t="shared" si="116"/>
        <v>3324.28</v>
      </c>
      <c r="L1873">
        <f t="shared" si="117"/>
        <v>3324.2900000000004</v>
      </c>
      <c r="M1873">
        <f t="shared" si="118"/>
        <v>3324.29</v>
      </c>
      <c r="N1873" s="5" t="str">
        <f t="shared" si="119"/>
        <v>October 2022</v>
      </c>
    </row>
    <row r="1874" spans="1:14" x14ac:dyDescent="0.25">
      <c r="A1874" s="1">
        <v>44837</v>
      </c>
      <c r="B1874" t="s">
        <v>3931</v>
      </c>
      <c r="C1874">
        <v>41</v>
      </c>
      <c r="D1874" t="s">
        <v>14</v>
      </c>
      <c r="E1874" t="s">
        <v>15</v>
      </c>
      <c r="F1874" t="s">
        <v>11</v>
      </c>
      <c r="G1874" t="s">
        <v>17</v>
      </c>
      <c r="H1874">
        <v>3260.8</v>
      </c>
      <c r="I1874" s="8" t="str" cm="1">
        <f t="array" ref="I1874">_xlfn.IFS(C1874&lt;=15,"Children and Young Adolescents", C1874&gt;64, "Seniors", TRUE, "Working Age")</f>
        <v>Working Age</v>
      </c>
      <c r="J1874" s="6">
        <f>VLOOKUP(F1874,Analysis!$F$1:$G$5,2,FALSE)</f>
        <v>2503.6022787783854</v>
      </c>
      <c r="K1874">
        <f t="shared" si="116"/>
        <v>3586.88</v>
      </c>
      <c r="L1874">
        <f t="shared" si="117"/>
        <v>3586.88</v>
      </c>
      <c r="M1874">
        <f t="shared" si="118"/>
        <v>3586.88</v>
      </c>
      <c r="N1874" s="5" t="str">
        <f t="shared" si="119"/>
        <v>October 2022</v>
      </c>
    </row>
    <row r="1875" spans="1:14" x14ac:dyDescent="0.25">
      <c r="A1875" s="1">
        <v>44837</v>
      </c>
      <c r="B1875" t="s">
        <v>3364</v>
      </c>
      <c r="C1875">
        <v>86</v>
      </c>
      <c r="D1875" t="s">
        <v>14</v>
      </c>
      <c r="E1875" t="s">
        <v>25</v>
      </c>
      <c r="F1875" t="s">
        <v>11</v>
      </c>
      <c r="G1875" t="s">
        <v>12</v>
      </c>
      <c r="H1875">
        <v>54.9</v>
      </c>
      <c r="I1875" s="8" t="str" cm="1">
        <f t="array" ref="I1875">_xlfn.IFS(C1875&lt;=15,"Children and Young Adolescents", C1875&gt;64, "Seniors", TRUE, "Working Age")</f>
        <v>Seniors</v>
      </c>
      <c r="J1875" s="6">
        <f>VLOOKUP(F1875,Analysis!$F$1:$G$5,2,FALSE)</f>
        <v>2503.6022787783854</v>
      </c>
      <c r="K1875">
        <f t="shared" si="116"/>
        <v>60.39</v>
      </c>
      <c r="L1875">
        <f t="shared" si="117"/>
        <v>60.39</v>
      </c>
      <c r="M1875">
        <f t="shared" si="118"/>
        <v>60.39</v>
      </c>
      <c r="N1875" s="5" t="str">
        <f t="shared" si="119"/>
        <v>October 2022</v>
      </c>
    </row>
    <row r="1876" spans="1:14" x14ac:dyDescent="0.25">
      <c r="A1876" s="1">
        <v>44837</v>
      </c>
      <c r="B1876" t="s">
        <v>3069</v>
      </c>
      <c r="C1876">
        <v>64</v>
      </c>
      <c r="D1876" t="s">
        <v>21</v>
      </c>
      <c r="E1876" t="s">
        <v>32</v>
      </c>
      <c r="F1876" t="s">
        <v>11</v>
      </c>
      <c r="G1876" t="s">
        <v>12</v>
      </c>
      <c r="H1876">
        <v>2359.25</v>
      </c>
      <c r="I1876" s="8" t="str" cm="1">
        <f t="array" ref="I1876">_xlfn.IFS(C1876&lt;=15,"Children and Young Adolescents", C1876&gt;64, "Seniors", TRUE, "Working Age")</f>
        <v>Working Age</v>
      </c>
      <c r="J1876" s="6">
        <f>VLOOKUP(F1876,Analysis!$F$1:$G$5,2,FALSE)</f>
        <v>2503.6022787783854</v>
      </c>
      <c r="K1876">
        <f t="shared" si="116"/>
        <v>2595.17</v>
      </c>
      <c r="L1876">
        <f t="shared" si="117"/>
        <v>2595.1800000000003</v>
      </c>
      <c r="M1876">
        <f t="shared" si="118"/>
        <v>2595.1799999999998</v>
      </c>
      <c r="N1876" s="5" t="str">
        <f t="shared" si="119"/>
        <v>October 2022</v>
      </c>
    </row>
    <row r="1877" spans="1:14" x14ac:dyDescent="0.25">
      <c r="A1877" s="1">
        <v>44837</v>
      </c>
      <c r="B1877" t="s">
        <v>2764</v>
      </c>
      <c r="C1877">
        <v>40</v>
      </c>
      <c r="D1877" t="s">
        <v>21</v>
      </c>
      <c r="E1877" t="s">
        <v>10</v>
      </c>
      <c r="F1877" t="s">
        <v>11</v>
      </c>
      <c r="G1877" t="s">
        <v>27</v>
      </c>
      <c r="H1877">
        <v>376.24</v>
      </c>
      <c r="I1877" s="8" t="str" cm="1">
        <f t="array" ref="I1877">_xlfn.IFS(C1877&lt;=15,"Children and Young Adolescents", C1877&gt;64, "Seniors", TRUE, "Working Age")</f>
        <v>Working Age</v>
      </c>
      <c r="J1877" s="6">
        <f>VLOOKUP(F1877,Analysis!$F$1:$G$5,2,FALSE)</f>
        <v>2503.6022787783854</v>
      </c>
      <c r="K1877">
        <f t="shared" si="116"/>
        <v>413.86</v>
      </c>
      <c r="L1877">
        <f t="shared" si="117"/>
        <v>413.87</v>
      </c>
      <c r="M1877">
        <f t="shared" si="118"/>
        <v>413.86</v>
      </c>
      <c r="N1877" s="5" t="str">
        <f t="shared" si="119"/>
        <v>October 2022</v>
      </c>
    </row>
    <row r="1878" spans="1:14" x14ac:dyDescent="0.25">
      <c r="A1878" s="1">
        <v>44838</v>
      </c>
      <c r="B1878" t="s">
        <v>3634</v>
      </c>
      <c r="C1878">
        <v>78</v>
      </c>
      <c r="D1878" t="s">
        <v>14</v>
      </c>
      <c r="E1878" t="s">
        <v>32</v>
      </c>
      <c r="F1878" t="s">
        <v>29</v>
      </c>
      <c r="G1878" t="s">
        <v>5033</v>
      </c>
      <c r="H1878">
        <v>1926.99</v>
      </c>
      <c r="I1878" s="8" t="str" cm="1">
        <f t="array" ref="I1878">_xlfn.IFS(C1878&lt;=15,"Children and Young Adolescents", C1878&gt;64, "Seniors", TRUE, "Working Age")</f>
        <v>Seniors</v>
      </c>
      <c r="J1878" s="6">
        <f>VLOOKUP(F1878,Analysis!$F$1:$G$5,2,FALSE)</f>
        <v>2496.7676064256989</v>
      </c>
      <c r="K1878">
        <f t="shared" si="116"/>
        <v>2119.6799999999998</v>
      </c>
      <c r="L1878">
        <f t="shared" si="117"/>
        <v>2119.69</v>
      </c>
      <c r="M1878">
        <f t="shared" si="118"/>
        <v>2119.69</v>
      </c>
      <c r="N1878" s="5" t="str">
        <f t="shared" si="119"/>
        <v>October 2022</v>
      </c>
    </row>
    <row r="1879" spans="1:14" x14ac:dyDescent="0.25">
      <c r="A1879" s="1">
        <v>44838</v>
      </c>
      <c r="B1879" t="s">
        <v>69</v>
      </c>
      <c r="C1879">
        <v>22</v>
      </c>
      <c r="D1879" t="s">
        <v>14</v>
      </c>
      <c r="E1879" t="s">
        <v>19</v>
      </c>
      <c r="F1879" t="s">
        <v>16</v>
      </c>
      <c r="G1879" t="s">
        <v>17</v>
      </c>
      <c r="H1879">
        <v>3847.99</v>
      </c>
      <c r="I1879" s="8" t="str" cm="1">
        <f t="array" ref="I1879">_xlfn.IFS(C1879&lt;=15,"Children and Young Adolescents", C1879&gt;64, "Seniors", TRUE, "Working Age")</f>
        <v>Working Age</v>
      </c>
      <c r="J1879" s="6">
        <f>VLOOKUP(F1879,Analysis!$F$1:$G$5,2,FALSE)</f>
        <v>2509.1716796874912</v>
      </c>
      <c r="K1879">
        <f t="shared" si="116"/>
        <v>4232.78</v>
      </c>
      <c r="L1879">
        <f t="shared" si="117"/>
        <v>4232.79</v>
      </c>
      <c r="M1879">
        <f t="shared" si="118"/>
        <v>4232.79</v>
      </c>
      <c r="N1879" s="5" t="str">
        <f t="shared" si="119"/>
        <v>October 2022</v>
      </c>
    </row>
    <row r="1880" spans="1:14" x14ac:dyDescent="0.25">
      <c r="A1880" s="1">
        <v>44838</v>
      </c>
      <c r="B1880" t="s">
        <v>1871</v>
      </c>
      <c r="C1880">
        <v>34</v>
      </c>
      <c r="D1880" t="s">
        <v>21</v>
      </c>
      <c r="E1880" t="s">
        <v>19</v>
      </c>
      <c r="F1880" t="s">
        <v>23</v>
      </c>
      <c r="G1880" t="s">
        <v>27</v>
      </c>
      <c r="H1880">
        <v>623.52</v>
      </c>
      <c r="I1880" s="8" t="str" cm="1">
        <f t="array" ref="I1880">_xlfn.IFS(C1880&lt;=15,"Children and Young Adolescents", C1880&gt;64, "Seniors", TRUE, "Working Age")</f>
        <v>Working Age</v>
      </c>
      <c r="J1880" s="6">
        <f>VLOOKUP(F1880,Analysis!$F$1:$G$5,2,FALSE)</f>
        <v>2440.2966694490838</v>
      </c>
      <c r="K1880">
        <f t="shared" si="116"/>
        <v>685.87</v>
      </c>
      <c r="L1880">
        <f t="shared" si="117"/>
        <v>685.88</v>
      </c>
      <c r="M1880">
        <f t="shared" si="118"/>
        <v>685.87</v>
      </c>
      <c r="N1880" s="5" t="str">
        <f t="shared" si="119"/>
        <v>October 2022</v>
      </c>
    </row>
    <row r="1881" spans="1:14" x14ac:dyDescent="0.25">
      <c r="A1881" s="1">
        <v>44838</v>
      </c>
      <c r="B1881" t="s">
        <v>2924</v>
      </c>
      <c r="C1881">
        <v>14</v>
      </c>
      <c r="D1881" t="s">
        <v>21</v>
      </c>
      <c r="E1881" t="s">
        <v>15</v>
      </c>
      <c r="F1881" t="s">
        <v>11</v>
      </c>
      <c r="G1881" t="s">
        <v>27</v>
      </c>
      <c r="H1881">
        <v>1903.23</v>
      </c>
      <c r="I1881" s="8" t="str" cm="1">
        <f t="array" ref="I1881">_xlfn.IFS(C1881&lt;=15,"Children and Young Adolescents", C1881&gt;64, "Seniors", TRUE, "Working Age")</f>
        <v>Children and Young Adolescents</v>
      </c>
      <c r="J1881" s="6">
        <f>VLOOKUP(F1881,Analysis!$F$1:$G$5,2,FALSE)</f>
        <v>2503.6022787783854</v>
      </c>
      <c r="K1881">
        <f t="shared" si="116"/>
        <v>2093.5500000000002</v>
      </c>
      <c r="L1881">
        <f t="shared" si="117"/>
        <v>2093.5600000000004</v>
      </c>
      <c r="M1881">
        <f t="shared" si="118"/>
        <v>2093.5500000000002</v>
      </c>
      <c r="N1881" s="5" t="str">
        <f t="shared" si="119"/>
        <v>October 2022</v>
      </c>
    </row>
    <row r="1882" spans="1:14" x14ac:dyDescent="0.25">
      <c r="A1882" s="1">
        <v>44838</v>
      </c>
      <c r="B1882" t="s">
        <v>3953</v>
      </c>
      <c r="C1882">
        <v>68</v>
      </c>
      <c r="D1882" t="s">
        <v>21</v>
      </c>
      <c r="E1882" t="s">
        <v>5032</v>
      </c>
      <c r="F1882" t="s">
        <v>29</v>
      </c>
      <c r="G1882" t="s">
        <v>39</v>
      </c>
      <c r="H1882">
        <v>2607</v>
      </c>
      <c r="I1882" s="8" t="str" cm="1">
        <f t="array" ref="I1882">_xlfn.IFS(C1882&lt;=15,"Children and Young Adolescents", C1882&gt;64, "Seniors", TRUE, "Working Age")</f>
        <v>Seniors</v>
      </c>
      <c r="J1882" s="6">
        <f>VLOOKUP(F1882,Analysis!$F$1:$G$5,2,FALSE)</f>
        <v>2496.7676064256989</v>
      </c>
      <c r="K1882">
        <f t="shared" si="116"/>
        <v>2867.7</v>
      </c>
      <c r="L1882">
        <f t="shared" si="117"/>
        <v>2867.7</v>
      </c>
      <c r="M1882">
        <f t="shared" si="118"/>
        <v>2867.7</v>
      </c>
      <c r="N1882" s="5" t="str">
        <f t="shared" si="119"/>
        <v>October 2022</v>
      </c>
    </row>
    <row r="1883" spans="1:14" x14ac:dyDescent="0.25">
      <c r="A1883" s="1">
        <v>44839</v>
      </c>
      <c r="B1883" t="s">
        <v>4857</v>
      </c>
      <c r="C1883">
        <v>85</v>
      </c>
      <c r="D1883" t="s">
        <v>14</v>
      </c>
      <c r="E1883" t="s">
        <v>5032</v>
      </c>
      <c r="F1883" t="s">
        <v>11</v>
      </c>
      <c r="G1883" t="s">
        <v>39</v>
      </c>
      <c r="H1883">
        <v>4812.99</v>
      </c>
      <c r="I1883" s="8" t="str" cm="1">
        <f t="array" ref="I1883">_xlfn.IFS(C1883&lt;=15,"Children and Young Adolescents", C1883&gt;64, "Seniors", TRUE, "Working Age")</f>
        <v>Seniors</v>
      </c>
      <c r="J1883" s="6">
        <f>VLOOKUP(F1883,Analysis!$F$1:$G$5,2,FALSE)</f>
        <v>2503.6022787783854</v>
      </c>
      <c r="K1883">
        <f t="shared" si="116"/>
        <v>5294.28</v>
      </c>
      <c r="L1883">
        <f t="shared" si="117"/>
        <v>5294.29</v>
      </c>
      <c r="M1883">
        <f t="shared" si="118"/>
        <v>5294.29</v>
      </c>
      <c r="N1883" s="5" t="str">
        <f t="shared" si="119"/>
        <v>October 2022</v>
      </c>
    </row>
    <row r="1884" spans="1:14" x14ac:dyDescent="0.25">
      <c r="A1884" s="1">
        <v>44839</v>
      </c>
      <c r="B1884" t="s">
        <v>4572</v>
      </c>
      <c r="C1884">
        <v>79</v>
      </c>
      <c r="D1884" t="s">
        <v>21</v>
      </c>
      <c r="E1884" t="s">
        <v>19</v>
      </c>
      <c r="F1884" t="s">
        <v>29</v>
      </c>
      <c r="G1884" t="s">
        <v>39</v>
      </c>
      <c r="H1884">
        <v>1614.85</v>
      </c>
      <c r="I1884" s="8" t="str" cm="1">
        <f t="array" ref="I1884">_xlfn.IFS(C1884&lt;=15,"Children and Young Adolescents", C1884&gt;64, "Seniors", TRUE, "Working Age")</f>
        <v>Seniors</v>
      </c>
      <c r="J1884" s="6">
        <f>VLOOKUP(F1884,Analysis!$F$1:$G$5,2,FALSE)</f>
        <v>2496.7676064256989</v>
      </c>
      <c r="K1884">
        <f t="shared" si="116"/>
        <v>1776.33</v>
      </c>
      <c r="L1884">
        <f t="shared" si="117"/>
        <v>1776.34</v>
      </c>
      <c r="M1884">
        <f t="shared" si="118"/>
        <v>1776.34</v>
      </c>
      <c r="N1884" s="5" t="str">
        <f t="shared" si="119"/>
        <v>October 2022</v>
      </c>
    </row>
    <row r="1885" spans="1:14" x14ac:dyDescent="0.25">
      <c r="A1885" s="1">
        <v>44839</v>
      </c>
      <c r="B1885" t="s">
        <v>2133</v>
      </c>
      <c r="C1885">
        <v>67</v>
      </c>
      <c r="D1885" t="s">
        <v>9</v>
      </c>
      <c r="E1885" t="s">
        <v>15</v>
      </c>
      <c r="F1885" t="s">
        <v>29</v>
      </c>
      <c r="G1885" t="s">
        <v>27</v>
      </c>
      <c r="H1885">
        <v>2307.5100000000002</v>
      </c>
      <c r="I1885" s="8" t="str" cm="1">
        <f t="array" ref="I1885">_xlfn.IFS(C1885&lt;=15,"Children and Young Adolescents", C1885&gt;64, "Seniors", TRUE, "Working Age")</f>
        <v>Seniors</v>
      </c>
      <c r="J1885" s="6">
        <f>VLOOKUP(F1885,Analysis!$F$1:$G$5,2,FALSE)</f>
        <v>2496.7676064256989</v>
      </c>
      <c r="K1885">
        <f t="shared" si="116"/>
        <v>2538.2600000000002</v>
      </c>
      <c r="L1885">
        <f t="shared" si="117"/>
        <v>2538.2700000000004</v>
      </c>
      <c r="M1885">
        <f t="shared" si="118"/>
        <v>2538.2600000000002</v>
      </c>
      <c r="N1885" s="5" t="str">
        <f t="shared" si="119"/>
        <v>October 2022</v>
      </c>
    </row>
    <row r="1886" spans="1:14" x14ac:dyDescent="0.25">
      <c r="A1886" s="1">
        <v>44839</v>
      </c>
      <c r="B1886" t="s">
        <v>1901</v>
      </c>
      <c r="C1886">
        <v>20</v>
      </c>
      <c r="D1886" t="s">
        <v>14</v>
      </c>
      <c r="E1886" t="s">
        <v>15</v>
      </c>
      <c r="F1886" t="s">
        <v>23</v>
      </c>
      <c r="G1886" t="s">
        <v>27</v>
      </c>
      <c r="H1886">
        <v>3973.11</v>
      </c>
      <c r="I1886" s="8" t="str" cm="1">
        <f t="array" ref="I1886">_xlfn.IFS(C1886&lt;=15,"Children and Young Adolescents", C1886&gt;64, "Seniors", TRUE, "Working Age")</f>
        <v>Working Age</v>
      </c>
      <c r="J1886" s="6">
        <f>VLOOKUP(F1886,Analysis!$F$1:$G$5,2,FALSE)</f>
        <v>2440.2966694490838</v>
      </c>
      <c r="K1886">
        <f t="shared" si="116"/>
        <v>4370.42</v>
      </c>
      <c r="L1886">
        <f t="shared" si="117"/>
        <v>4370.43</v>
      </c>
      <c r="M1886">
        <f t="shared" si="118"/>
        <v>4370.42</v>
      </c>
      <c r="N1886" s="5" t="str">
        <f t="shared" si="119"/>
        <v>October 2022</v>
      </c>
    </row>
    <row r="1887" spans="1:14" x14ac:dyDescent="0.25">
      <c r="A1887" s="1">
        <v>44839</v>
      </c>
      <c r="B1887" t="s">
        <v>1698</v>
      </c>
      <c r="C1887">
        <v>71</v>
      </c>
      <c r="D1887" t="s">
        <v>21</v>
      </c>
      <c r="E1887" t="s">
        <v>22</v>
      </c>
      <c r="F1887" t="s">
        <v>16</v>
      </c>
      <c r="G1887" t="s">
        <v>17</v>
      </c>
      <c r="H1887">
        <v>2707.98</v>
      </c>
      <c r="I1887" s="8" t="str" cm="1">
        <f t="array" ref="I1887">_xlfn.IFS(C1887&lt;=15,"Children and Young Adolescents", C1887&gt;64, "Seniors", TRUE, "Working Age")</f>
        <v>Seniors</v>
      </c>
      <c r="J1887" s="6">
        <f>VLOOKUP(F1887,Analysis!$F$1:$G$5,2,FALSE)</f>
        <v>2509.1716796874912</v>
      </c>
      <c r="K1887">
        <f t="shared" si="116"/>
        <v>2978.77</v>
      </c>
      <c r="L1887">
        <f t="shared" si="117"/>
        <v>2978.78</v>
      </c>
      <c r="M1887">
        <f t="shared" si="118"/>
        <v>2978.78</v>
      </c>
      <c r="N1887" s="5" t="str">
        <f t="shared" si="119"/>
        <v>October 2022</v>
      </c>
    </row>
    <row r="1888" spans="1:14" x14ac:dyDescent="0.25">
      <c r="A1888" s="1">
        <v>44839</v>
      </c>
      <c r="B1888" t="s">
        <v>2774</v>
      </c>
      <c r="C1888">
        <v>74</v>
      </c>
      <c r="D1888" t="s">
        <v>14</v>
      </c>
      <c r="E1888" t="s">
        <v>22</v>
      </c>
      <c r="F1888" t="s">
        <v>23</v>
      </c>
      <c r="G1888" t="s">
        <v>27</v>
      </c>
      <c r="H1888">
        <v>4331.1000000000004</v>
      </c>
      <c r="I1888" s="8" t="str" cm="1">
        <f t="array" ref="I1888">_xlfn.IFS(C1888&lt;=15,"Children and Young Adolescents", C1888&gt;64, "Seniors", TRUE, "Working Age")</f>
        <v>Seniors</v>
      </c>
      <c r="J1888" s="6">
        <f>VLOOKUP(F1888,Analysis!$F$1:$G$5,2,FALSE)</f>
        <v>2440.2966694490838</v>
      </c>
      <c r="K1888">
        <f t="shared" si="116"/>
        <v>4764.21</v>
      </c>
      <c r="L1888">
        <f t="shared" si="117"/>
        <v>4764.21</v>
      </c>
      <c r="M1888">
        <f t="shared" si="118"/>
        <v>4764.21</v>
      </c>
      <c r="N1888" s="5" t="str">
        <f t="shared" si="119"/>
        <v>October 2022</v>
      </c>
    </row>
    <row r="1889" spans="1:14" x14ac:dyDescent="0.25">
      <c r="A1889" s="1">
        <v>44840</v>
      </c>
      <c r="B1889" t="s">
        <v>1415</v>
      </c>
      <c r="C1889">
        <v>20</v>
      </c>
      <c r="D1889" t="s">
        <v>14</v>
      </c>
      <c r="E1889" t="s">
        <v>22</v>
      </c>
      <c r="F1889" t="s">
        <v>23</v>
      </c>
      <c r="G1889" t="s">
        <v>39</v>
      </c>
      <c r="H1889">
        <v>3204.62</v>
      </c>
      <c r="I1889" s="8" t="str" cm="1">
        <f t="array" ref="I1889">_xlfn.IFS(C1889&lt;=15,"Children and Young Adolescents", C1889&gt;64, "Seniors", TRUE, "Working Age")</f>
        <v>Working Age</v>
      </c>
      <c r="J1889" s="6">
        <f>VLOOKUP(F1889,Analysis!$F$1:$G$5,2,FALSE)</f>
        <v>2440.2966694490838</v>
      </c>
      <c r="K1889">
        <f t="shared" si="116"/>
        <v>3525.08</v>
      </c>
      <c r="L1889">
        <f t="shared" si="117"/>
        <v>3525.09</v>
      </c>
      <c r="M1889">
        <f t="shared" si="118"/>
        <v>3525.08</v>
      </c>
      <c r="N1889" s="5" t="str">
        <f t="shared" si="119"/>
        <v>October 2022</v>
      </c>
    </row>
    <row r="1890" spans="1:14" x14ac:dyDescent="0.25">
      <c r="A1890" s="1">
        <v>44840</v>
      </c>
      <c r="B1890" t="s">
        <v>2455</v>
      </c>
      <c r="C1890">
        <v>79</v>
      </c>
      <c r="D1890" t="s">
        <v>14</v>
      </c>
      <c r="E1890" t="s">
        <v>25</v>
      </c>
      <c r="F1890" t="s">
        <v>23</v>
      </c>
      <c r="G1890" t="s">
        <v>17</v>
      </c>
      <c r="H1890">
        <v>2195.9299999999998</v>
      </c>
      <c r="I1890" s="8" t="str" cm="1">
        <f t="array" ref="I1890">_xlfn.IFS(C1890&lt;=15,"Children and Young Adolescents", C1890&gt;64, "Seniors", TRUE, "Working Age")</f>
        <v>Seniors</v>
      </c>
      <c r="J1890" s="6">
        <f>VLOOKUP(F1890,Analysis!$F$1:$G$5,2,FALSE)</f>
        <v>2440.2966694490838</v>
      </c>
      <c r="K1890">
        <f t="shared" si="116"/>
        <v>2415.52</v>
      </c>
      <c r="L1890">
        <f t="shared" si="117"/>
        <v>2415.5300000000002</v>
      </c>
      <c r="M1890">
        <f t="shared" si="118"/>
        <v>2415.52</v>
      </c>
      <c r="N1890" s="5" t="str">
        <f t="shared" si="119"/>
        <v>October 2022</v>
      </c>
    </row>
    <row r="1891" spans="1:14" x14ac:dyDescent="0.25">
      <c r="A1891" s="1">
        <v>44840</v>
      </c>
      <c r="B1891" t="s">
        <v>923</v>
      </c>
      <c r="C1891">
        <v>12</v>
      </c>
      <c r="D1891" t="s">
        <v>14</v>
      </c>
      <c r="E1891" t="s">
        <v>34</v>
      </c>
      <c r="F1891" t="s">
        <v>16</v>
      </c>
      <c r="G1891" t="s">
        <v>17</v>
      </c>
      <c r="H1891">
        <v>4250.82</v>
      </c>
      <c r="I1891" s="8" t="str" cm="1">
        <f t="array" ref="I1891">_xlfn.IFS(C1891&lt;=15,"Children and Young Adolescents", C1891&gt;64, "Seniors", TRUE, "Working Age")</f>
        <v>Children and Young Adolescents</v>
      </c>
      <c r="J1891" s="6">
        <f>VLOOKUP(F1891,Analysis!$F$1:$G$5,2,FALSE)</f>
        <v>2509.1716796874912</v>
      </c>
      <c r="K1891">
        <f t="shared" si="116"/>
        <v>4675.8999999999996</v>
      </c>
      <c r="L1891">
        <f t="shared" si="117"/>
        <v>4675.91</v>
      </c>
      <c r="M1891">
        <f t="shared" si="118"/>
        <v>4675.8999999999996</v>
      </c>
      <c r="N1891" s="5" t="str">
        <f t="shared" si="119"/>
        <v>October 2022</v>
      </c>
    </row>
    <row r="1892" spans="1:14" x14ac:dyDescent="0.25">
      <c r="A1892" s="1">
        <v>44840</v>
      </c>
      <c r="B1892" t="s">
        <v>3998</v>
      </c>
      <c r="C1892">
        <v>33</v>
      </c>
      <c r="D1892" t="s">
        <v>9</v>
      </c>
      <c r="E1892" t="s">
        <v>22</v>
      </c>
      <c r="F1892" t="s">
        <v>16</v>
      </c>
      <c r="G1892" t="s">
        <v>27</v>
      </c>
      <c r="H1892">
        <v>1859.41</v>
      </c>
      <c r="I1892" s="8" t="str" cm="1">
        <f t="array" ref="I1892">_xlfn.IFS(C1892&lt;=15,"Children and Young Adolescents", C1892&gt;64, "Seniors", TRUE, "Working Age")</f>
        <v>Working Age</v>
      </c>
      <c r="J1892" s="6">
        <f>VLOOKUP(F1892,Analysis!$F$1:$G$5,2,FALSE)</f>
        <v>2509.1716796874912</v>
      </c>
      <c r="K1892">
        <f t="shared" si="116"/>
        <v>2045.35</v>
      </c>
      <c r="L1892">
        <f t="shared" si="117"/>
        <v>2045.36</v>
      </c>
      <c r="M1892">
        <f t="shared" si="118"/>
        <v>2045.35</v>
      </c>
      <c r="N1892" s="5" t="str">
        <f t="shared" si="119"/>
        <v>October 2022</v>
      </c>
    </row>
    <row r="1893" spans="1:14" x14ac:dyDescent="0.25">
      <c r="A1893" s="1">
        <v>44840</v>
      </c>
      <c r="B1893" t="s">
        <v>187</v>
      </c>
      <c r="C1893">
        <v>17</v>
      </c>
      <c r="D1893" t="s">
        <v>14</v>
      </c>
      <c r="E1893" t="s">
        <v>22</v>
      </c>
      <c r="F1893" t="s">
        <v>11</v>
      </c>
      <c r="G1893" t="s">
        <v>36</v>
      </c>
      <c r="H1893">
        <v>1379.22</v>
      </c>
      <c r="I1893" s="8" t="str" cm="1">
        <f t="array" ref="I1893">_xlfn.IFS(C1893&lt;=15,"Children and Young Adolescents", C1893&gt;64, "Seniors", TRUE, "Working Age")</f>
        <v>Working Age</v>
      </c>
      <c r="J1893" s="6">
        <f>VLOOKUP(F1893,Analysis!$F$1:$G$5,2,FALSE)</f>
        <v>2503.6022787783854</v>
      </c>
      <c r="K1893">
        <f t="shared" si="116"/>
        <v>1517.14</v>
      </c>
      <c r="L1893">
        <f t="shared" si="117"/>
        <v>1517.15</v>
      </c>
      <c r="M1893">
        <f t="shared" si="118"/>
        <v>1517.14</v>
      </c>
      <c r="N1893" s="5" t="str">
        <f t="shared" si="119"/>
        <v>October 2022</v>
      </c>
    </row>
    <row r="1894" spans="1:14" x14ac:dyDescent="0.25">
      <c r="A1894" s="1">
        <v>44840</v>
      </c>
      <c r="B1894" t="s">
        <v>1844</v>
      </c>
      <c r="C1894">
        <v>25</v>
      </c>
      <c r="D1894" t="s">
        <v>14</v>
      </c>
      <c r="E1894" t="s">
        <v>10</v>
      </c>
      <c r="F1894" t="s">
        <v>23</v>
      </c>
      <c r="G1894" t="s">
        <v>17</v>
      </c>
      <c r="H1894">
        <v>4486.8900000000003</v>
      </c>
      <c r="I1894" s="8" t="str" cm="1">
        <f t="array" ref="I1894">_xlfn.IFS(C1894&lt;=15,"Children and Young Adolescents", C1894&gt;64, "Seniors", TRUE, "Working Age")</f>
        <v>Working Age</v>
      </c>
      <c r="J1894" s="6">
        <f>VLOOKUP(F1894,Analysis!$F$1:$G$5,2,FALSE)</f>
        <v>2440.2966694490838</v>
      </c>
      <c r="K1894">
        <f t="shared" si="116"/>
        <v>4935.57</v>
      </c>
      <c r="L1894">
        <f t="shared" si="117"/>
        <v>4935.58</v>
      </c>
      <c r="M1894">
        <f t="shared" si="118"/>
        <v>4935.58</v>
      </c>
      <c r="N1894" s="5" t="str">
        <f t="shared" si="119"/>
        <v>October 2022</v>
      </c>
    </row>
    <row r="1895" spans="1:14" x14ac:dyDescent="0.25">
      <c r="A1895" s="1">
        <v>44840</v>
      </c>
      <c r="B1895" t="s">
        <v>1272</v>
      </c>
      <c r="C1895">
        <v>95</v>
      </c>
      <c r="D1895" t="s">
        <v>21</v>
      </c>
      <c r="E1895" t="s">
        <v>22</v>
      </c>
      <c r="F1895" t="s">
        <v>29</v>
      </c>
      <c r="G1895" t="s">
        <v>39</v>
      </c>
      <c r="H1895">
        <v>2153.9699999999998</v>
      </c>
      <c r="I1895" s="8" t="str" cm="1">
        <f t="array" ref="I1895">_xlfn.IFS(C1895&lt;=15,"Children and Young Adolescents", C1895&gt;64, "Seniors", TRUE, "Working Age")</f>
        <v>Seniors</v>
      </c>
      <c r="J1895" s="6">
        <f>VLOOKUP(F1895,Analysis!$F$1:$G$5,2,FALSE)</f>
        <v>2496.7676064256989</v>
      </c>
      <c r="K1895">
        <f t="shared" si="116"/>
        <v>2369.36</v>
      </c>
      <c r="L1895">
        <f t="shared" si="117"/>
        <v>2369.3700000000003</v>
      </c>
      <c r="M1895">
        <f t="shared" si="118"/>
        <v>2369.37</v>
      </c>
      <c r="N1895" s="5" t="str">
        <f t="shared" si="119"/>
        <v>October 2022</v>
      </c>
    </row>
    <row r="1896" spans="1:14" x14ac:dyDescent="0.25">
      <c r="A1896" s="1">
        <v>44841</v>
      </c>
      <c r="B1896" t="s">
        <v>3334</v>
      </c>
      <c r="C1896">
        <v>36</v>
      </c>
      <c r="D1896" t="s">
        <v>9</v>
      </c>
      <c r="E1896" t="s">
        <v>25</v>
      </c>
      <c r="F1896" t="s">
        <v>11</v>
      </c>
      <c r="G1896" t="s">
        <v>27</v>
      </c>
      <c r="H1896">
        <v>4593.79</v>
      </c>
      <c r="I1896" s="8" t="str" cm="1">
        <f t="array" ref="I1896">_xlfn.IFS(C1896&lt;=15,"Children and Young Adolescents", C1896&gt;64, "Seniors", TRUE, "Working Age")</f>
        <v>Working Age</v>
      </c>
      <c r="J1896" s="6">
        <f>VLOOKUP(F1896,Analysis!$F$1:$G$5,2,FALSE)</f>
        <v>2503.6022787783854</v>
      </c>
      <c r="K1896">
        <f t="shared" si="116"/>
        <v>5053.16</v>
      </c>
      <c r="L1896">
        <f t="shared" si="117"/>
        <v>5053.17</v>
      </c>
      <c r="M1896">
        <f t="shared" si="118"/>
        <v>5053.17</v>
      </c>
      <c r="N1896" s="5" t="str">
        <f t="shared" si="119"/>
        <v>October 2022</v>
      </c>
    </row>
    <row r="1897" spans="1:14" x14ac:dyDescent="0.25">
      <c r="A1897" s="1">
        <v>44841</v>
      </c>
      <c r="B1897" t="s">
        <v>2748</v>
      </c>
      <c r="C1897">
        <v>52</v>
      </c>
      <c r="D1897" t="s">
        <v>9</v>
      </c>
      <c r="E1897" t="s">
        <v>32</v>
      </c>
      <c r="F1897" t="s">
        <v>16</v>
      </c>
      <c r="G1897" t="s">
        <v>39</v>
      </c>
      <c r="H1897">
        <v>4471.63</v>
      </c>
      <c r="I1897" s="8" t="str" cm="1">
        <f t="array" ref="I1897">_xlfn.IFS(C1897&lt;=15,"Children and Young Adolescents", C1897&gt;64, "Seniors", TRUE, "Working Age")</f>
        <v>Working Age</v>
      </c>
      <c r="J1897" s="6">
        <f>VLOOKUP(F1897,Analysis!$F$1:$G$5,2,FALSE)</f>
        <v>2509.1716796874912</v>
      </c>
      <c r="K1897">
        <f t="shared" si="116"/>
        <v>4918.79</v>
      </c>
      <c r="L1897">
        <f t="shared" si="117"/>
        <v>4918.8</v>
      </c>
      <c r="M1897">
        <f t="shared" si="118"/>
        <v>4918.79</v>
      </c>
      <c r="N1897" s="5" t="str">
        <f t="shared" si="119"/>
        <v>October 2022</v>
      </c>
    </row>
    <row r="1898" spans="1:14" x14ac:dyDescent="0.25">
      <c r="A1898" s="1">
        <v>44841</v>
      </c>
      <c r="B1898" t="s">
        <v>1488</v>
      </c>
      <c r="C1898">
        <v>56</v>
      </c>
      <c r="D1898" t="s">
        <v>21</v>
      </c>
      <c r="E1898" t="s">
        <v>10</v>
      </c>
      <c r="F1898" t="s">
        <v>29</v>
      </c>
      <c r="G1898" t="s">
        <v>17</v>
      </c>
      <c r="H1898">
        <v>2714.76</v>
      </c>
      <c r="I1898" s="8" t="str" cm="1">
        <f t="array" ref="I1898">_xlfn.IFS(C1898&lt;=15,"Children and Young Adolescents", C1898&gt;64, "Seniors", TRUE, "Working Age")</f>
        <v>Working Age</v>
      </c>
      <c r="J1898" s="6">
        <f>VLOOKUP(F1898,Analysis!$F$1:$G$5,2,FALSE)</f>
        <v>2496.7676064256989</v>
      </c>
      <c r="K1898">
        <f t="shared" si="116"/>
        <v>2986.23</v>
      </c>
      <c r="L1898">
        <f t="shared" si="117"/>
        <v>2986.2400000000002</v>
      </c>
      <c r="M1898">
        <f t="shared" si="118"/>
        <v>2986.24</v>
      </c>
      <c r="N1898" s="5" t="str">
        <f t="shared" si="119"/>
        <v>October 2022</v>
      </c>
    </row>
    <row r="1899" spans="1:14" x14ac:dyDescent="0.25">
      <c r="A1899" s="1">
        <v>44841</v>
      </c>
      <c r="B1899" t="s">
        <v>3617</v>
      </c>
      <c r="C1899">
        <v>80</v>
      </c>
      <c r="D1899" t="s">
        <v>14</v>
      </c>
      <c r="E1899" t="s">
        <v>15</v>
      </c>
      <c r="F1899" t="s">
        <v>29</v>
      </c>
      <c r="G1899" t="s">
        <v>17</v>
      </c>
      <c r="H1899">
        <v>4565.07</v>
      </c>
      <c r="I1899" s="8" t="str" cm="1">
        <f t="array" ref="I1899">_xlfn.IFS(C1899&lt;=15,"Children and Young Adolescents", C1899&gt;64, "Seniors", TRUE, "Working Age")</f>
        <v>Seniors</v>
      </c>
      <c r="J1899" s="6">
        <f>VLOOKUP(F1899,Analysis!$F$1:$G$5,2,FALSE)</f>
        <v>2496.7676064256989</v>
      </c>
      <c r="K1899">
        <f t="shared" si="116"/>
        <v>5021.57</v>
      </c>
      <c r="L1899">
        <f t="shared" si="117"/>
        <v>5021.58</v>
      </c>
      <c r="M1899">
        <f t="shared" si="118"/>
        <v>5021.58</v>
      </c>
      <c r="N1899" s="5" t="str">
        <f t="shared" si="119"/>
        <v>October 2022</v>
      </c>
    </row>
    <row r="1900" spans="1:14" x14ac:dyDescent="0.25">
      <c r="A1900" s="1">
        <v>44841</v>
      </c>
      <c r="B1900" t="s">
        <v>3910</v>
      </c>
      <c r="C1900">
        <v>13</v>
      </c>
      <c r="D1900" t="s">
        <v>21</v>
      </c>
      <c r="E1900" t="s">
        <v>32</v>
      </c>
      <c r="F1900" t="s">
        <v>16</v>
      </c>
      <c r="G1900" t="s">
        <v>12</v>
      </c>
      <c r="H1900">
        <v>1485.94</v>
      </c>
      <c r="I1900" s="8" t="str" cm="1">
        <f t="array" ref="I1900">_xlfn.IFS(C1900&lt;=15,"Children and Young Adolescents", C1900&gt;64, "Seniors", TRUE, "Working Age")</f>
        <v>Children and Young Adolescents</v>
      </c>
      <c r="J1900" s="6">
        <f>VLOOKUP(F1900,Analysis!$F$1:$G$5,2,FALSE)</f>
        <v>2509.1716796874912</v>
      </c>
      <c r="K1900">
        <f t="shared" si="116"/>
        <v>1634.53</v>
      </c>
      <c r="L1900">
        <f t="shared" si="117"/>
        <v>1634.54</v>
      </c>
      <c r="M1900">
        <f t="shared" si="118"/>
        <v>1634.53</v>
      </c>
      <c r="N1900" s="5" t="str">
        <f t="shared" si="119"/>
        <v>October 2022</v>
      </c>
    </row>
    <row r="1901" spans="1:14" x14ac:dyDescent="0.25">
      <c r="A1901" s="1">
        <v>44841</v>
      </c>
      <c r="B1901" t="s">
        <v>1823</v>
      </c>
      <c r="C1901">
        <v>21</v>
      </c>
      <c r="D1901" t="s">
        <v>21</v>
      </c>
      <c r="E1901" t="s">
        <v>34</v>
      </c>
      <c r="F1901" t="s">
        <v>11</v>
      </c>
      <c r="G1901" t="s">
        <v>39</v>
      </c>
      <c r="H1901">
        <v>4118.8500000000004</v>
      </c>
      <c r="I1901" s="8" t="str" cm="1">
        <f t="array" ref="I1901">_xlfn.IFS(C1901&lt;=15,"Children and Young Adolescents", C1901&gt;64, "Seniors", TRUE, "Working Age")</f>
        <v>Working Age</v>
      </c>
      <c r="J1901" s="6">
        <f>VLOOKUP(F1901,Analysis!$F$1:$G$5,2,FALSE)</f>
        <v>2503.6022787783854</v>
      </c>
      <c r="K1901">
        <f t="shared" si="116"/>
        <v>4530.7299999999996</v>
      </c>
      <c r="L1901">
        <f t="shared" si="117"/>
        <v>4530.74</v>
      </c>
      <c r="M1901">
        <f t="shared" si="118"/>
        <v>4530.74</v>
      </c>
      <c r="N1901" s="5" t="str">
        <f t="shared" si="119"/>
        <v>October 2022</v>
      </c>
    </row>
    <row r="1902" spans="1:14" x14ac:dyDescent="0.25">
      <c r="A1902" s="1">
        <v>44841</v>
      </c>
      <c r="B1902" t="s">
        <v>3013</v>
      </c>
      <c r="C1902">
        <v>98</v>
      </c>
      <c r="D1902" t="s">
        <v>21</v>
      </c>
      <c r="E1902" t="s">
        <v>22</v>
      </c>
      <c r="F1902" t="s">
        <v>29</v>
      </c>
      <c r="G1902" t="s">
        <v>36</v>
      </c>
      <c r="H1902">
        <v>1065.77</v>
      </c>
      <c r="I1902" s="8" t="str" cm="1">
        <f t="array" ref="I1902">_xlfn.IFS(C1902&lt;=15,"Children and Young Adolescents", C1902&gt;64, "Seniors", TRUE, "Working Age")</f>
        <v>Seniors</v>
      </c>
      <c r="J1902" s="6">
        <f>VLOOKUP(F1902,Analysis!$F$1:$G$5,2,FALSE)</f>
        <v>2496.7676064256989</v>
      </c>
      <c r="K1902">
        <f t="shared" si="116"/>
        <v>1172.3399999999999</v>
      </c>
      <c r="L1902">
        <f t="shared" si="117"/>
        <v>1172.3499999999999</v>
      </c>
      <c r="M1902">
        <f t="shared" si="118"/>
        <v>1172.3499999999999</v>
      </c>
      <c r="N1902" s="5" t="str">
        <f t="shared" si="119"/>
        <v>October 2022</v>
      </c>
    </row>
    <row r="1903" spans="1:14" x14ac:dyDescent="0.25">
      <c r="A1903" s="1">
        <v>44841</v>
      </c>
      <c r="B1903" t="s">
        <v>1804</v>
      </c>
      <c r="C1903">
        <v>2</v>
      </c>
      <c r="D1903" t="s">
        <v>14</v>
      </c>
      <c r="E1903" t="s">
        <v>10</v>
      </c>
      <c r="F1903" t="s">
        <v>29</v>
      </c>
      <c r="G1903" t="s">
        <v>27</v>
      </c>
      <c r="H1903">
        <v>1103.68</v>
      </c>
      <c r="I1903" s="8" t="str" cm="1">
        <f t="array" ref="I1903">_xlfn.IFS(C1903&lt;=15,"Children and Young Adolescents", C1903&gt;64, "Seniors", TRUE, "Working Age")</f>
        <v>Children and Young Adolescents</v>
      </c>
      <c r="J1903" s="6">
        <f>VLOOKUP(F1903,Analysis!$F$1:$G$5,2,FALSE)</f>
        <v>2496.7676064256989</v>
      </c>
      <c r="K1903">
        <f t="shared" si="116"/>
        <v>1214.04</v>
      </c>
      <c r="L1903">
        <f t="shared" si="117"/>
        <v>1214.05</v>
      </c>
      <c r="M1903">
        <f t="shared" si="118"/>
        <v>1214.05</v>
      </c>
      <c r="N1903" s="5" t="str">
        <f t="shared" si="119"/>
        <v>October 2022</v>
      </c>
    </row>
    <row r="1904" spans="1:14" x14ac:dyDescent="0.25">
      <c r="A1904" s="1">
        <v>44842</v>
      </c>
      <c r="B1904" t="s">
        <v>2826</v>
      </c>
      <c r="C1904">
        <v>31</v>
      </c>
      <c r="D1904" t="s">
        <v>21</v>
      </c>
      <c r="E1904" t="s">
        <v>19</v>
      </c>
      <c r="F1904" t="s">
        <v>23</v>
      </c>
      <c r="G1904" t="s">
        <v>39</v>
      </c>
      <c r="H1904">
        <v>1286.77</v>
      </c>
      <c r="I1904" s="8" t="str" cm="1">
        <f t="array" ref="I1904">_xlfn.IFS(C1904&lt;=15,"Children and Young Adolescents", C1904&gt;64, "Seniors", TRUE, "Working Age")</f>
        <v>Working Age</v>
      </c>
      <c r="J1904" s="6">
        <f>VLOOKUP(F1904,Analysis!$F$1:$G$5,2,FALSE)</f>
        <v>2440.2966694490838</v>
      </c>
      <c r="K1904">
        <f t="shared" si="116"/>
        <v>1415.44</v>
      </c>
      <c r="L1904">
        <f t="shared" si="117"/>
        <v>1415.45</v>
      </c>
      <c r="M1904">
        <f t="shared" si="118"/>
        <v>1415.45</v>
      </c>
      <c r="N1904" s="5" t="str">
        <f t="shared" si="119"/>
        <v>October 2022</v>
      </c>
    </row>
    <row r="1905" spans="1:14" x14ac:dyDescent="0.25">
      <c r="A1905" s="1">
        <v>44842</v>
      </c>
      <c r="B1905" t="s">
        <v>2397</v>
      </c>
      <c r="C1905">
        <v>45</v>
      </c>
      <c r="D1905" t="s">
        <v>21</v>
      </c>
      <c r="E1905" t="s">
        <v>19</v>
      </c>
      <c r="F1905" t="s">
        <v>16</v>
      </c>
      <c r="G1905" t="s">
        <v>17</v>
      </c>
      <c r="H1905">
        <v>4896.32</v>
      </c>
      <c r="I1905" s="8" t="str" cm="1">
        <f t="array" ref="I1905">_xlfn.IFS(C1905&lt;=15,"Children and Young Adolescents", C1905&gt;64, "Seniors", TRUE, "Working Age")</f>
        <v>Working Age</v>
      </c>
      <c r="J1905" s="6">
        <f>VLOOKUP(F1905,Analysis!$F$1:$G$5,2,FALSE)</f>
        <v>2509.1716796874912</v>
      </c>
      <c r="K1905">
        <f t="shared" si="116"/>
        <v>5385.95</v>
      </c>
      <c r="L1905">
        <f t="shared" si="117"/>
        <v>5385.96</v>
      </c>
      <c r="M1905">
        <f t="shared" si="118"/>
        <v>5385.95</v>
      </c>
      <c r="N1905" s="5" t="str">
        <f t="shared" si="119"/>
        <v>October 2022</v>
      </c>
    </row>
    <row r="1906" spans="1:14" x14ac:dyDescent="0.25">
      <c r="A1906" s="1">
        <v>44842</v>
      </c>
      <c r="B1906" t="s">
        <v>3318</v>
      </c>
      <c r="C1906">
        <v>9</v>
      </c>
      <c r="D1906" t="s">
        <v>14</v>
      </c>
      <c r="E1906" t="s">
        <v>22</v>
      </c>
      <c r="F1906" t="s">
        <v>29</v>
      </c>
      <c r="G1906" t="s">
        <v>27</v>
      </c>
      <c r="H1906">
        <v>2633.75</v>
      </c>
      <c r="I1906" s="8" t="str" cm="1">
        <f t="array" ref="I1906">_xlfn.IFS(C1906&lt;=15,"Children and Young Adolescents", C1906&gt;64, "Seniors", TRUE, "Working Age")</f>
        <v>Children and Young Adolescents</v>
      </c>
      <c r="J1906" s="6">
        <f>VLOOKUP(F1906,Analysis!$F$1:$G$5,2,FALSE)</f>
        <v>2496.7676064256989</v>
      </c>
      <c r="K1906">
        <f t="shared" si="116"/>
        <v>2897.12</v>
      </c>
      <c r="L1906">
        <f t="shared" si="117"/>
        <v>2897.13</v>
      </c>
      <c r="M1906">
        <f t="shared" si="118"/>
        <v>2897.13</v>
      </c>
      <c r="N1906" s="5" t="str">
        <f t="shared" si="119"/>
        <v>October 2022</v>
      </c>
    </row>
    <row r="1907" spans="1:14" x14ac:dyDescent="0.25">
      <c r="A1907" s="1">
        <v>44842</v>
      </c>
      <c r="B1907" t="s">
        <v>2052</v>
      </c>
      <c r="C1907">
        <v>53</v>
      </c>
      <c r="D1907" t="s">
        <v>9</v>
      </c>
      <c r="E1907" t="s">
        <v>10</v>
      </c>
      <c r="F1907" t="s">
        <v>16</v>
      </c>
      <c r="G1907" t="s">
        <v>39</v>
      </c>
      <c r="H1907">
        <v>681.55</v>
      </c>
      <c r="I1907" s="8" t="str" cm="1">
        <f t="array" ref="I1907">_xlfn.IFS(C1907&lt;=15,"Children and Young Adolescents", C1907&gt;64, "Seniors", TRUE, "Working Age")</f>
        <v>Working Age</v>
      </c>
      <c r="J1907" s="6">
        <f>VLOOKUP(F1907,Analysis!$F$1:$G$5,2,FALSE)</f>
        <v>2509.1716796874912</v>
      </c>
      <c r="K1907">
        <f t="shared" si="116"/>
        <v>749.7</v>
      </c>
      <c r="L1907">
        <f t="shared" si="117"/>
        <v>749.71</v>
      </c>
      <c r="M1907">
        <f t="shared" si="118"/>
        <v>749.71</v>
      </c>
      <c r="N1907" s="5" t="str">
        <f t="shared" si="119"/>
        <v>October 2022</v>
      </c>
    </row>
    <row r="1908" spans="1:14" x14ac:dyDescent="0.25">
      <c r="A1908" s="1">
        <v>44842</v>
      </c>
      <c r="B1908" t="s">
        <v>3356</v>
      </c>
      <c r="C1908">
        <v>94</v>
      </c>
      <c r="D1908" t="s">
        <v>21</v>
      </c>
      <c r="E1908" t="s">
        <v>34</v>
      </c>
      <c r="F1908" t="s">
        <v>16</v>
      </c>
      <c r="G1908" t="s">
        <v>17</v>
      </c>
      <c r="H1908">
        <v>4594.57</v>
      </c>
      <c r="I1908" s="8" t="str" cm="1">
        <f t="array" ref="I1908">_xlfn.IFS(C1908&lt;=15,"Children and Young Adolescents", C1908&gt;64, "Seniors", TRUE, "Working Age")</f>
        <v>Seniors</v>
      </c>
      <c r="J1908" s="6">
        <f>VLOOKUP(F1908,Analysis!$F$1:$G$5,2,FALSE)</f>
        <v>2509.1716796874912</v>
      </c>
      <c r="K1908">
        <f t="shared" si="116"/>
        <v>5054.0200000000004</v>
      </c>
      <c r="L1908">
        <f t="shared" si="117"/>
        <v>5054.0300000000007</v>
      </c>
      <c r="M1908">
        <f t="shared" si="118"/>
        <v>5054.03</v>
      </c>
      <c r="N1908" s="5" t="str">
        <f t="shared" si="119"/>
        <v>October 2022</v>
      </c>
    </row>
    <row r="1909" spans="1:14" x14ac:dyDescent="0.25">
      <c r="A1909" s="1">
        <v>44842</v>
      </c>
      <c r="B1909" t="s">
        <v>3506</v>
      </c>
      <c r="C1909">
        <v>54</v>
      </c>
      <c r="D1909" t="s">
        <v>9</v>
      </c>
      <c r="E1909" t="s">
        <v>22</v>
      </c>
      <c r="F1909" t="s">
        <v>23</v>
      </c>
      <c r="G1909" t="s">
        <v>27</v>
      </c>
      <c r="H1909">
        <v>2555.5300000000002</v>
      </c>
      <c r="I1909" s="8" t="str" cm="1">
        <f t="array" ref="I1909">_xlfn.IFS(C1909&lt;=15,"Children and Young Adolescents", C1909&gt;64, "Seniors", TRUE, "Working Age")</f>
        <v>Working Age</v>
      </c>
      <c r="J1909" s="6">
        <f>VLOOKUP(F1909,Analysis!$F$1:$G$5,2,FALSE)</f>
        <v>2440.2966694490838</v>
      </c>
      <c r="K1909">
        <f t="shared" si="116"/>
        <v>2811.08</v>
      </c>
      <c r="L1909">
        <f t="shared" si="117"/>
        <v>2811.09</v>
      </c>
      <c r="M1909">
        <f t="shared" si="118"/>
        <v>2811.08</v>
      </c>
      <c r="N1909" s="5" t="str">
        <f t="shared" si="119"/>
        <v>October 2022</v>
      </c>
    </row>
    <row r="1910" spans="1:14" x14ac:dyDescent="0.25">
      <c r="A1910" s="1">
        <v>44842</v>
      </c>
      <c r="B1910" t="s">
        <v>4692</v>
      </c>
      <c r="C1910">
        <v>78</v>
      </c>
      <c r="D1910" t="s">
        <v>14</v>
      </c>
      <c r="E1910" t="s">
        <v>10</v>
      </c>
      <c r="F1910" t="s">
        <v>11</v>
      </c>
      <c r="G1910" t="s">
        <v>39</v>
      </c>
      <c r="H1910">
        <v>4259.7</v>
      </c>
      <c r="I1910" s="8" t="str" cm="1">
        <f t="array" ref="I1910">_xlfn.IFS(C1910&lt;=15,"Children and Young Adolescents", C1910&gt;64, "Seniors", TRUE, "Working Age")</f>
        <v>Seniors</v>
      </c>
      <c r="J1910" s="6">
        <f>VLOOKUP(F1910,Analysis!$F$1:$G$5,2,FALSE)</f>
        <v>2503.6022787783854</v>
      </c>
      <c r="K1910">
        <f t="shared" si="116"/>
        <v>4685.67</v>
      </c>
      <c r="L1910">
        <f t="shared" si="117"/>
        <v>4685.67</v>
      </c>
      <c r="M1910">
        <f t="shared" si="118"/>
        <v>4685.67</v>
      </c>
      <c r="N1910" s="5" t="str">
        <f t="shared" si="119"/>
        <v>October 2022</v>
      </c>
    </row>
    <row r="1911" spans="1:14" x14ac:dyDescent="0.25">
      <c r="A1911" s="1">
        <v>44843</v>
      </c>
      <c r="B1911" t="s">
        <v>4621</v>
      </c>
      <c r="C1911">
        <v>40</v>
      </c>
      <c r="D1911" t="s">
        <v>9</v>
      </c>
      <c r="E1911" t="s">
        <v>32</v>
      </c>
      <c r="F1911" t="s">
        <v>11</v>
      </c>
      <c r="G1911" t="s">
        <v>17</v>
      </c>
      <c r="H1911">
        <v>4003.09</v>
      </c>
      <c r="I1911" s="8" t="str" cm="1">
        <f t="array" ref="I1911">_xlfn.IFS(C1911&lt;=15,"Children and Young Adolescents", C1911&gt;64, "Seniors", TRUE, "Working Age")</f>
        <v>Working Age</v>
      </c>
      <c r="J1911" s="6">
        <f>VLOOKUP(F1911,Analysis!$F$1:$G$5,2,FALSE)</f>
        <v>2503.6022787783854</v>
      </c>
      <c r="K1911">
        <f t="shared" si="116"/>
        <v>4403.3900000000003</v>
      </c>
      <c r="L1911">
        <f t="shared" si="117"/>
        <v>4403.4000000000005</v>
      </c>
      <c r="M1911">
        <f t="shared" si="118"/>
        <v>4403.3999999999996</v>
      </c>
      <c r="N1911" s="5" t="str">
        <f t="shared" si="119"/>
        <v>October 2022</v>
      </c>
    </row>
    <row r="1912" spans="1:14" x14ac:dyDescent="0.25">
      <c r="A1912" s="1">
        <v>44843</v>
      </c>
      <c r="B1912" t="s">
        <v>2872</v>
      </c>
      <c r="C1912">
        <v>17</v>
      </c>
      <c r="D1912" t="s">
        <v>9</v>
      </c>
      <c r="E1912" t="s">
        <v>10</v>
      </c>
      <c r="F1912" t="s">
        <v>23</v>
      </c>
      <c r="G1912" t="s">
        <v>17</v>
      </c>
      <c r="H1912">
        <v>3429.49</v>
      </c>
      <c r="I1912" s="8" t="str" cm="1">
        <f t="array" ref="I1912">_xlfn.IFS(C1912&lt;=15,"Children and Young Adolescents", C1912&gt;64, "Seniors", TRUE, "Working Age")</f>
        <v>Working Age</v>
      </c>
      <c r="J1912" s="6">
        <f>VLOOKUP(F1912,Analysis!$F$1:$G$5,2,FALSE)</f>
        <v>2440.2966694490838</v>
      </c>
      <c r="K1912">
        <f t="shared" si="116"/>
        <v>3772.43</v>
      </c>
      <c r="L1912">
        <f t="shared" si="117"/>
        <v>3772.44</v>
      </c>
      <c r="M1912">
        <f t="shared" si="118"/>
        <v>3772.44</v>
      </c>
      <c r="N1912" s="5" t="str">
        <f t="shared" si="119"/>
        <v>October 2022</v>
      </c>
    </row>
    <row r="1913" spans="1:14" x14ac:dyDescent="0.25">
      <c r="A1913" s="1">
        <v>44843</v>
      </c>
      <c r="B1913" t="s">
        <v>1216</v>
      </c>
      <c r="C1913">
        <v>39</v>
      </c>
      <c r="D1913" t="s">
        <v>14</v>
      </c>
      <c r="E1913" t="s">
        <v>32</v>
      </c>
      <c r="F1913" t="s">
        <v>23</v>
      </c>
      <c r="G1913" t="s">
        <v>12</v>
      </c>
      <c r="H1913">
        <v>1452.16</v>
      </c>
      <c r="I1913" s="8" t="str" cm="1">
        <f t="array" ref="I1913">_xlfn.IFS(C1913&lt;=15,"Children and Young Adolescents", C1913&gt;64, "Seniors", TRUE, "Working Age")</f>
        <v>Working Age</v>
      </c>
      <c r="J1913" s="6">
        <f>VLOOKUP(F1913,Analysis!$F$1:$G$5,2,FALSE)</f>
        <v>2440.2966694490838</v>
      </c>
      <c r="K1913">
        <f t="shared" si="116"/>
        <v>1597.37</v>
      </c>
      <c r="L1913">
        <f t="shared" si="117"/>
        <v>1597.3799999999999</v>
      </c>
      <c r="M1913">
        <f t="shared" si="118"/>
        <v>1597.38</v>
      </c>
      <c r="N1913" s="5" t="str">
        <f t="shared" si="119"/>
        <v>October 2022</v>
      </c>
    </row>
    <row r="1914" spans="1:14" x14ac:dyDescent="0.25">
      <c r="A1914" s="1">
        <v>44843</v>
      </c>
      <c r="B1914" t="s">
        <v>661</v>
      </c>
      <c r="C1914">
        <v>38</v>
      </c>
      <c r="D1914" t="s">
        <v>21</v>
      </c>
      <c r="E1914" t="s">
        <v>34</v>
      </c>
      <c r="F1914" t="s">
        <v>29</v>
      </c>
      <c r="G1914" t="s">
        <v>39</v>
      </c>
      <c r="H1914">
        <v>3655.24</v>
      </c>
      <c r="I1914" s="8" t="str" cm="1">
        <f t="array" ref="I1914">_xlfn.IFS(C1914&lt;=15,"Children and Young Adolescents", C1914&gt;64, "Seniors", TRUE, "Working Age")</f>
        <v>Working Age</v>
      </c>
      <c r="J1914" s="6">
        <f>VLOOKUP(F1914,Analysis!$F$1:$G$5,2,FALSE)</f>
        <v>2496.7676064256989</v>
      </c>
      <c r="K1914">
        <f t="shared" si="116"/>
        <v>4020.76</v>
      </c>
      <c r="L1914">
        <f t="shared" si="117"/>
        <v>4020.7700000000004</v>
      </c>
      <c r="M1914">
        <f t="shared" si="118"/>
        <v>4020.76</v>
      </c>
      <c r="N1914" s="5" t="str">
        <f t="shared" si="119"/>
        <v>October 2022</v>
      </c>
    </row>
    <row r="1915" spans="1:14" x14ac:dyDescent="0.25">
      <c r="A1915" s="1">
        <v>44843</v>
      </c>
      <c r="B1915" t="s">
        <v>3962</v>
      </c>
      <c r="C1915">
        <v>12</v>
      </c>
      <c r="D1915" t="s">
        <v>14</v>
      </c>
      <c r="E1915" t="s">
        <v>25</v>
      </c>
      <c r="F1915" t="s">
        <v>11</v>
      </c>
      <c r="G1915" t="s">
        <v>39</v>
      </c>
      <c r="H1915">
        <v>2019.06</v>
      </c>
      <c r="I1915" s="8" t="str" cm="1">
        <f t="array" ref="I1915">_xlfn.IFS(C1915&lt;=15,"Children and Young Adolescents", C1915&gt;64, "Seniors", TRUE, "Working Age")</f>
        <v>Children and Young Adolescents</v>
      </c>
      <c r="J1915" s="6">
        <f>VLOOKUP(F1915,Analysis!$F$1:$G$5,2,FALSE)</f>
        <v>2503.6022787783854</v>
      </c>
      <c r="K1915">
        <f t="shared" si="116"/>
        <v>2220.96</v>
      </c>
      <c r="L1915">
        <f t="shared" si="117"/>
        <v>2220.9700000000003</v>
      </c>
      <c r="M1915">
        <f t="shared" si="118"/>
        <v>2220.9699999999998</v>
      </c>
      <c r="N1915" s="5" t="str">
        <f t="shared" si="119"/>
        <v>October 2022</v>
      </c>
    </row>
    <row r="1916" spans="1:14" x14ac:dyDescent="0.25">
      <c r="A1916" s="1">
        <v>44843</v>
      </c>
      <c r="B1916" t="s">
        <v>4818</v>
      </c>
      <c r="C1916">
        <v>15</v>
      </c>
      <c r="D1916" t="s">
        <v>9</v>
      </c>
      <c r="E1916" t="s">
        <v>19</v>
      </c>
      <c r="F1916" t="s">
        <v>23</v>
      </c>
      <c r="G1916" t="s">
        <v>36</v>
      </c>
      <c r="H1916">
        <v>223.15</v>
      </c>
      <c r="I1916" s="8" t="str" cm="1">
        <f t="array" ref="I1916">_xlfn.IFS(C1916&lt;=15,"Children and Young Adolescents", C1916&gt;64, "Seniors", TRUE, "Working Age")</f>
        <v>Children and Young Adolescents</v>
      </c>
      <c r="J1916" s="6">
        <f>VLOOKUP(F1916,Analysis!$F$1:$G$5,2,FALSE)</f>
        <v>2440.2966694490838</v>
      </c>
      <c r="K1916">
        <f t="shared" si="116"/>
        <v>245.46</v>
      </c>
      <c r="L1916">
        <f t="shared" si="117"/>
        <v>245.47</v>
      </c>
      <c r="M1916">
        <f t="shared" si="118"/>
        <v>245.47</v>
      </c>
      <c r="N1916" s="5" t="str">
        <f t="shared" si="119"/>
        <v>October 2022</v>
      </c>
    </row>
    <row r="1917" spans="1:14" x14ac:dyDescent="0.25">
      <c r="A1917" s="1">
        <v>44844</v>
      </c>
      <c r="B1917" t="s">
        <v>3902</v>
      </c>
      <c r="C1917">
        <v>19</v>
      </c>
      <c r="D1917" t="s">
        <v>9</v>
      </c>
      <c r="E1917" t="s">
        <v>5032</v>
      </c>
      <c r="F1917" t="s">
        <v>23</v>
      </c>
      <c r="G1917" t="s">
        <v>12</v>
      </c>
      <c r="H1917">
        <v>983.22</v>
      </c>
      <c r="I1917" s="8" t="str" cm="1">
        <f t="array" ref="I1917">_xlfn.IFS(C1917&lt;=15,"Children and Young Adolescents", C1917&gt;64, "Seniors", TRUE, "Working Age")</f>
        <v>Working Age</v>
      </c>
      <c r="J1917" s="6">
        <f>VLOOKUP(F1917,Analysis!$F$1:$G$5,2,FALSE)</f>
        <v>2440.2966694490838</v>
      </c>
      <c r="K1917">
        <f t="shared" si="116"/>
        <v>1081.54</v>
      </c>
      <c r="L1917">
        <f t="shared" si="117"/>
        <v>1081.55</v>
      </c>
      <c r="M1917">
        <f t="shared" si="118"/>
        <v>1081.54</v>
      </c>
      <c r="N1917" s="5" t="str">
        <f t="shared" si="119"/>
        <v>October 2022</v>
      </c>
    </row>
    <row r="1918" spans="1:14" x14ac:dyDescent="0.25">
      <c r="A1918" s="1">
        <v>44844</v>
      </c>
      <c r="B1918" t="s">
        <v>2900</v>
      </c>
      <c r="C1918">
        <v>45</v>
      </c>
      <c r="D1918" t="s">
        <v>14</v>
      </c>
      <c r="E1918" t="s">
        <v>15</v>
      </c>
      <c r="F1918" t="s">
        <v>11</v>
      </c>
      <c r="G1918" t="s">
        <v>36</v>
      </c>
      <c r="H1918">
        <v>1079.8499999999999</v>
      </c>
      <c r="I1918" s="8" t="str" cm="1">
        <f t="array" ref="I1918">_xlfn.IFS(C1918&lt;=15,"Children and Young Adolescents", C1918&gt;64, "Seniors", TRUE, "Working Age")</f>
        <v>Working Age</v>
      </c>
      <c r="J1918" s="6">
        <f>VLOOKUP(F1918,Analysis!$F$1:$G$5,2,FALSE)</f>
        <v>2503.6022787783854</v>
      </c>
      <c r="K1918">
        <f t="shared" si="116"/>
        <v>1187.83</v>
      </c>
      <c r="L1918">
        <f t="shared" si="117"/>
        <v>1187.8399999999999</v>
      </c>
      <c r="M1918">
        <f t="shared" si="118"/>
        <v>1187.8399999999999</v>
      </c>
      <c r="N1918" s="5" t="str">
        <f t="shared" si="119"/>
        <v>October 2022</v>
      </c>
    </row>
    <row r="1919" spans="1:14" x14ac:dyDescent="0.25">
      <c r="A1919" s="1">
        <v>44844</v>
      </c>
      <c r="B1919" t="s">
        <v>2485</v>
      </c>
      <c r="C1919">
        <v>33</v>
      </c>
      <c r="D1919" t="s">
        <v>9</v>
      </c>
      <c r="E1919" t="s">
        <v>32</v>
      </c>
      <c r="F1919" t="s">
        <v>29</v>
      </c>
      <c r="G1919" t="s">
        <v>39</v>
      </c>
      <c r="H1919">
        <v>2661.05</v>
      </c>
      <c r="I1919" s="8" t="str" cm="1">
        <f t="array" ref="I1919">_xlfn.IFS(C1919&lt;=15,"Children and Young Adolescents", C1919&gt;64, "Seniors", TRUE, "Working Age")</f>
        <v>Working Age</v>
      </c>
      <c r="J1919" s="6">
        <f>VLOOKUP(F1919,Analysis!$F$1:$G$5,2,FALSE)</f>
        <v>2496.7676064256989</v>
      </c>
      <c r="K1919">
        <f t="shared" si="116"/>
        <v>2927.15</v>
      </c>
      <c r="L1919">
        <f t="shared" si="117"/>
        <v>2927.1600000000003</v>
      </c>
      <c r="M1919">
        <f t="shared" si="118"/>
        <v>2927.16</v>
      </c>
      <c r="N1919" s="5" t="str">
        <f t="shared" si="119"/>
        <v>October 2022</v>
      </c>
    </row>
    <row r="1920" spans="1:14" x14ac:dyDescent="0.25">
      <c r="A1920" s="1">
        <v>44844</v>
      </c>
      <c r="B1920" t="s">
        <v>873</v>
      </c>
      <c r="C1920">
        <v>50</v>
      </c>
      <c r="D1920" t="s">
        <v>21</v>
      </c>
      <c r="E1920" t="s">
        <v>10</v>
      </c>
      <c r="F1920" t="s">
        <v>23</v>
      </c>
      <c r="G1920" t="s">
        <v>39</v>
      </c>
      <c r="H1920">
        <v>1466.53</v>
      </c>
      <c r="I1920" s="8" t="str" cm="1">
        <f t="array" ref="I1920">_xlfn.IFS(C1920&lt;=15,"Children and Young Adolescents", C1920&gt;64, "Seniors", TRUE, "Working Age")</f>
        <v>Working Age</v>
      </c>
      <c r="J1920" s="6">
        <f>VLOOKUP(F1920,Analysis!$F$1:$G$5,2,FALSE)</f>
        <v>2440.2966694490838</v>
      </c>
      <c r="K1920">
        <f t="shared" si="116"/>
        <v>1613.18</v>
      </c>
      <c r="L1920">
        <f t="shared" si="117"/>
        <v>1613.19</v>
      </c>
      <c r="M1920">
        <f t="shared" si="118"/>
        <v>1613.18</v>
      </c>
      <c r="N1920" s="5" t="str">
        <f t="shared" si="119"/>
        <v>October 2022</v>
      </c>
    </row>
    <row r="1921" spans="1:14" x14ac:dyDescent="0.25">
      <c r="A1921" s="1">
        <v>44844</v>
      </c>
      <c r="B1921" t="s">
        <v>1474</v>
      </c>
      <c r="C1921">
        <v>86</v>
      </c>
      <c r="D1921" t="s">
        <v>14</v>
      </c>
      <c r="E1921" t="s">
        <v>19</v>
      </c>
      <c r="F1921" t="s">
        <v>23</v>
      </c>
      <c r="G1921" t="s">
        <v>12</v>
      </c>
      <c r="H1921">
        <v>1025.25</v>
      </c>
      <c r="I1921" s="8" t="str" cm="1">
        <f t="array" ref="I1921">_xlfn.IFS(C1921&lt;=15,"Children and Young Adolescents", C1921&gt;64, "Seniors", TRUE, "Working Age")</f>
        <v>Seniors</v>
      </c>
      <c r="J1921" s="6">
        <f>VLOOKUP(F1921,Analysis!$F$1:$G$5,2,FALSE)</f>
        <v>2440.2966694490838</v>
      </c>
      <c r="K1921">
        <f t="shared" si="116"/>
        <v>1127.77</v>
      </c>
      <c r="L1921">
        <f t="shared" si="117"/>
        <v>1127.78</v>
      </c>
      <c r="M1921">
        <f t="shared" si="118"/>
        <v>1127.78</v>
      </c>
      <c r="N1921" s="5" t="str">
        <f t="shared" si="119"/>
        <v>October 2022</v>
      </c>
    </row>
    <row r="1922" spans="1:14" x14ac:dyDescent="0.25">
      <c r="A1922" s="1">
        <v>44845</v>
      </c>
      <c r="B1922" t="s">
        <v>177</v>
      </c>
      <c r="C1922">
        <v>4</v>
      </c>
      <c r="D1922" t="s">
        <v>21</v>
      </c>
      <c r="E1922" t="s">
        <v>15</v>
      </c>
      <c r="F1922" t="s">
        <v>16</v>
      </c>
      <c r="G1922" t="s">
        <v>27</v>
      </c>
      <c r="H1922">
        <v>1988.76</v>
      </c>
      <c r="I1922" s="8" t="str" cm="1">
        <f t="array" ref="I1922">_xlfn.IFS(C1922&lt;=15,"Children and Young Adolescents", C1922&gt;64, "Seniors", TRUE, "Working Age")</f>
        <v>Children and Young Adolescents</v>
      </c>
      <c r="J1922" s="6">
        <f>VLOOKUP(F1922,Analysis!$F$1:$G$5,2,FALSE)</f>
        <v>2509.1716796874912</v>
      </c>
      <c r="K1922">
        <f t="shared" si="116"/>
        <v>2187.63</v>
      </c>
      <c r="L1922">
        <f t="shared" si="117"/>
        <v>2187.6400000000003</v>
      </c>
      <c r="M1922">
        <f t="shared" si="118"/>
        <v>2187.64</v>
      </c>
      <c r="N1922" s="5" t="str">
        <f t="shared" si="119"/>
        <v>October 2022</v>
      </c>
    </row>
    <row r="1923" spans="1:14" x14ac:dyDescent="0.25">
      <c r="A1923" s="1">
        <v>44845</v>
      </c>
      <c r="B1923" t="s">
        <v>4259</v>
      </c>
      <c r="C1923">
        <v>40</v>
      </c>
      <c r="D1923" t="s">
        <v>9</v>
      </c>
      <c r="E1923" t="s">
        <v>25</v>
      </c>
      <c r="F1923" t="s">
        <v>23</v>
      </c>
      <c r="G1923" t="s">
        <v>17</v>
      </c>
      <c r="H1923">
        <v>2526.36</v>
      </c>
      <c r="I1923" s="8" t="str" cm="1">
        <f t="array" ref="I1923">_xlfn.IFS(C1923&lt;=15,"Children and Young Adolescents", C1923&gt;64, "Seniors", TRUE, "Working Age")</f>
        <v>Working Age</v>
      </c>
      <c r="J1923" s="6">
        <f>VLOOKUP(F1923,Analysis!$F$1:$G$5,2,FALSE)</f>
        <v>2440.2966694490838</v>
      </c>
      <c r="K1923">
        <f t="shared" ref="K1923:K1986" si="120">ROUNDDOWN(H1923*1.1,2)</f>
        <v>2778.99</v>
      </c>
      <c r="L1923">
        <f t="shared" ref="L1923:L1986" si="121">ROUNDUP(H1923*1.1,2)</f>
        <v>2779</v>
      </c>
      <c r="M1923">
        <f t="shared" ref="M1923:M1986" si="122">ROUND(H1923*1.1,2)</f>
        <v>2779</v>
      </c>
      <c r="N1923" s="5" t="str">
        <f t="shared" ref="N1923:N1986" si="123">TEXT(A1923,"mmmm yyyy")</f>
        <v>October 2022</v>
      </c>
    </row>
    <row r="1924" spans="1:14" x14ac:dyDescent="0.25">
      <c r="A1924" s="1">
        <v>44845</v>
      </c>
      <c r="B1924" t="s">
        <v>883</v>
      </c>
      <c r="C1924">
        <v>83</v>
      </c>
      <c r="D1924" t="s">
        <v>14</v>
      </c>
      <c r="E1924" t="s">
        <v>10</v>
      </c>
      <c r="F1924" t="s">
        <v>29</v>
      </c>
      <c r="G1924" t="s">
        <v>17</v>
      </c>
      <c r="H1924">
        <v>4207.4399999999996</v>
      </c>
      <c r="I1924" s="8" t="str" cm="1">
        <f t="array" ref="I1924">_xlfn.IFS(C1924&lt;=15,"Children and Young Adolescents", C1924&gt;64, "Seniors", TRUE, "Working Age")</f>
        <v>Seniors</v>
      </c>
      <c r="J1924" s="6">
        <f>VLOOKUP(F1924,Analysis!$F$1:$G$5,2,FALSE)</f>
        <v>2496.7676064256989</v>
      </c>
      <c r="K1924">
        <f t="shared" si="120"/>
        <v>4628.18</v>
      </c>
      <c r="L1924">
        <f t="shared" si="121"/>
        <v>4628.1900000000005</v>
      </c>
      <c r="M1924">
        <f t="shared" si="122"/>
        <v>4628.18</v>
      </c>
      <c r="N1924" s="5" t="str">
        <f t="shared" si="123"/>
        <v>October 2022</v>
      </c>
    </row>
    <row r="1925" spans="1:14" x14ac:dyDescent="0.25">
      <c r="A1925" s="1">
        <v>44845</v>
      </c>
      <c r="B1925" t="s">
        <v>1430</v>
      </c>
      <c r="C1925">
        <v>10</v>
      </c>
      <c r="D1925" t="s">
        <v>21</v>
      </c>
      <c r="E1925" t="s">
        <v>32</v>
      </c>
      <c r="F1925" t="s">
        <v>11</v>
      </c>
      <c r="G1925" t="s">
        <v>36</v>
      </c>
      <c r="H1925">
        <v>2215.92</v>
      </c>
      <c r="I1925" s="8" t="str" cm="1">
        <f t="array" ref="I1925">_xlfn.IFS(C1925&lt;=15,"Children and Young Adolescents", C1925&gt;64, "Seniors", TRUE, "Working Age")</f>
        <v>Children and Young Adolescents</v>
      </c>
      <c r="J1925" s="6">
        <f>VLOOKUP(F1925,Analysis!$F$1:$G$5,2,FALSE)</f>
        <v>2503.6022787783854</v>
      </c>
      <c r="K1925">
        <f t="shared" si="120"/>
        <v>2437.5100000000002</v>
      </c>
      <c r="L1925">
        <f t="shared" si="121"/>
        <v>2437.5200000000004</v>
      </c>
      <c r="M1925">
        <f t="shared" si="122"/>
        <v>2437.5100000000002</v>
      </c>
      <c r="N1925" s="5" t="str">
        <f t="shared" si="123"/>
        <v>October 2022</v>
      </c>
    </row>
    <row r="1926" spans="1:14" x14ac:dyDescent="0.25">
      <c r="A1926" s="1">
        <v>44845</v>
      </c>
      <c r="B1926" t="s">
        <v>2874</v>
      </c>
      <c r="C1926">
        <v>94</v>
      </c>
      <c r="D1926" t="s">
        <v>14</v>
      </c>
      <c r="E1926" t="s">
        <v>32</v>
      </c>
      <c r="F1926" t="s">
        <v>16</v>
      </c>
      <c r="G1926" t="s">
        <v>12</v>
      </c>
      <c r="H1926">
        <v>3352.42</v>
      </c>
      <c r="I1926" s="8" t="str" cm="1">
        <f t="array" ref="I1926">_xlfn.IFS(C1926&lt;=15,"Children and Young Adolescents", C1926&gt;64, "Seniors", TRUE, "Working Age")</f>
        <v>Seniors</v>
      </c>
      <c r="J1926" s="6">
        <f>VLOOKUP(F1926,Analysis!$F$1:$G$5,2,FALSE)</f>
        <v>2509.1716796874912</v>
      </c>
      <c r="K1926">
        <f t="shared" si="120"/>
        <v>3687.66</v>
      </c>
      <c r="L1926">
        <f t="shared" si="121"/>
        <v>3687.67</v>
      </c>
      <c r="M1926">
        <f t="shared" si="122"/>
        <v>3687.66</v>
      </c>
      <c r="N1926" s="5" t="str">
        <f t="shared" si="123"/>
        <v>October 2022</v>
      </c>
    </row>
    <row r="1927" spans="1:14" x14ac:dyDescent="0.25">
      <c r="A1927" s="1">
        <v>44845</v>
      </c>
      <c r="B1927" t="s">
        <v>2798</v>
      </c>
      <c r="C1927">
        <v>57</v>
      </c>
      <c r="D1927" t="s">
        <v>9</v>
      </c>
      <c r="E1927" t="s">
        <v>34</v>
      </c>
      <c r="F1927" t="s">
        <v>16</v>
      </c>
      <c r="G1927" t="s">
        <v>17</v>
      </c>
      <c r="H1927">
        <v>4139.32</v>
      </c>
      <c r="I1927" s="8" t="str" cm="1">
        <f t="array" ref="I1927">_xlfn.IFS(C1927&lt;=15,"Children and Young Adolescents", C1927&gt;64, "Seniors", TRUE, "Working Age")</f>
        <v>Working Age</v>
      </c>
      <c r="J1927" s="6">
        <f>VLOOKUP(F1927,Analysis!$F$1:$G$5,2,FALSE)</f>
        <v>2509.1716796874912</v>
      </c>
      <c r="K1927">
        <f t="shared" si="120"/>
        <v>4553.25</v>
      </c>
      <c r="L1927">
        <f t="shared" si="121"/>
        <v>4553.26</v>
      </c>
      <c r="M1927">
        <f t="shared" si="122"/>
        <v>4553.25</v>
      </c>
      <c r="N1927" s="5" t="str">
        <f t="shared" si="123"/>
        <v>October 2022</v>
      </c>
    </row>
    <row r="1928" spans="1:14" x14ac:dyDescent="0.25">
      <c r="A1928" s="1">
        <v>44845</v>
      </c>
      <c r="B1928" t="s">
        <v>3503</v>
      </c>
      <c r="C1928">
        <v>61</v>
      </c>
      <c r="D1928" t="s">
        <v>14</v>
      </c>
      <c r="E1928" t="s">
        <v>15</v>
      </c>
      <c r="F1928" t="s">
        <v>29</v>
      </c>
      <c r="G1928" t="s">
        <v>39</v>
      </c>
      <c r="H1928">
        <v>886.68</v>
      </c>
      <c r="I1928" s="8" t="str" cm="1">
        <f t="array" ref="I1928">_xlfn.IFS(C1928&lt;=15,"Children and Young Adolescents", C1928&gt;64, "Seniors", TRUE, "Working Age")</f>
        <v>Working Age</v>
      </c>
      <c r="J1928" s="6">
        <f>VLOOKUP(F1928,Analysis!$F$1:$G$5,2,FALSE)</f>
        <v>2496.7676064256989</v>
      </c>
      <c r="K1928">
        <f t="shared" si="120"/>
        <v>975.34</v>
      </c>
      <c r="L1928">
        <f t="shared" si="121"/>
        <v>975.35</v>
      </c>
      <c r="M1928">
        <f t="shared" si="122"/>
        <v>975.35</v>
      </c>
      <c r="N1928" s="5" t="str">
        <f t="shared" si="123"/>
        <v>October 2022</v>
      </c>
    </row>
    <row r="1929" spans="1:14" x14ac:dyDescent="0.25">
      <c r="A1929" s="1">
        <v>44845</v>
      </c>
      <c r="B1929" t="s">
        <v>1790</v>
      </c>
      <c r="C1929">
        <v>95</v>
      </c>
      <c r="D1929" t="s">
        <v>14</v>
      </c>
      <c r="E1929" t="s">
        <v>32</v>
      </c>
      <c r="F1929" t="s">
        <v>16</v>
      </c>
      <c r="G1929" t="s">
        <v>17</v>
      </c>
      <c r="H1929">
        <v>2972</v>
      </c>
      <c r="I1929" s="8" t="str" cm="1">
        <f t="array" ref="I1929">_xlfn.IFS(C1929&lt;=15,"Children and Young Adolescents", C1929&gt;64, "Seniors", TRUE, "Working Age")</f>
        <v>Seniors</v>
      </c>
      <c r="J1929" s="6">
        <f>VLOOKUP(F1929,Analysis!$F$1:$G$5,2,FALSE)</f>
        <v>2509.1716796874912</v>
      </c>
      <c r="K1929">
        <f t="shared" si="120"/>
        <v>3269.2</v>
      </c>
      <c r="L1929">
        <f t="shared" si="121"/>
        <v>3269.2</v>
      </c>
      <c r="M1929">
        <f t="shared" si="122"/>
        <v>3269.2</v>
      </c>
      <c r="N1929" s="5" t="str">
        <f t="shared" si="123"/>
        <v>October 2022</v>
      </c>
    </row>
    <row r="1930" spans="1:14" x14ac:dyDescent="0.25">
      <c r="A1930" s="1">
        <v>44845</v>
      </c>
      <c r="B1930" t="s">
        <v>2428</v>
      </c>
      <c r="C1930">
        <v>6</v>
      </c>
      <c r="D1930" t="s">
        <v>9</v>
      </c>
      <c r="E1930" t="s">
        <v>19</v>
      </c>
      <c r="F1930" t="s">
        <v>29</v>
      </c>
      <c r="G1930" t="s">
        <v>17</v>
      </c>
      <c r="H1930">
        <v>2916.12</v>
      </c>
      <c r="I1930" s="8" t="str" cm="1">
        <f t="array" ref="I1930">_xlfn.IFS(C1930&lt;=15,"Children and Young Adolescents", C1930&gt;64, "Seniors", TRUE, "Working Age")</f>
        <v>Children and Young Adolescents</v>
      </c>
      <c r="J1930" s="6">
        <f>VLOOKUP(F1930,Analysis!$F$1:$G$5,2,FALSE)</f>
        <v>2496.7676064256989</v>
      </c>
      <c r="K1930">
        <f t="shared" si="120"/>
        <v>3207.73</v>
      </c>
      <c r="L1930">
        <f t="shared" si="121"/>
        <v>3207.7400000000002</v>
      </c>
      <c r="M1930">
        <f t="shared" si="122"/>
        <v>3207.73</v>
      </c>
      <c r="N1930" s="5" t="str">
        <f t="shared" si="123"/>
        <v>October 2022</v>
      </c>
    </row>
    <row r="1931" spans="1:14" x14ac:dyDescent="0.25">
      <c r="A1931" s="1">
        <v>44846</v>
      </c>
      <c r="B1931" t="s">
        <v>2838</v>
      </c>
      <c r="C1931">
        <v>89</v>
      </c>
      <c r="D1931" t="s">
        <v>21</v>
      </c>
      <c r="E1931" t="s">
        <v>5032</v>
      </c>
      <c r="F1931" t="s">
        <v>11</v>
      </c>
      <c r="G1931" t="s">
        <v>17</v>
      </c>
      <c r="H1931">
        <v>747.65</v>
      </c>
      <c r="I1931" s="8" t="str" cm="1">
        <f t="array" ref="I1931">_xlfn.IFS(C1931&lt;=15,"Children and Young Adolescents", C1931&gt;64, "Seniors", TRUE, "Working Age")</f>
        <v>Seniors</v>
      </c>
      <c r="J1931" s="6">
        <f>VLOOKUP(F1931,Analysis!$F$1:$G$5,2,FALSE)</f>
        <v>2503.6022787783854</v>
      </c>
      <c r="K1931">
        <f t="shared" si="120"/>
        <v>822.41</v>
      </c>
      <c r="L1931">
        <f t="shared" si="121"/>
        <v>822.42</v>
      </c>
      <c r="M1931">
        <f t="shared" si="122"/>
        <v>822.42</v>
      </c>
      <c r="N1931" s="5" t="str">
        <f t="shared" si="123"/>
        <v>October 2022</v>
      </c>
    </row>
    <row r="1932" spans="1:14" x14ac:dyDescent="0.25">
      <c r="A1932" s="1">
        <v>44846</v>
      </c>
      <c r="B1932" t="s">
        <v>694</v>
      </c>
      <c r="C1932">
        <v>14</v>
      </c>
      <c r="D1932" t="s">
        <v>21</v>
      </c>
      <c r="E1932" t="s">
        <v>32</v>
      </c>
      <c r="F1932" t="s">
        <v>23</v>
      </c>
      <c r="G1932" t="s">
        <v>27</v>
      </c>
      <c r="H1932">
        <v>1336.17</v>
      </c>
      <c r="I1932" s="8" t="str" cm="1">
        <f t="array" ref="I1932">_xlfn.IFS(C1932&lt;=15,"Children and Young Adolescents", C1932&gt;64, "Seniors", TRUE, "Working Age")</f>
        <v>Children and Young Adolescents</v>
      </c>
      <c r="J1932" s="6">
        <f>VLOOKUP(F1932,Analysis!$F$1:$G$5,2,FALSE)</f>
        <v>2440.2966694490838</v>
      </c>
      <c r="K1932">
        <f t="shared" si="120"/>
        <v>1469.78</v>
      </c>
      <c r="L1932">
        <f t="shared" si="121"/>
        <v>1469.79</v>
      </c>
      <c r="M1932">
        <f t="shared" si="122"/>
        <v>1469.79</v>
      </c>
      <c r="N1932" s="5" t="str">
        <f t="shared" si="123"/>
        <v>October 2022</v>
      </c>
    </row>
    <row r="1933" spans="1:14" x14ac:dyDescent="0.25">
      <c r="A1933" s="1">
        <v>44846</v>
      </c>
      <c r="B1933" t="s">
        <v>4533</v>
      </c>
      <c r="C1933">
        <v>76</v>
      </c>
      <c r="D1933" t="s">
        <v>14</v>
      </c>
      <c r="E1933" t="s">
        <v>19</v>
      </c>
      <c r="F1933" t="s">
        <v>29</v>
      </c>
      <c r="G1933" t="s">
        <v>17</v>
      </c>
      <c r="H1933">
        <v>1285.71</v>
      </c>
      <c r="I1933" s="8" t="str" cm="1">
        <f t="array" ref="I1933">_xlfn.IFS(C1933&lt;=15,"Children and Young Adolescents", C1933&gt;64, "Seniors", TRUE, "Working Age")</f>
        <v>Seniors</v>
      </c>
      <c r="J1933" s="6">
        <f>VLOOKUP(F1933,Analysis!$F$1:$G$5,2,FALSE)</f>
        <v>2496.7676064256989</v>
      </c>
      <c r="K1933">
        <f t="shared" si="120"/>
        <v>1414.28</v>
      </c>
      <c r="L1933">
        <f t="shared" si="121"/>
        <v>1414.29</v>
      </c>
      <c r="M1933">
        <f t="shared" si="122"/>
        <v>1414.28</v>
      </c>
      <c r="N1933" s="5" t="str">
        <f t="shared" si="123"/>
        <v>October 2022</v>
      </c>
    </row>
    <row r="1934" spans="1:14" x14ac:dyDescent="0.25">
      <c r="A1934" s="1">
        <v>44846</v>
      </c>
      <c r="B1934" t="s">
        <v>4432</v>
      </c>
      <c r="C1934">
        <v>50</v>
      </c>
      <c r="D1934" t="s">
        <v>9</v>
      </c>
      <c r="E1934" t="s">
        <v>10</v>
      </c>
      <c r="F1934" t="s">
        <v>29</v>
      </c>
      <c r="G1934" t="s">
        <v>17</v>
      </c>
      <c r="H1934">
        <v>1375.85</v>
      </c>
      <c r="I1934" s="8" t="str" cm="1">
        <f t="array" ref="I1934">_xlfn.IFS(C1934&lt;=15,"Children and Young Adolescents", C1934&gt;64, "Seniors", TRUE, "Working Age")</f>
        <v>Working Age</v>
      </c>
      <c r="J1934" s="6">
        <f>VLOOKUP(F1934,Analysis!$F$1:$G$5,2,FALSE)</f>
        <v>2496.7676064256989</v>
      </c>
      <c r="K1934">
        <f t="shared" si="120"/>
        <v>1513.43</v>
      </c>
      <c r="L1934">
        <f t="shared" si="121"/>
        <v>1513.44</v>
      </c>
      <c r="M1934">
        <f t="shared" si="122"/>
        <v>1513.44</v>
      </c>
      <c r="N1934" s="5" t="str">
        <f t="shared" si="123"/>
        <v>October 2022</v>
      </c>
    </row>
    <row r="1935" spans="1:14" x14ac:dyDescent="0.25">
      <c r="A1935" s="1">
        <v>44846</v>
      </c>
      <c r="B1935" t="s">
        <v>905</v>
      </c>
      <c r="C1935">
        <v>69</v>
      </c>
      <c r="D1935" t="s">
        <v>14</v>
      </c>
      <c r="E1935" t="s">
        <v>15</v>
      </c>
      <c r="F1935" t="s">
        <v>29</v>
      </c>
      <c r="G1935" t="s">
        <v>27</v>
      </c>
      <c r="H1935">
        <v>2655.29</v>
      </c>
      <c r="I1935" s="8" t="str" cm="1">
        <f t="array" ref="I1935">_xlfn.IFS(C1935&lt;=15,"Children and Young Adolescents", C1935&gt;64, "Seniors", TRUE, "Working Age")</f>
        <v>Seniors</v>
      </c>
      <c r="J1935" s="6">
        <f>VLOOKUP(F1935,Analysis!$F$1:$G$5,2,FALSE)</f>
        <v>2496.7676064256989</v>
      </c>
      <c r="K1935">
        <f t="shared" si="120"/>
        <v>2920.81</v>
      </c>
      <c r="L1935">
        <f t="shared" si="121"/>
        <v>2920.82</v>
      </c>
      <c r="M1935">
        <f t="shared" si="122"/>
        <v>2920.82</v>
      </c>
      <c r="N1935" s="5" t="str">
        <f t="shared" si="123"/>
        <v>October 2022</v>
      </c>
    </row>
    <row r="1936" spans="1:14" x14ac:dyDescent="0.25">
      <c r="A1936" s="1">
        <v>44846</v>
      </c>
      <c r="B1936" t="s">
        <v>2051</v>
      </c>
      <c r="C1936">
        <v>19</v>
      </c>
      <c r="D1936" t="s">
        <v>14</v>
      </c>
      <c r="E1936" t="s">
        <v>22</v>
      </c>
      <c r="F1936" t="s">
        <v>11</v>
      </c>
      <c r="G1936" t="s">
        <v>27</v>
      </c>
      <c r="H1936">
        <v>1585.44</v>
      </c>
      <c r="I1936" s="8" t="str" cm="1">
        <f t="array" ref="I1936">_xlfn.IFS(C1936&lt;=15,"Children and Young Adolescents", C1936&gt;64, "Seniors", TRUE, "Working Age")</f>
        <v>Working Age</v>
      </c>
      <c r="J1936" s="6">
        <f>VLOOKUP(F1936,Analysis!$F$1:$G$5,2,FALSE)</f>
        <v>2503.6022787783854</v>
      </c>
      <c r="K1936">
        <f t="shared" si="120"/>
        <v>1743.98</v>
      </c>
      <c r="L1936">
        <f t="shared" si="121"/>
        <v>1743.99</v>
      </c>
      <c r="M1936">
        <f t="shared" si="122"/>
        <v>1743.98</v>
      </c>
      <c r="N1936" s="5" t="str">
        <f t="shared" si="123"/>
        <v>October 2022</v>
      </c>
    </row>
    <row r="1937" spans="1:14" x14ac:dyDescent="0.25">
      <c r="A1937" s="1">
        <v>44846</v>
      </c>
      <c r="B1937" t="s">
        <v>4421</v>
      </c>
      <c r="C1937">
        <v>77</v>
      </c>
      <c r="D1937" t="s">
        <v>9</v>
      </c>
      <c r="E1937" t="s">
        <v>25</v>
      </c>
      <c r="F1937" t="s">
        <v>16</v>
      </c>
      <c r="G1937" t="s">
        <v>12</v>
      </c>
      <c r="H1937">
        <v>238.82</v>
      </c>
      <c r="I1937" s="8" t="str" cm="1">
        <f t="array" ref="I1937">_xlfn.IFS(C1937&lt;=15,"Children and Young Adolescents", C1937&gt;64, "Seniors", TRUE, "Working Age")</f>
        <v>Seniors</v>
      </c>
      <c r="J1937" s="6">
        <f>VLOOKUP(F1937,Analysis!$F$1:$G$5,2,FALSE)</f>
        <v>2509.1716796874912</v>
      </c>
      <c r="K1937">
        <f t="shared" si="120"/>
        <v>262.7</v>
      </c>
      <c r="L1937">
        <f t="shared" si="121"/>
        <v>262.70999999999998</v>
      </c>
      <c r="M1937">
        <f t="shared" si="122"/>
        <v>262.7</v>
      </c>
      <c r="N1937" s="5" t="str">
        <f t="shared" si="123"/>
        <v>October 2022</v>
      </c>
    </row>
    <row r="1938" spans="1:14" x14ac:dyDescent="0.25">
      <c r="A1938" s="1">
        <v>44847</v>
      </c>
      <c r="B1938" t="s">
        <v>3000</v>
      </c>
      <c r="C1938">
        <v>31</v>
      </c>
      <c r="D1938" t="s">
        <v>21</v>
      </c>
      <c r="E1938" t="s">
        <v>10</v>
      </c>
      <c r="F1938" t="s">
        <v>16</v>
      </c>
      <c r="G1938" t="s">
        <v>27</v>
      </c>
      <c r="H1938">
        <v>1668.43</v>
      </c>
      <c r="I1938" s="8" t="str" cm="1">
        <f t="array" ref="I1938">_xlfn.IFS(C1938&lt;=15,"Children and Young Adolescents", C1938&gt;64, "Seniors", TRUE, "Working Age")</f>
        <v>Working Age</v>
      </c>
      <c r="J1938" s="6">
        <f>VLOOKUP(F1938,Analysis!$F$1:$G$5,2,FALSE)</f>
        <v>2509.1716796874912</v>
      </c>
      <c r="K1938">
        <f t="shared" si="120"/>
        <v>1835.27</v>
      </c>
      <c r="L1938">
        <f t="shared" si="121"/>
        <v>1835.28</v>
      </c>
      <c r="M1938">
        <f t="shared" si="122"/>
        <v>1835.27</v>
      </c>
      <c r="N1938" s="5" t="str">
        <f t="shared" si="123"/>
        <v>October 2022</v>
      </c>
    </row>
    <row r="1939" spans="1:14" x14ac:dyDescent="0.25">
      <c r="A1939" s="1">
        <v>44847</v>
      </c>
      <c r="B1939" t="s">
        <v>123</v>
      </c>
      <c r="C1939">
        <v>58</v>
      </c>
      <c r="D1939" t="s">
        <v>14</v>
      </c>
      <c r="E1939" t="s">
        <v>5032</v>
      </c>
      <c r="F1939" t="s">
        <v>23</v>
      </c>
      <c r="G1939" t="s">
        <v>27</v>
      </c>
      <c r="H1939">
        <v>4815.78</v>
      </c>
      <c r="I1939" s="8" t="str" cm="1">
        <f t="array" ref="I1939">_xlfn.IFS(C1939&lt;=15,"Children and Young Adolescents", C1939&gt;64, "Seniors", TRUE, "Working Age")</f>
        <v>Working Age</v>
      </c>
      <c r="J1939" s="6">
        <f>VLOOKUP(F1939,Analysis!$F$1:$G$5,2,FALSE)</f>
        <v>2440.2966694490838</v>
      </c>
      <c r="K1939">
        <f t="shared" si="120"/>
        <v>5297.35</v>
      </c>
      <c r="L1939">
        <f t="shared" si="121"/>
        <v>5297.3600000000006</v>
      </c>
      <c r="M1939">
        <f t="shared" si="122"/>
        <v>5297.36</v>
      </c>
      <c r="N1939" s="5" t="str">
        <f t="shared" si="123"/>
        <v>October 2022</v>
      </c>
    </row>
    <row r="1940" spans="1:14" x14ac:dyDescent="0.25">
      <c r="A1940" s="1">
        <v>44847</v>
      </c>
      <c r="B1940" t="s">
        <v>185</v>
      </c>
      <c r="C1940">
        <v>94</v>
      </c>
      <c r="D1940" t="s">
        <v>9</v>
      </c>
      <c r="E1940" t="s">
        <v>22</v>
      </c>
      <c r="F1940" t="s">
        <v>23</v>
      </c>
      <c r="G1940" t="s">
        <v>39</v>
      </c>
      <c r="H1940">
        <v>922.98</v>
      </c>
      <c r="I1940" s="8" t="str" cm="1">
        <f t="array" ref="I1940">_xlfn.IFS(C1940&lt;=15,"Children and Young Adolescents", C1940&gt;64, "Seniors", TRUE, "Working Age")</f>
        <v>Seniors</v>
      </c>
      <c r="J1940" s="6">
        <f>VLOOKUP(F1940,Analysis!$F$1:$G$5,2,FALSE)</f>
        <v>2440.2966694490838</v>
      </c>
      <c r="K1940">
        <f t="shared" si="120"/>
        <v>1015.27</v>
      </c>
      <c r="L1940">
        <f t="shared" si="121"/>
        <v>1015.28</v>
      </c>
      <c r="M1940">
        <f t="shared" si="122"/>
        <v>1015.28</v>
      </c>
      <c r="N1940" s="5" t="str">
        <f t="shared" si="123"/>
        <v>October 2022</v>
      </c>
    </row>
    <row r="1941" spans="1:14" x14ac:dyDescent="0.25">
      <c r="A1941" s="1">
        <v>44847</v>
      </c>
      <c r="B1941" t="s">
        <v>1396</v>
      </c>
      <c r="C1941">
        <v>24</v>
      </c>
      <c r="D1941" t="s">
        <v>9</v>
      </c>
      <c r="E1941" t="s">
        <v>32</v>
      </c>
      <c r="F1941" t="s">
        <v>23</v>
      </c>
      <c r="G1941" t="s">
        <v>27</v>
      </c>
      <c r="H1941">
        <v>826.95</v>
      </c>
      <c r="I1941" s="8" t="str" cm="1">
        <f t="array" ref="I1941">_xlfn.IFS(C1941&lt;=15,"Children and Young Adolescents", C1941&gt;64, "Seniors", TRUE, "Working Age")</f>
        <v>Working Age</v>
      </c>
      <c r="J1941" s="6">
        <f>VLOOKUP(F1941,Analysis!$F$1:$G$5,2,FALSE)</f>
        <v>2440.2966694490838</v>
      </c>
      <c r="K1941">
        <f t="shared" si="120"/>
        <v>909.64</v>
      </c>
      <c r="L1941">
        <f t="shared" si="121"/>
        <v>909.65</v>
      </c>
      <c r="M1941">
        <f t="shared" si="122"/>
        <v>909.65</v>
      </c>
      <c r="N1941" s="5" t="str">
        <f t="shared" si="123"/>
        <v>October 2022</v>
      </c>
    </row>
    <row r="1942" spans="1:14" x14ac:dyDescent="0.25">
      <c r="A1942" s="1">
        <v>44847</v>
      </c>
      <c r="B1942" t="s">
        <v>1769</v>
      </c>
      <c r="C1942">
        <v>6</v>
      </c>
      <c r="D1942" t="s">
        <v>14</v>
      </c>
      <c r="E1942" t="s">
        <v>5032</v>
      </c>
      <c r="F1942" t="s">
        <v>16</v>
      </c>
      <c r="G1942" t="s">
        <v>36</v>
      </c>
      <c r="H1942">
        <v>1375.87</v>
      </c>
      <c r="I1942" s="8" t="str" cm="1">
        <f t="array" ref="I1942">_xlfn.IFS(C1942&lt;=15,"Children and Young Adolescents", C1942&gt;64, "Seniors", TRUE, "Working Age")</f>
        <v>Children and Young Adolescents</v>
      </c>
      <c r="J1942" s="6">
        <f>VLOOKUP(F1942,Analysis!$F$1:$G$5,2,FALSE)</f>
        <v>2509.1716796874912</v>
      </c>
      <c r="K1942">
        <f t="shared" si="120"/>
        <v>1513.45</v>
      </c>
      <c r="L1942">
        <f t="shared" si="121"/>
        <v>1513.46</v>
      </c>
      <c r="M1942">
        <f t="shared" si="122"/>
        <v>1513.46</v>
      </c>
      <c r="N1942" s="5" t="str">
        <f t="shared" si="123"/>
        <v>October 2022</v>
      </c>
    </row>
    <row r="1943" spans="1:14" x14ac:dyDescent="0.25">
      <c r="A1943" s="1">
        <v>44847</v>
      </c>
      <c r="B1943" t="s">
        <v>4535</v>
      </c>
      <c r="C1943">
        <v>6</v>
      </c>
      <c r="D1943" t="s">
        <v>9</v>
      </c>
      <c r="E1943" t="s">
        <v>19</v>
      </c>
      <c r="F1943" t="s">
        <v>29</v>
      </c>
      <c r="G1943" t="s">
        <v>17</v>
      </c>
      <c r="H1943">
        <v>4903.3599999999997</v>
      </c>
      <c r="I1943" s="8" t="str" cm="1">
        <f t="array" ref="I1943">_xlfn.IFS(C1943&lt;=15,"Children and Young Adolescents", C1943&gt;64, "Seniors", TRUE, "Working Age")</f>
        <v>Children and Young Adolescents</v>
      </c>
      <c r="J1943" s="6">
        <f>VLOOKUP(F1943,Analysis!$F$1:$G$5,2,FALSE)</f>
        <v>2496.7676064256989</v>
      </c>
      <c r="K1943">
        <f t="shared" si="120"/>
        <v>5393.69</v>
      </c>
      <c r="L1943">
        <f t="shared" si="121"/>
        <v>5393.7</v>
      </c>
      <c r="M1943">
        <f t="shared" si="122"/>
        <v>5393.7</v>
      </c>
      <c r="N1943" s="5" t="str">
        <f t="shared" si="123"/>
        <v>October 2022</v>
      </c>
    </row>
    <row r="1944" spans="1:14" x14ac:dyDescent="0.25">
      <c r="A1944" s="1">
        <v>44847</v>
      </c>
      <c r="B1944" t="s">
        <v>3188</v>
      </c>
      <c r="C1944">
        <v>73</v>
      </c>
      <c r="D1944" t="s">
        <v>9</v>
      </c>
      <c r="E1944" t="s">
        <v>10</v>
      </c>
      <c r="F1944" t="s">
        <v>23</v>
      </c>
      <c r="G1944" t="s">
        <v>36</v>
      </c>
      <c r="H1944">
        <v>4130.57</v>
      </c>
      <c r="I1944" s="8" t="str" cm="1">
        <f t="array" ref="I1944">_xlfn.IFS(C1944&lt;=15,"Children and Young Adolescents", C1944&gt;64, "Seniors", TRUE, "Working Age")</f>
        <v>Seniors</v>
      </c>
      <c r="J1944" s="6">
        <f>VLOOKUP(F1944,Analysis!$F$1:$G$5,2,FALSE)</f>
        <v>2440.2966694490838</v>
      </c>
      <c r="K1944">
        <f t="shared" si="120"/>
        <v>4543.62</v>
      </c>
      <c r="L1944">
        <f t="shared" si="121"/>
        <v>4543.63</v>
      </c>
      <c r="M1944">
        <f t="shared" si="122"/>
        <v>4543.63</v>
      </c>
      <c r="N1944" s="5" t="str">
        <f t="shared" si="123"/>
        <v>October 2022</v>
      </c>
    </row>
    <row r="1945" spans="1:14" x14ac:dyDescent="0.25">
      <c r="A1945" s="1">
        <v>44848</v>
      </c>
      <c r="B1945" t="s">
        <v>4252</v>
      </c>
      <c r="C1945">
        <v>88</v>
      </c>
      <c r="D1945" t="s">
        <v>14</v>
      </c>
      <c r="E1945" t="s">
        <v>34</v>
      </c>
      <c r="F1945" t="s">
        <v>11</v>
      </c>
      <c r="G1945" t="s">
        <v>17</v>
      </c>
      <c r="H1945">
        <v>2216.48</v>
      </c>
      <c r="I1945" s="8" t="str" cm="1">
        <f t="array" ref="I1945">_xlfn.IFS(C1945&lt;=15,"Children and Young Adolescents", C1945&gt;64, "Seniors", TRUE, "Working Age")</f>
        <v>Seniors</v>
      </c>
      <c r="J1945" s="6">
        <f>VLOOKUP(F1945,Analysis!$F$1:$G$5,2,FALSE)</f>
        <v>2503.6022787783854</v>
      </c>
      <c r="K1945">
        <f t="shared" si="120"/>
        <v>2438.12</v>
      </c>
      <c r="L1945">
        <f t="shared" si="121"/>
        <v>2438.13</v>
      </c>
      <c r="M1945">
        <f t="shared" si="122"/>
        <v>2438.13</v>
      </c>
      <c r="N1945" s="5" t="str">
        <f t="shared" si="123"/>
        <v>October 2022</v>
      </c>
    </row>
    <row r="1946" spans="1:14" x14ac:dyDescent="0.25">
      <c r="A1946" s="1">
        <v>44848</v>
      </c>
      <c r="B1946" t="s">
        <v>636</v>
      </c>
      <c r="C1946">
        <v>92</v>
      </c>
      <c r="D1946" t="s">
        <v>14</v>
      </c>
      <c r="E1946" t="s">
        <v>19</v>
      </c>
      <c r="F1946" t="s">
        <v>23</v>
      </c>
      <c r="G1946" t="s">
        <v>12</v>
      </c>
      <c r="H1946">
        <v>2741.17</v>
      </c>
      <c r="I1946" s="8" t="str" cm="1">
        <f t="array" ref="I1946">_xlfn.IFS(C1946&lt;=15,"Children and Young Adolescents", C1946&gt;64, "Seniors", TRUE, "Working Age")</f>
        <v>Seniors</v>
      </c>
      <c r="J1946" s="6">
        <f>VLOOKUP(F1946,Analysis!$F$1:$G$5,2,FALSE)</f>
        <v>2440.2966694490838</v>
      </c>
      <c r="K1946">
        <f t="shared" si="120"/>
        <v>3015.28</v>
      </c>
      <c r="L1946">
        <f t="shared" si="121"/>
        <v>3015.2900000000004</v>
      </c>
      <c r="M1946">
        <f t="shared" si="122"/>
        <v>3015.29</v>
      </c>
      <c r="N1946" s="5" t="str">
        <f t="shared" si="123"/>
        <v>October 2022</v>
      </c>
    </row>
    <row r="1947" spans="1:14" x14ac:dyDescent="0.25">
      <c r="A1947" s="1">
        <v>44848</v>
      </c>
      <c r="B1947" t="s">
        <v>4828</v>
      </c>
      <c r="C1947">
        <v>95</v>
      </c>
      <c r="D1947" t="s">
        <v>9</v>
      </c>
      <c r="E1947" t="s">
        <v>15</v>
      </c>
      <c r="F1947" t="s">
        <v>16</v>
      </c>
      <c r="G1947" t="s">
        <v>36</v>
      </c>
      <c r="H1947">
        <v>4322.59</v>
      </c>
      <c r="I1947" s="8" t="str" cm="1">
        <f t="array" ref="I1947">_xlfn.IFS(C1947&lt;=15,"Children and Young Adolescents", C1947&gt;64, "Seniors", TRUE, "Working Age")</f>
        <v>Seniors</v>
      </c>
      <c r="J1947" s="6">
        <f>VLOOKUP(F1947,Analysis!$F$1:$G$5,2,FALSE)</f>
        <v>2509.1716796874912</v>
      </c>
      <c r="K1947">
        <f t="shared" si="120"/>
        <v>4754.84</v>
      </c>
      <c r="L1947">
        <f t="shared" si="121"/>
        <v>4754.8500000000004</v>
      </c>
      <c r="M1947">
        <f t="shared" si="122"/>
        <v>4754.8500000000004</v>
      </c>
      <c r="N1947" s="5" t="str">
        <f t="shared" si="123"/>
        <v>October 2022</v>
      </c>
    </row>
    <row r="1948" spans="1:14" x14ac:dyDescent="0.25">
      <c r="A1948" s="1">
        <v>44848</v>
      </c>
      <c r="B1948" t="s">
        <v>3488</v>
      </c>
      <c r="C1948">
        <v>91</v>
      </c>
      <c r="D1948" t="s">
        <v>9</v>
      </c>
      <c r="E1948" t="s">
        <v>34</v>
      </c>
      <c r="F1948" t="s">
        <v>16</v>
      </c>
      <c r="G1948" t="s">
        <v>17</v>
      </c>
      <c r="H1948">
        <v>2035.03</v>
      </c>
      <c r="I1948" s="8" t="str" cm="1">
        <f t="array" ref="I1948">_xlfn.IFS(C1948&lt;=15,"Children and Young Adolescents", C1948&gt;64, "Seniors", TRUE, "Working Age")</f>
        <v>Seniors</v>
      </c>
      <c r="J1948" s="6">
        <f>VLOOKUP(F1948,Analysis!$F$1:$G$5,2,FALSE)</f>
        <v>2509.1716796874912</v>
      </c>
      <c r="K1948">
        <f t="shared" si="120"/>
        <v>2238.5300000000002</v>
      </c>
      <c r="L1948">
        <f t="shared" si="121"/>
        <v>2238.5400000000004</v>
      </c>
      <c r="M1948">
        <f t="shared" si="122"/>
        <v>2238.5300000000002</v>
      </c>
      <c r="N1948" s="5" t="str">
        <f t="shared" si="123"/>
        <v>October 2022</v>
      </c>
    </row>
    <row r="1949" spans="1:14" x14ac:dyDescent="0.25">
      <c r="A1949" s="1">
        <v>44848</v>
      </c>
      <c r="B1949" t="s">
        <v>2217</v>
      </c>
      <c r="C1949">
        <v>18</v>
      </c>
      <c r="D1949" t="s">
        <v>9</v>
      </c>
      <c r="E1949" t="s">
        <v>25</v>
      </c>
      <c r="F1949" t="s">
        <v>29</v>
      </c>
      <c r="G1949" t="s">
        <v>39</v>
      </c>
      <c r="H1949">
        <v>1979.1</v>
      </c>
      <c r="I1949" s="8" t="str" cm="1">
        <f t="array" ref="I1949">_xlfn.IFS(C1949&lt;=15,"Children and Young Adolescents", C1949&gt;64, "Seniors", TRUE, "Working Age")</f>
        <v>Working Age</v>
      </c>
      <c r="J1949" s="6">
        <f>VLOOKUP(F1949,Analysis!$F$1:$G$5,2,FALSE)</f>
        <v>2496.7676064256989</v>
      </c>
      <c r="K1949">
        <f t="shared" si="120"/>
        <v>2177.0100000000002</v>
      </c>
      <c r="L1949">
        <f t="shared" si="121"/>
        <v>2177.0100000000002</v>
      </c>
      <c r="M1949">
        <f t="shared" si="122"/>
        <v>2177.0100000000002</v>
      </c>
      <c r="N1949" s="5" t="str">
        <f t="shared" si="123"/>
        <v>October 2022</v>
      </c>
    </row>
    <row r="1950" spans="1:14" x14ac:dyDescent="0.25">
      <c r="A1950" s="1">
        <v>44848</v>
      </c>
      <c r="B1950" t="s">
        <v>3195</v>
      </c>
      <c r="C1950">
        <v>98</v>
      </c>
      <c r="D1950" t="s">
        <v>9</v>
      </c>
      <c r="E1950" t="s">
        <v>10</v>
      </c>
      <c r="F1950" t="s">
        <v>23</v>
      </c>
      <c r="G1950" t="s">
        <v>12</v>
      </c>
      <c r="H1950">
        <v>3065.23</v>
      </c>
      <c r="I1950" s="8" t="str" cm="1">
        <f t="array" ref="I1950">_xlfn.IFS(C1950&lt;=15,"Children and Young Adolescents", C1950&gt;64, "Seniors", TRUE, "Working Age")</f>
        <v>Seniors</v>
      </c>
      <c r="J1950" s="6">
        <f>VLOOKUP(F1950,Analysis!$F$1:$G$5,2,FALSE)</f>
        <v>2440.2966694490838</v>
      </c>
      <c r="K1950">
        <f t="shared" si="120"/>
        <v>3371.75</v>
      </c>
      <c r="L1950">
        <f t="shared" si="121"/>
        <v>3371.76</v>
      </c>
      <c r="M1950">
        <f t="shared" si="122"/>
        <v>3371.75</v>
      </c>
      <c r="N1950" s="5" t="str">
        <f t="shared" si="123"/>
        <v>October 2022</v>
      </c>
    </row>
    <row r="1951" spans="1:14" x14ac:dyDescent="0.25">
      <c r="A1951" s="1">
        <v>44848</v>
      </c>
      <c r="B1951" t="s">
        <v>4011</v>
      </c>
      <c r="C1951">
        <v>73</v>
      </c>
      <c r="D1951" t="s">
        <v>9</v>
      </c>
      <c r="E1951" t="s">
        <v>5032</v>
      </c>
      <c r="F1951" t="s">
        <v>16</v>
      </c>
      <c r="G1951" t="s">
        <v>17</v>
      </c>
      <c r="H1951">
        <v>3044.79</v>
      </c>
      <c r="I1951" s="8" t="str" cm="1">
        <f t="array" ref="I1951">_xlfn.IFS(C1951&lt;=15,"Children and Young Adolescents", C1951&gt;64, "Seniors", TRUE, "Working Age")</f>
        <v>Seniors</v>
      </c>
      <c r="J1951" s="6">
        <f>VLOOKUP(F1951,Analysis!$F$1:$G$5,2,FALSE)</f>
        <v>2509.1716796874912</v>
      </c>
      <c r="K1951">
        <f t="shared" si="120"/>
        <v>3349.26</v>
      </c>
      <c r="L1951">
        <f t="shared" si="121"/>
        <v>3349.2700000000004</v>
      </c>
      <c r="M1951">
        <f t="shared" si="122"/>
        <v>3349.27</v>
      </c>
      <c r="N1951" s="5" t="str">
        <f t="shared" si="123"/>
        <v>October 2022</v>
      </c>
    </row>
    <row r="1952" spans="1:14" x14ac:dyDescent="0.25">
      <c r="A1952" s="1">
        <v>44848</v>
      </c>
      <c r="B1952" t="s">
        <v>332</v>
      </c>
      <c r="C1952">
        <v>15</v>
      </c>
      <c r="D1952" t="s">
        <v>14</v>
      </c>
      <c r="E1952" t="s">
        <v>5032</v>
      </c>
      <c r="F1952" t="s">
        <v>29</v>
      </c>
      <c r="G1952" t="s">
        <v>12</v>
      </c>
      <c r="H1952">
        <v>2209.0300000000002</v>
      </c>
      <c r="I1952" s="8" t="str" cm="1">
        <f t="array" ref="I1952">_xlfn.IFS(C1952&lt;=15,"Children and Young Adolescents", C1952&gt;64, "Seniors", TRUE, "Working Age")</f>
        <v>Children and Young Adolescents</v>
      </c>
      <c r="J1952" s="6">
        <f>VLOOKUP(F1952,Analysis!$F$1:$G$5,2,FALSE)</f>
        <v>2496.7676064256989</v>
      </c>
      <c r="K1952">
        <f t="shared" si="120"/>
        <v>2429.9299999999998</v>
      </c>
      <c r="L1952">
        <f t="shared" si="121"/>
        <v>2429.94</v>
      </c>
      <c r="M1952">
        <f t="shared" si="122"/>
        <v>2429.9299999999998</v>
      </c>
      <c r="N1952" s="5" t="str">
        <f t="shared" si="123"/>
        <v>October 2022</v>
      </c>
    </row>
    <row r="1953" spans="1:14" x14ac:dyDescent="0.25">
      <c r="A1953" s="1">
        <v>44848</v>
      </c>
      <c r="B1953" t="s">
        <v>1896</v>
      </c>
      <c r="C1953">
        <v>97</v>
      </c>
      <c r="D1953" t="s">
        <v>21</v>
      </c>
      <c r="E1953" t="s">
        <v>25</v>
      </c>
      <c r="F1953" t="s">
        <v>11</v>
      </c>
      <c r="G1953" t="s">
        <v>17</v>
      </c>
      <c r="H1953">
        <v>2386.3200000000002</v>
      </c>
      <c r="I1953" s="8" t="str" cm="1">
        <f t="array" ref="I1953">_xlfn.IFS(C1953&lt;=15,"Children and Young Adolescents", C1953&gt;64, "Seniors", TRUE, "Working Age")</f>
        <v>Seniors</v>
      </c>
      <c r="J1953" s="6">
        <f>VLOOKUP(F1953,Analysis!$F$1:$G$5,2,FALSE)</f>
        <v>2503.6022787783854</v>
      </c>
      <c r="K1953">
        <f t="shared" si="120"/>
        <v>2624.95</v>
      </c>
      <c r="L1953">
        <f t="shared" si="121"/>
        <v>2624.96</v>
      </c>
      <c r="M1953">
        <f t="shared" si="122"/>
        <v>2624.95</v>
      </c>
      <c r="N1953" s="5" t="str">
        <f t="shared" si="123"/>
        <v>October 2022</v>
      </c>
    </row>
    <row r="1954" spans="1:14" x14ac:dyDescent="0.25">
      <c r="A1954" s="1">
        <v>44848</v>
      </c>
      <c r="B1954" t="s">
        <v>4945</v>
      </c>
      <c r="C1954">
        <v>23</v>
      </c>
      <c r="D1954" t="s">
        <v>14</v>
      </c>
      <c r="E1954" t="s">
        <v>34</v>
      </c>
      <c r="F1954" t="s">
        <v>11</v>
      </c>
      <c r="G1954" t="s">
        <v>36</v>
      </c>
      <c r="H1954">
        <v>3651.51</v>
      </c>
      <c r="I1954" s="8" t="str" cm="1">
        <f t="array" ref="I1954">_xlfn.IFS(C1954&lt;=15,"Children and Young Adolescents", C1954&gt;64, "Seniors", TRUE, "Working Age")</f>
        <v>Working Age</v>
      </c>
      <c r="J1954" s="6">
        <f>VLOOKUP(F1954,Analysis!$F$1:$G$5,2,FALSE)</f>
        <v>2503.6022787783854</v>
      </c>
      <c r="K1954">
        <f t="shared" si="120"/>
        <v>4016.66</v>
      </c>
      <c r="L1954">
        <f t="shared" si="121"/>
        <v>4016.67</v>
      </c>
      <c r="M1954">
        <f t="shared" si="122"/>
        <v>4016.66</v>
      </c>
      <c r="N1954" s="5" t="str">
        <f t="shared" si="123"/>
        <v>October 2022</v>
      </c>
    </row>
    <row r="1955" spans="1:14" x14ac:dyDescent="0.25">
      <c r="A1955" s="1">
        <v>44848</v>
      </c>
      <c r="B1955" t="s">
        <v>1144</v>
      </c>
      <c r="C1955">
        <v>90</v>
      </c>
      <c r="D1955" t="s">
        <v>14</v>
      </c>
      <c r="E1955" t="s">
        <v>19</v>
      </c>
      <c r="F1955" t="s">
        <v>11</v>
      </c>
      <c r="G1955" t="s">
        <v>12</v>
      </c>
      <c r="H1955">
        <v>1347.31</v>
      </c>
      <c r="I1955" s="8" t="str" cm="1">
        <f t="array" ref="I1955">_xlfn.IFS(C1955&lt;=15,"Children and Young Adolescents", C1955&gt;64, "Seniors", TRUE, "Working Age")</f>
        <v>Seniors</v>
      </c>
      <c r="J1955" s="6">
        <f>VLOOKUP(F1955,Analysis!$F$1:$G$5,2,FALSE)</f>
        <v>2503.6022787783854</v>
      </c>
      <c r="K1955">
        <f t="shared" si="120"/>
        <v>1482.04</v>
      </c>
      <c r="L1955">
        <f t="shared" si="121"/>
        <v>1482.05</v>
      </c>
      <c r="M1955">
        <f t="shared" si="122"/>
        <v>1482.04</v>
      </c>
      <c r="N1955" s="5" t="str">
        <f t="shared" si="123"/>
        <v>October 2022</v>
      </c>
    </row>
    <row r="1956" spans="1:14" x14ac:dyDescent="0.25">
      <c r="A1956" s="1">
        <v>44848</v>
      </c>
      <c r="B1956" t="s">
        <v>1518</v>
      </c>
      <c r="C1956">
        <v>14</v>
      </c>
      <c r="D1956" t="s">
        <v>21</v>
      </c>
      <c r="E1956" t="s">
        <v>5032</v>
      </c>
      <c r="F1956" t="s">
        <v>16</v>
      </c>
      <c r="G1956" t="s">
        <v>17</v>
      </c>
      <c r="H1956">
        <v>3597.86</v>
      </c>
      <c r="I1956" s="8" t="str" cm="1">
        <f t="array" ref="I1956">_xlfn.IFS(C1956&lt;=15,"Children and Young Adolescents", C1956&gt;64, "Seniors", TRUE, "Working Age")</f>
        <v>Children and Young Adolescents</v>
      </c>
      <c r="J1956" s="6">
        <f>VLOOKUP(F1956,Analysis!$F$1:$G$5,2,FALSE)</f>
        <v>2509.1716796874912</v>
      </c>
      <c r="K1956">
        <f t="shared" si="120"/>
        <v>3957.64</v>
      </c>
      <c r="L1956">
        <f t="shared" si="121"/>
        <v>3957.65</v>
      </c>
      <c r="M1956">
        <f t="shared" si="122"/>
        <v>3957.65</v>
      </c>
      <c r="N1956" s="5" t="str">
        <f t="shared" si="123"/>
        <v>October 2022</v>
      </c>
    </row>
    <row r="1957" spans="1:14" x14ac:dyDescent="0.25">
      <c r="A1957" s="1">
        <v>44848</v>
      </c>
      <c r="B1957" t="s">
        <v>3320</v>
      </c>
      <c r="C1957">
        <v>63</v>
      </c>
      <c r="D1957" t="s">
        <v>21</v>
      </c>
      <c r="E1957" t="s">
        <v>10</v>
      </c>
      <c r="F1957" t="s">
        <v>11</v>
      </c>
      <c r="G1957" t="s">
        <v>27</v>
      </c>
      <c r="H1957">
        <v>1095.3499999999999</v>
      </c>
      <c r="I1957" s="8" t="str" cm="1">
        <f t="array" ref="I1957">_xlfn.IFS(C1957&lt;=15,"Children and Young Adolescents", C1957&gt;64, "Seniors", TRUE, "Working Age")</f>
        <v>Working Age</v>
      </c>
      <c r="J1957" s="6">
        <f>VLOOKUP(F1957,Analysis!$F$1:$G$5,2,FALSE)</f>
        <v>2503.6022787783854</v>
      </c>
      <c r="K1957">
        <f t="shared" si="120"/>
        <v>1204.8800000000001</v>
      </c>
      <c r="L1957">
        <f t="shared" si="121"/>
        <v>1204.8900000000001</v>
      </c>
      <c r="M1957">
        <f t="shared" si="122"/>
        <v>1204.8900000000001</v>
      </c>
      <c r="N1957" s="5" t="str">
        <f t="shared" si="123"/>
        <v>October 2022</v>
      </c>
    </row>
    <row r="1958" spans="1:14" x14ac:dyDescent="0.25">
      <c r="A1958" s="1">
        <v>44848</v>
      </c>
      <c r="B1958" t="s">
        <v>4044</v>
      </c>
      <c r="C1958">
        <v>4</v>
      </c>
      <c r="D1958" t="s">
        <v>21</v>
      </c>
      <c r="E1958" t="s">
        <v>15</v>
      </c>
      <c r="F1958" t="s">
        <v>29</v>
      </c>
      <c r="G1958" t="s">
        <v>27</v>
      </c>
      <c r="H1958">
        <v>2400.12</v>
      </c>
      <c r="I1958" s="8" t="str" cm="1">
        <f t="array" ref="I1958">_xlfn.IFS(C1958&lt;=15,"Children and Young Adolescents", C1958&gt;64, "Seniors", TRUE, "Working Age")</f>
        <v>Children and Young Adolescents</v>
      </c>
      <c r="J1958" s="6">
        <f>VLOOKUP(F1958,Analysis!$F$1:$G$5,2,FALSE)</f>
        <v>2496.7676064256989</v>
      </c>
      <c r="K1958">
        <f t="shared" si="120"/>
        <v>2640.13</v>
      </c>
      <c r="L1958">
        <f t="shared" si="121"/>
        <v>2640.1400000000003</v>
      </c>
      <c r="M1958">
        <f t="shared" si="122"/>
        <v>2640.13</v>
      </c>
      <c r="N1958" s="5" t="str">
        <f t="shared" si="123"/>
        <v>October 2022</v>
      </c>
    </row>
    <row r="1959" spans="1:14" x14ac:dyDescent="0.25">
      <c r="A1959" s="1">
        <v>44848</v>
      </c>
      <c r="B1959" t="s">
        <v>318</v>
      </c>
      <c r="C1959">
        <v>53</v>
      </c>
      <c r="D1959" t="s">
        <v>14</v>
      </c>
      <c r="E1959" t="s">
        <v>10</v>
      </c>
      <c r="F1959" t="s">
        <v>16</v>
      </c>
      <c r="G1959" t="s">
        <v>36</v>
      </c>
      <c r="H1959">
        <v>4367.6899999999996</v>
      </c>
      <c r="I1959" s="8" t="str" cm="1">
        <f t="array" ref="I1959">_xlfn.IFS(C1959&lt;=15,"Children and Young Adolescents", C1959&gt;64, "Seniors", TRUE, "Working Age")</f>
        <v>Working Age</v>
      </c>
      <c r="J1959" s="6">
        <f>VLOOKUP(F1959,Analysis!$F$1:$G$5,2,FALSE)</f>
        <v>2509.1716796874912</v>
      </c>
      <c r="K1959">
        <f t="shared" si="120"/>
        <v>4804.45</v>
      </c>
      <c r="L1959">
        <f t="shared" si="121"/>
        <v>4804.46</v>
      </c>
      <c r="M1959">
        <f t="shared" si="122"/>
        <v>4804.46</v>
      </c>
      <c r="N1959" s="5" t="str">
        <f t="shared" si="123"/>
        <v>October 2022</v>
      </c>
    </row>
    <row r="1960" spans="1:14" x14ac:dyDescent="0.25">
      <c r="A1960" s="1">
        <v>44848</v>
      </c>
      <c r="B1960" t="s">
        <v>2507</v>
      </c>
      <c r="C1960">
        <v>49</v>
      </c>
      <c r="D1960" t="s">
        <v>9</v>
      </c>
      <c r="E1960" t="s">
        <v>34</v>
      </c>
      <c r="F1960" t="s">
        <v>23</v>
      </c>
      <c r="G1960" t="s">
        <v>39</v>
      </c>
      <c r="H1960">
        <v>1591.68</v>
      </c>
      <c r="I1960" s="8" t="str" cm="1">
        <f t="array" ref="I1960">_xlfn.IFS(C1960&lt;=15,"Children and Young Adolescents", C1960&gt;64, "Seniors", TRUE, "Working Age")</f>
        <v>Working Age</v>
      </c>
      <c r="J1960" s="6">
        <f>VLOOKUP(F1960,Analysis!$F$1:$G$5,2,FALSE)</f>
        <v>2440.2966694490838</v>
      </c>
      <c r="K1960">
        <f t="shared" si="120"/>
        <v>1750.84</v>
      </c>
      <c r="L1960">
        <f t="shared" si="121"/>
        <v>1750.85</v>
      </c>
      <c r="M1960">
        <f t="shared" si="122"/>
        <v>1750.85</v>
      </c>
      <c r="N1960" s="5" t="str">
        <f t="shared" si="123"/>
        <v>October 2022</v>
      </c>
    </row>
    <row r="1961" spans="1:14" x14ac:dyDescent="0.25">
      <c r="A1961" s="1">
        <v>44848</v>
      </c>
      <c r="B1961" t="s">
        <v>3613</v>
      </c>
      <c r="C1961">
        <v>6</v>
      </c>
      <c r="D1961" t="s">
        <v>21</v>
      </c>
      <c r="E1961" t="s">
        <v>10</v>
      </c>
      <c r="F1961" t="s">
        <v>16</v>
      </c>
      <c r="G1961" t="s">
        <v>12</v>
      </c>
      <c r="H1961">
        <v>1074.55</v>
      </c>
      <c r="I1961" s="8" t="str" cm="1">
        <f t="array" ref="I1961">_xlfn.IFS(C1961&lt;=15,"Children and Young Adolescents", C1961&gt;64, "Seniors", TRUE, "Working Age")</f>
        <v>Children and Young Adolescents</v>
      </c>
      <c r="J1961" s="6">
        <f>VLOOKUP(F1961,Analysis!$F$1:$G$5,2,FALSE)</f>
        <v>2509.1716796874912</v>
      </c>
      <c r="K1961">
        <f t="shared" si="120"/>
        <v>1182</v>
      </c>
      <c r="L1961">
        <f t="shared" si="121"/>
        <v>1182.01</v>
      </c>
      <c r="M1961">
        <f t="shared" si="122"/>
        <v>1182.01</v>
      </c>
      <c r="N1961" s="5" t="str">
        <f t="shared" si="123"/>
        <v>October 2022</v>
      </c>
    </row>
    <row r="1962" spans="1:14" x14ac:dyDescent="0.25">
      <c r="A1962" s="1">
        <v>44849</v>
      </c>
      <c r="B1962" t="s">
        <v>3652</v>
      </c>
      <c r="C1962">
        <v>87</v>
      </c>
      <c r="D1962" t="s">
        <v>9</v>
      </c>
      <c r="E1962" t="s">
        <v>15</v>
      </c>
      <c r="F1962" t="s">
        <v>16</v>
      </c>
      <c r="G1962" t="s">
        <v>27</v>
      </c>
      <c r="H1962">
        <v>1206.8800000000001</v>
      </c>
      <c r="I1962" s="8" t="str" cm="1">
        <f t="array" ref="I1962">_xlfn.IFS(C1962&lt;=15,"Children and Young Adolescents", C1962&gt;64, "Seniors", TRUE, "Working Age")</f>
        <v>Seniors</v>
      </c>
      <c r="J1962" s="6">
        <f>VLOOKUP(F1962,Analysis!$F$1:$G$5,2,FALSE)</f>
        <v>2509.1716796874912</v>
      </c>
      <c r="K1962">
        <f t="shared" si="120"/>
        <v>1327.56</v>
      </c>
      <c r="L1962">
        <f t="shared" si="121"/>
        <v>1327.57</v>
      </c>
      <c r="M1962">
        <f t="shared" si="122"/>
        <v>1327.57</v>
      </c>
      <c r="N1962" s="5" t="str">
        <f t="shared" si="123"/>
        <v>October 2022</v>
      </c>
    </row>
    <row r="1963" spans="1:14" x14ac:dyDescent="0.25">
      <c r="A1963" s="1">
        <v>44849</v>
      </c>
      <c r="B1963" t="s">
        <v>2770</v>
      </c>
      <c r="C1963">
        <v>74</v>
      </c>
      <c r="D1963" t="s">
        <v>21</v>
      </c>
      <c r="E1963" t="s">
        <v>19</v>
      </c>
      <c r="F1963" t="s">
        <v>16</v>
      </c>
      <c r="G1963" t="s">
        <v>12</v>
      </c>
      <c r="H1963">
        <v>2501.3200000000002</v>
      </c>
      <c r="I1963" s="8" t="str" cm="1">
        <f t="array" ref="I1963">_xlfn.IFS(C1963&lt;=15,"Children and Young Adolescents", C1963&gt;64, "Seniors", TRUE, "Working Age")</f>
        <v>Seniors</v>
      </c>
      <c r="J1963" s="6">
        <f>VLOOKUP(F1963,Analysis!$F$1:$G$5,2,FALSE)</f>
        <v>2509.1716796874912</v>
      </c>
      <c r="K1963">
        <f t="shared" si="120"/>
        <v>2751.45</v>
      </c>
      <c r="L1963">
        <f t="shared" si="121"/>
        <v>2751.46</v>
      </c>
      <c r="M1963">
        <f t="shared" si="122"/>
        <v>2751.45</v>
      </c>
      <c r="N1963" s="5" t="str">
        <f t="shared" si="123"/>
        <v>October 2022</v>
      </c>
    </row>
    <row r="1964" spans="1:14" x14ac:dyDescent="0.25">
      <c r="A1964" s="1">
        <v>44849</v>
      </c>
      <c r="B1964" t="s">
        <v>3492</v>
      </c>
      <c r="C1964">
        <v>52</v>
      </c>
      <c r="D1964" t="s">
        <v>21</v>
      </c>
      <c r="E1964" t="s">
        <v>22</v>
      </c>
      <c r="F1964" t="s">
        <v>29</v>
      </c>
      <c r="G1964" t="s">
        <v>39</v>
      </c>
      <c r="H1964">
        <v>4788.33</v>
      </c>
      <c r="I1964" s="8" t="str" cm="1">
        <f t="array" ref="I1964">_xlfn.IFS(C1964&lt;=15,"Children and Young Adolescents", C1964&gt;64, "Seniors", TRUE, "Working Age")</f>
        <v>Working Age</v>
      </c>
      <c r="J1964" s="6">
        <f>VLOOKUP(F1964,Analysis!$F$1:$G$5,2,FALSE)</f>
        <v>2496.7676064256989</v>
      </c>
      <c r="K1964">
        <f t="shared" si="120"/>
        <v>5267.16</v>
      </c>
      <c r="L1964">
        <f t="shared" si="121"/>
        <v>5267.17</v>
      </c>
      <c r="M1964">
        <f t="shared" si="122"/>
        <v>5267.16</v>
      </c>
      <c r="N1964" s="5" t="str">
        <f t="shared" si="123"/>
        <v>October 2022</v>
      </c>
    </row>
    <row r="1965" spans="1:14" x14ac:dyDescent="0.25">
      <c r="A1965" s="1">
        <v>44849</v>
      </c>
      <c r="B1965" t="s">
        <v>344</v>
      </c>
      <c r="C1965">
        <v>31</v>
      </c>
      <c r="D1965" t="s">
        <v>9</v>
      </c>
      <c r="E1965" t="s">
        <v>19</v>
      </c>
      <c r="F1965" t="s">
        <v>29</v>
      </c>
      <c r="G1965" t="s">
        <v>17</v>
      </c>
      <c r="H1965">
        <v>2851.77</v>
      </c>
      <c r="I1965" s="8" t="str" cm="1">
        <f t="array" ref="I1965">_xlfn.IFS(C1965&lt;=15,"Children and Young Adolescents", C1965&gt;64, "Seniors", TRUE, "Working Age")</f>
        <v>Working Age</v>
      </c>
      <c r="J1965" s="6">
        <f>VLOOKUP(F1965,Analysis!$F$1:$G$5,2,FALSE)</f>
        <v>2496.7676064256989</v>
      </c>
      <c r="K1965">
        <f t="shared" si="120"/>
        <v>3136.94</v>
      </c>
      <c r="L1965">
        <f t="shared" si="121"/>
        <v>3136.9500000000003</v>
      </c>
      <c r="M1965">
        <f t="shared" si="122"/>
        <v>3136.95</v>
      </c>
      <c r="N1965" s="5" t="str">
        <f t="shared" si="123"/>
        <v>October 2022</v>
      </c>
    </row>
    <row r="1966" spans="1:14" x14ac:dyDescent="0.25">
      <c r="A1966" s="1">
        <v>44849</v>
      </c>
      <c r="B1966" t="s">
        <v>4986</v>
      </c>
      <c r="C1966">
        <v>93</v>
      </c>
      <c r="D1966" t="s">
        <v>14</v>
      </c>
      <c r="E1966" t="s">
        <v>19</v>
      </c>
      <c r="F1966" t="s">
        <v>23</v>
      </c>
      <c r="G1966" t="s">
        <v>36</v>
      </c>
      <c r="H1966">
        <v>4826.63</v>
      </c>
      <c r="I1966" s="8" t="str" cm="1">
        <f t="array" ref="I1966">_xlfn.IFS(C1966&lt;=15,"Children and Young Adolescents", C1966&gt;64, "Seniors", TRUE, "Working Age")</f>
        <v>Seniors</v>
      </c>
      <c r="J1966" s="6">
        <f>VLOOKUP(F1966,Analysis!$F$1:$G$5,2,FALSE)</f>
        <v>2440.2966694490838</v>
      </c>
      <c r="K1966">
        <f t="shared" si="120"/>
        <v>5309.29</v>
      </c>
      <c r="L1966">
        <f t="shared" si="121"/>
        <v>5309.3</v>
      </c>
      <c r="M1966">
        <f t="shared" si="122"/>
        <v>5309.29</v>
      </c>
      <c r="N1966" s="5" t="str">
        <f t="shared" si="123"/>
        <v>October 2022</v>
      </c>
    </row>
    <row r="1967" spans="1:14" x14ac:dyDescent="0.25">
      <c r="A1967" s="1">
        <v>44849</v>
      </c>
      <c r="B1967" t="s">
        <v>5002</v>
      </c>
      <c r="C1967">
        <v>69</v>
      </c>
      <c r="D1967" t="s">
        <v>9</v>
      </c>
      <c r="E1967" t="s">
        <v>22</v>
      </c>
      <c r="F1967" t="s">
        <v>23</v>
      </c>
      <c r="G1967" t="s">
        <v>12</v>
      </c>
      <c r="H1967">
        <v>3979.46</v>
      </c>
      <c r="I1967" s="8" t="str" cm="1">
        <f t="array" ref="I1967">_xlfn.IFS(C1967&lt;=15,"Children and Young Adolescents", C1967&gt;64, "Seniors", TRUE, "Working Age")</f>
        <v>Seniors</v>
      </c>
      <c r="J1967" s="6">
        <f>VLOOKUP(F1967,Analysis!$F$1:$G$5,2,FALSE)</f>
        <v>2440.2966694490838</v>
      </c>
      <c r="K1967">
        <f t="shared" si="120"/>
        <v>4377.3999999999996</v>
      </c>
      <c r="L1967">
        <f t="shared" si="121"/>
        <v>4377.41</v>
      </c>
      <c r="M1967">
        <f t="shared" si="122"/>
        <v>4377.41</v>
      </c>
      <c r="N1967" s="5" t="str">
        <f t="shared" si="123"/>
        <v>October 2022</v>
      </c>
    </row>
    <row r="1968" spans="1:14" x14ac:dyDescent="0.25">
      <c r="A1968" s="1">
        <v>44849</v>
      </c>
      <c r="B1968" t="s">
        <v>2148</v>
      </c>
      <c r="C1968">
        <v>97</v>
      </c>
      <c r="D1968" t="s">
        <v>21</v>
      </c>
      <c r="E1968" t="s">
        <v>25</v>
      </c>
      <c r="F1968" t="s">
        <v>29</v>
      </c>
      <c r="G1968" t="s">
        <v>27</v>
      </c>
      <c r="H1968">
        <v>3404.65</v>
      </c>
      <c r="I1968" s="8" t="str" cm="1">
        <f t="array" ref="I1968">_xlfn.IFS(C1968&lt;=15,"Children and Young Adolescents", C1968&gt;64, "Seniors", TRUE, "Working Age")</f>
        <v>Seniors</v>
      </c>
      <c r="J1968" s="6">
        <f>VLOOKUP(F1968,Analysis!$F$1:$G$5,2,FALSE)</f>
        <v>2496.7676064256989</v>
      </c>
      <c r="K1968">
        <f t="shared" si="120"/>
        <v>3745.11</v>
      </c>
      <c r="L1968">
        <f t="shared" si="121"/>
        <v>3745.1200000000003</v>
      </c>
      <c r="M1968">
        <f t="shared" si="122"/>
        <v>3745.12</v>
      </c>
      <c r="N1968" s="5" t="str">
        <f t="shared" si="123"/>
        <v>October 2022</v>
      </c>
    </row>
    <row r="1969" spans="1:14" x14ac:dyDescent="0.25">
      <c r="A1969" s="1">
        <v>44849</v>
      </c>
      <c r="B1969" t="s">
        <v>689</v>
      </c>
      <c r="C1969">
        <v>39</v>
      </c>
      <c r="D1969" t="s">
        <v>14</v>
      </c>
      <c r="E1969" t="s">
        <v>15</v>
      </c>
      <c r="F1969" t="s">
        <v>16</v>
      </c>
      <c r="G1969" t="s">
        <v>39</v>
      </c>
      <c r="H1969">
        <v>1833.97</v>
      </c>
      <c r="I1969" s="8" t="str" cm="1">
        <f t="array" ref="I1969">_xlfn.IFS(C1969&lt;=15,"Children and Young Adolescents", C1969&gt;64, "Seniors", TRUE, "Working Age")</f>
        <v>Working Age</v>
      </c>
      <c r="J1969" s="6">
        <f>VLOOKUP(F1969,Analysis!$F$1:$G$5,2,FALSE)</f>
        <v>2509.1716796874912</v>
      </c>
      <c r="K1969">
        <f t="shared" si="120"/>
        <v>2017.36</v>
      </c>
      <c r="L1969">
        <f t="shared" si="121"/>
        <v>2017.37</v>
      </c>
      <c r="M1969">
        <f t="shared" si="122"/>
        <v>2017.37</v>
      </c>
      <c r="N1969" s="5" t="str">
        <f t="shared" si="123"/>
        <v>October 2022</v>
      </c>
    </row>
    <row r="1970" spans="1:14" x14ac:dyDescent="0.25">
      <c r="A1970" s="1">
        <v>44849</v>
      </c>
      <c r="B1970" t="s">
        <v>1920</v>
      </c>
      <c r="C1970">
        <v>14</v>
      </c>
      <c r="D1970" t="s">
        <v>9</v>
      </c>
      <c r="E1970" t="s">
        <v>22</v>
      </c>
      <c r="F1970" t="s">
        <v>23</v>
      </c>
      <c r="G1970" t="s">
        <v>17</v>
      </c>
      <c r="H1970">
        <v>1414.32</v>
      </c>
      <c r="I1970" s="8" t="str" cm="1">
        <f t="array" ref="I1970">_xlfn.IFS(C1970&lt;=15,"Children and Young Adolescents", C1970&gt;64, "Seniors", TRUE, "Working Age")</f>
        <v>Children and Young Adolescents</v>
      </c>
      <c r="J1970" s="6">
        <f>VLOOKUP(F1970,Analysis!$F$1:$G$5,2,FALSE)</f>
        <v>2440.2966694490838</v>
      </c>
      <c r="K1970">
        <f t="shared" si="120"/>
        <v>1555.75</v>
      </c>
      <c r="L1970">
        <f t="shared" si="121"/>
        <v>1555.76</v>
      </c>
      <c r="M1970">
        <f t="shared" si="122"/>
        <v>1555.75</v>
      </c>
      <c r="N1970" s="5" t="str">
        <f t="shared" si="123"/>
        <v>October 2022</v>
      </c>
    </row>
    <row r="1971" spans="1:14" x14ac:dyDescent="0.25">
      <c r="A1971" s="1">
        <v>44850</v>
      </c>
      <c r="B1971" t="s">
        <v>1464</v>
      </c>
      <c r="C1971">
        <v>36</v>
      </c>
      <c r="D1971" t="s">
        <v>21</v>
      </c>
      <c r="E1971" t="s">
        <v>25</v>
      </c>
      <c r="F1971" t="s">
        <v>29</v>
      </c>
      <c r="G1971" t="s">
        <v>39</v>
      </c>
      <c r="H1971">
        <v>4607.67</v>
      </c>
      <c r="I1971" s="8" t="str" cm="1">
        <f t="array" ref="I1971">_xlfn.IFS(C1971&lt;=15,"Children and Young Adolescents", C1971&gt;64, "Seniors", TRUE, "Working Age")</f>
        <v>Working Age</v>
      </c>
      <c r="J1971" s="6">
        <f>VLOOKUP(F1971,Analysis!$F$1:$G$5,2,FALSE)</f>
        <v>2496.7676064256989</v>
      </c>
      <c r="K1971">
        <f t="shared" si="120"/>
        <v>5068.43</v>
      </c>
      <c r="L1971">
        <f t="shared" si="121"/>
        <v>5068.4400000000005</v>
      </c>
      <c r="M1971">
        <f t="shared" si="122"/>
        <v>5068.4399999999996</v>
      </c>
      <c r="N1971" s="5" t="str">
        <f t="shared" si="123"/>
        <v>October 2022</v>
      </c>
    </row>
    <row r="1972" spans="1:14" x14ac:dyDescent="0.25">
      <c r="A1972" s="1">
        <v>44850</v>
      </c>
      <c r="B1972" t="s">
        <v>4832</v>
      </c>
      <c r="C1972">
        <v>89</v>
      </c>
      <c r="D1972" t="s">
        <v>21</v>
      </c>
      <c r="E1972" t="s">
        <v>15</v>
      </c>
      <c r="F1972" t="s">
        <v>16</v>
      </c>
      <c r="G1972" t="s">
        <v>36</v>
      </c>
      <c r="H1972">
        <v>4295.75</v>
      </c>
      <c r="I1972" s="8" t="str" cm="1">
        <f t="array" ref="I1972">_xlfn.IFS(C1972&lt;=15,"Children and Young Adolescents", C1972&gt;64, "Seniors", TRUE, "Working Age")</f>
        <v>Seniors</v>
      </c>
      <c r="J1972" s="6">
        <f>VLOOKUP(F1972,Analysis!$F$1:$G$5,2,FALSE)</f>
        <v>2509.1716796874912</v>
      </c>
      <c r="K1972">
        <f t="shared" si="120"/>
        <v>4725.32</v>
      </c>
      <c r="L1972">
        <f t="shared" si="121"/>
        <v>4725.33</v>
      </c>
      <c r="M1972">
        <f t="shared" si="122"/>
        <v>4725.33</v>
      </c>
      <c r="N1972" s="5" t="str">
        <f t="shared" si="123"/>
        <v>October 2022</v>
      </c>
    </row>
    <row r="1973" spans="1:14" x14ac:dyDescent="0.25">
      <c r="A1973" s="1">
        <v>44850</v>
      </c>
      <c r="B1973" t="s">
        <v>799</v>
      </c>
      <c r="C1973">
        <v>57</v>
      </c>
      <c r="D1973" t="s">
        <v>21</v>
      </c>
      <c r="E1973" t="s">
        <v>32</v>
      </c>
      <c r="F1973" t="s">
        <v>23</v>
      </c>
      <c r="G1973" t="s">
        <v>39</v>
      </c>
      <c r="H1973">
        <v>3678.9</v>
      </c>
      <c r="I1973" s="8" t="str" cm="1">
        <f t="array" ref="I1973">_xlfn.IFS(C1973&lt;=15,"Children and Young Adolescents", C1973&gt;64, "Seniors", TRUE, "Working Age")</f>
        <v>Working Age</v>
      </c>
      <c r="J1973" s="6">
        <f>VLOOKUP(F1973,Analysis!$F$1:$G$5,2,FALSE)</f>
        <v>2440.2966694490838</v>
      </c>
      <c r="K1973">
        <f t="shared" si="120"/>
        <v>4046.79</v>
      </c>
      <c r="L1973">
        <f t="shared" si="121"/>
        <v>4046.79</v>
      </c>
      <c r="M1973">
        <f t="shared" si="122"/>
        <v>4046.79</v>
      </c>
      <c r="N1973" s="5" t="str">
        <f t="shared" si="123"/>
        <v>October 2022</v>
      </c>
    </row>
    <row r="1974" spans="1:14" x14ac:dyDescent="0.25">
      <c r="A1974" s="1">
        <v>44850</v>
      </c>
      <c r="B1974" t="s">
        <v>305</v>
      </c>
      <c r="C1974">
        <v>12</v>
      </c>
      <c r="D1974" t="s">
        <v>21</v>
      </c>
      <c r="E1974" t="s">
        <v>19</v>
      </c>
      <c r="F1974" t="s">
        <v>23</v>
      </c>
      <c r="G1974" t="s">
        <v>39</v>
      </c>
      <c r="H1974">
        <v>4077.63</v>
      </c>
      <c r="I1974" s="8" t="str" cm="1">
        <f t="array" ref="I1974">_xlfn.IFS(C1974&lt;=15,"Children and Young Adolescents", C1974&gt;64, "Seniors", TRUE, "Working Age")</f>
        <v>Children and Young Adolescents</v>
      </c>
      <c r="J1974" s="6">
        <f>VLOOKUP(F1974,Analysis!$F$1:$G$5,2,FALSE)</f>
        <v>2440.2966694490838</v>
      </c>
      <c r="K1974">
        <f t="shared" si="120"/>
        <v>4485.3900000000003</v>
      </c>
      <c r="L1974">
        <f t="shared" si="121"/>
        <v>4485.4000000000005</v>
      </c>
      <c r="M1974">
        <f t="shared" si="122"/>
        <v>4485.3900000000003</v>
      </c>
      <c r="N1974" s="5" t="str">
        <f t="shared" si="123"/>
        <v>October 2022</v>
      </c>
    </row>
    <row r="1975" spans="1:14" x14ac:dyDescent="0.25">
      <c r="A1975" s="1">
        <v>44850</v>
      </c>
      <c r="B1975" t="s">
        <v>4422</v>
      </c>
      <c r="C1975">
        <v>52</v>
      </c>
      <c r="D1975" t="s">
        <v>21</v>
      </c>
      <c r="E1975" t="s">
        <v>10</v>
      </c>
      <c r="F1975" t="s">
        <v>16</v>
      </c>
      <c r="G1975" t="s">
        <v>27</v>
      </c>
      <c r="H1975">
        <v>4114.0600000000004</v>
      </c>
      <c r="I1975" s="8" t="str" cm="1">
        <f t="array" ref="I1975">_xlfn.IFS(C1975&lt;=15,"Children and Young Adolescents", C1975&gt;64, "Seniors", TRUE, "Working Age")</f>
        <v>Working Age</v>
      </c>
      <c r="J1975" s="6">
        <f>VLOOKUP(F1975,Analysis!$F$1:$G$5,2,FALSE)</f>
        <v>2509.1716796874912</v>
      </c>
      <c r="K1975">
        <f t="shared" si="120"/>
        <v>4525.46</v>
      </c>
      <c r="L1975">
        <f t="shared" si="121"/>
        <v>4525.47</v>
      </c>
      <c r="M1975">
        <f t="shared" si="122"/>
        <v>4525.47</v>
      </c>
      <c r="N1975" s="5" t="str">
        <f t="shared" si="123"/>
        <v>October 2022</v>
      </c>
    </row>
    <row r="1976" spans="1:14" x14ac:dyDescent="0.25">
      <c r="A1976" s="1">
        <v>44850</v>
      </c>
      <c r="B1976" t="s">
        <v>329</v>
      </c>
      <c r="C1976">
        <v>99</v>
      </c>
      <c r="D1976" t="s">
        <v>9</v>
      </c>
      <c r="E1976" t="s">
        <v>19</v>
      </c>
      <c r="F1976" t="s">
        <v>11</v>
      </c>
      <c r="G1976" t="s">
        <v>5033</v>
      </c>
      <c r="H1976">
        <v>1555.3</v>
      </c>
      <c r="I1976" s="8" t="str" cm="1">
        <f t="array" ref="I1976">_xlfn.IFS(C1976&lt;=15,"Children and Young Adolescents", C1976&gt;64, "Seniors", TRUE, "Working Age")</f>
        <v>Seniors</v>
      </c>
      <c r="J1976" s="6">
        <f>VLOOKUP(F1976,Analysis!$F$1:$G$5,2,FALSE)</f>
        <v>2503.6022787783854</v>
      </c>
      <c r="K1976">
        <f t="shared" si="120"/>
        <v>1710.83</v>
      </c>
      <c r="L1976">
        <f t="shared" si="121"/>
        <v>1710.83</v>
      </c>
      <c r="M1976">
        <f t="shared" si="122"/>
        <v>1710.83</v>
      </c>
      <c r="N1976" s="5" t="str">
        <f t="shared" si="123"/>
        <v>October 2022</v>
      </c>
    </row>
    <row r="1977" spans="1:14" x14ac:dyDescent="0.25">
      <c r="A1977" s="1">
        <v>44850</v>
      </c>
      <c r="B1977" t="s">
        <v>148</v>
      </c>
      <c r="C1977">
        <v>3</v>
      </c>
      <c r="D1977" t="s">
        <v>14</v>
      </c>
      <c r="E1977" t="s">
        <v>10</v>
      </c>
      <c r="F1977" t="s">
        <v>23</v>
      </c>
      <c r="G1977" t="s">
        <v>36</v>
      </c>
      <c r="H1977">
        <v>4780.51</v>
      </c>
      <c r="I1977" s="8" t="str" cm="1">
        <f t="array" ref="I1977">_xlfn.IFS(C1977&lt;=15,"Children and Young Adolescents", C1977&gt;64, "Seniors", TRUE, "Working Age")</f>
        <v>Children and Young Adolescents</v>
      </c>
      <c r="J1977" s="6">
        <f>VLOOKUP(F1977,Analysis!$F$1:$G$5,2,FALSE)</f>
        <v>2440.2966694490838</v>
      </c>
      <c r="K1977">
        <f t="shared" si="120"/>
        <v>5258.56</v>
      </c>
      <c r="L1977">
        <f t="shared" si="121"/>
        <v>5258.5700000000006</v>
      </c>
      <c r="M1977">
        <f t="shared" si="122"/>
        <v>5258.56</v>
      </c>
      <c r="N1977" s="5" t="str">
        <f t="shared" si="123"/>
        <v>October 2022</v>
      </c>
    </row>
    <row r="1978" spans="1:14" x14ac:dyDescent="0.25">
      <c r="A1978" s="1">
        <v>44850</v>
      </c>
      <c r="B1978" t="s">
        <v>2437</v>
      </c>
      <c r="C1978">
        <v>60</v>
      </c>
      <c r="D1978" t="s">
        <v>9</v>
      </c>
      <c r="E1978" t="s">
        <v>10</v>
      </c>
      <c r="F1978" t="s">
        <v>11</v>
      </c>
      <c r="G1978" t="s">
        <v>27</v>
      </c>
      <c r="H1978">
        <v>4095.03</v>
      </c>
      <c r="I1978" s="8" t="str" cm="1">
        <f t="array" ref="I1978">_xlfn.IFS(C1978&lt;=15,"Children and Young Adolescents", C1978&gt;64, "Seniors", TRUE, "Working Age")</f>
        <v>Working Age</v>
      </c>
      <c r="J1978" s="6">
        <f>VLOOKUP(F1978,Analysis!$F$1:$G$5,2,FALSE)</f>
        <v>2503.6022787783854</v>
      </c>
      <c r="K1978">
        <f t="shared" si="120"/>
        <v>4504.53</v>
      </c>
      <c r="L1978">
        <f t="shared" si="121"/>
        <v>4504.54</v>
      </c>
      <c r="M1978">
        <f t="shared" si="122"/>
        <v>4504.53</v>
      </c>
      <c r="N1978" s="5" t="str">
        <f t="shared" si="123"/>
        <v>October 2022</v>
      </c>
    </row>
    <row r="1979" spans="1:14" x14ac:dyDescent="0.25">
      <c r="A1979" s="1">
        <v>44850</v>
      </c>
      <c r="B1979" t="s">
        <v>4565</v>
      </c>
      <c r="C1979">
        <v>71</v>
      </c>
      <c r="D1979" t="s">
        <v>14</v>
      </c>
      <c r="E1979" t="s">
        <v>19</v>
      </c>
      <c r="F1979" t="s">
        <v>16</v>
      </c>
      <c r="G1979" t="s">
        <v>39</v>
      </c>
      <c r="H1979">
        <v>21.3</v>
      </c>
      <c r="I1979" s="8" t="str" cm="1">
        <f t="array" ref="I1979">_xlfn.IFS(C1979&lt;=15,"Children and Young Adolescents", C1979&gt;64, "Seniors", TRUE, "Working Age")</f>
        <v>Seniors</v>
      </c>
      <c r="J1979" s="6">
        <f>VLOOKUP(F1979,Analysis!$F$1:$G$5,2,FALSE)</f>
        <v>2509.1716796874912</v>
      </c>
      <c r="K1979">
        <f t="shared" si="120"/>
        <v>23.43</v>
      </c>
      <c r="L1979">
        <f t="shared" si="121"/>
        <v>23.43</v>
      </c>
      <c r="M1979">
        <f t="shared" si="122"/>
        <v>23.43</v>
      </c>
      <c r="N1979" s="5" t="str">
        <f t="shared" si="123"/>
        <v>October 2022</v>
      </c>
    </row>
    <row r="1980" spans="1:14" x14ac:dyDescent="0.25">
      <c r="A1980" s="1">
        <v>44851</v>
      </c>
      <c r="B1980" t="s">
        <v>949</v>
      </c>
      <c r="C1980">
        <v>44</v>
      </c>
      <c r="D1980" t="s">
        <v>9</v>
      </c>
      <c r="E1980" t="s">
        <v>15</v>
      </c>
      <c r="F1980" t="s">
        <v>11</v>
      </c>
      <c r="G1980" t="s">
        <v>39</v>
      </c>
      <c r="H1980">
        <v>1970.59</v>
      </c>
      <c r="I1980" s="8" t="str" cm="1">
        <f t="array" ref="I1980">_xlfn.IFS(C1980&lt;=15,"Children and Young Adolescents", C1980&gt;64, "Seniors", TRUE, "Working Age")</f>
        <v>Working Age</v>
      </c>
      <c r="J1980" s="6">
        <f>VLOOKUP(F1980,Analysis!$F$1:$G$5,2,FALSE)</f>
        <v>2503.6022787783854</v>
      </c>
      <c r="K1980">
        <f t="shared" si="120"/>
        <v>2167.64</v>
      </c>
      <c r="L1980">
        <f t="shared" si="121"/>
        <v>2167.65</v>
      </c>
      <c r="M1980">
        <f t="shared" si="122"/>
        <v>2167.65</v>
      </c>
      <c r="N1980" s="5" t="str">
        <f t="shared" si="123"/>
        <v>October 2022</v>
      </c>
    </row>
    <row r="1981" spans="1:14" x14ac:dyDescent="0.25">
      <c r="A1981" s="1">
        <v>44851</v>
      </c>
      <c r="B1981" t="s">
        <v>273</v>
      </c>
      <c r="C1981">
        <v>0</v>
      </c>
      <c r="D1981" t="s">
        <v>14</v>
      </c>
      <c r="E1981" t="s">
        <v>32</v>
      </c>
      <c r="F1981" t="s">
        <v>16</v>
      </c>
      <c r="G1981" t="s">
        <v>17</v>
      </c>
      <c r="H1981">
        <v>3819.71</v>
      </c>
      <c r="I1981" s="8" t="str" cm="1">
        <f t="array" ref="I1981">_xlfn.IFS(C1981&lt;=15,"Children and Young Adolescents", C1981&gt;64, "Seniors", TRUE, "Working Age")</f>
        <v>Children and Young Adolescents</v>
      </c>
      <c r="J1981" s="6">
        <f>VLOOKUP(F1981,Analysis!$F$1:$G$5,2,FALSE)</f>
        <v>2509.1716796874912</v>
      </c>
      <c r="K1981">
        <f t="shared" si="120"/>
        <v>4201.68</v>
      </c>
      <c r="L1981">
        <f t="shared" si="121"/>
        <v>4201.6900000000005</v>
      </c>
      <c r="M1981">
        <f t="shared" si="122"/>
        <v>4201.68</v>
      </c>
      <c r="N1981" s="5" t="str">
        <f t="shared" si="123"/>
        <v>October 2022</v>
      </c>
    </row>
    <row r="1982" spans="1:14" x14ac:dyDescent="0.25">
      <c r="A1982" s="1">
        <v>44851</v>
      </c>
      <c r="B1982" t="s">
        <v>70</v>
      </c>
      <c r="C1982">
        <v>17</v>
      </c>
      <c r="D1982" t="s">
        <v>9</v>
      </c>
      <c r="E1982" t="s">
        <v>25</v>
      </c>
      <c r="F1982" t="s">
        <v>29</v>
      </c>
      <c r="G1982" t="s">
        <v>27</v>
      </c>
      <c r="H1982">
        <v>1386.6</v>
      </c>
      <c r="I1982" s="8" t="str" cm="1">
        <f t="array" ref="I1982">_xlfn.IFS(C1982&lt;=15,"Children and Young Adolescents", C1982&gt;64, "Seniors", TRUE, "Working Age")</f>
        <v>Working Age</v>
      </c>
      <c r="J1982" s="6">
        <f>VLOOKUP(F1982,Analysis!$F$1:$G$5,2,FALSE)</f>
        <v>2496.7676064256989</v>
      </c>
      <c r="K1982">
        <f t="shared" si="120"/>
        <v>1525.26</v>
      </c>
      <c r="L1982">
        <f t="shared" si="121"/>
        <v>1525.26</v>
      </c>
      <c r="M1982">
        <f t="shared" si="122"/>
        <v>1525.26</v>
      </c>
      <c r="N1982" s="5" t="str">
        <f t="shared" si="123"/>
        <v>October 2022</v>
      </c>
    </row>
    <row r="1983" spans="1:14" x14ac:dyDescent="0.25">
      <c r="A1983" s="1">
        <v>44851</v>
      </c>
      <c r="B1983" t="s">
        <v>3074</v>
      </c>
      <c r="C1983">
        <v>45</v>
      </c>
      <c r="D1983" t="s">
        <v>21</v>
      </c>
      <c r="E1983" t="s">
        <v>32</v>
      </c>
      <c r="F1983" t="s">
        <v>23</v>
      </c>
      <c r="G1983" t="s">
        <v>36</v>
      </c>
      <c r="H1983">
        <v>3818.98</v>
      </c>
      <c r="I1983" s="8" t="str" cm="1">
        <f t="array" ref="I1983">_xlfn.IFS(C1983&lt;=15,"Children and Young Adolescents", C1983&gt;64, "Seniors", TRUE, "Working Age")</f>
        <v>Working Age</v>
      </c>
      <c r="J1983" s="6">
        <f>VLOOKUP(F1983,Analysis!$F$1:$G$5,2,FALSE)</f>
        <v>2440.2966694490838</v>
      </c>
      <c r="K1983">
        <f t="shared" si="120"/>
        <v>4200.87</v>
      </c>
      <c r="L1983">
        <f t="shared" si="121"/>
        <v>4200.88</v>
      </c>
      <c r="M1983">
        <f t="shared" si="122"/>
        <v>4200.88</v>
      </c>
      <c r="N1983" s="5" t="str">
        <f t="shared" si="123"/>
        <v>October 2022</v>
      </c>
    </row>
    <row r="1984" spans="1:14" x14ac:dyDescent="0.25">
      <c r="A1984" s="1">
        <v>44851</v>
      </c>
      <c r="B1984" t="s">
        <v>2053</v>
      </c>
      <c r="C1984">
        <v>12</v>
      </c>
      <c r="D1984" t="s">
        <v>9</v>
      </c>
      <c r="E1984" t="s">
        <v>15</v>
      </c>
      <c r="F1984" t="s">
        <v>23</v>
      </c>
      <c r="G1984" t="s">
        <v>12</v>
      </c>
      <c r="H1984">
        <v>2345.37</v>
      </c>
      <c r="I1984" s="8" t="str" cm="1">
        <f t="array" ref="I1984">_xlfn.IFS(C1984&lt;=15,"Children and Young Adolescents", C1984&gt;64, "Seniors", TRUE, "Working Age")</f>
        <v>Children and Young Adolescents</v>
      </c>
      <c r="J1984" s="6">
        <f>VLOOKUP(F1984,Analysis!$F$1:$G$5,2,FALSE)</f>
        <v>2440.2966694490838</v>
      </c>
      <c r="K1984">
        <f t="shared" si="120"/>
        <v>2579.9</v>
      </c>
      <c r="L1984">
        <f t="shared" si="121"/>
        <v>2579.9100000000003</v>
      </c>
      <c r="M1984">
        <f t="shared" si="122"/>
        <v>2579.91</v>
      </c>
      <c r="N1984" s="5" t="str">
        <f t="shared" si="123"/>
        <v>October 2022</v>
      </c>
    </row>
    <row r="1985" spans="1:14" x14ac:dyDescent="0.25">
      <c r="A1985" s="1">
        <v>44851</v>
      </c>
      <c r="B1985" t="s">
        <v>3239</v>
      </c>
      <c r="C1985">
        <v>7</v>
      </c>
      <c r="D1985" t="s">
        <v>9</v>
      </c>
      <c r="E1985" t="s">
        <v>15</v>
      </c>
      <c r="F1985" t="s">
        <v>16</v>
      </c>
      <c r="G1985" t="s">
        <v>5033</v>
      </c>
      <c r="H1985">
        <v>4629.34</v>
      </c>
      <c r="I1985" s="8" t="str" cm="1">
        <f t="array" ref="I1985">_xlfn.IFS(C1985&lt;=15,"Children and Young Adolescents", C1985&gt;64, "Seniors", TRUE, "Working Age")</f>
        <v>Children and Young Adolescents</v>
      </c>
      <c r="J1985" s="6">
        <f>VLOOKUP(F1985,Analysis!$F$1:$G$5,2,FALSE)</f>
        <v>2509.1716796874912</v>
      </c>
      <c r="K1985">
        <f t="shared" si="120"/>
        <v>5092.2700000000004</v>
      </c>
      <c r="L1985">
        <f t="shared" si="121"/>
        <v>5092.2800000000007</v>
      </c>
      <c r="M1985">
        <f t="shared" si="122"/>
        <v>5092.2700000000004</v>
      </c>
      <c r="N1985" s="5" t="str">
        <f t="shared" si="123"/>
        <v>October 2022</v>
      </c>
    </row>
    <row r="1986" spans="1:14" x14ac:dyDescent="0.25">
      <c r="A1986" s="1">
        <v>44851</v>
      </c>
      <c r="B1986" t="s">
        <v>871</v>
      </c>
      <c r="C1986">
        <v>24</v>
      </c>
      <c r="D1986" t="s">
        <v>14</v>
      </c>
      <c r="E1986" t="s">
        <v>25</v>
      </c>
      <c r="F1986" t="s">
        <v>23</v>
      </c>
      <c r="G1986" t="s">
        <v>36</v>
      </c>
      <c r="H1986">
        <v>4924.17</v>
      </c>
      <c r="I1986" s="8" t="str" cm="1">
        <f t="array" ref="I1986">_xlfn.IFS(C1986&lt;=15,"Children and Young Adolescents", C1986&gt;64, "Seniors", TRUE, "Working Age")</f>
        <v>Working Age</v>
      </c>
      <c r="J1986" s="6">
        <f>VLOOKUP(F1986,Analysis!$F$1:$G$5,2,FALSE)</f>
        <v>2440.2966694490838</v>
      </c>
      <c r="K1986">
        <f t="shared" si="120"/>
        <v>5416.58</v>
      </c>
      <c r="L1986">
        <f t="shared" si="121"/>
        <v>5416.59</v>
      </c>
      <c r="M1986">
        <f t="shared" si="122"/>
        <v>5416.59</v>
      </c>
      <c r="N1986" s="5" t="str">
        <f t="shared" si="123"/>
        <v>October 2022</v>
      </c>
    </row>
    <row r="1987" spans="1:14" x14ac:dyDescent="0.25">
      <c r="A1987" s="1">
        <v>44851</v>
      </c>
      <c r="B1987" t="s">
        <v>419</v>
      </c>
      <c r="C1987">
        <v>9</v>
      </c>
      <c r="D1987" t="s">
        <v>21</v>
      </c>
      <c r="E1987" t="s">
        <v>22</v>
      </c>
      <c r="F1987" t="s">
        <v>29</v>
      </c>
      <c r="G1987" t="s">
        <v>27</v>
      </c>
      <c r="H1987">
        <v>4105.5200000000004</v>
      </c>
      <c r="I1987" s="8" t="str" cm="1">
        <f t="array" ref="I1987">_xlfn.IFS(C1987&lt;=15,"Children and Young Adolescents", C1987&gt;64, "Seniors", TRUE, "Working Age")</f>
        <v>Children and Young Adolescents</v>
      </c>
      <c r="J1987" s="6">
        <f>VLOOKUP(F1987,Analysis!$F$1:$G$5,2,FALSE)</f>
        <v>2496.7676064256989</v>
      </c>
      <c r="K1987">
        <f t="shared" ref="K1987:K2050" si="124">ROUNDDOWN(H1987*1.1,2)</f>
        <v>4516.07</v>
      </c>
      <c r="L1987">
        <f t="shared" ref="L1987:L2050" si="125">ROUNDUP(H1987*1.1,2)</f>
        <v>4516.08</v>
      </c>
      <c r="M1987">
        <f t="shared" ref="M1987:M2050" si="126">ROUND(H1987*1.1,2)</f>
        <v>4516.07</v>
      </c>
      <c r="N1987" s="5" t="str">
        <f t="shared" ref="N1987:N2050" si="127">TEXT(A1987,"mmmm yyyy")</f>
        <v>October 2022</v>
      </c>
    </row>
    <row r="1988" spans="1:14" x14ac:dyDescent="0.25">
      <c r="A1988" s="1">
        <v>44851</v>
      </c>
      <c r="B1988" t="s">
        <v>1784</v>
      </c>
      <c r="C1988">
        <v>80</v>
      </c>
      <c r="D1988" t="s">
        <v>14</v>
      </c>
      <c r="E1988" t="s">
        <v>19</v>
      </c>
      <c r="F1988" t="s">
        <v>11</v>
      </c>
      <c r="G1988" t="s">
        <v>39</v>
      </c>
      <c r="H1988">
        <v>3624.94</v>
      </c>
      <c r="I1988" s="8" t="str" cm="1">
        <f t="array" ref="I1988">_xlfn.IFS(C1988&lt;=15,"Children and Young Adolescents", C1988&gt;64, "Seniors", TRUE, "Working Age")</f>
        <v>Seniors</v>
      </c>
      <c r="J1988" s="6">
        <f>VLOOKUP(F1988,Analysis!$F$1:$G$5,2,FALSE)</f>
        <v>2503.6022787783854</v>
      </c>
      <c r="K1988">
        <f t="shared" si="124"/>
        <v>3987.43</v>
      </c>
      <c r="L1988">
        <f t="shared" si="125"/>
        <v>3987.44</v>
      </c>
      <c r="M1988">
        <f t="shared" si="126"/>
        <v>3987.43</v>
      </c>
      <c r="N1988" s="5" t="str">
        <f t="shared" si="127"/>
        <v>October 2022</v>
      </c>
    </row>
    <row r="1989" spans="1:14" x14ac:dyDescent="0.25">
      <c r="A1989" s="1">
        <v>44852</v>
      </c>
      <c r="B1989" t="s">
        <v>3974</v>
      </c>
      <c r="C1989">
        <v>59</v>
      </c>
      <c r="D1989" t="s">
        <v>14</v>
      </c>
      <c r="E1989" t="s">
        <v>10</v>
      </c>
      <c r="F1989" t="s">
        <v>16</v>
      </c>
      <c r="G1989" t="s">
        <v>27</v>
      </c>
      <c r="H1989">
        <v>4452.08</v>
      </c>
      <c r="I1989" s="8" t="str" cm="1">
        <f t="array" ref="I1989">_xlfn.IFS(C1989&lt;=15,"Children and Young Adolescents", C1989&gt;64, "Seniors", TRUE, "Working Age")</f>
        <v>Working Age</v>
      </c>
      <c r="J1989" s="6">
        <f>VLOOKUP(F1989,Analysis!$F$1:$G$5,2,FALSE)</f>
        <v>2509.1716796874912</v>
      </c>
      <c r="K1989">
        <f t="shared" si="124"/>
        <v>4897.28</v>
      </c>
      <c r="L1989">
        <f t="shared" si="125"/>
        <v>4897.29</v>
      </c>
      <c r="M1989">
        <f t="shared" si="126"/>
        <v>4897.29</v>
      </c>
      <c r="N1989" s="5" t="str">
        <f t="shared" si="127"/>
        <v>October 2022</v>
      </c>
    </row>
    <row r="1990" spans="1:14" x14ac:dyDescent="0.25">
      <c r="A1990" s="1">
        <v>44852</v>
      </c>
      <c r="B1990" t="s">
        <v>3675</v>
      </c>
      <c r="C1990">
        <v>58</v>
      </c>
      <c r="D1990" t="s">
        <v>14</v>
      </c>
      <c r="E1990" t="s">
        <v>15</v>
      </c>
      <c r="F1990" t="s">
        <v>16</v>
      </c>
      <c r="G1990" t="s">
        <v>12</v>
      </c>
      <c r="H1990">
        <v>838.09</v>
      </c>
      <c r="I1990" s="8" t="str" cm="1">
        <f t="array" ref="I1990">_xlfn.IFS(C1990&lt;=15,"Children and Young Adolescents", C1990&gt;64, "Seniors", TRUE, "Working Age")</f>
        <v>Working Age</v>
      </c>
      <c r="J1990" s="6">
        <f>VLOOKUP(F1990,Analysis!$F$1:$G$5,2,FALSE)</f>
        <v>2509.1716796874912</v>
      </c>
      <c r="K1990">
        <f t="shared" si="124"/>
        <v>921.89</v>
      </c>
      <c r="L1990">
        <f t="shared" si="125"/>
        <v>921.9</v>
      </c>
      <c r="M1990">
        <f t="shared" si="126"/>
        <v>921.9</v>
      </c>
      <c r="N1990" s="5" t="str">
        <f t="shared" si="127"/>
        <v>October 2022</v>
      </c>
    </row>
    <row r="1991" spans="1:14" x14ac:dyDescent="0.25">
      <c r="A1991" s="1">
        <v>44852</v>
      </c>
      <c r="B1991" t="s">
        <v>4960</v>
      </c>
      <c r="C1991">
        <v>45</v>
      </c>
      <c r="D1991" t="s">
        <v>21</v>
      </c>
      <c r="E1991" t="s">
        <v>10</v>
      </c>
      <c r="F1991" t="s">
        <v>11</v>
      </c>
      <c r="G1991" t="s">
        <v>12</v>
      </c>
      <c r="H1991">
        <v>2007.7</v>
      </c>
      <c r="I1991" s="8" t="str" cm="1">
        <f t="array" ref="I1991">_xlfn.IFS(C1991&lt;=15,"Children and Young Adolescents", C1991&gt;64, "Seniors", TRUE, "Working Age")</f>
        <v>Working Age</v>
      </c>
      <c r="J1991" s="6">
        <f>VLOOKUP(F1991,Analysis!$F$1:$G$5,2,FALSE)</f>
        <v>2503.6022787783854</v>
      </c>
      <c r="K1991">
        <f t="shared" si="124"/>
        <v>2208.4699999999998</v>
      </c>
      <c r="L1991">
        <f t="shared" si="125"/>
        <v>2208.4699999999998</v>
      </c>
      <c r="M1991">
        <f t="shared" si="126"/>
        <v>2208.4699999999998</v>
      </c>
      <c r="N1991" s="5" t="str">
        <f t="shared" si="127"/>
        <v>October 2022</v>
      </c>
    </row>
    <row r="1992" spans="1:14" x14ac:dyDescent="0.25">
      <c r="A1992" s="1">
        <v>44852</v>
      </c>
      <c r="B1992" t="s">
        <v>2587</v>
      </c>
      <c r="C1992">
        <v>12</v>
      </c>
      <c r="D1992" t="s">
        <v>9</v>
      </c>
      <c r="E1992" t="s">
        <v>19</v>
      </c>
      <c r="F1992" t="s">
        <v>29</v>
      </c>
      <c r="G1992" t="s">
        <v>17</v>
      </c>
      <c r="H1992">
        <v>526.20000000000005</v>
      </c>
      <c r="I1992" s="8" t="str" cm="1">
        <f t="array" ref="I1992">_xlfn.IFS(C1992&lt;=15,"Children and Young Adolescents", C1992&gt;64, "Seniors", TRUE, "Working Age")</f>
        <v>Children and Young Adolescents</v>
      </c>
      <c r="J1992" s="6">
        <f>VLOOKUP(F1992,Analysis!$F$1:$G$5,2,FALSE)</f>
        <v>2496.7676064256989</v>
      </c>
      <c r="K1992">
        <f t="shared" si="124"/>
        <v>578.82000000000005</v>
      </c>
      <c r="L1992">
        <f t="shared" si="125"/>
        <v>578.82000000000005</v>
      </c>
      <c r="M1992">
        <f t="shared" si="126"/>
        <v>578.82000000000005</v>
      </c>
      <c r="N1992" s="5" t="str">
        <f t="shared" si="127"/>
        <v>October 2022</v>
      </c>
    </row>
    <row r="1993" spans="1:14" x14ac:dyDescent="0.25">
      <c r="A1993" s="1">
        <v>44852</v>
      </c>
      <c r="B1993" t="s">
        <v>4472</v>
      </c>
      <c r="C1993">
        <v>44</v>
      </c>
      <c r="D1993" t="s">
        <v>9</v>
      </c>
      <c r="E1993" t="s">
        <v>34</v>
      </c>
      <c r="F1993" t="s">
        <v>29</v>
      </c>
      <c r="G1993" t="s">
        <v>39</v>
      </c>
      <c r="H1993">
        <v>3131.93</v>
      </c>
      <c r="I1993" s="8" t="str" cm="1">
        <f t="array" ref="I1993">_xlfn.IFS(C1993&lt;=15,"Children and Young Adolescents", C1993&gt;64, "Seniors", TRUE, "Working Age")</f>
        <v>Working Age</v>
      </c>
      <c r="J1993" s="6">
        <f>VLOOKUP(F1993,Analysis!$F$1:$G$5,2,FALSE)</f>
        <v>2496.7676064256989</v>
      </c>
      <c r="K1993">
        <f t="shared" si="124"/>
        <v>3445.12</v>
      </c>
      <c r="L1993">
        <f t="shared" si="125"/>
        <v>3445.13</v>
      </c>
      <c r="M1993">
        <f t="shared" si="126"/>
        <v>3445.12</v>
      </c>
      <c r="N1993" s="5" t="str">
        <f t="shared" si="127"/>
        <v>October 2022</v>
      </c>
    </row>
    <row r="1994" spans="1:14" x14ac:dyDescent="0.25">
      <c r="A1994" s="1">
        <v>44853</v>
      </c>
      <c r="B1994" t="s">
        <v>3670</v>
      </c>
      <c r="C1994">
        <v>21</v>
      </c>
      <c r="D1994" t="s">
        <v>21</v>
      </c>
      <c r="E1994" t="s">
        <v>10</v>
      </c>
      <c r="F1994" t="s">
        <v>11</v>
      </c>
      <c r="G1994" t="s">
        <v>12</v>
      </c>
      <c r="H1994">
        <v>3214.7</v>
      </c>
      <c r="I1994" s="8" t="str" cm="1">
        <f t="array" ref="I1994">_xlfn.IFS(C1994&lt;=15,"Children and Young Adolescents", C1994&gt;64, "Seniors", TRUE, "Working Age")</f>
        <v>Working Age</v>
      </c>
      <c r="J1994" s="6">
        <f>VLOOKUP(F1994,Analysis!$F$1:$G$5,2,FALSE)</f>
        <v>2503.6022787783854</v>
      </c>
      <c r="K1994">
        <f t="shared" si="124"/>
        <v>3536.17</v>
      </c>
      <c r="L1994">
        <f t="shared" si="125"/>
        <v>3536.17</v>
      </c>
      <c r="M1994">
        <f t="shared" si="126"/>
        <v>3536.17</v>
      </c>
      <c r="N1994" s="5" t="str">
        <f t="shared" si="127"/>
        <v>October 2022</v>
      </c>
    </row>
    <row r="1995" spans="1:14" x14ac:dyDescent="0.25">
      <c r="A1995" s="1">
        <v>44853</v>
      </c>
      <c r="B1995" t="s">
        <v>2203</v>
      </c>
      <c r="C1995">
        <v>59</v>
      </c>
      <c r="D1995" t="s">
        <v>14</v>
      </c>
      <c r="E1995" t="s">
        <v>32</v>
      </c>
      <c r="F1995" t="s">
        <v>16</v>
      </c>
      <c r="G1995" t="s">
        <v>39</v>
      </c>
      <c r="H1995">
        <v>4466.78</v>
      </c>
      <c r="I1995" s="8" t="str" cm="1">
        <f t="array" ref="I1995">_xlfn.IFS(C1995&lt;=15,"Children and Young Adolescents", C1995&gt;64, "Seniors", TRUE, "Working Age")</f>
        <v>Working Age</v>
      </c>
      <c r="J1995" s="6">
        <f>VLOOKUP(F1995,Analysis!$F$1:$G$5,2,FALSE)</f>
        <v>2509.1716796874912</v>
      </c>
      <c r="K1995">
        <f t="shared" si="124"/>
        <v>4913.45</v>
      </c>
      <c r="L1995">
        <f t="shared" si="125"/>
        <v>4913.46</v>
      </c>
      <c r="M1995">
        <f t="shared" si="126"/>
        <v>4913.46</v>
      </c>
      <c r="N1995" s="5" t="str">
        <f t="shared" si="127"/>
        <v>October 2022</v>
      </c>
    </row>
    <row r="1996" spans="1:14" x14ac:dyDescent="0.25">
      <c r="A1996" s="1">
        <v>44853</v>
      </c>
      <c r="B1996" t="s">
        <v>1581</v>
      </c>
      <c r="C1996">
        <v>51</v>
      </c>
      <c r="D1996" t="s">
        <v>21</v>
      </c>
      <c r="E1996" t="s">
        <v>15</v>
      </c>
      <c r="F1996" t="s">
        <v>29</v>
      </c>
      <c r="G1996" t="s">
        <v>17</v>
      </c>
      <c r="H1996">
        <v>1685.69</v>
      </c>
      <c r="I1996" s="8" t="str" cm="1">
        <f t="array" ref="I1996">_xlfn.IFS(C1996&lt;=15,"Children and Young Adolescents", C1996&gt;64, "Seniors", TRUE, "Working Age")</f>
        <v>Working Age</v>
      </c>
      <c r="J1996" s="6">
        <f>VLOOKUP(F1996,Analysis!$F$1:$G$5,2,FALSE)</f>
        <v>2496.7676064256989</v>
      </c>
      <c r="K1996">
        <f t="shared" si="124"/>
        <v>1854.25</v>
      </c>
      <c r="L1996">
        <f t="shared" si="125"/>
        <v>1854.26</v>
      </c>
      <c r="M1996">
        <f t="shared" si="126"/>
        <v>1854.26</v>
      </c>
      <c r="N1996" s="5" t="str">
        <f t="shared" si="127"/>
        <v>October 2022</v>
      </c>
    </row>
    <row r="1997" spans="1:14" x14ac:dyDescent="0.25">
      <c r="A1997" s="1">
        <v>44853</v>
      </c>
      <c r="B1997" t="s">
        <v>351</v>
      </c>
      <c r="C1997">
        <v>6</v>
      </c>
      <c r="D1997" t="s">
        <v>21</v>
      </c>
      <c r="E1997" t="s">
        <v>34</v>
      </c>
      <c r="F1997" t="s">
        <v>11</v>
      </c>
      <c r="G1997" t="s">
        <v>27</v>
      </c>
      <c r="H1997">
        <v>156.96</v>
      </c>
      <c r="I1997" s="8" t="str" cm="1">
        <f t="array" ref="I1997">_xlfn.IFS(C1997&lt;=15,"Children and Young Adolescents", C1997&gt;64, "Seniors", TRUE, "Working Age")</f>
        <v>Children and Young Adolescents</v>
      </c>
      <c r="J1997" s="6">
        <f>VLOOKUP(F1997,Analysis!$F$1:$G$5,2,FALSE)</f>
        <v>2503.6022787783854</v>
      </c>
      <c r="K1997">
        <f t="shared" si="124"/>
        <v>172.65</v>
      </c>
      <c r="L1997">
        <f t="shared" si="125"/>
        <v>172.66</v>
      </c>
      <c r="M1997">
        <f t="shared" si="126"/>
        <v>172.66</v>
      </c>
      <c r="N1997" s="5" t="str">
        <f t="shared" si="127"/>
        <v>October 2022</v>
      </c>
    </row>
    <row r="1998" spans="1:14" x14ac:dyDescent="0.25">
      <c r="A1998" s="1">
        <v>44853</v>
      </c>
      <c r="B1998" t="s">
        <v>2848</v>
      </c>
      <c r="C1998">
        <v>57</v>
      </c>
      <c r="D1998" t="s">
        <v>14</v>
      </c>
      <c r="E1998" t="s">
        <v>25</v>
      </c>
      <c r="F1998" t="s">
        <v>11</v>
      </c>
      <c r="G1998" t="s">
        <v>39</v>
      </c>
      <c r="H1998">
        <v>2432.59</v>
      </c>
      <c r="I1998" s="8" t="str" cm="1">
        <f t="array" ref="I1998">_xlfn.IFS(C1998&lt;=15,"Children and Young Adolescents", C1998&gt;64, "Seniors", TRUE, "Working Age")</f>
        <v>Working Age</v>
      </c>
      <c r="J1998" s="6">
        <f>VLOOKUP(F1998,Analysis!$F$1:$G$5,2,FALSE)</f>
        <v>2503.6022787783854</v>
      </c>
      <c r="K1998">
        <f t="shared" si="124"/>
        <v>2675.84</v>
      </c>
      <c r="L1998">
        <f t="shared" si="125"/>
        <v>2675.8500000000004</v>
      </c>
      <c r="M1998">
        <f t="shared" si="126"/>
        <v>2675.85</v>
      </c>
      <c r="N1998" s="5" t="str">
        <f t="shared" si="127"/>
        <v>October 2022</v>
      </c>
    </row>
    <row r="1999" spans="1:14" x14ac:dyDescent="0.25">
      <c r="A1999" s="1">
        <v>44853</v>
      </c>
      <c r="B1999" t="s">
        <v>2819</v>
      </c>
      <c r="C1999">
        <v>39</v>
      </c>
      <c r="D1999" t="s">
        <v>9</v>
      </c>
      <c r="E1999" t="s">
        <v>34</v>
      </c>
      <c r="F1999" t="s">
        <v>29</v>
      </c>
      <c r="G1999" t="s">
        <v>39</v>
      </c>
      <c r="H1999">
        <v>2460.64</v>
      </c>
      <c r="I1999" s="8" t="str" cm="1">
        <f t="array" ref="I1999">_xlfn.IFS(C1999&lt;=15,"Children and Young Adolescents", C1999&gt;64, "Seniors", TRUE, "Working Age")</f>
        <v>Working Age</v>
      </c>
      <c r="J1999" s="6">
        <f>VLOOKUP(F1999,Analysis!$F$1:$G$5,2,FALSE)</f>
        <v>2496.7676064256989</v>
      </c>
      <c r="K1999">
        <f t="shared" si="124"/>
        <v>2706.7</v>
      </c>
      <c r="L1999">
        <f t="shared" si="125"/>
        <v>2706.71</v>
      </c>
      <c r="M1999">
        <f t="shared" si="126"/>
        <v>2706.7</v>
      </c>
      <c r="N1999" s="5" t="str">
        <f t="shared" si="127"/>
        <v>October 2022</v>
      </c>
    </row>
    <row r="2000" spans="1:14" x14ac:dyDescent="0.25">
      <c r="A2000" s="1">
        <v>44853</v>
      </c>
      <c r="B2000" t="s">
        <v>4479</v>
      </c>
      <c r="C2000">
        <v>22</v>
      </c>
      <c r="D2000" t="s">
        <v>14</v>
      </c>
      <c r="E2000" t="s">
        <v>10</v>
      </c>
      <c r="F2000" t="s">
        <v>16</v>
      </c>
      <c r="G2000" t="s">
        <v>27</v>
      </c>
      <c r="H2000">
        <v>3794.67</v>
      </c>
      <c r="I2000" s="8" t="str" cm="1">
        <f t="array" ref="I2000">_xlfn.IFS(C2000&lt;=15,"Children and Young Adolescents", C2000&gt;64, "Seniors", TRUE, "Working Age")</f>
        <v>Working Age</v>
      </c>
      <c r="J2000" s="6">
        <f>VLOOKUP(F2000,Analysis!$F$1:$G$5,2,FALSE)</f>
        <v>2509.1716796874912</v>
      </c>
      <c r="K2000">
        <f t="shared" si="124"/>
        <v>4174.13</v>
      </c>
      <c r="L2000">
        <f t="shared" si="125"/>
        <v>4174.1400000000003</v>
      </c>
      <c r="M2000">
        <f t="shared" si="126"/>
        <v>4174.1400000000003</v>
      </c>
      <c r="N2000" s="5" t="str">
        <f t="shared" si="127"/>
        <v>October 2022</v>
      </c>
    </row>
    <row r="2001" spans="1:14" x14ac:dyDescent="0.25">
      <c r="A2001" s="1">
        <v>44853</v>
      </c>
      <c r="B2001" t="s">
        <v>2999</v>
      </c>
      <c r="C2001">
        <v>58</v>
      </c>
      <c r="D2001" t="s">
        <v>21</v>
      </c>
      <c r="E2001" t="s">
        <v>25</v>
      </c>
      <c r="F2001" t="s">
        <v>11</v>
      </c>
      <c r="G2001" t="s">
        <v>17</v>
      </c>
      <c r="H2001">
        <v>1973.01</v>
      </c>
      <c r="I2001" s="8" t="str" cm="1">
        <f t="array" ref="I2001">_xlfn.IFS(C2001&lt;=15,"Children and Young Adolescents", C2001&gt;64, "Seniors", TRUE, "Working Age")</f>
        <v>Working Age</v>
      </c>
      <c r="J2001" s="6">
        <f>VLOOKUP(F2001,Analysis!$F$1:$G$5,2,FALSE)</f>
        <v>2503.6022787783854</v>
      </c>
      <c r="K2001">
        <f t="shared" si="124"/>
        <v>2170.31</v>
      </c>
      <c r="L2001">
        <f t="shared" si="125"/>
        <v>2170.3200000000002</v>
      </c>
      <c r="M2001">
        <f t="shared" si="126"/>
        <v>2170.31</v>
      </c>
      <c r="N2001" s="5" t="str">
        <f t="shared" si="127"/>
        <v>October 2022</v>
      </c>
    </row>
    <row r="2002" spans="1:14" x14ac:dyDescent="0.25">
      <c r="A2002" s="1">
        <v>44853</v>
      </c>
      <c r="B2002" t="s">
        <v>4987</v>
      </c>
      <c r="C2002">
        <v>51</v>
      </c>
      <c r="D2002" t="s">
        <v>14</v>
      </c>
      <c r="E2002" t="s">
        <v>34</v>
      </c>
      <c r="F2002" t="s">
        <v>11</v>
      </c>
      <c r="G2002" t="s">
        <v>39</v>
      </c>
      <c r="H2002">
        <v>711.7</v>
      </c>
      <c r="I2002" s="8" t="str" cm="1">
        <f t="array" ref="I2002">_xlfn.IFS(C2002&lt;=15,"Children and Young Adolescents", C2002&gt;64, "Seniors", TRUE, "Working Age")</f>
        <v>Working Age</v>
      </c>
      <c r="J2002" s="6">
        <f>VLOOKUP(F2002,Analysis!$F$1:$G$5,2,FALSE)</f>
        <v>2503.6022787783854</v>
      </c>
      <c r="K2002">
        <f t="shared" si="124"/>
        <v>782.87</v>
      </c>
      <c r="L2002">
        <f t="shared" si="125"/>
        <v>782.87</v>
      </c>
      <c r="M2002">
        <f t="shared" si="126"/>
        <v>782.87</v>
      </c>
      <c r="N2002" s="5" t="str">
        <f t="shared" si="127"/>
        <v>October 2022</v>
      </c>
    </row>
    <row r="2003" spans="1:14" x14ac:dyDescent="0.25">
      <c r="A2003" s="1">
        <v>44854</v>
      </c>
      <c r="B2003" t="s">
        <v>3271</v>
      </c>
      <c r="C2003">
        <v>73</v>
      </c>
      <c r="D2003" t="s">
        <v>9</v>
      </c>
      <c r="E2003" t="s">
        <v>15</v>
      </c>
      <c r="F2003" t="s">
        <v>23</v>
      </c>
      <c r="G2003" t="s">
        <v>12</v>
      </c>
      <c r="H2003">
        <v>1275.5899999999999</v>
      </c>
      <c r="I2003" s="8" t="str" cm="1">
        <f t="array" ref="I2003">_xlfn.IFS(C2003&lt;=15,"Children and Young Adolescents", C2003&gt;64, "Seniors", TRUE, "Working Age")</f>
        <v>Seniors</v>
      </c>
      <c r="J2003" s="6">
        <f>VLOOKUP(F2003,Analysis!$F$1:$G$5,2,FALSE)</f>
        <v>2440.2966694490838</v>
      </c>
      <c r="K2003">
        <f t="shared" si="124"/>
        <v>1403.14</v>
      </c>
      <c r="L2003">
        <f t="shared" si="125"/>
        <v>1403.15</v>
      </c>
      <c r="M2003">
        <f t="shared" si="126"/>
        <v>1403.15</v>
      </c>
      <c r="N2003" s="5" t="str">
        <f t="shared" si="127"/>
        <v>October 2022</v>
      </c>
    </row>
    <row r="2004" spans="1:14" x14ac:dyDescent="0.25">
      <c r="A2004" s="1">
        <v>44854</v>
      </c>
      <c r="B2004" t="s">
        <v>3760</v>
      </c>
      <c r="C2004">
        <v>50</v>
      </c>
      <c r="D2004" t="s">
        <v>21</v>
      </c>
      <c r="E2004" t="s">
        <v>22</v>
      </c>
      <c r="F2004" t="s">
        <v>29</v>
      </c>
      <c r="G2004" t="s">
        <v>36</v>
      </c>
      <c r="H2004">
        <v>4348.12</v>
      </c>
      <c r="I2004" s="8" t="str" cm="1">
        <f t="array" ref="I2004">_xlfn.IFS(C2004&lt;=15,"Children and Young Adolescents", C2004&gt;64, "Seniors", TRUE, "Working Age")</f>
        <v>Working Age</v>
      </c>
      <c r="J2004" s="6">
        <f>VLOOKUP(F2004,Analysis!$F$1:$G$5,2,FALSE)</f>
        <v>2496.7676064256989</v>
      </c>
      <c r="K2004">
        <f t="shared" si="124"/>
        <v>4782.93</v>
      </c>
      <c r="L2004">
        <f t="shared" si="125"/>
        <v>4782.9400000000005</v>
      </c>
      <c r="M2004">
        <f t="shared" si="126"/>
        <v>4782.93</v>
      </c>
      <c r="N2004" s="5" t="str">
        <f t="shared" si="127"/>
        <v>October 2022</v>
      </c>
    </row>
    <row r="2005" spans="1:14" x14ac:dyDescent="0.25">
      <c r="A2005" s="1">
        <v>44854</v>
      </c>
      <c r="B2005" t="s">
        <v>4352</v>
      </c>
      <c r="C2005">
        <v>76</v>
      </c>
      <c r="D2005" t="s">
        <v>14</v>
      </c>
      <c r="E2005" t="s">
        <v>32</v>
      </c>
      <c r="F2005" t="s">
        <v>23</v>
      </c>
      <c r="G2005" t="s">
        <v>27</v>
      </c>
      <c r="H2005">
        <v>3516.63</v>
      </c>
      <c r="I2005" s="8" t="str" cm="1">
        <f t="array" ref="I2005">_xlfn.IFS(C2005&lt;=15,"Children and Young Adolescents", C2005&gt;64, "Seniors", TRUE, "Working Age")</f>
        <v>Seniors</v>
      </c>
      <c r="J2005" s="6">
        <f>VLOOKUP(F2005,Analysis!$F$1:$G$5,2,FALSE)</f>
        <v>2440.2966694490838</v>
      </c>
      <c r="K2005">
        <f t="shared" si="124"/>
        <v>3868.29</v>
      </c>
      <c r="L2005">
        <f t="shared" si="125"/>
        <v>3868.3</v>
      </c>
      <c r="M2005">
        <f t="shared" si="126"/>
        <v>3868.29</v>
      </c>
      <c r="N2005" s="5" t="str">
        <f t="shared" si="127"/>
        <v>October 2022</v>
      </c>
    </row>
    <row r="2006" spans="1:14" x14ac:dyDescent="0.25">
      <c r="A2006" s="1">
        <v>44854</v>
      </c>
      <c r="B2006" t="s">
        <v>3065</v>
      </c>
      <c r="C2006">
        <v>34</v>
      </c>
      <c r="D2006" t="s">
        <v>21</v>
      </c>
      <c r="E2006" t="s">
        <v>19</v>
      </c>
      <c r="F2006" t="s">
        <v>11</v>
      </c>
      <c r="G2006" t="s">
        <v>39</v>
      </c>
      <c r="H2006">
        <v>2861.27</v>
      </c>
      <c r="I2006" s="8" t="str" cm="1">
        <f t="array" ref="I2006">_xlfn.IFS(C2006&lt;=15,"Children and Young Adolescents", C2006&gt;64, "Seniors", TRUE, "Working Age")</f>
        <v>Working Age</v>
      </c>
      <c r="J2006" s="6">
        <f>VLOOKUP(F2006,Analysis!$F$1:$G$5,2,FALSE)</f>
        <v>2503.6022787783854</v>
      </c>
      <c r="K2006">
        <f t="shared" si="124"/>
        <v>3147.39</v>
      </c>
      <c r="L2006">
        <f t="shared" si="125"/>
        <v>3147.4</v>
      </c>
      <c r="M2006">
        <f t="shared" si="126"/>
        <v>3147.4</v>
      </c>
      <c r="N2006" s="5" t="str">
        <f t="shared" si="127"/>
        <v>October 2022</v>
      </c>
    </row>
    <row r="2007" spans="1:14" x14ac:dyDescent="0.25">
      <c r="A2007" s="1">
        <v>44854</v>
      </c>
      <c r="B2007" t="s">
        <v>3300</v>
      </c>
      <c r="C2007">
        <v>33</v>
      </c>
      <c r="D2007" t="s">
        <v>9</v>
      </c>
      <c r="E2007" t="s">
        <v>10</v>
      </c>
      <c r="F2007" t="s">
        <v>11</v>
      </c>
      <c r="G2007" t="s">
        <v>17</v>
      </c>
      <c r="H2007">
        <v>3153.97</v>
      </c>
      <c r="I2007" s="8" t="str" cm="1">
        <f t="array" ref="I2007">_xlfn.IFS(C2007&lt;=15,"Children and Young Adolescents", C2007&gt;64, "Seniors", TRUE, "Working Age")</f>
        <v>Working Age</v>
      </c>
      <c r="J2007" s="6">
        <f>VLOOKUP(F2007,Analysis!$F$1:$G$5,2,FALSE)</f>
        <v>2503.6022787783854</v>
      </c>
      <c r="K2007">
        <f t="shared" si="124"/>
        <v>3469.36</v>
      </c>
      <c r="L2007">
        <f t="shared" si="125"/>
        <v>3469.3700000000003</v>
      </c>
      <c r="M2007">
        <f t="shared" si="126"/>
        <v>3469.37</v>
      </c>
      <c r="N2007" s="5" t="str">
        <f t="shared" si="127"/>
        <v>October 2022</v>
      </c>
    </row>
    <row r="2008" spans="1:14" x14ac:dyDescent="0.25">
      <c r="A2008" s="1">
        <v>44854</v>
      </c>
      <c r="B2008" t="s">
        <v>608</v>
      </c>
      <c r="C2008">
        <v>91</v>
      </c>
      <c r="D2008" t="s">
        <v>9</v>
      </c>
      <c r="E2008" t="s">
        <v>15</v>
      </c>
      <c r="F2008" t="s">
        <v>16</v>
      </c>
      <c r="G2008" t="s">
        <v>12</v>
      </c>
      <c r="H2008">
        <v>2450.79</v>
      </c>
      <c r="I2008" s="8" t="str" cm="1">
        <f t="array" ref="I2008">_xlfn.IFS(C2008&lt;=15,"Children and Young Adolescents", C2008&gt;64, "Seniors", TRUE, "Working Age")</f>
        <v>Seniors</v>
      </c>
      <c r="J2008" s="6">
        <f>VLOOKUP(F2008,Analysis!$F$1:$G$5,2,FALSE)</f>
        <v>2509.1716796874912</v>
      </c>
      <c r="K2008">
        <f t="shared" si="124"/>
        <v>2695.86</v>
      </c>
      <c r="L2008">
        <f t="shared" si="125"/>
        <v>2695.8700000000003</v>
      </c>
      <c r="M2008">
        <f t="shared" si="126"/>
        <v>2695.87</v>
      </c>
      <c r="N2008" s="5" t="str">
        <f t="shared" si="127"/>
        <v>October 2022</v>
      </c>
    </row>
    <row r="2009" spans="1:14" x14ac:dyDescent="0.25">
      <c r="A2009" s="1">
        <v>44854</v>
      </c>
      <c r="B2009" t="s">
        <v>437</v>
      </c>
      <c r="C2009">
        <v>37</v>
      </c>
      <c r="D2009" t="s">
        <v>21</v>
      </c>
      <c r="E2009" t="s">
        <v>22</v>
      </c>
      <c r="F2009" t="s">
        <v>23</v>
      </c>
      <c r="G2009" t="s">
        <v>39</v>
      </c>
      <c r="H2009">
        <v>2966.63</v>
      </c>
      <c r="I2009" s="8" t="str" cm="1">
        <f t="array" ref="I2009">_xlfn.IFS(C2009&lt;=15,"Children and Young Adolescents", C2009&gt;64, "Seniors", TRUE, "Working Age")</f>
        <v>Working Age</v>
      </c>
      <c r="J2009" s="6">
        <f>VLOOKUP(F2009,Analysis!$F$1:$G$5,2,FALSE)</f>
        <v>2440.2966694490838</v>
      </c>
      <c r="K2009">
        <f t="shared" si="124"/>
        <v>3263.29</v>
      </c>
      <c r="L2009">
        <f t="shared" si="125"/>
        <v>3263.3</v>
      </c>
      <c r="M2009">
        <f t="shared" si="126"/>
        <v>3263.29</v>
      </c>
      <c r="N2009" s="5" t="str">
        <f t="shared" si="127"/>
        <v>October 2022</v>
      </c>
    </row>
    <row r="2010" spans="1:14" x14ac:dyDescent="0.25">
      <c r="A2010" s="1">
        <v>44854</v>
      </c>
      <c r="B2010" t="s">
        <v>4063</v>
      </c>
      <c r="C2010">
        <v>78</v>
      </c>
      <c r="D2010" t="s">
        <v>9</v>
      </c>
      <c r="E2010" t="s">
        <v>32</v>
      </c>
      <c r="F2010" t="s">
        <v>11</v>
      </c>
      <c r="G2010" t="s">
        <v>12</v>
      </c>
      <c r="H2010">
        <v>1194.28</v>
      </c>
      <c r="I2010" s="8" t="str" cm="1">
        <f t="array" ref="I2010">_xlfn.IFS(C2010&lt;=15,"Children and Young Adolescents", C2010&gt;64, "Seniors", TRUE, "Working Age")</f>
        <v>Seniors</v>
      </c>
      <c r="J2010" s="6">
        <f>VLOOKUP(F2010,Analysis!$F$1:$G$5,2,FALSE)</f>
        <v>2503.6022787783854</v>
      </c>
      <c r="K2010">
        <f t="shared" si="124"/>
        <v>1313.7</v>
      </c>
      <c r="L2010">
        <f t="shared" si="125"/>
        <v>1313.71</v>
      </c>
      <c r="M2010">
        <f t="shared" si="126"/>
        <v>1313.71</v>
      </c>
      <c r="N2010" s="5" t="str">
        <f t="shared" si="127"/>
        <v>October 2022</v>
      </c>
    </row>
    <row r="2011" spans="1:14" x14ac:dyDescent="0.25">
      <c r="A2011" s="1">
        <v>44854</v>
      </c>
      <c r="B2011" t="s">
        <v>190</v>
      </c>
      <c r="C2011">
        <v>31</v>
      </c>
      <c r="D2011" t="s">
        <v>14</v>
      </c>
      <c r="E2011" t="s">
        <v>34</v>
      </c>
      <c r="F2011" t="s">
        <v>23</v>
      </c>
      <c r="G2011" t="s">
        <v>5033</v>
      </c>
      <c r="H2011">
        <v>1863.48</v>
      </c>
      <c r="I2011" s="8" t="str" cm="1">
        <f t="array" ref="I2011">_xlfn.IFS(C2011&lt;=15,"Children and Young Adolescents", C2011&gt;64, "Seniors", TRUE, "Working Age")</f>
        <v>Working Age</v>
      </c>
      <c r="J2011" s="6">
        <f>VLOOKUP(F2011,Analysis!$F$1:$G$5,2,FALSE)</f>
        <v>2440.2966694490838</v>
      </c>
      <c r="K2011">
        <f t="shared" si="124"/>
        <v>2049.8200000000002</v>
      </c>
      <c r="L2011">
        <f t="shared" si="125"/>
        <v>2049.8300000000004</v>
      </c>
      <c r="M2011">
        <f t="shared" si="126"/>
        <v>2049.83</v>
      </c>
      <c r="N2011" s="5" t="str">
        <f t="shared" si="127"/>
        <v>October 2022</v>
      </c>
    </row>
    <row r="2012" spans="1:14" x14ac:dyDescent="0.25">
      <c r="A2012" s="1">
        <v>44855</v>
      </c>
      <c r="B2012" t="s">
        <v>398</v>
      </c>
      <c r="C2012">
        <v>17</v>
      </c>
      <c r="D2012" t="s">
        <v>14</v>
      </c>
      <c r="E2012" t="s">
        <v>34</v>
      </c>
      <c r="F2012" t="s">
        <v>23</v>
      </c>
      <c r="G2012" t="s">
        <v>27</v>
      </c>
      <c r="H2012">
        <v>1224.96</v>
      </c>
      <c r="I2012" s="8" t="str" cm="1">
        <f t="array" ref="I2012">_xlfn.IFS(C2012&lt;=15,"Children and Young Adolescents", C2012&gt;64, "Seniors", TRUE, "Working Age")</f>
        <v>Working Age</v>
      </c>
      <c r="J2012" s="6">
        <f>VLOOKUP(F2012,Analysis!$F$1:$G$5,2,FALSE)</f>
        <v>2440.2966694490838</v>
      </c>
      <c r="K2012">
        <f t="shared" si="124"/>
        <v>1347.45</v>
      </c>
      <c r="L2012">
        <f t="shared" si="125"/>
        <v>1347.46</v>
      </c>
      <c r="M2012">
        <f t="shared" si="126"/>
        <v>1347.46</v>
      </c>
      <c r="N2012" s="5" t="str">
        <f t="shared" si="127"/>
        <v>October 2022</v>
      </c>
    </row>
    <row r="2013" spans="1:14" x14ac:dyDescent="0.25">
      <c r="A2013" s="1">
        <v>44855</v>
      </c>
      <c r="B2013" t="s">
        <v>2116</v>
      </c>
      <c r="C2013">
        <v>41</v>
      </c>
      <c r="D2013" t="s">
        <v>21</v>
      </c>
      <c r="E2013" t="s">
        <v>25</v>
      </c>
      <c r="F2013" t="s">
        <v>16</v>
      </c>
      <c r="G2013" t="s">
        <v>36</v>
      </c>
      <c r="H2013">
        <v>1912.9</v>
      </c>
      <c r="I2013" s="8" t="str" cm="1">
        <f t="array" ref="I2013">_xlfn.IFS(C2013&lt;=15,"Children and Young Adolescents", C2013&gt;64, "Seniors", TRUE, "Working Age")</f>
        <v>Working Age</v>
      </c>
      <c r="J2013" s="6">
        <f>VLOOKUP(F2013,Analysis!$F$1:$G$5,2,FALSE)</f>
        <v>2509.1716796874912</v>
      </c>
      <c r="K2013">
        <f t="shared" si="124"/>
        <v>2104.19</v>
      </c>
      <c r="L2013">
        <f t="shared" si="125"/>
        <v>2104.19</v>
      </c>
      <c r="M2013">
        <f t="shared" si="126"/>
        <v>2104.19</v>
      </c>
      <c r="N2013" s="5" t="str">
        <f t="shared" si="127"/>
        <v>October 2022</v>
      </c>
    </row>
    <row r="2014" spans="1:14" x14ac:dyDescent="0.25">
      <c r="A2014" s="1">
        <v>44855</v>
      </c>
      <c r="B2014" t="s">
        <v>4311</v>
      </c>
      <c r="C2014">
        <v>78</v>
      </c>
      <c r="D2014" t="s">
        <v>14</v>
      </c>
      <c r="E2014" t="s">
        <v>5032</v>
      </c>
      <c r="F2014" t="s">
        <v>16</v>
      </c>
      <c r="G2014" t="s">
        <v>12</v>
      </c>
      <c r="H2014">
        <v>1992.44</v>
      </c>
      <c r="I2014" s="8" t="str" cm="1">
        <f t="array" ref="I2014">_xlfn.IFS(C2014&lt;=15,"Children and Young Adolescents", C2014&gt;64, "Seniors", TRUE, "Working Age")</f>
        <v>Seniors</v>
      </c>
      <c r="J2014" s="6">
        <f>VLOOKUP(F2014,Analysis!$F$1:$G$5,2,FALSE)</f>
        <v>2509.1716796874912</v>
      </c>
      <c r="K2014">
        <f t="shared" si="124"/>
        <v>2191.6799999999998</v>
      </c>
      <c r="L2014">
        <f t="shared" si="125"/>
        <v>2191.69</v>
      </c>
      <c r="M2014">
        <f t="shared" si="126"/>
        <v>2191.6799999999998</v>
      </c>
      <c r="N2014" s="5" t="str">
        <f t="shared" si="127"/>
        <v>October 2022</v>
      </c>
    </row>
    <row r="2015" spans="1:14" x14ac:dyDescent="0.25">
      <c r="A2015" s="1">
        <v>44856</v>
      </c>
      <c r="B2015" t="s">
        <v>3382</v>
      </c>
      <c r="C2015">
        <v>70</v>
      </c>
      <c r="D2015" t="s">
        <v>9</v>
      </c>
      <c r="E2015" t="s">
        <v>32</v>
      </c>
      <c r="F2015" t="s">
        <v>11</v>
      </c>
      <c r="G2015" t="s">
        <v>12</v>
      </c>
      <c r="H2015">
        <v>3522.71</v>
      </c>
      <c r="I2015" s="8" t="str" cm="1">
        <f t="array" ref="I2015">_xlfn.IFS(C2015&lt;=15,"Children and Young Adolescents", C2015&gt;64, "Seniors", TRUE, "Working Age")</f>
        <v>Seniors</v>
      </c>
      <c r="J2015" s="6">
        <f>VLOOKUP(F2015,Analysis!$F$1:$G$5,2,FALSE)</f>
        <v>2503.6022787783854</v>
      </c>
      <c r="K2015">
        <f t="shared" si="124"/>
        <v>3874.98</v>
      </c>
      <c r="L2015">
        <f t="shared" si="125"/>
        <v>3874.9900000000002</v>
      </c>
      <c r="M2015">
        <f t="shared" si="126"/>
        <v>3874.98</v>
      </c>
      <c r="N2015" s="5" t="str">
        <f t="shared" si="127"/>
        <v>October 2022</v>
      </c>
    </row>
    <row r="2016" spans="1:14" x14ac:dyDescent="0.25">
      <c r="A2016" s="1">
        <v>44856</v>
      </c>
      <c r="B2016" t="s">
        <v>3337</v>
      </c>
      <c r="C2016">
        <v>98</v>
      </c>
      <c r="D2016" t="s">
        <v>21</v>
      </c>
      <c r="E2016" t="s">
        <v>19</v>
      </c>
      <c r="F2016" t="s">
        <v>23</v>
      </c>
      <c r="G2016" t="s">
        <v>27</v>
      </c>
      <c r="H2016">
        <v>1233.33</v>
      </c>
      <c r="I2016" s="8" t="str" cm="1">
        <f t="array" ref="I2016">_xlfn.IFS(C2016&lt;=15,"Children and Young Adolescents", C2016&gt;64, "Seniors", TRUE, "Working Age")</f>
        <v>Seniors</v>
      </c>
      <c r="J2016" s="6">
        <f>VLOOKUP(F2016,Analysis!$F$1:$G$5,2,FALSE)</f>
        <v>2440.2966694490838</v>
      </c>
      <c r="K2016">
        <f t="shared" si="124"/>
        <v>1356.66</v>
      </c>
      <c r="L2016">
        <f t="shared" si="125"/>
        <v>1356.67</v>
      </c>
      <c r="M2016">
        <f t="shared" si="126"/>
        <v>1356.66</v>
      </c>
      <c r="N2016" s="5" t="str">
        <f t="shared" si="127"/>
        <v>October 2022</v>
      </c>
    </row>
    <row r="2017" spans="1:14" x14ac:dyDescent="0.25">
      <c r="A2017" s="1">
        <v>44856</v>
      </c>
      <c r="B2017" t="s">
        <v>4027</v>
      </c>
      <c r="C2017">
        <v>92</v>
      </c>
      <c r="D2017" t="s">
        <v>9</v>
      </c>
      <c r="E2017" t="s">
        <v>25</v>
      </c>
      <c r="F2017" t="s">
        <v>23</v>
      </c>
      <c r="G2017" t="s">
        <v>12</v>
      </c>
      <c r="H2017">
        <v>4702.59</v>
      </c>
      <c r="I2017" s="8" t="str" cm="1">
        <f t="array" ref="I2017">_xlfn.IFS(C2017&lt;=15,"Children and Young Adolescents", C2017&gt;64, "Seniors", TRUE, "Working Age")</f>
        <v>Seniors</v>
      </c>
      <c r="J2017" s="6">
        <f>VLOOKUP(F2017,Analysis!$F$1:$G$5,2,FALSE)</f>
        <v>2440.2966694490838</v>
      </c>
      <c r="K2017">
        <f t="shared" si="124"/>
        <v>5172.84</v>
      </c>
      <c r="L2017">
        <f t="shared" si="125"/>
        <v>5172.8500000000004</v>
      </c>
      <c r="M2017">
        <f t="shared" si="126"/>
        <v>5172.8500000000004</v>
      </c>
      <c r="N2017" s="5" t="str">
        <f t="shared" si="127"/>
        <v>October 2022</v>
      </c>
    </row>
    <row r="2018" spans="1:14" x14ac:dyDescent="0.25">
      <c r="A2018" s="1">
        <v>44856</v>
      </c>
      <c r="B2018" t="s">
        <v>4493</v>
      </c>
      <c r="C2018">
        <v>39</v>
      </c>
      <c r="D2018" t="s">
        <v>21</v>
      </c>
      <c r="E2018" t="s">
        <v>10</v>
      </c>
      <c r="F2018" t="s">
        <v>16</v>
      </c>
      <c r="G2018" t="s">
        <v>27</v>
      </c>
      <c r="H2018">
        <v>336.18</v>
      </c>
      <c r="I2018" s="8" t="str" cm="1">
        <f t="array" ref="I2018">_xlfn.IFS(C2018&lt;=15,"Children and Young Adolescents", C2018&gt;64, "Seniors", TRUE, "Working Age")</f>
        <v>Working Age</v>
      </c>
      <c r="J2018" s="6">
        <f>VLOOKUP(F2018,Analysis!$F$1:$G$5,2,FALSE)</f>
        <v>2509.1716796874912</v>
      </c>
      <c r="K2018">
        <f t="shared" si="124"/>
        <v>369.79</v>
      </c>
      <c r="L2018">
        <f t="shared" si="125"/>
        <v>369.8</v>
      </c>
      <c r="M2018">
        <f t="shared" si="126"/>
        <v>369.8</v>
      </c>
      <c r="N2018" s="5" t="str">
        <f t="shared" si="127"/>
        <v>October 2022</v>
      </c>
    </row>
    <row r="2019" spans="1:14" x14ac:dyDescent="0.25">
      <c r="A2019" s="1">
        <v>44856</v>
      </c>
      <c r="B2019" t="s">
        <v>2317</v>
      </c>
      <c r="C2019">
        <v>24</v>
      </c>
      <c r="D2019" t="s">
        <v>21</v>
      </c>
      <c r="E2019" t="s">
        <v>25</v>
      </c>
      <c r="F2019" t="s">
        <v>11</v>
      </c>
      <c r="G2019" t="s">
        <v>39</v>
      </c>
      <c r="H2019">
        <v>3438.45</v>
      </c>
      <c r="I2019" s="8" t="str" cm="1">
        <f t="array" ref="I2019">_xlfn.IFS(C2019&lt;=15,"Children and Young Adolescents", C2019&gt;64, "Seniors", TRUE, "Working Age")</f>
        <v>Working Age</v>
      </c>
      <c r="J2019" s="6">
        <f>VLOOKUP(F2019,Analysis!$F$1:$G$5,2,FALSE)</f>
        <v>2503.6022787783854</v>
      </c>
      <c r="K2019">
        <f t="shared" si="124"/>
        <v>3782.29</v>
      </c>
      <c r="L2019">
        <f t="shared" si="125"/>
        <v>3782.3</v>
      </c>
      <c r="M2019">
        <f t="shared" si="126"/>
        <v>3782.3</v>
      </c>
      <c r="N2019" s="5" t="str">
        <f t="shared" si="127"/>
        <v>October 2022</v>
      </c>
    </row>
    <row r="2020" spans="1:14" x14ac:dyDescent="0.25">
      <c r="A2020" s="1">
        <v>44856</v>
      </c>
      <c r="B2020" t="s">
        <v>3027</v>
      </c>
      <c r="C2020">
        <v>15</v>
      </c>
      <c r="D2020" t="s">
        <v>21</v>
      </c>
      <c r="E2020" t="s">
        <v>34</v>
      </c>
      <c r="F2020" t="s">
        <v>11</v>
      </c>
      <c r="G2020" t="s">
        <v>12</v>
      </c>
      <c r="H2020">
        <v>3036.99</v>
      </c>
      <c r="I2020" s="8" t="str" cm="1">
        <f t="array" ref="I2020">_xlfn.IFS(C2020&lt;=15,"Children and Young Adolescents", C2020&gt;64, "Seniors", TRUE, "Working Age")</f>
        <v>Children and Young Adolescents</v>
      </c>
      <c r="J2020" s="6">
        <f>VLOOKUP(F2020,Analysis!$F$1:$G$5,2,FALSE)</f>
        <v>2503.6022787783854</v>
      </c>
      <c r="K2020">
        <f t="shared" si="124"/>
        <v>3340.68</v>
      </c>
      <c r="L2020">
        <f t="shared" si="125"/>
        <v>3340.69</v>
      </c>
      <c r="M2020">
        <f t="shared" si="126"/>
        <v>3340.69</v>
      </c>
      <c r="N2020" s="5" t="str">
        <f t="shared" si="127"/>
        <v>October 2022</v>
      </c>
    </row>
    <row r="2021" spans="1:14" x14ac:dyDescent="0.25">
      <c r="A2021" s="1">
        <v>44856</v>
      </c>
      <c r="B2021" t="s">
        <v>283</v>
      </c>
      <c r="C2021">
        <v>3</v>
      </c>
      <c r="D2021" t="s">
        <v>14</v>
      </c>
      <c r="E2021" t="s">
        <v>32</v>
      </c>
      <c r="F2021" t="s">
        <v>11</v>
      </c>
      <c r="G2021" t="s">
        <v>36</v>
      </c>
      <c r="H2021">
        <v>3247.74</v>
      </c>
      <c r="I2021" s="8" t="str" cm="1">
        <f t="array" ref="I2021">_xlfn.IFS(C2021&lt;=15,"Children and Young Adolescents", C2021&gt;64, "Seniors", TRUE, "Working Age")</f>
        <v>Children and Young Adolescents</v>
      </c>
      <c r="J2021" s="6">
        <f>VLOOKUP(F2021,Analysis!$F$1:$G$5,2,FALSE)</f>
        <v>2503.6022787783854</v>
      </c>
      <c r="K2021">
        <f t="shared" si="124"/>
        <v>3572.51</v>
      </c>
      <c r="L2021">
        <f t="shared" si="125"/>
        <v>3572.5200000000004</v>
      </c>
      <c r="M2021">
        <f t="shared" si="126"/>
        <v>3572.51</v>
      </c>
      <c r="N2021" s="5" t="str">
        <f t="shared" si="127"/>
        <v>October 2022</v>
      </c>
    </row>
    <row r="2022" spans="1:14" x14ac:dyDescent="0.25">
      <c r="A2022" s="1">
        <v>44856</v>
      </c>
      <c r="B2022" t="s">
        <v>1043</v>
      </c>
      <c r="C2022">
        <v>40</v>
      </c>
      <c r="D2022" t="s">
        <v>9</v>
      </c>
      <c r="E2022" t="s">
        <v>5032</v>
      </c>
      <c r="F2022" t="s">
        <v>16</v>
      </c>
      <c r="G2022" t="s">
        <v>27</v>
      </c>
      <c r="H2022">
        <v>416.29</v>
      </c>
      <c r="I2022" s="8" t="str" cm="1">
        <f t="array" ref="I2022">_xlfn.IFS(C2022&lt;=15,"Children and Young Adolescents", C2022&gt;64, "Seniors", TRUE, "Working Age")</f>
        <v>Working Age</v>
      </c>
      <c r="J2022" s="6">
        <f>VLOOKUP(F2022,Analysis!$F$1:$G$5,2,FALSE)</f>
        <v>2509.1716796874912</v>
      </c>
      <c r="K2022">
        <f t="shared" si="124"/>
        <v>457.91</v>
      </c>
      <c r="L2022">
        <f t="shared" si="125"/>
        <v>457.92</v>
      </c>
      <c r="M2022">
        <f t="shared" si="126"/>
        <v>457.92</v>
      </c>
      <c r="N2022" s="5" t="str">
        <f t="shared" si="127"/>
        <v>October 2022</v>
      </c>
    </row>
    <row r="2023" spans="1:14" x14ac:dyDescent="0.25">
      <c r="A2023" s="1">
        <v>44856</v>
      </c>
      <c r="B2023" t="s">
        <v>4785</v>
      </c>
      <c r="C2023">
        <v>25</v>
      </c>
      <c r="D2023" t="s">
        <v>14</v>
      </c>
      <c r="E2023" t="s">
        <v>34</v>
      </c>
      <c r="F2023" t="s">
        <v>23</v>
      </c>
      <c r="G2023" t="s">
        <v>36</v>
      </c>
      <c r="H2023">
        <v>44.52</v>
      </c>
      <c r="I2023" s="8" t="str" cm="1">
        <f t="array" ref="I2023">_xlfn.IFS(C2023&lt;=15,"Children and Young Adolescents", C2023&gt;64, "Seniors", TRUE, "Working Age")</f>
        <v>Working Age</v>
      </c>
      <c r="J2023" s="6">
        <f>VLOOKUP(F2023,Analysis!$F$1:$G$5,2,FALSE)</f>
        <v>2440.2966694490838</v>
      </c>
      <c r="K2023">
        <f t="shared" si="124"/>
        <v>48.97</v>
      </c>
      <c r="L2023">
        <f t="shared" si="125"/>
        <v>48.98</v>
      </c>
      <c r="M2023">
        <f t="shared" si="126"/>
        <v>48.97</v>
      </c>
      <c r="N2023" s="5" t="str">
        <f t="shared" si="127"/>
        <v>October 2022</v>
      </c>
    </row>
    <row r="2024" spans="1:14" x14ac:dyDescent="0.25">
      <c r="A2024" s="1">
        <v>44856</v>
      </c>
      <c r="B2024" t="s">
        <v>226</v>
      </c>
      <c r="C2024">
        <v>0</v>
      </c>
      <c r="D2024" t="s">
        <v>9</v>
      </c>
      <c r="E2024" t="s">
        <v>15</v>
      </c>
      <c r="F2024" t="s">
        <v>29</v>
      </c>
      <c r="G2024" t="s">
        <v>36</v>
      </c>
      <c r="H2024">
        <v>2569.38</v>
      </c>
      <c r="I2024" s="8" t="str" cm="1">
        <f t="array" ref="I2024">_xlfn.IFS(C2024&lt;=15,"Children and Young Adolescents", C2024&gt;64, "Seniors", TRUE, "Working Age")</f>
        <v>Children and Young Adolescents</v>
      </c>
      <c r="J2024" s="6">
        <f>VLOOKUP(F2024,Analysis!$F$1:$G$5,2,FALSE)</f>
        <v>2496.7676064256989</v>
      </c>
      <c r="K2024">
        <f t="shared" si="124"/>
        <v>2826.31</v>
      </c>
      <c r="L2024">
        <f t="shared" si="125"/>
        <v>2826.32</v>
      </c>
      <c r="M2024">
        <f t="shared" si="126"/>
        <v>2826.32</v>
      </c>
      <c r="N2024" s="5" t="str">
        <f t="shared" si="127"/>
        <v>October 2022</v>
      </c>
    </row>
    <row r="2025" spans="1:14" x14ac:dyDescent="0.25">
      <c r="A2025" s="1">
        <v>44856</v>
      </c>
      <c r="B2025" t="s">
        <v>3942</v>
      </c>
      <c r="C2025">
        <v>77</v>
      </c>
      <c r="D2025" t="s">
        <v>21</v>
      </c>
      <c r="E2025" t="s">
        <v>15</v>
      </c>
      <c r="F2025" t="s">
        <v>29</v>
      </c>
      <c r="G2025" t="s">
        <v>12</v>
      </c>
      <c r="H2025">
        <v>161.93</v>
      </c>
      <c r="I2025" s="8" t="str" cm="1">
        <f t="array" ref="I2025">_xlfn.IFS(C2025&lt;=15,"Children and Young Adolescents", C2025&gt;64, "Seniors", TRUE, "Working Age")</f>
        <v>Seniors</v>
      </c>
      <c r="J2025" s="6">
        <f>VLOOKUP(F2025,Analysis!$F$1:$G$5,2,FALSE)</f>
        <v>2496.7676064256989</v>
      </c>
      <c r="K2025">
        <f t="shared" si="124"/>
        <v>178.12</v>
      </c>
      <c r="L2025">
        <f t="shared" si="125"/>
        <v>178.13</v>
      </c>
      <c r="M2025">
        <f t="shared" si="126"/>
        <v>178.12</v>
      </c>
      <c r="N2025" s="5" t="str">
        <f t="shared" si="127"/>
        <v>October 2022</v>
      </c>
    </row>
    <row r="2026" spans="1:14" x14ac:dyDescent="0.25">
      <c r="A2026" s="1">
        <v>44857</v>
      </c>
      <c r="B2026" t="s">
        <v>3847</v>
      </c>
      <c r="C2026">
        <v>10</v>
      </c>
      <c r="D2026" t="s">
        <v>14</v>
      </c>
      <c r="E2026" t="s">
        <v>32</v>
      </c>
      <c r="F2026" t="s">
        <v>23</v>
      </c>
      <c r="G2026" t="s">
        <v>12</v>
      </c>
      <c r="H2026">
        <v>215.45</v>
      </c>
      <c r="I2026" s="8" t="str" cm="1">
        <f t="array" ref="I2026">_xlfn.IFS(C2026&lt;=15,"Children and Young Adolescents", C2026&gt;64, "Seniors", TRUE, "Working Age")</f>
        <v>Children and Young Adolescents</v>
      </c>
      <c r="J2026" s="6">
        <f>VLOOKUP(F2026,Analysis!$F$1:$G$5,2,FALSE)</f>
        <v>2440.2966694490838</v>
      </c>
      <c r="K2026">
        <f t="shared" si="124"/>
        <v>236.99</v>
      </c>
      <c r="L2026">
        <f t="shared" si="125"/>
        <v>237</v>
      </c>
      <c r="M2026">
        <f t="shared" si="126"/>
        <v>237</v>
      </c>
      <c r="N2026" s="5" t="str">
        <f t="shared" si="127"/>
        <v>October 2022</v>
      </c>
    </row>
    <row r="2027" spans="1:14" x14ac:dyDescent="0.25">
      <c r="A2027" s="1">
        <v>44857</v>
      </c>
      <c r="B2027" t="s">
        <v>4444</v>
      </c>
      <c r="C2027">
        <v>85</v>
      </c>
      <c r="D2027" t="s">
        <v>21</v>
      </c>
      <c r="E2027" t="s">
        <v>32</v>
      </c>
      <c r="F2027" t="s">
        <v>11</v>
      </c>
      <c r="G2027" t="s">
        <v>36</v>
      </c>
      <c r="H2027">
        <v>2744.5</v>
      </c>
      <c r="I2027" s="8" t="str" cm="1">
        <f t="array" ref="I2027">_xlfn.IFS(C2027&lt;=15,"Children and Young Adolescents", C2027&gt;64, "Seniors", TRUE, "Working Age")</f>
        <v>Seniors</v>
      </c>
      <c r="J2027" s="6">
        <f>VLOOKUP(F2027,Analysis!$F$1:$G$5,2,FALSE)</f>
        <v>2503.6022787783854</v>
      </c>
      <c r="K2027">
        <f t="shared" si="124"/>
        <v>3018.95</v>
      </c>
      <c r="L2027">
        <f t="shared" si="125"/>
        <v>3018.95</v>
      </c>
      <c r="M2027">
        <f t="shared" si="126"/>
        <v>3018.95</v>
      </c>
      <c r="N2027" s="5" t="str">
        <f t="shared" si="127"/>
        <v>October 2022</v>
      </c>
    </row>
    <row r="2028" spans="1:14" x14ac:dyDescent="0.25">
      <c r="A2028" s="1">
        <v>44857</v>
      </c>
      <c r="B2028" t="s">
        <v>4228</v>
      </c>
      <c r="C2028">
        <v>35</v>
      </c>
      <c r="D2028" t="s">
        <v>14</v>
      </c>
      <c r="E2028" t="s">
        <v>15</v>
      </c>
      <c r="F2028" t="s">
        <v>16</v>
      </c>
      <c r="G2028" t="s">
        <v>27</v>
      </c>
      <c r="H2028">
        <v>4169.12</v>
      </c>
      <c r="I2028" s="8" t="str" cm="1">
        <f t="array" ref="I2028">_xlfn.IFS(C2028&lt;=15,"Children and Young Adolescents", C2028&gt;64, "Seniors", TRUE, "Working Age")</f>
        <v>Working Age</v>
      </c>
      <c r="J2028" s="6">
        <f>VLOOKUP(F2028,Analysis!$F$1:$G$5,2,FALSE)</f>
        <v>2509.1716796874912</v>
      </c>
      <c r="K2028">
        <f t="shared" si="124"/>
        <v>4586.03</v>
      </c>
      <c r="L2028">
        <f t="shared" si="125"/>
        <v>4586.04</v>
      </c>
      <c r="M2028">
        <f t="shared" si="126"/>
        <v>4586.03</v>
      </c>
      <c r="N2028" s="5" t="str">
        <f t="shared" si="127"/>
        <v>October 2022</v>
      </c>
    </row>
    <row r="2029" spans="1:14" x14ac:dyDescent="0.25">
      <c r="A2029" s="1">
        <v>44857</v>
      </c>
      <c r="B2029" t="s">
        <v>4604</v>
      </c>
      <c r="C2029">
        <v>7</v>
      </c>
      <c r="D2029" t="s">
        <v>14</v>
      </c>
      <c r="E2029" t="s">
        <v>15</v>
      </c>
      <c r="F2029" t="s">
        <v>16</v>
      </c>
      <c r="G2029" t="s">
        <v>39</v>
      </c>
      <c r="H2029">
        <v>2771.79</v>
      </c>
      <c r="I2029" s="8" t="str" cm="1">
        <f t="array" ref="I2029">_xlfn.IFS(C2029&lt;=15,"Children and Young Adolescents", C2029&gt;64, "Seniors", TRUE, "Working Age")</f>
        <v>Children and Young Adolescents</v>
      </c>
      <c r="J2029" s="6">
        <f>VLOOKUP(F2029,Analysis!$F$1:$G$5,2,FALSE)</f>
        <v>2509.1716796874912</v>
      </c>
      <c r="K2029">
        <f t="shared" si="124"/>
        <v>3048.96</v>
      </c>
      <c r="L2029">
        <f t="shared" si="125"/>
        <v>3048.9700000000003</v>
      </c>
      <c r="M2029">
        <f t="shared" si="126"/>
        <v>3048.97</v>
      </c>
      <c r="N2029" s="5" t="str">
        <f t="shared" si="127"/>
        <v>October 2022</v>
      </c>
    </row>
    <row r="2030" spans="1:14" x14ac:dyDescent="0.25">
      <c r="A2030" s="1">
        <v>44857</v>
      </c>
      <c r="B2030" t="s">
        <v>4805</v>
      </c>
      <c r="C2030">
        <v>10</v>
      </c>
      <c r="D2030" t="s">
        <v>9</v>
      </c>
      <c r="E2030" t="s">
        <v>32</v>
      </c>
      <c r="F2030" t="s">
        <v>11</v>
      </c>
      <c r="G2030" t="s">
        <v>39</v>
      </c>
      <c r="H2030">
        <v>2751.36</v>
      </c>
      <c r="I2030" s="8" t="str" cm="1">
        <f t="array" ref="I2030">_xlfn.IFS(C2030&lt;=15,"Children and Young Adolescents", C2030&gt;64, "Seniors", TRUE, "Working Age")</f>
        <v>Children and Young Adolescents</v>
      </c>
      <c r="J2030" s="6">
        <f>VLOOKUP(F2030,Analysis!$F$1:$G$5,2,FALSE)</f>
        <v>2503.6022787783854</v>
      </c>
      <c r="K2030">
        <f t="shared" si="124"/>
        <v>3026.49</v>
      </c>
      <c r="L2030">
        <f t="shared" si="125"/>
        <v>3026.5</v>
      </c>
      <c r="M2030">
        <f t="shared" si="126"/>
        <v>3026.5</v>
      </c>
      <c r="N2030" s="5" t="str">
        <f t="shared" si="127"/>
        <v>October 2022</v>
      </c>
    </row>
    <row r="2031" spans="1:14" x14ac:dyDescent="0.25">
      <c r="A2031" s="1">
        <v>44857</v>
      </c>
      <c r="B2031" t="s">
        <v>4696</v>
      </c>
      <c r="C2031">
        <v>91</v>
      </c>
      <c r="D2031" t="s">
        <v>14</v>
      </c>
      <c r="E2031" t="s">
        <v>25</v>
      </c>
      <c r="F2031" t="s">
        <v>16</v>
      </c>
      <c r="G2031" t="s">
        <v>36</v>
      </c>
      <c r="H2031">
        <v>4998.47</v>
      </c>
      <c r="I2031" s="8" t="str" cm="1">
        <f t="array" ref="I2031">_xlfn.IFS(C2031&lt;=15,"Children and Young Adolescents", C2031&gt;64, "Seniors", TRUE, "Working Age")</f>
        <v>Seniors</v>
      </c>
      <c r="J2031" s="6">
        <f>VLOOKUP(F2031,Analysis!$F$1:$G$5,2,FALSE)</f>
        <v>2509.1716796874912</v>
      </c>
      <c r="K2031">
        <f t="shared" si="124"/>
        <v>5498.31</v>
      </c>
      <c r="L2031">
        <f t="shared" si="125"/>
        <v>5498.3200000000006</v>
      </c>
      <c r="M2031">
        <f t="shared" si="126"/>
        <v>5498.32</v>
      </c>
      <c r="N2031" s="5" t="str">
        <f t="shared" si="127"/>
        <v>October 2022</v>
      </c>
    </row>
    <row r="2032" spans="1:14" x14ac:dyDescent="0.25">
      <c r="A2032" s="1">
        <v>44857</v>
      </c>
      <c r="B2032" t="s">
        <v>2183</v>
      </c>
      <c r="C2032">
        <v>1</v>
      </c>
      <c r="D2032" t="s">
        <v>9</v>
      </c>
      <c r="E2032" t="s">
        <v>32</v>
      </c>
      <c r="F2032" t="s">
        <v>29</v>
      </c>
      <c r="G2032" t="s">
        <v>17</v>
      </c>
      <c r="H2032">
        <v>1859.75</v>
      </c>
      <c r="I2032" s="8" t="str" cm="1">
        <f t="array" ref="I2032">_xlfn.IFS(C2032&lt;=15,"Children and Young Adolescents", C2032&gt;64, "Seniors", TRUE, "Working Age")</f>
        <v>Children and Young Adolescents</v>
      </c>
      <c r="J2032" s="6">
        <f>VLOOKUP(F2032,Analysis!$F$1:$G$5,2,FALSE)</f>
        <v>2496.7676064256989</v>
      </c>
      <c r="K2032">
        <f t="shared" si="124"/>
        <v>2045.72</v>
      </c>
      <c r="L2032">
        <f t="shared" si="125"/>
        <v>2045.73</v>
      </c>
      <c r="M2032">
        <f t="shared" si="126"/>
        <v>2045.73</v>
      </c>
      <c r="N2032" s="5" t="str">
        <f t="shared" si="127"/>
        <v>October 2022</v>
      </c>
    </row>
    <row r="2033" spans="1:14" x14ac:dyDescent="0.25">
      <c r="A2033" s="1">
        <v>44857</v>
      </c>
      <c r="B2033" t="s">
        <v>393</v>
      </c>
      <c r="C2033">
        <v>88</v>
      </c>
      <c r="D2033" t="s">
        <v>21</v>
      </c>
      <c r="E2033" t="s">
        <v>19</v>
      </c>
      <c r="F2033" t="s">
        <v>29</v>
      </c>
      <c r="G2033" t="s">
        <v>17</v>
      </c>
      <c r="H2033">
        <v>2237.61</v>
      </c>
      <c r="I2033" s="8" t="str" cm="1">
        <f t="array" ref="I2033">_xlfn.IFS(C2033&lt;=15,"Children and Young Adolescents", C2033&gt;64, "Seniors", TRUE, "Working Age")</f>
        <v>Seniors</v>
      </c>
      <c r="J2033" s="6">
        <f>VLOOKUP(F2033,Analysis!$F$1:$G$5,2,FALSE)</f>
        <v>2496.7676064256989</v>
      </c>
      <c r="K2033">
        <f t="shared" si="124"/>
        <v>2461.37</v>
      </c>
      <c r="L2033">
        <f t="shared" si="125"/>
        <v>2461.38</v>
      </c>
      <c r="M2033">
        <f t="shared" si="126"/>
        <v>2461.37</v>
      </c>
      <c r="N2033" s="5" t="str">
        <f t="shared" si="127"/>
        <v>October 2022</v>
      </c>
    </row>
    <row r="2034" spans="1:14" x14ac:dyDescent="0.25">
      <c r="A2034" s="1">
        <v>44858</v>
      </c>
      <c r="B2034" t="s">
        <v>2898</v>
      </c>
      <c r="C2034">
        <v>66</v>
      </c>
      <c r="D2034" t="s">
        <v>9</v>
      </c>
      <c r="E2034" t="s">
        <v>34</v>
      </c>
      <c r="F2034" t="s">
        <v>11</v>
      </c>
      <c r="G2034" t="s">
        <v>36</v>
      </c>
      <c r="H2034">
        <v>442.64</v>
      </c>
      <c r="I2034" s="8" t="str" cm="1">
        <f t="array" ref="I2034">_xlfn.IFS(C2034&lt;=15,"Children and Young Adolescents", C2034&gt;64, "Seniors", TRUE, "Working Age")</f>
        <v>Seniors</v>
      </c>
      <c r="J2034" s="6">
        <f>VLOOKUP(F2034,Analysis!$F$1:$G$5,2,FALSE)</f>
        <v>2503.6022787783854</v>
      </c>
      <c r="K2034">
        <f t="shared" si="124"/>
        <v>486.9</v>
      </c>
      <c r="L2034">
        <f t="shared" si="125"/>
        <v>486.90999999999997</v>
      </c>
      <c r="M2034">
        <f t="shared" si="126"/>
        <v>486.9</v>
      </c>
      <c r="N2034" s="5" t="str">
        <f t="shared" si="127"/>
        <v>October 2022</v>
      </c>
    </row>
    <row r="2035" spans="1:14" x14ac:dyDescent="0.25">
      <c r="A2035" s="1">
        <v>44858</v>
      </c>
      <c r="B2035" t="s">
        <v>205</v>
      </c>
      <c r="C2035">
        <v>66</v>
      </c>
      <c r="D2035" t="s">
        <v>14</v>
      </c>
      <c r="E2035" t="s">
        <v>10</v>
      </c>
      <c r="F2035" t="s">
        <v>16</v>
      </c>
      <c r="G2035" t="s">
        <v>12</v>
      </c>
      <c r="H2035">
        <v>3366.46</v>
      </c>
      <c r="I2035" s="8" t="str" cm="1">
        <f t="array" ref="I2035">_xlfn.IFS(C2035&lt;=15,"Children and Young Adolescents", C2035&gt;64, "Seniors", TRUE, "Working Age")</f>
        <v>Seniors</v>
      </c>
      <c r="J2035" s="6">
        <f>VLOOKUP(F2035,Analysis!$F$1:$G$5,2,FALSE)</f>
        <v>2509.1716796874912</v>
      </c>
      <c r="K2035">
        <f t="shared" si="124"/>
        <v>3703.1</v>
      </c>
      <c r="L2035">
        <f t="shared" si="125"/>
        <v>3703.11</v>
      </c>
      <c r="M2035">
        <f t="shared" si="126"/>
        <v>3703.11</v>
      </c>
      <c r="N2035" s="5" t="str">
        <f t="shared" si="127"/>
        <v>October 2022</v>
      </c>
    </row>
    <row r="2036" spans="1:14" x14ac:dyDescent="0.25">
      <c r="A2036" s="1">
        <v>44858</v>
      </c>
      <c r="B2036" t="s">
        <v>1041</v>
      </c>
      <c r="C2036">
        <v>52</v>
      </c>
      <c r="D2036" t="s">
        <v>14</v>
      </c>
      <c r="E2036" t="s">
        <v>22</v>
      </c>
      <c r="F2036" t="s">
        <v>23</v>
      </c>
      <c r="G2036" t="s">
        <v>27</v>
      </c>
      <c r="H2036">
        <v>332.53</v>
      </c>
      <c r="I2036" s="8" t="str" cm="1">
        <f t="array" ref="I2036">_xlfn.IFS(C2036&lt;=15,"Children and Young Adolescents", C2036&gt;64, "Seniors", TRUE, "Working Age")</f>
        <v>Working Age</v>
      </c>
      <c r="J2036" s="6">
        <f>VLOOKUP(F2036,Analysis!$F$1:$G$5,2,FALSE)</f>
        <v>2440.2966694490838</v>
      </c>
      <c r="K2036">
        <f t="shared" si="124"/>
        <v>365.78</v>
      </c>
      <c r="L2036">
        <f t="shared" si="125"/>
        <v>365.78999999999996</v>
      </c>
      <c r="M2036">
        <f t="shared" si="126"/>
        <v>365.78</v>
      </c>
      <c r="N2036" s="5" t="str">
        <f t="shared" si="127"/>
        <v>October 2022</v>
      </c>
    </row>
    <row r="2037" spans="1:14" x14ac:dyDescent="0.25">
      <c r="A2037" s="1">
        <v>44858</v>
      </c>
      <c r="B2037" t="s">
        <v>4489</v>
      </c>
      <c r="C2037">
        <v>18</v>
      </c>
      <c r="D2037" t="s">
        <v>21</v>
      </c>
      <c r="E2037" t="s">
        <v>25</v>
      </c>
      <c r="F2037" t="s">
        <v>29</v>
      </c>
      <c r="G2037" t="s">
        <v>17</v>
      </c>
      <c r="H2037">
        <v>3500.65</v>
      </c>
      <c r="I2037" s="8" t="str" cm="1">
        <f t="array" ref="I2037">_xlfn.IFS(C2037&lt;=15,"Children and Young Adolescents", C2037&gt;64, "Seniors", TRUE, "Working Age")</f>
        <v>Working Age</v>
      </c>
      <c r="J2037" s="6">
        <f>VLOOKUP(F2037,Analysis!$F$1:$G$5,2,FALSE)</f>
        <v>2496.7676064256989</v>
      </c>
      <c r="K2037">
        <f t="shared" si="124"/>
        <v>3850.71</v>
      </c>
      <c r="L2037">
        <f t="shared" si="125"/>
        <v>3850.7200000000003</v>
      </c>
      <c r="M2037">
        <f t="shared" si="126"/>
        <v>3850.72</v>
      </c>
      <c r="N2037" s="5" t="str">
        <f t="shared" si="127"/>
        <v>October 2022</v>
      </c>
    </row>
    <row r="2038" spans="1:14" x14ac:dyDescent="0.25">
      <c r="A2038" s="1">
        <v>44858</v>
      </c>
      <c r="B2038" t="s">
        <v>4706</v>
      </c>
      <c r="C2038">
        <v>10</v>
      </c>
      <c r="D2038" t="s">
        <v>21</v>
      </c>
      <c r="E2038" t="s">
        <v>34</v>
      </c>
      <c r="F2038" t="s">
        <v>23</v>
      </c>
      <c r="G2038" t="s">
        <v>12</v>
      </c>
      <c r="H2038">
        <v>4672.05</v>
      </c>
      <c r="I2038" s="8" t="str" cm="1">
        <f t="array" ref="I2038">_xlfn.IFS(C2038&lt;=15,"Children and Young Adolescents", C2038&gt;64, "Seniors", TRUE, "Working Age")</f>
        <v>Children and Young Adolescents</v>
      </c>
      <c r="J2038" s="6">
        <f>VLOOKUP(F2038,Analysis!$F$1:$G$5,2,FALSE)</f>
        <v>2440.2966694490838</v>
      </c>
      <c r="K2038">
        <f t="shared" si="124"/>
        <v>5139.25</v>
      </c>
      <c r="L2038">
        <f t="shared" si="125"/>
        <v>5139.26</v>
      </c>
      <c r="M2038">
        <f t="shared" si="126"/>
        <v>5139.26</v>
      </c>
      <c r="N2038" s="5" t="str">
        <f t="shared" si="127"/>
        <v>October 2022</v>
      </c>
    </row>
    <row r="2039" spans="1:14" x14ac:dyDescent="0.25">
      <c r="A2039" s="1">
        <v>44858</v>
      </c>
      <c r="B2039" t="s">
        <v>3168</v>
      </c>
      <c r="C2039">
        <v>41</v>
      </c>
      <c r="D2039" t="s">
        <v>9</v>
      </c>
      <c r="E2039" t="s">
        <v>34</v>
      </c>
      <c r="F2039" t="s">
        <v>16</v>
      </c>
      <c r="G2039" t="s">
        <v>17</v>
      </c>
      <c r="H2039">
        <v>1583.92</v>
      </c>
      <c r="I2039" s="8" t="str" cm="1">
        <f t="array" ref="I2039">_xlfn.IFS(C2039&lt;=15,"Children and Young Adolescents", C2039&gt;64, "Seniors", TRUE, "Working Age")</f>
        <v>Working Age</v>
      </c>
      <c r="J2039" s="6">
        <f>VLOOKUP(F2039,Analysis!$F$1:$G$5,2,FALSE)</f>
        <v>2509.1716796874912</v>
      </c>
      <c r="K2039">
        <f t="shared" si="124"/>
        <v>1742.31</v>
      </c>
      <c r="L2039">
        <f t="shared" si="125"/>
        <v>1742.32</v>
      </c>
      <c r="M2039">
        <f t="shared" si="126"/>
        <v>1742.31</v>
      </c>
      <c r="N2039" s="5" t="str">
        <f t="shared" si="127"/>
        <v>October 2022</v>
      </c>
    </row>
    <row r="2040" spans="1:14" x14ac:dyDescent="0.25">
      <c r="A2040" s="1">
        <v>44859</v>
      </c>
      <c r="B2040" t="s">
        <v>3427</v>
      </c>
      <c r="C2040">
        <v>6</v>
      </c>
      <c r="D2040" t="s">
        <v>21</v>
      </c>
      <c r="E2040" t="s">
        <v>25</v>
      </c>
      <c r="F2040" t="s">
        <v>29</v>
      </c>
      <c r="G2040" t="s">
        <v>27</v>
      </c>
      <c r="H2040">
        <v>294.7</v>
      </c>
      <c r="I2040" s="8" t="str" cm="1">
        <f t="array" ref="I2040">_xlfn.IFS(C2040&lt;=15,"Children and Young Adolescents", C2040&gt;64, "Seniors", TRUE, "Working Age")</f>
        <v>Children and Young Adolescents</v>
      </c>
      <c r="J2040" s="6">
        <f>VLOOKUP(F2040,Analysis!$F$1:$G$5,2,FALSE)</f>
        <v>2496.7676064256989</v>
      </c>
      <c r="K2040">
        <f t="shared" si="124"/>
        <v>324.17</v>
      </c>
      <c r="L2040">
        <f t="shared" si="125"/>
        <v>324.17</v>
      </c>
      <c r="M2040">
        <f t="shared" si="126"/>
        <v>324.17</v>
      </c>
      <c r="N2040" s="5" t="str">
        <f t="shared" si="127"/>
        <v>October 2022</v>
      </c>
    </row>
    <row r="2041" spans="1:14" x14ac:dyDescent="0.25">
      <c r="A2041" s="1">
        <v>44859</v>
      </c>
      <c r="B2041" t="s">
        <v>4331</v>
      </c>
      <c r="C2041">
        <v>64</v>
      </c>
      <c r="D2041" t="s">
        <v>9</v>
      </c>
      <c r="E2041" t="s">
        <v>5032</v>
      </c>
      <c r="F2041" t="s">
        <v>16</v>
      </c>
      <c r="G2041" t="s">
        <v>17</v>
      </c>
      <c r="H2041">
        <v>4519.78</v>
      </c>
      <c r="I2041" s="8" t="str" cm="1">
        <f t="array" ref="I2041">_xlfn.IFS(C2041&lt;=15,"Children and Young Adolescents", C2041&gt;64, "Seniors", TRUE, "Working Age")</f>
        <v>Working Age</v>
      </c>
      <c r="J2041" s="6">
        <f>VLOOKUP(F2041,Analysis!$F$1:$G$5,2,FALSE)</f>
        <v>2509.1716796874912</v>
      </c>
      <c r="K2041">
        <f t="shared" si="124"/>
        <v>4971.75</v>
      </c>
      <c r="L2041">
        <f t="shared" si="125"/>
        <v>4971.76</v>
      </c>
      <c r="M2041">
        <f t="shared" si="126"/>
        <v>4971.76</v>
      </c>
      <c r="N2041" s="5" t="str">
        <f t="shared" si="127"/>
        <v>October 2022</v>
      </c>
    </row>
    <row r="2042" spans="1:14" x14ac:dyDescent="0.25">
      <c r="A2042" s="1">
        <v>44859</v>
      </c>
      <c r="B2042" t="s">
        <v>1234</v>
      </c>
      <c r="C2042">
        <v>41</v>
      </c>
      <c r="D2042" t="s">
        <v>21</v>
      </c>
      <c r="E2042" t="s">
        <v>22</v>
      </c>
      <c r="F2042" t="s">
        <v>23</v>
      </c>
      <c r="G2042" t="s">
        <v>12</v>
      </c>
      <c r="H2042">
        <v>4473.32</v>
      </c>
      <c r="I2042" s="8" t="str" cm="1">
        <f t="array" ref="I2042">_xlfn.IFS(C2042&lt;=15,"Children and Young Adolescents", C2042&gt;64, "Seniors", TRUE, "Working Age")</f>
        <v>Working Age</v>
      </c>
      <c r="J2042" s="6">
        <f>VLOOKUP(F2042,Analysis!$F$1:$G$5,2,FALSE)</f>
        <v>2440.2966694490838</v>
      </c>
      <c r="K2042">
        <f t="shared" si="124"/>
        <v>4920.6499999999996</v>
      </c>
      <c r="L2042">
        <f t="shared" si="125"/>
        <v>4920.66</v>
      </c>
      <c r="M2042">
        <f t="shared" si="126"/>
        <v>4920.6499999999996</v>
      </c>
      <c r="N2042" s="5" t="str">
        <f t="shared" si="127"/>
        <v>October 2022</v>
      </c>
    </row>
    <row r="2043" spans="1:14" x14ac:dyDescent="0.25">
      <c r="A2043" s="1">
        <v>44859</v>
      </c>
      <c r="B2043" t="s">
        <v>3072</v>
      </c>
      <c r="C2043">
        <v>88</v>
      </c>
      <c r="D2043" t="s">
        <v>21</v>
      </c>
      <c r="E2043" t="s">
        <v>25</v>
      </c>
      <c r="F2043" t="s">
        <v>29</v>
      </c>
      <c r="G2043" t="s">
        <v>5033</v>
      </c>
      <c r="H2043">
        <v>4745.57</v>
      </c>
      <c r="I2043" s="8" t="str" cm="1">
        <f t="array" ref="I2043">_xlfn.IFS(C2043&lt;=15,"Children and Young Adolescents", C2043&gt;64, "Seniors", TRUE, "Working Age")</f>
        <v>Seniors</v>
      </c>
      <c r="J2043" s="6">
        <f>VLOOKUP(F2043,Analysis!$F$1:$G$5,2,FALSE)</f>
        <v>2496.7676064256989</v>
      </c>
      <c r="K2043">
        <f t="shared" si="124"/>
        <v>5220.12</v>
      </c>
      <c r="L2043">
        <f t="shared" si="125"/>
        <v>5220.13</v>
      </c>
      <c r="M2043">
        <f t="shared" si="126"/>
        <v>5220.13</v>
      </c>
      <c r="N2043" s="5" t="str">
        <f t="shared" si="127"/>
        <v>October 2022</v>
      </c>
    </row>
    <row r="2044" spans="1:14" x14ac:dyDescent="0.25">
      <c r="A2044" s="1">
        <v>44859</v>
      </c>
      <c r="B2044" t="s">
        <v>3294</v>
      </c>
      <c r="C2044">
        <v>33</v>
      </c>
      <c r="D2044" t="s">
        <v>21</v>
      </c>
      <c r="E2044" t="s">
        <v>25</v>
      </c>
      <c r="F2044" t="s">
        <v>16</v>
      </c>
      <c r="G2044" t="s">
        <v>12</v>
      </c>
      <c r="H2044">
        <v>3490.45</v>
      </c>
      <c r="I2044" s="8" t="str" cm="1">
        <f t="array" ref="I2044">_xlfn.IFS(C2044&lt;=15,"Children and Young Adolescents", C2044&gt;64, "Seniors", TRUE, "Working Age")</f>
        <v>Working Age</v>
      </c>
      <c r="J2044" s="6">
        <f>VLOOKUP(F2044,Analysis!$F$1:$G$5,2,FALSE)</f>
        <v>2509.1716796874912</v>
      </c>
      <c r="K2044">
        <f t="shared" si="124"/>
        <v>3839.49</v>
      </c>
      <c r="L2044">
        <f t="shared" si="125"/>
        <v>3839.5</v>
      </c>
      <c r="M2044">
        <f t="shared" si="126"/>
        <v>3839.5</v>
      </c>
      <c r="N2044" s="5" t="str">
        <f t="shared" si="127"/>
        <v>October 2022</v>
      </c>
    </row>
    <row r="2045" spans="1:14" x14ac:dyDescent="0.25">
      <c r="A2045" s="1">
        <v>44859</v>
      </c>
      <c r="B2045" t="s">
        <v>4118</v>
      </c>
      <c r="C2045">
        <v>4</v>
      </c>
      <c r="D2045" t="s">
        <v>9</v>
      </c>
      <c r="E2045" t="s">
        <v>10</v>
      </c>
      <c r="F2045" t="s">
        <v>11</v>
      </c>
      <c r="G2045" t="s">
        <v>17</v>
      </c>
      <c r="H2045">
        <v>735.43</v>
      </c>
      <c r="I2045" s="8" t="str" cm="1">
        <f t="array" ref="I2045">_xlfn.IFS(C2045&lt;=15,"Children and Young Adolescents", C2045&gt;64, "Seniors", TRUE, "Working Age")</f>
        <v>Children and Young Adolescents</v>
      </c>
      <c r="J2045" s="6">
        <f>VLOOKUP(F2045,Analysis!$F$1:$G$5,2,FALSE)</f>
        <v>2503.6022787783854</v>
      </c>
      <c r="K2045">
        <f t="shared" si="124"/>
        <v>808.97</v>
      </c>
      <c r="L2045">
        <f t="shared" si="125"/>
        <v>808.98</v>
      </c>
      <c r="M2045">
        <f t="shared" si="126"/>
        <v>808.97</v>
      </c>
      <c r="N2045" s="5" t="str">
        <f t="shared" si="127"/>
        <v>October 2022</v>
      </c>
    </row>
    <row r="2046" spans="1:14" x14ac:dyDescent="0.25">
      <c r="A2046" s="1">
        <v>44859</v>
      </c>
      <c r="B2046" t="s">
        <v>2613</v>
      </c>
      <c r="C2046">
        <v>39</v>
      </c>
      <c r="D2046" t="s">
        <v>21</v>
      </c>
      <c r="E2046" t="s">
        <v>34</v>
      </c>
      <c r="F2046" t="s">
        <v>16</v>
      </c>
      <c r="G2046" t="s">
        <v>12</v>
      </c>
      <c r="H2046">
        <v>617.46</v>
      </c>
      <c r="I2046" s="8" t="str" cm="1">
        <f t="array" ref="I2046">_xlfn.IFS(C2046&lt;=15,"Children and Young Adolescents", C2046&gt;64, "Seniors", TRUE, "Working Age")</f>
        <v>Working Age</v>
      </c>
      <c r="J2046" s="6">
        <f>VLOOKUP(F2046,Analysis!$F$1:$G$5,2,FALSE)</f>
        <v>2509.1716796874912</v>
      </c>
      <c r="K2046">
        <f t="shared" si="124"/>
        <v>679.2</v>
      </c>
      <c r="L2046">
        <f t="shared" si="125"/>
        <v>679.21</v>
      </c>
      <c r="M2046">
        <f t="shared" si="126"/>
        <v>679.21</v>
      </c>
      <c r="N2046" s="5" t="str">
        <f t="shared" si="127"/>
        <v>October 2022</v>
      </c>
    </row>
    <row r="2047" spans="1:14" x14ac:dyDescent="0.25">
      <c r="A2047" s="1">
        <v>44860</v>
      </c>
      <c r="B2047" t="s">
        <v>2754</v>
      </c>
      <c r="C2047">
        <v>44</v>
      </c>
      <c r="D2047" t="s">
        <v>9</v>
      </c>
      <c r="E2047" t="s">
        <v>25</v>
      </c>
      <c r="F2047" t="s">
        <v>16</v>
      </c>
      <c r="G2047" t="s">
        <v>17</v>
      </c>
      <c r="H2047">
        <v>3272.02</v>
      </c>
      <c r="I2047" s="8" t="str" cm="1">
        <f t="array" ref="I2047">_xlfn.IFS(C2047&lt;=15,"Children and Young Adolescents", C2047&gt;64, "Seniors", TRUE, "Working Age")</f>
        <v>Working Age</v>
      </c>
      <c r="J2047" s="6">
        <f>VLOOKUP(F2047,Analysis!$F$1:$G$5,2,FALSE)</f>
        <v>2509.1716796874912</v>
      </c>
      <c r="K2047">
        <f t="shared" si="124"/>
        <v>3599.22</v>
      </c>
      <c r="L2047">
        <f t="shared" si="125"/>
        <v>3599.23</v>
      </c>
      <c r="M2047">
        <f t="shared" si="126"/>
        <v>3599.22</v>
      </c>
      <c r="N2047" s="5" t="str">
        <f t="shared" si="127"/>
        <v>October 2022</v>
      </c>
    </row>
    <row r="2048" spans="1:14" x14ac:dyDescent="0.25">
      <c r="A2048" s="1">
        <v>44860</v>
      </c>
      <c r="B2048" t="s">
        <v>2710</v>
      </c>
      <c r="C2048">
        <v>27</v>
      </c>
      <c r="D2048" t="s">
        <v>21</v>
      </c>
      <c r="E2048" t="s">
        <v>19</v>
      </c>
      <c r="F2048" t="s">
        <v>23</v>
      </c>
      <c r="G2048" t="s">
        <v>36</v>
      </c>
      <c r="H2048">
        <v>4031.59</v>
      </c>
      <c r="I2048" s="8" t="str" cm="1">
        <f t="array" ref="I2048">_xlfn.IFS(C2048&lt;=15,"Children and Young Adolescents", C2048&gt;64, "Seniors", TRUE, "Working Age")</f>
        <v>Working Age</v>
      </c>
      <c r="J2048" s="6">
        <f>VLOOKUP(F2048,Analysis!$F$1:$G$5,2,FALSE)</f>
        <v>2440.2966694490838</v>
      </c>
      <c r="K2048">
        <f t="shared" si="124"/>
        <v>4434.74</v>
      </c>
      <c r="L2048">
        <f t="shared" si="125"/>
        <v>4434.75</v>
      </c>
      <c r="M2048">
        <f t="shared" si="126"/>
        <v>4434.75</v>
      </c>
      <c r="N2048" s="5" t="str">
        <f t="shared" si="127"/>
        <v>October 2022</v>
      </c>
    </row>
    <row r="2049" spans="1:14" x14ac:dyDescent="0.25">
      <c r="A2049" s="1">
        <v>44860</v>
      </c>
      <c r="B2049" t="s">
        <v>1567</v>
      </c>
      <c r="C2049">
        <v>8</v>
      </c>
      <c r="D2049" t="s">
        <v>14</v>
      </c>
      <c r="E2049" t="s">
        <v>22</v>
      </c>
      <c r="F2049" t="s">
        <v>23</v>
      </c>
      <c r="G2049" t="s">
        <v>27</v>
      </c>
      <c r="H2049">
        <v>4963.9399999999996</v>
      </c>
      <c r="I2049" s="8" t="str" cm="1">
        <f t="array" ref="I2049">_xlfn.IFS(C2049&lt;=15,"Children and Young Adolescents", C2049&gt;64, "Seniors", TRUE, "Working Age")</f>
        <v>Children and Young Adolescents</v>
      </c>
      <c r="J2049" s="6">
        <f>VLOOKUP(F2049,Analysis!$F$1:$G$5,2,FALSE)</f>
        <v>2440.2966694490838</v>
      </c>
      <c r="K2049">
        <f t="shared" si="124"/>
        <v>5460.33</v>
      </c>
      <c r="L2049">
        <f t="shared" si="125"/>
        <v>5460.34</v>
      </c>
      <c r="M2049">
        <f t="shared" si="126"/>
        <v>5460.33</v>
      </c>
      <c r="N2049" s="5" t="str">
        <f t="shared" si="127"/>
        <v>October 2022</v>
      </c>
    </row>
    <row r="2050" spans="1:14" x14ac:dyDescent="0.25">
      <c r="A2050" s="1">
        <v>44860</v>
      </c>
      <c r="B2050" t="s">
        <v>3734</v>
      </c>
      <c r="C2050">
        <v>90</v>
      </c>
      <c r="D2050" t="s">
        <v>21</v>
      </c>
      <c r="E2050" t="s">
        <v>15</v>
      </c>
      <c r="F2050" t="s">
        <v>29</v>
      </c>
      <c r="G2050" t="s">
        <v>39</v>
      </c>
      <c r="H2050">
        <v>1910.95</v>
      </c>
      <c r="I2050" s="8" t="str" cm="1">
        <f t="array" ref="I2050">_xlfn.IFS(C2050&lt;=15,"Children and Young Adolescents", C2050&gt;64, "Seniors", TRUE, "Working Age")</f>
        <v>Seniors</v>
      </c>
      <c r="J2050" s="6">
        <f>VLOOKUP(F2050,Analysis!$F$1:$G$5,2,FALSE)</f>
        <v>2496.7676064256989</v>
      </c>
      <c r="K2050">
        <f t="shared" si="124"/>
        <v>2102.04</v>
      </c>
      <c r="L2050">
        <f t="shared" si="125"/>
        <v>2102.0500000000002</v>
      </c>
      <c r="M2050">
        <f t="shared" si="126"/>
        <v>2102.0500000000002</v>
      </c>
      <c r="N2050" s="5" t="str">
        <f t="shared" si="127"/>
        <v>October 2022</v>
      </c>
    </row>
    <row r="2051" spans="1:14" x14ac:dyDescent="0.25">
      <c r="A2051" s="1">
        <v>44860</v>
      </c>
      <c r="B2051" t="s">
        <v>4350</v>
      </c>
      <c r="C2051">
        <v>28</v>
      </c>
      <c r="D2051" t="s">
        <v>14</v>
      </c>
      <c r="E2051" t="s">
        <v>25</v>
      </c>
      <c r="F2051" t="s">
        <v>16</v>
      </c>
      <c r="G2051" t="s">
        <v>17</v>
      </c>
      <c r="H2051">
        <v>1110.53</v>
      </c>
      <c r="I2051" s="8" t="str" cm="1">
        <f t="array" ref="I2051">_xlfn.IFS(C2051&lt;=15,"Children and Young Adolescents", C2051&gt;64, "Seniors", TRUE, "Working Age")</f>
        <v>Working Age</v>
      </c>
      <c r="J2051" s="6">
        <f>VLOOKUP(F2051,Analysis!$F$1:$G$5,2,FALSE)</f>
        <v>2509.1716796874912</v>
      </c>
      <c r="K2051">
        <f t="shared" ref="K2051:K2114" si="128">ROUNDDOWN(H2051*1.1,2)</f>
        <v>1221.58</v>
      </c>
      <c r="L2051">
        <f t="shared" ref="L2051:L2114" si="129">ROUNDUP(H2051*1.1,2)</f>
        <v>1221.5899999999999</v>
      </c>
      <c r="M2051">
        <f t="shared" ref="M2051:M2114" si="130">ROUND(H2051*1.1,2)</f>
        <v>1221.58</v>
      </c>
      <c r="N2051" s="5" t="str">
        <f t="shared" ref="N2051:N2114" si="131">TEXT(A2051,"mmmm yyyy")</f>
        <v>October 2022</v>
      </c>
    </row>
    <row r="2052" spans="1:14" x14ac:dyDescent="0.25">
      <c r="A2052" s="1">
        <v>44860</v>
      </c>
      <c r="B2052" t="s">
        <v>1807</v>
      </c>
      <c r="C2052">
        <v>83</v>
      </c>
      <c r="D2052" t="s">
        <v>9</v>
      </c>
      <c r="E2052" t="s">
        <v>32</v>
      </c>
      <c r="F2052" t="s">
        <v>16</v>
      </c>
      <c r="G2052" t="s">
        <v>12</v>
      </c>
      <c r="H2052">
        <v>923.2</v>
      </c>
      <c r="I2052" s="8" t="str" cm="1">
        <f t="array" ref="I2052">_xlfn.IFS(C2052&lt;=15,"Children and Young Adolescents", C2052&gt;64, "Seniors", TRUE, "Working Age")</f>
        <v>Seniors</v>
      </c>
      <c r="J2052" s="6">
        <f>VLOOKUP(F2052,Analysis!$F$1:$G$5,2,FALSE)</f>
        <v>2509.1716796874912</v>
      </c>
      <c r="K2052">
        <f t="shared" si="128"/>
        <v>1015.52</v>
      </c>
      <c r="L2052">
        <f t="shared" si="129"/>
        <v>1015.52</v>
      </c>
      <c r="M2052">
        <f t="shared" si="130"/>
        <v>1015.52</v>
      </c>
      <c r="N2052" s="5" t="str">
        <f t="shared" si="131"/>
        <v>October 2022</v>
      </c>
    </row>
    <row r="2053" spans="1:14" x14ac:dyDescent="0.25">
      <c r="A2053" s="1">
        <v>44860</v>
      </c>
      <c r="B2053" t="s">
        <v>1017</v>
      </c>
      <c r="C2053">
        <v>74</v>
      </c>
      <c r="D2053" t="s">
        <v>21</v>
      </c>
      <c r="E2053" t="s">
        <v>5032</v>
      </c>
      <c r="F2053" t="s">
        <v>11</v>
      </c>
      <c r="G2053" t="s">
        <v>27</v>
      </c>
      <c r="H2053">
        <v>4365.58</v>
      </c>
      <c r="I2053" s="8" t="str" cm="1">
        <f t="array" ref="I2053">_xlfn.IFS(C2053&lt;=15,"Children and Young Adolescents", C2053&gt;64, "Seniors", TRUE, "Working Age")</f>
        <v>Seniors</v>
      </c>
      <c r="J2053" s="6">
        <f>VLOOKUP(F2053,Analysis!$F$1:$G$5,2,FALSE)</f>
        <v>2503.6022787783854</v>
      </c>
      <c r="K2053">
        <f t="shared" si="128"/>
        <v>4802.13</v>
      </c>
      <c r="L2053">
        <f t="shared" si="129"/>
        <v>4802.1400000000003</v>
      </c>
      <c r="M2053">
        <f t="shared" si="130"/>
        <v>4802.1400000000003</v>
      </c>
      <c r="N2053" s="5" t="str">
        <f t="shared" si="131"/>
        <v>October 2022</v>
      </c>
    </row>
    <row r="2054" spans="1:14" x14ac:dyDescent="0.25">
      <c r="A2054" s="1">
        <v>44860</v>
      </c>
      <c r="B2054" t="s">
        <v>3720</v>
      </c>
      <c r="C2054">
        <v>57</v>
      </c>
      <c r="D2054" t="s">
        <v>21</v>
      </c>
      <c r="E2054" t="s">
        <v>22</v>
      </c>
      <c r="F2054" t="s">
        <v>11</v>
      </c>
      <c r="G2054" t="s">
        <v>12</v>
      </c>
      <c r="H2054">
        <v>2478.0500000000002</v>
      </c>
      <c r="I2054" s="8" t="str" cm="1">
        <f t="array" ref="I2054">_xlfn.IFS(C2054&lt;=15,"Children and Young Adolescents", C2054&gt;64, "Seniors", TRUE, "Working Age")</f>
        <v>Working Age</v>
      </c>
      <c r="J2054" s="6">
        <f>VLOOKUP(F2054,Analysis!$F$1:$G$5,2,FALSE)</f>
        <v>2503.6022787783854</v>
      </c>
      <c r="K2054">
        <f t="shared" si="128"/>
        <v>2725.85</v>
      </c>
      <c r="L2054">
        <f t="shared" si="129"/>
        <v>2725.86</v>
      </c>
      <c r="M2054">
        <f t="shared" si="130"/>
        <v>2725.86</v>
      </c>
      <c r="N2054" s="5" t="str">
        <f t="shared" si="131"/>
        <v>October 2022</v>
      </c>
    </row>
    <row r="2055" spans="1:14" x14ac:dyDescent="0.25">
      <c r="A2055" s="1">
        <v>44860</v>
      </c>
      <c r="B2055" t="s">
        <v>4642</v>
      </c>
      <c r="C2055">
        <v>42</v>
      </c>
      <c r="D2055" t="s">
        <v>9</v>
      </c>
      <c r="E2055" t="s">
        <v>22</v>
      </c>
      <c r="F2055" t="s">
        <v>16</v>
      </c>
      <c r="G2055" t="s">
        <v>39</v>
      </c>
      <c r="H2055">
        <v>3057.58</v>
      </c>
      <c r="I2055" s="8" t="str" cm="1">
        <f t="array" ref="I2055">_xlfn.IFS(C2055&lt;=15,"Children and Young Adolescents", C2055&gt;64, "Seniors", TRUE, "Working Age")</f>
        <v>Working Age</v>
      </c>
      <c r="J2055" s="6">
        <f>VLOOKUP(F2055,Analysis!$F$1:$G$5,2,FALSE)</f>
        <v>2509.1716796874912</v>
      </c>
      <c r="K2055">
        <f t="shared" si="128"/>
        <v>3363.33</v>
      </c>
      <c r="L2055">
        <f t="shared" si="129"/>
        <v>3363.34</v>
      </c>
      <c r="M2055">
        <f t="shared" si="130"/>
        <v>3363.34</v>
      </c>
      <c r="N2055" s="5" t="str">
        <f t="shared" si="131"/>
        <v>October 2022</v>
      </c>
    </row>
    <row r="2056" spans="1:14" x14ac:dyDescent="0.25">
      <c r="A2056" s="1">
        <v>44860</v>
      </c>
      <c r="B2056" t="s">
        <v>2889</v>
      </c>
      <c r="C2056">
        <v>61</v>
      </c>
      <c r="D2056" t="s">
        <v>21</v>
      </c>
      <c r="E2056" t="s">
        <v>5032</v>
      </c>
      <c r="F2056" t="s">
        <v>11</v>
      </c>
      <c r="G2056" t="s">
        <v>12</v>
      </c>
      <c r="H2056">
        <v>2048.48</v>
      </c>
      <c r="I2056" s="8" t="str" cm="1">
        <f t="array" ref="I2056">_xlfn.IFS(C2056&lt;=15,"Children and Young Adolescents", C2056&gt;64, "Seniors", TRUE, "Working Age")</f>
        <v>Working Age</v>
      </c>
      <c r="J2056" s="6">
        <f>VLOOKUP(F2056,Analysis!$F$1:$G$5,2,FALSE)</f>
        <v>2503.6022787783854</v>
      </c>
      <c r="K2056">
        <f t="shared" si="128"/>
        <v>2253.3200000000002</v>
      </c>
      <c r="L2056">
        <f t="shared" si="129"/>
        <v>2253.3300000000004</v>
      </c>
      <c r="M2056">
        <f t="shared" si="130"/>
        <v>2253.33</v>
      </c>
      <c r="N2056" s="5" t="str">
        <f t="shared" si="131"/>
        <v>October 2022</v>
      </c>
    </row>
    <row r="2057" spans="1:14" x14ac:dyDescent="0.25">
      <c r="A2057" s="1">
        <v>44861</v>
      </c>
      <c r="B2057" t="s">
        <v>2753</v>
      </c>
      <c r="C2057">
        <v>16</v>
      </c>
      <c r="D2057" t="s">
        <v>14</v>
      </c>
      <c r="E2057" t="s">
        <v>22</v>
      </c>
      <c r="F2057" t="s">
        <v>16</v>
      </c>
      <c r="G2057" t="s">
        <v>12</v>
      </c>
      <c r="H2057">
        <v>3826.88</v>
      </c>
      <c r="I2057" s="8" t="str" cm="1">
        <f t="array" ref="I2057">_xlfn.IFS(C2057&lt;=15,"Children and Young Adolescents", C2057&gt;64, "Seniors", TRUE, "Working Age")</f>
        <v>Working Age</v>
      </c>
      <c r="J2057" s="6">
        <f>VLOOKUP(F2057,Analysis!$F$1:$G$5,2,FALSE)</f>
        <v>2509.1716796874912</v>
      </c>
      <c r="K2057">
        <f t="shared" si="128"/>
        <v>4209.5600000000004</v>
      </c>
      <c r="L2057">
        <f t="shared" si="129"/>
        <v>4209.5700000000006</v>
      </c>
      <c r="M2057">
        <f t="shared" si="130"/>
        <v>4209.57</v>
      </c>
      <c r="N2057" s="5" t="str">
        <f t="shared" si="131"/>
        <v>October 2022</v>
      </c>
    </row>
    <row r="2058" spans="1:14" x14ac:dyDescent="0.25">
      <c r="A2058" s="1">
        <v>44861</v>
      </c>
      <c r="B2058" t="s">
        <v>1380</v>
      </c>
      <c r="C2058">
        <v>10</v>
      </c>
      <c r="D2058" t="s">
        <v>21</v>
      </c>
      <c r="E2058" t="s">
        <v>25</v>
      </c>
      <c r="F2058" t="s">
        <v>11</v>
      </c>
      <c r="G2058" t="s">
        <v>36</v>
      </c>
      <c r="H2058">
        <v>1696.32</v>
      </c>
      <c r="I2058" s="8" t="str" cm="1">
        <f t="array" ref="I2058">_xlfn.IFS(C2058&lt;=15,"Children and Young Adolescents", C2058&gt;64, "Seniors", TRUE, "Working Age")</f>
        <v>Children and Young Adolescents</v>
      </c>
      <c r="J2058" s="6">
        <f>VLOOKUP(F2058,Analysis!$F$1:$G$5,2,FALSE)</f>
        <v>2503.6022787783854</v>
      </c>
      <c r="K2058">
        <f t="shared" si="128"/>
        <v>1865.95</v>
      </c>
      <c r="L2058">
        <f t="shared" si="129"/>
        <v>1865.96</v>
      </c>
      <c r="M2058">
        <f t="shared" si="130"/>
        <v>1865.95</v>
      </c>
      <c r="N2058" s="5" t="str">
        <f t="shared" si="131"/>
        <v>October 2022</v>
      </c>
    </row>
    <row r="2059" spans="1:14" x14ac:dyDescent="0.25">
      <c r="A2059" s="1">
        <v>44861</v>
      </c>
      <c r="B2059" t="s">
        <v>4270</v>
      </c>
      <c r="C2059">
        <v>7</v>
      </c>
      <c r="D2059" t="s">
        <v>9</v>
      </c>
      <c r="E2059" t="s">
        <v>32</v>
      </c>
      <c r="F2059" t="s">
        <v>11</v>
      </c>
      <c r="G2059" t="s">
        <v>39</v>
      </c>
      <c r="H2059">
        <v>1001.78</v>
      </c>
      <c r="I2059" s="8" t="str" cm="1">
        <f t="array" ref="I2059">_xlfn.IFS(C2059&lt;=15,"Children and Young Adolescents", C2059&gt;64, "Seniors", TRUE, "Working Age")</f>
        <v>Children and Young Adolescents</v>
      </c>
      <c r="J2059" s="6">
        <f>VLOOKUP(F2059,Analysis!$F$1:$G$5,2,FALSE)</f>
        <v>2503.6022787783854</v>
      </c>
      <c r="K2059">
        <f t="shared" si="128"/>
        <v>1101.95</v>
      </c>
      <c r="L2059">
        <f t="shared" si="129"/>
        <v>1101.96</v>
      </c>
      <c r="M2059">
        <f t="shared" si="130"/>
        <v>1101.96</v>
      </c>
      <c r="N2059" s="5" t="str">
        <f t="shared" si="131"/>
        <v>October 2022</v>
      </c>
    </row>
    <row r="2060" spans="1:14" x14ac:dyDescent="0.25">
      <c r="A2060" s="1">
        <v>44861</v>
      </c>
      <c r="B2060" t="s">
        <v>861</v>
      </c>
      <c r="C2060">
        <v>81</v>
      </c>
      <c r="D2060" t="s">
        <v>14</v>
      </c>
      <c r="E2060" t="s">
        <v>34</v>
      </c>
      <c r="F2060" t="s">
        <v>29</v>
      </c>
      <c r="G2060" t="s">
        <v>17</v>
      </c>
      <c r="H2060">
        <v>3927.47</v>
      </c>
      <c r="I2060" s="8" t="str" cm="1">
        <f t="array" ref="I2060">_xlfn.IFS(C2060&lt;=15,"Children and Young Adolescents", C2060&gt;64, "Seniors", TRUE, "Working Age")</f>
        <v>Seniors</v>
      </c>
      <c r="J2060" s="6">
        <f>VLOOKUP(F2060,Analysis!$F$1:$G$5,2,FALSE)</f>
        <v>2496.7676064256989</v>
      </c>
      <c r="K2060">
        <f t="shared" si="128"/>
        <v>4320.21</v>
      </c>
      <c r="L2060">
        <f t="shared" si="129"/>
        <v>4320.22</v>
      </c>
      <c r="M2060">
        <f t="shared" si="130"/>
        <v>4320.22</v>
      </c>
      <c r="N2060" s="5" t="str">
        <f t="shared" si="131"/>
        <v>October 2022</v>
      </c>
    </row>
    <row r="2061" spans="1:14" x14ac:dyDescent="0.25">
      <c r="A2061" s="1">
        <v>44861</v>
      </c>
      <c r="B2061" t="s">
        <v>4695</v>
      </c>
      <c r="C2061">
        <v>67</v>
      </c>
      <c r="D2061" t="s">
        <v>21</v>
      </c>
      <c r="E2061" t="s">
        <v>22</v>
      </c>
      <c r="F2061" t="s">
        <v>23</v>
      </c>
      <c r="G2061" t="s">
        <v>39</v>
      </c>
      <c r="H2061">
        <v>3602.37</v>
      </c>
      <c r="I2061" s="8" t="str" cm="1">
        <f t="array" ref="I2061">_xlfn.IFS(C2061&lt;=15,"Children and Young Adolescents", C2061&gt;64, "Seniors", TRUE, "Working Age")</f>
        <v>Seniors</v>
      </c>
      <c r="J2061" s="6">
        <f>VLOOKUP(F2061,Analysis!$F$1:$G$5,2,FALSE)</f>
        <v>2440.2966694490838</v>
      </c>
      <c r="K2061">
        <f t="shared" si="128"/>
        <v>3962.6</v>
      </c>
      <c r="L2061">
        <f t="shared" si="129"/>
        <v>3962.61</v>
      </c>
      <c r="M2061">
        <f t="shared" si="130"/>
        <v>3962.61</v>
      </c>
      <c r="N2061" s="5" t="str">
        <f t="shared" si="131"/>
        <v>October 2022</v>
      </c>
    </row>
    <row r="2062" spans="1:14" x14ac:dyDescent="0.25">
      <c r="A2062" s="1">
        <v>44861</v>
      </c>
      <c r="B2062" t="s">
        <v>2947</v>
      </c>
      <c r="C2062">
        <v>17</v>
      </c>
      <c r="D2062" t="s">
        <v>21</v>
      </c>
      <c r="E2062" t="s">
        <v>19</v>
      </c>
      <c r="F2062" t="s">
        <v>23</v>
      </c>
      <c r="G2062" t="s">
        <v>12</v>
      </c>
      <c r="H2062">
        <v>2354.34</v>
      </c>
      <c r="I2062" s="8" t="str" cm="1">
        <f t="array" ref="I2062">_xlfn.IFS(C2062&lt;=15,"Children and Young Adolescents", C2062&gt;64, "Seniors", TRUE, "Working Age")</f>
        <v>Working Age</v>
      </c>
      <c r="J2062" s="6">
        <f>VLOOKUP(F2062,Analysis!$F$1:$G$5,2,FALSE)</f>
        <v>2440.2966694490838</v>
      </c>
      <c r="K2062">
        <f t="shared" si="128"/>
        <v>2589.77</v>
      </c>
      <c r="L2062">
        <f t="shared" si="129"/>
        <v>2589.7800000000002</v>
      </c>
      <c r="M2062">
        <f t="shared" si="130"/>
        <v>2589.77</v>
      </c>
      <c r="N2062" s="5" t="str">
        <f t="shared" si="131"/>
        <v>October 2022</v>
      </c>
    </row>
    <row r="2063" spans="1:14" x14ac:dyDescent="0.25">
      <c r="A2063" s="1">
        <v>44861</v>
      </c>
      <c r="B2063" t="s">
        <v>4217</v>
      </c>
      <c r="C2063">
        <v>45</v>
      </c>
      <c r="D2063" t="s">
        <v>14</v>
      </c>
      <c r="E2063" t="s">
        <v>2808</v>
      </c>
      <c r="F2063" t="s">
        <v>23</v>
      </c>
      <c r="G2063" t="s">
        <v>17</v>
      </c>
      <c r="H2063">
        <v>4947.99</v>
      </c>
      <c r="I2063" s="8" t="str" cm="1">
        <f t="array" ref="I2063">_xlfn.IFS(C2063&lt;=15,"Children and Young Adolescents", C2063&gt;64, "Seniors", TRUE, "Working Age")</f>
        <v>Working Age</v>
      </c>
      <c r="J2063" s="6">
        <f>VLOOKUP(F2063,Analysis!$F$1:$G$5,2,FALSE)</f>
        <v>2440.2966694490838</v>
      </c>
      <c r="K2063">
        <f t="shared" si="128"/>
        <v>5442.78</v>
      </c>
      <c r="L2063">
        <f t="shared" si="129"/>
        <v>5442.79</v>
      </c>
      <c r="M2063">
        <f t="shared" si="130"/>
        <v>5442.79</v>
      </c>
      <c r="N2063" s="5" t="str">
        <f t="shared" si="131"/>
        <v>October 2022</v>
      </c>
    </row>
    <row r="2064" spans="1:14" x14ac:dyDescent="0.25">
      <c r="A2064" s="1">
        <v>44861</v>
      </c>
      <c r="B2064" t="s">
        <v>3126</v>
      </c>
      <c r="C2064">
        <v>1</v>
      </c>
      <c r="D2064" t="s">
        <v>9</v>
      </c>
      <c r="E2064" t="s">
        <v>32</v>
      </c>
      <c r="F2064" t="s">
        <v>16</v>
      </c>
      <c r="G2064" t="s">
        <v>36</v>
      </c>
      <c r="H2064">
        <v>4938.59</v>
      </c>
      <c r="I2064" s="8" t="str" cm="1">
        <f t="array" ref="I2064">_xlfn.IFS(C2064&lt;=15,"Children and Young Adolescents", C2064&gt;64, "Seniors", TRUE, "Working Age")</f>
        <v>Children and Young Adolescents</v>
      </c>
      <c r="J2064" s="6">
        <f>VLOOKUP(F2064,Analysis!$F$1:$G$5,2,FALSE)</f>
        <v>2509.1716796874912</v>
      </c>
      <c r="K2064">
        <f t="shared" si="128"/>
        <v>5432.44</v>
      </c>
      <c r="L2064">
        <f t="shared" si="129"/>
        <v>5432.45</v>
      </c>
      <c r="M2064">
        <f t="shared" si="130"/>
        <v>5432.45</v>
      </c>
      <c r="N2064" s="5" t="str">
        <f t="shared" si="131"/>
        <v>October 2022</v>
      </c>
    </row>
    <row r="2065" spans="1:14" x14ac:dyDescent="0.25">
      <c r="A2065" s="1">
        <v>44861</v>
      </c>
      <c r="B2065" t="s">
        <v>3550</v>
      </c>
      <c r="C2065">
        <v>87</v>
      </c>
      <c r="D2065" t="s">
        <v>9</v>
      </c>
      <c r="E2065" t="s">
        <v>15</v>
      </c>
      <c r="F2065" t="s">
        <v>16</v>
      </c>
      <c r="G2065" t="s">
        <v>12</v>
      </c>
      <c r="H2065">
        <v>702.8</v>
      </c>
      <c r="I2065" s="8" t="str" cm="1">
        <f t="array" ref="I2065">_xlfn.IFS(C2065&lt;=15,"Children and Young Adolescents", C2065&gt;64, "Seniors", TRUE, "Working Age")</f>
        <v>Seniors</v>
      </c>
      <c r="J2065" s="6">
        <f>VLOOKUP(F2065,Analysis!$F$1:$G$5,2,FALSE)</f>
        <v>2509.1716796874912</v>
      </c>
      <c r="K2065">
        <f t="shared" si="128"/>
        <v>773.08</v>
      </c>
      <c r="L2065">
        <f t="shared" si="129"/>
        <v>773.08</v>
      </c>
      <c r="M2065">
        <f t="shared" si="130"/>
        <v>773.08</v>
      </c>
      <c r="N2065" s="5" t="str">
        <f t="shared" si="131"/>
        <v>October 2022</v>
      </c>
    </row>
    <row r="2066" spans="1:14" x14ac:dyDescent="0.25">
      <c r="A2066" s="1">
        <v>44862</v>
      </c>
      <c r="B2066" t="s">
        <v>2578</v>
      </c>
      <c r="C2066">
        <v>94</v>
      </c>
      <c r="D2066" t="s">
        <v>21</v>
      </c>
      <c r="E2066" t="s">
        <v>15</v>
      </c>
      <c r="F2066" t="s">
        <v>23</v>
      </c>
      <c r="G2066" t="s">
        <v>12</v>
      </c>
      <c r="H2066">
        <v>4492.95</v>
      </c>
      <c r="I2066" s="8" t="str" cm="1">
        <f t="array" ref="I2066">_xlfn.IFS(C2066&lt;=15,"Children and Young Adolescents", C2066&gt;64, "Seniors", TRUE, "Working Age")</f>
        <v>Seniors</v>
      </c>
      <c r="J2066" s="6">
        <f>VLOOKUP(F2066,Analysis!$F$1:$G$5,2,FALSE)</f>
        <v>2440.2966694490838</v>
      </c>
      <c r="K2066">
        <f t="shared" si="128"/>
        <v>4942.24</v>
      </c>
      <c r="L2066">
        <f t="shared" si="129"/>
        <v>4942.25</v>
      </c>
      <c r="M2066">
        <f t="shared" si="130"/>
        <v>4942.25</v>
      </c>
      <c r="N2066" s="5" t="str">
        <f t="shared" si="131"/>
        <v>October 2022</v>
      </c>
    </row>
    <row r="2067" spans="1:14" x14ac:dyDescent="0.25">
      <c r="A2067" s="1">
        <v>44862</v>
      </c>
      <c r="B2067" t="s">
        <v>3156</v>
      </c>
      <c r="C2067">
        <v>13</v>
      </c>
      <c r="D2067" t="s">
        <v>14</v>
      </c>
      <c r="E2067" t="s">
        <v>15</v>
      </c>
      <c r="F2067" t="s">
        <v>11</v>
      </c>
      <c r="G2067" t="s">
        <v>36</v>
      </c>
      <c r="H2067">
        <v>813.17</v>
      </c>
      <c r="I2067" s="8" t="str" cm="1">
        <f t="array" ref="I2067">_xlfn.IFS(C2067&lt;=15,"Children and Young Adolescents", C2067&gt;64, "Seniors", TRUE, "Working Age")</f>
        <v>Children and Young Adolescents</v>
      </c>
      <c r="J2067" s="6">
        <f>VLOOKUP(F2067,Analysis!$F$1:$G$5,2,FALSE)</f>
        <v>2503.6022787783854</v>
      </c>
      <c r="K2067">
        <f t="shared" si="128"/>
        <v>894.48</v>
      </c>
      <c r="L2067">
        <f t="shared" si="129"/>
        <v>894.49</v>
      </c>
      <c r="M2067">
        <f t="shared" si="130"/>
        <v>894.49</v>
      </c>
      <c r="N2067" s="5" t="str">
        <f t="shared" si="131"/>
        <v>October 2022</v>
      </c>
    </row>
    <row r="2068" spans="1:14" x14ac:dyDescent="0.25">
      <c r="A2068" s="1">
        <v>44862</v>
      </c>
      <c r="B2068" t="s">
        <v>4400</v>
      </c>
      <c r="C2068">
        <v>64</v>
      </c>
      <c r="D2068" t="s">
        <v>21</v>
      </c>
      <c r="E2068" t="s">
        <v>25</v>
      </c>
      <c r="F2068" t="s">
        <v>16</v>
      </c>
      <c r="G2068" t="s">
        <v>36</v>
      </c>
      <c r="H2068">
        <v>4286.9399999999996</v>
      </c>
      <c r="I2068" s="8" t="str" cm="1">
        <f t="array" ref="I2068">_xlfn.IFS(C2068&lt;=15,"Children and Young Adolescents", C2068&gt;64, "Seniors", TRUE, "Working Age")</f>
        <v>Working Age</v>
      </c>
      <c r="J2068" s="6">
        <f>VLOOKUP(F2068,Analysis!$F$1:$G$5,2,FALSE)</f>
        <v>2509.1716796874912</v>
      </c>
      <c r="K2068">
        <f t="shared" si="128"/>
        <v>4715.63</v>
      </c>
      <c r="L2068">
        <f t="shared" si="129"/>
        <v>4715.6400000000003</v>
      </c>
      <c r="M2068">
        <f t="shared" si="130"/>
        <v>4715.63</v>
      </c>
      <c r="N2068" s="5" t="str">
        <f t="shared" si="131"/>
        <v>October 2022</v>
      </c>
    </row>
    <row r="2069" spans="1:14" x14ac:dyDescent="0.25">
      <c r="A2069" s="1">
        <v>44862</v>
      </c>
      <c r="B2069" t="s">
        <v>4683</v>
      </c>
      <c r="C2069">
        <v>43</v>
      </c>
      <c r="D2069" t="s">
        <v>14</v>
      </c>
      <c r="E2069" t="s">
        <v>32</v>
      </c>
      <c r="F2069" t="s">
        <v>23</v>
      </c>
      <c r="G2069" t="s">
        <v>36</v>
      </c>
      <c r="H2069">
        <v>4755.6099999999997</v>
      </c>
      <c r="I2069" s="8" t="str" cm="1">
        <f t="array" ref="I2069">_xlfn.IFS(C2069&lt;=15,"Children and Young Adolescents", C2069&gt;64, "Seniors", TRUE, "Working Age")</f>
        <v>Working Age</v>
      </c>
      <c r="J2069" s="6">
        <f>VLOOKUP(F2069,Analysis!$F$1:$G$5,2,FALSE)</f>
        <v>2440.2966694490838</v>
      </c>
      <c r="K2069">
        <f t="shared" si="128"/>
        <v>5231.17</v>
      </c>
      <c r="L2069">
        <f t="shared" si="129"/>
        <v>5231.18</v>
      </c>
      <c r="M2069">
        <f t="shared" si="130"/>
        <v>5231.17</v>
      </c>
      <c r="N2069" s="5" t="str">
        <f t="shared" si="131"/>
        <v>October 2022</v>
      </c>
    </row>
    <row r="2070" spans="1:14" x14ac:dyDescent="0.25">
      <c r="A2070" s="1">
        <v>44862</v>
      </c>
      <c r="B2070" t="s">
        <v>2527</v>
      </c>
      <c r="C2070">
        <v>22</v>
      </c>
      <c r="D2070" t="s">
        <v>21</v>
      </c>
      <c r="E2070" t="s">
        <v>10</v>
      </c>
      <c r="F2070" t="s">
        <v>11</v>
      </c>
      <c r="G2070" t="s">
        <v>39</v>
      </c>
      <c r="H2070">
        <v>987.64</v>
      </c>
      <c r="I2070" s="8" t="str" cm="1">
        <f t="array" ref="I2070">_xlfn.IFS(C2070&lt;=15,"Children and Young Adolescents", C2070&gt;64, "Seniors", TRUE, "Working Age")</f>
        <v>Working Age</v>
      </c>
      <c r="J2070" s="6">
        <f>VLOOKUP(F2070,Analysis!$F$1:$G$5,2,FALSE)</f>
        <v>2503.6022787783854</v>
      </c>
      <c r="K2070">
        <f t="shared" si="128"/>
        <v>1086.4000000000001</v>
      </c>
      <c r="L2070">
        <f t="shared" si="129"/>
        <v>1086.4100000000001</v>
      </c>
      <c r="M2070">
        <f t="shared" si="130"/>
        <v>1086.4000000000001</v>
      </c>
      <c r="N2070" s="5" t="str">
        <f t="shared" si="131"/>
        <v>October 2022</v>
      </c>
    </row>
    <row r="2071" spans="1:14" x14ac:dyDescent="0.25">
      <c r="A2071" s="1">
        <v>44862</v>
      </c>
      <c r="B2071" t="s">
        <v>3086</v>
      </c>
      <c r="C2071">
        <v>76</v>
      </c>
      <c r="D2071" t="s">
        <v>14</v>
      </c>
      <c r="E2071" t="s">
        <v>32</v>
      </c>
      <c r="F2071" t="s">
        <v>11</v>
      </c>
      <c r="G2071" t="s">
        <v>27</v>
      </c>
      <c r="H2071">
        <v>2322.1999999999998</v>
      </c>
      <c r="I2071" s="8" t="str" cm="1">
        <f t="array" ref="I2071">_xlfn.IFS(C2071&lt;=15,"Children and Young Adolescents", C2071&gt;64, "Seniors", TRUE, "Working Age")</f>
        <v>Seniors</v>
      </c>
      <c r="J2071" s="6">
        <f>VLOOKUP(F2071,Analysis!$F$1:$G$5,2,FALSE)</f>
        <v>2503.6022787783854</v>
      </c>
      <c r="K2071">
        <f t="shared" si="128"/>
        <v>2554.42</v>
      </c>
      <c r="L2071">
        <f t="shared" si="129"/>
        <v>2554.42</v>
      </c>
      <c r="M2071">
        <f t="shared" si="130"/>
        <v>2554.42</v>
      </c>
      <c r="N2071" s="5" t="str">
        <f t="shared" si="131"/>
        <v>October 2022</v>
      </c>
    </row>
    <row r="2072" spans="1:14" x14ac:dyDescent="0.25">
      <c r="A2072" s="1">
        <v>44862</v>
      </c>
      <c r="B2072" t="s">
        <v>3563</v>
      </c>
      <c r="C2072">
        <v>95</v>
      </c>
      <c r="D2072" t="s">
        <v>14</v>
      </c>
      <c r="E2072" t="s">
        <v>32</v>
      </c>
      <c r="F2072" t="s">
        <v>16</v>
      </c>
      <c r="G2072" t="s">
        <v>36</v>
      </c>
      <c r="H2072">
        <v>3153.33</v>
      </c>
      <c r="I2072" s="8" t="str" cm="1">
        <f t="array" ref="I2072">_xlfn.IFS(C2072&lt;=15,"Children and Young Adolescents", C2072&gt;64, "Seniors", TRUE, "Working Age")</f>
        <v>Seniors</v>
      </c>
      <c r="J2072" s="6">
        <f>VLOOKUP(F2072,Analysis!$F$1:$G$5,2,FALSE)</f>
        <v>2509.1716796874912</v>
      </c>
      <c r="K2072">
        <f t="shared" si="128"/>
        <v>3468.66</v>
      </c>
      <c r="L2072">
        <f t="shared" si="129"/>
        <v>3468.67</v>
      </c>
      <c r="M2072">
        <f t="shared" si="130"/>
        <v>3468.66</v>
      </c>
      <c r="N2072" s="5" t="str">
        <f t="shared" si="131"/>
        <v>October 2022</v>
      </c>
    </row>
    <row r="2073" spans="1:14" x14ac:dyDescent="0.25">
      <c r="A2073" s="1">
        <v>44862</v>
      </c>
      <c r="B2073" t="s">
        <v>2620</v>
      </c>
      <c r="C2073">
        <v>98</v>
      </c>
      <c r="D2073" t="s">
        <v>14</v>
      </c>
      <c r="E2073" t="s">
        <v>10</v>
      </c>
      <c r="F2073" t="s">
        <v>11</v>
      </c>
      <c r="G2073" t="s">
        <v>39</v>
      </c>
      <c r="H2073">
        <v>2983.02</v>
      </c>
      <c r="I2073" s="8" t="str" cm="1">
        <f t="array" ref="I2073">_xlfn.IFS(C2073&lt;=15,"Children and Young Adolescents", C2073&gt;64, "Seniors", TRUE, "Working Age")</f>
        <v>Seniors</v>
      </c>
      <c r="J2073" s="6">
        <f>VLOOKUP(F2073,Analysis!$F$1:$G$5,2,FALSE)</f>
        <v>2503.6022787783854</v>
      </c>
      <c r="K2073">
        <f t="shared" si="128"/>
        <v>3281.32</v>
      </c>
      <c r="L2073">
        <f t="shared" si="129"/>
        <v>3281.3300000000004</v>
      </c>
      <c r="M2073">
        <f t="shared" si="130"/>
        <v>3281.32</v>
      </c>
      <c r="N2073" s="5" t="str">
        <f t="shared" si="131"/>
        <v>October 2022</v>
      </c>
    </row>
    <row r="2074" spans="1:14" x14ac:dyDescent="0.25">
      <c r="A2074" s="1">
        <v>44863</v>
      </c>
      <c r="B2074" t="s">
        <v>3899</v>
      </c>
      <c r="C2074">
        <v>84</v>
      </c>
      <c r="D2074" t="s">
        <v>21</v>
      </c>
      <c r="E2074" t="s">
        <v>22</v>
      </c>
      <c r="F2074" t="s">
        <v>29</v>
      </c>
      <c r="G2074" t="s">
        <v>27</v>
      </c>
      <c r="H2074">
        <v>1932.74</v>
      </c>
      <c r="I2074" s="8" t="str" cm="1">
        <f t="array" ref="I2074">_xlfn.IFS(C2074&lt;=15,"Children and Young Adolescents", C2074&gt;64, "Seniors", TRUE, "Working Age")</f>
        <v>Seniors</v>
      </c>
      <c r="J2074" s="6">
        <f>VLOOKUP(F2074,Analysis!$F$1:$G$5,2,FALSE)</f>
        <v>2496.7676064256989</v>
      </c>
      <c r="K2074">
        <f t="shared" si="128"/>
        <v>2126.0100000000002</v>
      </c>
      <c r="L2074">
        <f t="shared" si="129"/>
        <v>2126.0200000000004</v>
      </c>
      <c r="M2074">
        <f t="shared" si="130"/>
        <v>2126.0100000000002</v>
      </c>
      <c r="N2074" s="5" t="str">
        <f t="shared" si="131"/>
        <v>October 2022</v>
      </c>
    </row>
    <row r="2075" spans="1:14" x14ac:dyDescent="0.25">
      <c r="A2075" s="1">
        <v>44863</v>
      </c>
      <c r="B2075" t="s">
        <v>1919</v>
      </c>
      <c r="C2075">
        <v>96</v>
      </c>
      <c r="D2075" t="s">
        <v>14</v>
      </c>
      <c r="E2075" t="s">
        <v>5032</v>
      </c>
      <c r="F2075" t="s">
        <v>11</v>
      </c>
      <c r="G2075" t="s">
        <v>17</v>
      </c>
      <c r="H2075">
        <v>42.02</v>
      </c>
      <c r="I2075" s="8" t="str" cm="1">
        <f t="array" ref="I2075">_xlfn.IFS(C2075&lt;=15,"Children and Young Adolescents", C2075&gt;64, "Seniors", TRUE, "Working Age")</f>
        <v>Seniors</v>
      </c>
      <c r="J2075" s="6">
        <f>VLOOKUP(F2075,Analysis!$F$1:$G$5,2,FALSE)</f>
        <v>2503.6022787783854</v>
      </c>
      <c r="K2075">
        <f t="shared" si="128"/>
        <v>46.22</v>
      </c>
      <c r="L2075">
        <f t="shared" si="129"/>
        <v>46.23</v>
      </c>
      <c r="M2075">
        <f t="shared" si="130"/>
        <v>46.22</v>
      </c>
      <c r="N2075" s="5" t="str">
        <f t="shared" si="131"/>
        <v>October 2022</v>
      </c>
    </row>
    <row r="2076" spans="1:14" x14ac:dyDescent="0.25">
      <c r="A2076" s="1">
        <v>44863</v>
      </c>
      <c r="B2076" t="s">
        <v>4267</v>
      </c>
      <c r="C2076">
        <v>3</v>
      </c>
      <c r="D2076" t="s">
        <v>14</v>
      </c>
      <c r="E2076" t="s">
        <v>5032</v>
      </c>
      <c r="F2076" t="s">
        <v>11</v>
      </c>
      <c r="G2076" t="s">
        <v>27</v>
      </c>
      <c r="H2076">
        <v>4273.1899999999996</v>
      </c>
      <c r="I2076" s="8" t="str" cm="1">
        <f t="array" ref="I2076">_xlfn.IFS(C2076&lt;=15,"Children and Young Adolescents", C2076&gt;64, "Seniors", TRUE, "Working Age")</f>
        <v>Children and Young Adolescents</v>
      </c>
      <c r="J2076" s="6">
        <f>VLOOKUP(F2076,Analysis!$F$1:$G$5,2,FALSE)</f>
        <v>2503.6022787783854</v>
      </c>
      <c r="K2076">
        <f t="shared" si="128"/>
        <v>4700.5</v>
      </c>
      <c r="L2076">
        <f t="shared" si="129"/>
        <v>4700.51</v>
      </c>
      <c r="M2076">
        <f t="shared" si="130"/>
        <v>4700.51</v>
      </c>
      <c r="N2076" s="5" t="str">
        <f t="shared" si="131"/>
        <v>October 2022</v>
      </c>
    </row>
    <row r="2077" spans="1:14" x14ac:dyDescent="0.25">
      <c r="A2077" s="1">
        <v>44863</v>
      </c>
      <c r="B2077" t="s">
        <v>376</v>
      </c>
      <c r="C2077">
        <v>75</v>
      </c>
      <c r="D2077" t="s">
        <v>21</v>
      </c>
      <c r="E2077" t="s">
        <v>10</v>
      </c>
      <c r="F2077" t="s">
        <v>23</v>
      </c>
      <c r="G2077" t="s">
        <v>36</v>
      </c>
      <c r="H2077">
        <v>1551.9</v>
      </c>
      <c r="I2077" s="8" t="str" cm="1">
        <f t="array" ref="I2077">_xlfn.IFS(C2077&lt;=15,"Children and Young Adolescents", C2077&gt;64, "Seniors", TRUE, "Working Age")</f>
        <v>Seniors</v>
      </c>
      <c r="J2077" s="6">
        <f>VLOOKUP(F2077,Analysis!$F$1:$G$5,2,FALSE)</f>
        <v>2440.2966694490838</v>
      </c>
      <c r="K2077">
        <f t="shared" si="128"/>
        <v>1707.09</v>
      </c>
      <c r="L2077">
        <f t="shared" si="129"/>
        <v>1707.09</v>
      </c>
      <c r="M2077">
        <f t="shared" si="130"/>
        <v>1707.09</v>
      </c>
      <c r="N2077" s="5" t="str">
        <f t="shared" si="131"/>
        <v>October 2022</v>
      </c>
    </row>
    <row r="2078" spans="1:14" x14ac:dyDescent="0.25">
      <c r="A2078" s="1">
        <v>44863</v>
      </c>
      <c r="B2078" t="s">
        <v>4154</v>
      </c>
      <c r="C2078">
        <v>11</v>
      </c>
      <c r="D2078" t="s">
        <v>21</v>
      </c>
      <c r="E2078" t="s">
        <v>22</v>
      </c>
      <c r="F2078" t="s">
        <v>16</v>
      </c>
      <c r="G2078" t="s">
        <v>17</v>
      </c>
      <c r="H2078">
        <v>156.03</v>
      </c>
      <c r="I2078" s="8" t="str" cm="1">
        <f t="array" ref="I2078">_xlfn.IFS(C2078&lt;=15,"Children and Young Adolescents", C2078&gt;64, "Seniors", TRUE, "Working Age")</f>
        <v>Children and Young Adolescents</v>
      </c>
      <c r="J2078" s="6">
        <f>VLOOKUP(F2078,Analysis!$F$1:$G$5,2,FALSE)</f>
        <v>2509.1716796874912</v>
      </c>
      <c r="K2078">
        <f t="shared" si="128"/>
        <v>171.63</v>
      </c>
      <c r="L2078">
        <f t="shared" si="129"/>
        <v>171.64</v>
      </c>
      <c r="M2078">
        <f t="shared" si="130"/>
        <v>171.63</v>
      </c>
      <c r="N2078" s="5" t="str">
        <f t="shared" si="131"/>
        <v>October 2022</v>
      </c>
    </row>
    <row r="2079" spans="1:14" x14ac:dyDescent="0.25">
      <c r="A2079" s="1">
        <v>44863</v>
      </c>
      <c r="B2079" t="s">
        <v>2034</v>
      </c>
      <c r="C2079">
        <v>80</v>
      </c>
      <c r="D2079" t="s">
        <v>9</v>
      </c>
      <c r="E2079" t="s">
        <v>5032</v>
      </c>
      <c r="F2079" t="s">
        <v>29</v>
      </c>
      <c r="G2079" t="s">
        <v>12</v>
      </c>
      <c r="H2079">
        <v>1271.6500000000001</v>
      </c>
      <c r="I2079" s="8" t="str" cm="1">
        <f t="array" ref="I2079">_xlfn.IFS(C2079&lt;=15,"Children and Young Adolescents", C2079&gt;64, "Seniors", TRUE, "Working Age")</f>
        <v>Seniors</v>
      </c>
      <c r="J2079" s="6">
        <f>VLOOKUP(F2079,Analysis!$F$1:$G$5,2,FALSE)</f>
        <v>2496.7676064256989</v>
      </c>
      <c r="K2079">
        <f t="shared" si="128"/>
        <v>1398.81</v>
      </c>
      <c r="L2079">
        <f t="shared" si="129"/>
        <v>1398.82</v>
      </c>
      <c r="M2079">
        <f t="shared" si="130"/>
        <v>1398.82</v>
      </c>
      <c r="N2079" s="5" t="str">
        <f t="shared" si="131"/>
        <v>October 2022</v>
      </c>
    </row>
    <row r="2080" spans="1:14" x14ac:dyDescent="0.25">
      <c r="A2080" s="1">
        <v>44863</v>
      </c>
      <c r="B2080" t="s">
        <v>1197</v>
      </c>
      <c r="C2080">
        <v>46</v>
      </c>
      <c r="D2080" t="s">
        <v>9</v>
      </c>
      <c r="E2080" t="s">
        <v>19</v>
      </c>
      <c r="F2080" t="s">
        <v>23</v>
      </c>
      <c r="G2080" t="s">
        <v>39</v>
      </c>
      <c r="H2080">
        <v>106.73</v>
      </c>
      <c r="I2080" s="8" t="str" cm="1">
        <f t="array" ref="I2080">_xlfn.IFS(C2080&lt;=15,"Children and Young Adolescents", C2080&gt;64, "Seniors", TRUE, "Working Age")</f>
        <v>Working Age</v>
      </c>
      <c r="J2080" s="6">
        <f>VLOOKUP(F2080,Analysis!$F$1:$G$5,2,FALSE)</f>
        <v>2440.2966694490838</v>
      </c>
      <c r="K2080">
        <f t="shared" si="128"/>
        <v>117.4</v>
      </c>
      <c r="L2080">
        <f t="shared" si="129"/>
        <v>117.41000000000001</v>
      </c>
      <c r="M2080">
        <f t="shared" si="130"/>
        <v>117.4</v>
      </c>
      <c r="N2080" s="5" t="str">
        <f t="shared" si="131"/>
        <v>October 2022</v>
      </c>
    </row>
    <row r="2081" spans="1:14" x14ac:dyDescent="0.25">
      <c r="A2081" s="1">
        <v>44863</v>
      </c>
      <c r="B2081" t="s">
        <v>377</v>
      </c>
      <c r="C2081">
        <v>20</v>
      </c>
      <c r="D2081" t="s">
        <v>21</v>
      </c>
      <c r="E2081" t="s">
        <v>5032</v>
      </c>
      <c r="F2081" t="s">
        <v>23</v>
      </c>
      <c r="G2081" t="s">
        <v>12</v>
      </c>
      <c r="H2081">
        <v>977.56</v>
      </c>
      <c r="I2081" s="8" t="str" cm="1">
        <f t="array" ref="I2081">_xlfn.IFS(C2081&lt;=15,"Children and Young Adolescents", C2081&gt;64, "Seniors", TRUE, "Working Age")</f>
        <v>Working Age</v>
      </c>
      <c r="J2081" s="6">
        <f>VLOOKUP(F2081,Analysis!$F$1:$G$5,2,FALSE)</f>
        <v>2440.2966694490838</v>
      </c>
      <c r="K2081">
        <f t="shared" si="128"/>
        <v>1075.31</v>
      </c>
      <c r="L2081">
        <f t="shared" si="129"/>
        <v>1075.32</v>
      </c>
      <c r="M2081">
        <f t="shared" si="130"/>
        <v>1075.32</v>
      </c>
      <c r="N2081" s="5" t="str">
        <f t="shared" si="131"/>
        <v>October 2022</v>
      </c>
    </row>
    <row r="2082" spans="1:14" x14ac:dyDescent="0.25">
      <c r="A2082" s="1">
        <v>44863</v>
      </c>
      <c r="B2082" t="s">
        <v>4360</v>
      </c>
      <c r="C2082">
        <v>11</v>
      </c>
      <c r="D2082" t="s">
        <v>21</v>
      </c>
      <c r="E2082" t="s">
        <v>32</v>
      </c>
      <c r="F2082" t="s">
        <v>11</v>
      </c>
      <c r="G2082" t="s">
        <v>36</v>
      </c>
      <c r="H2082">
        <v>185.99</v>
      </c>
      <c r="I2082" s="8" t="str" cm="1">
        <f t="array" ref="I2082">_xlfn.IFS(C2082&lt;=15,"Children and Young Adolescents", C2082&gt;64, "Seniors", TRUE, "Working Age")</f>
        <v>Children and Young Adolescents</v>
      </c>
      <c r="J2082" s="6">
        <f>VLOOKUP(F2082,Analysis!$F$1:$G$5,2,FALSE)</f>
        <v>2503.6022787783854</v>
      </c>
      <c r="K2082">
        <f t="shared" si="128"/>
        <v>204.58</v>
      </c>
      <c r="L2082">
        <f t="shared" si="129"/>
        <v>204.59</v>
      </c>
      <c r="M2082">
        <f t="shared" si="130"/>
        <v>204.59</v>
      </c>
      <c r="N2082" s="5" t="str">
        <f t="shared" si="131"/>
        <v>October 2022</v>
      </c>
    </row>
    <row r="2083" spans="1:14" x14ac:dyDescent="0.25">
      <c r="A2083" s="1">
        <v>44863</v>
      </c>
      <c r="B2083" t="s">
        <v>4346</v>
      </c>
      <c r="C2083">
        <v>86</v>
      </c>
      <c r="D2083" t="s">
        <v>14</v>
      </c>
      <c r="E2083" t="s">
        <v>10</v>
      </c>
      <c r="F2083" t="s">
        <v>11</v>
      </c>
      <c r="G2083" t="s">
        <v>17</v>
      </c>
      <c r="H2083">
        <v>2890.45</v>
      </c>
      <c r="I2083" s="8" t="str" cm="1">
        <f t="array" ref="I2083">_xlfn.IFS(C2083&lt;=15,"Children and Young Adolescents", C2083&gt;64, "Seniors", TRUE, "Working Age")</f>
        <v>Seniors</v>
      </c>
      <c r="J2083" s="6">
        <f>VLOOKUP(F2083,Analysis!$F$1:$G$5,2,FALSE)</f>
        <v>2503.6022787783854</v>
      </c>
      <c r="K2083">
        <f t="shared" si="128"/>
        <v>3179.49</v>
      </c>
      <c r="L2083">
        <f t="shared" si="129"/>
        <v>3179.5</v>
      </c>
      <c r="M2083">
        <f t="shared" si="130"/>
        <v>3179.5</v>
      </c>
      <c r="N2083" s="5" t="str">
        <f t="shared" si="131"/>
        <v>October 2022</v>
      </c>
    </row>
    <row r="2084" spans="1:14" x14ac:dyDescent="0.25">
      <c r="A2084" s="1">
        <v>44863</v>
      </c>
      <c r="B2084" t="s">
        <v>2444</v>
      </c>
      <c r="C2084">
        <v>79</v>
      </c>
      <c r="D2084" t="s">
        <v>9</v>
      </c>
      <c r="E2084" t="s">
        <v>32</v>
      </c>
      <c r="F2084" t="s">
        <v>16</v>
      </c>
      <c r="G2084" t="s">
        <v>27</v>
      </c>
      <c r="H2084">
        <v>613.26</v>
      </c>
      <c r="I2084" s="8" t="str" cm="1">
        <f t="array" ref="I2084">_xlfn.IFS(C2084&lt;=15,"Children and Young Adolescents", C2084&gt;64, "Seniors", TRUE, "Working Age")</f>
        <v>Seniors</v>
      </c>
      <c r="J2084" s="6">
        <f>VLOOKUP(F2084,Analysis!$F$1:$G$5,2,FALSE)</f>
        <v>2509.1716796874912</v>
      </c>
      <c r="K2084">
        <f t="shared" si="128"/>
        <v>674.58</v>
      </c>
      <c r="L2084">
        <f t="shared" si="129"/>
        <v>674.59</v>
      </c>
      <c r="M2084">
        <f t="shared" si="130"/>
        <v>674.59</v>
      </c>
      <c r="N2084" s="5" t="str">
        <f t="shared" si="131"/>
        <v>October 2022</v>
      </c>
    </row>
    <row r="2085" spans="1:14" x14ac:dyDescent="0.25">
      <c r="A2085" s="1">
        <v>44863</v>
      </c>
      <c r="B2085" t="s">
        <v>1480</v>
      </c>
      <c r="C2085">
        <v>45</v>
      </c>
      <c r="D2085" t="s">
        <v>21</v>
      </c>
      <c r="E2085" t="s">
        <v>10</v>
      </c>
      <c r="F2085" t="s">
        <v>11</v>
      </c>
      <c r="G2085" t="s">
        <v>17</v>
      </c>
      <c r="H2085">
        <v>3403.35</v>
      </c>
      <c r="I2085" s="8" t="str" cm="1">
        <f t="array" ref="I2085">_xlfn.IFS(C2085&lt;=15,"Children and Young Adolescents", C2085&gt;64, "Seniors", TRUE, "Working Age")</f>
        <v>Working Age</v>
      </c>
      <c r="J2085" s="6">
        <f>VLOOKUP(F2085,Analysis!$F$1:$G$5,2,FALSE)</f>
        <v>2503.6022787783854</v>
      </c>
      <c r="K2085">
        <f t="shared" si="128"/>
        <v>3743.68</v>
      </c>
      <c r="L2085">
        <f t="shared" si="129"/>
        <v>3743.69</v>
      </c>
      <c r="M2085">
        <f t="shared" si="130"/>
        <v>3743.69</v>
      </c>
      <c r="N2085" s="5" t="str">
        <f t="shared" si="131"/>
        <v>October 2022</v>
      </c>
    </row>
    <row r="2086" spans="1:14" x14ac:dyDescent="0.25">
      <c r="A2086" s="1">
        <v>44864</v>
      </c>
      <c r="B2086" t="s">
        <v>1658</v>
      </c>
      <c r="C2086">
        <v>0</v>
      </c>
      <c r="D2086" t="s">
        <v>9</v>
      </c>
      <c r="E2086" t="s">
        <v>34</v>
      </c>
      <c r="F2086" t="s">
        <v>16</v>
      </c>
      <c r="G2086" t="s">
        <v>5033</v>
      </c>
      <c r="H2086">
        <v>4558.4799999999996</v>
      </c>
      <c r="I2086" s="8" t="str" cm="1">
        <f t="array" ref="I2086">_xlfn.IFS(C2086&lt;=15,"Children and Young Adolescents", C2086&gt;64, "Seniors", TRUE, "Working Age")</f>
        <v>Children and Young Adolescents</v>
      </c>
      <c r="J2086" s="6">
        <f>VLOOKUP(F2086,Analysis!$F$1:$G$5,2,FALSE)</f>
        <v>2509.1716796874912</v>
      </c>
      <c r="K2086">
        <f t="shared" si="128"/>
        <v>5014.32</v>
      </c>
      <c r="L2086">
        <f t="shared" si="129"/>
        <v>5014.33</v>
      </c>
      <c r="M2086">
        <f t="shared" si="130"/>
        <v>5014.33</v>
      </c>
      <c r="N2086" s="5" t="str">
        <f t="shared" si="131"/>
        <v>October 2022</v>
      </c>
    </row>
    <row r="2087" spans="1:14" x14ac:dyDescent="0.25">
      <c r="A2087" s="1">
        <v>44864</v>
      </c>
      <c r="B2087" t="s">
        <v>1588</v>
      </c>
      <c r="C2087">
        <v>67</v>
      </c>
      <c r="D2087" t="s">
        <v>14</v>
      </c>
      <c r="E2087" t="s">
        <v>10</v>
      </c>
      <c r="F2087" t="s">
        <v>23</v>
      </c>
      <c r="G2087" t="s">
        <v>17</v>
      </c>
      <c r="H2087">
        <v>2902.81</v>
      </c>
      <c r="I2087" s="8" t="str" cm="1">
        <f t="array" ref="I2087">_xlfn.IFS(C2087&lt;=15,"Children and Young Adolescents", C2087&gt;64, "Seniors", TRUE, "Working Age")</f>
        <v>Seniors</v>
      </c>
      <c r="J2087" s="6">
        <f>VLOOKUP(F2087,Analysis!$F$1:$G$5,2,FALSE)</f>
        <v>2440.2966694490838</v>
      </c>
      <c r="K2087">
        <f t="shared" si="128"/>
        <v>3193.09</v>
      </c>
      <c r="L2087">
        <f t="shared" si="129"/>
        <v>3193.1000000000004</v>
      </c>
      <c r="M2087">
        <f t="shared" si="130"/>
        <v>3193.09</v>
      </c>
      <c r="N2087" s="5" t="str">
        <f t="shared" si="131"/>
        <v>October 2022</v>
      </c>
    </row>
    <row r="2088" spans="1:14" x14ac:dyDescent="0.25">
      <c r="A2088" s="1">
        <v>44864</v>
      </c>
      <c r="B2088" t="s">
        <v>137</v>
      </c>
      <c r="C2088">
        <v>29</v>
      </c>
      <c r="D2088" t="s">
        <v>14</v>
      </c>
      <c r="E2088" t="s">
        <v>34</v>
      </c>
      <c r="F2088" t="s">
        <v>11</v>
      </c>
      <c r="G2088" t="s">
        <v>27</v>
      </c>
      <c r="H2088">
        <v>4848.1899999999996</v>
      </c>
      <c r="I2088" s="8" t="str" cm="1">
        <f t="array" ref="I2088">_xlfn.IFS(C2088&lt;=15,"Children and Young Adolescents", C2088&gt;64, "Seniors", TRUE, "Working Age")</f>
        <v>Working Age</v>
      </c>
      <c r="J2088" s="6">
        <f>VLOOKUP(F2088,Analysis!$F$1:$G$5,2,FALSE)</f>
        <v>2503.6022787783854</v>
      </c>
      <c r="K2088">
        <f t="shared" si="128"/>
        <v>5333</v>
      </c>
      <c r="L2088">
        <f t="shared" si="129"/>
        <v>5333.01</v>
      </c>
      <c r="M2088">
        <f t="shared" si="130"/>
        <v>5333.01</v>
      </c>
      <c r="N2088" s="5" t="str">
        <f t="shared" si="131"/>
        <v>October 2022</v>
      </c>
    </row>
    <row r="2089" spans="1:14" x14ac:dyDescent="0.25">
      <c r="A2089" s="1">
        <v>44864</v>
      </c>
      <c r="B2089" t="s">
        <v>1351</v>
      </c>
      <c r="C2089">
        <v>37</v>
      </c>
      <c r="D2089" t="s">
        <v>14</v>
      </c>
      <c r="E2089" t="s">
        <v>32</v>
      </c>
      <c r="F2089" t="s">
        <v>11</v>
      </c>
      <c r="G2089" t="s">
        <v>27</v>
      </c>
      <c r="H2089">
        <v>3433.32</v>
      </c>
      <c r="I2089" s="8" t="str" cm="1">
        <f t="array" ref="I2089">_xlfn.IFS(C2089&lt;=15,"Children and Young Adolescents", C2089&gt;64, "Seniors", TRUE, "Working Age")</f>
        <v>Working Age</v>
      </c>
      <c r="J2089" s="6">
        <f>VLOOKUP(F2089,Analysis!$F$1:$G$5,2,FALSE)</f>
        <v>2503.6022787783854</v>
      </c>
      <c r="K2089">
        <f t="shared" si="128"/>
        <v>3776.65</v>
      </c>
      <c r="L2089">
        <f t="shared" si="129"/>
        <v>3776.6600000000003</v>
      </c>
      <c r="M2089">
        <f t="shared" si="130"/>
        <v>3776.65</v>
      </c>
      <c r="N2089" s="5" t="str">
        <f t="shared" si="131"/>
        <v>October 2022</v>
      </c>
    </row>
    <row r="2090" spans="1:14" x14ac:dyDescent="0.25">
      <c r="A2090" s="1">
        <v>44864</v>
      </c>
      <c r="B2090" t="s">
        <v>4367</v>
      </c>
      <c r="C2090">
        <v>4</v>
      </c>
      <c r="D2090" t="s">
        <v>9</v>
      </c>
      <c r="E2090" t="s">
        <v>19</v>
      </c>
      <c r="F2090" t="s">
        <v>11</v>
      </c>
      <c r="G2090" t="s">
        <v>39</v>
      </c>
      <c r="H2090">
        <v>4745.26</v>
      </c>
      <c r="I2090" s="8" t="str" cm="1">
        <f t="array" ref="I2090">_xlfn.IFS(C2090&lt;=15,"Children and Young Adolescents", C2090&gt;64, "Seniors", TRUE, "Working Age")</f>
        <v>Children and Young Adolescents</v>
      </c>
      <c r="J2090" s="6">
        <f>VLOOKUP(F2090,Analysis!$F$1:$G$5,2,FALSE)</f>
        <v>2503.6022787783854</v>
      </c>
      <c r="K2090">
        <f t="shared" si="128"/>
        <v>5219.78</v>
      </c>
      <c r="L2090">
        <f t="shared" si="129"/>
        <v>5219.79</v>
      </c>
      <c r="M2090">
        <f t="shared" si="130"/>
        <v>5219.79</v>
      </c>
      <c r="N2090" s="5" t="str">
        <f t="shared" si="131"/>
        <v>October 2022</v>
      </c>
    </row>
    <row r="2091" spans="1:14" x14ac:dyDescent="0.25">
      <c r="A2091" s="1">
        <v>44864</v>
      </c>
      <c r="B2091" t="s">
        <v>4197</v>
      </c>
      <c r="C2091">
        <v>58</v>
      </c>
      <c r="D2091" t="s">
        <v>21</v>
      </c>
      <c r="E2091" t="s">
        <v>22</v>
      </c>
      <c r="F2091" t="s">
        <v>23</v>
      </c>
      <c r="G2091" t="s">
        <v>27</v>
      </c>
      <c r="H2091">
        <v>3809.1</v>
      </c>
      <c r="I2091" s="8" t="str" cm="1">
        <f t="array" ref="I2091">_xlfn.IFS(C2091&lt;=15,"Children and Young Adolescents", C2091&gt;64, "Seniors", TRUE, "Working Age")</f>
        <v>Working Age</v>
      </c>
      <c r="J2091" s="6">
        <f>VLOOKUP(F2091,Analysis!$F$1:$G$5,2,FALSE)</f>
        <v>2440.2966694490838</v>
      </c>
      <c r="K2091">
        <f t="shared" si="128"/>
        <v>4190.01</v>
      </c>
      <c r="L2091">
        <f t="shared" si="129"/>
        <v>4190.01</v>
      </c>
      <c r="M2091">
        <f t="shared" si="130"/>
        <v>4190.01</v>
      </c>
      <c r="N2091" s="5" t="str">
        <f t="shared" si="131"/>
        <v>October 2022</v>
      </c>
    </row>
    <row r="2092" spans="1:14" x14ac:dyDescent="0.25">
      <c r="A2092" s="1">
        <v>44864</v>
      </c>
      <c r="B2092" t="s">
        <v>3495</v>
      </c>
      <c r="C2092">
        <v>21</v>
      </c>
      <c r="D2092" t="s">
        <v>14</v>
      </c>
      <c r="E2092" t="s">
        <v>34</v>
      </c>
      <c r="F2092" t="s">
        <v>11</v>
      </c>
      <c r="G2092" t="s">
        <v>17</v>
      </c>
      <c r="H2092">
        <v>1760.35</v>
      </c>
      <c r="I2092" s="8" t="str" cm="1">
        <f t="array" ref="I2092">_xlfn.IFS(C2092&lt;=15,"Children and Young Adolescents", C2092&gt;64, "Seniors", TRUE, "Working Age")</f>
        <v>Working Age</v>
      </c>
      <c r="J2092" s="6">
        <f>VLOOKUP(F2092,Analysis!$F$1:$G$5,2,FALSE)</f>
        <v>2503.6022787783854</v>
      </c>
      <c r="K2092">
        <f t="shared" si="128"/>
        <v>1936.38</v>
      </c>
      <c r="L2092">
        <f t="shared" si="129"/>
        <v>1936.39</v>
      </c>
      <c r="M2092">
        <f t="shared" si="130"/>
        <v>1936.39</v>
      </c>
      <c r="N2092" s="5" t="str">
        <f t="shared" si="131"/>
        <v>October 2022</v>
      </c>
    </row>
    <row r="2093" spans="1:14" x14ac:dyDescent="0.25">
      <c r="A2093" s="1">
        <v>44865</v>
      </c>
      <c r="B2093" t="s">
        <v>4967</v>
      </c>
      <c r="C2093">
        <v>0</v>
      </c>
      <c r="D2093" t="s">
        <v>21</v>
      </c>
      <c r="E2093" t="s">
        <v>19</v>
      </c>
      <c r="F2093" t="s">
        <v>11</v>
      </c>
      <c r="G2093" t="s">
        <v>36</v>
      </c>
      <c r="H2093">
        <v>354.84</v>
      </c>
      <c r="I2093" s="8" t="str" cm="1">
        <f t="array" ref="I2093">_xlfn.IFS(C2093&lt;=15,"Children and Young Adolescents", C2093&gt;64, "Seniors", TRUE, "Working Age")</f>
        <v>Children and Young Adolescents</v>
      </c>
      <c r="J2093" s="6">
        <f>VLOOKUP(F2093,Analysis!$F$1:$G$5,2,FALSE)</f>
        <v>2503.6022787783854</v>
      </c>
      <c r="K2093">
        <f t="shared" si="128"/>
        <v>390.32</v>
      </c>
      <c r="L2093">
        <f t="shared" si="129"/>
        <v>390.33</v>
      </c>
      <c r="M2093">
        <f t="shared" si="130"/>
        <v>390.32</v>
      </c>
      <c r="N2093" s="5" t="str">
        <f t="shared" si="131"/>
        <v>October 2022</v>
      </c>
    </row>
    <row r="2094" spans="1:14" x14ac:dyDescent="0.25">
      <c r="A2094" s="1">
        <v>44865</v>
      </c>
      <c r="B2094" t="s">
        <v>3567</v>
      </c>
      <c r="C2094">
        <v>6</v>
      </c>
      <c r="D2094" t="s">
        <v>9</v>
      </c>
      <c r="E2094" t="s">
        <v>25</v>
      </c>
      <c r="F2094" t="s">
        <v>23</v>
      </c>
      <c r="G2094" t="s">
        <v>12</v>
      </c>
      <c r="H2094">
        <v>914.2</v>
      </c>
      <c r="I2094" s="8" t="str" cm="1">
        <f t="array" ref="I2094">_xlfn.IFS(C2094&lt;=15,"Children and Young Adolescents", C2094&gt;64, "Seniors", TRUE, "Working Age")</f>
        <v>Children and Young Adolescents</v>
      </c>
      <c r="J2094" s="6">
        <f>VLOOKUP(F2094,Analysis!$F$1:$G$5,2,FALSE)</f>
        <v>2440.2966694490838</v>
      </c>
      <c r="K2094">
        <f t="shared" si="128"/>
        <v>1005.62</v>
      </c>
      <c r="L2094">
        <f t="shared" si="129"/>
        <v>1005.62</v>
      </c>
      <c r="M2094">
        <f t="shared" si="130"/>
        <v>1005.62</v>
      </c>
      <c r="N2094" s="5" t="str">
        <f t="shared" si="131"/>
        <v>October 2022</v>
      </c>
    </row>
    <row r="2095" spans="1:14" x14ac:dyDescent="0.25">
      <c r="A2095" s="1">
        <v>44865</v>
      </c>
      <c r="B2095" t="s">
        <v>4741</v>
      </c>
      <c r="C2095">
        <v>60</v>
      </c>
      <c r="D2095" t="s">
        <v>21</v>
      </c>
      <c r="E2095" t="s">
        <v>34</v>
      </c>
      <c r="F2095" t="s">
        <v>29</v>
      </c>
      <c r="G2095" t="s">
        <v>36</v>
      </c>
      <c r="H2095">
        <v>976.67</v>
      </c>
      <c r="I2095" s="8" t="str" cm="1">
        <f t="array" ref="I2095">_xlfn.IFS(C2095&lt;=15,"Children and Young Adolescents", C2095&gt;64, "Seniors", TRUE, "Working Age")</f>
        <v>Working Age</v>
      </c>
      <c r="J2095" s="6">
        <f>VLOOKUP(F2095,Analysis!$F$1:$G$5,2,FALSE)</f>
        <v>2496.7676064256989</v>
      </c>
      <c r="K2095">
        <f t="shared" si="128"/>
        <v>1074.33</v>
      </c>
      <c r="L2095">
        <f t="shared" si="129"/>
        <v>1074.3399999999999</v>
      </c>
      <c r="M2095">
        <f t="shared" si="130"/>
        <v>1074.3399999999999</v>
      </c>
      <c r="N2095" s="5" t="str">
        <f t="shared" si="131"/>
        <v>October 2022</v>
      </c>
    </row>
    <row r="2096" spans="1:14" x14ac:dyDescent="0.25">
      <c r="A2096" s="1">
        <v>44865</v>
      </c>
      <c r="B2096" t="s">
        <v>2174</v>
      </c>
      <c r="C2096">
        <v>58</v>
      </c>
      <c r="D2096" t="s">
        <v>21</v>
      </c>
      <c r="E2096" t="s">
        <v>19</v>
      </c>
      <c r="F2096" t="s">
        <v>16</v>
      </c>
      <c r="G2096" t="s">
        <v>36</v>
      </c>
      <c r="H2096">
        <v>1322.02</v>
      </c>
      <c r="I2096" s="8" t="str" cm="1">
        <f t="array" ref="I2096">_xlfn.IFS(C2096&lt;=15,"Children and Young Adolescents", C2096&gt;64, "Seniors", TRUE, "Working Age")</f>
        <v>Working Age</v>
      </c>
      <c r="J2096" s="6">
        <f>VLOOKUP(F2096,Analysis!$F$1:$G$5,2,FALSE)</f>
        <v>2509.1716796874912</v>
      </c>
      <c r="K2096">
        <f t="shared" si="128"/>
        <v>1454.22</v>
      </c>
      <c r="L2096">
        <f t="shared" si="129"/>
        <v>1454.23</v>
      </c>
      <c r="M2096">
        <f t="shared" si="130"/>
        <v>1454.22</v>
      </c>
      <c r="N2096" s="5" t="str">
        <f t="shared" si="131"/>
        <v>October 2022</v>
      </c>
    </row>
    <row r="2097" spans="1:14" x14ac:dyDescent="0.25">
      <c r="A2097" s="1">
        <v>44865</v>
      </c>
      <c r="B2097" t="s">
        <v>791</v>
      </c>
      <c r="C2097">
        <v>65</v>
      </c>
      <c r="D2097" t="s">
        <v>21</v>
      </c>
      <c r="E2097" t="s">
        <v>22</v>
      </c>
      <c r="F2097" t="s">
        <v>16</v>
      </c>
      <c r="G2097" t="s">
        <v>27</v>
      </c>
      <c r="H2097">
        <v>3980.31</v>
      </c>
      <c r="I2097" s="8" t="str" cm="1">
        <f t="array" ref="I2097">_xlfn.IFS(C2097&lt;=15,"Children and Young Adolescents", C2097&gt;64, "Seniors", TRUE, "Working Age")</f>
        <v>Seniors</v>
      </c>
      <c r="J2097" s="6">
        <f>VLOOKUP(F2097,Analysis!$F$1:$G$5,2,FALSE)</f>
        <v>2509.1716796874912</v>
      </c>
      <c r="K2097">
        <f t="shared" si="128"/>
        <v>4378.34</v>
      </c>
      <c r="L2097">
        <f t="shared" si="129"/>
        <v>4378.3500000000004</v>
      </c>
      <c r="M2097">
        <f t="shared" si="130"/>
        <v>4378.34</v>
      </c>
      <c r="N2097" s="5" t="str">
        <f t="shared" si="131"/>
        <v>October 2022</v>
      </c>
    </row>
    <row r="2098" spans="1:14" x14ac:dyDescent="0.25">
      <c r="A2098" s="1">
        <v>44866</v>
      </c>
      <c r="B2098" t="s">
        <v>1419</v>
      </c>
      <c r="C2098">
        <v>78</v>
      </c>
      <c r="D2098" t="s">
        <v>9</v>
      </c>
      <c r="E2098" t="s">
        <v>22</v>
      </c>
      <c r="F2098" t="s">
        <v>11</v>
      </c>
      <c r="G2098" t="s">
        <v>5033</v>
      </c>
      <c r="H2098">
        <v>807.04</v>
      </c>
      <c r="I2098" s="8" t="str" cm="1">
        <f t="array" ref="I2098">_xlfn.IFS(C2098&lt;=15,"Children and Young Adolescents", C2098&gt;64, "Seniors", TRUE, "Working Age")</f>
        <v>Seniors</v>
      </c>
      <c r="J2098" s="6">
        <f>VLOOKUP(F2098,Analysis!$F$1:$G$5,2,FALSE)</f>
        <v>2503.6022787783854</v>
      </c>
      <c r="K2098">
        <f t="shared" si="128"/>
        <v>887.74</v>
      </c>
      <c r="L2098">
        <f t="shared" si="129"/>
        <v>887.75</v>
      </c>
      <c r="M2098">
        <f t="shared" si="130"/>
        <v>887.74</v>
      </c>
      <c r="N2098" s="5" t="str">
        <f t="shared" si="131"/>
        <v>November 2022</v>
      </c>
    </row>
    <row r="2099" spans="1:14" x14ac:dyDescent="0.25">
      <c r="A2099" s="1">
        <v>44866</v>
      </c>
      <c r="B2099" t="s">
        <v>2542</v>
      </c>
      <c r="C2099">
        <v>71</v>
      </c>
      <c r="D2099" t="s">
        <v>14</v>
      </c>
      <c r="E2099" t="s">
        <v>10</v>
      </c>
      <c r="F2099" t="s">
        <v>11</v>
      </c>
      <c r="G2099" t="s">
        <v>12</v>
      </c>
      <c r="H2099">
        <v>4697.41</v>
      </c>
      <c r="I2099" s="8" t="str" cm="1">
        <f t="array" ref="I2099">_xlfn.IFS(C2099&lt;=15,"Children and Young Adolescents", C2099&gt;64, "Seniors", TRUE, "Working Age")</f>
        <v>Seniors</v>
      </c>
      <c r="J2099" s="6">
        <f>VLOOKUP(F2099,Analysis!$F$1:$G$5,2,FALSE)</f>
        <v>2503.6022787783854</v>
      </c>
      <c r="K2099">
        <f t="shared" si="128"/>
        <v>5167.1499999999996</v>
      </c>
      <c r="L2099">
        <f t="shared" si="129"/>
        <v>5167.16</v>
      </c>
      <c r="M2099">
        <f t="shared" si="130"/>
        <v>5167.1499999999996</v>
      </c>
      <c r="N2099" s="5" t="str">
        <f t="shared" si="131"/>
        <v>November 2022</v>
      </c>
    </row>
    <row r="2100" spans="1:14" x14ac:dyDescent="0.25">
      <c r="A2100" s="1">
        <v>44866</v>
      </c>
      <c r="B2100" t="s">
        <v>1400</v>
      </c>
      <c r="C2100">
        <v>64</v>
      </c>
      <c r="D2100" t="s">
        <v>21</v>
      </c>
      <c r="E2100" t="s">
        <v>32</v>
      </c>
      <c r="F2100" t="s">
        <v>16</v>
      </c>
      <c r="G2100" t="s">
        <v>12</v>
      </c>
      <c r="H2100">
        <v>61.01</v>
      </c>
      <c r="I2100" s="8" t="str" cm="1">
        <f t="array" ref="I2100">_xlfn.IFS(C2100&lt;=15,"Children and Young Adolescents", C2100&gt;64, "Seniors", TRUE, "Working Age")</f>
        <v>Working Age</v>
      </c>
      <c r="J2100" s="6">
        <f>VLOOKUP(F2100,Analysis!$F$1:$G$5,2,FALSE)</f>
        <v>2509.1716796874912</v>
      </c>
      <c r="K2100">
        <f t="shared" si="128"/>
        <v>67.11</v>
      </c>
      <c r="L2100">
        <f t="shared" si="129"/>
        <v>67.12</v>
      </c>
      <c r="M2100">
        <f t="shared" si="130"/>
        <v>67.11</v>
      </c>
      <c r="N2100" s="5" t="str">
        <f t="shared" si="131"/>
        <v>November 2022</v>
      </c>
    </row>
    <row r="2101" spans="1:14" x14ac:dyDescent="0.25">
      <c r="A2101" s="1">
        <v>44867</v>
      </c>
      <c r="B2101" t="s">
        <v>4733</v>
      </c>
      <c r="C2101">
        <v>62</v>
      </c>
      <c r="D2101" t="s">
        <v>14</v>
      </c>
      <c r="E2101" t="s">
        <v>32</v>
      </c>
      <c r="F2101" t="s">
        <v>11</v>
      </c>
      <c r="G2101" t="s">
        <v>39</v>
      </c>
      <c r="H2101">
        <v>3035.59</v>
      </c>
      <c r="I2101" s="8" t="str" cm="1">
        <f t="array" ref="I2101">_xlfn.IFS(C2101&lt;=15,"Children and Young Adolescents", C2101&gt;64, "Seniors", TRUE, "Working Age")</f>
        <v>Working Age</v>
      </c>
      <c r="J2101" s="6">
        <f>VLOOKUP(F2101,Analysis!$F$1:$G$5,2,FALSE)</f>
        <v>2503.6022787783854</v>
      </c>
      <c r="K2101">
        <f t="shared" si="128"/>
        <v>3339.14</v>
      </c>
      <c r="L2101">
        <f t="shared" si="129"/>
        <v>3339.15</v>
      </c>
      <c r="M2101">
        <f t="shared" si="130"/>
        <v>3339.15</v>
      </c>
      <c r="N2101" s="5" t="str">
        <f t="shared" si="131"/>
        <v>November 2022</v>
      </c>
    </row>
    <row r="2102" spans="1:14" x14ac:dyDescent="0.25">
      <c r="A2102" s="1">
        <v>44867</v>
      </c>
      <c r="B2102" t="s">
        <v>2899</v>
      </c>
      <c r="C2102">
        <v>15</v>
      </c>
      <c r="D2102" t="s">
        <v>9</v>
      </c>
      <c r="E2102" t="s">
        <v>10</v>
      </c>
      <c r="F2102" t="s">
        <v>23</v>
      </c>
      <c r="G2102" t="s">
        <v>27</v>
      </c>
      <c r="H2102">
        <v>807.35</v>
      </c>
      <c r="I2102" s="8" t="str" cm="1">
        <f t="array" ref="I2102">_xlfn.IFS(C2102&lt;=15,"Children and Young Adolescents", C2102&gt;64, "Seniors", TRUE, "Working Age")</f>
        <v>Children and Young Adolescents</v>
      </c>
      <c r="J2102" s="6">
        <f>VLOOKUP(F2102,Analysis!$F$1:$G$5,2,FALSE)</f>
        <v>2440.2966694490838</v>
      </c>
      <c r="K2102">
        <f t="shared" si="128"/>
        <v>888.08</v>
      </c>
      <c r="L2102">
        <f t="shared" si="129"/>
        <v>888.09</v>
      </c>
      <c r="M2102">
        <f t="shared" si="130"/>
        <v>888.09</v>
      </c>
      <c r="N2102" s="5" t="str">
        <f t="shared" si="131"/>
        <v>November 2022</v>
      </c>
    </row>
    <row r="2103" spans="1:14" x14ac:dyDescent="0.25">
      <c r="A2103" s="1">
        <v>44867</v>
      </c>
      <c r="B2103" t="s">
        <v>3175</v>
      </c>
      <c r="C2103">
        <v>71</v>
      </c>
      <c r="D2103" t="s">
        <v>21</v>
      </c>
      <c r="E2103" t="s">
        <v>32</v>
      </c>
      <c r="F2103" t="s">
        <v>23</v>
      </c>
      <c r="G2103" t="s">
        <v>17</v>
      </c>
      <c r="H2103">
        <v>2271.34</v>
      </c>
      <c r="I2103" s="8" t="str" cm="1">
        <f t="array" ref="I2103">_xlfn.IFS(C2103&lt;=15,"Children and Young Adolescents", C2103&gt;64, "Seniors", TRUE, "Working Age")</f>
        <v>Seniors</v>
      </c>
      <c r="J2103" s="6">
        <f>VLOOKUP(F2103,Analysis!$F$1:$G$5,2,FALSE)</f>
        <v>2440.2966694490838</v>
      </c>
      <c r="K2103">
        <f t="shared" si="128"/>
        <v>2498.4699999999998</v>
      </c>
      <c r="L2103">
        <f t="shared" si="129"/>
        <v>2498.48</v>
      </c>
      <c r="M2103">
        <f t="shared" si="130"/>
        <v>2498.4699999999998</v>
      </c>
      <c r="N2103" s="5" t="str">
        <f t="shared" si="131"/>
        <v>November 2022</v>
      </c>
    </row>
    <row r="2104" spans="1:14" x14ac:dyDescent="0.25">
      <c r="A2104" s="1">
        <v>44867</v>
      </c>
      <c r="B2104" t="s">
        <v>498</v>
      </c>
      <c r="C2104">
        <v>9</v>
      </c>
      <c r="D2104" t="s">
        <v>21</v>
      </c>
      <c r="E2104" t="s">
        <v>22</v>
      </c>
      <c r="F2104" t="s">
        <v>11</v>
      </c>
      <c r="G2104" t="s">
        <v>17</v>
      </c>
      <c r="H2104">
        <v>2070.83</v>
      </c>
      <c r="I2104" s="8" t="str" cm="1">
        <f t="array" ref="I2104">_xlfn.IFS(C2104&lt;=15,"Children and Young Adolescents", C2104&gt;64, "Seniors", TRUE, "Working Age")</f>
        <v>Children and Young Adolescents</v>
      </c>
      <c r="J2104" s="6">
        <f>VLOOKUP(F2104,Analysis!$F$1:$G$5,2,FALSE)</f>
        <v>2503.6022787783854</v>
      </c>
      <c r="K2104">
        <f t="shared" si="128"/>
        <v>2277.91</v>
      </c>
      <c r="L2104">
        <f t="shared" si="129"/>
        <v>2277.92</v>
      </c>
      <c r="M2104">
        <f t="shared" si="130"/>
        <v>2277.91</v>
      </c>
      <c r="N2104" s="5" t="str">
        <f t="shared" si="131"/>
        <v>November 2022</v>
      </c>
    </row>
    <row r="2105" spans="1:14" x14ac:dyDescent="0.25">
      <c r="A2105" s="1">
        <v>44867</v>
      </c>
      <c r="B2105" t="s">
        <v>1664</v>
      </c>
      <c r="C2105">
        <v>56</v>
      </c>
      <c r="D2105" t="s">
        <v>21</v>
      </c>
      <c r="E2105" t="s">
        <v>10</v>
      </c>
      <c r="F2105" t="s">
        <v>11</v>
      </c>
      <c r="G2105" t="s">
        <v>36</v>
      </c>
      <c r="H2105">
        <v>2811.48</v>
      </c>
      <c r="I2105" s="8" t="str" cm="1">
        <f t="array" ref="I2105">_xlfn.IFS(C2105&lt;=15,"Children and Young Adolescents", C2105&gt;64, "Seniors", TRUE, "Working Age")</f>
        <v>Working Age</v>
      </c>
      <c r="J2105" s="6">
        <f>VLOOKUP(F2105,Analysis!$F$1:$G$5,2,FALSE)</f>
        <v>2503.6022787783854</v>
      </c>
      <c r="K2105">
        <f t="shared" si="128"/>
        <v>3092.62</v>
      </c>
      <c r="L2105">
        <f t="shared" si="129"/>
        <v>3092.63</v>
      </c>
      <c r="M2105">
        <f t="shared" si="130"/>
        <v>3092.63</v>
      </c>
      <c r="N2105" s="5" t="str">
        <f t="shared" si="131"/>
        <v>November 2022</v>
      </c>
    </row>
    <row r="2106" spans="1:14" x14ac:dyDescent="0.25">
      <c r="A2106" s="1">
        <v>44867</v>
      </c>
      <c r="B2106" t="s">
        <v>4854</v>
      </c>
      <c r="C2106">
        <v>12</v>
      </c>
      <c r="D2106" t="s">
        <v>14</v>
      </c>
      <c r="E2106" t="s">
        <v>19</v>
      </c>
      <c r="F2106" t="s">
        <v>29</v>
      </c>
      <c r="G2106" t="s">
        <v>17</v>
      </c>
      <c r="H2106">
        <v>2496.2600000000002</v>
      </c>
      <c r="I2106" s="8" t="str" cm="1">
        <f t="array" ref="I2106">_xlfn.IFS(C2106&lt;=15,"Children and Young Adolescents", C2106&gt;64, "Seniors", TRUE, "Working Age")</f>
        <v>Children and Young Adolescents</v>
      </c>
      <c r="J2106" s="6">
        <f>VLOOKUP(F2106,Analysis!$F$1:$G$5,2,FALSE)</f>
        <v>2496.7676064256989</v>
      </c>
      <c r="K2106">
        <f t="shared" si="128"/>
        <v>2745.88</v>
      </c>
      <c r="L2106">
        <f t="shared" si="129"/>
        <v>2745.8900000000003</v>
      </c>
      <c r="M2106">
        <f t="shared" si="130"/>
        <v>2745.89</v>
      </c>
      <c r="N2106" s="5" t="str">
        <f t="shared" si="131"/>
        <v>November 2022</v>
      </c>
    </row>
    <row r="2107" spans="1:14" x14ac:dyDescent="0.25">
      <c r="A2107" s="1">
        <v>44867</v>
      </c>
      <c r="B2107" t="s">
        <v>4382</v>
      </c>
      <c r="C2107">
        <v>58</v>
      </c>
      <c r="D2107" t="s">
        <v>21</v>
      </c>
      <c r="E2107" t="s">
        <v>5032</v>
      </c>
      <c r="F2107" t="s">
        <v>16</v>
      </c>
      <c r="G2107" t="s">
        <v>39</v>
      </c>
      <c r="H2107">
        <v>852.21</v>
      </c>
      <c r="I2107" s="8" t="str" cm="1">
        <f t="array" ref="I2107">_xlfn.IFS(C2107&lt;=15,"Children and Young Adolescents", C2107&gt;64, "Seniors", TRUE, "Working Age")</f>
        <v>Working Age</v>
      </c>
      <c r="J2107" s="6">
        <f>VLOOKUP(F2107,Analysis!$F$1:$G$5,2,FALSE)</f>
        <v>2509.1716796874912</v>
      </c>
      <c r="K2107">
        <f t="shared" si="128"/>
        <v>937.43</v>
      </c>
      <c r="L2107">
        <f t="shared" si="129"/>
        <v>937.43999999999994</v>
      </c>
      <c r="M2107">
        <f t="shared" si="130"/>
        <v>937.43</v>
      </c>
      <c r="N2107" s="5" t="str">
        <f t="shared" si="131"/>
        <v>November 2022</v>
      </c>
    </row>
    <row r="2108" spans="1:14" x14ac:dyDescent="0.25">
      <c r="A2108" s="1">
        <v>44868</v>
      </c>
      <c r="B2108" t="s">
        <v>4827</v>
      </c>
      <c r="C2108">
        <v>82</v>
      </c>
      <c r="D2108" t="s">
        <v>14</v>
      </c>
      <c r="E2108" t="s">
        <v>10</v>
      </c>
      <c r="F2108" t="s">
        <v>29</v>
      </c>
      <c r="G2108" t="s">
        <v>5033</v>
      </c>
      <c r="H2108">
        <v>3919.24</v>
      </c>
      <c r="I2108" s="8" t="str" cm="1">
        <f t="array" ref="I2108">_xlfn.IFS(C2108&lt;=15,"Children and Young Adolescents", C2108&gt;64, "Seniors", TRUE, "Working Age")</f>
        <v>Seniors</v>
      </c>
      <c r="J2108" s="6">
        <f>VLOOKUP(F2108,Analysis!$F$1:$G$5,2,FALSE)</f>
        <v>2496.7676064256989</v>
      </c>
      <c r="K2108">
        <f t="shared" si="128"/>
        <v>4311.16</v>
      </c>
      <c r="L2108">
        <f t="shared" si="129"/>
        <v>4311.17</v>
      </c>
      <c r="M2108">
        <f t="shared" si="130"/>
        <v>4311.16</v>
      </c>
      <c r="N2108" s="5" t="str">
        <f t="shared" si="131"/>
        <v>November 2022</v>
      </c>
    </row>
    <row r="2109" spans="1:14" x14ac:dyDescent="0.25">
      <c r="A2109" s="1">
        <v>44868</v>
      </c>
      <c r="B2109" t="s">
        <v>4125</v>
      </c>
      <c r="C2109">
        <v>40</v>
      </c>
      <c r="D2109" t="s">
        <v>21</v>
      </c>
      <c r="E2109" t="s">
        <v>22</v>
      </c>
      <c r="F2109" t="s">
        <v>11</v>
      </c>
      <c r="G2109" t="s">
        <v>17</v>
      </c>
      <c r="H2109">
        <v>647.87</v>
      </c>
      <c r="I2109" s="8" t="str" cm="1">
        <f t="array" ref="I2109">_xlfn.IFS(C2109&lt;=15,"Children and Young Adolescents", C2109&gt;64, "Seniors", TRUE, "Working Age")</f>
        <v>Working Age</v>
      </c>
      <c r="J2109" s="6">
        <f>VLOOKUP(F2109,Analysis!$F$1:$G$5,2,FALSE)</f>
        <v>2503.6022787783854</v>
      </c>
      <c r="K2109">
        <f t="shared" si="128"/>
        <v>712.65</v>
      </c>
      <c r="L2109">
        <f t="shared" si="129"/>
        <v>712.66</v>
      </c>
      <c r="M2109">
        <f t="shared" si="130"/>
        <v>712.66</v>
      </c>
      <c r="N2109" s="5" t="str">
        <f t="shared" si="131"/>
        <v>November 2022</v>
      </c>
    </row>
    <row r="2110" spans="1:14" x14ac:dyDescent="0.25">
      <c r="A2110" s="1">
        <v>44868</v>
      </c>
      <c r="B2110" t="s">
        <v>1584</v>
      </c>
      <c r="C2110">
        <v>73</v>
      </c>
      <c r="D2110" t="s">
        <v>21</v>
      </c>
      <c r="E2110" t="s">
        <v>34</v>
      </c>
      <c r="F2110" t="s">
        <v>16</v>
      </c>
      <c r="G2110" t="s">
        <v>12</v>
      </c>
      <c r="H2110">
        <v>360.72</v>
      </c>
      <c r="I2110" s="8" t="str" cm="1">
        <f t="array" ref="I2110">_xlfn.IFS(C2110&lt;=15,"Children and Young Adolescents", C2110&gt;64, "Seniors", TRUE, "Working Age")</f>
        <v>Seniors</v>
      </c>
      <c r="J2110" s="6">
        <f>VLOOKUP(F2110,Analysis!$F$1:$G$5,2,FALSE)</f>
        <v>2509.1716796874912</v>
      </c>
      <c r="K2110">
        <f t="shared" si="128"/>
        <v>396.79</v>
      </c>
      <c r="L2110">
        <f t="shared" si="129"/>
        <v>396.8</v>
      </c>
      <c r="M2110">
        <f t="shared" si="130"/>
        <v>396.79</v>
      </c>
      <c r="N2110" s="5" t="str">
        <f t="shared" si="131"/>
        <v>November 2022</v>
      </c>
    </row>
    <row r="2111" spans="1:14" x14ac:dyDescent="0.25">
      <c r="A2111" s="1">
        <v>44868</v>
      </c>
      <c r="B2111" t="s">
        <v>400</v>
      </c>
      <c r="C2111">
        <v>49</v>
      </c>
      <c r="D2111" t="s">
        <v>9</v>
      </c>
      <c r="E2111" t="s">
        <v>10</v>
      </c>
      <c r="F2111" t="s">
        <v>29</v>
      </c>
      <c r="G2111" t="s">
        <v>36</v>
      </c>
      <c r="H2111">
        <v>436.43</v>
      </c>
      <c r="I2111" s="8" t="str" cm="1">
        <f t="array" ref="I2111">_xlfn.IFS(C2111&lt;=15,"Children and Young Adolescents", C2111&gt;64, "Seniors", TRUE, "Working Age")</f>
        <v>Working Age</v>
      </c>
      <c r="J2111" s="6">
        <f>VLOOKUP(F2111,Analysis!$F$1:$G$5,2,FALSE)</f>
        <v>2496.7676064256989</v>
      </c>
      <c r="K2111">
        <f t="shared" si="128"/>
        <v>480.07</v>
      </c>
      <c r="L2111">
        <f t="shared" si="129"/>
        <v>480.08</v>
      </c>
      <c r="M2111">
        <f t="shared" si="130"/>
        <v>480.07</v>
      </c>
      <c r="N2111" s="5" t="str">
        <f t="shared" si="131"/>
        <v>November 2022</v>
      </c>
    </row>
    <row r="2112" spans="1:14" x14ac:dyDescent="0.25">
      <c r="A2112" s="1">
        <v>44868</v>
      </c>
      <c r="B2112" t="s">
        <v>5026</v>
      </c>
      <c r="C2112">
        <v>46</v>
      </c>
      <c r="D2112" t="s">
        <v>14</v>
      </c>
      <c r="E2112" t="s">
        <v>15</v>
      </c>
      <c r="F2112" t="s">
        <v>16</v>
      </c>
      <c r="G2112" t="s">
        <v>17</v>
      </c>
      <c r="H2112">
        <v>2734.91</v>
      </c>
      <c r="I2112" s="8" t="str" cm="1">
        <f t="array" ref="I2112">_xlfn.IFS(C2112&lt;=15,"Children and Young Adolescents", C2112&gt;64, "Seniors", TRUE, "Working Age")</f>
        <v>Working Age</v>
      </c>
      <c r="J2112" s="6">
        <f>VLOOKUP(F2112,Analysis!$F$1:$G$5,2,FALSE)</f>
        <v>2509.1716796874912</v>
      </c>
      <c r="K2112">
        <f t="shared" si="128"/>
        <v>3008.4</v>
      </c>
      <c r="L2112">
        <f t="shared" si="129"/>
        <v>3008.4100000000003</v>
      </c>
      <c r="M2112">
        <f t="shared" si="130"/>
        <v>3008.4</v>
      </c>
      <c r="N2112" s="5" t="str">
        <f t="shared" si="131"/>
        <v>November 2022</v>
      </c>
    </row>
    <row r="2113" spans="1:14" x14ac:dyDescent="0.25">
      <c r="A2113" s="1">
        <v>44868</v>
      </c>
      <c r="B2113" t="s">
        <v>4203</v>
      </c>
      <c r="C2113">
        <v>96</v>
      </c>
      <c r="D2113" t="s">
        <v>9</v>
      </c>
      <c r="E2113" t="s">
        <v>19</v>
      </c>
      <c r="F2113" t="s">
        <v>23</v>
      </c>
      <c r="G2113" t="s">
        <v>27</v>
      </c>
      <c r="H2113">
        <v>826.62</v>
      </c>
      <c r="I2113" s="8" t="str" cm="1">
        <f t="array" ref="I2113">_xlfn.IFS(C2113&lt;=15,"Children and Young Adolescents", C2113&gt;64, "Seniors", TRUE, "Working Age")</f>
        <v>Seniors</v>
      </c>
      <c r="J2113" s="6">
        <f>VLOOKUP(F2113,Analysis!$F$1:$G$5,2,FALSE)</f>
        <v>2440.2966694490838</v>
      </c>
      <c r="K2113">
        <f t="shared" si="128"/>
        <v>909.28</v>
      </c>
      <c r="L2113">
        <f t="shared" si="129"/>
        <v>909.29</v>
      </c>
      <c r="M2113">
        <f t="shared" si="130"/>
        <v>909.28</v>
      </c>
      <c r="N2113" s="5" t="str">
        <f t="shared" si="131"/>
        <v>November 2022</v>
      </c>
    </row>
    <row r="2114" spans="1:14" x14ac:dyDescent="0.25">
      <c r="A2114" s="1">
        <v>44868</v>
      </c>
      <c r="B2114" t="s">
        <v>5017</v>
      </c>
      <c r="C2114">
        <v>25</v>
      </c>
      <c r="D2114" t="s">
        <v>14</v>
      </c>
      <c r="E2114" t="s">
        <v>15</v>
      </c>
      <c r="F2114" t="s">
        <v>23</v>
      </c>
      <c r="G2114" t="s">
        <v>36</v>
      </c>
      <c r="H2114">
        <v>564.95000000000005</v>
      </c>
      <c r="I2114" s="8" t="str" cm="1">
        <f t="array" ref="I2114">_xlfn.IFS(C2114&lt;=15,"Children and Young Adolescents", C2114&gt;64, "Seniors", TRUE, "Working Age")</f>
        <v>Working Age</v>
      </c>
      <c r="J2114" s="6">
        <f>VLOOKUP(F2114,Analysis!$F$1:$G$5,2,FALSE)</f>
        <v>2440.2966694490838</v>
      </c>
      <c r="K2114">
        <f t="shared" si="128"/>
        <v>621.44000000000005</v>
      </c>
      <c r="L2114">
        <f t="shared" si="129"/>
        <v>621.45000000000005</v>
      </c>
      <c r="M2114">
        <f t="shared" si="130"/>
        <v>621.45000000000005</v>
      </c>
      <c r="N2114" s="5" t="str">
        <f t="shared" si="131"/>
        <v>November 2022</v>
      </c>
    </row>
    <row r="2115" spans="1:14" x14ac:dyDescent="0.25">
      <c r="A2115" s="1">
        <v>44868</v>
      </c>
      <c r="B2115" t="s">
        <v>3457</v>
      </c>
      <c r="C2115">
        <v>99</v>
      </c>
      <c r="D2115" t="s">
        <v>14</v>
      </c>
      <c r="E2115" t="s">
        <v>19</v>
      </c>
      <c r="F2115" t="s">
        <v>16</v>
      </c>
      <c r="G2115" t="s">
        <v>36</v>
      </c>
      <c r="H2115">
        <v>1476.73</v>
      </c>
      <c r="I2115" s="8" t="str" cm="1">
        <f t="array" ref="I2115">_xlfn.IFS(C2115&lt;=15,"Children and Young Adolescents", C2115&gt;64, "Seniors", TRUE, "Working Age")</f>
        <v>Seniors</v>
      </c>
      <c r="J2115" s="6">
        <f>VLOOKUP(F2115,Analysis!$F$1:$G$5,2,FALSE)</f>
        <v>2509.1716796874912</v>
      </c>
      <c r="K2115">
        <f t="shared" ref="K2115:K2178" si="132">ROUNDDOWN(H2115*1.1,2)</f>
        <v>1624.4</v>
      </c>
      <c r="L2115">
        <f t="shared" ref="L2115:L2178" si="133">ROUNDUP(H2115*1.1,2)</f>
        <v>1624.41</v>
      </c>
      <c r="M2115">
        <f t="shared" ref="M2115:M2178" si="134">ROUND(H2115*1.1,2)</f>
        <v>1624.4</v>
      </c>
      <c r="N2115" s="5" t="str">
        <f t="shared" ref="N2115:N2178" si="135">TEXT(A2115,"mmmm yyyy")</f>
        <v>November 2022</v>
      </c>
    </row>
    <row r="2116" spans="1:14" x14ac:dyDescent="0.25">
      <c r="A2116" s="1">
        <v>44869</v>
      </c>
      <c r="B2116" t="s">
        <v>2104</v>
      </c>
      <c r="C2116">
        <v>75</v>
      </c>
      <c r="D2116" t="s">
        <v>21</v>
      </c>
      <c r="E2116" t="s">
        <v>34</v>
      </c>
      <c r="F2116" t="s">
        <v>23</v>
      </c>
      <c r="G2116" t="s">
        <v>27</v>
      </c>
      <c r="H2116">
        <v>2795.22</v>
      </c>
      <c r="I2116" s="8" t="str" cm="1">
        <f t="array" ref="I2116">_xlfn.IFS(C2116&lt;=15,"Children and Young Adolescents", C2116&gt;64, "Seniors", TRUE, "Working Age")</f>
        <v>Seniors</v>
      </c>
      <c r="J2116" s="6">
        <f>VLOOKUP(F2116,Analysis!$F$1:$G$5,2,FALSE)</f>
        <v>2440.2966694490838</v>
      </c>
      <c r="K2116">
        <f t="shared" si="132"/>
        <v>3074.74</v>
      </c>
      <c r="L2116">
        <f t="shared" si="133"/>
        <v>3074.75</v>
      </c>
      <c r="M2116">
        <f t="shared" si="134"/>
        <v>3074.74</v>
      </c>
      <c r="N2116" s="5" t="str">
        <f t="shared" si="135"/>
        <v>November 2022</v>
      </c>
    </row>
    <row r="2117" spans="1:14" x14ac:dyDescent="0.25">
      <c r="A2117" s="1">
        <v>44869</v>
      </c>
      <c r="B2117" t="s">
        <v>3073</v>
      </c>
      <c r="C2117">
        <v>88</v>
      </c>
      <c r="D2117" t="s">
        <v>14</v>
      </c>
      <c r="E2117" t="s">
        <v>19</v>
      </c>
      <c r="F2117" t="s">
        <v>29</v>
      </c>
      <c r="G2117" t="s">
        <v>27</v>
      </c>
      <c r="H2117">
        <v>4945.8500000000004</v>
      </c>
      <c r="I2117" s="8" t="str" cm="1">
        <f t="array" ref="I2117">_xlfn.IFS(C2117&lt;=15,"Children and Young Adolescents", C2117&gt;64, "Seniors", TRUE, "Working Age")</f>
        <v>Seniors</v>
      </c>
      <c r="J2117" s="6">
        <f>VLOOKUP(F2117,Analysis!$F$1:$G$5,2,FALSE)</f>
        <v>2496.7676064256989</v>
      </c>
      <c r="K2117">
        <f t="shared" si="132"/>
        <v>5440.43</v>
      </c>
      <c r="L2117">
        <f t="shared" si="133"/>
        <v>5440.4400000000005</v>
      </c>
      <c r="M2117">
        <f t="shared" si="134"/>
        <v>5440.44</v>
      </c>
      <c r="N2117" s="5" t="str">
        <f t="shared" si="135"/>
        <v>November 2022</v>
      </c>
    </row>
    <row r="2118" spans="1:14" x14ac:dyDescent="0.25">
      <c r="A2118" s="1">
        <v>44869</v>
      </c>
      <c r="B2118" t="s">
        <v>1497</v>
      </c>
      <c r="C2118">
        <v>60</v>
      </c>
      <c r="D2118" t="s">
        <v>21</v>
      </c>
      <c r="E2118" t="s">
        <v>15</v>
      </c>
      <c r="F2118" t="s">
        <v>16</v>
      </c>
      <c r="G2118" t="s">
        <v>36</v>
      </c>
      <c r="H2118">
        <v>2077.87</v>
      </c>
      <c r="I2118" s="8" t="str" cm="1">
        <f t="array" ref="I2118">_xlfn.IFS(C2118&lt;=15,"Children and Young Adolescents", C2118&gt;64, "Seniors", TRUE, "Working Age")</f>
        <v>Working Age</v>
      </c>
      <c r="J2118" s="6">
        <f>VLOOKUP(F2118,Analysis!$F$1:$G$5,2,FALSE)</f>
        <v>2509.1716796874912</v>
      </c>
      <c r="K2118">
        <f t="shared" si="132"/>
        <v>2285.65</v>
      </c>
      <c r="L2118">
        <f t="shared" si="133"/>
        <v>2285.6600000000003</v>
      </c>
      <c r="M2118">
        <f t="shared" si="134"/>
        <v>2285.66</v>
      </c>
      <c r="N2118" s="5" t="str">
        <f t="shared" si="135"/>
        <v>November 2022</v>
      </c>
    </row>
    <row r="2119" spans="1:14" x14ac:dyDescent="0.25">
      <c r="A2119" s="1">
        <v>44870</v>
      </c>
      <c r="B2119" t="s">
        <v>2028</v>
      </c>
      <c r="C2119">
        <v>10</v>
      </c>
      <c r="D2119" t="s">
        <v>21</v>
      </c>
      <c r="E2119" t="s">
        <v>10</v>
      </c>
      <c r="F2119" t="s">
        <v>16</v>
      </c>
      <c r="G2119" t="s">
        <v>27</v>
      </c>
      <c r="H2119">
        <v>1871.9</v>
      </c>
      <c r="I2119" s="8" t="str" cm="1">
        <f t="array" ref="I2119">_xlfn.IFS(C2119&lt;=15,"Children and Young Adolescents", C2119&gt;64, "Seniors", TRUE, "Working Age")</f>
        <v>Children and Young Adolescents</v>
      </c>
      <c r="J2119" s="6">
        <f>VLOOKUP(F2119,Analysis!$F$1:$G$5,2,FALSE)</f>
        <v>2509.1716796874912</v>
      </c>
      <c r="K2119">
        <f t="shared" si="132"/>
        <v>2059.09</v>
      </c>
      <c r="L2119">
        <f t="shared" si="133"/>
        <v>2059.09</v>
      </c>
      <c r="M2119">
        <f t="shared" si="134"/>
        <v>2059.09</v>
      </c>
      <c r="N2119" s="5" t="str">
        <f t="shared" si="135"/>
        <v>November 2022</v>
      </c>
    </row>
    <row r="2120" spans="1:14" x14ac:dyDescent="0.25">
      <c r="A2120" s="1">
        <v>44870</v>
      </c>
      <c r="B2120" t="s">
        <v>3263</v>
      </c>
      <c r="C2120">
        <v>32</v>
      </c>
      <c r="D2120" t="s">
        <v>21</v>
      </c>
      <c r="E2120" t="s">
        <v>25</v>
      </c>
      <c r="F2120" t="s">
        <v>16</v>
      </c>
      <c r="G2120" t="s">
        <v>12</v>
      </c>
      <c r="H2120">
        <v>4378.8900000000003</v>
      </c>
      <c r="I2120" s="8" t="str" cm="1">
        <f t="array" ref="I2120">_xlfn.IFS(C2120&lt;=15,"Children and Young Adolescents", C2120&gt;64, "Seniors", TRUE, "Working Age")</f>
        <v>Working Age</v>
      </c>
      <c r="J2120" s="6">
        <f>VLOOKUP(F2120,Analysis!$F$1:$G$5,2,FALSE)</f>
        <v>2509.1716796874912</v>
      </c>
      <c r="K2120">
        <f t="shared" si="132"/>
        <v>4816.7700000000004</v>
      </c>
      <c r="L2120">
        <f t="shared" si="133"/>
        <v>4816.7800000000007</v>
      </c>
      <c r="M2120">
        <f t="shared" si="134"/>
        <v>4816.78</v>
      </c>
      <c r="N2120" s="5" t="str">
        <f t="shared" si="135"/>
        <v>November 2022</v>
      </c>
    </row>
    <row r="2121" spans="1:14" x14ac:dyDescent="0.25">
      <c r="A2121" s="1">
        <v>44870</v>
      </c>
      <c r="B2121" t="s">
        <v>4792</v>
      </c>
      <c r="C2121">
        <v>74</v>
      </c>
      <c r="D2121" t="s">
        <v>21</v>
      </c>
      <c r="E2121" t="s">
        <v>15</v>
      </c>
      <c r="F2121" t="s">
        <v>29</v>
      </c>
      <c r="G2121" t="s">
        <v>36</v>
      </c>
      <c r="H2121">
        <v>3228.8</v>
      </c>
      <c r="I2121" s="8" t="str" cm="1">
        <f t="array" ref="I2121">_xlfn.IFS(C2121&lt;=15,"Children and Young Adolescents", C2121&gt;64, "Seniors", TRUE, "Working Age")</f>
        <v>Seniors</v>
      </c>
      <c r="J2121" s="6">
        <f>VLOOKUP(F2121,Analysis!$F$1:$G$5,2,FALSE)</f>
        <v>2496.7676064256989</v>
      </c>
      <c r="K2121">
        <f t="shared" si="132"/>
        <v>3551.68</v>
      </c>
      <c r="L2121">
        <f t="shared" si="133"/>
        <v>3551.68</v>
      </c>
      <c r="M2121">
        <f t="shared" si="134"/>
        <v>3551.68</v>
      </c>
      <c r="N2121" s="5" t="str">
        <f t="shared" si="135"/>
        <v>November 2022</v>
      </c>
    </row>
    <row r="2122" spans="1:14" x14ac:dyDescent="0.25">
      <c r="A2122" s="1">
        <v>44870</v>
      </c>
      <c r="B2122" t="s">
        <v>3016</v>
      </c>
      <c r="C2122">
        <v>16</v>
      </c>
      <c r="D2122" t="s">
        <v>14</v>
      </c>
      <c r="E2122" t="s">
        <v>34</v>
      </c>
      <c r="F2122" t="s">
        <v>16</v>
      </c>
      <c r="G2122" t="s">
        <v>17</v>
      </c>
      <c r="H2122">
        <v>4801.3</v>
      </c>
      <c r="I2122" s="8" t="str" cm="1">
        <f t="array" ref="I2122">_xlfn.IFS(C2122&lt;=15,"Children and Young Adolescents", C2122&gt;64, "Seniors", TRUE, "Working Age")</f>
        <v>Working Age</v>
      </c>
      <c r="J2122" s="6">
        <f>VLOOKUP(F2122,Analysis!$F$1:$G$5,2,FALSE)</f>
        <v>2509.1716796874912</v>
      </c>
      <c r="K2122">
        <f t="shared" si="132"/>
        <v>5281.43</v>
      </c>
      <c r="L2122">
        <f t="shared" si="133"/>
        <v>5281.43</v>
      </c>
      <c r="M2122">
        <f t="shared" si="134"/>
        <v>5281.43</v>
      </c>
      <c r="N2122" s="5" t="str">
        <f t="shared" si="135"/>
        <v>November 2022</v>
      </c>
    </row>
    <row r="2123" spans="1:14" x14ac:dyDescent="0.25">
      <c r="A2123" s="1">
        <v>44871</v>
      </c>
      <c r="B2123" t="s">
        <v>2231</v>
      </c>
      <c r="C2123">
        <v>45</v>
      </c>
      <c r="D2123" t="s">
        <v>9</v>
      </c>
      <c r="E2123" t="s">
        <v>25</v>
      </c>
      <c r="F2123" t="s">
        <v>23</v>
      </c>
      <c r="G2123" t="s">
        <v>5033</v>
      </c>
      <c r="H2123">
        <v>3538.41</v>
      </c>
      <c r="I2123" s="8" t="str" cm="1">
        <f t="array" ref="I2123">_xlfn.IFS(C2123&lt;=15,"Children and Young Adolescents", C2123&gt;64, "Seniors", TRUE, "Working Age")</f>
        <v>Working Age</v>
      </c>
      <c r="J2123" s="6">
        <f>VLOOKUP(F2123,Analysis!$F$1:$G$5,2,FALSE)</f>
        <v>2440.2966694490838</v>
      </c>
      <c r="K2123">
        <f t="shared" si="132"/>
        <v>3892.25</v>
      </c>
      <c r="L2123">
        <f t="shared" si="133"/>
        <v>3892.26</v>
      </c>
      <c r="M2123">
        <f t="shared" si="134"/>
        <v>3892.25</v>
      </c>
      <c r="N2123" s="5" t="str">
        <f t="shared" si="135"/>
        <v>November 2022</v>
      </c>
    </row>
    <row r="2124" spans="1:14" x14ac:dyDescent="0.25">
      <c r="A2124" s="1">
        <v>44871</v>
      </c>
      <c r="B2124" t="s">
        <v>1606</v>
      </c>
      <c r="C2124">
        <v>96</v>
      </c>
      <c r="D2124" t="s">
        <v>14</v>
      </c>
      <c r="E2124" t="s">
        <v>25</v>
      </c>
      <c r="F2124" t="s">
        <v>23</v>
      </c>
      <c r="G2124" t="s">
        <v>12</v>
      </c>
      <c r="H2124">
        <v>212.8</v>
      </c>
      <c r="I2124" s="8" t="str" cm="1">
        <f t="array" ref="I2124">_xlfn.IFS(C2124&lt;=15,"Children and Young Adolescents", C2124&gt;64, "Seniors", TRUE, "Working Age")</f>
        <v>Seniors</v>
      </c>
      <c r="J2124" s="6">
        <f>VLOOKUP(F2124,Analysis!$F$1:$G$5,2,FALSE)</f>
        <v>2440.2966694490838</v>
      </c>
      <c r="K2124">
        <f t="shared" si="132"/>
        <v>234.08</v>
      </c>
      <c r="L2124">
        <f t="shared" si="133"/>
        <v>234.08</v>
      </c>
      <c r="M2124">
        <f t="shared" si="134"/>
        <v>234.08</v>
      </c>
      <c r="N2124" s="5" t="str">
        <f t="shared" si="135"/>
        <v>November 2022</v>
      </c>
    </row>
    <row r="2125" spans="1:14" x14ac:dyDescent="0.25">
      <c r="A2125" s="1">
        <v>44871</v>
      </c>
      <c r="B2125" t="s">
        <v>5015</v>
      </c>
      <c r="C2125">
        <v>50</v>
      </c>
      <c r="D2125" t="s">
        <v>9</v>
      </c>
      <c r="E2125" t="s">
        <v>19</v>
      </c>
      <c r="F2125" t="s">
        <v>11</v>
      </c>
      <c r="G2125" t="s">
        <v>17</v>
      </c>
      <c r="H2125">
        <v>3403.82</v>
      </c>
      <c r="I2125" s="8" t="str" cm="1">
        <f t="array" ref="I2125">_xlfn.IFS(C2125&lt;=15,"Children and Young Adolescents", C2125&gt;64, "Seniors", TRUE, "Working Age")</f>
        <v>Working Age</v>
      </c>
      <c r="J2125" s="6">
        <f>VLOOKUP(F2125,Analysis!$F$1:$G$5,2,FALSE)</f>
        <v>2503.6022787783854</v>
      </c>
      <c r="K2125">
        <f t="shared" si="132"/>
        <v>3744.2</v>
      </c>
      <c r="L2125">
        <f t="shared" si="133"/>
        <v>3744.21</v>
      </c>
      <c r="M2125">
        <f t="shared" si="134"/>
        <v>3744.2</v>
      </c>
      <c r="N2125" s="5" t="str">
        <f t="shared" si="135"/>
        <v>November 2022</v>
      </c>
    </row>
    <row r="2126" spans="1:14" x14ac:dyDescent="0.25">
      <c r="A2126" s="1">
        <v>44871</v>
      </c>
      <c r="B2126" t="s">
        <v>3180</v>
      </c>
      <c r="C2126">
        <v>26</v>
      </c>
      <c r="D2126" t="s">
        <v>9</v>
      </c>
      <c r="E2126" t="s">
        <v>32</v>
      </c>
      <c r="F2126" t="s">
        <v>29</v>
      </c>
      <c r="G2126" t="s">
        <v>27</v>
      </c>
      <c r="H2126">
        <v>1469.37</v>
      </c>
      <c r="I2126" s="8" t="str" cm="1">
        <f t="array" ref="I2126">_xlfn.IFS(C2126&lt;=15,"Children and Young Adolescents", C2126&gt;64, "Seniors", TRUE, "Working Age")</f>
        <v>Working Age</v>
      </c>
      <c r="J2126" s="6">
        <f>VLOOKUP(F2126,Analysis!$F$1:$G$5,2,FALSE)</f>
        <v>2496.7676064256989</v>
      </c>
      <c r="K2126">
        <f t="shared" si="132"/>
        <v>1616.3</v>
      </c>
      <c r="L2126">
        <f t="shared" si="133"/>
        <v>1616.31</v>
      </c>
      <c r="M2126">
        <f t="shared" si="134"/>
        <v>1616.31</v>
      </c>
      <c r="N2126" s="5" t="str">
        <f t="shared" si="135"/>
        <v>November 2022</v>
      </c>
    </row>
    <row r="2127" spans="1:14" x14ac:dyDescent="0.25">
      <c r="A2127" s="1">
        <v>44871</v>
      </c>
      <c r="B2127" t="s">
        <v>3350</v>
      </c>
      <c r="C2127">
        <v>55</v>
      </c>
      <c r="D2127" t="s">
        <v>21</v>
      </c>
      <c r="E2127" t="s">
        <v>22</v>
      </c>
      <c r="F2127" t="s">
        <v>29</v>
      </c>
      <c r="G2127" t="s">
        <v>17</v>
      </c>
      <c r="H2127">
        <v>2748.07</v>
      </c>
      <c r="I2127" s="8" t="str" cm="1">
        <f t="array" ref="I2127">_xlfn.IFS(C2127&lt;=15,"Children and Young Adolescents", C2127&gt;64, "Seniors", TRUE, "Working Age")</f>
        <v>Working Age</v>
      </c>
      <c r="J2127" s="6">
        <f>VLOOKUP(F2127,Analysis!$F$1:$G$5,2,FALSE)</f>
        <v>2496.7676064256989</v>
      </c>
      <c r="K2127">
        <f t="shared" si="132"/>
        <v>3022.87</v>
      </c>
      <c r="L2127">
        <f t="shared" si="133"/>
        <v>3022.88</v>
      </c>
      <c r="M2127">
        <f t="shared" si="134"/>
        <v>3022.88</v>
      </c>
      <c r="N2127" s="5" t="str">
        <f t="shared" si="135"/>
        <v>November 2022</v>
      </c>
    </row>
    <row r="2128" spans="1:14" x14ac:dyDescent="0.25">
      <c r="A2128" s="1">
        <v>44871</v>
      </c>
      <c r="B2128" t="s">
        <v>3447</v>
      </c>
      <c r="C2128">
        <v>99</v>
      </c>
      <c r="D2128" t="s">
        <v>21</v>
      </c>
      <c r="E2128" t="s">
        <v>15</v>
      </c>
      <c r="F2128" t="s">
        <v>29</v>
      </c>
      <c r="G2128" t="s">
        <v>12</v>
      </c>
      <c r="H2128">
        <v>2098.64</v>
      </c>
      <c r="I2128" s="8" t="str" cm="1">
        <f t="array" ref="I2128">_xlfn.IFS(C2128&lt;=15,"Children and Young Adolescents", C2128&gt;64, "Seniors", TRUE, "Working Age")</f>
        <v>Seniors</v>
      </c>
      <c r="J2128" s="6">
        <f>VLOOKUP(F2128,Analysis!$F$1:$G$5,2,FALSE)</f>
        <v>2496.7676064256989</v>
      </c>
      <c r="K2128">
        <f t="shared" si="132"/>
        <v>2308.5</v>
      </c>
      <c r="L2128">
        <f t="shared" si="133"/>
        <v>2308.5100000000002</v>
      </c>
      <c r="M2128">
        <f t="shared" si="134"/>
        <v>2308.5</v>
      </c>
      <c r="N2128" s="5" t="str">
        <f t="shared" si="135"/>
        <v>November 2022</v>
      </c>
    </row>
    <row r="2129" spans="1:14" x14ac:dyDescent="0.25">
      <c r="A2129" s="1">
        <v>44871</v>
      </c>
      <c r="B2129" t="s">
        <v>3833</v>
      </c>
      <c r="C2129">
        <v>52</v>
      </c>
      <c r="D2129" t="s">
        <v>14</v>
      </c>
      <c r="E2129" t="s">
        <v>10</v>
      </c>
      <c r="F2129" t="s">
        <v>23</v>
      </c>
      <c r="G2129" t="s">
        <v>36</v>
      </c>
      <c r="H2129">
        <v>1849.87</v>
      </c>
      <c r="I2129" s="8" t="str" cm="1">
        <f t="array" ref="I2129">_xlfn.IFS(C2129&lt;=15,"Children and Young Adolescents", C2129&gt;64, "Seniors", TRUE, "Working Age")</f>
        <v>Working Age</v>
      </c>
      <c r="J2129" s="6">
        <f>VLOOKUP(F2129,Analysis!$F$1:$G$5,2,FALSE)</f>
        <v>2440.2966694490838</v>
      </c>
      <c r="K2129">
        <f t="shared" si="132"/>
        <v>2034.85</v>
      </c>
      <c r="L2129">
        <f t="shared" si="133"/>
        <v>2034.86</v>
      </c>
      <c r="M2129">
        <f t="shared" si="134"/>
        <v>2034.86</v>
      </c>
      <c r="N2129" s="5" t="str">
        <f t="shared" si="135"/>
        <v>November 2022</v>
      </c>
    </row>
    <row r="2130" spans="1:14" x14ac:dyDescent="0.25">
      <c r="A2130" s="1">
        <v>44871</v>
      </c>
      <c r="B2130" t="s">
        <v>4709</v>
      </c>
      <c r="C2130">
        <v>97</v>
      </c>
      <c r="D2130" t="s">
        <v>21</v>
      </c>
      <c r="E2130" t="s">
        <v>15</v>
      </c>
      <c r="F2130" t="s">
        <v>16</v>
      </c>
      <c r="G2130" t="s">
        <v>39</v>
      </c>
      <c r="H2130">
        <v>623.19000000000005</v>
      </c>
      <c r="I2130" s="8" t="str" cm="1">
        <f t="array" ref="I2130">_xlfn.IFS(C2130&lt;=15,"Children and Young Adolescents", C2130&gt;64, "Seniors", TRUE, "Working Age")</f>
        <v>Seniors</v>
      </c>
      <c r="J2130" s="6">
        <f>VLOOKUP(F2130,Analysis!$F$1:$G$5,2,FALSE)</f>
        <v>2509.1716796874912</v>
      </c>
      <c r="K2130">
        <f t="shared" si="132"/>
        <v>685.5</v>
      </c>
      <c r="L2130">
        <f t="shared" si="133"/>
        <v>685.51</v>
      </c>
      <c r="M2130">
        <f t="shared" si="134"/>
        <v>685.51</v>
      </c>
      <c r="N2130" s="5" t="str">
        <f t="shared" si="135"/>
        <v>November 2022</v>
      </c>
    </row>
    <row r="2131" spans="1:14" x14ac:dyDescent="0.25">
      <c r="A2131" s="1">
        <v>44871</v>
      </c>
      <c r="B2131" t="s">
        <v>1798</v>
      </c>
      <c r="C2131">
        <v>66</v>
      </c>
      <c r="D2131" t="s">
        <v>21</v>
      </c>
      <c r="E2131" t="s">
        <v>34</v>
      </c>
      <c r="F2131" t="s">
        <v>11</v>
      </c>
      <c r="G2131" t="s">
        <v>36</v>
      </c>
      <c r="H2131">
        <v>28.52</v>
      </c>
      <c r="I2131" s="8" t="str" cm="1">
        <f t="array" ref="I2131">_xlfn.IFS(C2131&lt;=15,"Children and Young Adolescents", C2131&gt;64, "Seniors", TRUE, "Working Age")</f>
        <v>Seniors</v>
      </c>
      <c r="J2131" s="6">
        <f>VLOOKUP(F2131,Analysis!$F$1:$G$5,2,FALSE)</f>
        <v>2503.6022787783854</v>
      </c>
      <c r="K2131">
        <f t="shared" si="132"/>
        <v>31.37</v>
      </c>
      <c r="L2131">
        <f t="shared" si="133"/>
        <v>31.380000000000003</v>
      </c>
      <c r="M2131">
        <f t="shared" si="134"/>
        <v>31.37</v>
      </c>
      <c r="N2131" s="5" t="str">
        <f t="shared" si="135"/>
        <v>November 2022</v>
      </c>
    </row>
    <row r="2132" spans="1:14" x14ac:dyDescent="0.25">
      <c r="A2132" s="1">
        <v>44872</v>
      </c>
      <c r="B2132" t="s">
        <v>4574</v>
      </c>
      <c r="C2132">
        <v>78</v>
      </c>
      <c r="D2132" t="s">
        <v>21</v>
      </c>
      <c r="E2132" t="s">
        <v>22</v>
      </c>
      <c r="F2132" t="s">
        <v>23</v>
      </c>
      <c r="G2132" t="s">
        <v>27</v>
      </c>
      <c r="H2132">
        <v>3261.67</v>
      </c>
      <c r="I2132" s="8" t="str" cm="1">
        <f t="array" ref="I2132">_xlfn.IFS(C2132&lt;=15,"Children and Young Adolescents", C2132&gt;64, "Seniors", TRUE, "Working Age")</f>
        <v>Seniors</v>
      </c>
      <c r="J2132" s="6">
        <f>VLOOKUP(F2132,Analysis!$F$1:$G$5,2,FALSE)</f>
        <v>2440.2966694490838</v>
      </c>
      <c r="K2132">
        <f t="shared" si="132"/>
        <v>3587.83</v>
      </c>
      <c r="L2132">
        <f t="shared" si="133"/>
        <v>3587.84</v>
      </c>
      <c r="M2132">
        <f t="shared" si="134"/>
        <v>3587.84</v>
      </c>
      <c r="N2132" s="5" t="str">
        <f t="shared" si="135"/>
        <v>November 2022</v>
      </c>
    </row>
    <row r="2133" spans="1:14" x14ac:dyDescent="0.25">
      <c r="A2133" s="1">
        <v>44872</v>
      </c>
      <c r="B2133" t="s">
        <v>603</v>
      </c>
      <c r="C2133">
        <v>60</v>
      </c>
      <c r="D2133" t="s">
        <v>14</v>
      </c>
      <c r="E2133" t="s">
        <v>34</v>
      </c>
      <c r="F2133" t="s">
        <v>23</v>
      </c>
      <c r="G2133" t="s">
        <v>12</v>
      </c>
      <c r="H2133">
        <v>2286.2199999999998</v>
      </c>
      <c r="I2133" s="8" t="str" cm="1">
        <f t="array" ref="I2133">_xlfn.IFS(C2133&lt;=15,"Children and Young Adolescents", C2133&gt;64, "Seniors", TRUE, "Working Age")</f>
        <v>Working Age</v>
      </c>
      <c r="J2133" s="6">
        <f>VLOOKUP(F2133,Analysis!$F$1:$G$5,2,FALSE)</f>
        <v>2440.2966694490838</v>
      </c>
      <c r="K2133">
        <f t="shared" si="132"/>
        <v>2514.84</v>
      </c>
      <c r="L2133">
        <f t="shared" si="133"/>
        <v>2514.8500000000004</v>
      </c>
      <c r="M2133">
        <f t="shared" si="134"/>
        <v>2514.84</v>
      </c>
      <c r="N2133" s="5" t="str">
        <f t="shared" si="135"/>
        <v>November 2022</v>
      </c>
    </row>
    <row r="2134" spans="1:14" x14ac:dyDescent="0.25">
      <c r="A2134" s="1">
        <v>44872</v>
      </c>
      <c r="B2134" t="s">
        <v>520</v>
      </c>
      <c r="C2134">
        <v>50</v>
      </c>
      <c r="D2134" t="s">
        <v>21</v>
      </c>
      <c r="E2134" t="s">
        <v>22</v>
      </c>
      <c r="F2134" t="s">
        <v>16</v>
      </c>
      <c r="G2134" t="s">
        <v>17</v>
      </c>
      <c r="H2134">
        <v>2671.34</v>
      </c>
      <c r="I2134" s="8" t="str" cm="1">
        <f t="array" ref="I2134">_xlfn.IFS(C2134&lt;=15,"Children and Young Adolescents", C2134&gt;64, "Seniors", TRUE, "Working Age")</f>
        <v>Working Age</v>
      </c>
      <c r="J2134" s="6">
        <f>VLOOKUP(F2134,Analysis!$F$1:$G$5,2,FALSE)</f>
        <v>2509.1716796874912</v>
      </c>
      <c r="K2134">
        <f t="shared" si="132"/>
        <v>2938.47</v>
      </c>
      <c r="L2134">
        <f t="shared" si="133"/>
        <v>2938.48</v>
      </c>
      <c r="M2134">
        <f t="shared" si="134"/>
        <v>2938.47</v>
      </c>
      <c r="N2134" s="5" t="str">
        <f t="shared" si="135"/>
        <v>November 2022</v>
      </c>
    </row>
    <row r="2135" spans="1:14" x14ac:dyDescent="0.25">
      <c r="A2135" s="1">
        <v>44872</v>
      </c>
      <c r="B2135" t="s">
        <v>2834</v>
      </c>
      <c r="C2135">
        <v>61</v>
      </c>
      <c r="D2135" t="s">
        <v>14</v>
      </c>
      <c r="E2135" t="s">
        <v>34</v>
      </c>
      <c r="F2135" t="s">
        <v>23</v>
      </c>
      <c r="G2135" t="s">
        <v>36</v>
      </c>
      <c r="H2135">
        <v>3754.02</v>
      </c>
      <c r="I2135" s="8" t="str" cm="1">
        <f t="array" ref="I2135">_xlfn.IFS(C2135&lt;=15,"Children and Young Adolescents", C2135&gt;64, "Seniors", TRUE, "Working Age")</f>
        <v>Working Age</v>
      </c>
      <c r="J2135" s="6">
        <f>VLOOKUP(F2135,Analysis!$F$1:$G$5,2,FALSE)</f>
        <v>2440.2966694490838</v>
      </c>
      <c r="K2135">
        <f t="shared" si="132"/>
        <v>4129.42</v>
      </c>
      <c r="L2135">
        <f t="shared" si="133"/>
        <v>4129.43</v>
      </c>
      <c r="M2135">
        <f t="shared" si="134"/>
        <v>4129.42</v>
      </c>
      <c r="N2135" s="5" t="str">
        <f t="shared" si="135"/>
        <v>November 2022</v>
      </c>
    </row>
    <row r="2136" spans="1:14" x14ac:dyDescent="0.25">
      <c r="A2136" s="1">
        <v>44872</v>
      </c>
      <c r="B2136" t="s">
        <v>2756</v>
      </c>
      <c r="C2136">
        <v>67</v>
      </c>
      <c r="D2136" t="s">
        <v>9</v>
      </c>
      <c r="E2136" t="s">
        <v>15</v>
      </c>
      <c r="F2136" t="s">
        <v>23</v>
      </c>
      <c r="G2136" t="s">
        <v>36</v>
      </c>
      <c r="H2136">
        <v>1653.39</v>
      </c>
      <c r="I2136" s="8" t="str" cm="1">
        <f t="array" ref="I2136">_xlfn.IFS(C2136&lt;=15,"Children and Young Adolescents", C2136&gt;64, "Seniors", TRUE, "Working Age")</f>
        <v>Seniors</v>
      </c>
      <c r="J2136" s="6">
        <f>VLOOKUP(F2136,Analysis!$F$1:$G$5,2,FALSE)</f>
        <v>2440.2966694490838</v>
      </c>
      <c r="K2136">
        <f t="shared" si="132"/>
        <v>1818.72</v>
      </c>
      <c r="L2136">
        <f t="shared" si="133"/>
        <v>1818.73</v>
      </c>
      <c r="M2136">
        <f t="shared" si="134"/>
        <v>1818.73</v>
      </c>
      <c r="N2136" s="5" t="str">
        <f t="shared" si="135"/>
        <v>November 2022</v>
      </c>
    </row>
    <row r="2137" spans="1:14" x14ac:dyDescent="0.25">
      <c r="A2137" s="1">
        <v>44872</v>
      </c>
      <c r="B2137" t="s">
        <v>3085</v>
      </c>
      <c r="C2137">
        <v>31</v>
      </c>
      <c r="D2137" t="s">
        <v>9</v>
      </c>
      <c r="E2137" t="s">
        <v>22</v>
      </c>
      <c r="F2137" t="s">
        <v>29</v>
      </c>
      <c r="G2137" t="s">
        <v>12</v>
      </c>
      <c r="H2137">
        <v>4426.66</v>
      </c>
      <c r="I2137" s="8" t="str" cm="1">
        <f t="array" ref="I2137">_xlfn.IFS(C2137&lt;=15,"Children and Young Adolescents", C2137&gt;64, "Seniors", TRUE, "Working Age")</f>
        <v>Working Age</v>
      </c>
      <c r="J2137" s="6">
        <f>VLOOKUP(F2137,Analysis!$F$1:$G$5,2,FALSE)</f>
        <v>2496.7676064256989</v>
      </c>
      <c r="K2137">
        <f t="shared" si="132"/>
        <v>4869.32</v>
      </c>
      <c r="L2137">
        <f t="shared" si="133"/>
        <v>4869.33</v>
      </c>
      <c r="M2137">
        <f t="shared" si="134"/>
        <v>4869.33</v>
      </c>
      <c r="N2137" s="5" t="str">
        <f t="shared" si="135"/>
        <v>November 2022</v>
      </c>
    </row>
    <row r="2138" spans="1:14" x14ac:dyDescent="0.25">
      <c r="A2138" s="1">
        <v>44872</v>
      </c>
      <c r="B2138" t="s">
        <v>868</v>
      </c>
      <c r="C2138">
        <v>51</v>
      </c>
      <c r="D2138" t="s">
        <v>21</v>
      </c>
      <c r="E2138" t="s">
        <v>15</v>
      </c>
      <c r="F2138" t="s">
        <v>11</v>
      </c>
      <c r="G2138" t="s">
        <v>17</v>
      </c>
      <c r="H2138">
        <v>4234</v>
      </c>
      <c r="I2138" s="8" t="str" cm="1">
        <f t="array" ref="I2138">_xlfn.IFS(C2138&lt;=15,"Children and Young Adolescents", C2138&gt;64, "Seniors", TRUE, "Working Age")</f>
        <v>Working Age</v>
      </c>
      <c r="J2138" s="6">
        <f>VLOOKUP(F2138,Analysis!$F$1:$G$5,2,FALSE)</f>
        <v>2503.6022787783854</v>
      </c>
      <c r="K2138">
        <f t="shared" si="132"/>
        <v>4657.3999999999996</v>
      </c>
      <c r="L2138">
        <f t="shared" si="133"/>
        <v>4657.3999999999996</v>
      </c>
      <c r="M2138">
        <f t="shared" si="134"/>
        <v>4657.3999999999996</v>
      </c>
      <c r="N2138" s="5" t="str">
        <f t="shared" si="135"/>
        <v>November 2022</v>
      </c>
    </row>
    <row r="2139" spans="1:14" x14ac:dyDescent="0.25">
      <c r="A2139" s="1">
        <v>44872</v>
      </c>
      <c r="B2139" t="s">
        <v>1261</v>
      </c>
      <c r="C2139">
        <v>30</v>
      </c>
      <c r="D2139" t="s">
        <v>21</v>
      </c>
      <c r="E2139" t="s">
        <v>22</v>
      </c>
      <c r="F2139" t="s">
        <v>11</v>
      </c>
      <c r="G2139" t="s">
        <v>36</v>
      </c>
      <c r="H2139">
        <v>2985.61</v>
      </c>
      <c r="I2139" s="8" t="str" cm="1">
        <f t="array" ref="I2139">_xlfn.IFS(C2139&lt;=15,"Children and Young Adolescents", C2139&gt;64, "Seniors", TRUE, "Working Age")</f>
        <v>Working Age</v>
      </c>
      <c r="J2139" s="6">
        <f>VLOOKUP(F2139,Analysis!$F$1:$G$5,2,FALSE)</f>
        <v>2503.6022787783854</v>
      </c>
      <c r="K2139">
        <f t="shared" si="132"/>
        <v>3284.17</v>
      </c>
      <c r="L2139">
        <f t="shared" si="133"/>
        <v>3284.1800000000003</v>
      </c>
      <c r="M2139">
        <f t="shared" si="134"/>
        <v>3284.17</v>
      </c>
      <c r="N2139" s="5" t="str">
        <f t="shared" si="135"/>
        <v>November 2022</v>
      </c>
    </row>
    <row r="2140" spans="1:14" x14ac:dyDescent="0.25">
      <c r="A2140" s="1">
        <v>44872</v>
      </c>
      <c r="B2140" t="s">
        <v>290</v>
      </c>
      <c r="C2140">
        <v>62</v>
      </c>
      <c r="D2140" t="s">
        <v>21</v>
      </c>
      <c r="E2140" t="s">
        <v>10</v>
      </c>
      <c r="F2140" t="s">
        <v>16</v>
      </c>
      <c r="G2140" t="s">
        <v>17</v>
      </c>
      <c r="H2140">
        <v>2207.38</v>
      </c>
      <c r="I2140" s="8" t="str" cm="1">
        <f t="array" ref="I2140">_xlfn.IFS(C2140&lt;=15,"Children and Young Adolescents", C2140&gt;64, "Seniors", TRUE, "Working Age")</f>
        <v>Working Age</v>
      </c>
      <c r="J2140" s="6">
        <f>VLOOKUP(F2140,Analysis!$F$1:$G$5,2,FALSE)</f>
        <v>2509.1716796874912</v>
      </c>
      <c r="K2140">
        <f t="shared" si="132"/>
        <v>2428.11</v>
      </c>
      <c r="L2140">
        <f t="shared" si="133"/>
        <v>2428.1200000000003</v>
      </c>
      <c r="M2140">
        <f t="shared" si="134"/>
        <v>2428.12</v>
      </c>
      <c r="N2140" s="5" t="str">
        <f t="shared" si="135"/>
        <v>November 2022</v>
      </c>
    </row>
    <row r="2141" spans="1:14" x14ac:dyDescent="0.25">
      <c r="A2141" s="1">
        <v>44872</v>
      </c>
      <c r="B2141" t="s">
        <v>4526</v>
      </c>
      <c r="C2141">
        <v>89</v>
      </c>
      <c r="D2141" t="s">
        <v>9</v>
      </c>
      <c r="E2141" t="s">
        <v>19</v>
      </c>
      <c r="F2141" t="s">
        <v>16</v>
      </c>
      <c r="G2141" t="s">
        <v>36</v>
      </c>
      <c r="H2141">
        <v>1359.53</v>
      </c>
      <c r="I2141" s="8" t="str" cm="1">
        <f t="array" ref="I2141">_xlfn.IFS(C2141&lt;=15,"Children and Young Adolescents", C2141&gt;64, "Seniors", TRUE, "Working Age")</f>
        <v>Seniors</v>
      </c>
      <c r="J2141" s="6">
        <f>VLOOKUP(F2141,Analysis!$F$1:$G$5,2,FALSE)</f>
        <v>2509.1716796874912</v>
      </c>
      <c r="K2141">
        <f t="shared" si="132"/>
        <v>1495.48</v>
      </c>
      <c r="L2141">
        <f t="shared" si="133"/>
        <v>1495.49</v>
      </c>
      <c r="M2141">
        <f t="shared" si="134"/>
        <v>1495.48</v>
      </c>
      <c r="N2141" s="5" t="str">
        <f t="shared" si="135"/>
        <v>November 2022</v>
      </c>
    </row>
    <row r="2142" spans="1:14" x14ac:dyDescent="0.25">
      <c r="A2142" s="1">
        <v>44873</v>
      </c>
      <c r="B2142" t="s">
        <v>4711</v>
      </c>
      <c r="C2142">
        <v>74</v>
      </c>
      <c r="D2142" t="s">
        <v>14</v>
      </c>
      <c r="E2142" t="s">
        <v>22</v>
      </c>
      <c r="F2142" t="s">
        <v>16</v>
      </c>
      <c r="G2142" t="s">
        <v>12</v>
      </c>
      <c r="H2142">
        <v>970.16</v>
      </c>
      <c r="I2142" s="8" t="str" cm="1">
        <f t="array" ref="I2142">_xlfn.IFS(C2142&lt;=15,"Children and Young Adolescents", C2142&gt;64, "Seniors", TRUE, "Working Age")</f>
        <v>Seniors</v>
      </c>
      <c r="J2142" s="6">
        <f>VLOOKUP(F2142,Analysis!$F$1:$G$5,2,FALSE)</f>
        <v>2509.1716796874912</v>
      </c>
      <c r="K2142">
        <f t="shared" si="132"/>
        <v>1067.17</v>
      </c>
      <c r="L2142">
        <f t="shared" si="133"/>
        <v>1067.18</v>
      </c>
      <c r="M2142">
        <f t="shared" si="134"/>
        <v>1067.18</v>
      </c>
      <c r="N2142" s="5" t="str">
        <f t="shared" si="135"/>
        <v>November 2022</v>
      </c>
    </row>
    <row r="2143" spans="1:14" x14ac:dyDescent="0.25">
      <c r="A2143" s="1">
        <v>44873</v>
      </c>
      <c r="B2143" t="s">
        <v>4830</v>
      </c>
      <c r="C2143">
        <v>35</v>
      </c>
      <c r="D2143" t="s">
        <v>21</v>
      </c>
      <c r="E2143" t="s">
        <v>25</v>
      </c>
      <c r="F2143" t="s">
        <v>29</v>
      </c>
      <c r="G2143" t="s">
        <v>17</v>
      </c>
      <c r="H2143">
        <v>592.92999999999995</v>
      </c>
      <c r="I2143" s="8" t="str" cm="1">
        <f t="array" ref="I2143">_xlfn.IFS(C2143&lt;=15,"Children and Young Adolescents", C2143&gt;64, "Seniors", TRUE, "Working Age")</f>
        <v>Working Age</v>
      </c>
      <c r="J2143" s="6">
        <f>VLOOKUP(F2143,Analysis!$F$1:$G$5,2,FALSE)</f>
        <v>2496.7676064256989</v>
      </c>
      <c r="K2143">
        <f t="shared" si="132"/>
        <v>652.22</v>
      </c>
      <c r="L2143">
        <f t="shared" si="133"/>
        <v>652.23</v>
      </c>
      <c r="M2143">
        <f t="shared" si="134"/>
        <v>652.22</v>
      </c>
      <c r="N2143" s="5" t="str">
        <f t="shared" si="135"/>
        <v>November 2022</v>
      </c>
    </row>
    <row r="2144" spans="1:14" x14ac:dyDescent="0.25">
      <c r="A2144" s="1">
        <v>44873</v>
      </c>
      <c r="B2144" t="s">
        <v>4925</v>
      </c>
      <c r="C2144">
        <v>84</v>
      </c>
      <c r="D2144" t="s">
        <v>9</v>
      </c>
      <c r="E2144" t="s">
        <v>19</v>
      </c>
      <c r="F2144" t="s">
        <v>29</v>
      </c>
      <c r="G2144" t="s">
        <v>17</v>
      </c>
      <c r="H2144">
        <v>3864.04</v>
      </c>
      <c r="I2144" s="8" t="str" cm="1">
        <f t="array" ref="I2144">_xlfn.IFS(C2144&lt;=15,"Children and Young Adolescents", C2144&gt;64, "Seniors", TRUE, "Working Age")</f>
        <v>Seniors</v>
      </c>
      <c r="J2144" s="6">
        <f>VLOOKUP(F2144,Analysis!$F$1:$G$5,2,FALSE)</f>
        <v>2496.7676064256989</v>
      </c>
      <c r="K2144">
        <f t="shared" si="132"/>
        <v>4250.4399999999996</v>
      </c>
      <c r="L2144">
        <f t="shared" si="133"/>
        <v>4250.45</v>
      </c>
      <c r="M2144">
        <f t="shared" si="134"/>
        <v>4250.4399999999996</v>
      </c>
      <c r="N2144" s="5" t="str">
        <f t="shared" si="135"/>
        <v>November 2022</v>
      </c>
    </row>
    <row r="2145" spans="1:14" x14ac:dyDescent="0.25">
      <c r="A2145" s="1">
        <v>44873</v>
      </c>
      <c r="B2145" t="s">
        <v>3309</v>
      </c>
      <c r="C2145">
        <v>33</v>
      </c>
      <c r="D2145" t="s">
        <v>21</v>
      </c>
      <c r="E2145" t="s">
        <v>25</v>
      </c>
      <c r="F2145" t="s">
        <v>23</v>
      </c>
      <c r="G2145" t="s">
        <v>17</v>
      </c>
      <c r="H2145">
        <v>2659.18</v>
      </c>
      <c r="I2145" s="8" t="str" cm="1">
        <f t="array" ref="I2145">_xlfn.IFS(C2145&lt;=15,"Children and Young Adolescents", C2145&gt;64, "Seniors", TRUE, "Working Age")</f>
        <v>Working Age</v>
      </c>
      <c r="J2145" s="6">
        <f>VLOOKUP(F2145,Analysis!$F$1:$G$5,2,FALSE)</f>
        <v>2440.2966694490838</v>
      </c>
      <c r="K2145">
        <f t="shared" si="132"/>
        <v>2925.09</v>
      </c>
      <c r="L2145">
        <f t="shared" si="133"/>
        <v>2925.1000000000004</v>
      </c>
      <c r="M2145">
        <f t="shared" si="134"/>
        <v>2925.1</v>
      </c>
      <c r="N2145" s="5" t="str">
        <f t="shared" si="135"/>
        <v>November 2022</v>
      </c>
    </row>
    <row r="2146" spans="1:14" x14ac:dyDescent="0.25">
      <c r="A2146" s="1">
        <v>44873</v>
      </c>
      <c r="B2146" t="s">
        <v>2081</v>
      </c>
      <c r="C2146">
        <v>6</v>
      </c>
      <c r="D2146" t="s">
        <v>9</v>
      </c>
      <c r="E2146" t="s">
        <v>10</v>
      </c>
      <c r="F2146" t="s">
        <v>29</v>
      </c>
      <c r="G2146" t="s">
        <v>17</v>
      </c>
      <c r="H2146">
        <v>860.42</v>
      </c>
      <c r="I2146" s="8" t="str" cm="1">
        <f t="array" ref="I2146">_xlfn.IFS(C2146&lt;=15,"Children and Young Adolescents", C2146&gt;64, "Seniors", TRUE, "Working Age")</f>
        <v>Children and Young Adolescents</v>
      </c>
      <c r="J2146" s="6">
        <f>VLOOKUP(F2146,Analysis!$F$1:$G$5,2,FALSE)</f>
        <v>2496.7676064256989</v>
      </c>
      <c r="K2146">
        <f t="shared" si="132"/>
        <v>946.46</v>
      </c>
      <c r="L2146">
        <f t="shared" si="133"/>
        <v>946.47</v>
      </c>
      <c r="M2146">
        <f t="shared" si="134"/>
        <v>946.46</v>
      </c>
      <c r="N2146" s="5" t="str">
        <f t="shared" si="135"/>
        <v>November 2022</v>
      </c>
    </row>
    <row r="2147" spans="1:14" x14ac:dyDescent="0.25">
      <c r="A2147" s="1">
        <v>44874</v>
      </c>
      <c r="B2147" t="s">
        <v>4145</v>
      </c>
      <c r="C2147">
        <v>16</v>
      </c>
      <c r="D2147" t="s">
        <v>9</v>
      </c>
      <c r="E2147" t="s">
        <v>22</v>
      </c>
      <c r="F2147" t="s">
        <v>23</v>
      </c>
      <c r="G2147" t="s">
        <v>36</v>
      </c>
      <c r="H2147">
        <v>2011.64</v>
      </c>
      <c r="I2147" s="8" t="str" cm="1">
        <f t="array" ref="I2147">_xlfn.IFS(C2147&lt;=15,"Children and Young Adolescents", C2147&gt;64, "Seniors", TRUE, "Working Age")</f>
        <v>Working Age</v>
      </c>
      <c r="J2147" s="6">
        <f>VLOOKUP(F2147,Analysis!$F$1:$G$5,2,FALSE)</f>
        <v>2440.2966694490838</v>
      </c>
      <c r="K2147">
        <f t="shared" si="132"/>
        <v>2212.8000000000002</v>
      </c>
      <c r="L2147">
        <f t="shared" si="133"/>
        <v>2212.8100000000004</v>
      </c>
      <c r="M2147">
        <f t="shared" si="134"/>
        <v>2212.8000000000002</v>
      </c>
      <c r="N2147" s="5" t="str">
        <f t="shared" si="135"/>
        <v>November 2022</v>
      </c>
    </row>
    <row r="2148" spans="1:14" x14ac:dyDescent="0.25">
      <c r="A2148" s="1">
        <v>44874</v>
      </c>
      <c r="B2148" t="s">
        <v>1330</v>
      </c>
      <c r="C2148">
        <v>62</v>
      </c>
      <c r="D2148" t="s">
        <v>21</v>
      </c>
      <c r="E2148" t="s">
        <v>5032</v>
      </c>
      <c r="F2148" t="s">
        <v>29</v>
      </c>
      <c r="G2148" t="s">
        <v>12</v>
      </c>
      <c r="H2148">
        <v>4382.93</v>
      </c>
      <c r="I2148" s="8" t="str" cm="1">
        <f t="array" ref="I2148">_xlfn.IFS(C2148&lt;=15,"Children and Young Adolescents", C2148&gt;64, "Seniors", TRUE, "Working Age")</f>
        <v>Working Age</v>
      </c>
      <c r="J2148" s="6">
        <f>VLOOKUP(F2148,Analysis!$F$1:$G$5,2,FALSE)</f>
        <v>2496.7676064256989</v>
      </c>
      <c r="K2148">
        <f t="shared" si="132"/>
        <v>4821.22</v>
      </c>
      <c r="L2148">
        <f t="shared" si="133"/>
        <v>4821.2300000000005</v>
      </c>
      <c r="M2148">
        <f t="shared" si="134"/>
        <v>4821.22</v>
      </c>
      <c r="N2148" s="5" t="str">
        <f t="shared" si="135"/>
        <v>November 2022</v>
      </c>
    </row>
    <row r="2149" spans="1:14" x14ac:dyDescent="0.25">
      <c r="A2149" s="1">
        <v>44874</v>
      </c>
      <c r="B2149" t="s">
        <v>4693</v>
      </c>
      <c r="C2149">
        <v>36</v>
      </c>
      <c r="D2149" t="s">
        <v>21</v>
      </c>
      <c r="E2149" t="s">
        <v>22</v>
      </c>
      <c r="F2149" t="s">
        <v>23</v>
      </c>
      <c r="G2149" t="s">
        <v>17</v>
      </c>
      <c r="H2149">
        <v>1267.03</v>
      </c>
      <c r="I2149" s="8" t="str" cm="1">
        <f t="array" ref="I2149">_xlfn.IFS(C2149&lt;=15,"Children and Young Adolescents", C2149&gt;64, "Seniors", TRUE, "Working Age")</f>
        <v>Working Age</v>
      </c>
      <c r="J2149" s="6">
        <f>VLOOKUP(F2149,Analysis!$F$1:$G$5,2,FALSE)</f>
        <v>2440.2966694490838</v>
      </c>
      <c r="K2149">
        <f t="shared" si="132"/>
        <v>1393.73</v>
      </c>
      <c r="L2149">
        <f t="shared" si="133"/>
        <v>1393.74</v>
      </c>
      <c r="M2149">
        <f t="shared" si="134"/>
        <v>1393.73</v>
      </c>
      <c r="N2149" s="5" t="str">
        <f t="shared" si="135"/>
        <v>November 2022</v>
      </c>
    </row>
    <row r="2150" spans="1:14" x14ac:dyDescent="0.25">
      <c r="A2150" s="1">
        <v>44874</v>
      </c>
      <c r="B2150" t="s">
        <v>1491</v>
      </c>
      <c r="C2150">
        <v>5</v>
      </c>
      <c r="D2150" t="s">
        <v>9</v>
      </c>
      <c r="E2150" t="s">
        <v>10</v>
      </c>
      <c r="F2150" t="s">
        <v>16</v>
      </c>
      <c r="G2150" t="s">
        <v>36</v>
      </c>
      <c r="H2150">
        <v>4903.5600000000004</v>
      </c>
      <c r="I2150" s="8" t="str" cm="1">
        <f t="array" ref="I2150">_xlfn.IFS(C2150&lt;=15,"Children and Young Adolescents", C2150&gt;64, "Seniors", TRUE, "Working Age")</f>
        <v>Children and Young Adolescents</v>
      </c>
      <c r="J2150" s="6">
        <f>VLOOKUP(F2150,Analysis!$F$1:$G$5,2,FALSE)</f>
        <v>2509.1716796874912</v>
      </c>
      <c r="K2150">
        <f t="shared" si="132"/>
        <v>5393.91</v>
      </c>
      <c r="L2150">
        <f t="shared" si="133"/>
        <v>5393.92</v>
      </c>
      <c r="M2150">
        <f t="shared" si="134"/>
        <v>5393.92</v>
      </c>
      <c r="N2150" s="5" t="str">
        <f t="shared" si="135"/>
        <v>November 2022</v>
      </c>
    </row>
    <row r="2151" spans="1:14" x14ac:dyDescent="0.25">
      <c r="A2151" s="1">
        <v>44874</v>
      </c>
      <c r="B2151" t="s">
        <v>3428</v>
      </c>
      <c r="C2151">
        <v>37</v>
      </c>
      <c r="D2151" t="s">
        <v>21</v>
      </c>
      <c r="E2151" t="s">
        <v>22</v>
      </c>
      <c r="F2151" t="s">
        <v>16</v>
      </c>
      <c r="G2151" t="s">
        <v>39</v>
      </c>
      <c r="H2151">
        <v>4779.38</v>
      </c>
      <c r="I2151" s="8" t="str" cm="1">
        <f t="array" ref="I2151">_xlfn.IFS(C2151&lt;=15,"Children and Young Adolescents", C2151&gt;64, "Seniors", TRUE, "Working Age")</f>
        <v>Working Age</v>
      </c>
      <c r="J2151" s="6">
        <f>VLOOKUP(F2151,Analysis!$F$1:$G$5,2,FALSE)</f>
        <v>2509.1716796874912</v>
      </c>
      <c r="K2151">
        <f t="shared" si="132"/>
        <v>5257.31</v>
      </c>
      <c r="L2151">
        <f t="shared" si="133"/>
        <v>5257.3200000000006</v>
      </c>
      <c r="M2151">
        <f t="shared" si="134"/>
        <v>5257.32</v>
      </c>
      <c r="N2151" s="5" t="str">
        <f t="shared" si="135"/>
        <v>November 2022</v>
      </c>
    </row>
    <row r="2152" spans="1:14" x14ac:dyDescent="0.25">
      <c r="A2152" s="1">
        <v>44874</v>
      </c>
      <c r="B2152" t="s">
        <v>2286</v>
      </c>
      <c r="C2152">
        <v>16</v>
      </c>
      <c r="D2152" t="s">
        <v>21</v>
      </c>
      <c r="E2152" t="s">
        <v>5032</v>
      </c>
      <c r="F2152" t="s">
        <v>29</v>
      </c>
      <c r="G2152" t="s">
        <v>17</v>
      </c>
      <c r="H2152">
        <v>4641.88</v>
      </c>
      <c r="I2152" s="8" t="str" cm="1">
        <f t="array" ref="I2152">_xlfn.IFS(C2152&lt;=15,"Children and Young Adolescents", C2152&gt;64, "Seniors", TRUE, "Working Age")</f>
        <v>Working Age</v>
      </c>
      <c r="J2152" s="6">
        <f>VLOOKUP(F2152,Analysis!$F$1:$G$5,2,FALSE)</f>
        <v>2496.7676064256989</v>
      </c>
      <c r="K2152">
        <f t="shared" si="132"/>
        <v>5106.0600000000004</v>
      </c>
      <c r="L2152">
        <f t="shared" si="133"/>
        <v>5106.0700000000006</v>
      </c>
      <c r="M2152">
        <f t="shared" si="134"/>
        <v>5106.07</v>
      </c>
      <c r="N2152" s="5" t="str">
        <f t="shared" si="135"/>
        <v>November 2022</v>
      </c>
    </row>
    <row r="2153" spans="1:14" x14ac:dyDescent="0.25">
      <c r="A2153" s="1">
        <v>44874</v>
      </c>
      <c r="B2153" t="s">
        <v>4688</v>
      </c>
      <c r="C2153">
        <v>98</v>
      </c>
      <c r="D2153" t="s">
        <v>14</v>
      </c>
      <c r="E2153" t="s">
        <v>32</v>
      </c>
      <c r="F2153" t="s">
        <v>11</v>
      </c>
      <c r="G2153" t="s">
        <v>17</v>
      </c>
      <c r="H2153">
        <v>4798.3599999999997</v>
      </c>
      <c r="I2153" s="8" t="str" cm="1">
        <f t="array" ref="I2153">_xlfn.IFS(C2153&lt;=15,"Children and Young Adolescents", C2153&gt;64, "Seniors", TRUE, "Working Age")</f>
        <v>Seniors</v>
      </c>
      <c r="J2153" s="6">
        <f>VLOOKUP(F2153,Analysis!$F$1:$G$5,2,FALSE)</f>
        <v>2503.6022787783854</v>
      </c>
      <c r="K2153">
        <f t="shared" si="132"/>
        <v>5278.19</v>
      </c>
      <c r="L2153">
        <f t="shared" si="133"/>
        <v>5278.2</v>
      </c>
      <c r="M2153">
        <f t="shared" si="134"/>
        <v>5278.2</v>
      </c>
      <c r="N2153" s="5" t="str">
        <f t="shared" si="135"/>
        <v>November 2022</v>
      </c>
    </row>
    <row r="2154" spans="1:14" x14ac:dyDescent="0.25">
      <c r="A2154" s="1">
        <v>44875</v>
      </c>
      <c r="B2154" t="s">
        <v>1787</v>
      </c>
      <c r="C2154">
        <v>62</v>
      </c>
      <c r="D2154" t="s">
        <v>14</v>
      </c>
      <c r="E2154" t="s">
        <v>19</v>
      </c>
      <c r="F2154" t="s">
        <v>16</v>
      </c>
      <c r="G2154" t="s">
        <v>39</v>
      </c>
      <c r="H2154">
        <v>2021.84</v>
      </c>
      <c r="I2154" s="8" t="str" cm="1">
        <f t="array" ref="I2154">_xlfn.IFS(C2154&lt;=15,"Children and Young Adolescents", C2154&gt;64, "Seniors", TRUE, "Working Age")</f>
        <v>Working Age</v>
      </c>
      <c r="J2154" s="6">
        <f>VLOOKUP(F2154,Analysis!$F$1:$G$5,2,FALSE)</f>
        <v>2509.1716796874912</v>
      </c>
      <c r="K2154">
        <f t="shared" si="132"/>
        <v>2224.02</v>
      </c>
      <c r="L2154">
        <f t="shared" si="133"/>
        <v>2224.0300000000002</v>
      </c>
      <c r="M2154">
        <f t="shared" si="134"/>
        <v>2224.02</v>
      </c>
      <c r="N2154" s="5" t="str">
        <f t="shared" si="135"/>
        <v>November 2022</v>
      </c>
    </row>
    <row r="2155" spans="1:14" x14ac:dyDescent="0.25">
      <c r="A2155" s="1">
        <v>44875</v>
      </c>
      <c r="B2155" t="s">
        <v>2385</v>
      </c>
      <c r="C2155">
        <v>82</v>
      </c>
      <c r="D2155" t="s">
        <v>21</v>
      </c>
      <c r="E2155" t="s">
        <v>25</v>
      </c>
      <c r="F2155" t="s">
        <v>11</v>
      </c>
      <c r="G2155" t="s">
        <v>27</v>
      </c>
      <c r="H2155">
        <v>4538.45</v>
      </c>
      <c r="I2155" s="8" t="str" cm="1">
        <f t="array" ref="I2155">_xlfn.IFS(C2155&lt;=15,"Children and Young Adolescents", C2155&gt;64, "Seniors", TRUE, "Working Age")</f>
        <v>Seniors</v>
      </c>
      <c r="J2155" s="6">
        <f>VLOOKUP(F2155,Analysis!$F$1:$G$5,2,FALSE)</f>
        <v>2503.6022787783854</v>
      </c>
      <c r="K2155">
        <f t="shared" si="132"/>
        <v>4992.29</v>
      </c>
      <c r="L2155">
        <f t="shared" si="133"/>
        <v>4992.3</v>
      </c>
      <c r="M2155">
        <f t="shared" si="134"/>
        <v>4992.3</v>
      </c>
      <c r="N2155" s="5" t="str">
        <f t="shared" si="135"/>
        <v>November 2022</v>
      </c>
    </row>
    <row r="2156" spans="1:14" x14ac:dyDescent="0.25">
      <c r="A2156" s="1">
        <v>44875</v>
      </c>
      <c r="B2156" t="s">
        <v>839</v>
      </c>
      <c r="C2156">
        <v>47</v>
      </c>
      <c r="D2156" t="s">
        <v>9</v>
      </c>
      <c r="E2156" t="s">
        <v>5032</v>
      </c>
      <c r="F2156" t="s">
        <v>23</v>
      </c>
      <c r="G2156" t="s">
        <v>12</v>
      </c>
      <c r="H2156">
        <v>669.48</v>
      </c>
      <c r="I2156" s="8" t="str" cm="1">
        <f t="array" ref="I2156">_xlfn.IFS(C2156&lt;=15,"Children and Young Adolescents", C2156&gt;64, "Seniors", TRUE, "Working Age")</f>
        <v>Working Age</v>
      </c>
      <c r="J2156" s="6">
        <f>VLOOKUP(F2156,Analysis!$F$1:$G$5,2,FALSE)</f>
        <v>2440.2966694490838</v>
      </c>
      <c r="K2156">
        <f t="shared" si="132"/>
        <v>736.42</v>
      </c>
      <c r="L2156">
        <f t="shared" si="133"/>
        <v>736.43</v>
      </c>
      <c r="M2156">
        <f t="shared" si="134"/>
        <v>736.43</v>
      </c>
      <c r="N2156" s="5" t="str">
        <f t="shared" si="135"/>
        <v>November 2022</v>
      </c>
    </row>
    <row r="2157" spans="1:14" x14ac:dyDescent="0.25">
      <c r="A2157" s="1">
        <v>44875</v>
      </c>
      <c r="B2157" t="s">
        <v>4161</v>
      </c>
      <c r="C2157">
        <v>98</v>
      </c>
      <c r="D2157" t="s">
        <v>14</v>
      </c>
      <c r="E2157" t="s">
        <v>10</v>
      </c>
      <c r="F2157" t="s">
        <v>16</v>
      </c>
      <c r="G2157" t="s">
        <v>12</v>
      </c>
      <c r="H2157">
        <v>907.64</v>
      </c>
      <c r="I2157" s="8" t="str" cm="1">
        <f t="array" ref="I2157">_xlfn.IFS(C2157&lt;=15,"Children and Young Adolescents", C2157&gt;64, "Seniors", TRUE, "Working Age")</f>
        <v>Seniors</v>
      </c>
      <c r="J2157" s="6">
        <f>VLOOKUP(F2157,Analysis!$F$1:$G$5,2,FALSE)</f>
        <v>2509.1716796874912</v>
      </c>
      <c r="K2157">
        <f t="shared" si="132"/>
        <v>998.4</v>
      </c>
      <c r="L2157">
        <f t="shared" si="133"/>
        <v>998.41</v>
      </c>
      <c r="M2157">
        <f t="shared" si="134"/>
        <v>998.4</v>
      </c>
      <c r="N2157" s="5" t="str">
        <f t="shared" si="135"/>
        <v>November 2022</v>
      </c>
    </row>
    <row r="2158" spans="1:14" x14ac:dyDescent="0.25">
      <c r="A2158" s="1">
        <v>44875</v>
      </c>
      <c r="B2158" t="s">
        <v>2552</v>
      </c>
      <c r="C2158">
        <v>98</v>
      </c>
      <c r="D2158" t="s">
        <v>21</v>
      </c>
      <c r="E2158" t="s">
        <v>19</v>
      </c>
      <c r="F2158" t="s">
        <v>23</v>
      </c>
      <c r="G2158" t="s">
        <v>36</v>
      </c>
      <c r="H2158">
        <v>479.35</v>
      </c>
      <c r="I2158" s="8" t="str" cm="1">
        <f t="array" ref="I2158">_xlfn.IFS(C2158&lt;=15,"Children and Young Adolescents", C2158&gt;64, "Seniors", TRUE, "Working Age")</f>
        <v>Seniors</v>
      </c>
      <c r="J2158" s="6">
        <f>VLOOKUP(F2158,Analysis!$F$1:$G$5,2,FALSE)</f>
        <v>2440.2966694490838</v>
      </c>
      <c r="K2158">
        <f t="shared" si="132"/>
        <v>527.28</v>
      </c>
      <c r="L2158">
        <f t="shared" si="133"/>
        <v>527.29</v>
      </c>
      <c r="M2158">
        <f t="shared" si="134"/>
        <v>527.29</v>
      </c>
      <c r="N2158" s="5" t="str">
        <f t="shared" si="135"/>
        <v>November 2022</v>
      </c>
    </row>
    <row r="2159" spans="1:14" x14ac:dyDescent="0.25">
      <c r="A2159" s="1">
        <v>44875</v>
      </c>
      <c r="B2159" t="s">
        <v>61</v>
      </c>
      <c r="C2159">
        <v>23</v>
      </c>
      <c r="D2159" t="s">
        <v>9</v>
      </c>
      <c r="E2159" t="s">
        <v>34</v>
      </c>
      <c r="F2159" t="s">
        <v>16</v>
      </c>
      <c r="G2159" t="s">
        <v>39</v>
      </c>
      <c r="H2159">
        <v>1104.21</v>
      </c>
      <c r="I2159" s="8" t="str" cm="1">
        <f t="array" ref="I2159">_xlfn.IFS(C2159&lt;=15,"Children and Young Adolescents", C2159&gt;64, "Seniors", TRUE, "Working Age")</f>
        <v>Working Age</v>
      </c>
      <c r="J2159" s="6">
        <f>VLOOKUP(F2159,Analysis!$F$1:$G$5,2,FALSE)</f>
        <v>2509.1716796874912</v>
      </c>
      <c r="K2159">
        <f t="shared" si="132"/>
        <v>1214.6300000000001</v>
      </c>
      <c r="L2159">
        <f t="shared" si="133"/>
        <v>1214.6400000000001</v>
      </c>
      <c r="M2159">
        <f t="shared" si="134"/>
        <v>1214.6300000000001</v>
      </c>
      <c r="N2159" s="5" t="str">
        <f t="shared" si="135"/>
        <v>November 2022</v>
      </c>
    </row>
    <row r="2160" spans="1:14" x14ac:dyDescent="0.25">
      <c r="A2160" s="1">
        <v>44875</v>
      </c>
      <c r="B2160" t="s">
        <v>1578</v>
      </c>
      <c r="C2160">
        <v>37</v>
      </c>
      <c r="D2160" t="s">
        <v>9</v>
      </c>
      <c r="E2160" t="s">
        <v>25</v>
      </c>
      <c r="F2160" t="s">
        <v>29</v>
      </c>
      <c r="G2160" t="s">
        <v>27</v>
      </c>
      <c r="H2160">
        <v>3462.93</v>
      </c>
      <c r="I2160" s="8" t="str" cm="1">
        <f t="array" ref="I2160">_xlfn.IFS(C2160&lt;=15,"Children and Young Adolescents", C2160&gt;64, "Seniors", TRUE, "Working Age")</f>
        <v>Working Age</v>
      </c>
      <c r="J2160" s="6">
        <f>VLOOKUP(F2160,Analysis!$F$1:$G$5,2,FALSE)</f>
        <v>2496.7676064256989</v>
      </c>
      <c r="K2160">
        <f t="shared" si="132"/>
        <v>3809.22</v>
      </c>
      <c r="L2160">
        <f t="shared" si="133"/>
        <v>3809.23</v>
      </c>
      <c r="M2160">
        <f t="shared" si="134"/>
        <v>3809.22</v>
      </c>
      <c r="N2160" s="5" t="str">
        <f t="shared" si="135"/>
        <v>November 2022</v>
      </c>
    </row>
    <row r="2161" spans="1:14" x14ac:dyDescent="0.25">
      <c r="A2161" s="1">
        <v>44875</v>
      </c>
      <c r="B2161" t="s">
        <v>3502</v>
      </c>
      <c r="C2161">
        <v>96</v>
      </c>
      <c r="D2161" t="s">
        <v>14</v>
      </c>
      <c r="E2161" t="s">
        <v>32</v>
      </c>
      <c r="F2161" t="s">
        <v>16</v>
      </c>
      <c r="G2161" t="s">
        <v>39</v>
      </c>
      <c r="H2161">
        <v>3834.82</v>
      </c>
      <c r="I2161" s="8" t="str" cm="1">
        <f t="array" ref="I2161">_xlfn.IFS(C2161&lt;=15,"Children and Young Adolescents", C2161&gt;64, "Seniors", TRUE, "Working Age")</f>
        <v>Seniors</v>
      </c>
      <c r="J2161" s="6">
        <f>VLOOKUP(F2161,Analysis!$F$1:$G$5,2,FALSE)</f>
        <v>2509.1716796874912</v>
      </c>
      <c r="K2161">
        <f t="shared" si="132"/>
        <v>4218.3</v>
      </c>
      <c r="L2161">
        <f t="shared" si="133"/>
        <v>4218.3100000000004</v>
      </c>
      <c r="M2161">
        <f t="shared" si="134"/>
        <v>4218.3</v>
      </c>
      <c r="N2161" s="5" t="str">
        <f t="shared" si="135"/>
        <v>November 2022</v>
      </c>
    </row>
    <row r="2162" spans="1:14" x14ac:dyDescent="0.25">
      <c r="A2162" s="1">
        <v>44875</v>
      </c>
      <c r="B2162" t="s">
        <v>3475</v>
      </c>
      <c r="C2162">
        <v>6</v>
      </c>
      <c r="D2162" t="s">
        <v>21</v>
      </c>
      <c r="E2162" t="s">
        <v>15</v>
      </c>
      <c r="F2162" t="s">
        <v>29</v>
      </c>
      <c r="G2162" t="s">
        <v>12</v>
      </c>
      <c r="H2162">
        <v>324.22000000000003</v>
      </c>
      <c r="I2162" s="8" t="str" cm="1">
        <f t="array" ref="I2162">_xlfn.IFS(C2162&lt;=15,"Children and Young Adolescents", C2162&gt;64, "Seniors", TRUE, "Working Age")</f>
        <v>Children and Young Adolescents</v>
      </c>
      <c r="J2162" s="6">
        <f>VLOOKUP(F2162,Analysis!$F$1:$G$5,2,FALSE)</f>
        <v>2496.7676064256989</v>
      </c>
      <c r="K2162">
        <f t="shared" si="132"/>
        <v>356.64</v>
      </c>
      <c r="L2162">
        <f t="shared" si="133"/>
        <v>356.65</v>
      </c>
      <c r="M2162">
        <f t="shared" si="134"/>
        <v>356.64</v>
      </c>
      <c r="N2162" s="5" t="str">
        <f t="shared" si="135"/>
        <v>November 2022</v>
      </c>
    </row>
    <row r="2163" spans="1:14" x14ac:dyDescent="0.25">
      <c r="A2163" s="1">
        <v>44876</v>
      </c>
      <c r="B2163" t="s">
        <v>2857</v>
      </c>
      <c r="C2163">
        <v>81</v>
      </c>
      <c r="D2163" t="s">
        <v>9</v>
      </c>
      <c r="E2163" t="s">
        <v>19</v>
      </c>
      <c r="F2163" t="s">
        <v>16</v>
      </c>
      <c r="G2163" t="s">
        <v>36</v>
      </c>
      <c r="H2163">
        <v>2093.56</v>
      </c>
      <c r="I2163" s="8" t="str" cm="1">
        <f t="array" ref="I2163">_xlfn.IFS(C2163&lt;=15,"Children and Young Adolescents", C2163&gt;64, "Seniors", TRUE, "Working Age")</f>
        <v>Seniors</v>
      </c>
      <c r="J2163" s="6">
        <f>VLOOKUP(F2163,Analysis!$F$1:$G$5,2,FALSE)</f>
        <v>2509.1716796874912</v>
      </c>
      <c r="K2163">
        <f t="shared" si="132"/>
        <v>2302.91</v>
      </c>
      <c r="L2163">
        <f t="shared" si="133"/>
        <v>2302.92</v>
      </c>
      <c r="M2163">
        <f t="shared" si="134"/>
        <v>2302.92</v>
      </c>
      <c r="N2163" s="5" t="str">
        <f t="shared" si="135"/>
        <v>November 2022</v>
      </c>
    </row>
    <row r="2164" spans="1:14" x14ac:dyDescent="0.25">
      <c r="A2164" s="1">
        <v>44876</v>
      </c>
      <c r="B2164" t="s">
        <v>1095</v>
      </c>
      <c r="C2164">
        <v>95</v>
      </c>
      <c r="D2164" t="s">
        <v>14</v>
      </c>
      <c r="E2164" t="s">
        <v>5032</v>
      </c>
      <c r="F2164" t="s">
        <v>23</v>
      </c>
      <c r="G2164" t="s">
        <v>12</v>
      </c>
      <c r="H2164">
        <v>3255.68</v>
      </c>
      <c r="I2164" s="8" t="str" cm="1">
        <f t="array" ref="I2164">_xlfn.IFS(C2164&lt;=15,"Children and Young Adolescents", C2164&gt;64, "Seniors", TRUE, "Working Age")</f>
        <v>Seniors</v>
      </c>
      <c r="J2164" s="6">
        <f>VLOOKUP(F2164,Analysis!$F$1:$G$5,2,FALSE)</f>
        <v>2440.2966694490838</v>
      </c>
      <c r="K2164">
        <f t="shared" si="132"/>
        <v>3581.24</v>
      </c>
      <c r="L2164">
        <f t="shared" si="133"/>
        <v>3581.25</v>
      </c>
      <c r="M2164">
        <f t="shared" si="134"/>
        <v>3581.25</v>
      </c>
      <c r="N2164" s="5" t="str">
        <f t="shared" si="135"/>
        <v>November 2022</v>
      </c>
    </row>
    <row r="2165" spans="1:14" x14ac:dyDescent="0.25">
      <c r="A2165" s="1">
        <v>44876</v>
      </c>
      <c r="B2165" t="s">
        <v>4294</v>
      </c>
      <c r="C2165">
        <v>57</v>
      </c>
      <c r="D2165" t="s">
        <v>21</v>
      </c>
      <c r="E2165" t="s">
        <v>34</v>
      </c>
      <c r="F2165" t="s">
        <v>16</v>
      </c>
      <c r="G2165" t="s">
        <v>12</v>
      </c>
      <c r="H2165">
        <v>2272.88</v>
      </c>
      <c r="I2165" s="8" t="str" cm="1">
        <f t="array" ref="I2165">_xlfn.IFS(C2165&lt;=15,"Children and Young Adolescents", C2165&gt;64, "Seniors", TRUE, "Working Age")</f>
        <v>Working Age</v>
      </c>
      <c r="J2165" s="6">
        <f>VLOOKUP(F2165,Analysis!$F$1:$G$5,2,FALSE)</f>
        <v>2509.1716796874912</v>
      </c>
      <c r="K2165">
        <f t="shared" si="132"/>
        <v>2500.16</v>
      </c>
      <c r="L2165">
        <f t="shared" si="133"/>
        <v>2500.17</v>
      </c>
      <c r="M2165">
        <f t="shared" si="134"/>
        <v>2500.17</v>
      </c>
      <c r="N2165" s="5" t="str">
        <f t="shared" si="135"/>
        <v>November 2022</v>
      </c>
    </row>
    <row r="2166" spans="1:14" x14ac:dyDescent="0.25">
      <c r="A2166" s="1">
        <v>44876</v>
      </c>
      <c r="B2166" t="s">
        <v>3654</v>
      </c>
      <c r="C2166">
        <v>67</v>
      </c>
      <c r="D2166" t="s">
        <v>14</v>
      </c>
      <c r="E2166" t="s">
        <v>25</v>
      </c>
      <c r="F2166" t="s">
        <v>11</v>
      </c>
      <c r="G2166" t="s">
        <v>27</v>
      </c>
      <c r="H2166">
        <v>4141.3599999999997</v>
      </c>
      <c r="I2166" s="8" t="str" cm="1">
        <f t="array" ref="I2166">_xlfn.IFS(C2166&lt;=15,"Children and Young Adolescents", C2166&gt;64, "Seniors", TRUE, "Working Age")</f>
        <v>Seniors</v>
      </c>
      <c r="J2166" s="6">
        <f>VLOOKUP(F2166,Analysis!$F$1:$G$5,2,FALSE)</f>
        <v>2503.6022787783854</v>
      </c>
      <c r="K2166">
        <f t="shared" si="132"/>
        <v>4555.49</v>
      </c>
      <c r="L2166">
        <f t="shared" si="133"/>
        <v>4555.5</v>
      </c>
      <c r="M2166">
        <f t="shared" si="134"/>
        <v>4555.5</v>
      </c>
      <c r="N2166" s="5" t="str">
        <f t="shared" si="135"/>
        <v>November 2022</v>
      </c>
    </row>
    <row r="2167" spans="1:14" x14ac:dyDescent="0.25">
      <c r="A2167" s="1">
        <v>44877</v>
      </c>
      <c r="B2167" t="s">
        <v>3218</v>
      </c>
      <c r="C2167">
        <v>32</v>
      </c>
      <c r="D2167" t="s">
        <v>9</v>
      </c>
      <c r="E2167" t="s">
        <v>25</v>
      </c>
      <c r="F2167" t="s">
        <v>11</v>
      </c>
      <c r="G2167" t="s">
        <v>27</v>
      </c>
      <c r="H2167">
        <v>3030.94</v>
      </c>
      <c r="I2167" s="8" t="str" cm="1">
        <f t="array" ref="I2167">_xlfn.IFS(C2167&lt;=15,"Children and Young Adolescents", C2167&gt;64, "Seniors", TRUE, "Working Age")</f>
        <v>Working Age</v>
      </c>
      <c r="J2167" s="6">
        <f>VLOOKUP(F2167,Analysis!$F$1:$G$5,2,FALSE)</f>
        <v>2503.6022787783854</v>
      </c>
      <c r="K2167">
        <f t="shared" si="132"/>
        <v>3334.03</v>
      </c>
      <c r="L2167">
        <f t="shared" si="133"/>
        <v>3334.0400000000004</v>
      </c>
      <c r="M2167">
        <f t="shared" si="134"/>
        <v>3334.03</v>
      </c>
      <c r="N2167" s="5" t="str">
        <f t="shared" si="135"/>
        <v>November 2022</v>
      </c>
    </row>
    <row r="2168" spans="1:14" x14ac:dyDescent="0.25">
      <c r="A2168" s="1">
        <v>44877</v>
      </c>
      <c r="B2168" t="s">
        <v>4791</v>
      </c>
      <c r="C2168">
        <v>44</v>
      </c>
      <c r="D2168" t="s">
        <v>9</v>
      </c>
      <c r="E2168" t="s">
        <v>10</v>
      </c>
      <c r="F2168" t="s">
        <v>23</v>
      </c>
      <c r="G2168" t="s">
        <v>39</v>
      </c>
      <c r="H2168">
        <v>2075.8000000000002</v>
      </c>
      <c r="I2168" s="8" t="str" cm="1">
        <f t="array" ref="I2168">_xlfn.IFS(C2168&lt;=15,"Children and Young Adolescents", C2168&gt;64, "Seniors", TRUE, "Working Age")</f>
        <v>Working Age</v>
      </c>
      <c r="J2168" s="6">
        <f>VLOOKUP(F2168,Analysis!$F$1:$G$5,2,FALSE)</f>
        <v>2440.2966694490838</v>
      </c>
      <c r="K2168">
        <f t="shared" si="132"/>
        <v>2283.38</v>
      </c>
      <c r="L2168">
        <f t="shared" si="133"/>
        <v>2283.38</v>
      </c>
      <c r="M2168">
        <f t="shared" si="134"/>
        <v>2283.38</v>
      </c>
      <c r="N2168" s="5" t="str">
        <f t="shared" si="135"/>
        <v>November 2022</v>
      </c>
    </row>
    <row r="2169" spans="1:14" x14ac:dyDescent="0.25">
      <c r="A2169" s="1">
        <v>44877</v>
      </c>
      <c r="B2169" t="s">
        <v>623</v>
      </c>
      <c r="C2169">
        <v>43</v>
      </c>
      <c r="D2169" t="s">
        <v>9</v>
      </c>
      <c r="E2169" t="s">
        <v>10</v>
      </c>
      <c r="F2169" t="s">
        <v>11</v>
      </c>
      <c r="G2169" t="s">
        <v>17</v>
      </c>
      <c r="H2169">
        <v>3333.52</v>
      </c>
      <c r="I2169" s="8" t="str" cm="1">
        <f t="array" ref="I2169">_xlfn.IFS(C2169&lt;=15,"Children and Young Adolescents", C2169&gt;64, "Seniors", TRUE, "Working Age")</f>
        <v>Working Age</v>
      </c>
      <c r="J2169" s="6">
        <f>VLOOKUP(F2169,Analysis!$F$1:$G$5,2,FALSE)</f>
        <v>2503.6022787783854</v>
      </c>
      <c r="K2169">
        <f t="shared" si="132"/>
        <v>3666.87</v>
      </c>
      <c r="L2169">
        <f t="shared" si="133"/>
        <v>3666.88</v>
      </c>
      <c r="M2169">
        <f t="shared" si="134"/>
        <v>3666.87</v>
      </c>
      <c r="N2169" s="5" t="str">
        <f t="shared" si="135"/>
        <v>November 2022</v>
      </c>
    </row>
    <row r="2170" spans="1:14" x14ac:dyDescent="0.25">
      <c r="A2170" s="1">
        <v>44877</v>
      </c>
      <c r="B2170" t="s">
        <v>1152</v>
      </c>
      <c r="C2170">
        <v>3</v>
      </c>
      <c r="D2170" t="s">
        <v>9</v>
      </c>
      <c r="E2170" t="s">
        <v>34</v>
      </c>
      <c r="F2170" t="s">
        <v>11</v>
      </c>
      <c r="G2170" t="s">
        <v>39</v>
      </c>
      <c r="H2170">
        <v>890.68</v>
      </c>
      <c r="I2170" s="8" t="str" cm="1">
        <f t="array" ref="I2170">_xlfn.IFS(C2170&lt;=15,"Children and Young Adolescents", C2170&gt;64, "Seniors", TRUE, "Working Age")</f>
        <v>Children and Young Adolescents</v>
      </c>
      <c r="J2170" s="6">
        <f>VLOOKUP(F2170,Analysis!$F$1:$G$5,2,FALSE)</f>
        <v>2503.6022787783854</v>
      </c>
      <c r="K2170">
        <f t="shared" si="132"/>
        <v>979.74</v>
      </c>
      <c r="L2170">
        <f t="shared" si="133"/>
        <v>979.75</v>
      </c>
      <c r="M2170">
        <f t="shared" si="134"/>
        <v>979.75</v>
      </c>
      <c r="N2170" s="5" t="str">
        <f t="shared" si="135"/>
        <v>November 2022</v>
      </c>
    </row>
    <row r="2171" spans="1:14" x14ac:dyDescent="0.25">
      <c r="A2171" s="1">
        <v>44877</v>
      </c>
      <c r="B2171" t="s">
        <v>1662</v>
      </c>
      <c r="C2171">
        <v>88</v>
      </c>
      <c r="D2171" t="s">
        <v>21</v>
      </c>
      <c r="E2171" t="s">
        <v>5032</v>
      </c>
      <c r="F2171" t="s">
        <v>11</v>
      </c>
      <c r="G2171" t="s">
        <v>17</v>
      </c>
      <c r="H2171">
        <v>4156.3</v>
      </c>
      <c r="I2171" s="8" t="str" cm="1">
        <f t="array" ref="I2171">_xlfn.IFS(C2171&lt;=15,"Children and Young Adolescents", C2171&gt;64, "Seniors", TRUE, "Working Age")</f>
        <v>Seniors</v>
      </c>
      <c r="J2171" s="6">
        <f>VLOOKUP(F2171,Analysis!$F$1:$G$5,2,FALSE)</f>
        <v>2503.6022787783854</v>
      </c>
      <c r="K2171">
        <f t="shared" si="132"/>
        <v>4571.93</v>
      </c>
      <c r="L2171">
        <f t="shared" si="133"/>
        <v>4571.93</v>
      </c>
      <c r="M2171">
        <f t="shared" si="134"/>
        <v>4571.93</v>
      </c>
      <c r="N2171" s="5" t="str">
        <f t="shared" si="135"/>
        <v>November 2022</v>
      </c>
    </row>
    <row r="2172" spans="1:14" x14ac:dyDescent="0.25">
      <c r="A2172" s="1">
        <v>44877</v>
      </c>
      <c r="B2172" t="s">
        <v>858</v>
      </c>
      <c r="C2172">
        <v>91</v>
      </c>
      <c r="D2172" t="s">
        <v>9</v>
      </c>
      <c r="E2172" t="s">
        <v>25</v>
      </c>
      <c r="F2172" t="s">
        <v>11</v>
      </c>
      <c r="G2172" t="s">
        <v>36</v>
      </c>
      <c r="H2172">
        <v>4715.42</v>
      </c>
      <c r="I2172" s="8" t="str" cm="1">
        <f t="array" ref="I2172">_xlfn.IFS(C2172&lt;=15,"Children and Young Adolescents", C2172&gt;64, "Seniors", TRUE, "Working Age")</f>
        <v>Seniors</v>
      </c>
      <c r="J2172" s="6">
        <f>VLOOKUP(F2172,Analysis!$F$1:$G$5,2,FALSE)</f>
        <v>2503.6022787783854</v>
      </c>
      <c r="K2172">
        <f t="shared" si="132"/>
        <v>5186.96</v>
      </c>
      <c r="L2172">
        <f t="shared" si="133"/>
        <v>5186.97</v>
      </c>
      <c r="M2172">
        <f t="shared" si="134"/>
        <v>5186.96</v>
      </c>
      <c r="N2172" s="5" t="str">
        <f t="shared" si="135"/>
        <v>November 2022</v>
      </c>
    </row>
    <row r="2173" spans="1:14" x14ac:dyDescent="0.25">
      <c r="A2173" s="1">
        <v>44877</v>
      </c>
      <c r="B2173" t="s">
        <v>138</v>
      </c>
      <c r="C2173">
        <v>33</v>
      </c>
      <c r="D2173" t="s">
        <v>9</v>
      </c>
      <c r="E2173" t="s">
        <v>34</v>
      </c>
      <c r="F2173" t="s">
        <v>23</v>
      </c>
      <c r="G2173" t="s">
        <v>17</v>
      </c>
      <c r="H2173">
        <v>1149.99</v>
      </c>
      <c r="I2173" s="8" t="str" cm="1">
        <f t="array" ref="I2173">_xlfn.IFS(C2173&lt;=15,"Children and Young Adolescents", C2173&gt;64, "Seniors", TRUE, "Working Age")</f>
        <v>Working Age</v>
      </c>
      <c r="J2173" s="6">
        <f>VLOOKUP(F2173,Analysis!$F$1:$G$5,2,FALSE)</f>
        <v>2440.2966694490838</v>
      </c>
      <c r="K2173">
        <f t="shared" si="132"/>
        <v>1264.98</v>
      </c>
      <c r="L2173">
        <f t="shared" si="133"/>
        <v>1264.99</v>
      </c>
      <c r="M2173">
        <f t="shared" si="134"/>
        <v>1264.99</v>
      </c>
      <c r="N2173" s="5" t="str">
        <f t="shared" si="135"/>
        <v>November 2022</v>
      </c>
    </row>
    <row r="2174" spans="1:14" x14ac:dyDescent="0.25">
      <c r="A2174" s="1">
        <v>44877</v>
      </c>
      <c r="B2174" t="s">
        <v>2458</v>
      </c>
      <c r="C2174">
        <v>95</v>
      </c>
      <c r="D2174" t="s">
        <v>21</v>
      </c>
      <c r="E2174" t="s">
        <v>32</v>
      </c>
      <c r="F2174" t="s">
        <v>11</v>
      </c>
      <c r="G2174" t="s">
        <v>36</v>
      </c>
      <c r="H2174">
        <v>1260</v>
      </c>
      <c r="I2174" s="8" t="str" cm="1">
        <f t="array" ref="I2174">_xlfn.IFS(C2174&lt;=15,"Children and Young Adolescents", C2174&gt;64, "Seniors", TRUE, "Working Age")</f>
        <v>Seniors</v>
      </c>
      <c r="J2174" s="6">
        <f>VLOOKUP(F2174,Analysis!$F$1:$G$5,2,FALSE)</f>
        <v>2503.6022787783854</v>
      </c>
      <c r="K2174">
        <f t="shared" si="132"/>
        <v>1386</v>
      </c>
      <c r="L2174">
        <f t="shared" si="133"/>
        <v>1386</v>
      </c>
      <c r="M2174">
        <f t="shared" si="134"/>
        <v>1386</v>
      </c>
      <c r="N2174" s="5" t="str">
        <f t="shared" si="135"/>
        <v>November 2022</v>
      </c>
    </row>
    <row r="2175" spans="1:14" x14ac:dyDescent="0.25">
      <c r="A2175" s="1">
        <v>44877</v>
      </c>
      <c r="B2175" t="s">
        <v>769</v>
      </c>
      <c r="C2175">
        <v>84</v>
      </c>
      <c r="D2175" t="s">
        <v>21</v>
      </c>
      <c r="E2175" t="s">
        <v>5032</v>
      </c>
      <c r="F2175" t="s">
        <v>23</v>
      </c>
      <c r="G2175" t="s">
        <v>12</v>
      </c>
      <c r="H2175">
        <v>1977.99</v>
      </c>
      <c r="I2175" s="8" t="str" cm="1">
        <f t="array" ref="I2175">_xlfn.IFS(C2175&lt;=15,"Children and Young Adolescents", C2175&gt;64, "Seniors", TRUE, "Working Age")</f>
        <v>Seniors</v>
      </c>
      <c r="J2175" s="6">
        <f>VLOOKUP(F2175,Analysis!$F$1:$G$5,2,FALSE)</f>
        <v>2440.2966694490838</v>
      </c>
      <c r="K2175">
        <f t="shared" si="132"/>
        <v>2175.7800000000002</v>
      </c>
      <c r="L2175">
        <f t="shared" si="133"/>
        <v>2175.7900000000004</v>
      </c>
      <c r="M2175">
        <f t="shared" si="134"/>
        <v>2175.79</v>
      </c>
      <c r="N2175" s="5" t="str">
        <f t="shared" si="135"/>
        <v>November 2022</v>
      </c>
    </row>
    <row r="2176" spans="1:14" x14ac:dyDescent="0.25">
      <c r="A2176" s="1">
        <v>44878</v>
      </c>
      <c r="B2176" t="s">
        <v>269</v>
      </c>
      <c r="C2176">
        <v>60</v>
      </c>
      <c r="D2176" t="s">
        <v>21</v>
      </c>
      <c r="E2176" t="s">
        <v>19</v>
      </c>
      <c r="F2176" t="s">
        <v>11</v>
      </c>
      <c r="G2176" t="s">
        <v>27</v>
      </c>
      <c r="H2176">
        <v>3537.31</v>
      </c>
      <c r="I2176" s="8" t="str" cm="1">
        <f t="array" ref="I2176">_xlfn.IFS(C2176&lt;=15,"Children and Young Adolescents", C2176&gt;64, "Seniors", TRUE, "Working Age")</f>
        <v>Working Age</v>
      </c>
      <c r="J2176" s="6">
        <f>VLOOKUP(F2176,Analysis!$F$1:$G$5,2,FALSE)</f>
        <v>2503.6022787783854</v>
      </c>
      <c r="K2176">
        <f t="shared" si="132"/>
        <v>3891.04</v>
      </c>
      <c r="L2176">
        <f t="shared" si="133"/>
        <v>3891.05</v>
      </c>
      <c r="M2176">
        <f t="shared" si="134"/>
        <v>3891.04</v>
      </c>
      <c r="N2176" s="5" t="str">
        <f t="shared" si="135"/>
        <v>November 2022</v>
      </c>
    </row>
    <row r="2177" spans="1:14" x14ac:dyDescent="0.25">
      <c r="A2177" s="1">
        <v>44878</v>
      </c>
      <c r="B2177" t="s">
        <v>1756</v>
      </c>
      <c r="C2177">
        <v>94</v>
      </c>
      <c r="D2177" t="s">
        <v>14</v>
      </c>
      <c r="E2177" t="s">
        <v>34</v>
      </c>
      <c r="F2177" t="s">
        <v>11</v>
      </c>
      <c r="G2177" t="s">
        <v>39</v>
      </c>
      <c r="H2177">
        <v>1946.18</v>
      </c>
      <c r="I2177" s="8" t="str" cm="1">
        <f t="array" ref="I2177">_xlfn.IFS(C2177&lt;=15,"Children and Young Adolescents", C2177&gt;64, "Seniors", TRUE, "Working Age")</f>
        <v>Seniors</v>
      </c>
      <c r="J2177" s="6">
        <f>VLOOKUP(F2177,Analysis!$F$1:$G$5,2,FALSE)</f>
        <v>2503.6022787783854</v>
      </c>
      <c r="K2177">
        <f t="shared" si="132"/>
        <v>2140.79</v>
      </c>
      <c r="L2177">
        <f t="shared" si="133"/>
        <v>2140.8000000000002</v>
      </c>
      <c r="M2177">
        <f t="shared" si="134"/>
        <v>2140.8000000000002</v>
      </c>
      <c r="N2177" s="5" t="str">
        <f t="shared" si="135"/>
        <v>November 2022</v>
      </c>
    </row>
    <row r="2178" spans="1:14" x14ac:dyDescent="0.25">
      <c r="A2178" s="1">
        <v>44878</v>
      </c>
      <c r="B2178" t="s">
        <v>4765</v>
      </c>
      <c r="C2178">
        <v>37</v>
      </c>
      <c r="D2178" t="s">
        <v>9</v>
      </c>
      <c r="E2178" t="s">
        <v>25</v>
      </c>
      <c r="F2178" t="s">
        <v>11</v>
      </c>
      <c r="G2178" t="s">
        <v>39</v>
      </c>
      <c r="H2178">
        <v>3769.74</v>
      </c>
      <c r="I2178" s="8" t="str" cm="1">
        <f t="array" ref="I2178">_xlfn.IFS(C2178&lt;=15,"Children and Young Adolescents", C2178&gt;64, "Seniors", TRUE, "Working Age")</f>
        <v>Working Age</v>
      </c>
      <c r="J2178" s="6">
        <f>VLOOKUP(F2178,Analysis!$F$1:$G$5,2,FALSE)</f>
        <v>2503.6022787783854</v>
      </c>
      <c r="K2178">
        <f t="shared" si="132"/>
        <v>4146.71</v>
      </c>
      <c r="L2178">
        <f t="shared" si="133"/>
        <v>4146.72</v>
      </c>
      <c r="M2178">
        <f t="shared" si="134"/>
        <v>4146.71</v>
      </c>
      <c r="N2178" s="5" t="str">
        <f t="shared" si="135"/>
        <v>November 2022</v>
      </c>
    </row>
    <row r="2179" spans="1:14" x14ac:dyDescent="0.25">
      <c r="A2179" s="1">
        <v>44878</v>
      </c>
      <c r="B2179" t="s">
        <v>2243</v>
      </c>
      <c r="C2179">
        <v>40</v>
      </c>
      <c r="D2179" t="s">
        <v>21</v>
      </c>
      <c r="E2179" t="s">
        <v>19</v>
      </c>
      <c r="F2179" t="s">
        <v>11</v>
      </c>
      <c r="G2179" t="s">
        <v>12</v>
      </c>
      <c r="H2179">
        <v>4097.96</v>
      </c>
      <c r="I2179" s="8" t="str" cm="1">
        <f t="array" ref="I2179">_xlfn.IFS(C2179&lt;=15,"Children and Young Adolescents", C2179&gt;64, "Seniors", TRUE, "Working Age")</f>
        <v>Working Age</v>
      </c>
      <c r="J2179" s="6">
        <f>VLOOKUP(F2179,Analysis!$F$1:$G$5,2,FALSE)</f>
        <v>2503.6022787783854</v>
      </c>
      <c r="K2179">
        <f t="shared" ref="K2179:K2242" si="136">ROUNDDOWN(H2179*1.1,2)</f>
        <v>4507.75</v>
      </c>
      <c r="L2179">
        <f t="shared" ref="L2179:L2242" si="137">ROUNDUP(H2179*1.1,2)</f>
        <v>4507.76</v>
      </c>
      <c r="M2179">
        <f t="shared" ref="M2179:M2242" si="138">ROUND(H2179*1.1,2)</f>
        <v>4507.76</v>
      </c>
      <c r="N2179" s="5" t="str">
        <f t="shared" ref="N2179:N2242" si="139">TEXT(A2179,"mmmm yyyy")</f>
        <v>November 2022</v>
      </c>
    </row>
    <row r="2180" spans="1:14" x14ac:dyDescent="0.25">
      <c r="A2180" s="1">
        <v>44878</v>
      </c>
      <c r="B2180" t="s">
        <v>435</v>
      </c>
      <c r="C2180">
        <v>92</v>
      </c>
      <c r="D2180" t="s">
        <v>21</v>
      </c>
      <c r="E2180" t="s">
        <v>25</v>
      </c>
      <c r="F2180" t="s">
        <v>11</v>
      </c>
      <c r="G2180" t="s">
        <v>27</v>
      </c>
      <c r="H2180">
        <v>163.51</v>
      </c>
      <c r="I2180" s="8" t="str" cm="1">
        <f t="array" ref="I2180">_xlfn.IFS(C2180&lt;=15,"Children and Young Adolescents", C2180&gt;64, "Seniors", TRUE, "Working Age")</f>
        <v>Seniors</v>
      </c>
      <c r="J2180" s="6">
        <f>VLOOKUP(F2180,Analysis!$F$1:$G$5,2,FALSE)</f>
        <v>2503.6022787783854</v>
      </c>
      <c r="K2180">
        <f t="shared" si="136"/>
        <v>179.86</v>
      </c>
      <c r="L2180">
        <f t="shared" si="137"/>
        <v>179.87</v>
      </c>
      <c r="M2180">
        <f t="shared" si="138"/>
        <v>179.86</v>
      </c>
      <c r="N2180" s="5" t="str">
        <f t="shared" si="139"/>
        <v>November 2022</v>
      </c>
    </row>
    <row r="2181" spans="1:14" x14ac:dyDescent="0.25">
      <c r="A2181" s="1">
        <v>44878</v>
      </c>
      <c r="B2181" t="s">
        <v>4190</v>
      </c>
      <c r="C2181">
        <v>79</v>
      </c>
      <c r="D2181" t="s">
        <v>9</v>
      </c>
      <c r="E2181" t="s">
        <v>25</v>
      </c>
      <c r="F2181" t="s">
        <v>23</v>
      </c>
      <c r="G2181" t="s">
        <v>12</v>
      </c>
      <c r="H2181">
        <v>392.78</v>
      </c>
      <c r="I2181" s="8" t="str" cm="1">
        <f t="array" ref="I2181">_xlfn.IFS(C2181&lt;=15,"Children and Young Adolescents", C2181&gt;64, "Seniors", TRUE, "Working Age")</f>
        <v>Seniors</v>
      </c>
      <c r="J2181" s="6">
        <f>VLOOKUP(F2181,Analysis!$F$1:$G$5,2,FALSE)</f>
        <v>2440.2966694490838</v>
      </c>
      <c r="K2181">
        <f t="shared" si="136"/>
        <v>432.05</v>
      </c>
      <c r="L2181">
        <f t="shared" si="137"/>
        <v>432.06</v>
      </c>
      <c r="M2181">
        <f t="shared" si="138"/>
        <v>432.06</v>
      </c>
      <c r="N2181" s="5" t="str">
        <f t="shared" si="139"/>
        <v>November 2022</v>
      </c>
    </row>
    <row r="2182" spans="1:14" x14ac:dyDescent="0.25">
      <c r="A2182" s="1">
        <v>44878</v>
      </c>
      <c r="B2182" t="s">
        <v>1837</v>
      </c>
      <c r="C2182">
        <v>13</v>
      </c>
      <c r="D2182" t="s">
        <v>9</v>
      </c>
      <c r="E2182" t="s">
        <v>10</v>
      </c>
      <c r="F2182" t="s">
        <v>23</v>
      </c>
      <c r="G2182" t="s">
        <v>17</v>
      </c>
      <c r="H2182">
        <v>4464.22</v>
      </c>
      <c r="I2182" s="8" t="str" cm="1">
        <f t="array" ref="I2182">_xlfn.IFS(C2182&lt;=15,"Children and Young Adolescents", C2182&gt;64, "Seniors", TRUE, "Working Age")</f>
        <v>Children and Young Adolescents</v>
      </c>
      <c r="J2182" s="6">
        <f>VLOOKUP(F2182,Analysis!$F$1:$G$5,2,FALSE)</f>
        <v>2440.2966694490838</v>
      </c>
      <c r="K2182">
        <f t="shared" si="136"/>
        <v>4910.6400000000003</v>
      </c>
      <c r="L2182">
        <f t="shared" si="137"/>
        <v>4910.6500000000005</v>
      </c>
      <c r="M2182">
        <f t="shared" si="138"/>
        <v>4910.6400000000003</v>
      </c>
      <c r="N2182" s="5" t="str">
        <f t="shared" si="139"/>
        <v>November 2022</v>
      </c>
    </row>
    <row r="2183" spans="1:14" x14ac:dyDescent="0.25">
      <c r="A2183" s="1">
        <v>44878</v>
      </c>
      <c r="B2183" t="s">
        <v>3091</v>
      </c>
      <c r="C2183">
        <v>0</v>
      </c>
      <c r="D2183" t="s">
        <v>21</v>
      </c>
      <c r="E2183" t="s">
        <v>25</v>
      </c>
      <c r="F2183" t="s">
        <v>23</v>
      </c>
      <c r="G2183" t="s">
        <v>12</v>
      </c>
      <c r="H2183">
        <v>429.56</v>
      </c>
      <c r="I2183" s="8" t="str" cm="1">
        <f t="array" ref="I2183">_xlfn.IFS(C2183&lt;=15,"Children and Young Adolescents", C2183&gt;64, "Seniors", TRUE, "Working Age")</f>
        <v>Children and Young Adolescents</v>
      </c>
      <c r="J2183" s="6">
        <f>VLOOKUP(F2183,Analysis!$F$1:$G$5,2,FALSE)</f>
        <v>2440.2966694490838</v>
      </c>
      <c r="K2183">
        <f t="shared" si="136"/>
        <v>472.51</v>
      </c>
      <c r="L2183">
        <f t="shared" si="137"/>
        <v>472.52</v>
      </c>
      <c r="M2183">
        <f t="shared" si="138"/>
        <v>472.52</v>
      </c>
      <c r="N2183" s="5" t="str">
        <f t="shared" si="139"/>
        <v>November 2022</v>
      </c>
    </row>
    <row r="2184" spans="1:14" x14ac:dyDescent="0.25">
      <c r="A2184" s="1">
        <v>44878</v>
      </c>
      <c r="B2184" t="s">
        <v>1208</v>
      </c>
      <c r="C2184">
        <v>14</v>
      </c>
      <c r="D2184" t="s">
        <v>21</v>
      </c>
      <c r="E2184" t="s">
        <v>15</v>
      </c>
      <c r="F2184" t="s">
        <v>11</v>
      </c>
      <c r="G2184" t="s">
        <v>12</v>
      </c>
      <c r="H2184">
        <v>2372.58</v>
      </c>
      <c r="I2184" s="8" t="str" cm="1">
        <f t="array" ref="I2184">_xlfn.IFS(C2184&lt;=15,"Children and Young Adolescents", C2184&gt;64, "Seniors", TRUE, "Working Age")</f>
        <v>Children and Young Adolescents</v>
      </c>
      <c r="J2184" s="6">
        <f>VLOOKUP(F2184,Analysis!$F$1:$G$5,2,FALSE)</f>
        <v>2503.6022787783854</v>
      </c>
      <c r="K2184">
        <f t="shared" si="136"/>
        <v>2609.83</v>
      </c>
      <c r="L2184">
        <f t="shared" si="137"/>
        <v>2609.84</v>
      </c>
      <c r="M2184">
        <f t="shared" si="138"/>
        <v>2609.84</v>
      </c>
      <c r="N2184" s="5" t="str">
        <f t="shared" si="139"/>
        <v>November 2022</v>
      </c>
    </row>
    <row r="2185" spans="1:14" x14ac:dyDescent="0.25">
      <c r="A2185" s="1">
        <v>44878</v>
      </c>
      <c r="B2185" t="s">
        <v>1158</v>
      </c>
      <c r="C2185">
        <v>90</v>
      </c>
      <c r="D2185" t="s">
        <v>9</v>
      </c>
      <c r="E2185" t="s">
        <v>22</v>
      </c>
      <c r="F2185" t="s">
        <v>29</v>
      </c>
      <c r="G2185" t="s">
        <v>12</v>
      </c>
      <c r="H2185">
        <v>166.67</v>
      </c>
      <c r="I2185" s="8" t="str" cm="1">
        <f t="array" ref="I2185">_xlfn.IFS(C2185&lt;=15,"Children and Young Adolescents", C2185&gt;64, "Seniors", TRUE, "Working Age")</f>
        <v>Seniors</v>
      </c>
      <c r="J2185" s="6">
        <f>VLOOKUP(F2185,Analysis!$F$1:$G$5,2,FALSE)</f>
        <v>2496.7676064256989</v>
      </c>
      <c r="K2185">
        <f t="shared" si="136"/>
        <v>183.33</v>
      </c>
      <c r="L2185">
        <f t="shared" si="137"/>
        <v>183.34</v>
      </c>
      <c r="M2185">
        <f t="shared" si="138"/>
        <v>183.34</v>
      </c>
      <c r="N2185" s="5" t="str">
        <f t="shared" si="139"/>
        <v>November 2022</v>
      </c>
    </row>
    <row r="2186" spans="1:14" x14ac:dyDescent="0.25">
      <c r="A2186" s="1">
        <v>44878</v>
      </c>
      <c r="B2186" t="s">
        <v>1264</v>
      </c>
      <c r="C2186">
        <v>86</v>
      </c>
      <c r="D2186" t="s">
        <v>14</v>
      </c>
      <c r="E2186" t="s">
        <v>10</v>
      </c>
      <c r="F2186" t="s">
        <v>29</v>
      </c>
      <c r="G2186" t="s">
        <v>39</v>
      </c>
      <c r="H2186">
        <v>3346.02</v>
      </c>
      <c r="I2186" s="8" t="str" cm="1">
        <f t="array" ref="I2186">_xlfn.IFS(C2186&lt;=15,"Children and Young Adolescents", C2186&gt;64, "Seniors", TRUE, "Working Age")</f>
        <v>Seniors</v>
      </c>
      <c r="J2186" s="6">
        <f>VLOOKUP(F2186,Analysis!$F$1:$G$5,2,FALSE)</f>
        <v>2496.7676064256989</v>
      </c>
      <c r="K2186">
        <f t="shared" si="136"/>
        <v>3680.62</v>
      </c>
      <c r="L2186">
        <f t="shared" si="137"/>
        <v>3680.63</v>
      </c>
      <c r="M2186">
        <f t="shared" si="138"/>
        <v>3680.62</v>
      </c>
      <c r="N2186" s="5" t="str">
        <f t="shared" si="139"/>
        <v>November 2022</v>
      </c>
    </row>
    <row r="2187" spans="1:14" x14ac:dyDescent="0.25">
      <c r="A2187" s="1">
        <v>44879</v>
      </c>
      <c r="B2187" t="s">
        <v>2747</v>
      </c>
      <c r="C2187">
        <v>64</v>
      </c>
      <c r="D2187" t="s">
        <v>14</v>
      </c>
      <c r="E2187" t="s">
        <v>25</v>
      </c>
      <c r="F2187" t="s">
        <v>23</v>
      </c>
      <c r="G2187" t="s">
        <v>12</v>
      </c>
      <c r="H2187">
        <v>3270.78</v>
      </c>
      <c r="I2187" s="8" t="str" cm="1">
        <f t="array" ref="I2187">_xlfn.IFS(C2187&lt;=15,"Children and Young Adolescents", C2187&gt;64, "Seniors", TRUE, "Working Age")</f>
        <v>Working Age</v>
      </c>
      <c r="J2187" s="6">
        <f>VLOOKUP(F2187,Analysis!$F$1:$G$5,2,FALSE)</f>
        <v>2440.2966694490838</v>
      </c>
      <c r="K2187">
        <f t="shared" si="136"/>
        <v>3597.85</v>
      </c>
      <c r="L2187">
        <f t="shared" si="137"/>
        <v>3597.86</v>
      </c>
      <c r="M2187">
        <f t="shared" si="138"/>
        <v>3597.86</v>
      </c>
      <c r="N2187" s="5" t="str">
        <f t="shared" si="139"/>
        <v>November 2022</v>
      </c>
    </row>
    <row r="2188" spans="1:14" x14ac:dyDescent="0.25">
      <c r="A2188" s="1">
        <v>44879</v>
      </c>
      <c r="B2188" t="s">
        <v>1058</v>
      </c>
      <c r="C2188">
        <v>32</v>
      </c>
      <c r="D2188" t="s">
        <v>14</v>
      </c>
      <c r="E2188" t="s">
        <v>19</v>
      </c>
      <c r="F2188" t="s">
        <v>23</v>
      </c>
      <c r="G2188" t="s">
        <v>12</v>
      </c>
      <c r="H2188">
        <v>4269.01</v>
      </c>
      <c r="I2188" s="8" t="str" cm="1">
        <f t="array" ref="I2188">_xlfn.IFS(C2188&lt;=15,"Children and Young Adolescents", C2188&gt;64, "Seniors", TRUE, "Working Age")</f>
        <v>Working Age</v>
      </c>
      <c r="J2188" s="6">
        <f>VLOOKUP(F2188,Analysis!$F$1:$G$5,2,FALSE)</f>
        <v>2440.2966694490838</v>
      </c>
      <c r="K2188">
        <f t="shared" si="136"/>
        <v>4695.91</v>
      </c>
      <c r="L2188">
        <f t="shared" si="137"/>
        <v>4695.92</v>
      </c>
      <c r="M2188">
        <f t="shared" si="138"/>
        <v>4695.91</v>
      </c>
      <c r="N2188" s="5" t="str">
        <f t="shared" si="139"/>
        <v>November 2022</v>
      </c>
    </row>
    <row r="2189" spans="1:14" x14ac:dyDescent="0.25">
      <c r="A2189" s="1">
        <v>44879</v>
      </c>
      <c r="B2189" t="s">
        <v>767</v>
      </c>
      <c r="C2189">
        <v>93</v>
      </c>
      <c r="D2189" t="s">
        <v>14</v>
      </c>
      <c r="E2189" t="s">
        <v>10</v>
      </c>
      <c r="F2189" t="s">
        <v>23</v>
      </c>
      <c r="G2189" t="s">
        <v>36</v>
      </c>
      <c r="H2189">
        <v>4258.58</v>
      </c>
      <c r="I2189" s="8" t="str" cm="1">
        <f t="array" ref="I2189">_xlfn.IFS(C2189&lt;=15,"Children and Young Adolescents", C2189&gt;64, "Seniors", TRUE, "Working Age")</f>
        <v>Seniors</v>
      </c>
      <c r="J2189" s="6">
        <f>VLOOKUP(F2189,Analysis!$F$1:$G$5,2,FALSE)</f>
        <v>2440.2966694490838</v>
      </c>
      <c r="K2189">
        <f t="shared" si="136"/>
        <v>4684.43</v>
      </c>
      <c r="L2189">
        <f t="shared" si="137"/>
        <v>4684.4400000000005</v>
      </c>
      <c r="M2189">
        <f t="shared" si="138"/>
        <v>4684.4399999999996</v>
      </c>
      <c r="N2189" s="5" t="str">
        <f t="shared" si="139"/>
        <v>November 2022</v>
      </c>
    </row>
    <row r="2190" spans="1:14" x14ac:dyDescent="0.25">
      <c r="A2190" s="1">
        <v>44879</v>
      </c>
      <c r="B2190" t="s">
        <v>3288</v>
      </c>
      <c r="C2190">
        <v>30</v>
      </c>
      <c r="D2190" t="s">
        <v>21</v>
      </c>
      <c r="E2190" t="s">
        <v>25</v>
      </c>
      <c r="F2190" t="s">
        <v>29</v>
      </c>
      <c r="G2190" t="s">
        <v>17</v>
      </c>
      <c r="H2190">
        <v>387.58</v>
      </c>
      <c r="I2190" s="8" t="str" cm="1">
        <f t="array" ref="I2190">_xlfn.IFS(C2190&lt;=15,"Children and Young Adolescents", C2190&gt;64, "Seniors", TRUE, "Working Age")</f>
        <v>Working Age</v>
      </c>
      <c r="J2190" s="6">
        <f>VLOOKUP(F2190,Analysis!$F$1:$G$5,2,FALSE)</f>
        <v>2496.7676064256989</v>
      </c>
      <c r="K2190">
        <f t="shared" si="136"/>
        <v>426.33</v>
      </c>
      <c r="L2190">
        <f t="shared" si="137"/>
        <v>426.34</v>
      </c>
      <c r="M2190">
        <f t="shared" si="138"/>
        <v>426.34</v>
      </c>
      <c r="N2190" s="5" t="str">
        <f t="shared" si="139"/>
        <v>November 2022</v>
      </c>
    </row>
    <row r="2191" spans="1:14" x14ac:dyDescent="0.25">
      <c r="A2191" s="1">
        <v>44879</v>
      </c>
      <c r="B2191" t="s">
        <v>3628</v>
      </c>
      <c r="C2191">
        <v>22</v>
      </c>
      <c r="D2191" t="s">
        <v>21</v>
      </c>
      <c r="E2191" t="s">
        <v>15</v>
      </c>
      <c r="F2191" t="s">
        <v>29</v>
      </c>
      <c r="G2191" t="s">
        <v>12</v>
      </c>
      <c r="H2191">
        <v>26.7</v>
      </c>
      <c r="I2191" s="8" t="str" cm="1">
        <f t="array" ref="I2191">_xlfn.IFS(C2191&lt;=15,"Children and Young Adolescents", C2191&gt;64, "Seniors", TRUE, "Working Age")</f>
        <v>Working Age</v>
      </c>
      <c r="J2191" s="6">
        <f>VLOOKUP(F2191,Analysis!$F$1:$G$5,2,FALSE)</f>
        <v>2496.7676064256989</v>
      </c>
      <c r="K2191">
        <f t="shared" si="136"/>
        <v>29.37</v>
      </c>
      <c r="L2191">
        <f t="shared" si="137"/>
        <v>29.37</v>
      </c>
      <c r="M2191">
        <f t="shared" si="138"/>
        <v>29.37</v>
      </c>
      <c r="N2191" s="5" t="str">
        <f t="shared" si="139"/>
        <v>November 2022</v>
      </c>
    </row>
    <row r="2192" spans="1:14" x14ac:dyDescent="0.25">
      <c r="A2192" s="1">
        <v>44879</v>
      </c>
      <c r="B2192" t="s">
        <v>1548</v>
      </c>
      <c r="C2192">
        <v>24</v>
      </c>
      <c r="D2192" t="s">
        <v>14</v>
      </c>
      <c r="E2192" t="s">
        <v>5032</v>
      </c>
      <c r="F2192" t="s">
        <v>23</v>
      </c>
      <c r="G2192" t="s">
        <v>12</v>
      </c>
      <c r="H2192">
        <v>4261.66</v>
      </c>
      <c r="I2192" s="8" t="str" cm="1">
        <f t="array" ref="I2192">_xlfn.IFS(C2192&lt;=15,"Children and Young Adolescents", C2192&gt;64, "Seniors", TRUE, "Working Age")</f>
        <v>Working Age</v>
      </c>
      <c r="J2192" s="6">
        <f>VLOOKUP(F2192,Analysis!$F$1:$G$5,2,FALSE)</f>
        <v>2440.2966694490838</v>
      </c>
      <c r="K2192">
        <f t="shared" si="136"/>
        <v>4687.82</v>
      </c>
      <c r="L2192">
        <f t="shared" si="137"/>
        <v>4687.83</v>
      </c>
      <c r="M2192">
        <f t="shared" si="138"/>
        <v>4687.83</v>
      </c>
      <c r="N2192" s="5" t="str">
        <f t="shared" si="139"/>
        <v>November 2022</v>
      </c>
    </row>
    <row r="2193" spans="1:14" x14ac:dyDescent="0.25">
      <c r="A2193" s="1">
        <v>44879</v>
      </c>
      <c r="B2193" t="s">
        <v>4488</v>
      </c>
      <c r="C2193">
        <v>67</v>
      </c>
      <c r="D2193" t="s">
        <v>14</v>
      </c>
      <c r="E2193" t="s">
        <v>19</v>
      </c>
      <c r="F2193" t="s">
        <v>16</v>
      </c>
      <c r="G2193" t="s">
        <v>17</v>
      </c>
      <c r="H2193">
        <v>4809.3999999999996</v>
      </c>
      <c r="I2193" s="8" t="str" cm="1">
        <f t="array" ref="I2193">_xlfn.IFS(C2193&lt;=15,"Children and Young Adolescents", C2193&gt;64, "Seniors", TRUE, "Working Age")</f>
        <v>Seniors</v>
      </c>
      <c r="J2193" s="6">
        <f>VLOOKUP(F2193,Analysis!$F$1:$G$5,2,FALSE)</f>
        <v>2509.1716796874912</v>
      </c>
      <c r="K2193">
        <f t="shared" si="136"/>
        <v>5290.34</v>
      </c>
      <c r="L2193">
        <f t="shared" si="137"/>
        <v>5290.34</v>
      </c>
      <c r="M2193">
        <f t="shared" si="138"/>
        <v>5290.34</v>
      </c>
      <c r="N2193" s="5" t="str">
        <f t="shared" si="139"/>
        <v>November 2022</v>
      </c>
    </row>
    <row r="2194" spans="1:14" x14ac:dyDescent="0.25">
      <c r="A2194" s="1">
        <v>44879</v>
      </c>
      <c r="B2194" t="s">
        <v>3643</v>
      </c>
      <c r="C2194">
        <v>9</v>
      </c>
      <c r="D2194" t="s">
        <v>14</v>
      </c>
      <c r="E2194" t="s">
        <v>15</v>
      </c>
      <c r="F2194" t="s">
        <v>29</v>
      </c>
      <c r="G2194" t="s">
        <v>36</v>
      </c>
      <c r="H2194">
        <v>3494.82</v>
      </c>
      <c r="I2194" s="8" t="str" cm="1">
        <f t="array" ref="I2194">_xlfn.IFS(C2194&lt;=15,"Children and Young Adolescents", C2194&gt;64, "Seniors", TRUE, "Working Age")</f>
        <v>Children and Young Adolescents</v>
      </c>
      <c r="J2194" s="6">
        <f>VLOOKUP(F2194,Analysis!$F$1:$G$5,2,FALSE)</f>
        <v>2496.7676064256989</v>
      </c>
      <c r="K2194">
        <f t="shared" si="136"/>
        <v>3844.3</v>
      </c>
      <c r="L2194">
        <f t="shared" si="137"/>
        <v>3844.3100000000004</v>
      </c>
      <c r="M2194">
        <f t="shared" si="138"/>
        <v>3844.3</v>
      </c>
      <c r="N2194" s="5" t="str">
        <f t="shared" si="139"/>
        <v>November 2022</v>
      </c>
    </row>
    <row r="2195" spans="1:14" x14ac:dyDescent="0.25">
      <c r="A2195" s="1">
        <v>44880</v>
      </c>
      <c r="B2195" t="s">
        <v>3993</v>
      </c>
      <c r="C2195">
        <v>70</v>
      </c>
      <c r="D2195" t="s">
        <v>9</v>
      </c>
      <c r="E2195" t="s">
        <v>19</v>
      </c>
      <c r="F2195" t="s">
        <v>29</v>
      </c>
      <c r="G2195" t="s">
        <v>39</v>
      </c>
      <c r="H2195">
        <v>1060.21</v>
      </c>
      <c r="I2195" s="8" t="str" cm="1">
        <f t="array" ref="I2195">_xlfn.IFS(C2195&lt;=15,"Children and Young Adolescents", C2195&gt;64, "Seniors", TRUE, "Working Age")</f>
        <v>Seniors</v>
      </c>
      <c r="J2195" s="6">
        <f>VLOOKUP(F2195,Analysis!$F$1:$G$5,2,FALSE)</f>
        <v>2496.7676064256989</v>
      </c>
      <c r="K2195">
        <f t="shared" si="136"/>
        <v>1166.23</v>
      </c>
      <c r="L2195">
        <f t="shared" si="137"/>
        <v>1166.24</v>
      </c>
      <c r="M2195">
        <f t="shared" si="138"/>
        <v>1166.23</v>
      </c>
      <c r="N2195" s="5" t="str">
        <f t="shared" si="139"/>
        <v>November 2022</v>
      </c>
    </row>
    <row r="2196" spans="1:14" x14ac:dyDescent="0.25">
      <c r="A2196" s="1">
        <v>44880</v>
      </c>
      <c r="B2196" t="s">
        <v>4174</v>
      </c>
      <c r="C2196">
        <v>94</v>
      </c>
      <c r="D2196" t="s">
        <v>14</v>
      </c>
      <c r="E2196" t="s">
        <v>34</v>
      </c>
      <c r="F2196" t="s">
        <v>23</v>
      </c>
      <c r="G2196" t="s">
        <v>12</v>
      </c>
      <c r="H2196">
        <v>2594.83</v>
      </c>
      <c r="I2196" s="8" t="str" cm="1">
        <f t="array" ref="I2196">_xlfn.IFS(C2196&lt;=15,"Children and Young Adolescents", C2196&gt;64, "Seniors", TRUE, "Working Age")</f>
        <v>Seniors</v>
      </c>
      <c r="J2196" s="6">
        <f>VLOOKUP(F2196,Analysis!$F$1:$G$5,2,FALSE)</f>
        <v>2440.2966694490838</v>
      </c>
      <c r="K2196">
        <f t="shared" si="136"/>
        <v>2854.31</v>
      </c>
      <c r="L2196">
        <f t="shared" si="137"/>
        <v>2854.32</v>
      </c>
      <c r="M2196">
        <f t="shared" si="138"/>
        <v>2854.31</v>
      </c>
      <c r="N2196" s="5" t="str">
        <f t="shared" si="139"/>
        <v>November 2022</v>
      </c>
    </row>
    <row r="2197" spans="1:14" x14ac:dyDescent="0.25">
      <c r="A2197" s="1">
        <v>44880</v>
      </c>
      <c r="B2197" t="s">
        <v>3035</v>
      </c>
      <c r="C2197">
        <v>23</v>
      </c>
      <c r="D2197" t="s">
        <v>9</v>
      </c>
      <c r="E2197" t="s">
        <v>15</v>
      </c>
      <c r="F2197" t="s">
        <v>29</v>
      </c>
      <c r="G2197" t="s">
        <v>27</v>
      </c>
      <c r="H2197">
        <v>4353.84</v>
      </c>
      <c r="I2197" s="8" t="str" cm="1">
        <f t="array" ref="I2197">_xlfn.IFS(C2197&lt;=15,"Children and Young Adolescents", C2197&gt;64, "Seniors", TRUE, "Working Age")</f>
        <v>Working Age</v>
      </c>
      <c r="J2197" s="6">
        <f>VLOOKUP(F2197,Analysis!$F$1:$G$5,2,FALSE)</f>
        <v>2496.7676064256989</v>
      </c>
      <c r="K2197">
        <f t="shared" si="136"/>
        <v>4789.22</v>
      </c>
      <c r="L2197">
        <f t="shared" si="137"/>
        <v>4789.2300000000005</v>
      </c>
      <c r="M2197">
        <f t="shared" si="138"/>
        <v>4789.22</v>
      </c>
      <c r="N2197" s="5" t="str">
        <f t="shared" si="139"/>
        <v>November 2022</v>
      </c>
    </row>
    <row r="2198" spans="1:14" x14ac:dyDescent="0.25">
      <c r="A2198" s="1">
        <v>44880</v>
      </c>
      <c r="B2198" t="s">
        <v>1320</v>
      </c>
      <c r="C2198">
        <v>59</v>
      </c>
      <c r="D2198" t="s">
        <v>21</v>
      </c>
      <c r="E2198" t="s">
        <v>15</v>
      </c>
      <c r="F2198" t="s">
        <v>29</v>
      </c>
      <c r="G2198" t="s">
        <v>36</v>
      </c>
      <c r="H2198">
        <v>4856.3500000000004</v>
      </c>
      <c r="I2198" s="8" t="str" cm="1">
        <f t="array" ref="I2198">_xlfn.IFS(C2198&lt;=15,"Children and Young Adolescents", C2198&gt;64, "Seniors", TRUE, "Working Age")</f>
        <v>Working Age</v>
      </c>
      <c r="J2198" s="6">
        <f>VLOOKUP(F2198,Analysis!$F$1:$G$5,2,FALSE)</f>
        <v>2496.7676064256989</v>
      </c>
      <c r="K2198">
        <f t="shared" si="136"/>
        <v>5341.98</v>
      </c>
      <c r="L2198">
        <f t="shared" si="137"/>
        <v>5341.99</v>
      </c>
      <c r="M2198">
        <f t="shared" si="138"/>
        <v>5341.99</v>
      </c>
      <c r="N2198" s="5" t="str">
        <f t="shared" si="139"/>
        <v>November 2022</v>
      </c>
    </row>
    <row r="2199" spans="1:14" x14ac:dyDescent="0.25">
      <c r="A2199" s="1">
        <v>44880</v>
      </c>
      <c r="B2199" t="s">
        <v>3679</v>
      </c>
      <c r="C2199">
        <v>10</v>
      </c>
      <c r="D2199" t="s">
        <v>21</v>
      </c>
      <c r="E2199" t="s">
        <v>15</v>
      </c>
      <c r="F2199" t="s">
        <v>11</v>
      </c>
      <c r="G2199" t="s">
        <v>27</v>
      </c>
      <c r="H2199">
        <v>2215.0700000000002</v>
      </c>
      <c r="I2199" s="8" t="str" cm="1">
        <f t="array" ref="I2199">_xlfn.IFS(C2199&lt;=15,"Children and Young Adolescents", C2199&gt;64, "Seniors", TRUE, "Working Age")</f>
        <v>Children and Young Adolescents</v>
      </c>
      <c r="J2199" s="6">
        <f>VLOOKUP(F2199,Analysis!$F$1:$G$5,2,FALSE)</f>
        <v>2503.6022787783854</v>
      </c>
      <c r="K2199">
        <f t="shared" si="136"/>
        <v>2436.5700000000002</v>
      </c>
      <c r="L2199">
        <f t="shared" si="137"/>
        <v>2436.5800000000004</v>
      </c>
      <c r="M2199">
        <f t="shared" si="138"/>
        <v>2436.58</v>
      </c>
      <c r="N2199" s="5" t="str">
        <f t="shared" si="139"/>
        <v>November 2022</v>
      </c>
    </row>
    <row r="2200" spans="1:14" x14ac:dyDescent="0.25">
      <c r="A2200" s="1">
        <v>44880</v>
      </c>
      <c r="B2200" t="s">
        <v>473</v>
      </c>
      <c r="C2200">
        <v>11</v>
      </c>
      <c r="D2200" t="s">
        <v>21</v>
      </c>
      <c r="E2200" t="s">
        <v>34</v>
      </c>
      <c r="F2200" t="s">
        <v>16</v>
      </c>
      <c r="G2200" t="s">
        <v>27</v>
      </c>
      <c r="H2200">
        <v>3562.52</v>
      </c>
      <c r="I2200" s="8" t="str" cm="1">
        <f t="array" ref="I2200">_xlfn.IFS(C2200&lt;=15,"Children and Young Adolescents", C2200&gt;64, "Seniors", TRUE, "Working Age")</f>
        <v>Children and Young Adolescents</v>
      </c>
      <c r="J2200" s="6">
        <f>VLOOKUP(F2200,Analysis!$F$1:$G$5,2,FALSE)</f>
        <v>2509.1716796874912</v>
      </c>
      <c r="K2200">
        <f t="shared" si="136"/>
        <v>3918.77</v>
      </c>
      <c r="L2200">
        <f t="shared" si="137"/>
        <v>3918.78</v>
      </c>
      <c r="M2200">
        <f t="shared" si="138"/>
        <v>3918.77</v>
      </c>
      <c r="N2200" s="5" t="str">
        <f t="shared" si="139"/>
        <v>November 2022</v>
      </c>
    </row>
    <row r="2201" spans="1:14" x14ac:dyDescent="0.25">
      <c r="A2201" s="1">
        <v>44880</v>
      </c>
      <c r="B2201" t="s">
        <v>2557</v>
      </c>
      <c r="C2201">
        <v>63</v>
      </c>
      <c r="D2201" t="s">
        <v>14</v>
      </c>
      <c r="E2201" t="s">
        <v>32</v>
      </c>
      <c r="F2201" t="s">
        <v>11</v>
      </c>
      <c r="G2201" t="s">
        <v>12</v>
      </c>
      <c r="H2201">
        <v>4591.93</v>
      </c>
      <c r="I2201" s="8" t="str" cm="1">
        <f t="array" ref="I2201">_xlfn.IFS(C2201&lt;=15,"Children and Young Adolescents", C2201&gt;64, "Seniors", TRUE, "Working Age")</f>
        <v>Working Age</v>
      </c>
      <c r="J2201" s="6">
        <f>VLOOKUP(F2201,Analysis!$F$1:$G$5,2,FALSE)</f>
        <v>2503.6022787783854</v>
      </c>
      <c r="K2201">
        <f t="shared" si="136"/>
        <v>5051.12</v>
      </c>
      <c r="L2201">
        <f t="shared" si="137"/>
        <v>5051.13</v>
      </c>
      <c r="M2201">
        <f t="shared" si="138"/>
        <v>5051.12</v>
      </c>
      <c r="N2201" s="5" t="str">
        <f t="shared" si="139"/>
        <v>November 2022</v>
      </c>
    </row>
    <row r="2202" spans="1:14" x14ac:dyDescent="0.25">
      <c r="A2202" s="1">
        <v>44880</v>
      </c>
      <c r="B2202" t="s">
        <v>3264</v>
      </c>
      <c r="C2202">
        <v>66</v>
      </c>
      <c r="D2202" t="s">
        <v>9</v>
      </c>
      <c r="E2202" t="s">
        <v>22</v>
      </c>
      <c r="F2202" t="s">
        <v>16</v>
      </c>
      <c r="G2202" t="s">
        <v>12</v>
      </c>
      <c r="H2202">
        <v>598.86</v>
      </c>
      <c r="I2202" s="8" t="str" cm="1">
        <f t="array" ref="I2202">_xlfn.IFS(C2202&lt;=15,"Children and Young Adolescents", C2202&gt;64, "Seniors", TRUE, "Working Age")</f>
        <v>Seniors</v>
      </c>
      <c r="J2202" s="6">
        <f>VLOOKUP(F2202,Analysis!$F$1:$G$5,2,FALSE)</f>
        <v>2509.1716796874912</v>
      </c>
      <c r="K2202">
        <f t="shared" si="136"/>
        <v>658.74</v>
      </c>
      <c r="L2202">
        <f t="shared" si="137"/>
        <v>658.75</v>
      </c>
      <c r="M2202">
        <f t="shared" si="138"/>
        <v>658.75</v>
      </c>
      <c r="N2202" s="5" t="str">
        <f t="shared" si="139"/>
        <v>November 2022</v>
      </c>
    </row>
    <row r="2203" spans="1:14" x14ac:dyDescent="0.25">
      <c r="A2203" s="1">
        <v>44880</v>
      </c>
      <c r="B2203" t="s">
        <v>2521</v>
      </c>
      <c r="C2203">
        <v>63</v>
      </c>
      <c r="D2203" t="s">
        <v>21</v>
      </c>
      <c r="E2203" t="s">
        <v>22</v>
      </c>
      <c r="F2203" t="s">
        <v>11</v>
      </c>
      <c r="G2203" t="s">
        <v>36</v>
      </c>
      <c r="H2203">
        <v>2230.33</v>
      </c>
      <c r="I2203" s="8" t="str" cm="1">
        <f t="array" ref="I2203">_xlfn.IFS(C2203&lt;=15,"Children and Young Adolescents", C2203&gt;64, "Seniors", TRUE, "Working Age")</f>
        <v>Working Age</v>
      </c>
      <c r="J2203" s="6">
        <f>VLOOKUP(F2203,Analysis!$F$1:$G$5,2,FALSE)</f>
        <v>2503.6022787783854</v>
      </c>
      <c r="K2203">
        <f t="shared" si="136"/>
        <v>2453.36</v>
      </c>
      <c r="L2203">
        <f t="shared" si="137"/>
        <v>2453.3700000000003</v>
      </c>
      <c r="M2203">
        <f t="shared" si="138"/>
        <v>2453.36</v>
      </c>
      <c r="N2203" s="5" t="str">
        <f t="shared" si="139"/>
        <v>November 2022</v>
      </c>
    </row>
    <row r="2204" spans="1:14" x14ac:dyDescent="0.25">
      <c r="A2204" s="1">
        <v>44880</v>
      </c>
      <c r="B2204" t="s">
        <v>3253</v>
      </c>
      <c r="C2204">
        <v>19</v>
      </c>
      <c r="D2204" t="s">
        <v>14</v>
      </c>
      <c r="E2204" t="s">
        <v>10</v>
      </c>
      <c r="F2204" t="s">
        <v>16</v>
      </c>
      <c r="G2204" t="s">
        <v>36</v>
      </c>
      <c r="H2204">
        <v>3995.76</v>
      </c>
      <c r="I2204" s="8" t="str" cm="1">
        <f t="array" ref="I2204">_xlfn.IFS(C2204&lt;=15,"Children and Young Adolescents", C2204&gt;64, "Seniors", TRUE, "Working Age")</f>
        <v>Working Age</v>
      </c>
      <c r="J2204" s="6">
        <f>VLOOKUP(F2204,Analysis!$F$1:$G$5,2,FALSE)</f>
        <v>2509.1716796874912</v>
      </c>
      <c r="K2204">
        <f t="shared" si="136"/>
        <v>4395.33</v>
      </c>
      <c r="L2204">
        <f t="shared" si="137"/>
        <v>4395.34</v>
      </c>
      <c r="M2204">
        <f t="shared" si="138"/>
        <v>4395.34</v>
      </c>
      <c r="N2204" s="5" t="str">
        <f t="shared" si="139"/>
        <v>November 2022</v>
      </c>
    </row>
    <row r="2205" spans="1:14" x14ac:dyDescent="0.25">
      <c r="A2205" s="1">
        <v>44881</v>
      </c>
      <c r="B2205" t="s">
        <v>5000</v>
      </c>
      <c r="C2205">
        <v>50</v>
      </c>
      <c r="D2205" t="s">
        <v>14</v>
      </c>
      <c r="E2205" t="s">
        <v>15</v>
      </c>
      <c r="F2205" t="s">
        <v>11</v>
      </c>
      <c r="G2205" t="s">
        <v>36</v>
      </c>
      <c r="H2205">
        <v>2282.0300000000002</v>
      </c>
      <c r="I2205" s="8" t="str" cm="1">
        <f t="array" ref="I2205">_xlfn.IFS(C2205&lt;=15,"Children and Young Adolescents", C2205&gt;64, "Seniors", TRUE, "Working Age")</f>
        <v>Working Age</v>
      </c>
      <c r="J2205" s="6">
        <f>VLOOKUP(F2205,Analysis!$F$1:$G$5,2,FALSE)</f>
        <v>2503.6022787783854</v>
      </c>
      <c r="K2205">
        <f t="shared" si="136"/>
        <v>2510.23</v>
      </c>
      <c r="L2205">
        <f t="shared" si="137"/>
        <v>2510.2400000000002</v>
      </c>
      <c r="M2205">
        <f t="shared" si="138"/>
        <v>2510.23</v>
      </c>
      <c r="N2205" s="5" t="str">
        <f t="shared" si="139"/>
        <v>November 2022</v>
      </c>
    </row>
    <row r="2206" spans="1:14" x14ac:dyDescent="0.25">
      <c r="A2206" s="1">
        <v>44881</v>
      </c>
      <c r="B2206" t="s">
        <v>645</v>
      </c>
      <c r="C2206">
        <v>86</v>
      </c>
      <c r="D2206" t="s">
        <v>21</v>
      </c>
      <c r="E2206" t="s">
        <v>34</v>
      </c>
      <c r="F2206" t="s">
        <v>23</v>
      </c>
      <c r="G2206" t="s">
        <v>39</v>
      </c>
      <c r="H2206">
        <v>2612.88</v>
      </c>
      <c r="I2206" s="8" t="str" cm="1">
        <f t="array" ref="I2206">_xlfn.IFS(C2206&lt;=15,"Children and Young Adolescents", C2206&gt;64, "Seniors", TRUE, "Working Age")</f>
        <v>Seniors</v>
      </c>
      <c r="J2206" s="6">
        <f>VLOOKUP(F2206,Analysis!$F$1:$G$5,2,FALSE)</f>
        <v>2440.2966694490838</v>
      </c>
      <c r="K2206">
        <f t="shared" si="136"/>
        <v>2874.16</v>
      </c>
      <c r="L2206">
        <f t="shared" si="137"/>
        <v>2874.17</v>
      </c>
      <c r="M2206">
        <f t="shared" si="138"/>
        <v>2874.17</v>
      </c>
      <c r="N2206" s="5" t="str">
        <f t="shared" si="139"/>
        <v>November 2022</v>
      </c>
    </row>
    <row r="2207" spans="1:14" x14ac:dyDescent="0.25">
      <c r="A2207" s="1">
        <v>44881</v>
      </c>
      <c r="B2207" t="s">
        <v>1421</v>
      </c>
      <c r="C2207">
        <v>94</v>
      </c>
      <c r="D2207" t="s">
        <v>14</v>
      </c>
      <c r="E2207" t="s">
        <v>32</v>
      </c>
      <c r="F2207" t="s">
        <v>16</v>
      </c>
      <c r="G2207" t="s">
        <v>36</v>
      </c>
      <c r="H2207">
        <v>1902.47</v>
      </c>
      <c r="I2207" s="8" t="str" cm="1">
        <f t="array" ref="I2207">_xlfn.IFS(C2207&lt;=15,"Children and Young Adolescents", C2207&gt;64, "Seniors", TRUE, "Working Age")</f>
        <v>Seniors</v>
      </c>
      <c r="J2207" s="6">
        <f>VLOOKUP(F2207,Analysis!$F$1:$G$5,2,FALSE)</f>
        <v>2509.1716796874912</v>
      </c>
      <c r="K2207">
        <f t="shared" si="136"/>
        <v>2092.71</v>
      </c>
      <c r="L2207">
        <f t="shared" si="137"/>
        <v>2092.7200000000003</v>
      </c>
      <c r="M2207">
        <f t="shared" si="138"/>
        <v>2092.7199999999998</v>
      </c>
      <c r="N2207" s="5" t="str">
        <f t="shared" si="139"/>
        <v>November 2022</v>
      </c>
    </row>
    <row r="2208" spans="1:14" x14ac:dyDescent="0.25">
      <c r="A2208" s="1">
        <v>44881</v>
      </c>
      <c r="B2208" t="s">
        <v>4429</v>
      </c>
      <c r="C2208">
        <v>20</v>
      </c>
      <c r="D2208" t="s">
        <v>9</v>
      </c>
      <c r="E2208" t="s">
        <v>19</v>
      </c>
      <c r="F2208" t="s">
        <v>11</v>
      </c>
      <c r="G2208" t="s">
        <v>12</v>
      </c>
      <c r="H2208">
        <v>4511.78</v>
      </c>
      <c r="I2208" s="8" t="str" cm="1">
        <f t="array" ref="I2208">_xlfn.IFS(C2208&lt;=15,"Children and Young Adolescents", C2208&gt;64, "Seniors", TRUE, "Working Age")</f>
        <v>Working Age</v>
      </c>
      <c r="J2208" s="6">
        <f>VLOOKUP(F2208,Analysis!$F$1:$G$5,2,FALSE)</f>
        <v>2503.6022787783854</v>
      </c>
      <c r="K2208">
        <f t="shared" si="136"/>
        <v>4962.95</v>
      </c>
      <c r="L2208">
        <f t="shared" si="137"/>
        <v>4962.96</v>
      </c>
      <c r="M2208">
        <f t="shared" si="138"/>
        <v>4962.96</v>
      </c>
      <c r="N2208" s="5" t="str">
        <f t="shared" si="139"/>
        <v>November 2022</v>
      </c>
    </row>
    <row r="2209" spans="1:14" x14ac:dyDescent="0.25">
      <c r="A2209" s="1">
        <v>44881</v>
      </c>
      <c r="B2209" t="s">
        <v>3527</v>
      </c>
      <c r="C2209">
        <v>83</v>
      </c>
      <c r="D2209" t="s">
        <v>21</v>
      </c>
      <c r="E2209" t="s">
        <v>34</v>
      </c>
      <c r="F2209" t="s">
        <v>29</v>
      </c>
      <c r="G2209" t="s">
        <v>27</v>
      </c>
      <c r="H2209">
        <v>2688.61</v>
      </c>
      <c r="I2209" s="8" t="str" cm="1">
        <f t="array" ref="I2209">_xlfn.IFS(C2209&lt;=15,"Children and Young Adolescents", C2209&gt;64, "Seniors", TRUE, "Working Age")</f>
        <v>Seniors</v>
      </c>
      <c r="J2209" s="6">
        <f>VLOOKUP(F2209,Analysis!$F$1:$G$5,2,FALSE)</f>
        <v>2496.7676064256989</v>
      </c>
      <c r="K2209">
        <f t="shared" si="136"/>
        <v>2957.47</v>
      </c>
      <c r="L2209">
        <f t="shared" si="137"/>
        <v>2957.48</v>
      </c>
      <c r="M2209">
        <f t="shared" si="138"/>
        <v>2957.47</v>
      </c>
      <c r="N2209" s="5" t="str">
        <f t="shared" si="139"/>
        <v>November 2022</v>
      </c>
    </row>
    <row r="2210" spans="1:14" x14ac:dyDescent="0.25">
      <c r="A2210" s="1">
        <v>44881</v>
      </c>
      <c r="B2210" t="s">
        <v>739</v>
      </c>
      <c r="C2210">
        <v>56</v>
      </c>
      <c r="D2210" t="s">
        <v>21</v>
      </c>
      <c r="E2210" t="s">
        <v>10</v>
      </c>
      <c r="F2210" t="s">
        <v>29</v>
      </c>
      <c r="G2210" t="s">
        <v>17</v>
      </c>
      <c r="H2210">
        <v>1416.96</v>
      </c>
      <c r="I2210" s="8" t="str" cm="1">
        <f t="array" ref="I2210">_xlfn.IFS(C2210&lt;=15,"Children and Young Adolescents", C2210&gt;64, "Seniors", TRUE, "Working Age")</f>
        <v>Working Age</v>
      </c>
      <c r="J2210" s="6">
        <f>VLOOKUP(F2210,Analysis!$F$1:$G$5,2,FALSE)</f>
        <v>2496.7676064256989</v>
      </c>
      <c r="K2210">
        <f t="shared" si="136"/>
        <v>1558.65</v>
      </c>
      <c r="L2210">
        <f t="shared" si="137"/>
        <v>1558.66</v>
      </c>
      <c r="M2210">
        <f t="shared" si="138"/>
        <v>1558.66</v>
      </c>
      <c r="N2210" s="5" t="str">
        <f t="shared" si="139"/>
        <v>November 2022</v>
      </c>
    </row>
    <row r="2211" spans="1:14" x14ac:dyDescent="0.25">
      <c r="A2211" s="1">
        <v>44882</v>
      </c>
      <c r="B2211" t="s">
        <v>4540</v>
      </c>
      <c r="C2211">
        <v>8</v>
      </c>
      <c r="D2211" t="s">
        <v>9</v>
      </c>
      <c r="E2211" t="s">
        <v>15</v>
      </c>
      <c r="F2211" t="s">
        <v>16</v>
      </c>
      <c r="G2211" t="s">
        <v>36</v>
      </c>
      <c r="H2211">
        <v>4198.26</v>
      </c>
      <c r="I2211" s="8" t="str" cm="1">
        <f t="array" ref="I2211">_xlfn.IFS(C2211&lt;=15,"Children and Young Adolescents", C2211&gt;64, "Seniors", TRUE, "Working Age")</f>
        <v>Children and Young Adolescents</v>
      </c>
      <c r="J2211" s="6">
        <f>VLOOKUP(F2211,Analysis!$F$1:$G$5,2,FALSE)</f>
        <v>2509.1716796874912</v>
      </c>
      <c r="K2211">
        <f t="shared" si="136"/>
        <v>4618.08</v>
      </c>
      <c r="L2211">
        <f t="shared" si="137"/>
        <v>4618.09</v>
      </c>
      <c r="M2211">
        <f t="shared" si="138"/>
        <v>4618.09</v>
      </c>
      <c r="N2211" s="5" t="str">
        <f t="shared" si="139"/>
        <v>November 2022</v>
      </c>
    </row>
    <row r="2212" spans="1:14" x14ac:dyDescent="0.25">
      <c r="A2212" s="1">
        <v>44882</v>
      </c>
      <c r="B2212" t="s">
        <v>2787</v>
      </c>
      <c r="C2212">
        <v>6</v>
      </c>
      <c r="D2212" t="s">
        <v>9</v>
      </c>
      <c r="E2212" t="s">
        <v>5032</v>
      </c>
      <c r="F2212" t="s">
        <v>16</v>
      </c>
      <c r="G2212" t="s">
        <v>12</v>
      </c>
      <c r="H2212">
        <v>361.74</v>
      </c>
      <c r="I2212" s="8" t="str" cm="1">
        <f t="array" ref="I2212">_xlfn.IFS(C2212&lt;=15,"Children and Young Adolescents", C2212&gt;64, "Seniors", TRUE, "Working Age")</f>
        <v>Children and Young Adolescents</v>
      </c>
      <c r="J2212" s="6">
        <f>VLOOKUP(F2212,Analysis!$F$1:$G$5,2,FALSE)</f>
        <v>2509.1716796874912</v>
      </c>
      <c r="K2212">
        <f t="shared" si="136"/>
        <v>397.91</v>
      </c>
      <c r="L2212">
        <f t="shared" si="137"/>
        <v>397.92</v>
      </c>
      <c r="M2212">
        <f t="shared" si="138"/>
        <v>397.91</v>
      </c>
      <c r="N2212" s="5" t="str">
        <f t="shared" si="139"/>
        <v>November 2022</v>
      </c>
    </row>
    <row r="2213" spans="1:14" x14ac:dyDescent="0.25">
      <c r="A2213" s="1">
        <v>44882</v>
      </c>
      <c r="B2213" t="s">
        <v>3217</v>
      </c>
      <c r="C2213">
        <v>90</v>
      </c>
      <c r="D2213" t="s">
        <v>21</v>
      </c>
      <c r="E2213" t="s">
        <v>10</v>
      </c>
      <c r="F2213" t="s">
        <v>29</v>
      </c>
      <c r="G2213" t="s">
        <v>27</v>
      </c>
      <c r="H2213">
        <v>669.63</v>
      </c>
      <c r="I2213" s="8" t="str" cm="1">
        <f t="array" ref="I2213">_xlfn.IFS(C2213&lt;=15,"Children and Young Adolescents", C2213&gt;64, "Seniors", TRUE, "Working Age")</f>
        <v>Seniors</v>
      </c>
      <c r="J2213" s="6">
        <f>VLOOKUP(F2213,Analysis!$F$1:$G$5,2,FALSE)</f>
        <v>2496.7676064256989</v>
      </c>
      <c r="K2213">
        <f t="shared" si="136"/>
        <v>736.59</v>
      </c>
      <c r="L2213">
        <f t="shared" si="137"/>
        <v>736.6</v>
      </c>
      <c r="M2213">
        <f t="shared" si="138"/>
        <v>736.59</v>
      </c>
      <c r="N2213" s="5" t="str">
        <f t="shared" si="139"/>
        <v>November 2022</v>
      </c>
    </row>
    <row r="2214" spans="1:14" x14ac:dyDescent="0.25">
      <c r="A2214" s="1">
        <v>44882</v>
      </c>
      <c r="B2214" t="s">
        <v>3625</v>
      </c>
      <c r="C2214">
        <v>72</v>
      </c>
      <c r="D2214" t="s">
        <v>21</v>
      </c>
      <c r="E2214" t="s">
        <v>5032</v>
      </c>
      <c r="F2214" t="s">
        <v>16</v>
      </c>
      <c r="G2214" t="s">
        <v>17</v>
      </c>
      <c r="H2214">
        <v>457.67</v>
      </c>
      <c r="I2214" s="8" t="str" cm="1">
        <f t="array" ref="I2214">_xlfn.IFS(C2214&lt;=15,"Children and Young Adolescents", C2214&gt;64, "Seniors", TRUE, "Working Age")</f>
        <v>Seniors</v>
      </c>
      <c r="J2214" s="6">
        <f>VLOOKUP(F2214,Analysis!$F$1:$G$5,2,FALSE)</f>
        <v>2509.1716796874912</v>
      </c>
      <c r="K2214">
        <f t="shared" si="136"/>
        <v>503.43</v>
      </c>
      <c r="L2214">
        <f t="shared" si="137"/>
        <v>503.44</v>
      </c>
      <c r="M2214">
        <f t="shared" si="138"/>
        <v>503.44</v>
      </c>
      <c r="N2214" s="5" t="str">
        <f t="shared" si="139"/>
        <v>November 2022</v>
      </c>
    </row>
    <row r="2215" spans="1:14" x14ac:dyDescent="0.25">
      <c r="A2215" s="1">
        <v>44882</v>
      </c>
      <c r="B2215" t="s">
        <v>4087</v>
      </c>
      <c r="C2215">
        <v>74</v>
      </c>
      <c r="D2215" t="s">
        <v>21</v>
      </c>
      <c r="E2215" t="s">
        <v>15</v>
      </c>
      <c r="F2215" t="s">
        <v>16</v>
      </c>
      <c r="G2215" t="s">
        <v>17</v>
      </c>
      <c r="H2215">
        <v>1275.22</v>
      </c>
      <c r="I2215" s="8" t="str" cm="1">
        <f t="array" ref="I2215">_xlfn.IFS(C2215&lt;=15,"Children and Young Adolescents", C2215&gt;64, "Seniors", TRUE, "Working Age")</f>
        <v>Seniors</v>
      </c>
      <c r="J2215" s="6">
        <f>VLOOKUP(F2215,Analysis!$F$1:$G$5,2,FALSE)</f>
        <v>2509.1716796874912</v>
      </c>
      <c r="K2215">
        <f t="shared" si="136"/>
        <v>1402.74</v>
      </c>
      <c r="L2215">
        <f t="shared" si="137"/>
        <v>1402.75</v>
      </c>
      <c r="M2215">
        <f t="shared" si="138"/>
        <v>1402.74</v>
      </c>
      <c r="N2215" s="5" t="str">
        <f t="shared" si="139"/>
        <v>November 2022</v>
      </c>
    </row>
    <row r="2216" spans="1:14" x14ac:dyDescent="0.25">
      <c r="A2216" s="1">
        <v>44882</v>
      </c>
      <c r="B2216" t="s">
        <v>648</v>
      </c>
      <c r="C2216">
        <v>53</v>
      </c>
      <c r="D2216" t="s">
        <v>9</v>
      </c>
      <c r="E2216" t="s">
        <v>19</v>
      </c>
      <c r="F2216" t="s">
        <v>16</v>
      </c>
      <c r="G2216" t="s">
        <v>17</v>
      </c>
      <c r="H2216">
        <v>3222.56</v>
      </c>
      <c r="I2216" s="8" t="str" cm="1">
        <f t="array" ref="I2216">_xlfn.IFS(C2216&lt;=15,"Children and Young Adolescents", C2216&gt;64, "Seniors", TRUE, "Working Age")</f>
        <v>Working Age</v>
      </c>
      <c r="J2216" s="6">
        <f>VLOOKUP(F2216,Analysis!$F$1:$G$5,2,FALSE)</f>
        <v>2509.1716796874912</v>
      </c>
      <c r="K2216">
        <f t="shared" si="136"/>
        <v>3544.81</v>
      </c>
      <c r="L2216">
        <f t="shared" si="137"/>
        <v>3544.82</v>
      </c>
      <c r="M2216">
        <f t="shared" si="138"/>
        <v>3544.82</v>
      </c>
      <c r="N2216" s="5" t="str">
        <f t="shared" si="139"/>
        <v>November 2022</v>
      </c>
    </row>
    <row r="2217" spans="1:14" x14ac:dyDescent="0.25">
      <c r="A2217" s="1">
        <v>44882</v>
      </c>
      <c r="B2217" t="s">
        <v>1182</v>
      </c>
      <c r="C2217">
        <v>48</v>
      </c>
      <c r="D2217" t="s">
        <v>21</v>
      </c>
      <c r="E2217" t="s">
        <v>19</v>
      </c>
      <c r="F2217" t="s">
        <v>29</v>
      </c>
      <c r="G2217" t="s">
        <v>27</v>
      </c>
      <c r="H2217">
        <v>3755.36</v>
      </c>
      <c r="I2217" s="8" t="str" cm="1">
        <f t="array" ref="I2217">_xlfn.IFS(C2217&lt;=15,"Children and Young Adolescents", C2217&gt;64, "Seniors", TRUE, "Working Age")</f>
        <v>Working Age</v>
      </c>
      <c r="J2217" s="6">
        <f>VLOOKUP(F2217,Analysis!$F$1:$G$5,2,FALSE)</f>
        <v>2496.7676064256989</v>
      </c>
      <c r="K2217">
        <f t="shared" si="136"/>
        <v>4130.8900000000003</v>
      </c>
      <c r="L2217">
        <f t="shared" si="137"/>
        <v>4130.9000000000005</v>
      </c>
      <c r="M2217">
        <f t="shared" si="138"/>
        <v>4130.8999999999996</v>
      </c>
      <c r="N2217" s="5" t="str">
        <f t="shared" si="139"/>
        <v>November 2022</v>
      </c>
    </row>
    <row r="2218" spans="1:14" x14ac:dyDescent="0.25">
      <c r="A2218" s="1">
        <v>44882</v>
      </c>
      <c r="B2218" t="s">
        <v>783</v>
      </c>
      <c r="C2218">
        <v>44</v>
      </c>
      <c r="D2218" t="s">
        <v>21</v>
      </c>
      <c r="E2218" t="s">
        <v>10</v>
      </c>
      <c r="F2218" t="s">
        <v>16</v>
      </c>
      <c r="G2218" t="s">
        <v>12</v>
      </c>
      <c r="H2218">
        <v>328.6</v>
      </c>
      <c r="I2218" s="8" t="str" cm="1">
        <f t="array" ref="I2218">_xlfn.IFS(C2218&lt;=15,"Children and Young Adolescents", C2218&gt;64, "Seniors", TRUE, "Working Age")</f>
        <v>Working Age</v>
      </c>
      <c r="J2218" s="6">
        <f>VLOOKUP(F2218,Analysis!$F$1:$G$5,2,FALSE)</f>
        <v>2509.1716796874912</v>
      </c>
      <c r="K2218">
        <f t="shared" si="136"/>
        <v>361.46</v>
      </c>
      <c r="L2218">
        <f t="shared" si="137"/>
        <v>361.46</v>
      </c>
      <c r="M2218">
        <f t="shared" si="138"/>
        <v>361.46</v>
      </c>
      <c r="N2218" s="5" t="str">
        <f t="shared" si="139"/>
        <v>November 2022</v>
      </c>
    </row>
    <row r="2219" spans="1:14" x14ac:dyDescent="0.25">
      <c r="A2219" s="1">
        <v>44882</v>
      </c>
      <c r="B2219" t="s">
        <v>894</v>
      </c>
      <c r="C2219">
        <v>70</v>
      </c>
      <c r="D2219" t="s">
        <v>21</v>
      </c>
      <c r="E2219" t="s">
        <v>34</v>
      </c>
      <c r="F2219" t="s">
        <v>29</v>
      </c>
      <c r="G2219" t="s">
        <v>17</v>
      </c>
      <c r="H2219">
        <v>637.78</v>
      </c>
      <c r="I2219" s="8" t="str" cm="1">
        <f t="array" ref="I2219">_xlfn.IFS(C2219&lt;=15,"Children and Young Adolescents", C2219&gt;64, "Seniors", TRUE, "Working Age")</f>
        <v>Seniors</v>
      </c>
      <c r="J2219" s="6">
        <f>VLOOKUP(F2219,Analysis!$F$1:$G$5,2,FALSE)</f>
        <v>2496.7676064256989</v>
      </c>
      <c r="K2219">
        <f t="shared" si="136"/>
        <v>701.55</v>
      </c>
      <c r="L2219">
        <f t="shared" si="137"/>
        <v>701.56</v>
      </c>
      <c r="M2219">
        <f t="shared" si="138"/>
        <v>701.56</v>
      </c>
      <c r="N2219" s="5" t="str">
        <f t="shared" si="139"/>
        <v>November 2022</v>
      </c>
    </row>
    <row r="2220" spans="1:14" x14ac:dyDescent="0.25">
      <c r="A2220" s="1">
        <v>44883</v>
      </c>
      <c r="B2220" t="s">
        <v>2727</v>
      </c>
      <c r="C2220">
        <v>65</v>
      </c>
      <c r="D2220" t="s">
        <v>14</v>
      </c>
      <c r="E2220" t="s">
        <v>25</v>
      </c>
      <c r="F2220" t="s">
        <v>29</v>
      </c>
      <c r="G2220" t="s">
        <v>36</v>
      </c>
      <c r="H2220">
        <v>3221.86</v>
      </c>
      <c r="I2220" s="8" t="str" cm="1">
        <f t="array" ref="I2220">_xlfn.IFS(C2220&lt;=15,"Children and Young Adolescents", C2220&gt;64, "Seniors", TRUE, "Working Age")</f>
        <v>Seniors</v>
      </c>
      <c r="J2220" s="6">
        <f>VLOOKUP(F2220,Analysis!$F$1:$G$5,2,FALSE)</f>
        <v>2496.7676064256989</v>
      </c>
      <c r="K2220">
        <f t="shared" si="136"/>
        <v>3544.04</v>
      </c>
      <c r="L2220">
        <f t="shared" si="137"/>
        <v>3544.05</v>
      </c>
      <c r="M2220">
        <f t="shared" si="138"/>
        <v>3544.05</v>
      </c>
      <c r="N2220" s="5" t="str">
        <f t="shared" si="139"/>
        <v>November 2022</v>
      </c>
    </row>
    <row r="2221" spans="1:14" x14ac:dyDescent="0.25">
      <c r="A2221" s="1">
        <v>44883</v>
      </c>
      <c r="B2221" t="s">
        <v>3108</v>
      </c>
      <c r="C2221">
        <v>47</v>
      </c>
      <c r="D2221" t="s">
        <v>21</v>
      </c>
      <c r="E2221" t="s">
        <v>34</v>
      </c>
      <c r="F2221" t="s">
        <v>11</v>
      </c>
      <c r="G2221" t="s">
        <v>36</v>
      </c>
      <c r="H2221">
        <v>3958.86</v>
      </c>
      <c r="I2221" s="8" t="str" cm="1">
        <f t="array" ref="I2221">_xlfn.IFS(C2221&lt;=15,"Children and Young Adolescents", C2221&gt;64, "Seniors", TRUE, "Working Age")</f>
        <v>Working Age</v>
      </c>
      <c r="J2221" s="6">
        <f>VLOOKUP(F2221,Analysis!$F$1:$G$5,2,FALSE)</f>
        <v>2503.6022787783854</v>
      </c>
      <c r="K2221">
        <f t="shared" si="136"/>
        <v>4354.74</v>
      </c>
      <c r="L2221">
        <f t="shared" si="137"/>
        <v>4354.75</v>
      </c>
      <c r="M2221">
        <f t="shared" si="138"/>
        <v>4354.75</v>
      </c>
      <c r="N2221" s="5" t="str">
        <f t="shared" si="139"/>
        <v>November 2022</v>
      </c>
    </row>
    <row r="2222" spans="1:14" x14ac:dyDescent="0.25">
      <c r="A2222" s="1">
        <v>44883</v>
      </c>
      <c r="B2222" t="s">
        <v>4843</v>
      </c>
      <c r="C2222">
        <v>62</v>
      </c>
      <c r="D2222" t="s">
        <v>14</v>
      </c>
      <c r="E2222" t="s">
        <v>22</v>
      </c>
      <c r="F2222" t="s">
        <v>11</v>
      </c>
      <c r="G2222" t="s">
        <v>27</v>
      </c>
      <c r="H2222">
        <v>1976.49</v>
      </c>
      <c r="I2222" s="8" t="str" cm="1">
        <f t="array" ref="I2222">_xlfn.IFS(C2222&lt;=15,"Children and Young Adolescents", C2222&gt;64, "Seniors", TRUE, "Working Age")</f>
        <v>Working Age</v>
      </c>
      <c r="J2222" s="6">
        <f>VLOOKUP(F2222,Analysis!$F$1:$G$5,2,FALSE)</f>
        <v>2503.6022787783854</v>
      </c>
      <c r="K2222">
        <f t="shared" si="136"/>
        <v>2174.13</v>
      </c>
      <c r="L2222">
        <f t="shared" si="137"/>
        <v>2174.1400000000003</v>
      </c>
      <c r="M2222">
        <f t="shared" si="138"/>
        <v>2174.14</v>
      </c>
      <c r="N2222" s="5" t="str">
        <f t="shared" si="139"/>
        <v>November 2022</v>
      </c>
    </row>
    <row r="2223" spans="1:14" x14ac:dyDescent="0.25">
      <c r="A2223" s="1">
        <v>44883</v>
      </c>
      <c r="B2223" t="s">
        <v>1030</v>
      </c>
      <c r="C2223">
        <v>84</v>
      </c>
      <c r="D2223" t="s">
        <v>9</v>
      </c>
      <c r="E2223" t="s">
        <v>10</v>
      </c>
      <c r="F2223" t="s">
        <v>23</v>
      </c>
      <c r="G2223" t="s">
        <v>36</v>
      </c>
      <c r="H2223">
        <v>2848.91</v>
      </c>
      <c r="I2223" s="8" t="str" cm="1">
        <f t="array" ref="I2223">_xlfn.IFS(C2223&lt;=15,"Children and Young Adolescents", C2223&gt;64, "Seniors", TRUE, "Working Age")</f>
        <v>Seniors</v>
      </c>
      <c r="J2223" s="6">
        <f>VLOOKUP(F2223,Analysis!$F$1:$G$5,2,FALSE)</f>
        <v>2440.2966694490838</v>
      </c>
      <c r="K2223">
        <f t="shared" si="136"/>
        <v>3133.8</v>
      </c>
      <c r="L2223">
        <f t="shared" si="137"/>
        <v>3133.8100000000004</v>
      </c>
      <c r="M2223">
        <f t="shared" si="138"/>
        <v>3133.8</v>
      </c>
      <c r="N2223" s="5" t="str">
        <f t="shared" si="139"/>
        <v>November 2022</v>
      </c>
    </row>
    <row r="2224" spans="1:14" x14ac:dyDescent="0.25">
      <c r="A2224" s="1">
        <v>44883</v>
      </c>
      <c r="B2224" t="s">
        <v>3381</v>
      </c>
      <c r="C2224">
        <v>95</v>
      </c>
      <c r="D2224" t="s">
        <v>21</v>
      </c>
      <c r="E2224" t="s">
        <v>34</v>
      </c>
      <c r="F2224" t="s">
        <v>16</v>
      </c>
      <c r="G2224" t="s">
        <v>39</v>
      </c>
      <c r="H2224">
        <v>1196.78</v>
      </c>
      <c r="I2224" s="8" t="str" cm="1">
        <f t="array" ref="I2224">_xlfn.IFS(C2224&lt;=15,"Children and Young Adolescents", C2224&gt;64, "Seniors", TRUE, "Working Age")</f>
        <v>Seniors</v>
      </c>
      <c r="J2224" s="6">
        <f>VLOOKUP(F2224,Analysis!$F$1:$G$5,2,FALSE)</f>
        <v>2509.1716796874912</v>
      </c>
      <c r="K2224">
        <f t="shared" si="136"/>
        <v>1316.45</v>
      </c>
      <c r="L2224">
        <f t="shared" si="137"/>
        <v>1316.46</v>
      </c>
      <c r="M2224">
        <f t="shared" si="138"/>
        <v>1316.46</v>
      </c>
      <c r="N2224" s="5" t="str">
        <f t="shared" si="139"/>
        <v>November 2022</v>
      </c>
    </row>
    <row r="2225" spans="1:14" x14ac:dyDescent="0.25">
      <c r="A2225" s="1">
        <v>44883</v>
      </c>
      <c r="B2225" t="s">
        <v>4491</v>
      </c>
      <c r="C2225">
        <v>36</v>
      </c>
      <c r="D2225" t="s">
        <v>21</v>
      </c>
      <c r="E2225" t="s">
        <v>32</v>
      </c>
      <c r="F2225" t="s">
        <v>11</v>
      </c>
      <c r="G2225" t="s">
        <v>5033</v>
      </c>
      <c r="H2225">
        <v>1993.4</v>
      </c>
      <c r="I2225" s="8" t="str" cm="1">
        <f t="array" ref="I2225">_xlfn.IFS(C2225&lt;=15,"Children and Young Adolescents", C2225&gt;64, "Seniors", TRUE, "Working Age")</f>
        <v>Working Age</v>
      </c>
      <c r="J2225" s="6">
        <f>VLOOKUP(F2225,Analysis!$F$1:$G$5,2,FALSE)</f>
        <v>2503.6022787783854</v>
      </c>
      <c r="K2225">
        <f t="shared" si="136"/>
        <v>2192.7399999999998</v>
      </c>
      <c r="L2225">
        <f t="shared" si="137"/>
        <v>2192.7399999999998</v>
      </c>
      <c r="M2225">
        <f t="shared" si="138"/>
        <v>2192.7399999999998</v>
      </c>
      <c r="N2225" s="5" t="str">
        <f t="shared" si="139"/>
        <v>November 2022</v>
      </c>
    </row>
    <row r="2226" spans="1:14" x14ac:dyDescent="0.25">
      <c r="A2226" s="1">
        <v>44883</v>
      </c>
      <c r="B2226" t="s">
        <v>3472</v>
      </c>
      <c r="C2226">
        <v>51</v>
      </c>
      <c r="D2226" t="s">
        <v>14</v>
      </c>
      <c r="E2226" t="s">
        <v>32</v>
      </c>
      <c r="F2226" t="s">
        <v>23</v>
      </c>
      <c r="G2226" t="s">
        <v>27</v>
      </c>
      <c r="H2226">
        <v>1648.66</v>
      </c>
      <c r="I2226" s="8" t="str" cm="1">
        <f t="array" ref="I2226">_xlfn.IFS(C2226&lt;=15,"Children and Young Adolescents", C2226&gt;64, "Seniors", TRUE, "Working Age")</f>
        <v>Working Age</v>
      </c>
      <c r="J2226" s="6">
        <f>VLOOKUP(F2226,Analysis!$F$1:$G$5,2,FALSE)</f>
        <v>2440.2966694490838</v>
      </c>
      <c r="K2226">
        <f t="shared" si="136"/>
        <v>1813.52</v>
      </c>
      <c r="L2226">
        <f t="shared" si="137"/>
        <v>1813.53</v>
      </c>
      <c r="M2226">
        <f t="shared" si="138"/>
        <v>1813.53</v>
      </c>
      <c r="N2226" s="5" t="str">
        <f t="shared" si="139"/>
        <v>November 2022</v>
      </c>
    </row>
    <row r="2227" spans="1:14" x14ac:dyDescent="0.25">
      <c r="A2227" s="1">
        <v>44884</v>
      </c>
      <c r="B2227" t="s">
        <v>1975</v>
      </c>
      <c r="C2227">
        <v>10</v>
      </c>
      <c r="D2227" t="s">
        <v>14</v>
      </c>
      <c r="E2227" t="s">
        <v>15</v>
      </c>
      <c r="F2227" t="s">
        <v>23</v>
      </c>
      <c r="G2227" t="s">
        <v>5033</v>
      </c>
      <c r="H2227">
        <v>2372.88</v>
      </c>
      <c r="I2227" s="8" t="str" cm="1">
        <f t="array" ref="I2227">_xlfn.IFS(C2227&lt;=15,"Children and Young Adolescents", C2227&gt;64, "Seniors", TRUE, "Working Age")</f>
        <v>Children and Young Adolescents</v>
      </c>
      <c r="J2227" s="6">
        <f>VLOOKUP(F2227,Analysis!$F$1:$G$5,2,FALSE)</f>
        <v>2440.2966694490838</v>
      </c>
      <c r="K2227">
        <f t="shared" si="136"/>
        <v>2610.16</v>
      </c>
      <c r="L2227">
        <f t="shared" si="137"/>
        <v>2610.17</v>
      </c>
      <c r="M2227">
        <f t="shared" si="138"/>
        <v>2610.17</v>
      </c>
      <c r="N2227" s="5" t="str">
        <f t="shared" si="139"/>
        <v>November 2022</v>
      </c>
    </row>
    <row r="2228" spans="1:14" x14ac:dyDescent="0.25">
      <c r="A2228" s="1">
        <v>44884</v>
      </c>
      <c r="B2228" t="s">
        <v>795</v>
      </c>
      <c r="C2228">
        <v>75</v>
      </c>
      <c r="D2228" t="s">
        <v>14</v>
      </c>
      <c r="E2228" t="s">
        <v>22</v>
      </c>
      <c r="F2228" t="s">
        <v>29</v>
      </c>
      <c r="G2228" t="s">
        <v>39</v>
      </c>
      <c r="H2228">
        <v>837.79</v>
      </c>
      <c r="I2228" s="8" t="str" cm="1">
        <f t="array" ref="I2228">_xlfn.IFS(C2228&lt;=15,"Children and Young Adolescents", C2228&gt;64, "Seniors", TRUE, "Working Age")</f>
        <v>Seniors</v>
      </c>
      <c r="J2228" s="6">
        <f>VLOOKUP(F2228,Analysis!$F$1:$G$5,2,FALSE)</f>
        <v>2496.7676064256989</v>
      </c>
      <c r="K2228">
        <f t="shared" si="136"/>
        <v>921.56</v>
      </c>
      <c r="L2228">
        <f t="shared" si="137"/>
        <v>921.56999999999994</v>
      </c>
      <c r="M2228">
        <f t="shared" si="138"/>
        <v>921.57</v>
      </c>
      <c r="N2228" s="5" t="str">
        <f t="shared" si="139"/>
        <v>November 2022</v>
      </c>
    </row>
    <row r="2229" spans="1:14" x14ac:dyDescent="0.25">
      <c r="A2229" s="1">
        <v>44884</v>
      </c>
      <c r="B2229" t="s">
        <v>4518</v>
      </c>
      <c r="C2229">
        <v>59</v>
      </c>
      <c r="D2229" t="s">
        <v>9</v>
      </c>
      <c r="E2229" t="s">
        <v>22</v>
      </c>
      <c r="F2229" t="s">
        <v>11</v>
      </c>
      <c r="G2229" t="s">
        <v>17</v>
      </c>
      <c r="H2229">
        <v>186.31</v>
      </c>
      <c r="I2229" s="8" t="str" cm="1">
        <f t="array" ref="I2229">_xlfn.IFS(C2229&lt;=15,"Children and Young Adolescents", C2229&gt;64, "Seniors", TRUE, "Working Age")</f>
        <v>Working Age</v>
      </c>
      <c r="J2229" s="6">
        <f>VLOOKUP(F2229,Analysis!$F$1:$G$5,2,FALSE)</f>
        <v>2503.6022787783854</v>
      </c>
      <c r="K2229">
        <f t="shared" si="136"/>
        <v>204.94</v>
      </c>
      <c r="L2229">
        <f t="shared" si="137"/>
        <v>204.95</v>
      </c>
      <c r="M2229">
        <f t="shared" si="138"/>
        <v>204.94</v>
      </c>
      <c r="N2229" s="5" t="str">
        <f t="shared" si="139"/>
        <v>November 2022</v>
      </c>
    </row>
    <row r="2230" spans="1:14" x14ac:dyDescent="0.25">
      <c r="A2230" s="1">
        <v>44884</v>
      </c>
      <c r="B2230" t="s">
        <v>1294</v>
      </c>
      <c r="C2230">
        <v>92</v>
      </c>
      <c r="D2230" t="s">
        <v>9</v>
      </c>
      <c r="E2230" t="s">
        <v>19</v>
      </c>
      <c r="F2230" t="s">
        <v>29</v>
      </c>
      <c r="G2230" t="s">
        <v>12</v>
      </c>
      <c r="H2230">
        <v>1920.86</v>
      </c>
      <c r="I2230" s="8" t="str" cm="1">
        <f t="array" ref="I2230">_xlfn.IFS(C2230&lt;=15,"Children and Young Adolescents", C2230&gt;64, "Seniors", TRUE, "Working Age")</f>
        <v>Seniors</v>
      </c>
      <c r="J2230" s="6">
        <f>VLOOKUP(F2230,Analysis!$F$1:$G$5,2,FALSE)</f>
        <v>2496.7676064256989</v>
      </c>
      <c r="K2230">
        <f t="shared" si="136"/>
        <v>2112.94</v>
      </c>
      <c r="L2230">
        <f t="shared" si="137"/>
        <v>2112.9500000000003</v>
      </c>
      <c r="M2230">
        <f t="shared" si="138"/>
        <v>2112.9499999999998</v>
      </c>
      <c r="N2230" s="5" t="str">
        <f t="shared" si="139"/>
        <v>November 2022</v>
      </c>
    </row>
    <row r="2231" spans="1:14" x14ac:dyDescent="0.25">
      <c r="A2231" s="1">
        <v>44884</v>
      </c>
      <c r="B2231" t="s">
        <v>2773</v>
      </c>
      <c r="C2231">
        <v>99</v>
      </c>
      <c r="D2231" t="s">
        <v>21</v>
      </c>
      <c r="E2231" t="s">
        <v>5032</v>
      </c>
      <c r="F2231" t="s">
        <v>23</v>
      </c>
      <c r="G2231" t="s">
        <v>27</v>
      </c>
      <c r="H2231">
        <v>1129.96</v>
      </c>
      <c r="I2231" s="8" t="str" cm="1">
        <f t="array" ref="I2231">_xlfn.IFS(C2231&lt;=15,"Children and Young Adolescents", C2231&gt;64, "Seniors", TRUE, "Working Age")</f>
        <v>Seniors</v>
      </c>
      <c r="J2231" s="6">
        <f>VLOOKUP(F2231,Analysis!$F$1:$G$5,2,FALSE)</f>
        <v>2440.2966694490838</v>
      </c>
      <c r="K2231">
        <f t="shared" si="136"/>
        <v>1242.95</v>
      </c>
      <c r="L2231">
        <f t="shared" si="137"/>
        <v>1242.96</v>
      </c>
      <c r="M2231">
        <f t="shared" si="138"/>
        <v>1242.96</v>
      </c>
      <c r="N2231" s="5" t="str">
        <f t="shared" si="139"/>
        <v>November 2022</v>
      </c>
    </row>
    <row r="2232" spans="1:14" x14ac:dyDescent="0.25">
      <c r="A2232" s="1">
        <v>44884</v>
      </c>
      <c r="B2232" t="s">
        <v>364</v>
      </c>
      <c r="C2232">
        <v>8</v>
      </c>
      <c r="D2232" t="s">
        <v>14</v>
      </c>
      <c r="E2232" t="s">
        <v>5032</v>
      </c>
      <c r="F2232" t="s">
        <v>29</v>
      </c>
      <c r="G2232" t="s">
        <v>17</v>
      </c>
      <c r="H2232">
        <v>3920.5</v>
      </c>
      <c r="I2232" s="8" t="str" cm="1">
        <f t="array" ref="I2232">_xlfn.IFS(C2232&lt;=15,"Children and Young Adolescents", C2232&gt;64, "Seniors", TRUE, "Working Age")</f>
        <v>Children and Young Adolescents</v>
      </c>
      <c r="J2232" s="6">
        <f>VLOOKUP(F2232,Analysis!$F$1:$G$5,2,FALSE)</f>
        <v>2496.7676064256989</v>
      </c>
      <c r="K2232">
        <f t="shared" si="136"/>
        <v>4312.55</v>
      </c>
      <c r="L2232">
        <f t="shared" si="137"/>
        <v>4312.55</v>
      </c>
      <c r="M2232">
        <f t="shared" si="138"/>
        <v>4312.55</v>
      </c>
      <c r="N2232" s="5" t="str">
        <f t="shared" si="139"/>
        <v>November 2022</v>
      </c>
    </row>
    <row r="2233" spans="1:14" x14ac:dyDescent="0.25">
      <c r="A2233" s="1">
        <v>44884</v>
      </c>
      <c r="B2233" t="s">
        <v>4057</v>
      </c>
      <c r="C2233">
        <v>2</v>
      </c>
      <c r="D2233" t="s">
        <v>21</v>
      </c>
      <c r="E2233" t="s">
        <v>25</v>
      </c>
      <c r="F2233" t="s">
        <v>16</v>
      </c>
      <c r="G2233" t="s">
        <v>12</v>
      </c>
      <c r="H2233">
        <v>4420.4799999999996</v>
      </c>
      <c r="I2233" s="8" t="str" cm="1">
        <f t="array" ref="I2233">_xlfn.IFS(C2233&lt;=15,"Children and Young Adolescents", C2233&gt;64, "Seniors", TRUE, "Working Age")</f>
        <v>Children and Young Adolescents</v>
      </c>
      <c r="J2233" s="6">
        <f>VLOOKUP(F2233,Analysis!$F$1:$G$5,2,FALSE)</f>
        <v>2509.1716796874912</v>
      </c>
      <c r="K2233">
        <f t="shared" si="136"/>
        <v>4862.5200000000004</v>
      </c>
      <c r="L2233">
        <f t="shared" si="137"/>
        <v>4862.5300000000007</v>
      </c>
      <c r="M2233">
        <f t="shared" si="138"/>
        <v>4862.53</v>
      </c>
      <c r="N2233" s="5" t="str">
        <f t="shared" si="139"/>
        <v>November 2022</v>
      </c>
    </row>
    <row r="2234" spans="1:14" x14ac:dyDescent="0.25">
      <c r="A2234" s="1">
        <v>44884</v>
      </c>
      <c r="B2234" t="s">
        <v>162</v>
      </c>
      <c r="C2234">
        <v>53</v>
      </c>
      <c r="D2234" t="s">
        <v>14</v>
      </c>
      <c r="E2234" t="s">
        <v>19</v>
      </c>
      <c r="F2234" t="s">
        <v>16</v>
      </c>
      <c r="G2234" t="s">
        <v>39</v>
      </c>
      <c r="H2234">
        <v>4839.68</v>
      </c>
      <c r="I2234" s="8" t="str" cm="1">
        <f t="array" ref="I2234">_xlfn.IFS(C2234&lt;=15,"Children and Young Adolescents", C2234&gt;64, "Seniors", TRUE, "Working Age")</f>
        <v>Working Age</v>
      </c>
      <c r="J2234" s="6">
        <f>VLOOKUP(F2234,Analysis!$F$1:$G$5,2,FALSE)</f>
        <v>2509.1716796874912</v>
      </c>
      <c r="K2234">
        <f t="shared" si="136"/>
        <v>5323.64</v>
      </c>
      <c r="L2234">
        <f t="shared" si="137"/>
        <v>5323.6500000000005</v>
      </c>
      <c r="M2234">
        <f t="shared" si="138"/>
        <v>5323.65</v>
      </c>
      <c r="N2234" s="5" t="str">
        <f t="shared" si="139"/>
        <v>November 2022</v>
      </c>
    </row>
    <row r="2235" spans="1:14" x14ac:dyDescent="0.25">
      <c r="A2235" s="1">
        <v>44884</v>
      </c>
      <c r="B2235" t="s">
        <v>4413</v>
      </c>
      <c r="C2235">
        <v>68</v>
      </c>
      <c r="D2235" t="s">
        <v>9</v>
      </c>
      <c r="E2235" t="s">
        <v>32</v>
      </c>
      <c r="F2235" t="s">
        <v>23</v>
      </c>
      <c r="G2235" t="s">
        <v>12</v>
      </c>
      <c r="H2235">
        <v>2459.79</v>
      </c>
      <c r="I2235" s="8" t="str" cm="1">
        <f t="array" ref="I2235">_xlfn.IFS(C2235&lt;=15,"Children and Young Adolescents", C2235&gt;64, "Seniors", TRUE, "Working Age")</f>
        <v>Seniors</v>
      </c>
      <c r="J2235" s="6">
        <f>VLOOKUP(F2235,Analysis!$F$1:$G$5,2,FALSE)</f>
        <v>2440.2966694490838</v>
      </c>
      <c r="K2235">
        <f t="shared" si="136"/>
        <v>2705.76</v>
      </c>
      <c r="L2235">
        <f t="shared" si="137"/>
        <v>2705.7700000000004</v>
      </c>
      <c r="M2235">
        <f t="shared" si="138"/>
        <v>2705.77</v>
      </c>
      <c r="N2235" s="5" t="str">
        <f t="shared" si="139"/>
        <v>November 2022</v>
      </c>
    </row>
    <row r="2236" spans="1:14" x14ac:dyDescent="0.25">
      <c r="A2236" s="1">
        <v>44885</v>
      </c>
      <c r="B2236" t="s">
        <v>1705</v>
      </c>
      <c r="C2236">
        <v>86</v>
      </c>
      <c r="D2236" t="s">
        <v>14</v>
      </c>
      <c r="E2236" t="s">
        <v>34</v>
      </c>
      <c r="F2236" t="s">
        <v>16</v>
      </c>
      <c r="G2236" t="s">
        <v>17</v>
      </c>
      <c r="H2236">
        <v>4569.58</v>
      </c>
      <c r="I2236" s="8" t="str" cm="1">
        <f t="array" ref="I2236">_xlfn.IFS(C2236&lt;=15,"Children and Young Adolescents", C2236&gt;64, "Seniors", TRUE, "Working Age")</f>
        <v>Seniors</v>
      </c>
      <c r="J2236" s="6">
        <f>VLOOKUP(F2236,Analysis!$F$1:$G$5,2,FALSE)</f>
        <v>2509.1716796874912</v>
      </c>
      <c r="K2236">
        <f t="shared" si="136"/>
        <v>5026.53</v>
      </c>
      <c r="L2236">
        <f t="shared" si="137"/>
        <v>5026.54</v>
      </c>
      <c r="M2236">
        <f t="shared" si="138"/>
        <v>5026.54</v>
      </c>
      <c r="N2236" s="5" t="str">
        <f t="shared" si="139"/>
        <v>November 2022</v>
      </c>
    </row>
    <row r="2237" spans="1:14" x14ac:dyDescent="0.25">
      <c r="A2237" s="1">
        <v>44885</v>
      </c>
      <c r="B2237" t="s">
        <v>1562</v>
      </c>
      <c r="C2237">
        <v>17</v>
      </c>
      <c r="D2237" t="s">
        <v>21</v>
      </c>
      <c r="E2237" t="s">
        <v>19</v>
      </c>
      <c r="F2237" t="s">
        <v>23</v>
      </c>
      <c r="G2237" t="s">
        <v>36</v>
      </c>
      <c r="H2237">
        <v>4187.63</v>
      </c>
      <c r="I2237" s="8" t="str" cm="1">
        <f t="array" ref="I2237">_xlfn.IFS(C2237&lt;=15,"Children and Young Adolescents", C2237&gt;64, "Seniors", TRUE, "Working Age")</f>
        <v>Working Age</v>
      </c>
      <c r="J2237" s="6">
        <f>VLOOKUP(F2237,Analysis!$F$1:$G$5,2,FALSE)</f>
        <v>2440.2966694490838</v>
      </c>
      <c r="K2237">
        <f t="shared" si="136"/>
        <v>4606.3900000000003</v>
      </c>
      <c r="L2237">
        <f t="shared" si="137"/>
        <v>4606.4000000000005</v>
      </c>
      <c r="M2237">
        <f t="shared" si="138"/>
        <v>4606.3900000000003</v>
      </c>
      <c r="N2237" s="5" t="str">
        <f t="shared" si="139"/>
        <v>November 2022</v>
      </c>
    </row>
    <row r="2238" spans="1:14" x14ac:dyDescent="0.25">
      <c r="A2238" s="1">
        <v>44885</v>
      </c>
      <c r="B2238" t="s">
        <v>268</v>
      </c>
      <c r="C2238">
        <v>75</v>
      </c>
      <c r="D2238" t="s">
        <v>21</v>
      </c>
      <c r="E2238" t="s">
        <v>10</v>
      </c>
      <c r="F2238" t="s">
        <v>16</v>
      </c>
      <c r="G2238" t="s">
        <v>36</v>
      </c>
      <c r="H2238">
        <v>4931.1899999999996</v>
      </c>
      <c r="I2238" s="8" t="str" cm="1">
        <f t="array" ref="I2238">_xlfn.IFS(C2238&lt;=15,"Children and Young Adolescents", C2238&gt;64, "Seniors", TRUE, "Working Age")</f>
        <v>Seniors</v>
      </c>
      <c r="J2238" s="6">
        <f>VLOOKUP(F2238,Analysis!$F$1:$G$5,2,FALSE)</f>
        <v>2509.1716796874912</v>
      </c>
      <c r="K2238">
        <f t="shared" si="136"/>
        <v>5424.3</v>
      </c>
      <c r="L2238">
        <f t="shared" si="137"/>
        <v>5424.31</v>
      </c>
      <c r="M2238">
        <f t="shared" si="138"/>
        <v>5424.31</v>
      </c>
      <c r="N2238" s="5" t="str">
        <f t="shared" si="139"/>
        <v>November 2022</v>
      </c>
    </row>
    <row r="2239" spans="1:14" x14ac:dyDescent="0.25">
      <c r="A2239" s="1">
        <v>44885</v>
      </c>
      <c r="B2239" t="s">
        <v>4596</v>
      </c>
      <c r="C2239">
        <v>23</v>
      </c>
      <c r="D2239" t="s">
        <v>21</v>
      </c>
      <c r="E2239" t="s">
        <v>19</v>
      </c>
      <c r="F2239" t="s">
        <v>16</v>
      </c>
      <c r="G2239" t="s">
        <v>36</v>
      </c>
      <c r="H2239">
        <v>2067.61</v>
      </c>
      <c r="I2239" s="8" t="str" cm="1">
        <f t="array" ref="I2239">_xlfn.IFS(C2239&lt;=15,"Children and Young Adolescents", C2239&gt;64, "Seniors", TRUE, "Working Age")</f>
        <v>Working Age</v>
      </c>
      <c r="J2239" s="6">
        <f>VLOOKUP(F2239,Analysis!$F$1:$G$5,2,FALSE)</f>
        <v>2509.1716796874912</v>
      </c>
      <c r="K2239">
        <f t="shared" si="136"/>
        <v>2274.37</v>
      </c>
      <c r="L2239">
        <f t="shared" si="137"/>
        <v>2274.38</v>
      </c>
      <c r="M2239">
        <f t="shared" si="138"/>
        <v>2274.37</v>
      </c>
      <c r="N2239" s="5" t="str">
        <f t="shared" si="139"/>
        <v>November 2022</v>
      </c>
    </row>
    <row r="2240" spans="1:14" x14ac:dyDescent="0.25">
      <c r="A2240" s="1">
        <v>44885</v>
      </c>
      <c r="B2240" t="s">
        <v>384</v>
      </c>
      <c r="C2240">
        <v>3</v>
      </c>
      <c r="D2240" t="s">
        <v>14</v>
      </c>
      <c r="E2240" t="s">
        <v>32</v>
      </c>
      <c r="F2240" t="s">
        <v>29</v>
      </c>
      <c r="G2240" t="s">
        <v>12</v>
      </c>
      <c r="H2240">
        <v>2106.56</v>
      </c>
      <c r="I2240" s="8" t="str" cm="1">
        <f t="array" ref="I2240">_xlfn.IFS(C2240&lt;=15,"Children and Young Adolescents", C2240&gt;64, "Seniors", TRUE, "Working Age")</f>
        <v>Children and Young Adolescents</v>
      </c>
      <c r="J2240" s="6">
        <f>VLOOKUP(F2240,Analysis!$F$1:$G$5,2,FALSE)</f>
        <v>2496.7676064256989</v>
      </c>
      <c r="K2240">
        <f t="shared" si="136"/>
        <v>2317.21</v>
      </c>
      <c r="L2240">
        <f t="shared" si="137"/>
        <v>2317.2200000000003</v>
      </c>
      <c r="M2240">
        <f t="shared" si="138"/>
        <v>2317.2199999999998</v>
      </c>
      <c r="N2240" s="5" t="str">
        <f t="shared" si="139"/>
        <v>November 2022</v>
      </c>
    </row>
    <row r="2241" spans="1:14" x14ac:dyDescent="0.25">
      <c r="A2241" s="1">
        <v>44885</v>
      </c>
      <c r="B2241" t="s">
        <v>1425</v>
      </c>
      <c r="C2241">
        <v>63</v>
      </c>
      <c r="D2241" t="s">
        <v>14</v>
      </c>
      <c r="E2241" t="s">
        <v>34</v>
      </c>
      <c r="F2241" t="s">
        <v>16</v>
      </c>
      <c r="G2241" t="s">
        <v>12</v>
      </c>
      <c r="H2241">
        <v>538.54999999999995</v>
      </c>
      <c r="I2241" s="8" t="str" cm="1">
        <f t="array" ref="I2241">_xlfn.IFS(C2241&lt;=15,"Children and Young Adolescents", C2241&gt;64, "Seniors", TRUE, "Working Age")</f>
        <v>Working Age</v>
      </c>
      <c r="J2241" s="6">
        <f>VLOOKUP(F2241,Analysis!$F$1:$G$5,2,FALSE)</f>
        <v>2509.1716796874912</v>
      </c>
      <c r="K2241">
        <f t="shared" si="136"/>
        <v>592.4</v>
      </c>
      <c r="L2241">
        <f t="shared" si="137"/>
        <v>592.41</v>
      </c>
      <c r="M2241">
        <f t="shared" si="138"/>
        <v>592.41</v>
      </c>
      <c r="N2241" s="5" t="str">
        <f t="shared" si="139"/>
        <v>November 2022</v>
      </c>
    </row>
    <row r="2242" spans="1:14" x14ac:dyDescent="0.25">
      <c r="A2242" s="1">
        <v>44885</v>
      </c>
      <c r="B2242" t="s">
        <v>955</v>
      </c>
      <c r="C2242">
        <v>76</v>
      </c>
      <c r="D2242" t="s">
        <v>21</v>
      </c>
      <c r="E2242" t="s">
        <v>956</v>
      </c>
      <c r="F2242" t="s">
        <v>29</v>
      </c>
      <c r="G2242" t="s">
        <v>12</v>
      </c>
      <c r="H2242">
        <v>645.14</v>
      </c>
      <c r="I2242" s="8" t="str" cm="1">
        <f t="array" ref="I2242">_xlfn.IFS(C2242&lt;=15,"Children and Young Adolescents", C2242&gt;64, "Seniors", TRUE, "Working Age")</f>
        <v>Seniors</v>
      </c>
      <c r="J2242" s="6">
        <f>VLOOKUP(F2242,Analysis!$F$1:$G$5,2,FALSE)</f>
        <v>2496.7676064256989</v>
      </c>
      <c r="K2242">
        <f t="shared" si="136"/>
        <v>709.65</v>
      </c>
      <c r="L2242">
        <f t="shared" si="137"/>
        <v>709.66</v>
      </c>
      <c r="M2242">
        <f t="shared" si="138"/>
        <v>709.65</v>
      </c>
      <c r="N2242" s="5" t="str">
        <f t="shared" si="139"/>
        <v>November 2022</v>
      </c>
    </row>
    <row r="2243" spans="1:14" x14ac:dyDescent="0.25">
      <c r="A2243" s="1">
        <v>44886</v>
      </c>
      <c r="B2243" t="s">
        <v>2417</v>
      </c>
      <c r="C2243">
        <v>34</v>
      </c>
      <c r="D2243" t="s">
        <v>9</v>
      </c>
      <c r="E2243" t="s">
        <v>32</v>
      </c>
      <c r="F2243" t="s">
        <v>23</v>
      </c>
      <c r="G2243" t="s">
        <v>39</v>
      </c>
      <c r="H2243">
        <v>3511.43</v>
      </c>
      <c r="I2243" s="8" t="str" cm="1">
        <f t="array" ref="I2243">_xlfn.IFS(C2243&lt;=15,"Children and Young Adolescents", C2243&gt;64, "Seniors", TRUE, "Working Age")</f>
        <v>Working Age</v>
      </c>
      <c r="J2243" s="6">
        <f>VLOOKUP(F2243,Analysis!$F$1:$G$5,2,FALSE)</f>
        <v>2440.2966694490838</v>
      </c>
      <c r="K2243">
        <f t="shared" ref="K2243:K2306" si="140">ROUNDDOWN(H2243*1.1,2)</f>
        <v>3862.57</v>
      </c>
      <c r="L2243">
        <f t="shared" ref="L2243:L2306" si="141">ROUNDUP(H2243*1.1,2)</f>
        <v>3862.5800000000004</v>
      </c>
      <c r="M2243">
        <f t="shared" ref="M2243:M2306" si="142">ROUND(H2243*1.1,2)</f>
        <v>3862.57</v>
      </c>
      <c r="N2243" s="5" t="str">
        <f t="shared" ref="N2243:N2306" si="143">TEXT(A2243,"mmmm yyyy")</f>
        <v>November 2022</v>
      </c>
    </row>
    <row r="2244" spans="1:14" x14ac:dyDescent="0.25">
      <c r="A2244" s="1">
        <v>44886</v>
      </c>
      <c r="B2244" t="s">
        <v>3619</v>
      </c>
      <c r="C2244">
        <v>42</v>
      </c>
      <c r="D2244" t="s">
        <v>9</v>
      </c>
      <c r="E2244" t="s">
        <v>25</v>
      </c>
      <c r="F2244" t="s">
        <v>16</v>
      </c>
      <c r="G2244" t="s">
        <v>39</v>
      </c>
      <c r="H2244">
        <v>1150.8599999999999</v>
      </c>
      <c r="I2244" s="8" t="str" cm="1">
        <f t="array" ref="I2244">_xlfn.IFS(C2244&lt;=15,"Children and Young Adolescents", C2244&gt;64, "Seniors", TRUE, "Working Age")</f>
        <v>Working Age</v>
      </c>
      <c r="J2244" s="6">
        <f>VLOOKUP(F2244,Analysis!$F$1:$G$5,2,FALSE)</f>
        <v>2509.1716796874912</v>
      </c>
      <c r="K2244">
        <f t="shared" si="140"/>
        <v>1265.94</v>
      </c>
      <c r="L2244">
        <f t="shared" si="141"/>
        <v>1265.95</v>
      </c>
      <c r="M2244">
        <f t="shared" si="142"/>
        <v>1265.95</v>
      </c>
      <c r="N2244" s="5" t="str">
        <f t="shared" si="143"/>
        <v>November 2022</v>
      </c>
    </row>
    <row r="2245" spans="1:14" x14ac:dyDescent="0.25">
      <c r="A2245" s="1">
        <v>44886</v>
      </c>
      <c r="B2245" t="s">
        <v>1690</v>
      </c>
      <c r="C2245">
        <v>24</v>
      </c>
      <c r="D2245" t="s">
        <v>21</v>
      </c>
      <c r="E2245" t="s">
        <v>19</v>
      </c>
      <c r="F2245" t="s">
        <v>11</v>
      </c>
      <c r="G2245" t="s">
        <v>36</v>
      </c>
      <c r="H2245">
        <v>2635.99</v>
      </c>
      <c r="I2245" s="8" t="str" cm="1">
        <f t="array" ref="I2245">_xlfn.IFS(C2245&lt;=15,"Children and Young Adolescents", C2245&gt;64, "Seniors", TRUE, "Working Age")</f>
        <v>Working Age</v>
      </c>
      <c r="J2245" s="6">
        <f>VLOOKUP(F2245,Analysis!$F$1:$G$5,2,FALSE)</f>
        <v>2503.6022787783854</v>
      </c>
      <c r="K2245">
        <f t="shared" si="140"/>
        <v>2899.58</v>
      </c>
      <c r="L2245">
        <f t="shared" si="141"/>
        <v>2899.59</v>
      </c>
      <c r="M2245">
        <f t="shared" si="142"/>
        <v>2899.59</v>
      </c>
      <c r="N2245" s="5" t="str">
        <f t="shared" si="143"/>
        <v>November 2022</v>
      </c>
    </row>
    <row r="2246" spans="1:14" x14ac:dyDescent="0.25">
      <c r="A2246" s="1">
        <v>44886</v>
      </c>
      <c r="B2246" t="s">
        <v>4200</v>
      </c>
      <c r="C2246">
        <v>44</v>
      </c>
      <c r="D2246" t="s">
        <v>14</v>
      </c>
      <c r="E2246" t="s">
        <v>15</v>
      </c>
      <c r="F2246" t="s">
        <v>11</v>
      </c>
      <c r="G2246" t="s">
        <v>39</v>
      </c>
      <c r="H2246">
        <v>3825.66</v>
      </c>
      <c r="I2246" s="8" t="str" cm="1">
        <f t="array" ref="I2246">_xlfn.IFS(C2246&lt;=15,"Children and Young Adolescents", C2246&gt;64, "Seniors", TRUE, "Working Age")</f>
        <v>Working Age</v>
      </c>
      <c r="J2246" s="6">
        <f>VLOOKUP(F2246,Analysis!$F$1:$G$5,2,FALSE)</f>
        <v>2503.6022787783854</v>
      </c>
      <c r="K2246">
        <f t="shared" si="140"/>
        <v>4208.22</v>
      </c>
      <c r="L2246">
        <f t="shared" si="141"/>
        <v>4208.2300000000005</v>
      </c>
      <c r="M2246">
        <f t="shared" si="142"/>
        <v>4208.2299999999996</v>
      </c>
      <c r="N2246" s="5" t="str">
        <f t="shared" si="143"/>
        <v>November 2022</v>
      </c>
    </row>
    <row r="2247" spans="1:14" x14ac:dyDescent="0.25">
      <c r="A2247" s="1">
        <v>44886</v>
      </c>
      <c r="B2247" t="s">
        <v>3075</v>
      </c>
      <c r="C2247">
        <v>75</v>
      </c>
      <c r="D2247" t="s">
        <v>9</v>
      </c>
      <c r="E2247" t="s">
        <v>10</v>
      </c>
      <c r="F2247" t="s">
        <v>23</v>
      </c>
      <c r="G2247" t="s">
        <v>27</v>
      </c>
      <c r="H2247">
        <v>1855.85</v>
      </c>
      <c r="I2247" s="8" t="str" cm="1">
        <f t="array" ref="I2247">_xlfn.IFS(C2247&lt;=15,"Children and Young Adolescents", C2247&gt;64, "Seniors", TRUE, "Working Age")</f>
        <v>Seniors</v>
      </c>
      <c r="J2247" s="6">
        <f>VLOOKUP(F2247,Analysis!$F$1:$G$5,2,FALSE)</f>
        <v>2440.2966694490838</v>
      </c>
      <c r="K2247">
        <f t="shared" si="140"/>
        <v>2041.43</v>
      </c>
      <c r="L2247">
        <f t="shared" si="141"/>
        <v>2041.44</v>
      </c>
      <c r="M2247">
        <f t="shared" si="142"/>
        <v>2041.44</v>
      </c>
      <c r="N2247" s="5" t="str">
        <f t="shared" si="143"/>
        <v>November 2022</v>
      </c>
    </row>
    <row r="2248" spans="1:14" x14ac:dyDescent="0.25">
      <c r="A2248" s="1">
        <v>44886</v>
      </c>
      <c r="B2248" t="s">
        <v>3147</v>
      </c>
      <c r="C2248">
        <v>19</v>
      </c>
      <c r="D2248" t="s">
        <v>21</v>
      </c>
      <c r="E2248" t="s">
        <v>10</v>
      </c>
      <c r="F2248" t="s">
        <v>29</v>
      </c>
      <c r="G2248" t="s">
        <v>36</v>
      </c>
      <c r="H2248">
        <v>54.19</v>
      </c>
      <c r="I2248" s="8" t="str" cm="1">
        <f t="array" ref="I2248">_xlfn.IFS(C2248&lt;=15,"Children and Young Adolescents", C2248&gt;64, "Seniors", TRUE, "Working Age")</f>
        <v>Working Age</v>
      </c>
      <c r="J2248" s="6">
        <f>VLOOKUP(F2248,Analysis!$F$1:$G$5,2,FALSE)</f>
        <v>2496.7676064256989</v>
      </c>
      <c r="K2248">
        <f t="shared" si="140"/>
        <v>59.6</v>
      </c>
      <c r="L2248">
        <f t="shared" si="141"/>
        <v>59.61</v>
      </c>
      <c r="M2248">
        <f t="shared" si="142"/>
        <v>59.61</v>
      </c>
      <c r="N2248" s="5" t="str">
        <f t="shared" si="143"/>
        <v>November 2022</v>
      </c>
    </row>
    <row r="2249" spans="1:14" x14ac:dyDescent="0.25">
      <c r="A2249" s="1">
        <v>44886</v>
      </c>
      <c r="B2249" t="s">
        <v>1029</v>
      </c>
      <c r="C2249">
        <v>86</v>
      </c>
      <c r="D2249" t="s">
        <v>14</v>
      </c>
      <c r="E2249" t="s">
        <v>10</v>
      </c>
      <c r="F2249" t="s">
        <v>11</v>
      </c>
      <c r="G2249" t="s">
        <v>39</v>
      </c>
      <c r="H2249">
        <v>2658.5</v>
      </c>
      <c r="I2249" s="8" t="str" cm="1">
        <f t="array" ref="I2249">_xlfn.IFS(C2249&lt;=15,"Children and Young Adolescents", C2249&gt;64, "Seniors", TRUE, "Working Age")</f>
        <v>Seniors</v>
      </c>
      <c r="J2249" s="6">
        <f>VLOOKUP(F2249,Analysis!$F$1:$G$5,2,FALSE)</f>
        <v>2503.6022787783854</v>
      </c>
      <c r="K2249">
        <f t="shared" si="140"/>
        <v>2924.35</v>
      </c>
      <c r="L2249">
        <f t="shared" si="141"/>
        <v>2924.35</v>
      </c>
      <c r="M2249">
        <f t="shared" si="142"/>
        <v>2924.35</v>
      </c>
      <c r="N2249" s="5" t="str">
        <f t="shared" si="143"/>
        <v>November 2022</v>
      </c>
    </row>
    <row r="2250" spans="1:14" x14ac:dyDescent="0.25">
      <c r="A2250" s="1">
        <v>44887</v>
      </c>
      <c r="B2250" t="s">
        <v>3693</v>
      </c>
      <c r="C2250">
        <v>42</v>
      </c>
      <c r="D2250" t="s">
        <v>21</v>
      </c>
      <c r="E2250" t="s">
        <v>25</v>
      </c>
      <c r="F2250" t="s">
        <v>29</v>
      </c>
      <c r="G2250" t="s">
        <v>39</v>
      </c>
      <c r="H2250">
        <v>44.59</v>
      </c>
      <c r="I2250" s="8" t="str" cm="1">
        <f t="array" ref="I2250">_xlfn.IFS(C2250&lt;=15,"Children and Young Adolescents", C2250&gt;64, "Seniors", TRUE, "Working Age")</f>
        <v>Working Age</v>
      </c>
      <c r="J2250" s="6">
        <f>VLOOKUP(F2250,Analysis!$F$1:$G$5,2,FALSE)</f>
        <v>2496.7676064256989</v>
      </c>
      <c r="K2250">
        <f t="shared" si="140"/>
        <v>49.04</v>
      </c>
      <c r="L2250">
        <f t="shared" si="141"/>
        <v>49.05</v>
      </c>
      <c r="M2250">
        <f t="shared" si="142"/>
        <v>49.05</v>
      </c>
      <c r="N2250" s="5" t="str">
        <f t="shared" si="143"/>
        <v>November 2022</v>
      </c>
    </row>
    <row r="2251" spans="1:14" x14ac:dyDescent="0.25">
      <c r="A2251" s="1">
        <v>44887</v>
      </c>
      <c r="B2251" t="s">
        <v>1283</v>
      </c>
      <c r="C2251">
        <v>73</v>
      </c>
      <c r="D2251" t="s">
        <v>9</v>
      </c>
      <c r="E2251" t="s">
        <v>10</v>
      </c>
      <c r="F2251" t="s">
        <v>29</v>
      </c>
      <c r="G2251" t="s">
        <v>39</v>
      </c>
      <c r="H2251">
        <v>326.99</v>
      </c>
      <c r="I2251" s="8" t="str" cm="1">
        <f t="array" ref="I2251">_xlfn.IFS(C2251&lt;=15,"Children and Young Adolescents", C2251&gt;64, "Seniors", TRUE, "Working Age")</f>
        <v>Seniors</v>
      </c>
      <c r="J2251" s="6">
        <f>VLOOKUP(F2251,Analysis!$F$1:$G$5,2,FALSE)</f>
        <v>2496.7676064256989</v>
      </c>
      <c r="K2251">
        <f t="shared" si="140"/>
        <v>359.68</v>
      </c>
      <c r="L2251">
        <f t="shared" si="141"/>
        <v>359.69</v>
      </c>
      <c r="M2251">
        <f t="shared" si="142"/>
        <v>359.69</v>
      </c>
      <c r="N2251" s="5" t="str">
        <f t="shared" si="143"/>
        <v>November 2022</v>
      </c>
    </row>
    <row r="2252" spans="1:14" x14ac:dyDescent="0.25">
      <c r="A2252" s="1">
        <v>44887</v>
      </c>
      <c r="B2252" t="s">
        <v>702</v>
      </c>
      <c r="C2252">
        <v>6</v>
      </c>
      <c r="D2252" t="s">
        <v>14</v>
      </c>
      <c r="E2252" t="s">
        <v>25</v>
      </c>
      <c r="F2252" t="s">
        <v>23</v>
      </c>
      <c r="G2252" t="s">
        <v>12</v>
      </c>
      <c r="H2252">
        <v>2981.24</v>
      </c>
      <c r="I2252" s="8" t="str" cm="1">
        <f t="array" ref="I2252">_xlfn.IFS(C2252&lt;=15,"Children and Young Adolescents", C2252&gt;64, "Seniors", TRUE, "Working Age")</f>
        <v>Children and Young Adolescents</v>
      </c>
      <c r="J2252" s="6">
        <f>VLOOKUP(F2252,Analysis!$F$1:$G$5,2,FALSE)</f>
        <v>2440.2966694490838</v>
      </c>
      <c r="K2252">
        <f t="shared" si="140"/>
        <v>3279.36</v>
      </c>
      <c r="L2252">
        <f t="shared" si="141"/>
        <v>3279.3700000000003</v>
      </c>
      <c r="M2252">
        <f t="shared" si="142"/>
        <v>3279.36</v>
      </c>
      <c r="N2252" s="5" t="str">
        <f t="shared" si="143"/>
        <v>November 2022</v>
      </c>
    </row>
    <row r="2253" spans="1:14" x14ac:dyDescent="0.25">
      <c r="A2253" s="1">
        <v>44887</v>
      </c>
      <c r="B2253" t="s">
        <v>2771</v>
      </c>
      <c r="C2253">
        <v>75</v>
      </c>
      <c r="D2253" t="s">
        <v>14</v>
      </c>
      <c r="E2253" t="s">
        <v>25</v>
      </c>
      <c r="F2253" t="s">
        <v>29</v>
      </c>
      <c r="G2253" t="s">
        <v>27</v>
      </c>
      <c r="H2253">
        <v>251.63</v>
      </c>
      <c r="I2253" s="8" t="str" cm="1">
        <f t="array" ref="I2253">_xlfn.IFS(C2253&lt;=15,"Children and Young Adolescents", C2253&gt;64, "Seniors", TRUE, "Working Age")</f>
        <v>Seniors</v>
      </c>
      <c r="J2253" s="6">
        <f>VLOOKUP(F2253,Analysis!$F$1:$G$5,2,FALSE)</f>
        <v>2496.7676064256989</v>
      </c>
      <c r="K2253">
        <f t="shared" si="140"/>
        <v>276.79000000000002</v>
      </c>
      <c r="L2253">
        <f t="shared" si="141"/>
        <v>276.8</v>
      </c>
      <c r="M2253">
        <f t="shared" si="142"/>
        <v>276.79000000000002</v>
      </c>
      <c r="N2253" s="5" t="str">
        <f t="shared" si="143"/>
        <v>November 2022</v>
      </c>
    </row>
    <row r="2254" spans="1:14" x14ac:dyDescent="0.25">
      <c r="A2254" s="1">
        <v>44887</v>
      </c>
      <c r="B2254" t="s">
        <v>1533</v>
      </c>
      <c r="C2254">
        <v>13</v>
      </c>
      <c r="D2254" t="s">
        <v>9</v>
      </c>
      <c r="E2254" t="s">
        <v>25</v>
      </c>
      <c r="F2254" t="s">
        <v>11</v>
      </c>
      <c r="G2254" t="s">
        <v>12</v>
      </c>
      <c r="H2254">
        <v>3162.48</v>
      </c>
      <c r="I2254" s="8" t="str" cm="1">
        <f t="array" ref="I2254">_xlfn.IFS(C2254&lt;=15,"Children and Young Adolescents", C2254&gt;64, "Seniors", TRUE, "Working Age")</f>
        <v>Children and Young Adolescents</v>
      </c>
      <c r="J2254" s="6">
        <f>VLOOKUP(F2254,Analysis!$F$1:$G$5,2,FALSE)</f>
        <v>2503.6022787783854</v>
      </c>
      <c r="K2254">
        <f t="shared" si="140"/>
        <v>3478.72</v>
      </c>
      <c r="L2254">
        <f t="shared" si="141"/>
        <v>3478.73</v>
      </c>
      <c r="M2254">
        <f t="shared" si="142"/>
        <v>3478.73</v>
      </c>
      <c r="N2254" s="5" t="str">
        <f t="shared" si="143"/>
        <v>November 2022</v>
      </c>
    </row>
    <row r="2255" spans="1:14" x14ac:dyDescent="0.25">
      <c r="A2255" s="1">
        <v>44887</v>
      </c>
      <c r="B2255" t="s">
        <v>1926</v>
      </c>
      <c r="C2255">
        <v>5</v>
      </c>
      <c r="D2255" t="s">
        <v>21</v>
      </c>
      <c r="E2255" t="s">
        <v>22</v>
      </c>
      <c r="F2255" t="s">
        <v>11</v>
      </c>
      <c r="G2255" t="s">
        <v>17</v>
      </c>
      <c r="H2255">
        <v>1410.73</v>
      </c>
      <c r="I2255" s="8" t="str" cm="1">
        <f t="array" ref="I2255">_xlfn.IFS(C2255&lt;=15,"Children and Young Adolescents", C2255&gt;64, "Seniors", TRUE, "Working Age")</f>
        <v>Children and Young Adolescents</v>
      </c>
      <c r="J2255" s="6">
        <f>VLOOKUP(F2255,Analysis!$F$1:$G$5,2,FALSE)</f>
        <v>2503.6022787783854</v>
      </c>
      <c r="K2255">
        <f t="shared" si="140"/>
        <v>1551.8</v>
      </c>
      <c r="L2255">
        <f t="shared" si="141"/>
        <v>1551.81</v>
      </c>
      <c r="M2255">
        <f t="shared" si="142"/>
        <v>1551.8</v>
      </c>
      <c r="N2255" s="5" t="str">
        <f t="shared" si="143"/>
        <v>November 2022</v>
      </c>
    </row>
    <row r="2256" spans="1:14" x14ac:dyDescent="0.25">
      <c r="A2256" s="1">
        <v>44888</v>
      </c>
      <c r="B2256" t="s">
        <v>740</v>
      </c>
      <c r="C2256">
        <v>12</v>
      </c>
      <c r="D2256" t="s">
        <v>9</v>
      </c>
      <c r="E2256" t="s">
        <v>10</v>
      </c>
      <c r="F2256" t="s">
        <v>16</v>
      </c>
      <c r="G2256" t="s">
        <v>36</v>
      </c>
      <c r="H2256">
        <v>4319.62</v>
      </c>
      <c r="I2256" s="8" t="str" cm="1">
        <f t="array" ref="I2256">_xlfn.IFS(C2256&lt;=15,"Children and Young Adolescents", C2256&gt;64, "Seniors", TRUE, "Working Age")</f>
        <v>Children and Young Adolescents</v>
      </c>
      <c r="J2256" s="6">
        <f>VLOOKUP(F2256,Analysis!$F$1:$G$5,2,FALSE)</f>
        <v>2509.1716796874912</v>
      </c>
      <c r="K2256">
        <f t="shared" si="140"/>
        <v>4751.58</v>
      </c>
      <c r="L2256">
        <f t="shared" si="141"/>
        <v>4751.59</v>
      </c>
      <c r="M2256">
        <f t="shared" si="142"/>
        <v>4751.58</v>
      </c>
      <c r="N2256" s="5" t="str">
        <f t="shared" si="143"/>
        <v>November 2022</v>
      </c>
    </row>
    <row r="2257" spans="1:14" x14ac:dyDescent="0.25">
      <c r="A2257" s="1">
        <v>44888</v>
      </c>
      <c r="B2257" t="s">
        <v>1634</v>
      </c>
      <c r="C2257">
        <v>38</v>
      </c>
      <c r="D2257" t="s">
        <v>14</v>
      </c>
      <c r="E2257" t="s">
        <v>19</v>
      </c>
      <c r="F2257" t="s">
        <v>11</v>
      </c>
      <c r="G2257" t="s">
        <v>12</v>
      </c>
      <c r="H2257">
        <v>2859.45</v>
      </c>
      <c r="I2257" s="8" t="str" cm="1">
        <f t="array" ref="I2257">_xlfn.IFS(C2257&lt;=15,"Children and Young Adolescents", C2257&gt;64, "Seniors", TRUE, "Working Age")</f>
        <v>Working Age</v>
      </c>
      <c r="J2257" s="6">
        <f>VLOOKUP(F2257,Analysis!$F$1:$G$5,2,FALSE)</f>
        <v>2503.6022787783854</v>
      </c>
      <c r="K2257">
        <f t="shared" si="140"/>
        <v>3145.39</v>
      </c>
      <c r="L2257">
        <f t="shared" si="141"/>
        <v>3145.4</v>
      </c>
      <c r="M2257">
        <f t="shared" si="142"/>
        <v>3145.4</v>
      </c>
      <c r="N2257" s="5" t="str">
        <f t="shared" si="143"/>
        <v>November 2022</v>
      </c>
    </row>
    <row r="2258" spans="1:14" x14ac:dyDescent="0.25">
      <c r="A2258" s="1">
        <v>44888</v>
      </c>
      <c r="B2258" t="s">
        <v>2704</v>
      </c>
      <c r="C2258">
        <v>25</v>
      </c>
      <c r="D2258" t="s">
        <v>9</v>
      </c>
      <c r="E2258" t="s">
        <v>15</v>
      </c>
      <c r="F2258" t="s">
        <v>23</v>
      </c>
      <c r="G2258" t="s">
        <v>39</v>
      </c>
      <c r="H2258">
        <v>451.37</v>
      </c>
      <c r="I2258" s="8" t="str" cm="1">
        <f t="array" ref="I2258">_xlfn.IFS(C2258&lt;=15,"Children and Young Adolescents", C2258&gt;64, "Seniors", TRUE, "Working Age")</f>
        <v>Working Age</v>
      </c>
      <c r="J2258" s="6">
        <f>VLOOKUP(F2258,Analysis!$F$1:$G$5,2,FALSE)</f>
        <v>2440.2966694490838</v>
      </c>
      <c r="K2258">
        <f t="shared" si="140"/>
        <v>496.5</v>
      </c>
      <c r="L2258">
        <f t="shared" si="141"/>
        <v>496.51</v>
      </c>
      <c r="M2258">
        <f t="shared" si="142"/>
        <v>496.51</v>
      </c>
      <c r="N2258" s="5" t="str">
        <f t="shared" si="143"/>
        <v>November 2022</v>
      </c>
    </row>
    <row r="2259" spans="1:14" x14ac:dyDescent="0.25">
      <c r="A2259" s="1">
        <v>44888</v>
      </c>
      <c r="B2259" t="s">
        <v>3219</v>
      </c>
      <c r="C2259">
        <v>50</v>
      </c>
      <c r="D2259" t="s">
        <v>14</v>
      </c>
      <c r="E2259" t="s">
        <v>22</v>
      </c>
      <c r="F2259" t="s">
        <v>16</v>
      </c>
      <c r="G2259" t="s">
        <v>36</v>
      </c>
      <c r="H2259">
        <v>1048.67</v>
      </c>
      <c r="I2259" s="8" t="str" cm="1">
        <f t="array" ref="I2259">_xlfn.IFS(C2259&lt;=15,"Children and Young Adolescents", C2259&gt;64, "Seniors", TRUE, "Working Age")</f>
        <v>Working Age</v>
      </c>
      <c r="J2259" s="6">
        <f>VLOOKUP(F2259,Analysis!$F$1:$G$5,2,FALSE)</f>
        <v>2509.1716796874912</v>
      </c>
      <c r="K2259">
        <f t="shared" si="140"/>
        <v>1153.53</v>
      </c>
      <c r="L2259">
        <f t="shared" si="141"/>
        <v>1153.54</v>
      </c>
      <c r="M2259">
        <f t="shared" si="142"/>
        <v>1153.54</v>
      </c>
      <c r="N2259" s="5" t="str">
        <f t="shared" si="143"/>
        <v>November 2022</v>
      </c>
    </row>
    <row r="2260" spans="1:14" x14ac:dyDescent="0.25">
      <c r="A2260" s="1">
        <v>44889</v>
      </c>
      <c r="B2260" t="s">
        <v>2744</v>
      </c>
      <c r="C2260">
        <v>71</v>
      </c>
      <c r="D2260" t="s">
        <v>9</v>
      </c>
      <c r="E2260" t="s">
        <v>19</v>
      </c>
      <c r="F2260" t="s">
        <v>16</v>
      </c>
      <c r="G2260" t="s">
        <v>12</v>
      </c>
      <c r="H2260">
        <v>4431.1099999999997</v>
      </c>
      <c r="I2260" s="8" t="str" cm="1">
        <f t="array" ref="I2260">_xlfn.IFS(C2260&lt;=15,"Children and Young Adolescents", C2260&gt;64, "Seniors", TRUE, "Working Age")</f>
        <v>Seniors</v>
      </c>
      <c r="J2260" s="6">
        <f>VLOOKUP(F2260,Analysis!$F$1:$G$5,2,FALSE)</f>
        <v>2509.1716796874912</v>
      </c>
      <c r="K2260">
        <f t="shared" si="140"/>
        <v>4874.22</v>
      </c>
      <c r="L2260">
        <f t="shared" si="141"/>
        <v>4874.2300000000005</v>
      </c>
      <c r="M2260">
        <f t="shared" si="142"/>
        <v>4874.22</v>
      </c>
      <c r="N2260" s="5" t="str">
        <f t="shared" si="143"/>
        <v>November 2022</v>
      </c>
    </row>
    <row r="2261" spans="1:14" x14ac:dyDescent="0.25">
      <c r="A2261" s="1">
        <v>44889</v>
      </c>
      <c r="B2261" t="s">
        <v>3139</v>
      </c>
      <c r="C2261">
        <v>47</v>
      </c>
      <c r="D2261" t="s">
        <v>21</v>
      </c>
      <c r="E2261" t="s">
        <v>34</v>
      </c>
      <c r="F2261" t="s">
        <v>23</v>
      </c>
      <c r="G2261" t="s">
        <v>12</v>
      </c>
      <c r="H2261">
        <v>3985.04</v>
      </c>
      <c r="I2261" s="8" t="str" cm="1">
        <f t="array" ref="I2261">_xlfn.IFS(C2261&lt;=15,"Children and Young Adolescents", C2261&gt;64, "Seniors", TRUE, "Working Age")</f>
        <v>Working Age</v>
      </c>
      <c r="J2261" s="6">
        <f>VLOOKUP(F2261,Analysis!$F$1:$G$5,2,FALSE)</f>
        <v>2440.2966694490838</v>
      </c>
      <c r="K2261">
        <f t="shared" si="140"/>
        <v>4383.54</v>
      </c>
      <c r="L2261">
        <f t="shared" si="141"/>
        <v>4383.55</v>
      </c>
      <c r="M2261">
        <f t="shared" si="142"/>
        <v>4383.54</v>
      </c>
      <c r="N2261" s="5" t="str">
        <f t="shared" si="143"/>
        <v>November 2022</v>
      </c>
    </row>
    <row r="2262" spans="1:14" x14ac:dyDescent="0.25">
      <c r="A2262" s="1">
        <v>44889</v>
      </c>
      <c r="B2262" t="s">
        <v>2484</v>
      </c>
      <c r="C2262">
        <v>84</v>
      </c>
      <c r="D2262" t="s">
        <v>21</v>
      </c>
      <c r="E2262" t="s">
        <v>32</v>
      </c>
      <c r="F2262" t="s">
        <v>23</v>
      </c>
      <c r="G2262" t="s">
        <v>5033</v>
      </c>
      <c r="H2262">
        <v>2947.12</v>
      </c>
      <c r="I2262" s="8" t="str" cm="1">
        <f t="array" ref="I2262">_xlfn.IFS(C2262&lt;=15,"Children and Young Adolescents", C2262&gt;64, "Seniors", TRUE, "Working Age")</f>
        <v>Seniors</v>
      </c>
      <c r="J2262" s="6">
        <f>VLOOKUP(F2262,Analysis!$F$1:$G$5,2,FALSE)</f>
        <v>2440.2966694490838</v>
      </c>
      <c r="K2262">
        <f t="shared" si="140"/>
        <v>3241.83</v>
      </c>
      <c r="L2262">
        <f t="shared" si="141"/>
        <v>3241.84</v>
      </c>
      <c r="M2262">
        <f t="shared" si="142"/>
        <v>3241.83</v>
      </c>
      <c r="N2262" s="5" t="str">
        <f t="shared" si="143"/>
        <v>November 2022</v>
      </c>
    </row>
    <row r="2263" spans="1:14" x14ac:dyDescent="0.25">
      <c r="A2263" s="1">
        <v>44889</v>
      </c>
      <c r="B2263" t="s">
        <v>3546</v>
      </c>
      <c r="C2263">
        <v>0</v>
      </c>
      <c r="D2263" t="s">
        <v>9</v>
      </c>
      <c r="E2263" t="s">
        <v>22</v>
      </c>
      <c r="F2263" t="s">
        <v>29</v>
      </c>
      <c r="G2263" t="s">
        <v>27</v>
      </c>
      <c r="H2263">
        <v>2904.39</v>
      </c>
      <c r="I2263" s="8" t="str" cm="1">
        <f t="array" ref="I2263">_xlfn.IFS(C2263&lt;=15,"Children and Young Adolescents", C2263&gt;64, "Seniors", TRUE, "Working Age")</f>
        <v>Children and Young Adolescents</v>
      </c>
      <c r="J2263" s="6">
        <f>VLOOKUP(F2263,Analysis!$F$1:$G$5,2,FALSE)</f>
        <v>2496.7676064256989</v>
      </c>
      <c r="K2263">
        <f t="shared" si="140"/>
        <v>3194.82</v>
      </c>
      <c r="L2263">
        <f t="shared" si="141"/>
        <v>3194.8300000000004</v>
      </c>
      <c r="M2263">
        <f t="shared" si="142"/>
        <v>3194.83</v>
      </c>
      <c r="N2263" s="5" t="str">
        <f t="shared" si="143"/>
        <v>November 2022</v>
      </c>
    </row>
    <row r="2264" spans="1:14" x14ac:dyDescent="0.25">
      <c r="A2264" s="1">
        <v>44890</v>
      </c>
      <c r="B2264" t="s">
        <v>1103</v>
      </c>
      <c r="C2264">
        <v>26</v>
      </c>
      <c r="D2264" t="s">
        <v>9</v>
      </c>
      <c r="E2264" t="s">
        <v>15</v>
      </c>
      <c r="F2264" t="s">
        <v>29</v>
      </c>
      <c r="G2264" t="s">
        <v>12</v>
      </c>
      <c r="H2264">
        <v>2884.23</v>
      </c>
      <c r="I2264" s="8" t="str" cm="1">
        <f t="array" ref="I2264">_xlfn.IFS(C2264&lt;=15,"Children and Young Adolescents", C2264&gt;64, "Seniors", TRUE, "Working Age")</f>
        <v>Working Age</v>
      </c>
      <c r="J2264" s="6">
        <f>VLOOKUP(F2264,Analysis!$F$1:$G$5,2,FALSE)</f>
        <v>2496.7676064256989</v>
      </c>
      <c r="K2264">
        <f t="shared" si="140"/>
        <v>3172.65</v>
      </c>
      <c r="L2264">
        <f t="shared" si="141"/>
        <v>3172.6600000000003</v>
      </c>
      <c r="M2264">
        <f t="shared" si="142"/>
        <v>3172.65</v>
      </c>
      <c r="N2264" s="5" t="str">
        <f t="shared" si="143"/>
        <v>November 2022</v>
      </c>
    </row>
    <row r="2265" spans="1:14" x14ac:dyDescent="0.25">
      <c r="A2265" s="1">
        <v>44890</v>
      </c>
      <c r="B2265" t="s">
        <v>728</v>
      </c>
      <c r="C2265">
        <v>55</v>
      </c>
      <c r="D2265" t="s">
        <v>14</v>
      </c>
      <c r="E2265" t="s">
        <v>5032</v>
      </c>
      <c r="F2265" t="s">
        <v>16</v>
      </c>
      <c r="G2265" t="s">
        <v>27</v>
      </c>
      <c r="H2265">
        <v>1799.14</v>
      </c>
      <c r="I2265" s="8" t="str" cm="1">
        <f t="array" ref="I2265">_xlfn.IFS(C2265&lt;=15,"Children and Young Adolescents", C2265&gt;64, "Seniors", TRUE, "Working Age")</f>
        <v>Working Age</v>
      </c>
      <c r="J2265" s="6">
        <f>VLOOKUP(F2265,Analysis!$F$1:$G$5,2,FALSE)</f>
        <v>2509.1716796874912</v>
      </c>
      <c r="K2265">
        <f t="shared" si="140"/>
        <v>1979.05</v>
      </c>
      <c r="L2265">
        <f t="shared" si="141"/>
        <v>1979.06</v>
      </c>
      <c r="M2265">
        <f t="shared" si="142"/>
        <v>1979.05</v>
      </c>
      <c r="N2265" s="5" t="str">
        <f t="shared" si="143"/>
        <v>November 2022</v>
      </c>
    </row>
    <row r="2266" spans="1:14" x14ac:dyDescent="0.25">
      <c r="A2266" s="1">
        <v>44890</v>
      </c>
      <c r="B2266" t="s">
        <v>3396</v>
      </c>
      <c r="C2266">
        <v>20</v>
      </c>
      <c r="D2266" t="s">
        <v>9</v>
      </c>
      <c r="E2266" t="s">
        <v>19</v>
      </c>
      <c r="F2266" t="s">
        <v>23</v>
      </c>
      <c r="G2266" t="s">
        <v>12</v>
      </c>
      <c r="H2266">
        <v>2665.7</v>
      </c>
      <c r="I2266" s="8" t="str" cm="1">
        <f t="array" ref="I2266">_xlfn.IFS(C2266&lt;=15,"Children and Young Adolescents", C2266&gt;64, "Seniors", TRUE, "Working Age")</f>
        <v>Working Age</v>
      </c>
      <c r="J2266" s="6">
        <f>VLOOKUP(F2266,Analysis!$F$1:$G$5,2,FALSE)</f>
        <v>2440.2966694490838</v>
      </c>
      <c r="K2266">
        <f t="shared" si="140"/>
        <v>2932.27</v>
      </c>
      <c r="L2266">
        <f t="shared" si="141"/>
        <v>2932.27</v>
      </c>
      <c r="M2266">
        <f t="shared" si="142"/>
        <v>2932.27</v>
      </c>
      <c r="N2266" s="5" t="str">
        <f t="shared" si="143"/>
        <v>November 2022</v>
      </c>
    </row>
    <row r="2267" spans="1:14" x14ac:dyDescent="0.25">
      <c r="A2267" s="1">
        <v>44890</v>
      </c>
      <c r="B2267" t="s">
        <v>2431</v>
      </c>
      <c r="C2267">
        <v>33</v>
      </c>
      <c r="D2267" t="s">
        <v>21</v>
      </c>
      <c r="E2267" t="s">
        <v>22</v>
      </c>
      <c r="F2267" t="s">
        <v>23</v>
      </c>
      <c r="G2267" t="s">
        <v>17</v>
      </c>
      <c r="H2267">
        <v>4725.8500000000004</v>
      </c>
      <c r="I2267" s="8" t="str" cm="1">
        <f t="array" ref="I2267">_xlfn.IFS(C2267&lt;=15,"Children and Young Adolescents", C2267&gt;64, "Seniors", TRUE, "Working Age")</f>
        <v>Working Age</v>
      </c>
      <c r="J2267" s="6">
        <f>VLOOKUP(F2267,Analysis!$F$1:$G$5,2,FALSE)</f>
        <v>2440.2966694490838</v>
      </c>
      <c r="K2267">
        <f t="shared" si="140"/>
        <v>5198.43</v>
      </c>
      <c r="L2267">
        <f t="shared" si="141"/>
        <v>5198.4400000000005</v>
      </c>
      <c r="M2267">
        <f t="shared" si="142"/>
        <v>5198.4399999999996</v>
      </c>
      <c r="N2267" s="5" t="str">
        <f t="shared" si="143"/>
        <v>November 2022</v>
      </c>
    </row>
    <row r="2268" spans="1:14" x14ac:dyDescent="0.25">
      <c r="A2268" s="1">
        <v>44890</v>
      </c>
      <c r="B2268" t="s">
        <v>1469</v>
      </c>
      <c r="C2268">
        <v>97</v>
      </c>
      <c r="D2268" t="s">
        <v>14</v>
      </c>
      <c r="E2268" t="s">
        <v>34</v>
      </c>
      <c r="F2268" t="s">
        <v>29</v>
      </c>
      <c r="G2268" t="s">
        <v>12</v>
      </c>
      <c r="H2268">
        <v>3488.23</v>
      </c>
      <c r="I2268" s="8" t="str" cm="1">
        <f t="array" ref="I2268">_xlfn.IFS(C2268&lt;=15,"Children and Young Adolescents", C2268&gt;64, "Seniors", TRUE, "Working Age")</f>
        <v>Seniors</v>
      </c>
      <c r="J2268" s="6">
        <f>VLOOKUP(F2268,Analysis!$F$1:$G$5,2,FALSE)</f>
        <v>2496.7676064256989</v>
      </c>
      <c r="K2268">
        <f t="shared" si="140"/>
        <v>3837.05</v>
      </c>
      <c r="L2268">
        <f t="shared" si="141"/>
        <v>3837.0600000000004</v>
      </c>
      <c r="M2268">
        <f t="shared" si="142"/>
        <v>3837.05</v>
      </c>
      <c r="N2268" s="5" t="str">
        <f t="shared" si="143"/>
        <v>November 2022</v>
      </c>
    </row>
    <row r="2269" spans="1:14" x14ac:dyDescent="0.25">
      <c r="A2269" s="1">
        <v>44891</v>
      </c>
      <c r="B2269" t="s">
        <v>252</v>
      </c>
      <c r="C2269">
        <v>98</v>
      </c>
      <c r="D2269" t="s">
        <v>21</v>
      </c>
      <c r="E2269" t="s">
        <v>34</v>
      </c>
      <c r="F2269" t="s">
        <v>29</v>
      </c>
      <c r="G2269" t="s">
        <v>39</v>
      </c>
      <c r="H2269">
        <v>1040.3699999999999</v>
      </c>
      <c r="I2269" s="8" t="str" cm="1">
        <f t="array" ref="I2269">_xlfn.IFS(C2269&lt;=15,"Children and Young Adolescents", C2269&gt;64, "Seniors", TRUE, "Working Age")</f>
        <v>Seniors</v>
      </c>
      <c r="J2269" s="6">
        <f>VLOOKUP(F2269,Analysis!$F$1:$G$5,2,FALSE)</f>
        <v>2496.7676064256989</v>
      </c>
      <c r="K2269">
        <f t="shared" si="140"/>
        <v>1144.4000000000001</v>
      </c>
      <c r="L2269">
        <f t="shared" si="141"/>
        <v>1144.4100000000001</v>
      </c>
      <c r="M2269">
        <f t="shared" si="142"/>
        <v>1144.4100000000001</v>
      </c>
      <c r="N2269" s="5" t="str">
        <f t="shared" si="143"/>
        <v>November 2022</v>
      </c>
    </row>
    <row r="2270" spans="1:14" x14ac:dyDescent="0.25">
      <c r="A2270" s="1">
        <v>44891</v>
      </c>
      <c r="B2270" t="s">
        <v>4221</v>
      </c>
      <c r="C2270">
        <v>50</v>
      </c>
      <c r="D2270" t="s">
        <v>9</v>
      </c>
      <c r="E2270" t="s">
        <v>25</v>
      </c>
      <c r="F2270" t="s">
        <v>11</v>
      </c>
      <c r="G2270" t="s">
        <v>12</v>
      </c>
      <c r="H2270">
        <v>4257.82</v>
      </c>
      <c r="I2270" s="8" t="str" cm="1">
        <f t="array" ref="I2270">_xlfn.IFS(C2270&lt;=15,"Children and Young Adolescents", C2270&gt;64, "Seniors", TRUE, "Working Age")</f>
        <v>Working Age</v>
      </c>
      <c r="J2270" s="6">
        <f>VLOOKUP(F2270,Analysis!$F$1:$G$5,2,FALSE)</f>
        <v>2503.6022787783854</v>
      </c>
      <c r="K2270">
        <f t="shared" si="140"/>
        <v>4683.6000000000004</v>
      </c>
      <c r="L2270">
        <f t="shared" si="141"/>
        <v>4683.6100000000006</v>
      </c>
      <c r="M2270">
        <f t="shared" si="142"/>
        <v>4683.6000000000004</v>
      </c>
      <c r="N2270" s="5" t="str">
        <f t="shared" si="143"/>
        <v>November 2022</v>
      </c>
    </row>
    <row r="2271" spans="1:14" x14ac:dyDescent="0.25">
      <c r="A2271" s="1">
        <v>44891</v>
      </c>
      <c r="B2271" t="s">
        <v>4458</v>
      </c>
      <c r="C2271">
        <v>72</v>
      </c>
      <c r="D2271" t="s">
        <v>14</v>
      </c>
      <c r="E2271" t="s">
        <v>25</v>
      </c>
      <c r="F2271" t="s">
        <v>23</v>
      </c>
      <c r="G2271" t="s">
        <v>36</v>
      </c>
      <c r="H2271">
        <v>3608.68</v>
      </c>
      <c r="I2271" s="8" t="str" cm="1">
        <f t="array" ref="I2271">_xlfn.IFS(C2271&lt;=15,"Children and Young Adolescents", C2271&gt;64, "Seniors", TRUE, "Working Age")</f>
        <v>Seniors</v>
      </c>
      <c r="J2271" s="6">
        <f>VLOOKUP(F2271,Analysis!$F$1:$G$5,2,FALSE)</f>
        <v>2440.2966694490838</v>
      </c>
      <c r="K2271">
        <f t="shared" si="140"/>
        <v>3969.54</v>
      </c>
      <c r="L2271">
        <f t="shared" si="141"/>
        <v>3969.55</v>
      </c>
      <c r="M2271">
        <f t="shared" si="142"/>
        <v>3969.55</v>
      </c>
      <c r="N2271" s="5" t="str">
        <f t="shared" si="143"/>
        <v>November 2022</v>
      </c>
    </row>
    <row r="2272" spans="1:14" x14ac:dyDescent="0.25">
      <c r="A2272" s="1">
        <v>44891</v>
      </c>
      <c r="B2272" t="s">
        <v>2719</v>
      </c>
      <c r="C2272">
        <v>13</v>
      </c>
      <c r="D2272" t="s">
        <v>9</v>
      </c>
      <c r="E2272" t="s">
        <v>5032</v>
      </c>
      <c r="F2272" t="s">
        <v>23</v>
      </c>
      <c r="G2272" t="s">
        <v>39</v>
      </c>
      <c r="H2272">
        <v>2301.39</v>
      </c>
      <c r="I2272" s="8" t="str" cm="1">
        <f t="array" ref="I2272">_xlfn.IFS(C2272&lt;=15,"Children and Young Adolescents", C2272&gt;64, "Seniors", TRUE, "Working Age")</f>
        <v>Children and Young Adolescents</v>
      </c>
      <c r="J2272" s="6">
        <f>VLOOKUP(F2272,Analysis!$F$1:$G$5,2,FALSE)</f>
        <v>2440.2966694490838</v>
      </c>
      <c r="K2272">
        <f t="shared" si="140"/>
        <v>2531.52</v>
      </c>
      <c r="L2272">
        <f t="shared" si="141"/>
        <v>2531.5300000000002</v>
      </c>
      <c r="M2272">
        <f t="shared" si="142"/>
        <v>2531.5300000000002</v>
      </c>
      <c r="N2272" s="5" t="str">
        <f t="shared" si="143"/>
        <v>November 2022</v>
      </c>
    </row>
    <row r="2273" spans="1:14" x14ac:dyDescent="0.25">
      <c r="A2273" s="1">
        <v>44891</v>
      </c>
      <c r="B2273" t="s">
        <v>961</v>
      </c>
      <c r="C2273">
        <v>36</v>
      </c>
      <c r="D2273" t="s">
        <v>9</v>
      </c>
      <c r="E2273" t="s">
        <v>32</v>
      </c>
      <c r="F2273" t="s">
        <v>29</v>
      </c>
      <c r="G2273" t="s">
        <v>36</v>
      </c>
      <c r="H2273">
        <v>303.67</v>
      </c>
      <c r="I2273" s="8" t="str" cm="1">
        <f t="array" ref="I2273">_xlfn.IFS(C2273&lt;=15,"Children and Young Adolescents", C2273&gt;64, "Seniors", TRUE, "Working Age")</f>
        <v>Working Age</v>
      </c>
      <c r="J2273" s="6">
        <f>VLOOKUP(F2273,Analysis!$F$1:$G$5,2,FALSE)</f>
        <v>2496.7676064256989</v>
      </c>
      <c r="K2273">
        <f t="shared" si="140"/>
        <v>334.03</v>
      </c>
      <c r="L2273">
        <f t="shared" si="141"/>
        <v>334.03999999999996</v>
      </c>
      <c r="M2273">
        <f t="shared" si="142"/>
        <v>334.04</v>
      </c>
      <c r="N2273" s="5" t="str">
        <f t="shared" si="143"/>
        <v>November 2022</v>
      </c>
    </row>
    <row r="2274" spans="1:14" x14ac:dyDescent="0.25">
      <c r="A2274" s="1">
        <v>44891</v>
      </c>
      <c r="B2274" t="s">
        <v>4736</v>
      </c>
      <c r="C2274">
        <v>65</v>
      </c>
      <c r="D2274" t="s">
        <v>9</v>
      </c>
      <c r="E2274" t="s">
        <v>25</v>
      </c>
      <c r="F2274" t="s">
        <v>29</v>
      </c>
      <c r="G2274" t="s">
        <v>27</v>
      </c>
      <c r="H2274">
        <v>4151.74</v>
      </c>
      <c r="I2274" s="8" t="str" cm="1">
        <f t="array" ref="I2274">_xlfn.IFS(C2274&lt;=15,"Children and Young Adolescents", C2274&gt;64, "Seniors", TRUE, "Working Age")</f>
        <v>Seniors</v>
      </c>
      <c r="J2274" s="6">
        <f>VLOOKUP(F2274,Analysis!$F$1:$G$5,2,FALSE)</f>
        <v>2496.7676064256989</v>
      </c>
      <c r="K2274">
        <f t="shared" si="140"/>
        <v>4566.91</v>
      </c>
      <c r="L2274">
        <f t="shared" si="141"/>
        <v>4566.92</v>
      </c>
      <c r="M2274">
        <f t="shared" si="142"/>
        <v>4566.91</v>
      </c>
      <c r="N2274" s="5" t="str">
        <f t="shared" si="143"/>
        <v>November 2022</v>
      </c>
    </row>
    <row r="2275" spans="1:14" x14ac:dyDescent="0.25">
      <c r="A2275" s="1">
        <v>44891</v>
      </c>
      <c r="B2275" t="s">
        <v>1585</v>
      </c>
      <c r="C2275">
        <v>91</v>
      </c>
      <c r="D2275" t="s">
        <v>14</v>
      </c>
      <c r="E2275" t="s">
        <v>10</v>
      </c>
      <c r="F2275" t="s">
        <v>16</v>
      </c>
      <c r="G2275" t="s">
        <v>27</v>
      </c>
      <c r="H2275">
        <v>4753.83</v>
      </c>
      <c r="I2275" s="8" t="str" cm="1">
        <f t="array" ref="I2275">_xlfn.IFS(C2275&lt;=15,"Children and Young Adolescents", C2275&gt;64, "Seniors", TRUE, "Working Age")</f>
        <v>Seniors</v>
      </c>
      <c r="J2275" s="6">
        <f>VLOOKUP(F2275,Analysis!$F$1:$G$5,2,FALSE)</f>
        <v>2509.1716796874912</v>
      </c>
      <c r="K2275">
        <f t="shared" si="140"/>
        <v>5229.21</v>
      </c>
      <c r="L2275">
        <f t="shared" si="141"/>
        <v>5229.22</v>
      </c>
      <c r="M2275">
        <f t="shared" si="142"/>
        <v>5229.21</v>
      </c>
      <c r="N2275" s="5" t="str">
        <f t="shared" si="143"/>
        <v>November 2022</v>
      </c>
    </row>
    <row r="2276" spans="1:14" x14ac:dyDescent="0.25">
      <c r="A2276" s="1">
        <v>44891</v>
      </c>
      <c r="B2276" t="s">
        <v>4966</v>
      </c>
      <c r="C2276">
        <v>13</v>
      </c>
      <c r="D2276" t="s">
        <v>21</v>
      </c>
      <c r="E2276" t="s">
        <v>19</v>
      </c>
      <c r="F2276" t="s">
        <v>16</v>
      </c>
      <c r="G2276" t="s">
        <v>36</v>
      </c>
      <c r="H2276">
        <v>2606.34</v>
      </c>
      <c r="I2276" s="8" t="str" cm="1">
        <f t="array" ref="I2276">_xlfn.IFS(C2276&lt;=15,"Children and Young Adolescents", C2276&gt;64, "Seniors", TRUE, "Working Age")</f>
        <v>Children and Young Adolescents</v>
      </c>
      <c r="J2276" s="6">
        <f>VLOOKUP(F2276,Analysis!$F$1:$G$5,2,FALSE)</f>
        <v>2509.1716796874912</v>
      </c>
      <c r="K2276">
        <f t="shared" si="140"/>
        <v>2866.97</v>
      </c>
      <c r="L2276">
        <f t="shared" si="141"/>
        <v>2866.98</v>
      </c>
      <c r="M2276">
        <f t="shared" si="142"/>
        <v>2866.97</v>
      </c>
      <c r="N2276" s="5" t="str">
        <f t="shared" si="143"/>
        <v>November 2022</v>
      </c>
    </row>
    <row r="2277" spans="1:14" x14ac:dyDescent="0.25">
      <c r="A2277" s="1">
        <v>44892</v>
      </c>
      <c r="B2277" t="s">
        <v>4656</v>
      </c>
      <c r="C2277">
        <v>41</v>
      </c>
      <c r="D2277" t="s">
        <v>9</v>
      </c>
      <c r="E2277" t="s">
        <v>25</v>
      </c>
      <c r="F2277" t="s">
        <v>11</v>
      </c>
      <c r="G2277" t="s">
        <v>12</v>
      </c>
      <c r="H2277">
        <v>4336.05</v>
      </c>
      <c r="I2277" s="8" t="str" cm="1">
        <f t="array" ref="I2277">_xlfn.IFS(C2277&lt;=15,"Children and Young Adolescents", C2277&gt;64, "Seniors", TRUE, "Working Age")</f>
        <v>Working Age</v>
      </c>
      <c r="J2277" s="6">
        <f>VLOOKUP(F2277,Analysis!$F$1:$G$5,2,FALSE)</f>
        <v>2503.6022787783854</v>
      </c>
      <c r="K2277">
        <f t="shared" si="140"/>
        <v>4769.6499999999996</v>
      </c>
      <c r="L2277">
        <f t="shared" si="141"/>
        <v>4769.66</v>
      </c>
      <c r="M2277">
        <f t="shared" si="142"/>
        <v>4769.66</v>
      </c>
      <c r="N2277" s="5" t="str">
        <f t="shared" si="143"/>
        <v>November 2022</v>
      </c>
    </row>
    <row r="2278" spans="1:14" x14ac:dyDescent="0.25">
      <c r="A2278" s="1">
        <v>44892</v>
      </c>
      <c r="B2278" t="s">
        <v>4608</v>
      </c>
      <c r="C2278">
        <v>60</v>
      </c>
      <c r="D2278" t="s">
        <v>14</v>
      </c>
      <c r="E2278" t="s">
        <v>10</v>
      </c>
      <c r="F2278" t="s">
        <v>16</v>
      </c>
      <c r="G2278" t="s">
        <v>39</v>
      </c>
      <c r="H2278">
        <v>4208.08</v>
      </c>
      <c r="I2278" s="8" t="str" cm="1">
        <f t="array" ref="I2278">_xlfn.IFS(C2278&lt;=15,"Children and Young Adolescents", C2278&gt;64, "Seniors", TRUE, "Working Age")</f>
        <v>Working Age</v>
      </c>
      <c r="J2278" s="6">
        <f>VLOOKUP(F2278,Analysis!$F$1:$G$5,2,FALSE)</f>
        <v>2509.1716796874912</v>
      </c>
      <c r="K2278">
        <f t="shared" si="140"/>
        <v>4628.88</v>
      </c>
      <c r="L2278">
        <f t="shared" si="141"/>
        <v>4628.8900000000003</v>
      </c>
      <c r="M2278">
        <f t="shared" si="142"/>
        <v>4628.8900000000003</v>
      </c>
      <c r="N2278" s="5" t="str">
        <f t="shared" si="143"/>
        <v>November 2022</v>
      </c>
    </row>
    <row r="2279" spans="1:14" x14ac:dyDescent="0.25">
      <c r="A2279" s="1">
        <v>44892</v>
      </c>
      <c r="B2279" t="s">
        <v>2825</v>
      </c>
      <c r="C2279">
        <v>13</v>
      </c>
      <c r="D2279" t="s">
        <v>9</v>
      </c>
      <c r="E2279" t="s">
        <v>19</v>
      </c>
      <c r="F2279" t="s">
        <v>11</v>
      </c>
      <c r="G2279" t="s">
        <v>27</v>
      </c>
      <c r="H2279">
        <v>3456.48</v>
      </c>
      <c r="I2279" s="8" t="str" cm="1">
        <f t="array" ref="I2279">_xlfn.IFS(C2279&lt;=15,"Children and Young Adolescents", C2279&gt;64, "Seniors", TRUE, "Working Age")</f>
        <v>Children and Young Adolescents</v>
      </c>
      <c r="J2279" s="6">
        <f>VLOOKUP(F2279,Analysis!$F$1:$G$5,2,FALSE)</f>
        <v>2503.6022787783854</v>
      </c>
      <c r="K2279">
        <f t="shared" si="140"/>
        <v>3802.12</v>
      </c>
      <c r="L2279">
        <f t="shared" si="141"/>
        <v>3802.13</v>
      </c>
      <c r="M2279">
        <f t="shared" si="142"/>
        <v>3802.13</v>
      </c>
      <c r="N2279" s="5" t="str">
        <f t="shared" si="143"/>
        <v>November 2022</v>
      </c>
    </row>
    <row r="2280" spans="1:14" x14ac:dyDescent="0.25">
      <c r="A2280" s="1">
        <v>44892</v>
      </c>
      <c r="B2280" t="s">
        <v>477</v>
      </c>
      <c r="C2280">
        <v>87</v>
      </c>
      <c r="D2280" t="s">
        <v>14</v>
      </c>
      <c r="E2280" t="s">
        <v>5032</v>
      </c>
      <c r="F2280" t="s">
        <v>16</v>
      </c>
      <c r="G2280" t="s">
        <v>12</v>
      </c>
      <c r="H2280">
        <v>2063.0700000000002</v>
      </c>
      <c r="I2280" s="8" t="str" cm="1">
        <f t="array" ref="I2280">_xlfn.IFS(C2280&lt;=15,"Children and Young Adolescents", C2280&gt;64, "Seniors", TRUE, "Working Age")</f>
        <v>Seniors</v>
      </c>
      <c r="J2280" s="6">
        <f>VLOOKUP(F2280,Analysis!$F$1:$G$5,2,FALSE)</f>
        <v>2509.1716796874912</v>
      </c>
      <c r="K2280">
        <f t="shared" si="140"/>
        <v>2269.37</v>
      </c>
      <c r="L2280">
        <f t="shared" si="141"/>
        <v>2269.38</v>
      </c>
      <c r="M2280">
        <f t="shared" si="142"/>
        <v>2269.38</v>
      </c>
      <c r="N2280" s="5" t="str">
        <f t="shared" si="143"/>
        <v>November 2022</v>
      </c>
    </row>
    <row r="2281" spans="1:14" x14ac:dyDescent="0.25">
      <c r="A2281" s="1">
        <v>44892</v>
      </c>
      <c r="B2281" t="s">
        <v>4005</v>
      </c>
      <c r="C2281">
        <v>83</v>
      </c>
      <c r="D2281" t="s">
        <v>9</v>
      </c>
      <c r="E2281" t="s">
        <v>15</v>
      </c>
      <c r="F2281" t="s">
        <v>16</v>
      </c>
      <c r="G2281" t="s">
        <v>36</v>
      </c>
      <c r="H2281">
        <v>133.58000000000001</v>
      </c>
      <c r="I2281" s="8" t="str" cm="1">
        <f t="array" ref="I2281">_xlfn.IFS(C2281&lt;=15,"Children and Young Adolescents", C2281&gt;64, "Seniors", TRUE, "Working Age")</f>
        <v>Seniors</v>
      </c>
      <c r="J2281" s="6">
        <f>VLOOKUP(F2281,Analysis!$F$1:$G$5,2,FALSE)</f>
        <v>2509.1716796874912</v>
      </c>
      <c r="K2281">
        <f t="shared" si="140"/>
        <v>146.93</v>
      </c>
      <c r="L2281">
        <f t="shared" si="141"/>
        <v>146.94</v>
      </c>
      <c r="M2281">
        <f t="shared" si="142"/>
        <v>146.94</v>
      </c>
      <c r="N2281" s="5" t="str">
        <f t="shared" si="143"/>
        <v>November 2022</v>
      </c>
    </row>
    <row r="2282" spans="1:14" x14ac:dyDescent="0.25">
      <c r="A2282" s="1">
        <v>44892</v>
      </c>
      <c r="B2282" t="s">
        <v>1399</v>
      </c>
      <c r="C2282">
        <v>81</v>
      </c>
      <c r="D2282" t="s">
        <v>14</v>
      </c>
      <c r="E2282" t="s">
        <v>25</v>
      </c>
      <c r="F2282" t="s">
        <v>23</v>
      </c>
      <c r="G2282" t="s">
        <v>12</v>
      </c>
      <c r="H2282">
        <v>1257</v>
      </c>
      <c r="I2282" s="8" t="str" cm="1">
        <f t="array" ref="I2282">_xlfn.IFS(C2282&lt;=15,"Children and Young Adolescents", C2282&gt;64, "Seniors", TRUE, "Working Age")</f>
        <v>Seniors</v>
      </c>
      <c r="J2282" s="6">
        <f>VLOOKUP(F2282,Analysis!$F$1:$G$5,2,FALSE)</f>
        <v>2440.2966694490838</v>
      </c>
      <c r="K2282">
        <f t="shared" si="140"/>
        <v>1382.7</v>
      </c>
      <c r="L2282">
        <f t="shared" si="141"/>
        <v>1382.7</v>
      </c>
      <c r="M2282">
        <f t="shared" si="142"/>
        <v>1382.7</v>
      </c>
      <c r="N2282" s="5" t="str">
        <f t="shared" si="143"/>
        <v>November 2022</v>
      </c>
    </row>
    <row r="2283" spans="1:14" x14ac:dyDescent="0.25">
      <c r="A2283" s="1">
        <v>44892</v>
      </c>
      <c r="B2283" t="s">
        <v>2563</v>
      </c>
      <c r="C2283">
        <v>81</v>
      </c>
      <c r="D2283" t="s">
        <v>14</v>
      </c>
      <c r="E2283" t="s">
        <v>5032</v>
      </c>
      <c r="F2283" t="s">
        <v>16</v>
      </c>
      <c r="G2283" t="s">
        <v>36</v>
      </c>
      <c r="H2283">
        <v>1309.69</v>
      </c>
      <c r="I2283" s="8" t="str" cm="1">
        <f t="array" ref="I2283">_xlfn.IFS(C2283&lt;=15,"Children and Young Adolescents", C2283&gt;64, "Seniors", TRUE, "Working Age")</f>
        <v>Seniors</v>
      </c>
      <c r="J2283" s="6">
        <f>VLOOKUP(F2283,Analysis!$F$1:$G$5,2,FALSE)</f>
        <v>2509.1716796874912</v>
      </c>
      <c r="K2283">
        <f t="shared" si="140"/>
        <v>1440.65</v>
      </c>
      <c r="L2283">
        <f t="shared" si="141"/>
        <v>1440.66</v>
      </c>
      <c r="M2283">
        <f t="shared" si="142"/>
        <v>1440.66</v>
      </c>
      <c r="N2283" s="5" t="str">
        <f t="shared" si="143"/>
        <v>November 2022</v>
      </c>
    </row>
    <row r="2284" spans="1:14" x14ac:dyDescent="0.25">
      <c r="A2284" s="1">
        <v>44893</v>
      </c>
      <c r="B2284" t="s">
        <v>2640</v>
      </c>
      <c r="C2284">
        <v>33</v>
      </c>
      <c r="D2284" t="s">
        <v>9</v>
      </c>
      <c r="E2284" t="s">
        <v>32</v>
      </c>
      <c r="F2284" t="s">
        <v>23</v>
      </c>
      <c r="G2284" t="s">
        <v>12</v>
      </c>
      <c r="H2284">
        <v>399.49</v>
      </c>
      <c r="I2284" s="8" t="str" cm="1">
        <f t="array" ref="I2284">_xlfn.IFS(C2284&lt;=15,"Children and Young Adolescents", C2284&gt;64, "Seniors", TRUE, "Working Age")</f>
        <v>Working Age</v>
      </c>
      <c r="J2284" s="6">
        <f>VLOOKUP(F2284,Analysis!$F$1:$G$5,2,FALSE)</f>
        <v>2440.2966694490838</v>
      </c>
      <c r="K2284">
        <f t="shared" si="140"/>
        <v>439.43</v>
      </c>
      <c r="L2284">
        <f t="shared" si="141"/>
        <v>439.44</v>
      </c>
      <c r="M2284">
        <f t="shared" si="142"/>
        <v>439.44</v>
      </c>
      <c r="N2284" s="5" t="str">
        <f t="shared" si="143"/>
        <v>November 2022</v>
      </c>
    </row>
    <row r="2285" spans="1:14" x14ac:dyDescent="0.25">
      <c r="A2285" s="1">
        <v>44893</v>
      </c>
      <c r="B2285" t="s">
        <v>3287</v>
      </c>
      <c r="C2285">
        <v>27</v>
      </c>
      <c r="D2285" t="s">
        <v>21</v>
      </c>
      <c r="E2285" t="s">
        <v>34</v>
      </c>
      <c r="F2285" t="s">
        <v>16</v>
      </c>
      <c r="G2285" t="s">
        <v>27</v>
      </c>
      <c r="H2285">
        <v>1659.68</v>
      </c>
      <c r="I2285" s="8" t="str" cm="1">
        <f t="array" ref="I2285">_xlfn.IFS(C2285&lt;=15,"Children and Young Adolescents", C2285&gt;64, "Seniors", TRUE, "Working Age")</f>
        <v>Working Age</v>
      </c>
      <c r="J2285" s="6">
        <f>VLOOKUP(F2285,Analysis!$F$1:$G$5,2,FALSE)</f>
        <v>2509.1716796874912</v>
      </c>
      <c r="K2285">
        <f t="shared" si="140"/>
        <v>1825.64</v>
      </c>
      <c r="L2285">
        <f t="shared" si="141"/>
        <v>1825.65</v>
      </c>
      <c r="M2285">
        <f t="shared" si="142"/>
        <v>1825.65</v>
      </c>
      <c r="N2285" s="5" t="str">
        <f t="shared" si="143"/>
        <v>November 2022</v>
      </c>
    </row>
    <row r="2286" spans="1:14" x14ac:dyDescent="0.25">
      <c r="A2286" s="1">
        <v>44893</v>
      </c>
      <c r="B2286" t="s">
        <v>2865</v>
      </c>
      <c r="C2286">
        <v>23</v>
      </c>
      <c r="D2286" t="s">
        <v>14</v>
      </c>
      <c r="E2286" t="s">
        <v>32</v>
      </c>
      <c r="F2286" t="s">
        <v>23</v>
      </c>
      <c r="G2286" t="s">
        <v>12</v>
      </c>
      <c r="H2286">
        <v>4959.8</v>
      </c>
      <c r="I2286" s="8" t="str" cm="1">
        <f t="array" ref="I2286">_xlfn.IFS(C2286&lt;=15,"Children and Young Adolescents", C2286&gt;64, "Seniors", TRUE, "Working Age")</f>
        <v>Working Age</v>
      </c>
      <c r="J2286" s="6">
        <f>VLOOKUP(F2286,Analysis!$F$1:$G$5,2,FALSE)</f>
        <v>2440.2966694490838</v>
      </c>
      <c r="K2286">
        <f t="shared" si="140"/>
        <v>5455.78</v>
      </c>
      <c r="L2286">
        <f t="shared" si="141"/>
        <v>5455.78</v>
      </c>
      <c r="M2286">
        <f t="shared" si="142"/>
        <v>5455.78</v>
      </c>
      <c r="N2286" s="5" t="str">
        <f t="shared" si="143"/>
        <v>November 2022</v>
      </c>
    </row>
    <row r="2287" spans="1:14" x14ac:dyDescent="0.25">
      <c r="A2287" s="1">
        <v>44893</v>
      </c>
      <c r="B2287" t="s">
        <v>1984</v>
      </c>
      <c r="C2287">
        <v>34</v>
      </c>
      <c r="D2287" t="s">
        <v>14</v>
      </c>
      <c r="E2287" t="s">
        <v>15</v>
      </c>
      <c r="F2287" t="s">
        <v>16</v>
      </c>
      <c r="G2287" t="s">
        <v>27</v>
      </c>
      <c r="H2287">
        <v>1869.7</v>
      </c>
      <c r="I2287" s="8" t="str" cm="1">
        <f t="array" ref="I2287">_xlfn.IFS(C2287&lt;=15,"Children and Young Adolescents", C2287&gt;64, "Seniors", TRUE, "Working Age")</f>
        <v>Working Age</v>
      </c>
      <c r="J2287" s="6">
        <f>VLOOKUP(F2287,Analysis!$F$1:$G$5,2,FALSE)</f>
        <v>2509.1716796874912</v>
      </c>
      <c r="K2287">
        <f t="shared" si="140"/>
        <v>2056.67</v>
      </c>
      <c r="L2287">
        <f t="shared" si="141"/>
        <v>2056.67</v>
      </c>
      <c r="M2287">
        <f t="shared" si="142"/>
        <v>2056.67</v>
      </c>
      <c r="N2287" s="5" t="str">
        <f t="shared" si="143"/>
        <v>November 2022</v>
      </c>
    </row>
    <row r="2288" spans="1:14" x14ac:dyDescent="0.25">
      <c r="A2288" s="1">
        <v>44894</v>
      </c>
      <c r="B2288" t="s">
        <v>3530</v>
      </c>
      <c r="C2288">
        <v>7</v>
      </c>
      <c r="D2288" t="s">
        <v>21</v>
      </c>
      <c r="E2288" t="s">
        <v>5032</v>
      </c>
      <c r="F2288" t="s">
        <v>23</v>
      </c>
      <c r="G2288" t="s">
        <v>27</v>
      </c>
      <c r="H2288">
        <v>4911.9399999999996</v>
      </c>
      <c r="I2288" s="8" t="str" cm="1">
        <f t="array" ref="I2288">_xlfn.IFS(C2288&lt;=15,"Children and Young Adolescents", C2288&gt;64, "Seniors", TRUE, "Working Age")</f>
        <v>Children and Young Adolescents</v>
      </c>
      <c r="J2288" s="6">
        <f>VLOOKUP(F2288,Analysis!$F$1:$G$5,2,FALSE)</f>
        <v>2440.2966694490838</v>
      </c>
      <c r="K2288">
        <f t="shared" si="140"/>
        <v>5403.13</v>
      </c>
      <c r="L2288">
        <f t="shared" si="141"/>
        <v>5403.14</v>
      </c>
      <c r="M2288">
        <f t="shared" si="142"/>
        <v>5403.13</v>
      </c>
      <c r="N2288" s="5" t="str">
        <f t="shared" si="143"/>
        <v>November 2022</v>
      </c>
    </row>
    <row r="2289" spans="1:14" x14ac:dyDescent="0.25">
      <c r="A2289" s="1">
        <v>44894</v>
      </c>
      <c r="B2289" t="s">
        <v>3024</v>
      </c>
      <c r="C2289">
        <v>32</v>
      </c>
      <c r="D2289" t="s">
        <v>9</v>
      </c>
      <c r="E2289" t="s">
        <v>19</v>
      </c>
      <c r="F2289" t="s">
        <v>23</v>
      </c>
      <c r="G2289" t="s">
        <v>12</v>
      </c>
      <c r="H2289">
        <v>669.12</v>
      </c>
      <c r="I2289" s="8" t="str" cm="1">
        <f t="array" ref="I2289">_xlfn.IFS(C2289&lt;=15,"Children and Young Adolescents", C2289&gt;64, "Seniors", TRUE, "Working Age")</f>
        <v>Working Age</v>
      </c>
      <c r="J2289" s="6">
        <f>VLOOKUP(F2289,Analysis!$F$1:$G$5,2,FALSE)</f>
        <v>2440.2966694490838</v>
      </c>
      <c r="K2289">
        <f t="shared" si="140"/>
        <v>736.03</v>
      </c>
      <c r="L2289">
        <f t="shared" si="141"/>
        <v>736.04</v>
      </c>
      <c r="M2289">
        <f t="shared" si="142"/>
        <v>736.03</v>
      </c>
      <c r="N2289" s="5" t="str">
        <f t="shared" si="143"/>
        <v>November 2022</v>
      </c>
    </row>
    <row r="2290" spans="1:14" x14ac:dyDescent="0.25">
      <c r="A2290" s="1">
        <v>44894</v>
      </c>
      <c r="B2290" t="s">
        <v>1352</v>
      </c>
      <c r="C2290">
        <v>96</v>
      </c>
      <c r="D2290" t="s">
        <v>9</v>
      </c>
      <c r="E2290" t="s">
        <v>32</v>
      </c>
      <c r="F2290" t="s">
        <v>23</v>
      </c>
      <c r="G2290" t="s">
        <v>17</v>
      </c>
      <c r="H2290">
        <v>429.83</v>
      </c>
      <c r="I2290" s="8" t="str" cm="1">
        <f t="array" ref="I2290">_xlfn.IFS(C2290&lt;=15,"Children and Young Adolescents", C2290&gt;64, "Seniors", TRUE, "Working Age")</f>
        <v>Seniors</v>
      </c>
      <c r="J2290" s="6">
        <f>VLOOKUP(F2290,Analysis!$F$1:$G$5,2,FALSE)</f>
        <v>2440.2966694490838</v>
      </c>
      <c r="K2290">
        <f t="shared" si="140"/>
        <v>472.81</v>
      </c>
      <c r="L2290">
        <f t="shared" si="141"/>
        <v>472.82</v>
      </c>
      <c r="M2290">
        <f t="shared" si="142"/>
        <v>472.81</v>
      </c>
      <c r="N2290" s="5" t="str">
        <f t="shared" si="143"/>
        <v>November 2022</v>
      </c>
    </row>
    <row r="2291" spans="1:14" x14ac:dyDescent="0.25">
      <c r="A2291" s="1">
        <v>44894</v>
      </c>
      <c r="B2291" t="s">
        <v>3275</v>
      </c>
      <c r="C2291">
        <v>63</v>
      </c>
      <c r="D2291" t="s">
        <v>21</v>
      </c>
      <c r="E2291" t="s">
        <v>25</v>
      </c>
      <c r="F2291" t="s">
        <v>29</v>
      </c>
      <c r="G2291" t="s">
        <v>36</v>
      </c>
      <c r="H2291">
        <v>773.68</v>
      </c>
      <c r="I2291" s="8" t="str" cm="1">
        <f t="array" ref="I2291">_xlfn.IFS(C2291&lt;=15,"Children and Young Adolescents", C2291&gt;64, "Seniors", TRUE, "Working Age")</f>
        <v>Working Age</v>
      </c>
      <c r="J2291" s="6">
        <f>VLOOKUP(F2291,Analysis!$F$1:$G$5,2,FALSE)</f>
        <v>2496.7676064256989</v>
      </c>
      <c r="K2291">
        <f t="shared" si="140"/>
        <v>851.04</v>
      </c>
      <c r="L2291">
        <f t="shared" si="141"/>
        <v>851.05</v>
      </c>
      <c r="M2291">
        <f t="shared" si="142"/>
        <v>851.05</v>
      </c>
      <c r="N2291" s="5" t="str">
        <f t="shared" si="143"/>
        <v>November 2022</v>
      </c>
    </row>
    <row r="2292" spans="1:14" x14ac:dyDescent="0.25">
      <c r="A2292" s="1">
        <v>44894</v>
      </c>
      <c r="B2292" t="s">
        <v>132</v>
      </c>
      <c r="C2292">
        <v>98</v>
      </c>
      <c r="D2292" t="s">
        <v>21</v>
      </c>
      <c r="E2292" t="s">
        <v>5032</v>
      </c>
      <c r="F2292" t="s">
        <v>16</v>
      </c>
      <c r="G2292" t="s">
        <v>36</v>
      </c>
      <c r="H2292">
        <v>4759.17</v>
      </c>
      <c r="I2292" s="8" t="str" cm="1">
        <f t="array" ref="I2292">_xlfn.IFS(C2292&lt;=15,"Children and Young Adolescents", C2292&gt;64, "Seniors", TRUE, "Working Age")</f>
        <v>Seniors</v>
      </c>
      <c r="J2292" s="6">
        <f>VLOOKUP(F2292,Analysis!$F$1:$G$5,2,FALSE)</f>
        <v>2509.1716796874912</v>
      </c>
      <c r="K2292">
        <f t="shared" si="140"/>
        <v>5235.08</v>
      </c>
      <c r="L2292">
        <f t="shared" si="141"/>
        <v>5235.09</v>
      </c>
      <c r="M2292">
        <f t="shared" si="142"/>
        <v>5235.09</v>
      </c>
      <c r="N2292" s="5" t="str">
        <f t="shared" si="143"/>
        <v>November 2022</v>
      </c>
    </row>
    <row r="2293" spans="1:14" x14ac:dyDescent="0.25">
      <c r="A2293" s="1">
        <v>44894</v>
      </c>
      <c r="B2293" t="s">
        <v>1019</v>
      </c>
      <c r="C2293">
        <v>85</v>
      </c>
      <c r="D2293" t="s">
        <v>21</v>
      </c>
      <c r="E2293" t="s">
        <v>10</v>
      </c>
      <c r="F2293" t="s">
        <v>16</v>
      </c>
      <c r="G2293" t="s">
        <v>36</v>
      </c>
      <c r="H2293">
        <v>3243.49</v>
      </c>
      <c r="I2293" s="8" t="str" cm="1">
        <f t="array" ref="I2293">_xlfn.IFS(C2293&lt;=15,"Children and Young Adolescents", C2293&gt;64, "Seniors", TRUE, "Working Age")</f>
        <v>Seniors</v>
      </c>
      <c r="J2293" s="6">
        <f>VLOOKUP(F2293,Analysis!$F$1:$G$5,2,FALSE)</f>
        <v>2509.1716796874912</v>
      </c>
      <c r="K2293">
        <f t="shared" si="140"/>
        <v>3567.83</v>
      </c>
      <c r="L2293">
        <f t="shared" si="141"/>
        <v>3567.84</v>
      </c>
      <c r="M2293">
        <f t="shared" si="142"/>
        <v>3567.84</v>
      </c>
      <c r="N2293" s="5" t="str">
        <f t="shared" si="143"/>
        <v>November 2022</v>
      </c>
    </row>
    <row r="2294" spans="1:14" x14ac:dyDescent="0.25">
      <c r="A2294" s="1">
        <v>44894</v>
      </c>
      <c r="B2294" t="s">
        <v>1450</v>
      </c>
      <c r="C2294">
        <v>14</v>
      </c>
      <c r="D2294" t="s">
        <v>14</v>
      </c>
      <c r="E2294" t="s">
        <v>32</v>
      </c>
      <c r="F2294" t="s">
        <v>23</v>
      </c>
      <c r="G2294" t="s">
        <v>12</v>
      </c>
      <c r="H2294">
        <v>3777.44</v>
      </c>
      <c r="I2294" s="8" t="str" cm="1">
        <f t="array" ref="I2294">_xlfn.IFS(C2294&lt;=15,"Children and Young Adolescents", C2294&gt;64, "Seniors", TRUE, "Working Age")</f>
        <v>Children and Young Adolescents</v>
      </c>
      <c r="J2294" s="6">
        <f>VLOOKUP(F2294,Analysis!$F$1:$G$5,2,FALSE)</f>
        <v>2440.2966694490838</v>
      </c>
      <c r="K2294">
        <f t="shared" si="140"/>
        <v>4155.18</v>
      </c>
      <c r="L2294">
        <f t="shared" si="141"/>
        <v>4155.1900000000005</v>
      </c>
      <c r="M2294">
        <f t="shared" si="142"/>
        <v>4155.18</v>
      </c>
      <c r="N2294" s="5" t="str">
        <f t="shared" si="143"/>
        <v>November 2022</v>
      </c>
    </row>
    <row r="2295" spans="1:14" x14ac:dyDescent="0.25">
      <c r="A2295" s="1">
        <v>44894</v>
      </c>
      <c r="B2295" t="s">
        <v>4894</v>
      </c>
      <c r="C2295">
        <v>69</v>
      </c>
      <c r="D2295" t="s">
        <v>21</v>
      </c>
      <c r="E2295" t="s">
        <v>15</v>
      </c>
      <c r="F2295" t="s">
        <v>23</v>
      </c>
      <c r="G2295" t="s">
        <v>12</v>
      </c>
      <c r="H2295">
        <v>2666.93</v>
      </c>
      <c r="I2295" s="8" t="str" cm="1">
        <f t="array" ref="I2295">_xlfn.IFS(C2295&lt;=15,"Children and Young Adolescents", C2295&gt;64, "Seniors", TRUE, "Working Age")</f>
        <v>Seniors</v>
      </c>
      <c r="J2295" s="6">
        <f>VLOOKUP(F2295,Analysis!$F$1:$G$5,2,FALSE)</f>
        <v>2440.2966694490838</v>
      </c>
      <c r="K2295">
        <f t="shared" si="140"/>
        <v>2933.62</v>
      </c>
      <c r="L2295">
        <f t="shared" si="141"/>
        <v>2933.63</v>
      </c>
      <c r="M2295">
        <f t="shared" si="142"/>
        <v>2933.62</v>
      </c>
      <c r="N2295" s="5" t="str">
        <f t="shared" si="143"/>
        <v>November 2022</v>
      </c>
    </row>
    <row r="2296" spans="1:14" x14ac:dyDescent="0.25">
      <c r="A2296" s="1">
        <v>44894</v>
      </c>
      <c r="B2296" t="s">
        <v>35</v>
      </c>
      <c r="C2296">
        <v>15</v>
      </c>
      <c r="D2296" t="s">
        <v>14</v>
      </c>
      <c r="E2296" t="s">
        <v>19</v>
      </c>
      <c r="F2296" t="s">
        <v>29</v>
      </c>
      <c r="G2296" t="s">
        <v>36</v>
      </c>
      <c r="H2296">
        <v>1727.97</v>
      </c>
      <c r="I2296" s="8" t="str" cm="1">
        <f t="array" ref="I2296">_xlfn.IFS(C2296&lt;=15,"Children and Young Adolescents", C2296&gt;64, "Seniors", TRUE, "Working Age")</f>
        <v>Children and Young Adolescents</v>
      </c>
      <c r="J2296" s="6">
        <f>VLOOKUP(F2296,Analysis!$F$1:$G$5,2,FALSE)</f>
        <v>2496.7676064256989</v>
      </c>
      <c r="K2296">
        <f t="shared" si="140"/>
        <v>1900.76</v>
      </c>
      <c r="L2296">
        <f t="shared" si="141"/>
        <v>1900.77</v>
      </c>
      <c r="M2296">
        <f t="shared" si="142"/>
        <v>1900.77</v>
      </c>
      <c r="N2296" s="5" t="str">
        <f t="shared" si="143"/>
        <v>November 2022</v>
      </c>
    </row>
    <row r="2297" spans="1:14" x14ac:dyDescent="0.25">
      <c r="A2297" s="1">
        <v>44894</v>
      </c>
      <c r="B2297" t="s">
        <v>2193</v>
      </c>
      <c r="C2297">
        <v>53</v>
      </c>
      <c r="D2297" t="s">
        <v>14</v>
      </c>
      <c r="E2297" t="s">
        <v>5032</v>
      </c>
      <c r="F2297" t="s">
        <v>16</v>
      </c>
      <c r="G2297" t="s">
        <v>27</v>
      </c>
      <c r="H2297">
        <v>4344.24</v>
      </c>
      <c r="I2297" s="8" t="str" cm="1">
        <f t="array" ref="I2297">_xlfn.IFS(C2297&lt;=15,"Children and Young Adolescents", C2297&gt;64, "Seniors", TRUE, "Working Age")</f>
        <v>Working Age</v>
      </c>
      <c r="J2297" s="6">
        <f>VLOOKUP(F2297,Analysis!$F$1:$G$5,2,FALSE)</f>
        <v>2509.1716796874912</v>
      </c>
      <c r="K2297">
        <f t="shared" si="140"/>
        <v>4778.66</v>
      </c>
      <c r="L2297">
        <f t="shared" si="141"/>
        <v>4778.67</v>
      </c>
      <c r="M2297">
        <f t="shared" si="142"/>
        <v>4778.66</v>
      </c>
      <c r="N2297" s="5" t="str">
        <f t="shared" si="143"/>
        <v>November 2022</v>
      </c>
    </row>
    <row r="2298" spans="1:14" x14ac:dyDescent="0.25">
      <c r="A2298" s="1">
        <v>44895</v>
      </c>
      <c r="B2298" t="s">
        <v>1636</v>
      </c>
      <c r="C2298">
        <v>37</v>
      </c>
      <c r="D2298" t="s">
        <v>14</v>
      </c>
      <c r="E2298" t="s">
        <v>34</v>
      </c>
      <c r="F2298" t="s">
        <v>16</v>
      </c>
      <c r="G2298" t="s">
        <v>36</v>
      </c>
      <c r="H2298">
        <v>563.04999999999995</v>
      </c>
      <c r="I2298" s="8" t="str" cm="1">
        <f t="array" ref="I2298">_xlfn.IFS(C2298&lt;=15,"Children and Young Adolescents", C2298&gt;64, "Seniors", TRUE, "Working Age")</f>
        <v>Working Age</v>
      </c>
      <c r="J2298" s="6">
        <f>VLOOKUP(F2298,Analysis!$F$1:$G$5,2,FALSE)</f>
        <v>2509.1716796874912</v>
      </c>
      <c r="K2298">
        <f t="shared" si="140"/>
        <v>619.35</v>
      </c>
      <c r="L2298">
        <f t="shared" si="141"/>
        <v>619.36</v>
      </c>
      <c r="M2298">
        <f t="shared" si="142"/>
        <v>619.36</v>
      </c>
      <c r="N2298" s="5" t="str">
        <f t="shared" si="143"/>
        <v>November 2022</v>
      </c>
    </row>
    <row r="2299" spans="1:14" x14ac:dyDescent="0.25">
      <c r="A2299" s="1">
        <v>44895</v>
      </c>
      <c r="B2299" t="s">
        <v>3705</v>
      </c>
      <c r="C2299">
        <v>65</v>
      </c>
      <c r="D2299" t="s">
        <v>21</v>
      </c>
      <c r="E2299" t="s">
        <v>19</v>
      </c>
      <c r="F2299" t="s">
        <v>11</v>
      </c>
      <c r="G2299" t="s">
        <v>27</v>
      </c>
      <c r="H2299">
        <v>55.18</v>
      </c>
      <c r="I2299" s="8" t="str" cm="1">
        <f t="array" ref="I2299">_xlfn.IFS(C2299&lt;=15,"Children and Young Adolescents", C2299&gt;64, "Seniors", TRUE, "Working Age")</f>
        <v>Seniors</v>
      </c>
      <c r="J2299" s="6">
        <f>VLOOKUP(F2299,Analysis!$F$1:$G$5,2,FALSE)</f>
        <v>2503.6022787783854</v>
      </c>
      <c r="K2299">
        <f t="shared" si="140"/>
        <v>60.69</v>
      </c>
      <c r="L2299">
        <f t="shared" si="141"/>
        <v>60.699999999999996</v>
      </c>
      <c r="M2299">
        <f t="shared" si="142"/>
        <v>60.7</v>
      </c>
      <c r="N2299" s="5" t="str">
        <f t="shared" si="143"/>
        <v>November 2022</v>
      </c>
    </row>
    <row r="2300" spans="1:14" x14ac:dyDescent="0.25">
      <c r="A2300" s="1">
        <v>44895</v>
      </c>
      <c r="B2300" t="s">
        <v>98</v>
      </c>
      <c r="C2300">
        <v>92</v>
      </c>
      <c r="D2300" t="s">
        <v>21</v>
      </c>
      <c r="E2300" t="s">
        <v>34</v>
      </c>
      <c r="F2300" t="s">
        <v>16</v>
      </c>
      <c r="G2300" t="s">
        <v>39</v>
      </c>
      <c r="H2300">
        <v>1518.26</v>
      </c>
      <c r="I2300" s="8" t="str" cm="1">
        <f t="array" ref="I2300">_xlfn.IFS(C2300&lt;=15,"Children and Young Adolescents", C2300&gt;64, "Seniors", TRUE, "Working Age")</f>
        <v>Seniors</v>
      </c>
      <c r="J2300" s="6">
        <f>VLOOKUP(F2300,Analysis!$F$1:$G$5,2,FALSE)</f>
        <v>2509.1716796874912</v>
      </c>
      <c r="K2300">
        <f t="shared" si="140"/>
        <v>1670.08</v>
      </c>
      <c r="L2300">
        <f t="shared" si="141"/>
        <v>1670.09</v>
      </c>
      <c r="M2300">
        <f t="shared" si="142"/>
        <v>1670.09</v>
      </c>
      <c r="N2300" s="5" t="str">
        <f t="shared" si="143"/>
        <v>November 2022</v>
      </c>
    </row>
    <row r="2301" spans="1:14" x14ac:dyDescent="0.25">
      <c r="A2301" s="1">
        <v>44895</v>
      </c>
      <c r="B2301" t="s">
        <v>638</v>
      </c>
      <c r="C2301">
        <v>7</v>
      </c>
      <c r="D2301" t="s">
        <v>9</v>
      </c>
      <c r="E2301" t="s">
        <v>32</v>
      </c>
      <c r="F2301" t="s">
        <v>16</v>
      </c>
      <c r="G2301" t="s">
        <v>17</v>
      </c>
      <c r="H2301">
        <v>1847</v>
      </c>
      <c r="I2301" s="8" t="str" cm="1">
        <f t="array" ref="I2301">_xlfn.IFS(C2301&lt;=15,"Children and Young Adolescents", C2301&gt;64, "Seniors", TRUE, "Working Age")</f>
        <v>Children and Young Adolescents</v>
      </c>
      <c r="J2301" s="6">
        <f>VLOOKUP(F2301,Analysis!$F$1:$G$5,2,FALSE)</f>
        <v>2509.1716796874912</v>
      </c>
      <c r="K2301">
        <f t="shared" si="140"/>
        <v>2031.7</v>
      </c>
      <c r="L2301">
        <f t="shared" si="141"/>
        <v>2031.7</v>
      </c>
      <c r="M2301">
        <f t="shared" si="142"/>
        <v>2031.7</v>
      </c>
      <c r="N2301" s="5" t="str">
        <f t="shared" si="143"/>
        <v>November 2022</v>
      </c>
    </row>
    <row r="2302" spans="1:14" x14ac:dyDescent="0.25">
      <c r="A2302" s="1">
        <v>44895</v>
      </c>
      <c r="B2302" t="s">
        <v>1517</v>
      </c>
      <c r="C2302">
        <v>4</v>
      </c>
      <c r="D2302" t="s">
        <v>14</v>
      </c>
      <c r="E2302" t="s">
        <v>32</v>
      </c>
      <c r="F2302" t="s">
        <v>11</v>
      </c>
      <c r="G2302" t="s">
        <v>12</v>
      </c>
      <c r="H2302">
        <v>1867</v>
      </c>
      <c r="I2302" s="8" t="str" cm="1">
        <f t="array" ref="I2302">_xlfn.IFS(C2302&lt;=15,"Children and Young Adolescents", C2302&gt;64, "Seniors", TRUE, "Working Age")</f>
        <v>Children and Young Adolescents</v>
      </c>
      <c r="J2302" s="6">
        <f>VLOOKUP(F2302,Analysis!$F$1:$G$5,2,FALSE)</f>
        <v>2503.6022787783854</v>
      </c>
      <c r="K2302">
        <f t="shared" si="140"/>
        <v>2053.6999999999998</v>
      </c>
      <c r="L2302">
        <f t="shared" si="141"/>
        <v>2053.6999999999998</v>
      </c>
      <c r="M2302">
        <f t="shared" si="142"/>
        <v>2053.6999999999998</v>
      </c>
      <c r="N2302" s="5" t="str">
        <f t="shared" si="143"/>
        <v>November 2022</v>
      </c>
    </row>
    <row r="2303" spans="1:14" x14ac:dyDescent="0.25">
      <c r="A2303" s="1">
        <v>44895</v>
      </c>
      <c r="B2303" t="s">
        <v>1694</v>
      </c>
      <c r="C2303">
        <v>48</v>
      </c>
      <c r="D2303" t="s">
        <v>9</v>
      </c>
      <c r="E2303" t="s">
        <v>34</v>
      </c>
      <c r="F2303" t="s">
        <v>16</v>
      </c>
      <c r="G2303" t="s">
        <v>12</v>
      </c>
      <c r="H2303">
        <v>3384.1</v>
      </c>
      <c r="I2303" s="8" t="str" cm="1">
        <f t="array" ref="I2303">_xlfn.IFS(C2303&lt;=15,"Children and Young Adolescents", C2303&gt;64, "Seniors", TRUE, "Working Age")</f>
        <v>Working Age</v>
      </c>
      <c r="J2303" s="6">
        <f>VLOOKUP(F2303,Analysis!$F$1:$G$5,2,FALSE)</f>
        <v>2509.1716796874912</v>
      </c>
      <c r="K2303">
        <f t="shared" si="140"/>
        <v>3722.51</v>
      </c>
      <c r="L2303">
        <f t="shared" si="141"/>
        <v>3722.51</v>
      </c>
      <c r="M2303">
        <f t="shared" si="142"/>
        <v>3722.51</v>
      </c>
      <c r="N2303" s="5" t="str">
        <f t="shared" si="143"/>
        <v>November 2022</v>
      </c>
    </row>
    <row r="2304" spans="1:14" x14ac:dyDescent="0.25">
      <c r="A2304" s="1">
        <v>44895</v>
      </c>
      <c r="B2304" t="s">
        <v>2697</v>
      </c>
      <c r="C2304">
        <v>93</v>
      </c>
      <c r="D2304" t="s">
        <v>21</v>
      </c>
      <c r="E2304" t="s">
        <v>19</v>
      </c>
      <c r="F2304" t="s">
        <v>29</v>
      </c>
      <c r="G2304" t="s">
        <v>36</v>
      </c>
      <c r="H2304">
        <v>2725.38</v>
      </c>
      <c r="I2304" s="8" t="str" cm="1">
        <f t="array" ref="I2304">_xlfn.IFS(C2304&lt;=15,"Children and Young Adolescents", C2304&gt;64, "Seniors", TRUE, "Working Age")</f>
        <v>Seniors</v>
      </c>
      <c r="J2304" s="6">
        <f>VLOOKUP(F2304,Analysis!$F$1:$G$5,2,FALSE)</f>
        <v>2496.7676064256989</v>
      </c>
      <c r="K2304">
        <f t="shared" si="140"/>
        <v>2997.91</v>
      </c>
      <c r="L2304">
        <f t="shared" si="141"/>
        <v>2997.92</v>
      </c>
      <c r="M2304">
        <f t="shared" si="142"/>
        <v>2997.92</v>
      </c>
      <c r="N2304" s="5" t="str">
        <f t="shared" si="143"/>
        <v>November 2022</v>
      </c>
    </row>
    <row r="2305" spans="1:14" x14ac:dyDescent="0.25">
      <c r="A2305" s="1">
        <v>44895</v>
      </c>
      <c r="B2305" t="s">
        <v>2419</v>
      </c>
      <c r="C2305">
        <v>69</v>
      </c>
      <c r="D2305" t="s">
        <v>21</v>
      </c>
      <c r="E2305" t="s">
        <v>10</v>
      </c>
      <c r="F2305" t="s">
        <v>16</v>
      </c>
      <c r="G2305" t="s">
        <v>27</v>
      </c>
      <c r="H2305">
        <v>638.23</v>
      </c>
      <c r="I2305" s="8" t="str" cm="1">
        <f t="array" ref="I2305">_xlfn.IFS(C2305&lt;=15,"Children and Young Adolescents", C2305&gt;64, "Seniors", TRUE, "Working Age")</f>
        <v>Seniors</v>
      </c>
      <c r="J2305" s="6">
        <f>VLOOKUP(F2305,Analysis!$F$1:$G$5,2,FALSE)</f>
        <v>2509.1716796874912</v>
      </c>
      <c r="K2305">
        <f t="shared" si="140"/>
        <v>702.05</v>
      </c>
      <c r="L2305">
        <f t="shared" si="141"/>
        <v>702.06</v>
      </c>
      <c r="M2305">
        <f t="shared" si="142"/>
        <v>702.05</v>
      </c>
      <c r="N2305" s="5" t="str">
        <f t="shared" si="143"/>
        <v>November 2022</v>
      </c>
    </row>
    <row r="2306" spans="1:14" x14ac:dyDescent="0.25">
      <c r="A2306" s="1">
        <v>44895</v>
      </c>
      <c r="B2306" t="s">
        <v>2633</v>
      </c>
      <c r="C2306">
        <v>83</v>
      </c>
      <c r="D2306" t="s">
        <v>9</v>
      </c>
      <c r="E2306" t="s">
        <v>5032</v>
      </c>
      <c r="F2306" t="s">
        <v>11</v>
      </c>
      <c r="G2306" t="s">
        <v>17</v>
      </c>
      <c r="H2306">
        <v>3554.46</v>
      </c>
      <c r="I2306" s="8" t="str" cm="1">
        <f t="array" ref="I2306">_xlfn.IFS(C2306&lt;=15,"Children and Young Adolescents", C2306&gt;64, "Seniors", TRUE, "Working Age")</f>
        <v>Seniors</v>
      </c>
      <c r="J2306" s="6">
        <f>VLOOKUP(F2306,Analysis!$F$1:$G$5,2,FALSE)</f>
        <v>2503.6022787783854</v>
      </c>
      <c r="K2306">
        <f t="shared" si="140"/>
        <v>3909.9</v>
      </c>
      <c r="L2306">
        <f t="shared" si="141"/>
        <v>3909.9100000000003</v>
      </c>
      <c r="M2306">
        <f t="shared" si="142"/>
        <v>3909.91</v>
      </c>
      <c r="N2306" s="5" t="str">
        <f t="shared" si="143"/>
        <v>November 2022</v>
      </c>
    </row>
    <row r="2307" spans="1:14" x14ac:dyDescent="0.25">
      <c r="A2307" s="1">
        <v>44896</v>
      </c>
      <c r="B2307" t="s">
        <v>101</v>
      </c>
      <c r="C2307">
        <v>26</v>
      </c>
      <c r="D2307" t="s">
        <v>14</v>
      </c>
      <c r="E2307" t="s">
        <v>10</v>
      </c>
      <c r="F2307" t="s">
        <v>11</v>
      </c>
      <c r="G2307" t="s">
        <v>36</v>
      </c>
      <c r="H2307">
        <v>4861.8999999999996</v>
      </c>
      <c r="I2307" s="8" t="str" cm="1">
        <f t="array" ref="I2307">_xlfn.IFS(C2307&lt;=15,"Children and Young Adolescents", C2307&gt;64, "Seniors", TRUE, "Working Age")</f>
        <v>Working Age</v>
      </c>
      <c r="J2307" s="6">
        <f>VLOOKUP(F2307,Analysis!$F$1:$G$5,2,FALSE)</f>
        <v>2503.6022787783854</v>
      </c>
      <c r="K2307">
        <f t="shared" ref="K2307:K2370" si="144">ROUNDDOWN(H2307*1.1,2)</f>
        <v>5348.09</v>
      </c>
      <c r="L2307">
        <f t="shared" ref="L2307:L2370" si="145">ROUNDUP(H2307*1.1,2)</f>
        <v>5348.09</v>
      </c>
      <c r="M2307">
        <f t="shared" ref="M2307:M2370" si="146">ROUND(H2307*1.1,2)</f>
        <v>5348.09</v>
      </c>
      <c r="N2307" s="5" t="str">
        <f t="shared" ref="N2307:N2370" si="147">TEXT(A2307,"mmmm yyyy")</f>
        <v>December 2022</v>
      </c>
    </row>
    <row r="2308" spans="1:14" x14ac:dyDescent="0.25">
      <c r="A2308" s="1">
        <v>44896</v>
      </c>
      <c r="B2308" t="s">
        <v>3241</v>
      </c>
      <c r="C2308">
        <v>96</v>
      </c>
      <c r="D2308" t="s">
        <v>21</v>
      </c>
      <c r="E2308" t="s">
        <v>34</v>
      </c>
      <c r="F2308" t="s">
        <v>16</v>
      </c>
      <c r="G2308" t="s">
        <v>39</v>
      </c>
      <c r="H2308">
        <v>296.76</v>
      </c>
      <c r="I2308" s="8" t="str" cm="1">
        <f t="array" ref="I2308">_xlfn.IFS(C2308&lt;=15,"Children and Young Adolescents", C2308&gt;64, "Seniors", TRUE, "Working Age")</f>
        <v>Seniors</v>
      </c>
      <c r="J2308" s="6">
        <f>VLOOKUP(F2308,Analysis!$F$1:$G$5,2,FALSE)</f>
        <v>2509.1716796874912</v>
      </c>
      <c r="K2308">
        <f t="shared" si="144"/>
        <v>326.43</v>
      </c>
      <c r="L2308">
        <f t="shared" si="145"/>
        <v>326.44</v>
      </c>
      <c r="M2308">
        <f t="shared" si="146"/>
        <v>326.44</v>
      </c>
      <c r="N2308" s="5" t="str">
        <f t="shared" si="147"/>
        <v>December 2022</v>
      </c>
    </row>
    <row r="2309" spans="1:14" x14ac:dyDescent="0.25">
      <c r="A2309" s="1">
        <v>44896</v>
      </c>
      <c r="B2309" t="s">
        <v>1542</v>
      </c>
      <c r="C2309">
        <v>84</v>
      </c>
      <c r="D2309" t="s">
        <v>21</v>
      </c>
      <c r="E2309" t="s">
        <v>22</v>
      </c>
      <c r="F2309" t="s">
        <v>23</v>
      </c>
      <c r="G2309" t="s">
        <v>39</v>
      </c>
      <c r="H2309">
        <v>1551.68</v>
      </c>
      <c r="I2309" s="8" t="str" cm="1">
        <f t="array" ref="I2309">_xlfn.IFS(C2309&lt;=15,"Children and Young Adolescents", C2309&gt;64, "Seniors", TRUE, "Working Age")</f>
        <v>Seniors</v>
      </c>
      <c r="J2309" s="6">
        <f>VLOOKUP(F2309,Analysis!$F$1:$G$5,2,FALSE)</f>
        <v>2440.2966694490838</v>
      </c>
      <c r="K2309">
        <f t="shared" si="144"/>
        <v>1706.84</v>
      </c>
      <c r="L2309">
        <f t="shared" si="145"/>
        <v>1706.85</v>
      </c>
      <c r="M2309">
        <f t="shared" si="146"/>
        <v>1706.85</v>
      </c>
      <c r="N2309" s="5" t="str">
        <f t="shared" si="147"/>
        <v>December 2022</v>
      </c>
    </row>
    <row r="2310" spans="1:14" x14ac:dyDescent="0.25">
      <c r="A2310" s="1">
        <v>44896</v>
      </c>
      <c r="B2310" t="s">
        <v>3828</v>
      </c>
      <c r="C2310">
        <v>32</v>
      </c>
      <c r="D2310" t="s">
        <v>21</v>
      </c>
      <c r="E2310" t="s">
        <v>10</v>
      </c>
      <c r="F2310" t="s">
        <v>29</v>
      </c>
      <c r="G2310" t="s">
        <v>36</v>
      </c>
      <c r="H2310">
        <v>3122.86</v>
      </c>
      <c r="I2310" s="8" t="str" cm="1">
        <f t="array" ref="I2310">_xlfn.IFS(C2310&lt;=15,"Children and Young Adolescents", C2310&gt;64, "Seniors", TRUE, "Working Age")</f>
        <v>Working Age</v>
      </c>
      <c r="J2310" s="6">
        <f>VLOOKUP(F2310,Analysis!$F$1:$G$5,2,FALSE)</f>
        <v>2496.7676064256989</v>
      </c>
      <c r="K2310">
        <f t="shared" si="144"/>
        <v>3435.14</v>
      </c>
      <c r="L2310">
        <f t="shared" si="145"/>
        <v>3435.15</v>
      </c>
      <c r="M2310">
        <f t="shared" si="146"/>
        <v>3435.15</v>
      </c>
      <c r="N2310" s="5" t="str">
        <f t="shared" si="147"/>
        <v>December 2022</v>
      </c>
    </row>
    <row r="2311" spans="1:14" x14ac:dyDescent="0.25">
      <c r="A2311" s="1">
        <v>44897</v>
      </c>
      <c r="B2311" t="s">
        <v>2746</v>
      </c>
      <c r="C2311">
        <v>70</v>
      </c>
      <c r="D2311" t="s">
        <v>14</v>
      </c>
      <c r="E2311" t="s">
        <v>10</v>
      </c>
      <c r="F2311" t="s">
        <v>16</v>
      </c>
      <c r="G2311" t="s">
        <v>27</v>
      </c>
      <c r="H2311">
        <v>1067.01</v>
      </c>
      <c r="I2311" s="8" t="str" cm="1">
        <f t="array" ref="I2311">_xlfn.IFS(C2311&lt;=15,"Children and Young Adolescents", C2311&gt;64, "Seniors", TRUE, "Working Age")</f>
        <v>Seniors</v>
      </c>
      <c r="J2311" s="6">
        <f>VLOOKUP(F2311,Analysis!$F$1:$G$5,2,FALSE)</f>
        <v>2509.1716796874912</v>
      </c>
      <c r="K2311">
        <f t="shared" si="144"/>
        <v>1173.71</v>
      </c>
      <c r="L2311">
        <f t="shared" si="145"/>
        <v>1173.72</v>
      </c>
      <c r="M2311">
        <f t="shared" si="146"/>
        <v>1173.71</v>
      </c>
      <c r="N2311" s="5" t="str">
        <f t="shared" si="147"/>
        <v>December 2022</v>
      </c>
    </row>
    <row r="2312" spans="1:14" x14ac:dyDescent="0.25">
      <c r="A2312" s="1">
        <v>44897</v>
      </c>
      <c r="B2312" t="s">
        <v>1568</v>
      </c>
      <c r="C2312">
        <v>89</v>
      </c>
      <c r="D2312" t="s">
        <v>21</v>
      </c>
      <c r="E2312" t="s">
        <v>10</v>
      </c>
      <c r="F2312" t="s">
        <v>29</v>
      </c>
      <c r="G2312" t="s">
        <v>36</v>
      </c>
      <c r="H2312">
        <v>2967.42</v>
      </c>
      <c r="I2312" s="8" t="str" cm="1">
        <f t="array" ref="I2312">_xlfn.IFS(C2312&lt;=15,"Children and Young Adolescents", C2312&gt;64, "Seniors", TRUE, "Working Age")</f>
        <v>Seniors</v>
      </c>
      <c r="J2312" s="6">
        <f>VLOOKUP(F2312,Analysis!$F$1:$G$5,2,FALSE)</f>
        <v>2496.7676064256989</v>
      </c>
      <c r="K2312">
        <f t="shared" si="144"/>
        <v>3264.16</v>
      </c>
      <c r="L2312">
        <f t="shared" si="145"/>
        <v>3264.17</v>
      </c>
      <c r="M2312">
        <f t="shared" si="146"/>
        <v>3264.16</v>
      </c>
      <c r="N2312" s="5" t="str">
        <f t="shared" si="147"/>
        <v>December 2022</v>
      </c>
    </row>
    <row r="2313" spans="1:14" x14ac:dyDescent="0.25">
      <c r="A2313" s="1">
        <v>44897</v>
      </c>
      <c r="B2313" t="s">
        <v>2420</v>
      </c>
      <c r="C2313">
        <v>37</v>
      </c>
      <c r="D2313" t="s">
        <v>21</v>
      </c>
      <c r="E2313" t="s">
        <v>10</v>
      </c>
      <c r="F2313" t="s">
        <v>11</v>
      </c>
      <c r="G2313" t="s">
        <v>12</v>
      </c>
      <c r="H2313">
        <v>4251.2700000000004</v>
      </c>
      <c r="I2313" s="8" t="str" cm="1">
        <f t="array" ref="I2313">_xlfn.IFS(C2313&lt;=15,"Children and Young Adolescents", C2313&gt;64, "Seniors", TRUE, "Working Age")</f>
        <v>Working Age</v>
      </c>
      <c r="J2313" s="6">
        <f>VLOOKUP(F2313,Analysis!$F$1:$G$5,2,FALSE)</f>
        <v>2503.6022787783854</v>
      </c>
      <c r="K2313">
        <f t="shared" si="144"/>
        <v>4676.3900000000003</v>
      </c>
      <c r="L2313">
        <f t="shared" si="145"/>
        <v>4676.4000000000005</v>
      </c>
      <c r="M2313">
        <f t="shared" si="146"/>
        <v>4676.3999999999996</v>
      </c>
      <c r="N2313" s="5" t="str">
        <f t="shared" si="147"/>
        <v>December 2022</v>
      </c>
    </row>
    <row r="2314" spans="1:14" x14ac:dyDescent="0.25">
      <c r="A2314" s="1">
        <v>44897</v>
      </c>
      <c r="B2314" t="s">
        <v>80</v>
      </c>
      <c r="C2314">
        <v>41</v>
      </c>
      <c r="D2314" t="s">
        <v>14</v>
      </c>
      <c r="E2314" t="s">
        <v>25</v>
      </c>
      <c r="F2314" t="s">
        <v>23</v>
      </c>
      <c r="G2314" t="s">
        <v>12</v>
      </c>
      <c r="H2314">
        <v>743.75</v>
      </c>
      <c r="I2314" s="8" t="str" cm="1">
        <f t="array" ref="I2314">_xlfn.IFS(C2314&lt;=15,"Children and Young Adolescents", C2314&gt;64, "Seniors", TRUE, "Working Age")</f>
        <v>Working Age</v>
      </c>
      <c r="J2314" s="6">
        <f>VLOOKUP(F2314,Analysis!$F$1:$G$5,2,FALSE)</f>
        <v>2440.2966694490838</v>
      </c>
      <c r="K2314">
        <f t="shared" si="144"/>
        <v>818.12</v>
      </c>
      <c r="L2314">
        <f t="shared" si="145"/>
        <v>818.13</v>
      </c>
      <c r="M2314">
        <f t="shared" si="146"/>
        <v>818.13</v>
      </c>
      <c r="N2314" s="5" t="str">
        <f t="shared" si="147"/>
        <v>December 2022</v>
      </c>
    </row>
    <row r="2315" spans="1:14" x14ac:dyDescent="0.25">
      <c r="A2315" s="1">
        <v>44897</v>
      </c>
      <c r="B2315" t="s">
        <v>3887</v>
      </c>
      <c r="C2315">
        <v>56</v>
      </c>
      <c r="D2315" t="s">
        <v>14</v>
      </c>
      <c r="E2315" t="s">
        <v>5032</v>
      </c>
      <c r="F2315" t="s">
        <v>23</v>
      </c>
      <c r="G2315" t="s">
        <v>36</v>
      </c>
      <c r="H2315">
        <v>3142.54</v>
      </c>
      <c r="I2315" s="8" t="str" cm="1">
        <f t="array" ref="I2315">_xlfn.IFS(C2315&lt;=15,"Children and Young Adolescents", C2315&gt;64, "Seniors", TRUE, "Working Age")</f>
        <v>Working Age</v>
      </c>
      <c r="J2315" s="6">
        <f>VLOOKUP(F2315,Analysis!$F$1:$G$5,2,FALSE)</f>
        <v>2440.2966694490838</v>
      </c>
      <c r="K2315">
        <f t="shared" si="144"/>
        <v>3456.79</v>
      </c>
      <c r="L2315">
        <f t="shared" si="145"/>
        <v>3456.8</v>
      </c>
      <c r="M2315">
        <f t="shared" si="146"/>
        <v>3456.79</v>
      </c>
      <c r="N2315" s="5" t="str">
        <f t="shared" si="147"/>
        <v>December 2022</v>
      </c>
    </row>
    <row r="2316" spans="1:14" x14ac:dyDescent="0.25">
      <c r="A2316" s="1">
        <v>44897</v>
      </c>
      <c r="B2316" t="s">
        <v>3517</v>
      </c>
      <c r="C2316">
        <v>8</v>
      </c>
      <c r="D2316" t="s">
        <v>21</v>
      </c>
      <c r="E2316" t="s">
        <v>15</v>
      </c>
      <c r="F2316" t="s">
        <v>16</v>
      </c>
      <c r="G2316" t="s">
        <v>17</v>
      </c>
      <c r="H2316">
        <v>1410.97</v>
      </c>
      <c r="I2316" s="8" t="str" cm="1">
        <f t="array" ref="I2316">_xlfn.IFS(C2316&lt;=15,"Children and Young Adolescents", C2316&gt;64, "Seniors", TRUE, "Working Age")</f>
        <v>Children and Young Adolescents</v>
      </c>
      <c r="J2316" s="6">
        <f>VLOOKUP(F2316,Analysis!$F$1:$G$5,2,FALSE)</f>
        <v>2509.1716796874912</v>
      </c>
      <c r="K2316">
        <f t="shared" si="144"/>
        <v>1552.06</v>
      </c>
      <c r="L2316">
        <f t="shared" si="145"/>
        <v>1552.07</v>
      </c>
      <c r="M2316">
        <f t="shared" si="146"/>
        <v>1552.07</v>
      </c>
      <c r="N2316" s="5" t="str">
        <f t="shared" si="147"/>
        <v>December 2022</v>
      </c>
    </row>
    <row r="2317" spans="1:14" x14ac:dyDescent="0.25">
      <c r="A2317" s="1">
        <v>44897</v>
      </c>
      <c r="B2317" t="s">
        <v>261</v>
      </c>
      <c r="C2317">
        <v>41</v>
      </c>
      <c r="D2317" t="s">
        <v>14</v>
      </c>
      <c r="E2317" t="s">
        <v>34</v>
      </c>
      <c r="F2317" t="s">
        <v>29</v>
      </c>
      <c r="G2317" t="s">
        <v>36</v>
      </c>
      <c r="H2317">
        <v>3355.9</v>
      </c>
      <c r="I2317" s="8" t="str" cm="1">
        <f t="array" ref="I2317">_xlfn.IFS(C2317&lt;=15,"Children and Young Adolescents", C2317&gt;64, "Seniors", TRUE, "Working Age")</f>
        <v>Working Age</v>
      </c>
      <c r="J2317" s="6">
        <f>VLOOKUP(F2317,Analysis!$F$1:$G$5,2,FALSE)</f>
        <v>2496.7676064256989</v>
      </c>
      <c r="K2317">
        <f t="shared" si="144"/>
        <v>3691.49</v>
      </c>
      <c r="L2317">
        <f t="shared" si="145"/>
        <v>3691.49</v>
      </c>
      <c r="M2317">
        <f t="shared" si="146"/>
        <v>3691.49</v>
      </c>
      <c r="N2317" s="5" t="str">
        <f t="shared" si="147"/>
        <v>December 2022</v>
      </c>
    </row>
    <row r="2318" spans="1:14" x14ac:dyDescent="0.25">
      <c r="A2318" s="1">
        <v>44898</v>
      </c>
      <c r="B2318" t="s">
        <v>1971</v>
      </c>
      <c r="C2318">
        <v>43</v>
      </c>
      <c r="D2318" t="s">
        <v>21</v>
      </c>
      <c r="E2318" t="s">
        <v>34</v>
      </c>
      <c r="F2318" t="s">
        <v>23</v>
      </c>
      <c r="G2318" t="s">
        <v>5033</v>
      </c>
      <c r="H2318">
        <v>4396.46</v>
      </c>
      <c r="I2318" s="8" t="str" cm="1">
        <f t="array" ref="I2318">_xlfn.IFS(C2318&lt;=15,"Children and Young Adolescents", C2318&gt;64, "Seniors", TRUE, "Working Age")</f>
        <v>Working Age</v>
      </c>
      <c r="J2318" s="6">
        <f>VLOOKUP(F2318,Analysis!$F$1:$G$5,2,FALSE)</f>
        <v>2440.2966694490838</v>
      </c>
      <c r="K2318">
        <f t="shared" si="144"/>
        <v>4836.1000000000004</v>
      </c>
      <c r="L2318">
        <f t="shared" si="145"/>
        <v>4836.1100000000006</v>
      </c>
      <c r="M2318">
        <f t="shared" si="146"/>
        <v>4836.1099999999997</v>
      </c>
      <c r="N2318" s="5" t="str">
        <f t="shared" si="147"/>
        <v>December 2022</v>
      </c>
    </row>
    <row r="2319" spans="1:14" x14ac:dyDescent="0.25">
      <c r="A2319" s="1">
        <v>44898</v>
      </c>
      <c r="B2319" t="s">
        <v>3909</v>
      </c>
      <c r="C2319">
        <v>34</v>
      </c>
      <c r="D2319" t="s">
        <v>21</v>
      </c>
      <c r="E2319" t="s">
        <v>22</v>
      </c>
      <c r="F2319" t="s">
        <v>11</v>
      </c>
      <c r="G2319" t="s">
        <v>27</v>
      </c>
      <c r="H2319">
        <v>1983.84</v>
      </c>
      <c r="I2319" s="8" t="str" cm="1">
        <f t="array" ref="I2319">_xlfn.IFS(C2319&lt;=15,"Children and Young Adolescents", C2319&gt;64, "Seniors", TRUE, "Working Age")</f>
        <v>Working Age</v>
      </c>
      <c r="J2319" s="6">
        <f>VLOOKUP(F2319,Analysis!$F$1:$G$5,2,FALSE)</f>
        <v>2503.6022787783854</v>
      </c>
      <c r="K2319">
        <f t="shared" si="144"/>
        <v>2182.2199999999998</v>
      </c>
      <c r="L2319">
        <f t="shared" si="145"/>
        <v>2182.23</v>
      </c>
      <c r="M2319">
        <f t="shared" si="146"/>
        <v>2182.2199999999998</v>
      </c>
      <c r="N2319" s="5" t="str">
        <f t="shared" si="147"/>
        <v>December 2022</v>
      </c>
    </row>
    <row r="2320" spans="1:14" x14ac:dyDescent="0.25">
      <c r="A2320" s="1">
        <v>44898</v>
      </c>
      <c r="B2320" t="s">
        <v>2043</v>
      </c>
      <c r="C2320">
        <v>8</v>
      </c>
      <c r="D2320" t="s">
        <v>21</v>
      </c>
      <c r="E2320" t="s">
        <v>32</v>
      </c>
      <c r="F2320" t="s">
        <v>16</v>
      </c>
      <c r="G2320" t="s">
        <v>27</v>
      </c>
      <c r="H2320">
        <v>2625.82</v>
      </c>
      <c r="I2320" s="8" t="str" cm="1">
        <f t="array" ref="I2320">_xlfn.IFS(C2320&lt;=15,"Children and Young Adolescents", C2320&gt;64, "Seniors", TRUE, "Working Age")</f>
        <v>Children and Young Adolescents</v>
      </c>
      <c r="J2320" s="6">
        <f>VLOOKUP(F2320,Analysis!$F$1:$G$5,2,FALSE)</f>
        <v>2509.1716796874912</v>
      </c>
      <c r="K2320">
        <f t="shared" si="144"/>
        <v>2888.4</v>
      </c>
      <c r="L2320">
        <f t="shared" si="145"/>
        <v>2888.4100000000003</v>
      </c>
      <c r="M2320">
        <f t="shared" si="146"/>
        <v>2888.4</v>
      </c>
      <c r="N2320" s="5" t="str">
        <f t="shared" si="147"/>
        <v>December 2022</v>
      </c>
    </row>
    <row r="2321" spans="1:14" x14ac:dyDescent="0.25">
      <c r="A2321" s="1">
        <v>44898</v>
      </c>
      <c r="B2321" t="s">
        <v>3360</v>
      </c>
      <c r="C2321">
        <v>55</v>
      </c>
      <c r="D2321" t="s">
        <v>14</v>
      </c>
      <c r="E2321" t="s">
        <v>10</v>
      </c>
      <c r="F2321" t="s">
        <v>11</v>
      </c>
      <c r="G2321" t="s">
        <v>39</v>
      </c>
      <c r="H2321">
        <v>4599.3500000000004</v>
      </c>
      <c r="I2321" s="8" t="str" cm="1">
        <f t="array" ref="I2321">_xlfn.IFS(C2321&lt;=15,"Children and Young Adolescents", C2321&gt;64, "Seniors", TRUE, "Working Age")</f>
        <v>Working Age</v>
      </c>
      <c r="J2321" s="6">
        <f>VLOOKUP(F2321,Analysis!$F$1:$G$5,2,FALSE)</f>
        <v>2503.6022787783854</v>
      </c>
      <c r="K2321">
        <f t="shared" si="144"/>
        <v>5059.28</v>
      </c>
      <c r="L2321">
        <f t="shared" si="145"/>
        <v>5059.29</v>
      </c>
      <c r="M2321">
        <f t="shared" si="146"/>
        <v>5059.29</v>
      </c>
      <c r="N2321" s="5" t="str">
        <f t="shared" si="147"/>
        <v>December 2022</v>
      </c>
    </row>
    <row r="2322" spans="1:14" x14ac:dyDescent="0.25">
      <c r="A2322" s="1">
        <v>44898</v>
      </c>
      <c r="B2322" t="s">
        <v>458</v>
      </c>
      <c r="C2322">
        <v>35</v>
      </c>
      <c r="D2322" t="s">
        <v>14</v>
      </c>
      <c r="E2322" t="s">
        <v>32</v>
      </c>
      <c r="F2322" t="s">
        <v>16</v>
      </c>
      <c r="G2322" t="s">
        <v>17</v>
      </c>
      <c r="H2322">
        <v>411.91</v>
      </c>
      <c r="I2322" s="8" t="str" cm="1">
        <f t="array" ref="I2322">_xlfn.IFS(C2322&lt;=15,"Children and Young Adolescents", C2322&gt;64, "Seniors", TRUE, "Working Age")</f>
        <v>Working Age</v>
      </c>
      <c r="J2322" s="6">
        <f>VLOOKUP(F2322,Analysis!$F$1:$G$5,2,FALSE)</f>
        <v>2509.1716796874912</v>
      </c>
      <c r="K2322">
        <f t="shared" si="144"/>
        <v>453.1</v>
      </c>
      <c r="L2322">
        <f t="shared" si="145"/>
        <v>453.11</v>
      </c>
      <c r="M2322">
        <f t="shared" si="146"/>
        <v>453.1</v>
      </c>
      <c r="N2322" s="5" t="str">
        <f t="shared" si="147"/>
        <v>December 2022</v>
      </c>
    </row>
    <row r="2323" spans="1:14" x14ac:dyDescent="0.25">
      <c r="A2323" s="1">
        <v>44898</v>
      </c>
      <c r="B2323" t="s">
        <v>4651</v>
      </c>
      <c r="C2323">
        <v>4</v>
      </c>
      <c r="D2323" t="s">
        <v>21</v>
      </c>
      <c r="E2323" t="s">
        <v>19</v>
      </c>
      <c r="F2323" t="s">
        <v>11</v>
      </c>
      <c r="G2323" t="s">
        <v>36</v>
      </c>
      <c r="H2323">
        <v>1469.3</v>
      </c>
      <c r="I2323" s="8" t="str" cm="1">
        <f t="array" ref="I2323">_xlfn.IFS(C2323&lt;=15,"Children and Young Adolescents", C2323&gt;64, "Seniors", TRUE, "Working Age")</f>
        <v>Children and Young Adolescents</v>
      </c>
      <c r="J2323" s="6">
        <f>VLOOKUP(F2323,Analysis!$F$1:$G$5,2,FALSE)</f>
        <v>2503.6022787783854</v>
      </c>
      <c r="K2323">
        <f t="shared" si="144"/>
        <v>1616.23</v>
      </c>
      <c r="L2323">
        <f t="shared" si="145"/>
        <v>1616.23</v>
      </c>
      <c r="M2323">
        <f t="shared" si="146"/>
        <v>1616.23</v>
      </c>
      <c r="N2323" s="5" t="str">
        <f t="shared" si="147"/>
        <v>December 2022</v>
      </c>
    </row>
    <row r="2324" spans="1:14" x14ac:dyDescent="0.25">
      <c r="A2324" s="1">
        <v>44898</v>
      </c>
      <c r="B2324" t="s">
        <v>4144</v>
      </c>
      <c r="C2324">
        <v>93</v>
      </c>
      <c r="D2324" t="s">
        <v>21</v>
      </c>
      <c r="E2324" t="s">
        <v>10</v>
      </c>
      <c r="F2324" t="s">
        <v>11</v>
      </c>
      <c r="G2324" t="s">
        <v>12</v>
      </c>
      <c r="H2324">
        <v>2244.83</v>
      </c>
      <c r="I2324" s="8" t="str" cm="1">
        <f t="array" ref="I2324">_xlfn.IFS(C2324&lt;=15,"Children and Young Adolescents", C2324&gt;64, "Seniors", TRUE, "Working Age")</f>
        <v>Seniors</v>
      </c>
      <c r="J2324" s="6">
        <f>VLOOKUP(F2324,Analysis!$F$1:$G$5,2,FALSE)</f>
        <v>2503.6022787783854</v>
      </c>
      <c r="K2324">
        <f t="shared" si="144"/>
        <v>2469.31</v>
      </c>
      <c r="L2324">
        <f t="shared" si="145"/>
        <v>2469.3200000000002</v>
      </c>
      <c r="M2324">
        <f t="shared" si="146"/>
        <v>2469.31</v>
      </c>
      <c r="N2324" s="5" t="str">
        <f t="shared" si="147"/>
        <v>December 2022</v>
      </c>
    </row>
    <row r="2325" spans="1:14" x14ac:dyDescent="0.25">
      <c r="A2325" s="1">
        <v>44898</v>
      </c>
      <c r="B2325" t="s">
        <v>4287</v>
      </c>
      <c r="C2325">
        <v>99</v>
      </c>
      <c r="D2325" t="s">
        <v>14</v>
      </c>
      <c r="E2325" t="s">
        <v>5032</v>
      </c>
      <c r="F2325" t="s">
        <v>16</v>
      </c>
      <c r="G2325" t="s">
        <v>39</v>
      </c>
      <c r="H2325">
        <v>4446.2299999999996</v>
      </c>
      <c r="I2325" s="8" t="str" cm="1">
        <f t="array" ref="I2325">_xlfn.IFS(C2325&lt;=15,"Children and Young Adolescents", C2325&gt;64, "Seniors", TRUE, "Working Age")</f>
        <v>Seniors</v>
      </c>
      <c r="J2325" s="6">
        <f>VLOOKUP(F2325,Analysis!$F$1:$G$5,2,FALSE)</f>
        <v>2509.1716796874912</v>
      </c>
      <c r="K2325">
        <f t="shared" si="144"/>
        <v>4890.8500000000004</v>
      </c>
      <c r="L2325">
        <f t="shared" si="145"/>
        <v>4890.8600000000006</v>
      </c>
      <c r="M2325">
        <f t="shared" si="146"/>
        <v>4890.8500000000004</v>
      </c>
      <c r="N2325" s="5" t="str">
        <f t="shared" si="147"/>
        <v>December 2022</v>
      </c>
    </row>
    <row r="2326" spans="1:14" x14ac:dyDescent="0.25">
      <c r="A2326" s="1">
        <v>44899</v>
      </c>
      <c r="B2326" t="s">
        <v>1131</v>
      </c>
      <c r="C2326">
        <v>95</v>
      </c>
      <c r="D2326" t="s">
        <v>9</v>
      </c>
      <c r="E2326" t="s">
        <v>10</v>
      </c>
      <c r="F2326" t="s">
        <v>16</v>
      </c>
      <c r="G2326" t="s">
        <v>12</v>
      </c>
      <c r="H2326">
        <v>542.25</v>
      </c>
      <c r="I2326" s="8" t="str" cm="1">
        <f t="array" ref="I2326">_xlfn.IFS(C2326&lt;=15,"Children and Young Adolescents", C2326&gt;64, "Seniors", TRUE, "Working Age")</f>
        <v>Seniors</v>
      </c>
      <c r="J2326" s="6">
        <f>VLOOKUP(F2326,Analysis!$F$1:$G$5,2,FALSE)</f>
        <v>2509.1716796874912</v>
      </c>
      <c r="K2326">
        <f t="shared" si="144"/>
        <v>596.47</v>
      </c>
      <c r="L2326">
        <f t="shared" si="145"/>
        <v>596.48</v>
      </c>
      <c r="M2326">
        <f t="shared" si="146"/>
        <v>596.48</v>
      </c>
      <c r="N2326" s="5" t="str">
        <f t="shared" si="147"/>
        <v>December 2022</v>
      </c>
    </row>
    <row r="2327" spans="1:14" x14ac:dyDescent="0.25">
      <c r="A2327" s="1">
        <v>44899</v>
      </c>
      <c r="B2327" t="s">
        <v>3415</v>
      </c>
      <c r="C2327">
        <v>86</v>
      </c>
      <c r="D2327" t="s">
        <v>21</v>
      </c>
      <c r="E2327" t="s">
        <v>22</v>
      </c>
      <c r="F2327" t="s">
        <v>16</v>
      </c>
      <c r="G2327" t="s">
        <v>12</v>
      </c>
      <c r="H2327">
        <v>223.96</v>
      </c>
      <c r="I2327" s="8" t="str" cm="1">
        <f t="array" ref="I2327">_xlfn.IFS(C2327&lt;=15,"Children and Young Adolescents", C2327&gt;64, "Seniors", TRUE, "Working Age")</f>
        <v>Seniors</v>
      </c>
      <c r="J2327" s="6">
        <f>VLOOKUP(F2327,Analysis!$F$1:$G$5,2,FALSE)</f>
        <v>2509.1716796874912</v>
      </c>
      <c r="K2327">
        <f t="shared" si="144"/>
        <v>246.35</v>
      </c>
      <c r="L2327">
        <f t="shared" si="145"/>
        <v>246.35999999999999</v>
      </c>
      <c r="M2327">
        <f t="shared" si="146"/>
        <v>246.36</v>
      </c>
      <c r="N2327" s="5" t="str">
        <f t="shared" si="147"/>
        <v>December 2022</v>
      </c>
    </row>
    <row r="2328" spans="1:14" x14ac:dyDescent="0.25">
      <c r="A2328" s="1">
        <v>44899</v>
      </c>
      <c r="B2328" t="s">
        <v>4851</v>
      </c>
      <c r="C2328">
        <v>44</v>
      </c>
      <c r="D2328" t="s">
        <v>21</v>
      </c>
      <c r="E2328" t="s">
        <v>22</v>
      </c>
      <c r="F2328" t="s">
        <v>16</v>
      </c>
      <c r="G2328" t="s">
        <v>27</v>
      </c>
      <c r="H2328">
        <v>2590.6</v>
      </c>
      <c r="I2328" s="8" t="str" cm="1">
        <f t="array" ref="I2328">_xlfn.IFS(C2328&lt;=15,"Children and Young Adolescents", C2328&gt;64, "Seniors", TRUE, "Working Age")</f>
        <v>Working Age</v>
      </c>
      <c r="J2328" s="6">
        <f>VLOOKUP(F2328,Analysis!$F$1:$G$5,2,FALSE)</f>
        <v>2509.1716796874912</v>
      </c>
      <c r="K2328">
        <f t="shared" si="144"/>
        <v>2849.66</v>
      </c>
      <c r="L2328">
        <f t="shared" si="145"/>
        <v>2849.66</v>
      </c>
      <c r="M2328">
        <f t="shared" si="146"/>
        <v>2849.66</v>
      </c>
      <c r="N2328" s="5" t="str">
        <f t="shared" si="147"/>
        <v>December 2022</v>
      </c>
    </row>
    <row r="2329" spans="1:14" x14ac:dyDescent="0.25">
      <c r="A2329" s="1">
        <v>44899</v>
      </c>
      <c r="B2329" t="s">
        <v>1746</v>
      </c>
      <c r="C2329">
        <v>55</v>
      </c>
      <c r="D2329" t="s">
        <v>14</v>
      </c>
      <c r="E2329" t="s">
        <v>22</v>
      </c>
      <c r="F2329" t="s">
        <v>23</v>
      </c>
      <c r="G2329" t="s">
        <v>17</v>
      </c>
      <c r="H2329">
        <v>1061.3800000000001</v>
      </c>
      <c r="I2329" s="8" t="str" cm="1">
        <f t="array" ref="I2329">_xlfn.IFS(C2329&lt;=15,"Children and Young Adolescents", C2329&gt;64, "Seniors", TRUE, "Working Age")</f>
        <v>Working Age</v>
      </c>
      <c r="J2329" s="6">
        <f>VLOOKUP(F2329,Analysis!$F$1:$G$5,2,FALSE)</f>
        <v>2440.2966694490838</v>
      </c>
      <c r="K2329">
        <f t="shared" si="144"/>
        <v>1167.51</v>
      </c>
      <c r="L2329">
        <f t="shared" si="145"/>
        <v>1167.52</v>
      </c>
      <c r="M2329">
        <f t="shared" si="146"/>
        <v>1167.52</v>
      </c>
      <c r="N2329" s="5" t="str">
        <f t="shared" si="147"/>
        <v>December 2022</v>
      </c>
    </row>
    <row r="2330" spans="1:14" x14ac:dyDescent="0.25">
      <c r="A2330" s="1">
        <v>44900</v>
      </c>
      <c r="B2330" t="s">
        <v>1038</v>
      </c>
      <c r="C2330">
        <v>44</v>
      </c>
      <c r="D2330" t="s">
        <v>21</v>
      </c>
      <c r="E2330" t="s">
        <v>15</v>
      </c>
      <c r="F2330" t="s">
        <v>11</v>
      </c>
      <c r="G2330" t="s">
        <v>12</v>
      </c>
      <c r="H2330">
        <v>4689.28</v>
      </c>
      <c r="I2330" s="8" t="str" cm="1">
        <f t="array" ref="I2330">_xlfn.IFS(C2330&lt;=15,"Children and Young Adolescents", C2330&gt;64, "Seniors", TRUE, "Working Age")</f>
        <v>Working Age</v>
      </c>
      <c r="J2330" s="6">
        <f>VLOOKUP(F2330,Analysis!$F$1:$G$5,2,FALSE)</f>
        <v>2503.6022787783854</v>
      </c>
      <c r="K2330">
        <f t="shared" si="144"/>
        <v>5158.2</v>
      </c>
      <c r="L2330">
        <f t="shared" si="145"/>
        <v>5158.21</v>
      </c>
      <c r="M2330">
        <f t="shared" si="146"/>
        <v>5158.21</v>
      </c>
      <c r="N2330" s="5" t="str">
        <f t="shared" si="147"/>
        <v>December 2022</v>
      </c>
    </row>
    <row r="2331" spans="1:14" x14ac:dyDescent="0.25">
      <c r="A2331" s="1">
        <v>44900</v>
      </c>
      <c r="B2331" t="s">
        <v>4643</v>
      </c>
      <c r="C2331">
        <v>68</v>
      </c>
      <c r="D2331" t="s">
        <v>14</v>
      </c>
      <c r="E2331" t="s">
        <v>32</v>
      </c>
      <c r="F2331" t="s">
        <v>29</v>
      </c>
      <c r="G2331" t="s">
        <v>27</v>
      </c>
      <c r="H2331">
        <v>2432.33</v>
      </c>
      <c r="I2331" s="8" t="str" cm="1">
        <f t="array" ref="I2331">_xlfn.IFS(C2331&lt;=15,"Children and Young Adolescents", C2331&gt;64, "Seniors", TRUE, "Working Age")</f>
        <v>Seniors</v>
      </c>
      <c r="J2331" s="6">
        <f>VLOOKUP(F2331,Analysis!$F$1:$G$5,2,FALSE)</f>
        <v>2496.7676064256989</v>
      </c>
      <c r="K2331">
        <f t="shared" si="144"/>
        <v>2675.56</v>
      </c>
      <c r="L2331">
        <f t="shared" si="145"/>
        <v>2675.57</v>
      </c>
      <c r="M2331">
        <f t="shared" si="146"/>
        <v>2675.56</v>
      </c>
      <c r="N2331" s="5" t="str">
        <f t="shared" si="147"/>
        <v>December 2022</v>
      </c>
    </row>
    <row r="2332" spans="1:14" x14ac:dyDescent="0.25">
      <c r="A2332" s="1">
        <v>44900</v>
      </c>
      <c r="B2332" t="s">
        <v>4742</v>
      </c>
      <c r="C2332">
        <v>14</v>
      </c>
      <c r="D2332" t="s">
        <v>14</v>
      </c>
      <c r="E2332" t="s">
        <v>25</v>
      </c>
      <c r="F2332" t="s">
        <v>29</v>
      </c>
      <c r="G2332" t="s">
        <v>36</v>
      </c>
      <c r="H2332">
        <v>2889.59</v>
      </c>
      <c r="I2332" s="8" t="str" cm="1">
        <f t="array" ref="I2332">_xlfn.IFS(C2332&lt;=15,"Children and Young Adolescents", C2332&gt;64, "Seniors", TRUE, "Working Age")</f>
        <v>Children and Young Adolescents</v>
      </c>
      <c r="J2332" s="6">
        <f>VLOOKUP(F2332,Analysis!$F$1:$G$5,2,FALSE)</f>
        <v>2496.7676064256989</v>
      </c>
      <c r="K2332">
        <f t="shared" si="144"/>
        <v>3178.54</v>
      </c>
      <c r="L2332">
        <f t="shared" si="145"/>
        <v>3178.55</v>
      </c>
      <c r="M2332">
        <f t="shared" si="146"/>
        <v>3178.55</v>
      </c>
      <c r="N2332" s="5" t="str">
        <f t="shared" si="147"/>
        <v>December 2022</v>
      </c>
    </row>
    <row r="2333" spans="1:14" x14ac:dyDescent="0.25">
      <c r="A2333" s="1">
        <v>44900</v>
      </c>
      <c r="B2333" t="s">
        <v>1249</v>
      </c>
      <c r="C2333">
        <v>83</v>
      </c>
      <c r="D2333" t="s">
        <v>9</v>
      </c>
      <c r="E2333" t="s">
        <v>34</v>
      </c>
      <c r="F2333" t="s">
        <v>11</v>
      </c>
      <c r="G2333" t="s">
        <v>12</v>
      </c>
      <c r="H2333">
        <v>3718.12</v>
      </c>
      <c r="I2333" s="8" t="str" cm="1">
        <f t="array" ref="I2333">_xlfn.IFS(C2333&lt;=15,"Children and Young Adolescents", C2333&gt;64, "Seniors", TRUE, "Working Age")</f>
        <v>Seniors</v>
      </c>
      <c r="J2333" s="6">
        <f>VLOOKUP(F2333,Analysis!$F$1:$G$5,2,FALSE)</f>
        <v>2503.6022787783854</v>
      </c>
      <c r="K2333">
        <f t="shared" si="144"/>
        <v>4089.93</v>
      </c>
      <c r="L2333">
        <f t="shared" si="145"/>
        <v>4089.94</v>
      </c>
      <c r="M2333">
        <f t="shared" si="146"/>
        <v>4089.93</v>
      </c>
      <c r="N2333" s="5" t="str">
        <f t="shared" si="147"/>
        <v>December 2022</v>
      </c>
    </row>
    <row r="2334" spans="1:14" x14ac:dyDescent="0.25">
      <c r="A2334" s="1">
        <v>44900</v>
      </c>
      <c r="B2334" t="s">
        <v>1725</v>
      </c>
      <c r="C2334">
        <v>38</v>
      </c>
      <c r="D2334" t="s">
        <v>9</v>
      </c>
      <c r="E2334" t="s">
        <v>10</v>
      </c>
      <c r="F2334" t="s">
        <v>16</v>
      </c>
      <c r="G2334" t="s">
        <v>39</v>
      </c>
      <c r="H2334">
        <v>4650.1899999999996</v>
      </c>
      <c r="I2334" s="8" t="str" cm="1">
        <f t="array" ref="I2334">_xlfn.IFS(C2334&lt;=15,"Children and Young Adolescents", C2334&gt;64, "Seniors", TRUE, "Working Age")</f>
        <v>Working Age</v>
      </c>
      <c r="J2334" s="6">
        <f>VLOOKUP(F2334,Analysis!$F$1:$G$5,2,FALSE)</f>
        <v>2509.1716796874912</v>
      </c>
      <c r="K2334">
        <f t="shared" si="144"/>
        <v>5115.2</v>
      </c>
      <c r="L2334">
        <f t="shared" si="145"/>
        <v>5115.21</v>
      </c>
      <c r="M2334">
        <f t="shared" si="146"/>
        <v>5115.21</v>
      </c>
      <c r="N2334" s="5" t="str">
        <f t="shared" si="147"/>
        <v>December 2022</v>
      </c>
    </row>
    <row r="2335" spans="1:14" x14ac:dyDescent="0.25">
      <c r="A2335" s="1">
        <v>44900</v>
      </c>
      <c r="B2335" t="s">
        <v>3401</v>
      </c>
      <c r="C2335">
        <v>89</v>
      </c>
      <c r="D2335" t="s">
        <v>21</v>
      </c>
      <c r="E2335" t="s">
        <v>19</v>
      </c>
      <c r="F2335" t="s">
        <v>11</v>
      </c>
      <c r="G2335" t="s">
        <v>17</v>
      </c>
      <c r="H2335">
        <v>3587.02</v>
      </c>
      <c r="I2335" s="8" t="str" cm="1">
        <f t="array" ref="I2335">_xlfn.IFS(C2335&lt;=15,"Children and Young Adolescents", C2335&gt;64, "Seniors", TRUE, "Working Age")</f>
        <v>Seniors</v>
      </c>
      <c r="J2335" s="6">
        <f>VLOOKUP(F2335,Analysis!$F$1:$G$5,2,FALSE)</f>
        <v>2503.6022787783854</v>
      </c>
      <c r="K2335">
        <f t="shared" si="144"/>
        <v>3945.72</v>
      </c>
      <c r="L2335">
        <f t="shared" si="145"/>
        <v>3945.73</v>
      </c>
      <c r="M2335">
        <f t="shared" si="146"/>
        <v>3945.72</v>
      </c>
      <c r="N2335" s="5" t="str">
        <f t="shared" si="147"/>
        <v>December 2022</v>
      </c>
    </row>
    <row r="2336" spans="1:14" x14ac:dyDescent="0.25">
      <c r="A2336" s="1">
        <v>44900</v>
      </c>
      <c r="B2336" t="s">
        <v>2833</v>
      </c>
      <c r="C2336">
        <v>30</v>
      </c>
      <c r="D2336" t="s">
        <v>9</v>
      </c>
      <c r="E2336" t="s">
        <v>34</v>
      </c>
      <c r="F2336" t="s">
        <v>16</v>
      </c>
      <c r="G2336" t="s">
        <v>12</v>
      </c>
      <c r="H2336">
        <v>4606.2</v>
      </c>
      <c r="I2336" s="8" t="str" cm="1">
        <f t="array" ref="I2336">_xlfn.IFS(C2336&lt;=15,"Children and Young Adolescents", C2336&gt;64, "Seniors", TRUE, "Working Age")</f>
        <v>Working Age</v>
      </c>
      <c r="J2336" s="6">
        <f>VLOOKUP(F2336,Analysis!$F$1:$G$5,2,FALSE)</f>
        <v>2509.1716796874912</v>
      </c>
      <c r="K2336">
        <f t="shared" si="144"/>
        <v>5066.82</v>
      </c>
      <c r="L2336">
        <f t="shared" si="145"/>
        <v>5066.82</v>
      </c>
      <c r="M2336">
        <f t="shared" si="146"/>
        <v>5066.82</v>
      </c>
      <c r="N2336" s="5" t="str">
        <f t="shared" si="147"/>
        <v>December 2022</v>
      </c>
    </row>
    <row r="2337" spans="1:14" x14ac:dyDescent="0.25">
      <c r="A2337" s="1">
        <v>44900</v>
      </c>
      <c r="B2337" t="s">
        <v>3562</v>
      </c>
      <c r="C2337">
        <v>72</v>
      </c>
      <c r="D2337" t="s">
        <v>9</v>
      </c>
      <c r="E2337" t="s">
        <v>10</v>
      </c>
      <c r="F2337" t="s">
        <v>11</v>
      </c>
      <c r="G2337" t="s">
        <v>17</v>
      </c>
      <c r="H2337">
        <v>3472.4</v>
      </c>
      <c r="I2337" s="8" t="str" cm="1">
        <f t="array" ref="I2337">_xlfn.IFS(C2337&lt;=15,"Children and Young Adolescents", C2337&gt;64, "Seniors", TRUE, "Working Age")</f>
        <v>Seniors</v>
      </c>
      <c r="J2337" s="6">
        <f>VLOOKUP(F2337,Analysis!$F$1:$G$5,2,FALSE)</f>
        <v>2503.6022787783854</v>
      </c>
      <c r="K2337">
        <f t="shared" si="144"/>
        <v>3819.64</v>
      </c>
      <c r="L2337">
        <f t="shared" si="145"/>
        <v>3819.64</v>
      </c>
      <c r="M2337">
        <f t="shared" si="146"/>
        <v>3819.64</v>
      </c>
      <c r="N2337" s="5" t="str">
        <f t="shared" si="147"/>
        <v>December 2022</v>
      </c>
    </row>
    <row r="2338" spans="1:14" x14ac:dyDescent="0.25">
      <c r="A2338" s="1">
        <v>44900</v>
      </c>
      <c r="B2338" t="s">
        <v>4722</v>
      </c>
      <c r="C2338">
        <v>50</v>
      </c>
      <c r="D2338" t="s">
        <v>21</v>
      </c>
      <c r="E2338" t="s">
        <v>22</v>
      </c>
      <c r="F2338" t="s">
        <v>16</v>
      </c>
      <c r="G2338" t="s">
        <v>39</v>
      </c>
      <c r="H2338">
        <v>4943.18</v>
      </c>
      <c r="I2338" s="8" t="str" cm="1">
        <f t="array" ref="I2338">_xlfn.IFS(C2338&lt;=15,"Children and Young Adolescents", C2338&gt;64, "Seniors", TRUE, "Working Age")</f>
        <v>Working Age</v>
      </c>
      <c r="J2338" s="6">
        <f>VLOOKUP(F2338,Analysis!$F$1:$G$5,2,FALSE)</f>
        <v>2509.1716796874912</v>
      </c>
      <c r="K2338">
        <f t="shared" si="144"/>
        <v>5437.49</v>
      </c>
      <c r="L2338">
        <f t="shared" si="145"/>
        <v>5437.5</v>
      </c>
      <c r="M2338">
        <f t="shared" si="146"/>
        <v>5437.5</v>
      </c>
      <c r="N2338" s="5" t="str">
        <f t="shared" si="147"/>
        <v>December 2022</v>
      </c>
    </row>
    <row r="2339" spans="1:14" x14ac:dyDescent="0.25">
      <c r="A2339" s="1">
        <v>44901</v>
      </c>
      <c r="B2339" t="s">
        <v>1056</v>
      </c>
      <c r="C2339">
        <v>97</v>
      </c>
      <c r="D2339" t="s">
        <v>14</v>
      </c>
      <c r="E2339" t="s">
        <v>10</v>
      </c>
      <c r="F2339" t="s">
        <v>29</v>
      </c>
      <c r="G2339" t="s">
        <v>39</v>
      </c>
      <c r="H2339">
        <v>201.84</v>
      </c>
      <c r="I2339" s="8" t="str" cm="1">
        <f t="array" ref="I2339">_xlfn.IFS(C2339&lt;=15,"Children and Young Adolescents", C2339&gt;64, "Seniors", TRUE, "Working Age")</f>
        <v>Seniors</v>
      </c>
      <c r="J2339" s="6">
        <f>VLOOKUP(F2339,Analysis!$F$1:$G$5,2,FALSE)</f>
        <v>2496.7676064256989</v>
      </c>
      <c r="K2339">
        <f t="shared" si="144"/>
        <v>222.02</v>
      </c>
      <c r="L2339">
        <f t="shared" si="145"/>
        <v>222.03</v>
      </c>
      <c r="M2339">
        <f t="shared" si="146"/>
        <v>222.02</v>
      </c>
      <c r="N2339" s="5" t="str">
        <f t="shared" si="147"/>
        <v>December 2022</v>
      </c>
    </row>
    <row r="2340" spans="1:14" x14ac:dyDescent="0.25">
      <c r="A2340" s="1">
        <v>44901</v>
      </c>
      <c r="B2340" t="s">
        <v>1834</v>
      </c>
      <c r="C2340">
        <v>71</v>
      </c>
      <c r="D2340" t="s">
        <v>14</v>
      </c>
      <c r="E2340" t="s">
        <v>15</v>
      </c>
      <c r="F2340" t="s">
        <v>11</v>
      </c>
      <c r="G2340" t="s">
        <v>12</v>
      </c>
      <c r="H2340">
        <v>3406.59</v>
      </c>
      <c r="I2340" s="8" t="str" cm="1">
        <f t="array" ref="I2340">_xlfn.IFS(C2340&lt;=15,"Children and Young Adolescents", C2340&gt;64, "Seniors", TRUE, "Working Age")</f>
        <v>Seniors</v>
      </c>
      <c r="J2340" s="6">
        <f>VLOOKUP(F2340,Analysis!$F$1:$G$5,2,FALSE)</f>
        <v>2503.6022787783854</v>
      </c>
      <c r="K2340">
        <f t="shared" si="144"/>
        <v>3747.24</v>
      </c>
      <c r="L2340">
        <f t="shared" si="145"/>
        <v>3747.25</v>
      </c>
      <c r="M2340">
        <f t="shared" si="146"/>
        <v>3747.25</v>
      </c>
      <c r="N2340" s="5" t="str">
        <f t="shared" si="147"/>
        <v>December 2022</v>
      </c>
    </row>
    <row r="2341" spans="1:14" x14ac:dyDescent="0.25">
      <c r="A2341" s="1">
        <v>44901</v>
      </c>
      <c r="B2341" t="s">
        <v>2624</v>
      </c>
      <c r="C2341">
        <v>38</v>
      </c>
      <c r="D2341" t="s">
        <v>14</v>
      </c>
      <c r="E2341" t="s">
        <v>25</v>
      </c>
      <c r="F2341" t="s">
        <v>16</v>
      </c>
      <c r="G2341" t="s">
        <v>17</v>
      </c>
      <c r="H2341">
        <v>2338.11</v>
      </c>
      <c r="I2341" s="8" t="str" cm="1">
        <f t="array" ref="I2341">_xlfn.IFS(C2341&lt;=15,"Children and Young Adolescents", C2341&gt;64, "Seniors", TRUE, "Working Age")</f>
        <v>Working Age</v>
      </c>
      <c r="J2341" s="6">
        <f>VLOOKUP(F2341,Analysis!$F$1:$G$5,2,FALSE)</f>
        <v>2509.1716796874912</v>
      </c>
      <c r="K2341">
        <f t="shared" si="144"/>
        <v>2571.92</v>
      </c>
      <c r="L2341">
        <f t="shared" si="145"/>
        <v>2571.9300000000003</v>
      </c>
      <c r="M2341">
        <f t="shared" si="146"/>
        <v>2571.92</v>
      </c>
      <c r="N2341" s="5" t="str">
        <f t="shared" si="147"/>
        <v>December 2022</v>
      </c>
    </row>
    <row r="2342" spans="1:14" x14ac:dyDescent="0.25">
      <c r="A2342" s="1">
        <v>44901</v>
      </c>
      <c r="B2342" t="s">
        <v>1211</v>
      </c>
      <c r="C2342">
        <v>89</v>
      </c>
      <c r="D2342" t="s">
        <v>21</v>
      </c>
      <c r="E2342" t="s">
        <v>10</v>
      </c>
      <c r="F2342" t="s">
        <v>11</v>
      </c>
      <c r="G2342" t="s">
        <v>36</v>
      </c>
      <c r="H2342">
        <v>3888.52</v>
      </c>
      <c r="I2342" s="8" t="str" cm="1">
        <f t="array" ref="I2342">_xlfn.IFS(C2342&lt;=15,"Children and Young Adolescents", C2342&gt;64, "Seniors", TRUE, "Working Age")</f>
        <v>Seniors</v>
      </c>
      <c r="J2342" s="6">
        <f>VLOOKUP(F2342,Analysis!$F$1:$G$5,2,FALSE)</f>
        <v>2503.6022787783854</v>
      </c>
      <c r="K2342">
        <f t="shared" si="144"/>
        <v>4277.37</v>
      </c>
      <c r="L2342">
        <f t="shared" si="145"/>
        <v>4277.38</v>
      </c>
      <c r="M2342">
        <f t="shared" si="146"/>
        <v>4277.37</v>
      </c>
      <c r="N2342" s="5" t="str">
        <f t="shared" si="147"/>
        <v>December 2022</v>
      </c>
    </row>
    <row r="2343" spans="1:14" x14ac:dyDescent="0.25">
      <c r="A2343" s="1">
        <v>44902</v>
      </c>
      <c r="B2343" t="s">
        <v>2374</v>
      </c>
      <c r="C2343">
        <v>92</v>
      </c>
      <c r="D2343" t="s">
        <v>21</v>
      </c>
      <c r="E2343" t="s">
        <v>32</v>
      </c>
      <c r="F2343" t="s">
        <v>16</v>
      </c>
      <c r="G2343" t="s">
        <v>17</v>
      </c>
      <c r="H2343">
        <v>996.7</v>
      </c>
      <c r="I2343" s="8" t="str" cm="1">
        <f t="array" ref="I2343">_xlfn.IFS(C2343&lt;=15,"Children and Young Adolescents", C2343&gt;64, "Seniors", TRUE, "Working Age")</f>
        <v>Seniors</v>
      </c>
      <c r="J2343" s="6">
        <f>VLOOKUP(F2343,Analysis!$F$1:$G$5,2,FALSE)</f>
        <v>2509.1716796874912</v>
      </c>
      <c r="K2343">
        <f t="shared" si="144"/>
        <v>1096.3699999999999</v>
      </c>
      <c r="L2343">
        <f t="shared" si="145"/>
        <v>1096.3699999999999</v>
      </c>
      <c r="M2343">
        <f t="shared" si="146"/>
        <v>1096.3699999999999</v>
      </c>
      <c r="N2343" s="5" t="str">
        <f t="shared" si="147"/>
        <v>December 2022</v>
      </c>
    </row>
    <row r="2344" spans="1:14" x14ac:dyDescent="0.25">
      <c r="A2344" s="1">
        <v>44902</v>
      </c>
      <c r="B2344" t="s">
        <v>2531</v>
      </c>
      <c r="C2344">
        <v>20</v>
      </c>
      <c r="D2344" t="s">
        <v>14</v>
      </c>
      <c r="E2344" t="s">
        <v>19</v>
      </c>
      <c r="F2344" t="s">
        <v>23</v>
      </c>
      <c r="G2344" t="s">
        <v>5033</v>
      </c>
      <c r="H2344">
        <v>2724.03</v>
      </c>
      <c r="I2344" s="8" t="str" cm="1">
        <f t="array" ref="I2344">_xlfn.IFS(C2344&lt;=15,"Children and Young Adolescents", C2344&gt;64, "Seniors", TRUE, "Working Age")</f>
        <v>Working Age</v>
      </c>
      <c r="J2344" s="6">
        <f>VLOOKUP(F2344,Analysis!$F$1:$G$5,2,FALSE)</f>
        <v>2440.2966694490838</v>
      </c>
      <c r="K2344">
        <f t="shared" si="144"/>
        <v>2996.43</v>
      </c>
      <c r="L2344">
        <f t="shared" si="145"/>
        <v>2996.44</v>
      </c>
      <c r="M2344">
        <f t="shared" si="146"/>
        <v>2996.43</v>
      </c>
      <c r="N2344" s="5" t="str">
        <f t="shared" si="147"/>
        <v>December 2022</v>
      </c>
    </row>
    <row r="2345" spans="1:14" x14ac:dyDescent="0.25">
      <c r="A2345" s="1">
        <v>44902</v>
      </c>
      <c r="B2345" t="s">
        <v>3940</v>
      </c>
      <c r="C2345">
        <v>36</v>
      </c>
      <c r="D2345" t="s">
        <v>21</v>
      </c>
      <c r="E2345" t="s">
        <v>5032</v>
      </c>
      <c r="F2345" t="s">
        <v>16</v>
      </c>
      <c r="G2345" t="s">
        <v>36</v>
      </c>
      <c r="H2345">
        <v>1520.02</v>
      </c>
      <c r="I2345" s="8" t="str" cm="1">
        <f t="array" ref="I2345">_xlfn.IFS(C2345&lt;=15,"Children and Young Adolescents", C2345&gt;64, "Seniors", TRUE, "Working Age")</f>
        <v>Working Age</v>
      </c>
      <c r="J2345" s="6">
        <f>VLOOKUP(F2345,Analysis!$F$1:$G$5,2,FALSE)</f>
        <v>2509.1716796874912</v>
      </c>
      <c r="K2345">
        <f t="shared" si="144"/>
        <v>1672.02</v>
      </c>
      <c r="L2345">
        <f t="shared" si="145"/>
        <v>1672.03</v>
      </c>
      <c r="M2345">
        <f t="shared" si="146"/>
        <v>1672.02</v>
      </c>
      <c r="N2345" s="5" t="str">
        <f t="shared" si="147"/>
        <v>December 2022</v>
      </c>
    </row>
    <row r="2346" spans="1:14" x14ac:dyDescent="0.25">
      <c r="A2346" s="1">
        <v>44902</v>
      </c>
      <c r="B2346" t="s">
        <v>4601</v>
      </c>
      <c r="C2346">
        <v>68</v>
      </c>
      <c r="D2346" t="s">
        <v>14</v>
      </c>
      <c r="E2346" t="s">
        <v>15</v>
      </c>
      <c r="F2346" t="s">
        <v>23</v>
      </c>
      <c r="G2346" t="s">
        <v>39</v>
      </c>
      <c r="H2346">
        <v>3505.81</v>
      </c>
      <c r="I2346" s="8" t="str" cm="1">
        <f t="array" ref="I2346">_xlfn.IFS(C2346&lt;=15,"Children and Young Adolescents", C2346&gt;64, "Seniors", TRUE, "Working Age")</f>
        <v>Seniors</v>
      </c>
      <c r="J2346" s="6">
        <f>VLOOKUP(F2346,Analysis!$F$1:$G$5,2,FALSE)</f>
        <v>2440.2966694490838</v>
      </c>
      <c r="K2346">
        <f t="shared" si="144"/>
        <v>3856.39</v>
      </c>
      <c r="L2346">
        <f t="shared" si="145"/>
        <v>3856.4</v>
      </c>
      <c r="M2346">
        <f t="shared" si="146"/>
        <v>3856.39</v>
      </c>
      <c r="N2346" s="5" t="str">
        <f t="shared" si="147"/>
        <v>December 2022</v>
      </c>
    </row>
    <row r="2347" spans="1:14" x14ac:dyDescent="0.25">
      <c r="A2347" s="1">
        <v>44902</v>
      </c>
      <c r="B2347" t="s">
        <v>4754</v>
      </c>
      <c r="C2347">
        <v>75</v>
      </c>
      <c r="D2347" t="s">
        <v>14</v>
      </c>
      <c r="E2347" t="s">
        <v>25</v>
      </c>
      <c r="F2347" t="s">
        <v>29</v>
      </c>
      <c r="G2347" t="s">
        <v>5033</v>
      </c>
      <c r="H2347">
        <v>2845.58</v>
      </c>
      <c r="I2347" s="8" t="str" cm="1">
        <f t="array" ref="I2347">_xlfn.IFS(C2347&lt;=15,"Children and Young Adolescents", C2347&gt;64, "Seniors", TRUE, "Working Age")</f>
        <v>Seniors</v>
      </c>
      <c r="J2347" s="6">
        <f>VLOOKUP(F2347,Analysis!$F$1:$G$5,2,FALSE)</f>
        <v>2496.7676064256989</v>
      </c>
      <c r="K2347">
        <f t="shared" si="144"/>
        <v>3130.13</v>
      </c>
      <c r="L2347">
        <f t="shared" si="145"/>
        <v>3130.1400000000003</v>
      </c>
      <c r="M2347">
        <f t="shared" si="146"/>
        <v>3130.14</v>
      </c>
      <c r="N2347" s="5" t="str">
        <f t="shared" si="147"/>
        <v>December 2022</v>
      </c>
    </row>
    <row r="2348" spans="1:14" x14ac:dyDescent="0.25">
      <c r="A2348" s="1">
        <v>44902</v>
      </c>
      <c r="B2348" t="s">
        <v>568</v>
      </c>
      <c r="C2348">
        <v>19</v>
      </c>
      <c r="D2348" t="s">
        <v>21</v>
      </c>
      <c r="E2348" t="s">
        <v>25</v>
      </c>
      <c r="F2348" t="s">
        <v>16</v>
      </c>
      <c r="G2348" t="s">
        <v>36</v>
      </c>
      <c r="H2348">
        <v>539.14</v>
      </c>
      <c r="I2348" s="8" t="str" cm="1">
        <f t="array" ref="I2348">_xlfn.IFS(C2348&lt;=15,"Children and Young Adolescents", C2348&gt;64, "Seniors", TRUE, "Working Age")</f>
        <v>Working Age</v>
      </c>
      <c r="J2348" s="6">
        <f>VLOOKUP(F2348,Analysis!$F$1:$G$5,2,FALSE)</f>
        <v>2509.1716796874912</v>
      </c>
      <c r="K2348">
        <f t="shared" si="144"/>
        <v>593.04999999999995</v>
      </c>
      <c r="L2348">
        <f t="shared" si="145"/>
        <v>593.05999999999995</v>
      </c>
      <c r="M2348">
        <f t="shared" si="146"/>
        <v>593.04999999999995</v>
      </c>
      <c r="N2348" s="5" t="str">
        <f t="shared" si="147"/>
        <v>December 2022</v>
      </c>
    </row>
    <row r="2349" spans="1:14" x14ac:dyDescent="0.25">
      <c r="A2349" s="1">
        <v>44902</v>
      </c>
      <c r="B2349" t="s">
        <v>2452</v>
      </c>
      <c r="C2349">
        <v>56</v>
      </c>
      <c r="D2349" t="s">
        <v>9</v>
      </c>
      <c r="E2349" t="s">
        <v>34</v>
      </c>
      <c r="F2349" t="s">
        <v>11</v>
      </c>
      <c r="G2349" t="s">
        <v>36</v>
      </c>
      <c r="H2349">
        <v>1353.94</v>
      </c>
      <c r="I2349" s="8" t="str" cm="1">
        <f t="array" ref="I2349">_xlfn.IFS(C2349&lt;=15,"Children and Young Adolescents", C2349&gt;64, "Seniors", TRUE, "Working Age")</f>
        <v>Working Age</v>
      </c>
      <c r="J2349" s="6">
        <f>VLOOKUP(F2349,Analysis!$F$1:$G$5,2,FALSE)</f>
        <v>2503.6022787783854</v>
      </c>
      <c r="K2349">
        <f t="shared" si="144"/>
        <v>1489.33</v>
      </c>
      <c r="L2349">
        <f t="shared" si="145"/>
        <v>1489.34</v>
      </c>
      <c r="M2349">
        <f t="shared" si="146"/>
        <v>1489.33</v>
      </c>
      <c r="N2349" s="5" t="str">
        <f t="shared" si="147"/>
        <v>December 2022</v>
      </c>
    </row>
    <row r="2350" spans="1:14" x14ac:dyDescent="0.25">
      <c r="A2350" s="1">
        <v>44903</v>
      </c>
      <c r="B2350" t="s">
        <v>472</v>
      </c>
      <c r="C2350">
        <v>49</v>
      </c>
      <c r="D2350" t="s">
        <v>14</v>
      </c>
      <c r="E2350" t="s">
        <v>34</v>
      </c>
      <c r="F2350" t="s">
        <v>16</v>
      </c>
      <c r="G2350" t="s">
        <v>36</v>
      </c>
      <c r="H2350">
        <v>3682.27</v>
      </c>
      <c r="I2350" s="8" t="str" cm="1">
        <f t="array" ref="I2350">_xlfn.IFS(C2350&lt;=15,"Children and Young Adolescents", C2350&gt;64, "Seniors", TRUE, "Working Age")</f>
        <v>Working Age</v>
      </c>
      <c r="J2350" s="6">
        <f>VLOOKUP(F2350,Analysis!$F$1:$G$5,2,FALSE)</f>
        <v>2509.1716796874912</v>
      </c>
      <c r="K2350">
        <f t="shared" si="144"/>
        <v>4050.49</v>
      </c>
      <c r="L2350">
        <f t="shared" si="145"/>
        <v>4050.5</v>
      </c>
      <c r="M2350">
        <f t="shared" si="146"/>
        <v>4050.5</v>
      </c>
      <c r="N2350" s="5" t="str">
        <f t="shared" si="147"/>
        <v>December 2022</v>
      </c>
    </row>
    <row r="2351" spans="1:14" x14ac:dyDescent="0.25">
      <c r="A2351" s="1">
        <v>44903</v>
      </c>
      <c r="B2351" t="s">
        <v>4113</v>
      </c>
      <c r="C2351">
        <v>70</v>
      </c>
      <c r="D2351" t="s">
        <v>9</v>
      </c>
      <c r="E2351" t="s">
        <v>34</v>
      </c>
      <c r="F2351" t="s">
        <v>29</v>
      </c>
      <c r="G2351" t="s">
        <v>39</v>
      </c>
      <c r="H2351">
        <v>1772.98</v>
      </c>
      <c r="I2351" s="8" t="str" cm="1">
        <f t="array" ref="I2351">_xlfn.IFS(C2351&lt;=15,"Children and Young Adolescents", C2351&gt;64, "Seniors", TRUE, "Working Age")</f>
        <v>Seniors</v>
      </c>
      <c r="J2351" s="6">
        <f>VLOOKUP(F2351,Analysis!$F$1:$G$5,2,FALSE)</f>
        <v>2496.7676064256989</v>
      </c>
      <c r="K2351">
        <f t="shared" si="144"/>
        <v>1950.27</v>
      </c>
      <c r="L2351">
        <f t="shared" si="145"/>
        <v>1950.28</v>
      </c>
      <c r="M2351">
        <f t="shared" si="146"/>
        <v>1950.28</v>
      </c>
      <c r="N2351" s="5" t="str">
        <f t="shared" si="147"/>
        <v>December 2022</v>
      </c>
    </row>
    <row r="2352" spans="1:14" x14ac:dyDescent="0.25">
      <c r="A2352" s="1">
        <v>44903</v>
      </c>
      <c r="B2352" t="s">
        <v>3876</v>
      </c>
      <c r="C2352">
        <v>87</v>
      </c>
      <c r="D2352" t="s">
        <v>9</v>
      </c>
      <c r="E2352" t="s">
        <v>10</v>
      </c>
      <c r="F2352" t="s">
        <v>16</v>
      </c>
      <c r="G2352" t="s">
        <v>12</v>
      </c>
      <c r="H2352">
        <v>3549.13</v>
      </c>
      <c r="I2352" s="8" t="str" cm="1">
        <f t="array" ref="I2352">_xlfn.IFS(C2352&lt;=15,"Children and Young Adolescents", C2352&gt;64, "Seniors", TRUE, "Working Age")</f>
        <v>Seniors</v>
      </c>
      <c r="J2352" s="6">
        <f>VLOOKUP(F2352,Analysis!$F$1:$G$5,2,FALSE)</f>
        <v>2509.1716796874912</v>
      </c>
      <c r="K2352">
        <f t="shared" si="144"/>
        <v>3904.04</v>
      </c>
      <c r="L2352">
        <f t="shared" si="145"/>
        <v>3904.05</v>
      </c>
      <c r="M2352">
        <f t="shared" si="146"/>
        <v>3904.04</v>
      </c>
      <c r="N2352" s="5" t="str">
        <f t="shared" si="147"/>
        <v>December 2022</v>
      </c>
    </row>
    <row r="2353" spans="1:14" x14ac:dyDescent="0.25">
      <c r="A2353" s="1">
        <v>44903</v>
      </c>
      <c r="B2353" t="s">
        <v>8</v>
      </c>
      <c r="C2353">
        <v>58</v>
      </c>
      <c r="D2353" t="s">
        <v>9</v>
      </c>
      <c r="E2353" t="s">
        <v>10</v>
      </c>
      <c r="F2353" t="s">
        <v>11</v>
      </c>
      <c r="G2353" t="s">
        <v>12</v>
      </c>
      <c r="H2353">
        <v>2804.9</v>
      </c>
      <c r="I2353" s="8" t="str" cm="1">
        <f t="array" ref="I2353">_xlfn.IFS(C2353&lt;=15,"Children and Young Adolescents", C2353&gt;64, "Seniors", TRUE, "Working Age")</f>
        <v>Working Age</v>
      </c>
      <c r="J2353" s="6">
        <f>VLOOKUP(F2353,Analysis!$F$1:$G$5,2,FALSE)</f>
        <v>2503.6022787783854</v>
      </c>
      <c r="K2353">
        <f t="shared" si="144"/>
        <v>3085.39</v>
      </c>
      <c r="L2353">
        <f t="shared" si="145"/>
        <v>3085.39</v>
      </c>
      <c r="M2353">
        <f t="shared" si="146"/>
        <v>3085.39</v>
      </c>
      <c r="N2353" s="5" t="str">
        <f t="shared" si="147"/>
        <v>December 2022</v>
      </c>
    </row>
    <row r="2354" spans="1:14" x14ac:dyDescent="0.25">
      <c r="A2354" s="1">
        <v>44903</v>
      </c>
      <c r="B2354" t="s">
        <v>1715</v>
      </c>
      <c r="C2354">
        <v>84</v>
      </c>
      <c r="D2354" t="s">
        <v>9</v>
      </c>
      <c r="E2354" t="s">
        <v>15</v>
      </c>
      <c r="F2354" t="s">
        <v>29</v>
      </c>
      <c r="G2354" t="s">
        <v>36</v>
      </c>
      <c r="H2354">
        <v>620.96</v>
      </c>
      <c r="I2354" s="8" t="str" cm="1">
        <f t="array" ref="I2354">_xlfn.IFS(C2354&lt;=15,"Children and Young Adolescents", C2354&gt;64, "Seniors", TRUE, "Working Age")</f>
        <v>Seniors</v>
      </c>
      <c r="J2354" s="6">
        <f>VLOOKUP(F2354,Analysis!$F$1:$G$5,2,FALSE)</f>
        <v>2496.7676064256989</v>
      </c>
      <c r="K2354">
        <f t="shared" si="144"/>
        <v>683.05</v>
      </c>
      <c r="L2354">
        <f t="shared" si="145"/>
        <v>683.06</v>
      </c>
      <c r="M2354">
        <f t="shared" si="146"/>
        <v>683.06</v>
      </c>
      <c r="N2354" s="5" t="str">
        <f t="shared" si="147"/>
        <v>December 2022</v>
      </c>
    </row>
    <row r="2355" spans="1:14" x14ac:dyDescent="0.25">
      <c r="A2355" s="1">
        <v>44904</v>
      </c>
      <c r="B2355" t="s">
        <v>4598</v>
      </c>
      <c r="C2355">
        <v>58</v>
      </c>
      <c r="D2355" t="s">
        <v>14</v>
      </c>
      <c r="E2355" t="s">
        <v>10</v>
      </c>
      <c r="F2355" t="s">
        <v>16</v>
      </c>
      <c r="G2355" t="s">
        <v>27</v>
      </c>
      <c r="H2355">
        <v>2698.25</v>
      </c>
      <c r="I2355" s="8" t="str" cm="1">
        <f t="array" ref="I2355">_xlfn.IFS(C2355&lt;=15,"Children and Young Adolescents", C2355&gt;64, "Seniors", TRUE, "Working Age")</f>
        <v>Working Age</v>
      </c>
      <c r="J2355" s="6">
        <f>VLOOKUP(F2355,Analysis!$F$1:$G$5,2,FALSE)</f>
        <v>2509.1716796874912</v>
      </c>
      <c r="K2355">
        <f t="shared" si="144"/>
        <v>2968.07</v>
      </c>
      <c r="L2355">
        <f t="shared" si="145"/>
        <v>2968.0800000000004</v>
      </c>
      <c r="M2355">
        <f t="shared" si="146"/>
        <v>2968.08</v>
      </c>
      <c r="N2355" s="5" t="str">
        <f t="shared" si="147"/>
        <v>December 2022</v>
      </c>
    </row>
    <row r="2356" spans="1:14" x14ac:dyDescent="0.25">
      <c r="A2356" s="1">
        <v>44904</v>
      </c>
      <c r="B2356" t="s">
        <v>4943</v>
      </c>
      <c r="C2356">
        <v>9</v>
      </c>
      <c r="D2356" t="s">
        <v>21</v>
      </c>
      <c r="E2356" t="s">
        <v>32</v>
      </c>
      <c r="F2356" t="s">
        <v>29</v>
      </c>
      <c r="G2356" t="s">
        <v>39</v>
      </c>
      <c r="H2356">
        <v>978.14</v>
      </c>
      <c r="I2356" s="8" t="str" cm="1">
        <f t="array" ref="I2356">_xlfn.IFS(C2356&lt;=15,"Children and Young Adolescents", C2356&gt;64, "Seniors", TRUE, "Working Age")</f>
        <v>Children and Young Adolescents</v>
      </c>
      <c r="J2356" s="6">
        <f>VLOOKUP(F2356,Analysis!$F$1:$G$5,2,FALSE)</f>
        <v>2496.7676064256989</v>
      </c>
      <c r="K2356">
        <f t="shared" si="144"/>
        <v>1075.95</v>
      </c>
      <c r="L2356">
        <f t="shared" si="145"/>
        <v>1075.96</v>
      </c>
      <c r="M2356">
        <f t="shared" si="146"/>
        <v>1075.95</v>
      </c>
      <c r="N2356" s="5" t="str">
        <f t="shared" si="147"/>
        <v>December 2022</v>
      </c>
    </row>
    <row r="2357" spans="1:14" x14ac:dyDescent="0.25">
      <c r="A2357" s="1">
        <v>44904</v>
      </c>
      <c r="B2357" t="s">
        <v>2841</v>
      </c>
      <c r="C2357">
        <v>13</v>
      </c>
      <c r="D2357" t="s">
        <v>21</v>
      </c>
      <c r="E2357" t="s">
        <v>25</v>
      </c>
      <c r="F2357" t="s">
        <v>11</v>
      </c>
      <c r="G2357" t="s">
        <v>17</v>
      </c>
      <c r="H2357">
        <v>2722.11</v>
      </c>
      <c r="I2357" s="8" t="str" cm="1">
        <f t="array" ref="I2357">_xlfn.IFS(C2357&lt;=15,"Children and Young Adolescents", C2357&gt;64, "Seniors", TRUE, "Working Age")</f>
        <v>Children and Young Adolescents</v>
      </c>
      <c r="J2357" s="6">
        <f>VLOOKUP(F2357,Analysis!$F$1:$G$5,2,FALSE)</f>
        <v>2503.6022787783854</v>
      </c>
      <c r="K2357">
        <f t="shared" si="144"/>
        <v>2994.32</v>
      </c>
      <c r="L2357">
        <f t="shared" si="145"/>
        <v>2994.3300000000004</v>
      </c>
      <c r="M2357">
        <f t="shared" si="146"/>
        <v>2994.32</v>
      </c>
      <c r="N2357" s="5" t="str">
        <f t="shared" si="147"/>
        <v>December 2022</v>
      </c>
    </row>
    <row r="2358" spans="1:14" x14ac:dyDescent="0.25">
      <c r="A2358" s="1">
        <v>44904</v>
      </c>
      <c r="B2358" t="s">
        <v>4470</v>
      </c>
      <c r="C2358">
        <v>79</v>
      </c>
      <c r="D2358" t="s">
        <v>14</v>
      </c>
      <c r="E2358" t="s">
        <v>5032</v>
      </c>
      <c r="F2358" t="s">
        <v>11</v>
      </c>
      <c r="G2358" t="s">
        <v>12</v>
      </c>
      <c r="H2358">
        <v>2293.46</v>
      </c>
      <c r="I2358" s="8" t="str" cm="1">
        <f t="array" ref="I2358">_xlfn.IFS(C2358&lt;=15,"Children and Young Adolescents", C2358&gt;64, "Seniors", TRUE, "Working Age")</f>
        <v>Seniors</v>
      </c>
      <c r="J2358" s="6">
        <f>VLOOKUP(F2358,Analysis!$F$1:$G$5,2,FALSE)</f>
        <v>2503.6022787783854</v>
      </c>
      <c r="K2358">
        <f t="shared" si="144"/>
        <v>2522.8000000000002</v>
      </c>
      <c r="L2358">
        <f t="shared" si="145"/>
        <v>2522.8100000000004</v>
      </c>
      <c r="M2358">
        <f t="shared" si="146"/>
        <v>2522.81</v>
      </c>
      <c r="N2358" s="5" t="str">
        <f t="shared" si="147"/>
        <v>December 2022</v>
      </c>
    </row>
    <row r="2359" spans="1:14" x14ac:dyDescent="0.25">
      <c r="A2359" s="1">
        <v>44904</v>
      </c>
      <c r="B2359" t="s">
        <v>1600</v>
      </c>
      <c r="C2359">
        <v>25</v>
      </c>
      <c r="D2359" t="s">
        <v>21</v>
      </c>
      <c r="E2359" t="s">
        <v>10</v>
      </c>
      <c r="F2359" t="s">
        <v>11</v>
      </c>
      <c r="G2359" t="s">
        <v>39</v>
      </c>
      <c r="H2359">
        <v>3220.96</v>
      </c>
      <c r="I2359" s="8" t="str" cm="1">
        <f t="array" ref="I2359">_xlfn.IFS(C2359&lt;=15,"Children and Young Adolescents", C2359&gt;64, "Seniors", TRUE, "Working Age")</f>
        <v>Working Age</v>
      </c>
      <c r="J2359" s="6">
        <f>VLOOKUP(F2359,Analysis!$F$1:$G$5,2,FALSE)</f>
        <v>2503.6022787783854</v>
      </c>
      <c r="K2359">
        <f t="shared" si="144"/>
        <v>3543.05</v>
      </c>
      <c r="L2359">
        <f t="shared" si="145"/>
        <v>3543.0600000000004</v>
      </c>
      <c r="M2359">
        <f t="shared" si="146"/>
        <v>3543.06</v>
      </c>
      <c r="N2359" s="5" t="str">
        <f t="shared" si="147"/>
        <v>December 2022</v>
      </c>
    </row>
    <row r="2360" spans="1:14" x14ac:dyDescent="0.25">
      <c r="A2360" s="1">
        <v>44904</v>
      </c>
      <c r="B2360" t="s">
        <v>4104</v>
      </c>
      <c r="C2360">
        <v>9</v>
      </c>
      <c r="D2360" t="s">
        <v>21</v>
      </c>
      <c r="E2360" t="s">
        <v>10</v>
      </c>
      <c r="F2360" t="s">
        <v>23</v>
      </c>
      <c r="G2360" t="s">
        <v>27</v>
      </c>
      <c r="H2360">
        <v>4622.21</v>
      </c>
      <c r="I2360" s="8" t="str" cm="1">
        <f t="array" ref="I2360">_xlfn.IFS(C2360&lt;=15,"Children and Young Adolescents", C2360&gt;64, "Seniors", TRUE, "Working Age")</f>
        <v>Children and Young Adolescents</v>
      </c>
      <c r="J2360" s="6">
        <f>VLOOKUP(F2360,Analysis!$F$1:$G$5,2,FALSE)</f>
        <v>2440.2966694490838</v>
      </c>
      <c r="K2360">
        <f t="shared" si="144"/>
        <v>5084.43</v>
      </c>
      <c r="L2360">
        <f t="shared" si="145"/>
        <v>5084.4400000000005</v>
      </c>
      <c r="M2360">
        <f t="shared" si="146"/>
        <v>5084.43</v>
      </c>
      <c r="N2360" s="5" t="str">
        <f t="shared" si="147"/>
        <v>December 2022</v>
      </c>
    </row>
    <row r="2361" spans="1:14" x14ac:dyDescent="0.25">
      <c r="A2361" s="1">
        <v>44904</v>
      </c>
      <c r="B2361" t="s">
        <v>2750</v>
      </c>
      <c r="C2361">
        <v>9</v>
      </c>
      <c r="D2361" t="s">
        <v>21</v>
      </c>
      <c r="E2361" t="s">
        <v>10</v>
      </c>
      <c r="F2361" t="s">
        <v>29</v>
      </c>
      <c r="G2361" t="s">
        <v>27</v>
      </c>
      <c r="H2361">
        <v>4644.43</v>
      </c>
      <c r="I2361" s="8" t="str" cm="1">
        <f t="array" ref="I2361">_xlfn.IFS(C2361&lt;=15,"Children and Young Adolescents", C2361&gt;64, "Seniors", TRUE, "Working Age")</f>
        <v>Children and Young Adolescents</v>
      </c>
      <c r="J2361" s="6">
        <f>VLOOKUP(F2361,Analysis!$F$1:$G$5,2,FALSE)</f>
        <v>2496.7676064256989</v>
      </c>
      <c r="K2361">
        <f t="shared" si="144"/>
        <v>5108.87</v>
      </c>
      <c r="L2361">
        <f t="shared" si="145"/>
        <v>5108.88</v>
      </c>
      <c r="M2361">
        <f t="shared" si="146"/>
        <v>5108.87</v>
      </c>
      <c r="N2361" s="5" t="str">
        <f t="shared" si="147"/>
        <v>December 2022</v>
      </c>
    </row>
    <row r="2362" spans="1:14" x14ac:dyDescent="0.25">
      <c r="A2362" s="1">
        <v>44905</v>
      </c>
      <c r="B2362" t="s">
        <v>2310</v>
      </c>
      <c r="C2362">
        <v>26</v>
      </c>
      <c r="D2362" t="s">
        <v>14</v>
      </c>
      <c r="E2362" t="s">
        <v>32</v>
      </c>
      <c r="F2362" t="s">
        <v>29</v>
      </c>
      <c r="G2362" t="s">
        <v>17</v>
      </c>
      <c r="H2362">
        <v>3095.73</v>
      </c>
      <c r="I2362" s="8" t="str" cm="1">
        <f t="array" ref="I2362">_xlfn.IFS(C2362&lt;=15,"Children and Young Adolescents", C2362&gt;64, "Seniors", TRUE, "Working Age")</f>
        <v>Working Age</v>
      </c>
      <c r="J2362" s="6">
        <f>VLOOKUP(F2362,Analysis!$F$1:$G$5,2,FALSE)</f>
        <v>2496.7676064256989</v>
      </c>
      <c r="K2362">
        <f t="shared" si="144"/>
        <v>3405.3</v>
      </c>
      <c r="L2362">
        <f t="shared" si="145"/>
        <v>3405.3100000000004</v>
      </c>
      <c r="M2362">
        <f t="shared" si="146"/>
        <v>3405.3</v>
      </c>
      <c r="N2362" s="5" t="str">
        <f t="shared" si="147"/>
        <v>December 2022</v>
      </c>
    </row>
    <row r="2363" spans="1:14" x14ac:dyDescent="0.25">
      <c r="A2363" s="1">
        <v>44905</v>
      </c>
      <c r="B2363" t="s">
        <v>1737</v>
      </c>
      <c r="C2363">
        <v>89</v>
      </c>
      <c r="D2363" t="s">
        <v>14</v>
      </c>
      <c r="E2363" t="s">
        <v>25</v>
      </c>
      <c r="F2363" t="s">
        <v>29</v>
      </c>
      <c r="G2363" t="s">
        <v>39</v>
      </c>
      <c r="H2363">
        <v>2767.1</v>
      </c>
      <c r="I2363" s="8" t="str" cm="1">
        <f t="array" ref="I2363">_xlfn.IFS(C2363&lt;=15,"Children and Young Adolescents", C2363&gt;64, "Seniors", TRUE, "Working Age")</f>
        <v>Seniors</v>
      </c>
      <c r="J2363" s="6">
        <f>VLOOKUP(F2363,Analysis!$F$1:$G$5,2,FALSE)</f>
        <v>2496.7676064256989</v>
      </c>
      <c r="K2363">
        <f t="shared" si="144"/>
        <v>3043.81</v>
      </c>
      <c r="L2363">
        <f t="shared" si="145"/>
        <v>3043.81</v>
      </c>
      <c r="M2363">
        <f t="shared" si="146"/>
        <v>3043.81</v>
      </c>
      <c r="N2363" s="5" t="str">
        <f t="shared" si="147"/>
        <v>December 2022</v>
      </c>
    </row>
    <row r="2364" spans="1:14" x14ac:dyDescent="0.25">
      <c r="A2364" s="1">
        <v>44905</v>
      </c>
      <c r="B2364" t="s">
        <v>4723</v>
      </c>
      <c r="C2364">
        <v>16</v>
      </c>
      <c r="D2364" t="s">
        <v>9</v>
      </c>
      <c r="E2364" t="s">
        <v>10</v>
      </c>
      <c r="F2364" t="s">
        <v>11</v>
      </c>
      <c r="G2364" t="s">
        <v>36</v>
      </c>
      <c r="H2364">
        <v>4614.0600000000004</v>
      </c>
      <c r="I2364" s="8" t="str" cm="1">
        <f t="array" ref="I2364">_xlfn.IFS(C2364&lt;=15,"Children and Young Adolescents", C2364&gt;64, "Seniors", TRUE, "Working Age")</f>
        <v>Working Age</v>
      </c>
      <c r="J2364" s="6">
        <f>VLOOKUP(F2364,Analysis!$F$1:$G$5,2,FALSE)</f>
        <v>2503.6022787783854</v>
      </c>
      <c r="K2364">
        <f t="shared" si="144"/>
        <v>5075.46</v>
      </c>
      <c r="L2364">
        <f t="shared" si="145"/>
        <v>5075.47</v>
      </c>
      <c r="M2364">
        <f t="shared" si="146"/>
        <v>5075.47</v>
      </c>
      <c r="N2364" s="5" t="str">
        <f t="shared" si="147"/>
        <v>December 2022</v>
      </c>
    </row>
    <row r="2365" spans="1:14" x14ac:dyDescent="0.25">
      <c r="A2365" s="1">
        <v>44905</v>
      </c>
      <c r="B2365" t="s">
        <v>1136</v>
      </c>
      <c r="C2365">
        <v>1</v>
      </c>
      <c r="D2365" t="s">
        <v>14</v>
      </c>
      <c r="E2365" t="s">
        <v>25</v>
      </c>
      <c r="F2365" t="s">
        <v>23</v>
      </c>
      <c r="G2365" t="s">
        <v>17</v>
      </c>
      <c r="H2365">
        <v>1789.71</v>
      </c>
      <c r="I2365" s="8" t="str" cm="1">
        <f t="array" ref="I2365">_xlfn.IFS(C2365&lt;=15,"Children and Young Adolescents", C2365&gt;64, "Seniors", TRUE, "Working Age")</f>
        <v>Children and Young Adolescents</v>
      </c>
      <c r="J2365" s="6">
        <f>VLOOKUP(F2365,Analysis!$F$1:$G$5,2,FALSE)</f>
        <v>2440.2966694490838</v>
      </c>
      <c r="K2365">
        <f t="shared" si="144"/>
        <v>1968.68</v>
      </c>
      <c r="L2365">
        <f t="shared" si="145"/>
        <v>1968.69</v>
      </c>
      <c r="M2365">
        <f t="shared" si="146"/>
        <v>1968.68</v>
      </c>
      <c r="N2365" s="5" t="str">
        <f t="shared" si="147"/>
        <v>December 2022</v>
      </c>
    </row>
    <row r="2366" spans="1:14" x14ac:dyDescent="0.25">
      <c r="A2366" s="1">
        <v>44905</v>
      </c>
      <c r="B2366" t="s">
        <v>3907</v>
      </c>
      <c r="C2366">
        <v>46</v>
      </c>
      <c r="D2366" t="s">
        <v>21</v>
      </c>
      <c r="E2366" t="s">
        <v>34</v>
      </c>
      <c r="F2366" t="s">
        <v>16</v>
      </c>
      <c r="G2366" t="s">
        <v>17</v>
      </c>
      <c r="H2366">
        <v>839.14</v>
      </c>
      <c r="I2366" s="8" t="str" cm="1">
        <f t="array" ref="I2366">_xlfn.IFS(C2366&lt;=15,"Children and Young Adolescents", C2366&gt;64, "Seniors", TRUE, "Working Age")</f>
        <v>Working Age</v>
      </c>
      <c r="J2366" s="6">
        <f>VLOOKUP(F2366,Analysis!$F$1:$G$5,2,FALSE)</f>
        <v>2509.1716796874912</v>
      </c>
      <c r="K2366">
        <f t="shared" si="144"/>
        <v>923.05</v>
      </c>
      <c r="L2366">
        <f t="shared" si="145"/>
        <v>923.06</v>
      </c>
      <c r="M2366">
        <f t="shared" si="146"/>
        <v>923.05</v>
      </c>
      <c r="N2366" s="5" t="str">
        <f t="shared" si="147"/>
        <v>December 2022</v>
      </c>
    </row>
    <row r="2367" spans="1:14" x14ac:dyDescent="0.25">
      <c r="A2367" s="1">
        <v>44905</v>
      </c>
      <c r="B2367" t="s">
        <v>716</v>
      </c>
      <c r="C2367">
        <v>20</v>
      </c>
      <c r="D2367" t="s">
        <v>9</v>
      </c>
      <c r="E2367" t="s">
        <v>19</v>
      </c>
      <c r="F2367" t="s">
        <v>23</v>
      </c>
      <c r="G2367" t="s">
        <v>36</v>
      </c>
      <c r="H2367">
        <v>3786.28</v>
      </c>
      <c r="I2367" s="8" t="str" cm="1">
        <f t="array" ref="I2367">_xlfn.IFS(C2367&lt;=15,"Children and Young Adolescents", C2367&gt;64, "Seniors", TRUE, "Working Age")</f>
        <v>Working Age</v>
      </c>
      <c r="J2367" s="6">
        <f>VLOOKUP(F2367,Analysis!$F$1:$G$5,2,FALSE)</f>
        <v>2440.2966694490838</v>
      </c>
      <c r="K2367">
        <f t="shared" si="144"/>
        <v>4164.8999999999996</v>
      </c>
      <c r="L2367">
        <f t="shared" si="145"/>
        <v>4164.91</v>
      </c>
      <c r="M2367">
        <f t="shared" si="146"/>
        <v>4164.91</v>
      </c>
      <c r="N2367" s="5" t="str">
        <f t="shared" si="147"/>
        <v>December 2022</v>
      </c>
    </row>
    <row r="2368" spans="1:14" x14ac:dyDescent="0.25">
      <c r="A2368" s="1">
        <v>44905</v>
      </c>
      <c r="B2368" t="s">
        <v>2923</v>
      </c>
      <c r="C2368">
        <v>88</v>
      </c>
      <c r="D2368" t="s">
        <v>9</v>
      </c>
      <c r="E2368" t="s">
        <v>34</v>
      </c>
      <c r="F2368" t="s">
        <v>23</v>
      </c>
      <c r="G2368" t="s">
        <v>12</v>
      </c>
      <c r="H2368">
        <v>918.93</v>
      </c>
      <c r="I2368" s="8" t="str" cm="1">
        <f t="array" ref="I2368">_xlfn.IFS(C2368&lt;=15,"Children and Young Adolescents", C2368&gt;64, "Seniors", TRUE, "Working Age")</f>
        <v>Seniors</v>
      </c>
      <c r="J2368" s="6">
        <f>VLOOKUP(F2368,Analysis!$F$1:$G$5,2,FALSE)</f>
        <v>2440.2966694490838</v>
      </c>
      <c r="K2368">
        <f t="shared" si="144"/>
        <v>1010.82</v>
      </c>
      <c r="L2368">
        <f t="shared" si="145"/>
        <v>1010.83</v>
      </c>
      <c r="M2368">
        <f t="shared" si="146"/>
        <v>1010.82</v>
      </c>
      <c r="N2368" s="5" t="str">
        <f t="shared" si="147"/>
        <v>December 2022</v>
      </c>
    </row>
    <row r="2369" spans="1:14" x14ac:dyDescent="0.25">
      <c r="A2369" s="1">
        <v>44906</v>
      </c>
      <c r="B2369" t="s">
        <v>210</v>
      </c>
      <c r="C2369">
        <v>3</v>
      </c>
      <c r="D2369" t="s">
        <v>21</v>
      </c>
      <c r="E2369" t="s">
        <v>15</v>
      </c>
      <c r="F2369" t="s">
        <v>16</v>
      </c>
      <c r="G2369" t="s">
        <v>39</v>
      </c>
      <c r="H2369">
        <v>2988.69</v>
      </c>
      <c r="I2369" s="8" t="str" cm="1">
        <f t="array" ref="I2369">_xlfn.IFS(C2369&lt;=15,"Children and Young Adolescents", C2369&gt;64, "Seniors", TRUE, "Working Age")</f>
        <v>Children and Young Adolescents</v>
      </c>
      <c r="J2369" s="6">
        <f>VLOOKUP(F2369,Analysis!$F$1:$G$5,2,FALSE)</f>
        <v>2509.1716796874912</v>
      </c>
      <c r="K2369">
        <f t="shared" si="144"/>
        <v>3287.55</v>
      </c>
      <c r="L2369">
        <f t="shared" si="145"/>
        <v>3287.5600000000004</v>
      </c>
      <c r="M2369">
        <f t="shared" si="146"/>
        <v>3287.56</v>
      </c>
      <c r="N2369" s="5" t="str">
        <f t="shared" si="147"/>
        <v>December 2022</v>
      </c>
    </row>
    <row r="2370" spans="1:14" x14ac:dyDescent="0.25">
      <c r="A2370" s="1">
        <v>44906</v>
      </c>
      <c r="B2370" t="s">
        <v>2883</v>
      </c>
      <c r="C2370">
        <v>78</v>
      </c>
      <c r="D2370" t="s">
        <v>14</v>
      </c>
      <c r="E2370" t="s">
        <v>32</v>
      </c>
      <c r="F2370" t="s">
        <v>29</v>
      </c>
      <c r="G2370" t="s">
        <v>17</v>
      </c>
      <c r="H2370">
        <v>1588.42</v>
      </c>
      <c r="I2370" s="8" t="str" cm="1">
        <f t="array" ref="I2370">_xlfn.IFS(C2370&lt;=15,"Children and Young Adolescents", C2370&gt;64, "Seniors", TRUE, "Working Age")</f>
        <v>Seniors</v>
      </c>
      <c r="J2370" s="6">
        <f>VLOOKUP(F2370,Analysis!$F$1:$G$5,2,FALSE)</f>
        <v>2496.7676064256989</v>
      </c>
      <c r="K2370">
        <f t="shared" si="144"/>
        <v>1747.26</v>
      </c>
      <c r="L2370">
        <f t="shared" si="145"/>
        <v>1747.27</v>
      </c>
      <c r="M2370">
        <f t="shared" si="146"/>
        <v>1747.26</v>
      </c>
      <c r="N2370" s="5" t="str">
        <f t="shared" si="147"/>
        <v>December 2022</v>
      </c>
    </row>
    <row r="2371" spans="1:14" x14ac:dyDescent="0.25">
      <c r="A2371" s="1">
        <v>44906</v>
      </c>
      <c r="B2371" t="s">
        <v>4864</v>
      </c>
      <c r="C2371">
        <v>75</v>
      </c>
      <c r="D2371" t="s">
        <v>14</v>
      </c>
      <c r="E2371" t="s">
        <v>34</v>
      </c>
      <c r="F2371" t="s">
        <v>23</v>
      </c>
      <c r="G2371" t="s">
        <v>17</v>
      </c>
      <c r="H2371">
        <v>4487.63</v>
      </c>
      <c r="I2371" s="8" t="str" cm="1">
        <f t="array" ref="I2371">_xlfn.IFS(C2371&lt;=15,"Children and Young Adolescents", C2371&gt;64, "Seniors", TRUE, "Working Age")</f>
        <v>Seniors</v>
      </c>
      <c r="J2371" s="6">
        <f>VLOOKUP(F2371,Analysis!$F$1:$G$5,2,FALSE)</f>
        <v>2440.2966694490838</v>
      </c>
      <c r="K2371">
        <f t="shared" ref="K2371:K2434" si="148">ROUNDDOWN(H2371*1.1,2)</f>
        <v>4936.3900000000003</v>
      </c>
      <c r="L2371">
        <f t="shared" ref="L2371:L2434" si="149">ROUNDUP(H2371*1.1,2)</f>
        <v>4936.4000000000005</v>
      </c>
      <c r="M2371">
        <f t="shared" ref="M2371:M2434" si="150">ROUND(H2371*1.1,2)</f>
        <v>4936.3900000000003</v>
      </c>
      <c r="N2371" s="5" t="str">
        <f t="shared" ref="N2371:N2434" si="151">TEXT(A2371,"mmmm yyyy")</f>
        <v>December 2022</v>
      </c>
    </row>
    <row r="2372" spans="1:14" x14ac:dyDescent="0.25">
      <c r="A2372" s="1">
        <v>44906</v>
      </c>
      <c r="B2372" t="s">
        <v>2553</v>
      </c>
      <c r="C2372">
        <v>46</v>
      </c>
      <c r="D2372" t="s">
        <v>21</v>
      </c>
      <c r="E2372" t="s">
        <v>22</v>
      </c>
      <c r="F2372" t="s">
        <v>23</v>
      </c>
      <c r="G2372" t="s">
        <v>12</v>
      </c>
      <c r="H2372">
        <v>608.57000000000005</v>
      </c>
      <c r="I2372" s="8" t="str" cm="1">
        <f t="array" ref="I2372">_xlfn.IFS(C2372&lt;=15,"Children and Young Adolescents", C2372&gt;64, "Seniors", TRUE, "Working Age")</f>
        <v>Working Age</v>
      </c>
      <c r="J2372" s="6">
        <f>VLOOKUP(F2372,Analysis!$F$1:$G$5,2,FALSE)</f>
        <v>2440.2966694490838</v>
      </c>
      <c r="K2372">
        <f t="shared" si="148"/>
        <v>669.42</v>
      </c>
      <c r="L2372">
        <f t="shared" si="149"/>
        <v>669.43</v>
      </c>
      <c r="M2372">
        <f t="shared" si="150"/>
        <v>669.43</v>
      </c>
      <c r="N2372" s="5" t="str">
        <f t="shared" si="151"/>
        <v>December 2022</v>
      </c>
    </row>
    <row r="2373" spans="1:14" x14ac:dyDescent="0.25">
      <c r="A2373" s="1">
        <v>44907</v>
      </c>
      <c r="B2373" t="s">
        <v>4933</v>
      </c>
      <c r="C2373">
        <v>43</v>
      </c>
      <c r="D2373" t="s">
        <v>14</v>
      </c>
      <c r="E2373" t="s">
        <v>32</v>
      </c>
      <c r="F2373" t="s">
        <v>11</v>
      </c>
      <c r="G2373" t="s">
        <v>17</v>
      </c>
      <c r="H2373">
        <v>3378.26</v>
      </c>
      <c r="I2373" s="8" t="str" cm="1">
        <f t="array" ref="I2373">_xlfn.IFS(C2373&lt;=15,"Children and Young Adolescents", C2373&gt;64, "Seniors", TRUE, "Working Age")</f>
        <v>Working Age</v>
      </c>
      <c r="J2373" s="6">
        <f>VLOOKUP(F2373,Analysis!$F$1:$G$5,2,FALSE)</f>
        <v>2503.6022787783854</v>
      </c>
      <c r="K2373">
        <f t="shared" si="148"/>
        <v>3716.08</v>
      </c>
      <c r="L2373">
        <f t="shared" si="149"/>
        <v>3716.09</v>
      </c>
      <c r="M2373">
        <f t="shared" si="150"/>
        <v>3716.09</v>
      </c>
      <c r="N2373" s="5" t="str">
        <f t="shared" si="151"/>
        <v>December 2022</v>
      </c>
    </row>
    <row r="2374" spans="1:14" x14ac:dyDescent="0.25">
      <c r="A2374" s="1">
        <v>44907</v>
      </c>
      <c r="B2374" t="s">
        <v>3332</v>
      </c>
      <c r="C2374">
        <v>97</v>
      </c>
      <c r="D2374" t="s">
        <v>21</v>
      </c>
      <c r="E2374" t="s">
        <v>34</v>
      </c>
      <c r="F2374" t="s">
        <v>23</v>
      </c>
      <c r="G2374" t="s">
        <v>36</v>
      </c>
      <c r="H2374">
        <v>34.28</v>
      </c>
      <c r="I2374" s="8" t="str" cm="1">
        <f t="array" ref="I2374">_xlfn.IFS(C2374&lt;=15,"Children and Young Adolescents", C2374&gt;64, "Seniors", TRUE, "Working Age")</f>
        <v>Seniors</v>
      </c>
      <c r="J2374" s="6">
        <f>VLOOKUP(F2374,Analysis!$F$1:$G$5,2,FALSE)</f>
        <v>2440.2966694490838</v>
      </c>
      <c r="K2374">
        <f t="shared" si="148"/>
        <v>37.700000000000003</v>
      </c>
      <c r="L2374">
        <f t="shared" si="149"/>
        <v>37.71</v>
      </c>
      <c r="M2374">
        <f t="shared" si="150"/>
        <v>37.71</v>
      </c>
      <c r="N2374" s="5" t="str">
        <f t="shared" si="151"/>
        <v>December 2022</v>
      </c>
    </row>
    <row r="2375" spans="1:14" x14ac:dyDescent="0.25">
      <c r="A2375" s="1">
        <v>44907</v>
      </c>
      <c r="B2375" t="s">
        <v>1916</v>
      </c>
      <c r="C2375">
        <v>66</v>
      </c>
      <c r="D2375" t="s">
        <v>21</v>
      </c>
      <c r="E2375" t="s">
        <v>19</v>
      </c>
      <c r="F2375" t="s">
        <v>11</v>
      </c>
      <c r="G2375" t="s">
        <v>17</v>
      </c>
      <c r="H2375">
        <v>111.86</v>
      </c>
      <c r="I2375" s="8" t="str" cm="1">
        <f t="array" ref="I2375">_xlfn.IFS(C2375&lt;=15,"Children and Young Adolescents", C2375&gt;64, "Seniors", TRUE, "Working Age")</f>
        <v>Seniors</v>
      </c>
      <c r="J2375" s="6">
        <f>VLOOKUP(F2375,Analysis!$F$1:$G$5,2,FALSE)</f>
        <v>2503.6022787783854</v>
      </c>
      <c r="K2375">
        <f t="shared" si="148"/>
        <v>123.04</v>
      </c>
      <c r="L2375">
        <f t="shared" si="149"/>
        <v>123.05000000000001</v>
      </c>
      <c r="M2375">
        <f t="shared" si="150"/>
        <v>123.05</v>
      </c>
      <c r="N2375" s="5" t="str">
        <f t="shared" si="151"/>
        <v>December 2022</v>
      </c>
    </row>
    <row r="2376" spans="1:14" x14ac:dyDescent="0.25">
      <c r="A2376" s="1">
        <v>44907</v>
      </c>
      <c r="B2376" t="s">
        <v>960</v>
      </c>
      <c r="C2376">
        <v>70</v>
      </c>
      <c r="D2376" t="s">
        <v>21</v>
      </c>
      <c r="E2376" t="s">
        <v>34</v>
      </c>
      <c r="F2376" t="s">
        <v>16</v>
      </c>
      <c r="G2376" t="s">
        <v>39</v>
      </c>
      <c r="H2376">
        <v>1843.04</v>
      </c>
      <c r="I2376" s="8" t="str" cm="1">
        <f t="array" ref="I2376">_xlfn.IFS(C2376&lt;=15,"Children and Young Adolescents", C2376&gt;64, "Seniors", TRUE, "Working Age")</f>
        <v>Seniors</v>
      </c>
      <c r="J2376" s="6">
        <f>VLOOKUP(F2376,Analysis!$F$1:$G$5,2,FALSE)</f>
        <v>2509.1716796874912</v>
      </c>
      <c r="K2376">
        <f t="shared" si="148"/>
        <v>2027.34</v>
      </c>
      <c r="L2376">
        <f t="shared" si="149"/>
        <v>2027.35</v>
      </c>
      <c r="M2376">
        <f t="shared" si="150"/>
        <v>2027.34</v>
      </c>
      <c r="N2376" s="5" t="str">
        <f t="shared" si="151"/>
        <v>December 2022</v>
      </c>
    </row>
    <row r="2377" spans="1:14" x14ac:dyDescent="0.25">
      <c r="A2377" s="1">
        <v>44908</v>
      </c>
      <c r="B2377" t="s">
        <v>3461</v>
      </c>
      <c r="C2377">
        <v>54</v>
      </c>
      <c r="D2377" t="s">
        <v>14</v>
      </c>
      <c r="E2377" t="s">
        <v>15</v>
      </c>
      <c r="F2377" t="s">
        <v>29</v>
      </c>
      <c r="G2377" t="s">
        <v>36</v>
      </c>
      <c r="H2377">
        <v>659.36</v>
      </c>
      <c r="I2377" s="8" t="str" cm="1">
        <f t="array" ref="I2377">_xlfn.IFS(C2377&lt;=15,"Children and Young Adolescents", C2377&gt;64, "Seniors", TRUE, "Working Age")</f>
        <v>Working Age</v>
      </c>
      <c r="J2377" s="6">
        <f>VLOOKUP(F2377,Analysis!$F$1:$G$5,2,FALSE)</f>
        <v>2496.7676064256989</v>
      </c>
      <c r="K2377">
        <f t="shared" si="148"/>
        <v>725.29</v>
      </c>
      <c r="L2377">
        <f t="shared" si="149"/>
        <v>725.3</v>
      </c>
      <c r="M2377">
        <f t="shared" si="150"/>
        <v>725.3</v>
      </c>
      <c r="N2377" s="5" t="str">
        <f t="shared" si="151"/>
        <v>December 2022</v>
      </c>
    </row>
    <row r="2378" spans="1:14" x14ac:dyDescent="0.25">
      <c r="A2378" s="1">
        <v>44908</v>
      </c>
      <c r="B2378" t="s">
        <v>2497</v>
      </c>
      <c r="C2378">
        <v>62</v>
      </c>
      <c r="D2378" t="s">
        <v>21</v>
      </c>
      <c r="E2378" t="s">
        <v>15</v>
      </c>
      <c r="F2378" t="s">
        <v>29</v>
      </c>
      <c r="G2378" t="s">
        <v>17</v>
      </c>
      <c r="H2378">
        <v>2253.64</v>
      </c>
      <c r="I2378" s="8" t="str" cm="1">
        <f t="array" ref="I2378">_xlfn.IFS(C2378&lt;=15,"Children and Young Adolescents", C2378&gt;64, "Seniors", TRUE, "Working Age")</f>
        <v>Working Age</v>
      </c>
      <c r="J2378" s="6">
        <f>VLOOKUP(F2378,Analysis!$F$1:$G$5,2,FALSE)</f>
        <v>2496.7676064256989</v>
      </c>
      <c r="K2378">
        <f t="shared" si="148"/>
        <v>2479</v>
      </c>
      <c r="L2378">
        <f t="shared" si="149"/>
        <v>2479.0100000000002</v>
      </c>
      <c r="M2378">
        <f t="shared" si="150"/>
        <v>2479</v>
      </c>
      <c r="N2378" s="5" t="str">
        <f t="shared" si="151"/>
        <v>December 2022</v>
      </c>
    </row>
    <row r="2379" spans="1:14" x14ac:dyDescent="0.25">
      <c r="A2379" s="1">
        <v>44908</v>
      </c>
      <c r="B2379" t="s">
        <v>4586</v>
      </c>
      <c r="C2379">
        <v>32</v>
      </c>
      <c r="D2379" t="s">
        <v>21</v>
      </c>
      <c r="E2379" t="s">
        <v>34</v>
      </c>
      <c r="F2379" t="s">
        <v>11</v>
      </c>
      <c r="G2379" t="s">
        <v>17</v>
      </c>
      <c r="H2379">
        <v>2723.84</v>
      </c>
      <c r="I2379" s="8" t="str" cm="1">
        <f t="array" ref="I2379">_xlfn.IFS(C2379&lt;=15,"Children and Young Adolescents", C2379&gt;64, "Seniors", TRUE, "Working Age")</f>
        <v>Working Age</v>
      </c>
      <c r="J2379" s="6">
        <f>VLOOKUP(F2379,Analysis!$F$1:$G$5,2,FALSE)</f>
        <v>2503.6022787783854</v>
      </c>
      <c r="K2379">
        <f t="shared" si="148"/>
        <v>2996.22</v>
      </c>
      <c r="L2379">
        <f t="shared" si="149"/>
        <v>2996.23</v>
      </c>
      <c r="M2379">
        <f t="shared" si="150"/>
        <v>2996.22</v>
      </c>
      <c r="N2379" s="5" t="str">
        <f t="shared" si="151"/>
        <v>December 2022</v>
      </c>
    </row>
    <row r="2380" spans="1:14" x14ac:dyDescent="0.25">
      <c r="A2380" s="1">
        <v>44908</v>
      </c>
      <c r="B2380" t="s">
        <v>4641</v>
      </c>
      <c r="C2380">
        <v>74</v>
      </c>
      <c r="D2380" t="s">
        <v>14</v>
      </c>
      <c r="E2380" t="s">
        <v>22</v>
      </c>
      <c r="F2380" t="s">
        <v>11</v>
      </c>
      <c r="G2380" t="s">
        <v>17</v>
      </c>
      <c r="H2380">
        <v>4869.62</v>
      </c>
      <c r="I2380" s="8" t="str" cm="1">
        <f t="array" ref="I2380">_xlfn.IFS(C2380&lt;=15,"Children and Young Adolescents", C2380&gt;64, "Seniors", TRUE, "Working Age")</f>
        <v>Seniors</v>
      </c>
      <c r="J2380" s="6">
        <f>VLOOKUP(F2380,Analysis!$F$1:$G$5,2,FALSE)</f>
        <v>2503.6022787783854</v>
      </c>
      <c r="K2380">
        <f t="shared" si="148"/>
        <v>5356.58</v>
      </c>
      <c r="L2380">
        <f t="shared" si="149"/>
        <v>5356.59</v>
      </c>
      <c r="M2380">
        <f t="shared" si="150"/>
        <v>5356.58</v>
      </c>
      <c r="N2380" s="5" t="str">
        <f t="shared" si="151"/>
        <v>December 2022</v>
      </c>
    </row>
    <row r="2381" spans="1:14" x14ac:dyDescent="0.25">
      <c r="A2381" s="1">
        <v>44908</v>
      </c>
      <c r="B2381" t="s">
        <v>81</v>
      </c>
      <c r="C2381">
        <v>79</v>
      </c>
      <c r="D2381" t="s">
        <v>21</v>
      </c>
      <c r="E2381" t="s">
        <v>25</v>
      </c>
      <c r="F2381" t="s">
        <v>23</v>
      </c>
      <c r="G2381" t="s">
        <v>17</v>
      </c>
      <c r="H2381">
        <v>789.14</v>
      </c>
      <c r="I2381" s="8" t="str" cm="1">
        <f t="array" ref="I2381">_xlfn.IFS(C2381&lt;=15,"Children and Young Adolescents", C2381&gt;64, "Seniors", TRUE, "Working Age")</f>
        <v>Seniors</v>
      </c>
      <c r="J2381" s="6">
        <f>VLOOKUP(F2381,Analysis!$F$1:$G$5,2,FALSE)</f>
        <v>2440.2966694490838</v>
      </c>
      <c r="K2381">
        <f t="shared" si="148"/>
        <v>868.05</v>
      </c>
      <c r="L2381">
        <f t="shared" si="149"/>
        <v>868.06</v>
      </c>
      <c r="M2381">
        <f t="shared" si="150"/>
        <v>868.05</v>
      </c>
      <c r="N2381" s="5" t="str">
        <f t="shared" si="151"/>
        <v>December 2022</v>
      </c>
    </row>
    <row r="2382" spans="1:14" x14ac:dyDescent="0.25">
      <c r="A2382" s="1">
        <v>44908</v>
      </c>
      <c r="B2382" t="s">
        <v>5021</v>
      </c>
      <c r="C2382">
        <v>19</v>
      </c>
      <c r="D2382" t="s">
        <v>9</v>
      </c>
      <c r="E2382" t="s">
        <v>25</v>
      </c>
      <c r="F2382" t="s">
        <v>29</v>
      </c>
      <c r="G2382" t="s">
        <v>39</v>
      </c>
      <c r="H2382">
        <v>4354.51</v>
      </c>
      <c r="I2382" s="8" t="str" cm="1">
        <f t="array" ref="I2382">_xlfn.IFS(C2382&lt;=15,"Children and Young Adolescents", C2382&gt;64, "Seniors", TRUE, "Working Age")</f>
        <v>Working Age</v>
      </c>
      <c r="J2382" s="6">
        <f>VLOOKUP(F2382,Analysis!$F$1:$G$5,2,FALSE)</f>
        <v>2496.7676064256989</v>
      </c>
      <c r="K2382">
        <f t="shared" si="148"/>
        <v>4789.96</v>
      </c>
      <c r="L2382">
        <f t="shared" si="149"/>
        <v>4789.97</v>
      </c>
      <c r="M2382">
        <f t="shared" si="150"/>
        <v>4789.96</v>
      </c>
      <c r="N2382" s="5" t="str">
        <f t="shared" si="151"/>
        <v>December 2022</v>
      </c>
    </row>
    <row r="2383" spans="1:14" x14ac:dyDescent="0.25">
      <c r="A2383" s="1">
        <v>44908</v>
      </c>
      <c r="B2383" t="s">
        <v>1862</v>
      </c>
      <c r="C2383">
        <v>68</v>
      </c>
      <c r="D2383" t="s">
        <v>14</v>
      </c>
      <c r="E2383" t="s">
        <v>25</v>
      </c>
      <c r="F2383" t="s">
        <v>16</v>
      </c>
      <c r="G2383" t="s">
        <v>12</v>
      </c>
      <c r="H2383">
        <v>3261.93</v>
      </c>
      <c r="I2383" s="8" t="str" cm="1">
        <f t="array" ref="I2383">_xlfn.IFS(C2383&lt;=15,"Children and Young Adolescents", C2383&gt;64, "Seniors", TRUE, "Working Age")</f>
        <v>Seniors</v>
      </c>
      <c r="J2383" s="6">
        <f>VLOOKUP(F2383,Analysis!$F$1:$G$5,2,FALSE)</f>
        <v>2509.1716796874912</v>
      </c>
      <c r="K2383">
        <f t="shared" si="148"/>
        <v>3588.12</v>
      </c>
      <c r="L2383">
        <f t="shared" si="149"/>
        <v>3588.13</v>
      </c>
      <c r="M2383">
        <f t="shared" si="150"/>
        <v>3588.12</v>
      </c>
      <c r="N2383" s="5" t="str">
        <f t="shared" si="151"/>
        <v>December 2022</v>
      </c>
    </row>
    <row r="2384" spans="1:14" x14ac:dyDescent="0.25">
      <c r="A2384" s="1">
        <v>44908</v>
      </c>
      <c r="B2384" t="s">
        <v>1808</v>
      </c>
      <c r="C2384">
        <v>59</v>
      </c>
      <c r="D2384" t="s">
        <v>9</v>
      </c>
      <c r="E2384" t="s">
        <v>10</v>
      </c>
      <c r="F2384" t="s">
        <v>23</v>
      </c>
      <c r="G2384" t="s">
        <v>17</v>
      </c>
      <c r="H2384">
        <v>1732.78</v>
      </c>
      <c r="I2384" s="8" t="str" cm="1">
        <f t="array" ref="I2384">_xlfn.IFS(C2384&lt;=15,"Children and Young Adolescents", C2384&gt;64, "Seniors", TRUE, "Working Age")</f>
        <v>Working Age</v>
      </c>
      <c r="J2384" s="6">
        <f>VLOOKUP(F2384,Analysis!$F$1:$G$5,2,FALSE)</f>
        <v>2440.2966694490838</v>
      </c>
      <c r="K2384">
        <f t="shared" si="148"/>
        <v>1906.05</v>
      </c>
      <c r="L2384">
        <f t="shared" si="149"/>
        <v>1906.06</v>
      </c>
      <c r="M2384">
        <f t="shared" si="150"/>
        <v>1906.06</v>
      </c>
      <c r="N2384" s="5" t="str">
        <f t="shared" si="151"/>
        <v>December 2022</v>
      </c>
    </row>
    <row r="2385" spans="1:14" x14ac:dyDescent="0.25">
      <c r="A2385" s="1">
        <v>44908</v>
      </c>
      <c r="B2385" t="s">
        <v>1295</v>
      </c>
      <c r="C2385">
        <v>38</v>
      </c>
      <c r="D2385" t="s">
        <v>9</v>
      </c>
      <c r="E2385" t="s">
        <v>32</v>
      </c>
      <c r="F2385" t="s">
        <v>29</v>
      </c>
      <c r="G2385" t="s">
        <v>12</v>
      </c>
      <c r="H2385">
        <v>3581.83</v>
      </c>
      <c r="I2385" s="8" t="str" cm="1">
        <f t="array" ref="I2385">_xlfn.IFS(C2385&lt;=15,"Children and Young Adolescents", C2385&gt;64, "Seniors", TRUE, "Working Age")</f>
        <v>Working Age</v>
      </c>
      <c r="J2385" s="6">
        <f>VLOOKUP(F2385,Analysis!$F$1:$G$5,2,FALSE)</f>
        <v>2496.7676064256989</v>
      </c>
      <c r="K2385">
        <f t="shared" si="148"/>
        <v>3940.01</v>
      </c>
      <c r="L2385">
        <f t="shared" si="149"/>
        <v>3940.0200000000004</v>
      </c>
      <c r="M2385">
        <f t="shared" si="150"/>
        <v>3940.01</v>
      </c>
      <c r="N2385" s="5" t="str">
        <f t="shared" si="151"/>
        <v>December 2022</v>
      </c>
    </row>
    <row r="2386" spans="1:14" x14ac:dyDescent="0.25">
      <c r="A2386" s="1">
        <v>44908</v>
      </c>
      <c r="B2386" t="s">
        <v>1097</v>
      </c>
      <c r="C2386">
        <v>63</v>
      </c>
      <c r="D2386" t="s">
        <v>9</v>
      </c>
      <c r="E2386" t="s">
        <v>15</v>
      </c>
      <c r="F2386" t="s">
        <v>11</v>
      </c>
      <c r="G2386" t="s">
        <v>5033</v>
      </c>
      <c r="H2386">
        <v>1755.68</v>
      </c>
      <c r="I2386" s="8" t="str" cm="1">
        <f t="array" ref="I2386">_xlfn.IFS(C2386&lt;=15,"Children and Young Adolescents", C2386&gt;64, "Seniors", TRUE, "Working Age")</f>
        <v>Working Age</v>
      </c>
      <c r="J2386" s="6">
        <f>VLOOKUP(F2386,Analysis!$F$1:$G$5,2,FALSE)</f>
        <v>2503.6022787783854</v>
      </c>
      <c r="K2386">
        <f t="shared" si="148"/>
        <v>1931.24</v>
      </c>
      <c r="L2386">
        <f t="shared" si="149"/>
        <v>1931.25</v>
      </c>
      <c r="M2386">
        <f t="shared" si="150"/>
        <v>1931.25</v>
      </c>
      <c r="N2386" s="5" t="str">
        <f t="shared" si="151"/>
        <v>December 2022</v>
      </c>
    </row>
    <row r="2387" spans="1:14" x14ac:dyDescent="0.25">
      <c r="A2387" s="1">
        <v>44909</v>
      </c>
      <c r="B2387" t="s">
        <v>4589</v>
      </c>
      <c r="C2387">
        <v>33</v>
      </c>
      <c r="D2387" t="s">
        <v>14</v>
      </c>
      <c r="E2387" t="s">
        <v>25</v>
      </c>
      <c r="F2387" t="s">
        <v>16</v>
      </c>
      <c r="G2387" t="s">
        <v>17</v>
      </c>
      <c r="H2387">
        <v>4253.46</v>
      </c>
      <c r="I2387" s="8" t="str" cm="1">
        <f t="array" ref="I2387">_xlfn.IFS(C2387&lt;=15,"Children and Young Adolescents", C2387&gt;64, "Seniors", TRUE, "Working Age")</f>
        <v>Working Age</v>
      </c>
      <c r="J2387" s="6">
        <f>VLOOKUP(F2387,Analysis!$F$1:$G$5,2,FALSE)</f>
        <v>2509.1716796874912</v>
      </c>
      <c r="K2387">
        <f t="shared" si="148"/>
        <v>4678.8</v>
      </c>
      <c r="L2387">
        <f t="shared" si="149"/>
        <v>4678.8100000000004</v>
      </c>
      <c r="M2387">
        <f t="shared" si="150"/>
        <v>4678.8100000000004</v>
      </c>
      <c r="N2387" s="5" t="str">
        <f t="shared" si="151"/>
        <v>December 2022</v>
      </c>
    </row>
    <row r="2388" spans="1:14" x14ac:dyDescent="0.25">
      <c r="A2388" s="1">
        <v>44909</v>
      </c>
      <c r="B2388" t="s">
        <v>1547</v>
      </c>
      <c r="C2388">
        <v>89</v>
      </c>
      <c r="D2388" t="s">
        <v>21</v>
      </c>
      <c r="E2388" t="s">
        <v>34</v>
      </c>
      <c r="F2388" t="s">
        <v>16</v>
      </c>
      <c r="G2388" t="s">
        <v>17</v>
      </c>
      <c r="H2388">
        <v>3479.79</v>
      </c>
      <c r="I2388" s="8" t="str" cm="1">
        <f t="array" ref="I2388">_xlfn.IFS(C2388&lt;=15,"Children and Young Adolescents", C2388&gt;64, "Seniors", TRUE, "Working Age")</f>
        <v>Seniors</v>
      </c>
      <c r="J2388" s="6">
        <f>VLOOKUP(F2388,Analysis!$F$1:$G$5,2,FALSE)</f>
        <v>2509.1716796874912</v>
      </c>
      <c r="K2388">
        <f t="shared" si="148"/>
        <v>3827.76</v>
      </c>
      <c r="L2388">
        <f t="shared" si="149"/>
        <v>3827.7700000000004</v>
      </c>
      <c r="M2388">
        <f t="shared" si="150"/>
        <v>3827.77</v>
      </c>
      <c r="N2388" s="5" t="str">
        <f t="shared" si="151"/>
        <v>December 2022</v>
      </c>
    </row>
    <row r="2389" spans="1:14" x14ac:dyDescent="0.25">
      <c r="A2389" s="1">
        <v>44909</v>
      </c>
      <c r="B2389" t="s">
        <v>4131</v>
      </c>
      <c r="C2389">
        <v>75</v>
      </c>
      <c r="D2389" t="s">
        <v>9</v>
      </c>
      <c r="E2389" t="s">
        <v>25</v>
      </c>
      <c r="F2389" t="s">
        <v>29</v>
      </c>
      <c r="G2389" t="s">
        <v>36</v>
      </c>
      <c r="H2389">
        <v>4379.07</v>
      </c>
      <c r="I2389" s="8" t="str" cm="1">
        <f t="array" ref="I2389">_xlfn.IFS(C2389&lt;=15,"Children and Young Adolescents", C2389&gt;64, "Seniors", TRUE, "Working Age")</f>
        <v>Seniors</v>
      </c>
      <c r="J2389" s="6">
        <f>VLOOKUP(F2389,Analysis!$F$1:$G$5,2,FALSE)</f>
        <v>2496.7676064256989</v>
      </c>
      <c r="K2389">
        <f t="shared" si="148"/>
        <v>4816.97</v>
      </c>
      <c r="L2389">
        <f t="shared" si="149"/>
        <v>4816.9800000000005</v>
      </c>
      <c r="M2389">
        <f t="shared" si="150"/>
        <v>4816.9799999999996</v>
      </c>
      <c r="N2389" s="5" t="str">
        <f t="shared" si="151"/>
        <v>December 2022</v>
      </c>
    </row>
    <row r="2390" spans="1:14" x14ac:dyDescent="0.25">
      <c r="A2390" s="1">
        <v>44909</v>
      </c>
      <c r="B2390" t="s">
        <v>53</v>
      </c>
      <c r="C2390">
        <v>99</v>
      </c>
      <c r="D2390" t="s">
        <v>9</v>
      </c>
      <c r="E2390" t="s">
        <v>34</v>
      </c>
      <c r="F2390" t="s">
        <v>16</v>
      </c>
      <c r="G2390" t="s">
        <v>39</v>
      </c>
      <c r="H2390">
        <v>3416.38</v>
      </c>
      <c r="I2390" s="8" t="str" cm="1">
        <f t="array" ref="I2390">_xlfn.IFS(C2390&lt;=15,"Children and Young Adolescents", C2390&gt;64, "Seniors", TRUE, "Working Age")</f>
        <v>Seniors</v>
      </c>
      <c r="J2390" s="6">
        <f>VLOOKUP(F2390,Analysis!$F$1:$G$5,2,FALSE)</f>
        <v>2509.1716796874912</v>
      </c>
      <c r="K2390">
        <f t="shared" si="148"/>
        <v>3758.01</v>
      </c>
      <c r="L2390">
        <f t="shared" si="149"/>
        <v>3758.0200000000004</v>
      </c>
      <c r="M2390">
        <f t="shared" si="150"/>
        <v>3758.02</v>
      </c>
      <c r="N2390" s="5" t="str">
        <f t="shared" si="151"/>
        <v>December 2022</v>
      </c>
    </row>
    <row r="2391" spans="1:14" x14ac:dyDescent="0.25">
      <c r="A2391" s="1">
        <v>44909</v>
      </c>
      <c r="B2391" t="s">
        <v>3875</v>
      </c>
      <c r="C2391">
        <v>8</v>
      </c>
      <c r="D2391" t="s">
        <v>14</v>
      </c>
      <c r="E2391" t="s">
        <v>32</v>
      </c>
      <c r="F2391" t="s">
        <v>11</v>
      </c>
      <c r="G2391" t="s">
        <v>27</v>
      </c>
      <c r="H2391">
        <v>267.66000000000003</v>
      </c>
      <c r="I2391" s="8" t="str" cm="1">
        <f t="array" ref="I2391">_xlfn.IFS(C2391&lt;=15,"Children and Young Adolescents", C2391&gt;64, "Seniors", TRUE, "Working Age")</f>
        <v>Children and Young Adolescents</v>
      </c>
      <c r="J2391" s="6">
        <f>VLOOKUP(F2391,Analysis!$F$1:$G$5,2,FALSE)</f>
        <v>2503.6022787783854</v>
      </c>
      <c r="K2391">
        <f t="shared" si="148"/>
        <v>294.42</v>
      </c>
      <c r="L2391">
        <f t="shared" si="149"/>
        <v>294.43</v>
      </c>
      <c r="M2391">
        <f t="shared" si="150"/>
        <v>294.43</v>
      </c>
      <c r="N2391" s="5" t="str">
        <f t="shared" si="151"/>
        <v>December 2022</v>
      </c>
    </row>
    <row r="2392" spans="1:14" x14ac:dyDescent="0.25">
      <c r="A2392" s="1">
        <v>44909</v>
      </c>
      <c r="B2392" t="s">
        <v>424</v>
      </c>
      <c r="C2392">
        <v>73</v>
      </c>
      <c r="D2392" t="s">
        <v>14</v>
      </c>
      <c r="E2392" t="s">
        <v>19</v>
      </c>
      <c r="F2392" t="s">
        <v>29</v>
      </c>
      <c r="G2392" t="s">
        <v>36</v>
      </c>
      <c r="H2392">
        <v>925.84</v>
      </c>
      <c r="I2392" s="8" t="str" cm="1">
        <f t="array" ref="I2392">_xlfn.IFS(C2392&lt;=15,"Children and Young Adolescents", C2392&gt;64, "Seniors", TRUE, "Working Age")</f>
        <v>Seniors</v>
      </c>
      <c r="J2392" s="6">
        <f>VLOOKUP(F2392,Analysis!$F$1:$G$5,2,FALSE)</f>
        <v>2496.7676064256989</v>
      </c>
      <c r="K2392">
        <f t="shared" si="148"/>
        <v>1018.42</v>
      </c>
      <c r="L2392">
        <f t="shared" si="149"/>
        <v>1018.43</v>
      </c>
      <c r="M2392">
        <f t="shared" si="150"/>
        <v>1018.42</v>
      </c>
      <c r="N2392" s="5" t="str">
        <f t="shared" si="151"/>
        <v>December 2022</v>
      </c>
    </row>
    <row r="2393" spans="1:14" x14ac:dyDescent="0.25">
      <c r="A2393" s="1">
        <v>44909</v>
      </c>
      <c r="B2393" t="s">
        <v>4328</v>
      </c>
      <c r="C2393">
        <v>26</v>
      </c>
      <c r="D2393" t="s">
        <v>21</v>
      </c>
      <c r="E2393" t="s">
        <v>10</v>
      </c>
      <c r="F2393" t="s">
        <v>29</v>
      </c>
      <c r="G2393" t="s">
        <v>17</v>
      </c>
      <c r="H2393">
        <v>4671.0600000000004</v>
      </c>
      <c r="I2393" s="8" t="str" cm="1">
        <f t="array" ref="I2393">_xlfn.IFS(C2393&lt;=15,"Children and Young Adolescents", C2393&gt;64, "Seniors", TRUE, "Working Age")</f>
        <v>Working Age</v>
      </c>
      <c r="J2393" s="6">
        <f>VLOOKUP(F2393,Analysis!$F$1:$G$5,2,FALSE)</f>
        <v>2496.7676064256989</v>
      </c>
      <c r="K2393">
        <f t="shared" si="148"/>
        <v>5138.16</v>
      </c>
      <c r="L2393">
        <f t="shared" si="149"/>
        <v>5138.17</v>
      </c>
      <c r="M2393">
        <f t="shared" si="150"/>
        <v>5138.17</v>
      </c>
      <c r="N2393" s="5" t="str">
        <f t="shared" si="151"/>
        <v>December 2022</v>
      </c>
    </row>
    <row r="2394" spans="1:14" x14ac:dyDescent="0.25">
      <c r="A2394" s="1">
        <v>44909</v>
      </c>
      <c r="B2394" t="s">
        <v>4101</v>
      </c>
      <c r="C2394">
        <v>1</v>
      </c>
      <c r="D2394" t="s">
        <v>21</v>
      </c>
      <c r="E2394" t="s">
        <v>32</v>
      </c>
      <c r="F2394" t="s">
        <v>23</v>
      </c>
      <c r="G2394" t="s">
        <v>36</v>
      </c>
      <c r="H2394">
        <v>4004.32</v>
      </c>
      <c r="I2394" s="8" t="str" cm="1">
        <f t="array" ref="I2394">_xlfn.IFS(C2394&lt;=15,"Children and Young Adolescents", C2394&gt;64, "Seniors", TRUE, "Working Age")</f>
        <v>Children and Young Adolescents</v>
      </c>
      <c r="J2394" s="6">
        <f>VLOOKUP(F2394,Analysis!$F$1:$G$5,2,FALSE)</f>
        <v>2440.2966694490838</v>
      </c>
      <c r="K2394">
        <f t="shared" si="148"/>
        <v>4404.75</v>
      </c>
      <c r="L2394">
        <f t="shared" si="149"/>
        <v>4404.76</v>
      </c>
      <c r="M2394">
        <f t="shared" si="150"/>
        <v>4404.75</v>
      </c>
      <c r="N2394" s="5" t="str">
        <f t="shared" si="151"/>
        <v>December 2022</v>
      </c>
    </row>
    <row r="2395" spans="1:14" x14ac:dyDescent="0.25">
      <c r="A2395" s="1">
        <v>44909</v>
      </c>
      <c r="B2395" t="s">
        <v>2478</v>
      </c>
      <c r="C2395">
        <v>3</v>
      </c>
      <c r="D2395" t="s">
        <v>9</v>
      </c>
      <c r="E2395" t="s">
        <v>15</v>
      </c>
      <c r="F2395" t="s">
        <v>29</v>
      </c>
      <c r="G2395" t="s">
        <v>36</v>
      </c>
      <c r="H2395">
        <v>1593.4</v>
      </c>
      <c r="I2395" s="8" t="str" cm="1">
        <f t="array" ref="I2395">_xlfn.IFS(C2395&lt;=15,"Children and Young Adolescents", C2395&gt;64, "Seniors", TRUE, "Working Age")</f>
        <v>Children and Young Adolescents</v>
      </c>
      <c r="J2395" s="6">
        <f>VLOOKUP(F2395,Analysis!$F$1:$G$5,2,FALSE)</f>
        <v>2496.7676064256989</v>
      </c>
      <c r="K2395">
        <f t="shared" si="148"/>
        <v>1752.74</v>
      </c>
      <c r="L2395">
        <f t="shared" si="149"/>
        <v>1752.74</v>
      </c>
      <c r="M2395">
        <f t="shared" si="150"/>
        <v>1752.74</v>
      </c>
      <c r="N2395" s="5" t="str">
        <f t="shared" si="151"/>
        <v>December 2022</v>
      </c>
    </row>
    <row r="2396" spans="1:14" x14ac:dyDescent="0.25">
      <c r="A2396" s="1">
        <v>44910</v>
      </c>
      <c r="B2396" t="s">
        <v>4637</v>
      </c>
      <c r="C2396">
        <v>35</v>
      </c>
      <c r="D2396" t="s">
        <v>21</v>
      </c>
      <c r="E2396" t="s">
        <v>10</v>
      </c>
      <c r="F2396" t="s">
        <v>23</v>
      </c>
      <c r="G2396" t="s">
        <v>17</v>
      </c>
      <c r="H2396">
        <v>4119.38</v>
      </c>
      <c r="I2396" s="8" t="str" cm="1">
        <f t="array" ref="I2396">_xlfn.IFS(C2396&lt;=15,"Children and Young Adolescents", C2396&gt;64, "Seniors", TRUE, "Working Age")</f>
        <v>Working Age</v>
      </c>
      <c r="J2396" s="6">
        <f>VLOOKUP(F2396,Analysis!$F$1:$G$5,2,FALSE)</f>
        <v>2440.2966694490838</v>
      </c>
      <c r="K2396">
        <f t="shared" si="148"/>
        <v>4531.3100000000004</v>
      </c>
      <c r="L2396">
        <f t="shared" si="149"/>
        <v>4531.3200000000006</v>
      </c>
      <c r="M2396">
        <f t="shared" si="150"/>
        <v>4531.32</v>
      </c>
      <c r="N2396" s="5" t="str">
        <f t="shared" si="151"/>
        <v>December 2022</v>
      </c>
    </row>
    <row r="2397" spans="1:14" x14ac:dyDescent="0.25">
      <c r="A2397" s="1">
        <v>44910</v>
      </c>
      <c r="B2397" t="s">
        <v>83</v>
      </c>
      <c r="C2397">
        <v>94</v>
      </c>
      <c r="D2397" t="s">
        <v>21</v>
      </c>
      <c r="E2397" t="s">
        <v>15</v>
      </c>
      <c r="F2397" t="s">
        <v>29</v>
      </c>
      <c r="G2397" t="s">
        <v>12</v>
      </c>
      <c r="H2397">
        <v>1523.53</v>
      </c>
      <c r="I2397" s="8" t="str" cm="1">
        <f t="array" ref="I2397">_xlfn.IFS(C2397&lt;=15,"Children and Young Adolescents", C2397&gt;64, "Seniors", TRUE, "Working Age")</f>
        <v>Seniors</v>
      </c>
      <c r="J2397" s="6">
        <f>VLOOKUP(F2397,Analysis!$F$1:$G$5,2,FALSE)</f>
        <v>2496.7676064256989</v>
      </c>
      <c r="K2397">
        <f t="shared" si="148"/>
        <v>1675.88</v>
      </c>
      <c r="L2397">
        <f t="shared" si="149"/>
        <v>1675.89</v>
      </c>
      <c r="M2397">
        <f t="shared" si="150"/>
        <v>1675.88</v>
      </c>
      <c r="N2397" s="5" t="str">
        <f t="shared" si="151"/>
        <v>December 2022</v>
      </c>
    </row>
    <row r="2398" spans="1:14" x14ac:dyDescent="0.25">
      <c r="A2398" s="1">
        <v>44910</v>
      </c>
      <c r="B2398" t="s">
        <v>2206</v>
      </c>
      <c r="C2398">
        <v>90</v>
      </c>
      <c r="D2398" t="s">
        <v>9</v>
      </c>
      <c r="E2398" t="s">
        <v>15</v>
      </c>
      <c r="F2398" t="s">
        <v>29</v>
      </c>
      <c r="G2398" t="s">
        <v>36</v>
      </c>
      <c r="H2398">
        <v>3265.73</v>
      </c>
      <c r="I2398" s="8" t="str" cm="1">
        <f t="array" ref="I2398">_xlfn.IFS(C2398&lt;=15,"Children and Young Adolescents", C2398&gt;64, "Seniors", TRUE, "Working Age")</f>
        <v>Seniors</v>
      </c>
      <c r="J2398" s="6">
        <f>VLOOKUP(F2398,Analysis!$F$1:$G$5,2,FALSE)</f>
        <v>2496.7676064256989</v>
      </c>
      <c r="K2398">
        <f t="shared" si="148"/>
        <v>3592.3</v>
      </c>
      <c r="L2398">
        <f t="shared" si="149"/>
        <v>3592.3100000000004</v>
      </c>
      <c r="M2398">
        <f t="shared" si="150"/>
        <v>3592.3</v>
      </c>
      <c r="N2398" s="5" t="str">
        <f t="shared" si="151"/>
        <v>December 2022</v>
      </c>
    </row>
    <row r="2399" spans="1:14" x14ac:dyDescent="0.25">
      <c r="A2399" s="1">
        <v>44910</v>
      </c>
      <c r="B2399" t="s">
        <v>425</v>
      </c>
      <c r="C2399">
        <v>16</v>
      </c>
      <c r="D2399" t="s">
        <v>21</v>
      </c>
      <c r="E2399" t="s">
        <v>15</v>
      </c>
      <c r="F2399" t="s">
        <v>23</v>
      </c>
      <c r="G2399" t="s">
        <v>17</v>
      </c>
      <c r="H2399">
        <v>568.9</v>
      </c>
      <c r="I2399" s="8" t="str" cm="1">
        <f t="array" ref="I2399">_xlfn.IFS(C2399&lt;=15,"Children and Young Adolescents", C2399&gt;64, "Seniors", TRUE, "Working Age")</f>
        <v>Working Age</v>
      </c>
      <c r="J2399" s="6">
        <f>VLOOKUP(F2399,Analysis!$F$1:$G$5,2,FALSE)</f>
        <v>2440.2966694490838</v>
      </c>
      <c r="K2399">
        <f t="shared" si="148"/>
        <v>625.79</v>
      </c>
      <c r="L2399">
        <f t="shared" si="149"/>
        <v>625.79</v>
      </c>
      <c r="M2399">
        <f t="shared" si="150"/>
        <v>625.79</v>
      </c>
      <c r="N2399" s="5" t="str">
        <f t="shared" si="151"/>
        <v>December 2022</v>
      </c>
    </row>
    <row r="2400" spans="1:14" x14ac:dyDescent="0.25">
      <c r="A2400" s="1">
        <v>44910</v>
      </c>
      <c r="B2400" t="s">
        <v>65</v>
      </c>
      <c r="C2400">
        <v>30</v>
      </c>
      <c r="D2400" t="s">
        <v>9</v>
      </c>
      <c r="E2400" t="s">
        <v>15</v>
      </c>
      <c r="F2400" t="s">
        <v>11</v>
      </c>
      <c r="G2400" t="s">
        <v>5033</v>
      </c>
      <c r="H2400">
        <v>2345.2199999999998</v>
      </c>
      <c r="I2400" s="8" t="str" cm="1">
        <f t="array" ref="I2400">_xlfn.IFS(C2400&lt;=15,"Children and Young Adolescents", C2400&gt;64, "Seniors", TRUE, "Working Age")</f>
        <v>Working Age</v>
      </c>
      <c r="J2400" s="6">
        <f>VLOOKUP(F2400,Analysis!$F$1:$G$5,2,FALSE)</f>
        <v>2503.6022787783854</v>
      </c>
      <c r="K2400">
        <f t="shared" si="148"/>
        <v>2579.7399999999998</v>
      </c>
      <c r="L2400">
        <f t="shared" si="149"/>
        <v>2579.75</v>
      </c>
      <c r="M2400">
        <f t="shared" si="150"/>
        <v>2579.7399999999998</v>
      </c>
      <c r="N2400" s="5" t="str">
        <f t="shared" si="151"/>
        <v>December 2022</v>
      </c>
    </row>
    <row r="2401" spans="1:14" x14ac:dyDescent="0.25">
      <c r="A2401" s="1">
        <v>44910</v>
      </c>
      <c r="B2401" t="s">
        <v>3349</v>
      </c>
      <c r="C2401">
        <v>60</v>
      </c>
      <c r="D2401" t="s">
        <v>14</v>
      </c>
      <c r="E2401" t="s">
        <v>34</v>
      </c>
      <c r="F2401" t="s">
        <v>11</v>
      </c>
      <c r="G2401" t="s">
        <v>17</v>
      </c>
      <c r="H2401">
        <v>1098.71</v>
      </c>
      <c r="I2401" s="8" t="str" cm="1">
        <f t="array" ref="I2401">_xlfn.IFS(C2401&lt;=15,"Children and Young Adolescents", C2401&gt;64, "Seniors", TRUE, "Working Age")</f>
        <v>Working Age</v>
      </c>
      <c r="J2401" s="6">
        <f>VLOOKUP(F2401,Analysis!$F$1:$G$5,2,FALSE)</f>
        <v>2503.6022787783854</v>
      </c>
      <c r="K2401">
        <f t="shared" si="148"/>
        <v>1208.58</v>
      </c>
      <c r="L2401">
        <f t="shared" si="149"/>
        <v>1208.5899999999999</v>
      </c>
      <c r="M2401">
        <f t="shared" si="150"/>
        <v>1208.58</v>
      </c>
      <c r="N2401" s="5" t="str">
        <f t="shared" si="151"/>
        <v>December 2022</v>
      </c>
    </row>
    <row r="2402" spans="1:14" x14ac:dyDescent="0.25">
      <c r="A2402" s="1">
        <v>44911</v>
      </c>
      <c r="B2402" t="s">
        <v>214</v>
      </c>
      <c r="C2402">
        <v>57</v>
      </c>
      <c r="D2402" t="s">
        <v>14</v>
      </c>
      <c r="E2402" t="s">
        <v>10</v>
      </c>
      <c r="F2402" t="s">
        <v>29</v>
      </c>
      <c r="G2402" t="s">
        <v>39</v>
      </c>
      <c r="H2402">
        <v>185.99</v>
      </c>
      <c r="I2402" s="8" t="str" cm="1">
        <f t="array" ref="I2402">_xlfn.IFS(C2402&lt;=15,"Children and Young Adolescents", C2402&gt;64, "Seniors", TRUE, "Working Age")</f>
        <v>Working Age</v>
      </c>
      <c r="J2402" s="6">
        <f>VLOOKUP(F2402,Analysis!$F$1:$G$5,2,FALSE)</f>
        <v>2496.7676064256989</v>
      </c>
      <c r="K2402">
        <f t="shared" si="148"/>
        <v>204.58</v>
      </c>
      <c r="L2402">
        <f t="shared" si="149"/>
        <v>204.59</v>
      </c>
      <c r="M2402">
        <f t="shared" si="150"/>
        <v>204.59</v>
      </c>
      <c r="N2402" s="5" t="str">
        <f t="shared" si="151"/>
        <v>December 2022</v>
      </c>
    </row>
    <row r="2403" spans="1:14" x14ac:dyDescent="0.25">
      <c r="A2403" s="1">
        <v>44911</v>
      </c>
      <c r="B2403" t="s">
        <v>3668</v>
      </c>
      <c r="C2403">
        <v>88</v>
      </c>
      <c r="D2403" t="s">
        <v>21</v>
      </c>
      <c r="E2403" t="s">
        <v>25</v>
      </c>
      <c r="F2403" t="s">
        <v>29</v>
      </c>
      <c r="G2403" t="s">
        <v>17</v>
      </c>
      <c r="H2403">
        <v>3325.62</v>
      </c>
      <c r="I2403" s="8" t="str" cm="1">
        <f t="array" ref="I2403">_xlfn.IFS(C2403&lt;=15,"Children and Young Adolescents", C2403&gt;64, "Seniors", TRUE, "Working Age")</f>
        <v>Seniors</v>
      </c>
      <c r="J2403" s="6">
        <f>VLOOKUP(F2403,Analysis!$F$1:$G$5,2,FALSE)</f>
        <v>2496.7676064256989</v>
      </c>
      <c r="K2403">
        <f t="shared" si="148"/>
        <v>3658.18</v>
      </c>
      <c r="L2403">
        <f t="shared" si="149"/>
        <v>3658.19</v>
      </c>
      <c r="M2403">
        <f t="shared" si="150"/>
        <v>3658.18</v>
      </c>
      <c r="N2403" s="5" t="str">
        <f t="shared" si="151"/>
        <v>December 2022</v>
      </c>
    </row>
    <row r="2404" spans="1:14" x14ac:dyDescent="0.25">
      <c r="A2404" s="1">
        <v>44911</v>
      </c>
      <c r="B2404" t="s">
        <v>4581</v>
      </c>
      <c r="C2404">
        <v>31</v>
      </c>
      <c r="D2404" t="s">
        <v>14</v>
      </c>
      <c r="E2404" t="s">
        <v>10</v>
      </c>
      <c r="F2404" t="s">
        <v>16</v>
      </c>
      <c r="G2404" t="s">
        <v>39</v>
      </c>
      <c r="H2404">
        <v>3231</v>
      </c>
      <c r="I2404" s="8" t="str" cm="1">
        <f t="array" ref="I2404">_xlfn.IFS(C2404&lt;=15,"Children and Young Adolescents", C2404&gt;64, "Seniors", TRUE, "Working Age")</f>
        <v>Working Age</v>
      </c>
      <c r="J2404" s="6">
        <f>VLOOKUP(F2404,Analysis!$F$1:$G$5,2,FALSE)</f>
        <v>2509.1716796874912</v>
      </c>
      <c r="K2404">
        <f t="shared" si="148"/>
        <v>3554.1</v>
      </c>
      <c r="L2404">
        <f t="shared" si="149"/>
        <v>3554.1</v>
      </c>
      <c r="M2404">
        <f t="shared" si="150"/>
        <v>3554.1</v>
      </c>
      <c r="N2404" s="5" t="str">
        <f t="shared" si="151"/>
        <v>December 2022</v>
      </c>
    </row>
    <row r="2405" spans="1:14" x14ac:dyDescent="0.25">
      <c r="A2405" s="1">
        <v>44911</v>
      </c>
      <c r="B2405" t="s">
        <v>1451</v>
      </c>
      <c r="C2405">
        <v>89</v>
      </c>
      <c r="D2405" t="s">
        <v>14</v>
      </c>
      <c r="E2405" t="s">
        <v>5032</v>
      </c>
      <c r="F2405" t="s">
        <v>29</v>
      </c>
      <c r="G2405" t="s">
        <v>17</v>
      </c>
      <c r="H2405">
        <v>1350.62</v>
      </c>
      <c r="I2405" s="8" t="str" cm="1">
        <f t="array" ref="I2405">_xlfn.IFS(C2405&lt;=15,"Children and Young Adolescents", C2405&gt;64, "Seniors", TRUE, "Working Age")</f>
        <v>Seniors</v>
      </c>
      <c r="J2405" s="6">
        <f>VLOOKUP(F2405,Analysis!$F$1:$G$5,2,FALSE)</f>
        <v>2496.7676064256989</v>
      </c>
      <c r="K2405">
        <f t="shared" si="148"/>
        <v>1485.68</v>
      </c>
      <c r="L2405">
        <f t="shared" si="149"/>
        <v>1485.69</v>
      </c>
      <c r="M2405">
        <f t="shared" si="150"/>
        <v>1485.68</v>
      </c>
      <c r="N2405" s="5" t="str">
        <f t="shared" si="151"/>
        <v>December 2022</v>
      </c>
    </row>
    <row r="2406" spans="1:14" x14ac:dyDescent="0.25">
      <c r="A2406" s="1">
        <v>44911</v>
      </c>
      <c r="B2406" t="s">
        <v>2562</v>
      </c>
      <c r="C2406">
        <v>25</v>
      </c>
      <c r="D2406" t="s">
        <v>9</v>
      </c>
      <c r="E2406" t="s">
        <v>25</v>
      </c>
      <c r="F2406" t="s">
        <v>16</v>
      </c>
      <c r="G2406" t="s">
        <v>5033</v>
      </c>
      <c r="H2406">
        <v>1131.47</v>
      </c>
      <c r="I2406" s="8" t="str" cm="1">
        <f t="array" ref="I2406">_xlfn.IFS(C2406&lt;=15,"Children and Young Adolescents", C2406&gt;64, "Seniors", TRUE, "Working Age")</f>
        <v>Working Age</v>
      </c>
      <c r="J2406" s="6">
        <f>VLOOKUP(F2406,Analysis!$F$1:$G$5,2,FALSE)</f>
        <v>2509.1716796874912</v>
      </c>
      <c r="K2406">
        <f t="shared" si="148"/>
        <v>1244.6099999999999</v>
      </c>
      <c r="L2406">
        <f t="shared" si="149"/>
        <v>1244.6199999999999</v>
      </c>
      <c r="M2406">
        <f t="shared" si="150"/>
        <v>1244.6199999999999</v>
      </c>
      <c r="N2406" s="5" t="str">
        <f t="shared" si="151"/>
        <v>December 2022</v>
      </c>
    </row>
    <row r="2407" spans="1:14" x14ac:dyDescent="0.25">
      <c r="A2407" s="1">
        <v>44911</v>
      </c>
      <c r="B2407" t="s">
        <v>2353</v>
      </c>
      <c r="C2407">
        <v>16</v>
      </c>
      <c r="D2407" t="s">
        <v>14</v>
      </c>
      <c r="E2407" t="s">
        <v>32</v>
      </c>
      <c r="F2407" t="s">
        <v>16</v>
      </c>
      <c r="G2407" t="s">
        <v>39</v>
      </c>
      <c r="H2407">
        <v>3125.42</v>
      </c>
      <c r="I2407" s="8" t="str" cm="1">
        <f t="array" ref="I2407">_xlfn.IFS(C2407&lt;=15,"Children and Young Adolescents", C2407&gt;64, "Seniors", TRUE, "Working Age")</f>
        <v>Working Age</v>
      </c>
      <c r="J2407" s="6">
        <f>VLOOKUP(F2407,Analysis!$F$1:$G$5,2,FALSE)</f>
        <v>2509.1716796874912</v>
      </c>
      <c r="K2407">
        <f t="shared" si="148"/>
        <v>3437.96</v>
      </c>
      <c r="L2407">
        <f t="shared" si="149"/>
        <v>3437.9700000000003</v>
      </c>
      <c r="M2407">
        <f t="shared" si="150"/>
        <v>3437.96</v>
      </c>
      <c r="N2407" s="5" t="str">
        <f t="shared" si="151"/>
        <v>December 2022</v>
      </c>
    </row>
    <row r="2408" spans="1:14" x14ac:dyDescent="0.25">
      <c r="A2408" s="1">
        <v>44911</v>
      </c>
      <c r="B2408" t="s">
        <v>2378</v>
      </c>
      <c r="C2408">
        <v>55</v>
      </c>
      <c r="D2408" t="s">
        <v>9</v>
      </c>
      <c r="E2408" t="s">
        <v>5032</v>
      </c>
      <c r="F2408" t="s">
        <v>23</v>
      </c>
      <c r="G2408" t="s">
        <v>36</v>
      </c>
      <c r="H2408">
        <v>671.27</v>
      </c>
      <c r="I2408" s="8" t="str" cm="1">
        <f t="array" ref="I2408">_xlfn.IFS(C2408&lt;=15,"Children and Young Adolescents", C2408&gt;64, "Seniors", TRUE, "Working Age")</f>
        <v>Working Age</v>
      </c>
      <c r="J2408" s="6">
        <f>VLOOKUP(F2408,Analysis!$F$1:$G$5,2,FALSE)</f>
        <v>2440.2966694490838</v>
      </c>
      <c r="K2408">
        <f t="shared" si="148"/>
        <v>738.39</v>
      </c>
      <c r="L2408">
        <f t="shared" si="149"/>
        <v>738.4</v>
      </c>
      <c r="M2408">
        <f t="shared" si="150"/>
        <v>738.4</v>
      </c>
      <c r="N2408" s="5" t="str">
        <f t="shared" si="151"/>
        <v>December 2022</v>
      </c>
    </row>
    <row r="2409" spans="1:14" x14ac:dyDescent="0.25">
      <c r="A2409" s="1">
        <v>44912</v>
      </c>
      <c r="B2409" t="s">
        <v>1420</v>
      </c>
      <c r="C2409">
        <v>42</v>
      </c>
      <c r="D2409" t="s">
        <v>14</v>
      </c>
      <c r="E2409" t="s">
        <v>10</v>
      </c>
      <c r="F2409" t="s">
        <v>29</v>
      </c>
      <c r="G2409" t="s">
        <v>17</v>
      </c>
      <c r="H2409">
        <v>4152.5200000000004</v>
      </c>
      <c r="I2409" s="8" t="str" cm="1">
        <f t="array" ref="I2409">_xlfn.IFS(C2409&lt;=15,"Children and Young Adolescents", C2409&gt;64, "Seniors", TRUE, "Working Age")</f>
        <v>Working Age</v>
      </c>
      <c r="J2409" s="6">
        <f>VLOOKUP(F2409,Analysis!$F$1:$G$5,2,FALSE)</f>
        <v>2496.7676064256989</v>
      </c>
      <c r="K2409">
        <f t="shared" si="148"/>
        <v>4567.7700000000004</v>
      </c>
      <c r="L2409">
        <f t="shared" si="149"/>
        <v>4567.7800000000007</v>
      </c>
      <c r="M2409">
        <f t="shared" si="150"/>
        <v>4567.7700000000004</v>
      </c>
      <c r="N2409" s="5" t="str">
        <f t="shared" si="151"/>
        <v>December 2022</v>
      </c>
    </row>
    <row r="2410" spans="1:14" x14ac:dyDescent="0.25">
      <c r="A2410" s="1">
        <v>44912</v>
      </c>
      <c r="B2410" t="s">
        <v>1137</v>
      </c>
      <c r="C2410">
        <v>96</v>
      </c>
      <c r="D2410" t="s">
        <v>21</v>
      </c>
      <c r="E2410" t="s">
        <v>5032</v>
      </c>
      <c r="F2410" t="s">
        <v>29</v>
      </c>
      <c r="G2410" t="s">
        <v>17</v>
      </c>
      <c r="H2410">
        <v>344.19</v>
      </c>
      <c r="I2410" s="8" t="str" cm="1">
        <f t="array" ref="I2410">_xlfn.IFS(C2410&lt;=15,"Children and Young Adolescents", C2410&gt;64, "Seniors", TRUE, "Working Age")</f>
        <v>Seniors</v>
      </c>
      <c r="J2410" s="6">
        <f>VLOOKUP(F2410,Analysis!$F$1:$G$5,2,FALSE)</f>
        <v>2496.7676064256989</v>
      </c>
      <c r="K2410">
        <f t="shared" si="148"/>
        <v>378.6</v>
      </c>
      <c r="L2410">
        <f t="shared" si="149"/>
        <v>378.61</v>
      </c>
      <c r="M2410">
        <f t="shared" si="150"/>
        <v>378.61</v>
      </c>
      <c r="N2410" s="5" t="str">
        <f t="shared" si="151"/>
        <v>December 2022</v>
      </c>
    </row>
    <row r="2411" spans="1:14" x14ac:dyDescent="0.25">
      <c r="A2411" s="1">
        <v>44912</v>
      </c>
      <c r="B2411" t="s">
        <v>1212</v>
      </c>
      <c r="C2411">
        <v>44</v>
      </c>
      <c r="D2411" t="s">
        <v>21</v>
      </c>
      <c r="E2411" t="s">
        <v>19</v>
      </c>
      <c r="F2411" t="s">
        <v>16</v>
      </c>
      <c r="G2411" t="s">
        <v>39</v>
      </c>
      <c r="H2411">
        <v>1634.56</v>
      </c>
      <c r="I2411" s="8" t="str" cm="1">
        <f t="array" ref="I2411">_xlfn.IFS(C2411&lt;=15,"Children and Young Adolescents", C2411&gt;64, "Seniors", TRUE, "Working Age")</f>
        <v>Working Age</v>
      </c>
      <c r="J2411" s="6">
        <f>VLOOKUP(F2411,Analysis!$F$1:$G$5,2,FALSE)</f>
        <v>2509.1716796874912</v>
      </c>
      <c r="K2411">
        <f t="shared" si="148"/>
        <v>1798.01</v>
      </c>
      <c r="L2411">
        <f t="shared" si="149"/>
        <v>1798.02</v>
      </c>
      <c r="M2411">
        <f t="shared" si="150"/>
        <v>1798.02</v>
      </c>
      <c r="N2411" s="5" t="str">
        <f t="shared" si="151"/>
        <v>December 2022</v>
      </c>
    </row>
    <row r="2412" spans="1:14" x14ac:dyDescent="0.25">
      <c r="A2412" s="1">
        <v>44912</v>
      </c>
      <c r="B2412" t="s">
        <v>2993</v>
      </c>
      <c r="C2412">
        <v>41</v>
      </c>
      <c r="D2412" t="s">
        <v>9</v>
      </c>
      <c r="E2412" t="s">
        <v>10</v>
      </c>
      <c r="F2412" t="s">
        <v>29</v>
      </c>
      <c r="G2412" t="s">
        <v>36</v>
      </c>
      <c r="H2412">
        <v>3046.09</v>
      </c>
      <c r="I2412" s="8" t="str" cm="1">
        <f t="array" ref="I2412">_xlfn.IFS(C2412&lt;=15,"Children and Young Adolescents", C2412&gt;64, "Seniors", TRUE, "Working Age")</f>
        <v>Working Age</v>
      </c>
      <c r="J2412" s="6">
        <f>VLOOKUP(F2412,Analysis!$F$1:$G$5,2,FALSE)</f>
        <v>2496.7676064256989</v>
      </c>
      <c r="K2412">
        <f t="shared" si="148"/>
        <v>3350.69</v>
      </c>
      <c r="L2412">
        <f t="shared" si="149"/>
        <v>3350.7000000000003</v>
      </c>
      <c r="M2412">
        <f t="shared" si="150"/>
        <v>3350.7</v>
      </c>
      <c r="N2412" s="5" t="str">
        <f t="shared" si="151"/>
        <v>December 2022</v>
      </c>
    </row>
    <row r="2413" spans="1:14" x14ac:dyDescent="0.25">
      <c r="A2413" s="1">
        <v>44912</v>
      </c>
      <c r="B2413" t="s">
        <v>1456</v>
      </c>
      <c r="C2413">
        <v>58</v>
      </c>
      <c r="D2413" t="s">
        <v>9</v>
      </c>
      <c r="E2413" t="s">
        <v>10</v>
      </c>
      <c r="F2413" t="s">
        <v>16</v>
      </c>
      <c r="G2413" t="s">
        <v>17</v>
      </c>
      <c r="H2413">
        <v>3796.36</v>
      </c>
      <c r="I2413" s="8" t="str" cm="1">
        <f t="array" ref="I2413">_xlfn.IFS(C2413&lt;=15,"Children and Young Adolescents", C2413&gt;64, "Seniors", TRUE, "Working Age")</f>
        <v>Working Age</v>
      </c>
      <c r="J2413" s="6">
        <f>VLOOKUP(F2413,Analysis!$F$1:$G$5,2,FALSE)</f>
        <v>2509.1716796874912</v>
      </c>
      <c r="K2413">
        <f t="shared" si="148"/>
        <v>4175.99</v>
      </c>
      <c r="L2413">
        <f t="shared" si="149"/>
        <v>4176</v>
      </c>
      <c r="M2413">
        <f t="shared" si="150"/>
        <v>4176</v>
      </c>
      <c r="N2413" s="5" t="str">
        <f t="shared" si="151"/>
        <v>December 2022</v>
      </c>
    </row>
    <row r="2414" spans="1:14" x14ac:dyDescent="0.25">
      <c r="A2414" s="1">
        <v>44912</v>
      </c>
      <c r="B2414" t="s">
        <v>3743</v>
      </c>
      <c r="C2414">
        <v>59</v>
      </c>
      <c r="D2414" t="s">
        <v>14</v>
      </c>
      <c r="E2414" t="s">
        <v>25</v>
      </c>
      <c r="F2414" t="s">
        <v>23</v>
      </c>
      <c r="G2414" t="s">
        <v>36</v>
      </c>
      <c r="H2414">
        <v>563.59</v>
      </c>
      <c r="I2414" s="8" t="str" cm="1">
        <f t="array" ref="I2414">_xlfn.IFS(C2414&lt;=15,"Children and Young Adolescents", C2414&gt;64, "Seniors", TRUE, "Working Age")</f>
        <v>Working Age</v>
      </c>
      <c r="J2414" s="6">
        <f>VLOOKUP(F2414,Analysis!$F$1:$G$5,2,FALSE)</f>
        <v>2440.2966694490838</v>
      </c>
      <c r="K2414">
        <f t="shared" si="148"/>
        <v>619.94000000000005</v>
      </c>
      <c r="L2414">
        <f t="shared" si="149"/>
        <v>619.95000000000005</v>
      </c>
      <c r="M2414">
        <f t="shared" si="150"/>
        <v>619.95000000000005</v>
      </c>
      <c r="N2414" s="5" t="str">
        <f t="shared" si="151"/>
        <v>December 2022</v>
      </c>
    </row>
    <row r="2415" spans="1:14" x14ac:dyDescent="0.25">
      <c r="A2415" s="1">
        <v>44913</v>
      </c>
      <c r="B2415" t="s">
        <v>1532</v>
      </c>
      <c r="C2415">
        <v>15</v>
      </c>
      <c r="D2415" t="s">
        <v>9</v>
      </c>
      <c r="E2415" t="s">
        <v>10</v>
      </c>
      <c r="F2415" t="s">
        <v>29</v>
      </c>
      <c r="G2415" t="s">
        <v>17</v>
      </c>
      <c r="H2415">
        <v>974.15</v>
      </c>
      <c r="I2415" s="8" t="str" cm="1">
        <f t="array" ref="I2415">_xlfn.IFS(C2415&lt;=15,"Children and Young Adolescents", C2415&gt;64, "Seniors", TRUE, "Working Age")</f>
        <v>Children and Young Adolescents</v>
      </c>
      <c r="J2415" s="6">
        <f>VLOOKUP(F2415,Analysis!$F$1:$G$5,2,FALSE)</f>
        <v>2496.7676064256989</v>
      </c>
      <c r="K2415">
        <f t="shared" si="148"/>
        <v>1071.56</v>
      </c>
      <c r="L2415">
        <f t="shared" si="149"/>
        <v>1071.57</v>
      </c>
      <c r="M2415">
        <f t="shared" si="150"/>
        <v>1071.57</v>
      </c>
      <c r="N2415" s="5" t="str">
        <f t="shared" si="151"/>
        <v>December 2022</v>
      </c>
    </row>
    <row r="2416" spans="1:14" x14ac:dyDescent="0.25">
      <c r="A2416" s="1">
        <v>44913</v>
      </c>
      <c r="B2416" t="s">
        <v>3814</v>
      </c>
      <c r="C2416">
        <v>65</v>
      </c>
      <c r="D2416" t="s">
        <v>21</v>
      </c>
      <c r="E2416" t="s">
        <v>25</v>
      </c>
      <c r="F2416" t="s">
        <v>11</v>
      </c>
      <c r="G2416" t="s">
        <v>17</v>
      </c>
      <c r="H2416">
        <v>1051.27</v>
      </c>
      <c r="I2416" s="8" t="str" cm="1">
        <f t="array" ref="I2416">_xlfn.IFS(C2416&lt;=15,"Children and Young Adolescents", C2416&gt;64, "Seniors", TRUE, "Working Age")</f>
        <v>Seniors</v>
      </c>
      <c r="J2416" s="6">
        <f>VLOOKUP(F2416,Analysis!$F$1:$G$5,2,FALSE)</f>
        <v>2503.6022787783854</v>
      </c>
      <c r="K2416">
        <f t="shared" si="148"/>
        <v>1156.3900000000001</v>
      </c>
      <c r="L2416">
        <f t="shared" si="149"/>
        <v>1156.4000000000001</v>
      </c>
      <c r="M2416">
        <f t="shared" si="150"/>
        <v>1156.4000000000001</v>
      </c>
      <c r="N2416" s="5" t="str">
        <f t="shared" si="151"/>
        <v>December 2022</v>
      </c>
    </row>
    <row r="2417" spans="1:14" x14ac:dyDescent="0.25">
      <c r="A2417" s="1">
        <v>44913</v>
      </c>
      <c r="B2417" t="s">
        <v>1951</v>
      </c>
      <c r="C2417">
        <v>82</v>
      </c>
      <c r="D2417" t="s">
        <v>9</v>
      </c>
      <c r="E2417" t="s">
        <v>22</v>
      </c>
      <c r="F2417" t="s">
        <v>29</v>
      </c>
      <c r="G2417" t="s">
        <v>17</v>
      </c>
      <c r="H2417">
        <v>1256.52</v>
      </c>
      <c r="I2417" s="8" t="str" cm="1">
        <f t="array" ref="I2417">_xlfn.IFS(C2417&lt;=15,"Children and Young Adolescents", C2417&gt;64, "Seniors", TRUE, "Working Age")</f>
        <v>Seniors</v>
      </c>
      <c r="J2417" s="6">
        <f>VLOOKUP(F2417,Analysis!$F$1:$G$5,2,FALSE)</f>
        <v>2496.7676064256989</v>
      </c>
      <c r="K2417">
        <f t="shared" si="148"/>
        <v>1382.17</v>
      </c>
      <c r="L2417">
        <f t="shared" si="149"/>
        <v>1382.18</v>
      </c>
      <c r="M2417">
        <f t="shared" si="150"/>
        <v>1382.17</v>
      </c>
      <c r="N2417" s="5" t="str">
        <f t="shared" si="151"/>
        <v>December 2022</v>
      </c>
    </row>
    <row r="2418" spans="1:14" x14ac:dyDescent="0.25">
      <c r="A2418" s="1">
        <v>44913</v>
      </c>
      <c r="B2418" t="s">
        <v>2093</v>
      </c>
      <c r="C2418">
        <v>72</v>
      </c>
      <c r="D2418" t="s">
        <v>14</v>
      </c>
      <c r="E2418" t="s">
        <v>32</v>
      </c>
      <c r="F2418" t="s">
        <v>29</v>
      </c>
      <c r="G2418" t="s">
        <v>12</v>
      </c>
      <c r="H2418">
        <v>3105.9</v>
      </c>
      <c r="I2418" s="8" t="str" cm="1">
        <f t="array" ref="I2418">_xlfn.IFS(C2418&lt;=15,"Children and Young Adolescents", C2418&gt;64, "Seniors", TRUE, "Working Age")</f>
        <v>Seniors</v>
      </c>
      <c r="J2418" s="6">
        <f>VLOOKUP(F2418,Analysis!$F$1:$G$5,2,FALSE)</f>
        <v>2496.7676064256989</v>
      </c>
      <c r="K2418">
        <f t="shared" si="148"/>
        <v>3416.49</v>
      </c>
      <c r="L2418">
        <f t="shared" si="149"/>
        <v>3416.49</v>
      </c>
      <c r="M2418">
        <f t="shared" si="150"/>
        <v>3416.49</v>
      </c>
      <c r="N2418" s="5" t="str">
        <f t="shared" si="151"/>
        <v>December 2022</v>
      </c>
    </row>
    <row r="2419" spans="1:14" x14ac:dyDescent="0.25">
      <c r="A2419" s="1">
        <v>44914</v>
      </c>
      <c r="B2419" t="s">
        <v>2371</v>
      </c>
      <c r="C2419">
        <v>18</v>
      </c>
      <c r="D2419" t="s">
        <v>9</v>
      </c>
      <c r="E2419" t="s">
        <v>25</v>
      </c>
      <c r="F2419" t="s">
        <v>16</v>
      </c>
      <c r="G2419" t="s">
        <v>17</v>
      </c>
      <c r="H2419">
        <v>1505.27</v>
      </c>
      <c r="I2419" s="8" t="str" cm="1">
        <f t="array" ref="I2419">_xlfn.IFS(C2419&lt;=15,"Children and Young Adolescents", C2419&gt;64, "Seniors", TRUE, "Working Age")</f>
        <v>Working Age</v>
      </c>
      <c r="J2419" s="6">
        <f>VLOOKUP(F2419,Analysis!$F$1:$G$5,2,FALSE)</f>
        <v>2509.1716796874912</v>
      </c>
      <c r="K2419">
        <f t="shared" si="148"/>
        <v>1655.79</v>
      </c>
      <c r="L2419">
        <f t="shared" si="149"/>
        <v>1655.8</v>
      </c>
      <c r="M2419">
        <f t="shared" si="150"/>
        <v>1655.8</v>
      </c>
      <c r="N2419" s="5" t="str">
        <f t="shared" si="151"/>
        <v>December 2022</v>
      </c>
    </row>
    <row r="2420" spans="1:14" x14ac:dyDescent="0.25">
      <c r="A2420" s="1">
        <v>44914</v>
      </c>
      <c r="B2420" t="s">
        <v>1797</v>
      </c>
      <c r="C2420">
        <v>56</v>
      </c>
      <c r="D2420" t="s">
        <v>14</v>
      </c>
      <c r="E2420" t="s">
        <v>10</v>
      </c>
      <c r="F2420" t="s">
        <v>29</v>
      </c>
      <c r="G2420" t="s">
        <v>39</v>
      </c>
      <c r="H2420">
        <v>1714.18</v>
      </c>
      <c r="I2420" s="8" t="str" cm="1">
        <f t="array" ref="I2420">_xlfn.IFS(C2420&lt;=15,"Children and Young Adolescents", C2420&gt;64, "Seniors", TRUE, "Working Age")</f>
        <v>Working Age</v>
      </c>
      <c r="J2420" s="6">
        <f>VLOOKUP(F2420,Analysis!$F$1:$G$5,2,FALSE)</f>
        <v>2496.7676064256989</v>
      </c>
      <c r="K2420">
        <f t="shared" si="148"/>
        <v>1885.59</v>
      </c>
      <c r="L2420">
        <f t="shared" si="149"/>
        <v>1885.6</v>
      </c>
      <c r="M2420">
        <f t="shared" si="150"/>
        <v>1885.6</v>
      </c>
      <c r="N2420" s="5" t="str">
        <f t="shared" si="151"/>
        <v>December 2022</v>
      </c>
    </row>
    <row r="2421" spans="1:14" x14ac:dyDescent="0.25">
      <c r="A2421" s="1">
        <v>44914</v>
      </c>
      <c r="B2421" t="s">
        <v>1749</v>
      </c>
      <c r="C2421">
        <v>13</v>
      </c>
      <c r="D2421" t="s">
        <v>14</v>
      </c>
      <c r="E2421" t="s">
        <v>19</v>
      </c>
      <c r="F2421" t="s">
        <v>29</v>
      </c>
      <c r="G2421" t="s">
        <v>27</v>
      </c>
      <c r="H2421">
        <v>2527.23</v>
      </c>
      <c r="I2421" s="8" t="str" cm="1">
        <f t="array" ref="I2421">_xlfn.IFS(C2421&lt;=15,"Children and Young Adolescents", C2421&gt;64, "Seniors", TRUE, "Working Age")</f>
        <v>Children and Young Adolescents</v>
      </c>
      <c r="J2421" s="6">
        <f>VLOOKUP(F2421,Analysis!$F$1:$G$5,2,FALSE)</f>
        <v>2496.7676064256989</v>
      </c>
      <c r="K2421">
        <f t="shared" si="148"/>
        <v>2779.95</v>
      </c>
      <c r="L2421">
        <f t="shared" si="149"/>
        <v>2779.96</v>
      </c>
      <c r="M2421">
        <f t="shared" si="150"/>
        <v>2779.95</v>
      </c>
      <c r="N2421" s="5" t="str">
        <f t="shared" si="151"/>
        <v>December 2022</v>
      </c>
    </row>
    <row r="2422" spans="1:14" x14ac:dyDescent="0.25">
      <c r="A2422" s="1">
        <v>44914</v>
      </c>
      <c r="B2422" t="s">
        <v>2733</v>
      </c>
      <c r="C2422">
        <v>14</v>
      </c>
      <c r="D2422" t="s">
        <v>9</v>
      </c>
      <c r="E2422" t="s">
        <v>25</v>
      </c>
      <c r="F2422" t="s">
        <v>23</v>
      </c>
      <c r="G2422" t="s">
        <v>17</v>
      </c>
      <c r="H2422">
        <v>3775.06</v>
      </c>
      <c r="I2422" s="8" t="str" cm="1">
        <f t="array" ref="I2422">_xlfn.IFS(C2422&lt;=15,"Children and Young Adolescents", C2422&gt;64, "Seniors", TRUE, "Working Age")</f>
        <v>Children and Young Adolescents</v>
      </c>
      <c r="J2422" s="6">
        <f>VLOOKUP(F2422,Analysis!$F$1:$G$5,2,FALSE)</f>
        <v>2440.2966694490838</v>
      </c>
      <c r="K2422">
        <f t="shared" si="148"/>
        <v>4152.5600000000004</v>
      </c>
      <c r="L2422">
        <f t="shared" si="149"/>
        <v>4152.5700000000006</v>
      </c>
      <c r="M2422">
        <f t="shared" si="150"/>
        <v>4152.57</v>
      </c>
      <c r="N2422" s="5" t="str">
        <f t="shared" si="151"/>
        <v>December 2022</v>
      </c>
    </row>
    <row r="2423" spans="1:14" x14ac:dyDescent="0.25">
      <c r="A2423" s="1">
        <v>44914</v>
      </c>
      <c r="B2423" t="s">
        <v>710</v>
      </c>
      <c r="C2423">
        <v>53</v>
      </c>
      <c r="D2423" t="s">
        <v>14</v>
      </c>
      <c r="E2423" t="s">
        <v>32</v>
      </c>
      <c r="F2423" t="s">
        <v>16</v>
      </c>
      <c r="G2423" t="s">
        <v>17</v>
      </c>
      <c r="H2423">
        <v>2620.98</v>
      </c>
      <c r="I2423" s="8" t="str" cm="1">
        <f t="array" ref="I2423">_xlfn.IFS(C2423&lt;=15,"Children and Young Adolescents", C2423&gt;64, "Seniors", TRUE, "Working Age")</f>
        <v>Working Age</v>
      </c>
      <c r="J2423" s="6">
        <f>VLOOKUP(F2423,Analysis!$F$1:$G$5,2,FALSE)</f>
        <v>2509.1716796874912</v>
      </c>
      <c r="K2423">
        <f t="shared" si="148"/>
        <v>2883.07</v>
      </c>
      <c r="L2423">
        <f t="shared" si="149"/>
        <v>2883.0800000000004</v>
      </c>
      <c r="M2423">
        <f t="shared" si="150"/>
        <v>2883.08</v>
      </c>
      <c r="N2423" s="5" t="str">
        <f t="shared" si="151"/>
        <v>December 2022</v>
      </c>
    </row>
    <row r="2424" spans="1:14" x14ac:dyDescent="0.25">
      <c r="A2424" s="1">
        <v>44914</v>
      </c>
      <c r="B2424" t="s">
        <v>125</v>
      </c>
      <c r="C2424">
        <v>97</v>
      </c>
      <c r="D2424" t="s">
        <v>14</v>
      </c>
      <c r="E2424" t="s">
        <v>22</v>
      </c>
      <c r="F2424" t="s">
        <v>29</v>
      </c>
      <c r="G2424" t="s">
        <v>39</v>
      </c>
      <c r="H2424">
        <v>1211.92</v>
      </c>
      <c r="I2424" s="8" t="str" cm="1">
        <f t="array" ref="I2424">_xlfn.IFS(C2424&lt;=15,"Children and Young Adolescents", C2424&gt;64, "Seniors", TRUE, "Working Age")</f>
        <v>Seniors</v>
      </c>
      <c r="J2424" s="6">
        <f>VLOOKUP(F2424,Analysis!$F$1:$G$5,2,FALSE)</f>
        <v>2496.7676064256989</v>
      </c>
      <c r="K2424">
        <f t="shared" si="148"/>
        <v>1333.11</v>
      </c>
      <c r="L2424">
        <f t="shared" si="149"/>
        <v>1333.12</v>
      </c>
      <c r="M2424">
        <f t="shared" si="150"/>
        <v>1333.11</v>
      </c>
      <c r="N2424" s="5" t="str">
        <f t="shared" si="151"/>
        <v>December 2022</v>
      </c>
    </row>
    <row r="2425" spans="1:14" x14ac:dyDescent="0.25">
      <c r="A2425" s="1">
        <v>44914</v>
      </c>
      <c r="B2425" t="s">
        <v>1410</v>
      </c>
      <c r="C2425">
        <v>25</v>
      </c>
      <c r="D2425" t="s">
        <v>21</v>
      </c>
      <c r="E2425" t="s">
        <v>10</v>
      </c>
      <c r="F2425" t="s">
        <v>16</v>
      </c>
      <c r="G2425" t="s">
        <v>36</v>
      </c>
      <c r="H2425">
        <v>4700.71</v>
      </c>
      <c r="I2425" s="8" t="str" cm="1">
        <f t="array" ref="I2425">_xlfn.IFS(C2425&lt;=15,"Children and Young Adolescents", C2425&gt;64, "Seniors", TRUE, "Working Age")</f>
        <v>Working Age</v>
      </c>
      <c r="J2425" s="6">
        <f>VLOOKUP(F2425,Analysis!$F$1:$G$5,2,FALSE)</f>
        <v>2509.1716796874912</v>
      </c>
      <c r="K2425">
        <f t="shared" si="148"/>
        <v>5170.78</v>
      </c>
      <c r="L2425">
        <f t="shared" si="149"/>
        <v>5170.79</v>
      </c>
      <c r="M2425">
        <f t="shared" si="150"/>
        <v>5170.78</v>
      </c>
      <c r="N2425" s="5" t="str">
        <f t="shared" si="151"/>
        <v>December 2022</v>
      </c>
    </row>
    <row r="2426" spans="1:14" x14ac:dyDescent="0.25">
      <c r="A2426" s="1">
        <v>44915</v>
      </c>
      <c r="B2426" t="s">
        <v>4095</v>
      </c>
      <c r="C2426">
        <v>24</v>
      </c>
      <c r="D2426" t="s">
        <v>21</v>
      </c>
      <c r="E2426" t="s">
        <v>5032</v>
      </c>
      <c r="F2426" t="s">
        <v>16</v>
      </c>
      <c r="G2426" t="s">
        <v>36</v>
      </c>
      <c r="H2426">
        <v>4901.5</v>
      </c>
      <c r="I2426" s="8" t="str" cm="1">
        <f t="array" ref="I2426">_xlfn.IFS(C2426&lt;=15,"Children and Young Adolescents", C2426&gt;64, "Seniors", TRUE, "Working Age")</f>
        <v>Working Age</v>
      </c>
      <c r="J2426" s="6">
        <f>VLOOKUP(F2426,Analysis!$F$1:$G$5,2,FALSE)</f>
        <v>2509.1716796874912</v>
      </c>
      <c r="K2426">
        <f t="shared" si="148"/>
        <v>5391.65</v>
      </c>
      <c r="L2426">
        <f t="shared" si="149"/>
        <v>5391.65</v>
      </c>
      <c r="M2426">
        <f t="shared" si="150"/>
        <v>5391.65</v>
      </c>
      <c r="N2426" s="5" t="str">
        <f t="shared" si="151"/>
        <v>December 2022</v>
      </c>
    </row>
    <row r="2427" spans="1:14" x14ac:dyDescent="0.25">
      <c r="A2427" s="1">
        <v>44915</v>
      </c>
      <c r="B2427" t="s">
        <v>2978</v>
      </c>
      <c r="C2427">
        <v>47</v>
      </c>
      <c r="D2427" t="s">
        <v>21</v>
      </c>
      <c r="E2427" t="s">
        <v>32</v>
      </c>
      <c r="F2427" t="s">
        <v>16</v>
      </c>
      <c r="G2427" t="s">
        <v>36</v>
      </c>
      <c r="H2427">
        <v>1697.88</v>
      </c>
      <c r="I2427" s="8" t="str" cm="1">
        <f t="array" ref="I2427">_xlfn.IFS(C2427&lt;=15,"Children and Young Adolescents", C2427&gt;64, "Seniors", TRUE, "Working Age")</f>
        <v>Working Age</v>
      </c>
      <c r="J2427" s="6">
        <f>VLOOKUP(F2427,Analysis!$F$1:$G$5,2,FALSE)</f>
        <v>2509.1716796874912</v>
      </c>
      <c r="K2427">
        <f t="shared" si="148"/>
        <v>1867.66</v>
      </c>
      <c r="L2427">
        <f t="shared" si="149"/>
        <v>1867.67</v>
      </c>
      <c r="M2427">
        <f t="shared" si="150"/>
        <v>1867.67</v>
      </c>
      <c r="N2427" s="5" t="str">
        <f t="shared" si="151"/>
        <v>December 2022</v>
      </c>
    </row>
    <row r="2428" spans="1:14" x14ac:dyDescent="0.25">
      <c r="A2428" s="1">
        <v>44915</v>
      </c>
      <c r="B2428" t="s">
        <v>4989</v>
      </c>
      <c r="C2428">
        <v>95</v>
      </c>
      <c r="D2428" t="s">
        <v>21</v>
      </c>
      <c r="E2428" t="s">
        <v>34</v>
      </c>
      <c r="F2428" t="s">
        <v>11</v>
      </c>
      <c r="G2428" t="s">
        <v>39</v>
      </c>
      <c r="H2428">
        <v>3474.98</v>
      </c>
      <c r="I2428" s="8" t="str" cm="1">
        <f t="array" ref="I2428">_xlfn.IFS(C2428&lt;=15,"Children and Young Adolescents", C2428&gt;64, "Seniors", TRUE, "Working Age")</f>
        <v>Seniors</v>
      </c>
      <c r="J2428" s="6">
        <f>VLOOKUP(F2428,Analysis!$F$1:$G$5,2,FALSE)</f>
        <v>2503.6022787783854</v>
      </c>
      <c r="K2428">
        <f t="shared" si="148"/>
        <v>3822.47</v>
      </c>
      <c r="L2428">
        <f t="shared" si="149"/>
        <v>3822.48</v>
      </c>
      <c r="M2428">
        <f t="shared" si="150"/>
        <v>3822.48</v>
      </c>
      <c r="N2428" s="5" t="str">
        <f t="shared" si="151"/>
        <v>December 2022</v>
      </c>
    </row>
    <row r="2429" spans="1:14" x14ac:dyDescent="0.25">
      <c r="A2429" s="1">
        <v>44915</v>
      </c>
      <c r="B2429" t="s">
        <v>2799</v>
      </c>
      <c r="C2429">
        <v>96</v>
      </c>
      <c r="D2429" t="s">
        <v>14</v>
      </c>
      <c r="E2429" t="s">
        <v>15</v>
      </c>
      <c r="F2429" t="s">
        <v>29</v>
      </c>
      <c r="G2429" t="s">
        <v>36</v>
      </c>
      <c r="H2429">
        <v>2228.48</v>
      </c>
      <c r="I2429" s="8" t="str" cm="1">
        <f t="array" ref="I2429">_xlfn.IFS(C2429&lt;=15,"Children and Young Adolescents", C2429&gt;64, "Seniors", TRUE, "Working Age")</f>
        <v>Seniors</v>
      </c>
      <c r="J2429" s="6">
        <f>VLOOKUP(F2429,Analysis!$F$1:$G$5,2,FALSE)</f>
        <v>2496.7676064256989</v>
      </c>
      <c r="K2429">
        <f t="shared" si="148"/>
        <v>2451.3200000000002</v>
      </c>
      <c r="L2429">
        <f t="shared" si="149"/>
        <v>2451.3300000000004</v>
      </c>
      <c r="M2429">
        <f t="shared" si="150"/>
        <v>2451.33</v>
      </c>
      <c r="N2429" s="5" t="str">
        <f t="shared" si="151"/>
        <v>December 2022</v>
      </c>
    </row>
    <row r="2430" spans="1:14" x14ac:dyDescent="0.25">
      <c r="A2430" s="1">
        <v>44915</v>
      </c>
      <c r="B2430" t="s">
        <v>4661</v>
      </c>
      <c r="C2430">
        <v>52</v>
      </c>
      <c r="D2430" t="s">
        <v>9</v>
      </c>
      <c r="E2430" t="s">
        <v>22</v>
      </c>
      <c r="F2430" t="s">
        <v>23</v>
      </c>
      <c r="G2430" t="s">
        <v>39</v>
      </c>
      <c r="H2430">
        <v>4504.43</v>
      </c>
      <c r="I2430" s="8" t="str" cm="1">
        <f t="array" ref="I2430">_xlfn.IFS(C2430&lt;=15,"Children and Young Adolescents", C2430&gt;64, "Seniors", TRUE, "Working Age")</f>
        <v>Working Age</v>
      </c>
      <c r="J2430" s="6">
        <f>VLOOKUP(F2430,Analysis!$F$1:$G$5,2,FALSE)</f>
        <v>2440.2966694490838</v>
      </c>
      <c r="K2430">
        <f t="shared" si="148"/>
        <v>4954.87</v>
      </c>
      <c r="L2430">
        <f t="shared" si="149"/>
        <v>4954.88</v>
      </c>
      <c r="M2430">
        <f t="shared" si="150"/>
        <v>4954.87</v>
      </c>
      <c r="N2430" s="5" t="str">
        <f t="shared" si="151"/>
        <v>December 2022</v>
      </c>
    </row>
    <row r="2431" spans="1:14" x14ac:dyDescent="0.25">
      <c r="A2431" s="1">
        <v>44916</v>
      </c>
      <c r="B2431" t="s">
        <v>2606</v>
      </c>
      <c r="C2431">
        <v>34</v>
      </c>
      <c r="D2431" t="s">
        <v>9</v>
      </c>
      <c r="E2431" t="s">
        <v>19</v>
      </c>
      <c r="F2431" t="s">
        <v>23</v>
      </c>
      <c r="G2431" t="s">
        <v>12</v>
      </c>
      <c r="H2431">
        <v>4191.6000000000004</v>
      </c>
      <c r="I2431" s="8" t="str" cm="1">
        <f t="array" ref="I2431">_xlfn.IFS(C2431&lt;=15,"Children and Young Adolescents", C2431&gt;64, "Seniors", TRUE, "Working Age")</f>
        <v>Working Age</v>
      </c>
      <c r="J2431" s="6">
        <f>VLOOKUP(F2431,Analysis!$F$1:$G$5,2,FALSE)</f>
        <v>2440.2966694490838</v>
      </c>
      <c r="K2431">
        <f t="shared" si="148"/>
        <v>4610.76</v>
      </c>
      <c r="L2431">
        <f t="shared" si="149"/>
        <v>4610.76</v>
      </c>
      <c r="M2431">
        <f t="shared" si="150"/>
        <v>4610.76</v>
      </c>
      <c r="N2431" s="5" t="str">
        <f t="shared" si="151"/>
        <v>December 2022</v>
      </c>
    </row>
    <row r="2432" spans="1:14" x14ac:dyDescent="0.25">
      <c r="A2432" s="1">
        <v>44916</v>
      </c>
      <c r="B2432" t="s">
        <v>2381</v>
      </c>
      <c r="C2432">
        <v>23</v>
      </c>
      <c r="D2432" t="s">
        <v>21</v>
      </c>
      <c r="E2432" t="s">
        <v>10</v>
      </c>
      <c r="F2432" t="s">
        <v>11</v>
      </c>
      <c r="G2432" t="s">
        <v>36</v>
      </c>
      <c r="H2432">
        <v>4472.63</v>
      </c>
      <c r="I2432" s="8" t="str" cm="1">
        <f t="array" ref="I2432">_xlfn.IFS(C2432&lt;=15,"Children and Young Adolescents", C2432&gt;64, "Seniors", TRUE, "Working Age")</f>
        <v>Working Age</v>
      </c>
      <c r="J2432" s="6">
        <f>VLOOKUP(F2432,Analysis!$F$1:$G$5,2,FALSE)</f>
        <v>2503.6022787783854</v>
      </c>
      <c r="K2432">
        <f t="shared" si="148"/>
        <v>4919.8900000000003</v>
      </c>
      <c r="L2432">
        <f t="shared" si="149"/>
        <v>4919.9000000000005</v>
      </c>
      <c r="M2432">
        <f t="shared" si="150"/>
        <v>4919.8900000000003</v>
      </c>
      <c r="N2432" s="5" t="str">
        <f t="shared" si="151"/>
        <v>December 2022</v>
      </c>
    </row>
    <row r="2433" spans="1:14" x14ac:dyDescent="0.25">
      <c r="A2433" s="1">
        <v>44916</v>
      </c>
      <c r="B2433" t="s">
        <v>517</v>
      </c>
      <c r="C2433">
        <v>69</v>
      </c>
      <c r="D2433" t="s">
        <v>9</v>
      </c>
      <c r="E2433" t="s">
        <v>25</v>
      </c>
      <c r="F2433" t="s">
        <v>29</v>
      </c>
      <c r="G2433" t="s">
        <v>12</v>
      </c>
      <c r="H2433">
        <v>4893.17</v>
      </c>
      <c r="I2433" s="8" t="str" cm="1">
        <f t="array" ref="I2433">_xlfn.IFS(C2433&lt;=15,"Children and Young Adolescents", C2433&gt;64, "Seniors", TRUE, "Working Age")</f>
        <v>Seniors</v>
      </c>
      <c r="J2433" s="6">
        <f>VLOOKUP(F2433,Analysis!$F$1:$G$5,2,FALSE)</f>
        <v>2496.7676064256989</v>
      </c>
      <c r="K2433">
        <f t="shared" si="148"/>
        <v>5382.48</v>
      </c>
      <c r="L2433">
        <f t="shared" si="149"/>
        <v>5382.49</v>
      </c>
      <c r="M2433">
        <f t="shared" si="150"/>
        <v>5382.49</v>
      </c>
      <c r="N2433" s="5" t="str">
        <f t="shared" si="151"/>
        <v>December 2022</v>
      </c>
    </row>
    <row r="2434" spans="1:14" x14ac:dyDescent="0.25">
      <c r="A2434" s="1">
        <v>44916</v>
      </c>
      <c r="B2434" t="s">
        <v>3384</v>
      </c>
      <c r="C2434">
        <v>3</v>
      </c>
      <c r="D2434" t="s">
        <v>14</v>
      </c>
      <c r="E2434" t="s">
        <v>32</v>
      </c>
      <c r="F2434" t="s">
        <v>23</v>
      </c>
      <c r="G2434" t="s">
        <v>5033</v>
      </c>
      <c r="H2434">
        <v>1875.38</v>
      </c>
      <c r="I2434" s="8" t="str" cm="1">
        <f t="array" ref="I2434">_xlfn.IFS(C2434&lt;=15,"Children and Young Adolescents", C2434&gt;64, "Seniors", TRUE, "Working Age")</f>
        <v>Children and Young Adolescents</v>
      </c>
      <c r="J2434" s="6">
        <f>VLOOKUP(F2434,Analysis!$F$1:$G$5,2,FALSE)</f>
        <v>2440.2966694490838</v>
      </c>
      <c r="K2434">
        <f t="shared" si="148"/>
        <v>2062.91</v>
      </c>
      <c r="L2434">
        <f t="shared" si="149"/>
        <v>2062.92</v>
      </c>
      <c r="M2434">
        <f t="shared" si="150"/>
        <v>2062.92</v>
      </c>
      <c r="N2434" s="5" t="str">
        <f t="shared" si="151"/>
        <v>December 2022</v>
      </c>
    </row>
    <row r="2435" spans="1:14" x14ac:dyDescent="0.25">
      <c r="A2435" s="1">
        <v>44916</v>
      </c>
      <c r="B2435" t="s">
        <v>2377</v>
      </c>
      <c r="C2435">
        <v>91</v>
      </c>
      <c r="D2435" t="s">
        <v>14</v>
      </c>
      <c r="E2435" t="s">
        <v>19</v>
      </c>
      <c r="F2435" t="s">
        <v>23</v>
      </c>
      <c r="G2435" t="s">
        <v>17</v>
      </c>
      <c r="H2435">
        <v>3580.06</v>
      </c>
      <c r="I2435" s="8" t="str" cm="1">
        <f t="array" ref="I2435">_xlfn.IFS(C2435&lt;=15,"Children and Young Adolescents", C2435&gt;64, "Seniors", TRUE, "Working Age")</f>
        <v>Seniors</v>
      </c>
      <c r="J2435" s="6">
        <f>VLOOKUP(F2435,Analysis!$F$1:$G$5,2,FALSE)</f>
        <v>2440.2966694490838</v>
      </c>
      <c r="K2435">
        <f t="shared" ref="K2435:K2498" si="152">ROUNDDOWN(H2435*1.1,2)</f>
        <v>3938.06</v>
      </c>
      <c r="L2435">
        <f t="shared" ref="L2435:L2498" si="153">ROUNDUP(H2435*1.1,2)</f>
        <v>3938.07</v>
      </c>
      <c r="M2435">
        <f t="shared" ref="M2435:M2498" si="154">ROUND(H2435*1.1,2)</f>
        <v>3938.07</v>
      </c>
      <c r="N2435" s="5" t="str">
        <f t="shared" ref="N2435:N2498" si="155">TEXT(A2435,"mmmm yyyy")</f>
        <v>December 2022</v>
      </c>
    </row>
    <row r="2436" spans="1:14" x14ac:dyDescent="0.25">
      <c r="A2436" s="1">
        <v>44916</v>
      </c>
      <c r="B2436" t="s">
        <v>249</v>
      </c>
      <c r="C2436">
        <v>49</v>
      </c>
      <c r="D2436" t="s">
        <v>21</v>
      </c>
      <c r="E2436" t="s">
        <v>19</v>
      </c>
      <c r="F2436" t="s">
        <v>29</v>
      </c>
      <c r="G2436" t="s">
        <v>39</v>
      </c>
      <c r="H2436">
        <v>2116.96</v>
      </c>
      <c r="I2436" s="8" t="str" cm="1">
        <f t="array" ref="I2436">_xlfn.IFS(C2436&lt;=15,"Children and Young Adolescents", C2436&gt;64, "Seniors", TRUE, "Working Age")</f>
        <v>Working Age</v>
      </c>
      <c r="J2436" s="6">
        <f>VLOOKUP(F2436,Analysis!$F$1:$G$5,2,FALSE)</f>
        <v>2496.7676064256989</v>
      </c>
      <c r="K2436">
        <f t="shared" si="152"/>
        <v>2328.65</v>
      </c>
      <c r="L2436">
        <f t="shared" si="153"/>
        <v>2328.6600000000003</v>
      </c>
      <c r="M2436">
        <f t="shared" si="154"/>
        <v>2328.66</v>
      </c>
      <c r="N2436" s="5" t="str">
        <f t="shared" si="155"/>
        <v>December 2022</v>
      </c>
    </row>
    <row r="2437" spans="1:14" x14ac:dyDescent="0.25">
      <c r="A2437" s="1">
        <v>44917</v>
      </c>
      <c r="B2437" t="s">
        <v>4898</v>
      </c>
      <c r="C2437">
        <v>40</v>
      </c>
      <c r="D2437" t="s">
        <v>9</v>
      </c>
      <c r="E2437" t="s">
        <v>10</v>
      </c>
      <c r="F2437" t="s">
        <v>11</v>
      </c>
      <c r="G2437" t="s">
        <v>17</v>
      </c>
      <c r="H2437">
        <v>1654.74</v>
      </c>
      <c r="I2437" s="8" t="str" cm="1">
        <f t="array" ref="I2437">_xlfn.IFS(C2437&lt;=15,"Children and Young Adolescents", C2437&gt;64, "Seniors", TRUE, "Working Age")</f>
        <v>Working Age</v>
      </c>
      <c r="J2437" s="6">
        <f>VLOOKUP(F2437,Analysis!$F$1:$G$5,2,FALSE)</f>
        <v>2503.6022787783854</v>
      </c>
      <c r="K2437">
        <f t="shared" si="152"/>
        <v>1820.21</v>
      </c>
      <c r="L2437">
        <f t="shared" si="153"/>
        <v>1820.22</v>
      </c>
      <c r="M2437">
        <f t="shared" si="154"/>
        <v>1820.21</v>
      </c>
      <c r="N2437" s="5" t="str">
        <f t="shared" si="155"/>
        <v>December 2022</v>
      </c>
    </row>
    <row r="2438" spans="1:14" x14ac:dyDescent="0.25">
      <c r="A2438" s="1">
        <v>44917</v>
      </c>
      <c r="B2438" t="s">
        <v>3926</v>
      </c>
      <c r="C2438">
        <v>69</v>
      </c>
      <c r="D2438" t="s">
        <v>21</v>
      </c>
      <c r="E2438" t="s">
        <v>34</v>
      </c>
      <c r="F2438" t="s">
        <v>29</v>
      </c>
      <c r="G2438" t="s">
        <v>12</v>
      </c>
      <c r="H2438">
        <v>1745.71</v>
      </c>
      <c r="I2438" s="8" t="str" cm="1">
        <f t="array" ref="I2438">_xlfn.IFS(C2438&lt;=15,"Children and Young Adolescents", C2438&gt;64, "Seniors", TRUE, "Working Age")</f>
        <v>Seniors</v>
      </c>
      <c r="J2438" s="6">
        <f>VLOOKUP(F2438,Analysis!$F$1:$G$5,2,FALSE)</f>
        <v>2496.7676064256989</v>
      </c>
      <c r="K2438">
        <f t="shared" si="152"/>
        <v>1920.28</v>
      </c>
      <c r="L2438">
        <f t="shared" si="153"/>
        <v>1920.29</v>
      </c>
      <c r="M2438">
        <f t="shared" si="154"/>
        <v>1920.28</v>
      </c>
      <c r="N2438" s="5" t="str">
        <f t="shared" si="155"/>
        <v>December 2022</v>
      </c>
    </row>
    <row r="2439" spans="1:14" x14ac:dyDescent="0.25">
      <c r="A2439" s="1">
        <v>44917</v>
      </c>
      <c r="B2439" t="s">
        <v>1789</v>
      </c>
      <c r="C2439">
        <v>5</v>
      </c>
      <c r="D2439" t="s">
        <v>9</v>
      </c>
      <c r="E2439" t="s">
        <v>5032</v>
      </c>
      <c r="F2439" t="s">
        <v>23</v>
      </c>
      <c r="G2439" t="s">
        <v>12</v>
      </c>
      <c r="H2439">
        <v>3986.02</v>
      </c>
      <c r="I2439" s="8" t="str" cm="1">
        <f t="array" ref="I2439">_xlfn.IFS(C2439&lt;=15,"Children and Young Adolescents", C2439&gt;64, "Seniors", TRUE, "Working Age")</f>
        <v>Children and Young Adolescents</v>
      </c>
      <c r="J2439" s="6">
        <f>VLOOKUP(F2439,Analysis!$F$1:$G$5,2,FALSE)</f>
        <v>2440.2966694490838</v>
      </c>
      <c r="K2439">
        <f t="shared" si="152"/>
        <v>4384.62</v>
      </c>
      <c r="L2439">
        <f t="shared" si="153"/>
        <v>4384.63</v>
      </c>
      <c r="M2439">
        <f t="shared" si="154"/>
        <v>4384.62</v>
      </c>
      <c r="N2439" s="5" t="str">
        <f t="shared" si="155"/>
        <v>December 2022</v>
      </c>
    </row>
    <row r="2440" spans="1:14" x14ac:dyDescent="0.25">
      <c r="A2440" s="1">
        <v>44917</v>
      </c>
      <c r="B2440" t="s">
        <v>2074</v>
      </c>
      <c r="C2440">
        <v>94</v>
      </c>
      <c r="D2440" t="s">
        <v>9</v>
      </c>
      <c r="E2440" t="s">
        <v>15</v>
      </c>
      <c r="F2440" t="s">
        <v>29</v>
      </c>
      <c r="G2440" t="s">
        <v>36</v>
      </c>
      <c r="H2440">
        <v>1885.83</v>
      </c>
      <c r="I2440" s="8" t="str" cm="1">
        <f t="array" ref="I2440">_xlfn.IFS(C2440&lt;=15,"Children and Young Adolescents", C2440&gt;64, "Seniors", TRUE, "Working Age")</f>
        <v>Seniors</v>
      </c>
      <c r="J2440" s="6">
        <f>VLOOKUP(F2440,Analysis!$F$1:$G$5,2,FALSE)</f>
        <v>2496.7676064256989</v>
      </c>
      <c r="K2440">
        <f t="shared" si="152"/>
        <v>2074.41</v>
      </c>
      <c r="L2440">
        <f t="shared" si="153"/>
        <v>2074.42</v>
      </c>
      <c r="M2440">
        <f t="shared" si="154"/>
        <v>2074.41</v>
      </c>
      <c r="N2440" s="5" t="str">
        <f t="shared" si="155"/>
        <v>December 2022</v>
      </c>
    </row>
    <row r="2441" spans="1:14" x14ac:dyDescent="0.25">
      <c r="A2441" s="1">
        <v>44917</v>
      </c>
      <c r="B2441" t="s">
        <v>1187</v>
      </c>
      <c r="C2441">
        <v>65</v>
      </c>
      <c r="D2441" t="s">
        <v>9</v>
      </c>
      <c r="E2441" t="s">
        <v>34</v>
      </c>
      <c r="F2441" t="s">
        <v>11</v>
      </c>
      <c r="G2441" t="s">
        <v>36</v>
      </c>
      <c r="H2441">
        <v>1106.2</v>
      </c>
      <c r="I2441" s="8" t="str" cm="1">
        <f t="array" ref="I2441">_xlfn.IFS(C2441&lt;=15,"Children and Young Adolescents", C2441&gt;64, "Seniors", TRUE, "Working Age")</f>
        <v>Seniors</v>
      </c>
      <c r="J2441" s="6">
        <f>VLOOKUP(F2441,Analysis!$F$1:$G$5,2,FALSE)</f>
        <v>2503.6022787783854</v>
      </c>
      <c r="K2441">
        <f t="shared" si="152"/>
        <v>1216.82</v>
      </c>
      <c r="L2441">
        <f t="shared" si="153"/>
        <v>1216.82</v>
      </c>
      <c r="M2441">
        <f t="shared" si="154"/>
        <v>1216.82</v>
      </c>
      <c r="N2441" s="5" t="str">
        <f t="shared" si="155"/>
        <v>December 2022</v>
      </c>
    </row>
    <row r="2442" spans="1:14" x14ac:dyDescent="0.25">
      <c r="A2442" s="1">
        <v>44917</v>
      </c>
      <c r="B2442" t="s">
        <v>914</v>
      </c>
      <c r="C2442">
        <v>71</v>
      </c>
      <c r="D2442" t="s">
        <v>21</v>
      </c>
      <c r="E2442" t="s">
        <v>32</v>
      </c>
      <c r="F2442" t="s">
        <v>23</v>
      </c>
      <c r="G2442" t="s">
        <v>36</v>
      </c>
      <c r="H2442">
        <v>3841.96</v>
      </c>
      <c r="I2442" s="8" t="str" cm="1">
        <f t="array" ref="I2442">_xlfn.IFS(C2442&lt;=15,"Children and Young Adolescents", C2442&gt;64, "Seniors", TRUE, "Working Age")</f>
        <v>Seniors</v>
      </c>
      <c r="J2442" s="6">
        <f>VLOOKUP(F2442,Analysis!$F$1:$G$5,2,FALSE)</f>
        <v>2440.2966694490838</v>
      </c>
      <c r="K2442">
        <f t="shared" si="152"/>
        <v>4226.1499999999996</v>
      </c>
      <c r="L2442">
        <f t="shared" si="153"/>
        <v>4226.16</v>
      </c>
      <c r="M2442">
        <f t="shared" si="154"/>
        <v>4226.16</v>
      </c>
      <c r="N2442" s="5" t="str">
        <f t="shared" si="155"/>
        <v>December 2022</v>
      </c>
    </row>
    <row r="2443" spans="1:14" x14ac:dyDescent="0.25">
      <c r="A2443" s="1">
        <v>44917</v>
      </c>
      <c r="B2443" t="s">
        <v>4033</v>
      </c>
      <c r="C2443">
        <v>96</v>
      </c>
      <c r="D2443" t="s">
        <v>21</v>
      </c>
      <c r="E2443" t="s">
        <v>22</v>
      </c>
      <c r="F2443" t="s">
        <v>23</v>
      </c>
      <c r="G2443" t="s">
        <v>36</v>
      </c>
      <c r="H2443">
        <v>1025.98</v>
      </c>
      <c r="I2443" s="8" t="str" cm="1">
        <f t="array" ref="I2443">_xlfn.IFS(C2443&lt;=15,"Children and Young Adolescents", C2443&gt;64, "Seniors", TRUE, "Working Age")</f>
        <v>Seniors</v>
      </c>
      <c r="J2443" s="6">
        <f>VLOOKUP(F2443,Analysis!$F$1:$G$5,2,FALSE)</f>
        <v>2440.2966694490838</v>
      </c>
      <c r="K2443">
        <f t="shared" si="152"/>
        <v>1128.57</v>
      </c>
      <c r="L2443">
        <f t="shared" si="153"/>
        <v>1128.58</v>
      </c>
      <c r="M2443">
        <f t="shared" si="154"/>
        <v>1128.58</v>
      </c>
      <c r="N2443" s="5" t="str">
        <f t="shared" si="155"/>
        <v>December 2022</v>
      </c>
    </row>
    <row r="2444" spans="1:14" x14ac:dyDescent="0.25">
      <c r="A2444" s="1">
        <v>44917</v>
      </c>
      <c r="B2444" t="s">
        <v>3727</v>
      </c>
      <c r="C2444">
        <v>18</v>
      </c>
      <c r="D2444" t="s">
        <v>9</v>
      </c>
      <c r="E2444" t="s">
        <v>22</v>
      </c>
      <c r="F2444" t="s">
        <v>16</v>
      </c>
      <c r="G2444" t="s">
        <v>27</v>
      </c>
      <c r="H2444">
        <v>2149.77</v>
      </c>
      <c r="I2444" s="8" t="str" cm="1">
        <f t="array" ref="I2444">_xlfn.IFS(C2444&lt;=15,"Children and Young Adolescents", C2444&gt;64, "Seniors", TRUE, "Working Age")</f>
        <v>Working Age</v>
      </c>
      <c r="J2444" s="6">
        <f>VLOOKUP(F2444,Analysis!$F$1:$G$5,2,FALSE)</f>
        <v>2509.1716796874912</v>
      </c>
      <c r="K2444">
        <f t="shared" si="152"/>
        <v>2364.7399999999998</v>
      </c>
      <c r="L2444">
        <f t="shared" si="153"/>
        <v>2364.75</v>
      </c>
      <c r="M2444">
        <f t="shared" si="154"/>
        <v>2364.75</v>
      </c>
      <c r="N2444" s="5" t="str">
        <f t="shared" si="155"/>
        <v>December 2022</v>
      </c>
    </row>
    <row r="2445" spans="1:14" x14ac:dyDescent="0.25">
      <c r="A2445" s="1">
        <v>44918</v>
      </c>
      <c r="B2445" t="s">
        <v>967</v>
      </c>
      <c r="C2445">
        <v>77</v>
      </c>
      <c r="D2445" t="s">
        <v>14</v>
      </c>
      <c r="E2445" t="s">
        <v>25</v>
      </c>
      <c r="F2445" t="s">
        <v>23</v>
      </c>
      <c r="G2445" t="s">
        <v>27</v>
      </c>
      <c r="H2445">
        <v>2865.62</v>
      </c>
      <c r="I2445" s="8" t="str" cm="1">
        <f t="array" ref="I2445">_xlfn.IFS(C2445&lt;=15,"Children and Young Adolescents", C2445&gt;64, "Seniors", TRUE, "Working Age")</f>
        <v>Seniors</v>
      </c>
      <c r="J2445" s="6">
        <f>VLOOKUP(F2445,Analysis!$F$1:$G$5,2,FALSE)</f>
        <v>2440.2966694490838</v>
      </c>
      <c r="K2445">
        <f t="shared" si="152"/>
        <v>3152.18</v>
      </c>
      <c r="L2445">
        <f t="shared" si="153"/>
        <v>3152.19</v>
      </c>
      <c r="M2445">
        <f t="shared" si="154"/>
        <v>3152.18</v>
      </c>
      <c r="N2445" s="5" t="str">
        <f t="shared" si="155"/>
        <v>December 2022</v>
      </c>
    </row>
    <row r="2446" spans="1:14" x14ac:dyDescent="0.25">
      <c r="A2446" s="1">
        <v>44918</v>
      </c>
      <c r="B2446" t="s">
        <v>3721</v>
      </c>
      <c r="C2446">
        <v>66</v>
      </c>
      <c r="D2446" t="s">
        <v>21</v>
      </c>
      <c r="E2446" t="s">
        <v>5032</v>
      </c>
      <c r="F2446" t="s">
        <v>29</v>
      </c>
      <c r="G2446" t="s">
        <v>5033</v>
      </c>
      <c r="H2446">
        <v>22.65</v>
      </c>
      <c r="I2446" s="8" t="str" cm="1">
        <f t="array" ref="I2446">_xlfn.IFS(C2446&lt;=15,"Children and Young Adolescents", C2446&gt;64, "Seniors", TRUE, "Working Age")</f>
        <v>Seniors</v>
      </c>
      <c r="J2446" s="6">
        <f>VLOOKUP(F2446,Analysis!$F$1:$G$5,2,FALSE)</f>
        <v>2496.7676064256989</v>
      </c>
      <c r="K2446">
        <f t="shared" si="152"/>
        <v>24.91</v>
      </c>
      <c r="L2446">
        <f t="shared" si="153"/>
        <v>24.92</v>
      </c>
      <c r="M2446">
        <f t="shared" si="154"/>
        <v>24.92</v>
      </c>
      <c r="N2446" s="5" t="str">
        <f t="shared" si="155"/>
        <v>December 2022</v>
      </c>
    </row>
    <row r="2447" spans="1:14" x14ac:dyDescent="0.25">
      <c r="A2447" s="1">
        <v>44918</v>
      </c>
      <c r="B2447" t="s">
        <v>2856</v>
      </c>
      <c r="C2447">
        <v>15</v>
      </c>
      <c r="D2447" t="s">
        <v>14</v>
      </c>
      <c r="E2447" t="s">
        <v>15</v>
      </c>
      <c r="F2447" t="s">
        <v>16</v>
      </c>
      <c r="G2447" t="s">
        <v>36</v>
      </c>
      <c r="H2447">
        <v>2581.42</v>
      </c>
      <c r="I2447" s="8" t="str" cm="1">
        <f t="array" ref="I2447">_xlfn.IFS(C2447&lt;=15,"Children and Young Adolescents", C2447&gt;64, "Seniors", TRUE, "Working Age")</f>
        <v>Children and Young Adolescents</v>
      </c>
      <c r="J2447" s="6">
        <f>VLOOKUP(F2447,Analysis!$F$1:$G$5,2,FALSE)</f>
        <v>2509.1716796874912</v>
      </c>
      <c r="K2447">
        <f t="shared" si="152"/>
        <v>2839.56</v>
      </c>
      <c r="L2447">
        <f t="shared" si="153"/>
        <v>2839.57</v>
      </c>
      <c r="M2447">
        <f t="shared" si="154"/>
        <v>2839.56</v>
      </c>
      <c r="N2447" s="5" t="str">
        <f t="shared" si="155"/>
        <v>December 2022</v>
      </c>
    </row>
    <row r="2448" spans="1:14" x14ac:dyDescent="0.25">
      <c r="A2448" s="1">
        <v>44918</v>
      </c>
      <c r="B2448" t="s">
        <v>1360</v>
      </c>
      <c r="C2448">
        <v>46</v>
      </c>
      <c r="D2448" t="s">
        <v>21</v>
      </c>
      <c r="E2448" t="s">
        <v>10</v>
      </c>
      <c r="F2448" t="s">
        <v>16</v>
      </c>
      <c r="G2448" t="s">
        <v>39</v>
      </c>
      <c r="H2448">
        <v>1894.37</v>
      </c>
      <c r="I2448" s="8" t="str" cm="1">
        <f t="array" ref="I2448">_xlfn.IFS(C2448&lt;=15,"Children and Young Adolescents", C2448&gt;64, "Seniors", TRUE, "Working Age")</f>
        <v>Working Age</v>
      </c>
      <c r="J2448" s="6">
        <f>VLOOKUP(F2448,Analysis!$F$1:$G$5,2,FALSE)</f>
        <v>2509.1716796874912</v>
      </c>
      <c r="K2448">
        <f t="shared" si="152"/>
        <v>2083.8000000000002</v>
      </c>
      <c r="L2448">
        <f t="shared" si="153"/>
        <v>2083.8100000000004</v>
      </c>
      <c r="M2448">
        <f t="shared" si="154"/>
        <v>2083.81</v>
      </c>
      <c r="N2448" s="5" t="str">
        <f t="shared" si="155"/>
        <v>December 2022</v>
      </c>
    </row>
    <row r="2449" spans="1:14" x14ac:dyDescent="0.25">
      <c r="A2449" s="1">
        <v>44918</v>
      </c>
      <c r="B2449" t="s">
        <v>4412</v>
      </c>
      <c r="C2449">
        <v>35</v>
      </c>
      <c r="D2449" t="s">
        <v>21</v>
      </c>
      <c r="E2449" t="s">
        <v>32</v>
      </c>
      <c r="F2449" t="s">
        <v>11</v>
      </c>
      <c r="G2449" t="s">
        <v>12</v>
      </c>
      <c r="H2449">
        <v>1104.75</v>
      </c>
      <c r="I2449" s="8" t="str" cm="1">
        <f t="array" ref="I2449">_xlfn.IFS(C2449&lt;=15,"Children and Young Adolescents", C2449&gt;64, "Seniors", TRUE, "Working Age")</f>
        <v>Working Age</v>
      </c>
      <c r="J2449" s="6">
        <f>VLOOKUP(F2449,Analysis!$F$1:$G$5,2,FALSE)</f>
        <v>2503.6022787783854</v>
      </c>
      <c r="K2449">
        <f t="shared" si="152"/>
        <v>1215.22</v>
      </c>
      <c r="L2449">
        <f t="shared" si="153"/>
        <v>1215.23</v>
      </c>
      <c r="M2449">
        <f t="shared" si="154"/>
        <v>1215.23</v>
      </c>
      <c r="N2449" s="5" t="str">
        <f t="shared" si="155"/>
        <v>December 2022</v>
      </c>
    </row>
    <row r="2450" spans="1:14" x14ac:dyDescent="0.25">
      <c r="A2450" s="1">
        <v>44918</v>
      </c>
      <c r="B2450" t="s">
        <v>4064</v>
      </c>
      <c r="C2450">
        <v>27</v>
      </c>
      <c r="D2450" t="s">
        <v>21</v>
      </c>
      <c r="E2450" t="s">
        <v>22</v>
      </c>
      <c r="F2450" t="s">
        <v>11</v>
      </c>
      <c r="G2450" t="s">
        <v>12</v>
      </c>
      <c r="H2450">
        <v>3346.19</v>
      </c>
      <c r="I2450" s="8" t="str" cm="1">
        <f t="array" ref="I2450">_xlfn.IFS(C2450&lt;=15,"Children and Young Adolescents", C2450&gt;64, "Seniors", TRUE, "Working Age")</f>
        <v>Working Age</v>
      </c>
      <c r="J2450" s="6">
        <f>VLOOKUP(F2450,Analysis!$F$1:$G$5,2,FALSE)</f>
        <v>2503.6022787783854</v>
      </c>
      <c r="K2450">
        <f t="shared" si="152"/>
        <v>3680.8</v>
      </c>
      <c r="L2450">
        <f t="shared" si="153"/>
        <v>3680.8100000000004</v>
      </c>
      <c r="M2450">
        <f t="shared" si="154"/>
        <v>3680.81</v>
      </c>
      <c r="N2450" s="5" t="str">
        <f t="shared" si="155"/>
        <v>December 2022</v>
      </c>
    </row>
    <row r="2451" spans="1:14" x14ac:dyDescent="0.25">
      <c r="A2451" s="1">
        <v>44919</v>
      </c>
      <c r="B2451" t="s">
        <v>1493</v>
      </c>
      <c r="C2451">
        <v>99</v>
      </c>
      <c r="D2451" t="s">
        <v>14</v>
      </c>
      <c r="E2451" t="s">
        <v>19</v>
      </c>
      <c r="F2451" t="s">
        <v>11</v>
      </c>
      <c r="G2451" t="s">
        <v>17</v>
      </c>
      <c r="H2451">
        <v>1268.2</v>
      </c>
      <c r="I2451" s="8" t="str" cm="1">
        <f t="array" ref="I2451">_xlfn.IFS(C2451&lt;=15,"Children and Young Adolescents", C2451&gt;64, "Seniors", TRUE, "Working Age")</f>
        <v>Seniors</v>
      </c>
      <c r="J2451" s="6">
        <f>VLOOKUP(F2451,Analysis!$F$1:$G$5,2,FALSE)</f>
        <v>2503.6022787783854</v>
      </c>
      <c r="K2451">
        <f t="shared" si="152"/>
        <v>1395.02</v>
      </c>
      <c r="L2451">
        <f t="shared" si="153"/>
        <v>1395.02</v>
      </c>
      <c r="M2451">
        <f t="shared" si="154"/>
        <v>1395.02</v>
      </c>
      <c r="N2451" s="5" t="str">
        <f t="shared" si="155"/>
        <v>December 2022</v>
      </c>
    </row>
    <row r="2452" spans="1:14" x14ac:dyDescent="0.25">
      <c r="A2452" s="1">
        <v>44919</v>
      </c>
      <c r="B2452" t="s">
        <v>4806</v>
      </c>
      <c r="C2452">
        <v>98</v>
      </c>
      <c r="D2452" t="s">
        <v>21</v>
      </c>
      <c r="E2452" t="s">
        <v>34</v>
      </c>
      <c r="F2452" t="s">
        <v>23</v>
      </c>
      <c r="G2452" t="s">
        <v>39</v>
      </c>
      <c r="H2452">
        <v>1877.23</v>
      </c>
      <c r="I2452" s="8" t="str" cm="1">
        <f t="array" ref="I2452">_xlfn.IFS(C2452&lt;=15,"Children and Young Adolescents", C2452&gt;64, "Seniors", TRUE, "Working Age")</f>
        <v>Seniors</v>
      </c>
      <c r="J2452" s="6">
        <f>VLOOKUP(F2452,Analysis!$F$1:$G$5,2,FALSE)</f>
        <v>2440.2966694490838</v>
      </c>
      <c r="K2452">
        <f t="shared" si="152"/>
        <v>2064.9499999999998</v>
      </c>
      <c r="L2452">
        <f t="shared" si="153"/>
        <v>2064.96</v>
      </c>
      <c r="M2452">
        <f t="shared" si="154"/>
        <v>2064.9499999999998</v>
      </c>
      <c r="N2452" s="5" t="str">
        <f t="shared" si="155"/>
        <v>December 2022</v>
      </c>
    </row>
    <row r="2453" spans="1:14" x14ac:dyDescent="0.25">
      <c r="A2453" s="1">
        <v>44919</v>
      </c>
      <c r="B2453" t="s">
        <v>4326</v>
      </c>
      <c r="C2453">
        <v>38</v>
      </c>
      <c r="D2453" t="s">
        <v>14</v>
      </c>
      <c r="E2453" t="s">
        <v>34</v>
      </c>
      <c r="F2453" t="s">
        <v>11</v>
      </c>
      <c r="G2453" t="s">
        <v>17</v>
      </c>
      <c r="H2453">
        <v>254.21</v>
      </c>
      <c r="I2453" s="8" t="str" cm="1">
        <f t="array" ref="I2453">_xlfn.IFS(C2453&lt;=15,"Children and Young Adolescents", C2453&gt;64, "Seniors", TRUE, "Working Age")</f>
        <v>Working Age</v>
      </c>
      <c r="J2453" s="6">
        <f>VLOOKUP(F2453,Analysis!$F$1:$G$5,2,FALSE)</f>
        <v>2503.6022787783854</v>
      </c>
      <c r="K2453">
        <f t="shared" si="152"/>
        <v>279.63</v>
      </c>
      <c r="L2453">
        <f t="shared" si="153"/>
        <v>279.64</v>
      </c>
      <c r="M2453">
        <f t="shared" si="154"/>
        <v>279.63</v>
      </c>
      <c r="N2453" s="5" t="str">
        <f t="shared" si="155"/>
        <v>December 2022</v>
      </c>
    </row>
    <row r="2454" spans="1:14" x14ac:dyDescent="0.25">
      <c r="A2454" s="1">
        <v>44919</v>
      </c>
      <c r="B2454" t="s">
        <v>2109</v>
      </c>
      <c r="C2454">
        <v>3</v>
      </c>
      <c r="D2454" t="s">
        <v>21</v>
      </c>
      <c r="E2454" t="s">
        <v>15</v>
      </c>
      <c r="F2454" t="s">
        <v>29</v>
      </c>
      <c r="G2454" t="s">
        <v>39</v>
      </c>
      <c r="H2454">
        <v>4154.1400000000003</v>
      </c>
      <c r="I2454" s="8" t="str" cm="1">
        <f t="array" ref="I2454">_xlfn.IFS(C2454&lt;=15,"Children and Young Adolescents", C2454&gt;64, "Seniors", TRUE, "Working Age")</f>
        <v>Children and Young Adolescents</v>
      </c>
      <c r="J2454" s="6">
        <f>VLOOKUP(F2454,Analysis!$F$1:$G$5,2,FALSE)</f>
        <v>2496.7676064256989</v>
      </c>
      <c r="K2454">
        <f t="shared" si="152"/>
        <v>4569.55</v>
      </c>
      <c r="L2454">
        <f t="shared" si="153"/>
        <v>4569.5600000000004</v>
      </c>
      <c r="M2454">
        <f t="shared" si="154"/>
        <v>4569.55</v>
      </c>
      <c r="N2454" s="5" t="str">
        <f t="shared" si="155"/>
        <v>December 2022</v>
      </c>
    </row>
    <row r="2455" spans="1:14" x14ac:dyDescent="0.25">
      <c r="A2455" s="1">
        <v>44920</v>
      </c>
      <c r="B2455" t="s">
        <v>4130</v>
      </c>
      <c r="C2455">
        <v>48</v>
      </c>
      <c r="D2455" t="s">
        <v>21</v>
      </c>
      <c r="E2455" t="s">
        <v>10</v>
      </c>
      <c r="F2455" t="s">
        <v>23</v>
      </c>
      <c r="G2455" t="s">
        <v>27</v>
      </c>
      <c r="H2455">
        <v>1687.86</v>
      </c>
      <c r="I2455" s="8" t="str" cm="1">
        <f t="array" ref="I2455">_xlfn.IFS(C2455&lt;=15,"Children and Young Adolescents", C2455&gt;64, "Seniors", TRUE, "Working Age")</f>
        <v>Working Age</v>
      </c>
      <c r="J2455" s="6">
        <f>VLOOKUP(F2455,Analysis!$F$1:$G$5,2,FALSE)</f>
        <v>2440.2966694490838</v>
      </c>
      <c r="K2455">
        <f t="shared" si="152"/>
        <v>1856.64</v>
      </c>
      <c r="L2455">
        <f t="shared" si="153"/>
        <v>1856.65</v>
      </c>
      <c r="M2455">
        <f t="shared" si="154"/>
        <v>1856.65</v>
      </c>
      <c r="N2455" s="5" t="str">
        <f t="shared" si="155"/>
        <v>December 2022</v>
      </c>
    </row>
    <row r="2456" spans="1:14" x14ac:dyDescent="0.25">
      <c r="A2456" s="1">
        <v>44920</v>
      </c>
      <c r="B2456" t="s">
        <v>2032</v>
      </c>
      <c r="C2456">
        <v>59</v>
      </c>
      <c r="D2456" t="s">
        <v>21</v>
      </c>
      <c r="E2456" t="s">
        <v>5032</v>
      </c>
      <c r="F2456" t="s">
        <v>16</v>
      </c>
      <c r="G2456" t="s">
        <v>39</v>
      </c>
      <c r="H2456">
        <v>2020.34</v>
      </c>
      <c r="I2456" s="8" t="str" cm="1">
        <f t="array" ref="I2456">_xlfn.IFS(C2456&lt;=15,"Children and Young Adolescents", C2456&gt;64, "Seniors", TRUE, "Working Age")</f>
        <v>Working Age</v>
      </c>
      <c r="J2456" s="6">
        <f>VLOOKUP(F2456,Analysis!$F$1:$G$5,2,FALSE)</f>
        <v>2509.1716796874912</v>
      </c>
      <c r="K2456">
        <f t="shared" si="152"/>
        <v>2222.37</v>
      </c>
      <c r="L2456">
        <f t="shared" si="153"/>
        <v>2222.38</v>
      </c>
      <c r="M2456">
        <f t="shared" si="154"/>
        <v>2222.37</v>
      </c>
      <c r="N2456" s="5" t="str">
        <f t="shared" si="155"/>
        <v>December 2022</v>
      </c>
    </row>
    <row r="2457" spans="1:14" x14ac:dyDescent="0.25">
      <c r="A2457" s="1">
        <v>44920</v>
      </c>
      <c r="B2457" t="s">
        <v>2150</v>
      </c>
      <c r="C2457">
        <v>66</v>
      </c>
      <c r="D2457" t="s">
        <v>21</v>
      </c>
      <c r="E2457" t="s">
        <v>22</v>
      </c>
      <c r="F2457" t="s">
        <v>16</v>
      </c>
      <c r="G2457" t="s">
        <v>5033</v>
      </c>
      <c r="H2457">
        <v>4223.45</v>
      </c>
      <c r="I2457" s="8" t="str" cm="1">
        <f t="array" ref="I2457">_xlfn.IFS(C2457&lt;=15,"Children and Young Adolescents", C2457&gt;64, "Seniors", TRUE, "Working Age")</f>
        <v>Seniors</v>
      </c>
      <c r="J2457" s="6">
        <f>VLOOKUP(F2457,Analysis!$F$1:$G$5,2,FALSE)</f>
        <v>2509.1716796874912</v>
      </c>
      <c r="K2457">
        <f t="shared" si="152"/>
        <v>4645.79</v>
      </c>
      <c r="L2457">
        <f t="shared" si="153"/>
        <v>4645.8</v>
      </c>
      <c r="M2457">
        <f t="shared" si="154"/>
        <v>4645.8</v>
      </c>
      <c r="N2457" s="5" t="str">
        <f t="shared" si="155"/>
        <v>December 2022</v>
      </c>
    </row>
    <row r="2458" spans="1:14" x14ac:dyDescent="0.25">
      <c r="A2458" s="1">
        <v>44921</v>
      </c>
      <c r="B2458" t="s">
        <v>2661</v>
      </c>
      <c r="C2458">
        <v>4</v>
      </c>
      <c r="D2458" t="s">
        <v>14</v>
      </c>
      <c r="E2458" t="s">
        <v>10</v>
      </c>
      <c r="F2458" t="s">
        <v>16</v>
      </c>
      <c r="G2458" t="s">
        <v>39</v>
      </c>
      <c r="H2458">
        <v>3500.16</v>
      </c>
      <c r="I2458" s="8" t="str" cm="1">
        <f t="array" ref="I2458">_xlfn.IFS(C2458&lt;=15,"Children and Young Adolescents", C2458&gt;64, "Seniors", TRUE, "Working Age")</f>
        <v>Children and Young Adolescents</v>
      </c>
      <c r="J2458" s="6">
        <f>VLOOKUP(F2458,Analysis!$F$1:$G$5,2,FALSE)</f>
        <v>2509.1716796874912</v>
      </c>
      <c r="K2458">
        <f t="shared" si="152"/>
        <v>3850.17</v>
      </c>
      <c r="L2458">
        <f t="shared" si="153"/>
        <v>3850.1800000000003</v>
      </c>
      <c r="M2458">
        <f t="shared" si="154"/>
        <v>3850.18</v>
      </c>
      <c r="N2458" s="5" t="str">
        <f t="shared" si="155"/>
        <v>December 2022</v>
      </c>
    </row>
    <row r="2459" spans="1:14" x14ac:dyDescent="0.25">
      <c r="A2459" s="1">
        <v>44921</v>
      </c>
      <c r="B2459" t="s">
        <v>776</v>
      </c>
      <c r="C2459">
        <v>69</v>
      </c>
      <c r="D2459" t="s">
        <v>9</v>
      </c>
      <c r="E2459" t="s">
        <v>22</v>
      </c>
      <c r="F2459" t="s">
        <v>11</v>
      </c>
      <c r="G2459" t="s">
        <v>12</v>
      </c>
      <c r="H2459">
        <v>871.19</v>
      </c>
      <c r="I2459" s="8" t="str" cm="1">
        <f t="array" ref="I2459">_xlfn.IFS(C2459&lt;=15,"Children and Young Adolescents", C2459&gt;64, "Seniors", TRUE, "Working Age")</f>
        <v>Seniors</v>
      </c>
      <c r="J2459" s="6">
        <f>VLOOKUP(F2459,Analysis!$F$1:$G$5,2,FALSE)</f>
        <v>2503.6022787783854</v>
      </c>
      <c r="K2459">
        <f t="shared" si="152"/>
        <v>958.3</v>
      </c>
      <c r="L2459">
        <f t="shared" si="153"/>
        <v>958.31</v>
      </c>
      <c r="M2459">
        <f t="shared" si="154"/>
        <v>958.31</v>
      </c>
      <c r="N2459" s="5" t="str">
        <f t="shared" si="155"/>
        <v>December 2022</v>
      </c>
    </row>
    <row r="2460" spans="1:14" x14ac:dyDescent="0.25">
      <c r="A2460" s="1">
        <v>44921</v>
      </c>
      <c r="B2460" t="s">
        <v>4808</v>
      </c>
      <c r="C2460">
        <v>37</v>
      </c>
      <c r="D2460" t="s">
        <v>9</v>
      </c>
      <c r="E2460" t="s">
        <v>34</v>
      </c>
      <c r="F2460" t="s">
        <v>29</v>
      </c>
      <c r="G2460" t="s">
        <v>5033</v>
      </c>
      <c r="H2460">
        <v>1937.55</v>
      </c>
      <c r="I2460" s="8" t="str" cm="1">
        <f t="array" ref="I2460">_xlfn.IFS(C2460&lt;=15,"Children and Young Adolescents", C2460&gt;64, "Seniors", TRUE, "Working Age")</f>
        <v>Working Age</v>
      </c>
      <c r="J2460" s="6">
        <f>VLOOKUP(F2460,Analysis!$F$1:$G$5,2,FALSE)</f>
        <v>2496.7676064256989</v>
      </c>
      <c r="K2460">
        <f t="shared" si="152"/>
        <v>2131.3000000000002</v>
      </c>
      <c r="L2460">
        <f t="shared" si="153"/>
        <v>2131.3100000000004</v>
      </c>
      <c r="M2460">
        <f t="shared" si="154"/>
        <v>2131.31</v>
      </c>
      <c r="N2460" s="5" t="str">
        <f t="shared" si="155"/>
        <v>December 2022</v>
      </c>
    </row>
    <row r="2461" spans="1:14" x14ac:dyDescent="0.25">
      <c r="A2461" s="1">
        <v>44921</v>
      </c>
      <c r="B2461" t="s">
        <v>200</v>
      </c>
      <c r="C2461">
        <v>87</v>
      </c>
      <c r="D2461" t="s">
        <v>14</v>
      </c>
      <c r="E2461" t="s">
        <v>10</v>
      </c>
      <c r="F2461" t="s">
        <v>29</v>
      </c>
      <c r="G2461" t="s">
        <v>5033</v>
      </c>
      <c r="H2461">
        <v>1295.5899999999999</v>
      </c>
      <c r="I2461" s="8" t="str" cm="1">
        <f t="array" ref="I2461">_xlfn.IFS(C2461&lt;=15,"Children and Young Adolescents", C2461&gt;64, "Seniors", TRUE, "Working Age")</f>
        <v>Seniors</v>
      </c>
      <c r="J2461" s="6">
        <f>VLOOKUP(F2461,Analysis!$F$1:$G$5,2,FALSE)</f>
        <v>2496.7676064256989</v>
      </c>
      <c r="K2461">
        <f t="shared" si="152"/>
        <v>1425.14</v>
      </c>
      <c r="L2461">
        <f t="shared" si="153"/>
        <v>1425.15</v>
      </c>
      <c r="M2461">
        <f t="shared" si="154"/>
        <v>1425.15</v>
      </c>
      <c r="N2461" s="5" t="str">
        <f t="shared" si="155"/>
        <v>December 2022</v>
      </c>
    </row>
    <row r="2462" spans="1:14" x14ac:dyDescent="0.25">
      <c r="A2462" s="1">
        <v>44921</v>
      </c>
      <c r="B2462" t="s">
        <v>3324</v>
      </c>
      <c r="C2462">
        <v>6</v>
      </c>
      <c r="D2462" t="s">
        <v>14</v>
      </c>
      <c r="E2462" t="s">
        <v>25</v>
      </c>
      <c r="F2462" t="s">
        <v>23</v>
      </c>
      <c r="G2462" t="s">
        <v>27</v>
      </c>
      <c r="H2462">
        <v>1380.24</v>
      </c>
      <c r="I2462" s="8" t="str" cm="1">
        <f t="array" ref="I2462">_xlfn.IFS(C2462&lt;=15,"Children and Young Adolescents", C2462&gt;64, "Seniors", TRUE, "Working Age")</f>
        <v>Children and Young Adolescents</v>
      </c>
      <c r="J2462" s="6">
        <f>VLOOKUP(F2462,Analysis!$F$1:$G$5,2,FALSE)</f>
        <v>2440.2966694490838</v>
      </c>
      <c r="K2462">
        <f t="shared" si="152"/>
        <v>1518.26</v>
      </c>
      <c r="L2462">
        <f t="shared" si="153"/>
        <v>1518.27</v>
      </c>
      <c r="M2462">
        <f t="shared" si="154"/>
        <v>1518.26</v>
      </c>
      <c r="N2462" s="5" t="str">
        <f t="shared" si="155"/>
        <v>December 2022</v>
      </c>
    </row>
    <row r="2463" spans="1:14" x14ac:dyDescent="0.25">
      <c r="A2463" s="1">
        <v>44922</v>
      </c>
      <c r="B2463" t="s">
        <v>2376</v>
      </c>
      <c r="C2463">
        <v>21</v>
      </c>
      <c r="D2463" t="s">
        <v>14</v>
      </c>
      <c r="E2463" t="s">
        <v>15</v>
      </c>
      <c r="F2463" t="s">
        <v>29</v>
      </c>
      <c r="G2463" t="s">
        <v>39</v>
      </c>
      <c r="H2463">
        <v>3031.56</v>
      </c>
      <c r="I2463" s="8" t="str" cm="1">
        <f t="array" ref="I2463">_xlfn.IFS(C2463&lt;=15,"Children and Young Adolescents", C2463&gt;64, "Seniors", TRUE, "Working Age")</f>
        <v>Working Age</v>
      </c>
      <c r="J2463" s="6">
        <f>VLOOKUP(F2463,Analysis!$F$1:$G$5,2,FALSE)</f>
        <v>2496.7676064256989</v>
      </c>
      <c r="K2463">
        <f t="shared" si="152"/>
        <v>3334.71</v>
      </c>
      <c r="L2463">
        <f t="shared" si="153"/>
        <v>3334.7200000000003</v>
      </c>
      <c r="M2463">
        <f t="shared" si="154"/>
        <v>3334.72</v>
      </c>
      <c r="N2463" s="5" t="str">
        <f t="shared" si="155"/>
        <v>December 2022</v>
      </c>
    </row>
    <row r="2464" spans="1:14" x14ac:dyDescent="0.25">
      <c r="A2464" s="1">
        <v>44922</v>
      </c>
      <c r="B2464" t="s">
        <v>841</v>
      </c>
      <c r="C2464">
        <v>20</v>
      </c>
      <c r="D2464" t="s">
        <v>9</v>
      </c>
      <c r="E2464" t="s">
        <v>22</v>
      </c>
      <c r="F2464" t="s">
        <v>29</v>
      </c>
      <c r="G2464" t="s">
        <v>17</v>
      </c>
      <c r="H2464">
        <v>3058.5</v>
      </c>
      <c r="I2464" s="8" t="str" cm="1">
        <f t="array" ref="I2464">_xlfn.IFS(C2464&lt;=15,"Children and Young Adolescents", C2464&gt;64, "Seniors", TRUE, "Working Age")</f>
        <v>Working Age</v>
      </c>
      <c r="J2464" s="6">
        <f>VLOOKUP(F2464,Analysis!$F$1:$G$5,2,FALSE)</f>
        <v>2496.7676064256989</v>
      </c>
      <c r="K2464">
        <f t="shared" si="152"/>
        <v>3364.35</v>
      </c>
      <c r="L2464">
        <f t="shared" si="153"/>
        <v>3364.35</v>
      </c>
      <c r="M2464">
        <f t="shared" si="154"/>
        <v>3364.35</v>
      </c>
      <c r="N2464" s="5" t="str">
        <f t="shared" si="155"/>
        <v>December 2022</v>
      </c>
    </row>
    <row r="2465" spans="1:14" x14ac:dyDescent="0.25">
      <c r="A2465" s="1">
        <v>44922</v>
      </c>
      <c r="B2465" t="s">
        <v>48</v>
      </c>
      <c r="C2465">
        <v>44</v>
      </c>
      <c r="D2465" t="s">
        <v>21</v>
      </c>
      <c r="E2465" t="s">
        <v>32</v>
      </c>
      <c r="F2465" t="s">
        <v>29</v>
      </c>
      <c r="G2465" t="s">
        <v>27</v>
      </c>
      <c r="H2465">
        <v>4277.79</v>
      </c>
      <c r="I2465" s="8" t="str" cm="1">
        <f t="array" ref="I2465">_xlfn.IFS(C2465&lt;=15,"Children and Young Adolescents", C2465&gt;64, "Seniors", TRUE, "Working Age")</f>
        <v>Working Age</v>
      </c>
      <c r="J2465" s="6">
        <f>VLOOKUP(F2465,Analysis!$F$1:$G$5,2,FALSE)</f>
        <v>2496.7676064256989</v>
      </c>
      <c r="K2465">
        <f t="shared" si="152"/>
        <v>4705.5600000000004</v>
      </c>
      <c r="L2465">
        <f t="shared" si="153"/>
        <v>4705.5700000000006</v>
      </c>
      <c r="M2465">
        <f t="shared" si="154"/>
        <v>4705.57</v>
      </c>
      <c r="N2465" s="5" t="str">
        <f t="shared" si="155"/>
        <v>December 2022</v>
      </c>
    </row>
    <row r="2466" spans="1:14" x14ac:dyDescent="0.25">
      <c r="A2466" s="1">
        <v>44922</v>
      </c>
      <c r="B2466" t="s">
        <v>2160</v>
      </c>
      <c r="C2466">
        <v>62</v>
      </c>
      <c r="D2466" t="s">
        <v>14</v>
      </c>
      <c r="E2466" t="s">
        <v>15</v>
      </c>
      <c r="F2466" t="s">
        <v>23</v>
      </c>
      <c r="G2466" t="s">
        <v>12</v>
      </c>
      <c r="H2466">
        <v>714.7</v>
      </c>
      <c r="I2466" s="8" t="str" cm="1">
        <f t="array" ref="I2466">_xlfn.IFS(C2466&lt;=15,"Children and Young Adolescents", C2466&gt;64, "Seniors", TRUE, "Working Age")</f>
        <v>Working Age</v>
      </c>
      <c r="J2466" s="6">
        <f>VLOOKUP(F2466,Analysis!$F$1:$G$5,2,FALSE)</f>
        <v>2440.2966694490838</v>
      </c>
      <c r="K2466">
        <f t="shared" si="152"/>
        <v>786.17</v>
      </c>
      <c r="L2466">
        <f t="shared" si="153"/>
        <v>786.17</v>
      </c>
      <c r="M2466">
        <f t="shared" si="154"/>
        <v>786.17</v>
      </c>
      <c r="N2466" s="5" t="str">
        <f t="shared" si="155"/>
        <v>December 2022</v>
      </c>
    </row>
    <row r="2467" spans="1:14" x14ac:dyDescent="0.25">
      <c r="A2467" s="1">
        <v>44922</v>
      </c>
      <c r="B2467" t="s">
        <v>146</v>
      </c>
      <c r="C2467">
        <v>69</v>
      </c>
      <c r="D2467" t="s">
        <v>21</v>
      </c>
      <c r="E2467" t="s">
        <v>32</v>
      </c>
      <c r="F2467" t="s">
        <v>11</v>
      </c>
      <c r="G2467" t="s">
        <v>12</v>
      </c>
      <c r="H2467">
        <v>2921.46</v>
      </c>
      <c r="I2467" s="8" t="str" cm="1">
        <f t="array" ref="I2467">_xlfn.IFS(C2467&lt;=15,"Children and Young Adolescents", C2467&gt;64, "Seniors", TRUE, "Working Age")</f>
        <v>Seniors</v>
      </c>
      <c r="J2467" s="6">
        <f>VLOOKUP(F2467,Analysis!$F$1:$G$5,2,FALSE)</f>
        <v>2503.6022787783854</v>
      </c>
      <c r="K2467">
        <f t="shared" si="152"/>
        <v>3213.6</v>
      </c>
      <c r="L2467">
        <f t="shared" si="153"/>
        <v>3213.61</v>
      </c>
      <c r="M2467">
        <f t="shared" si="154"/>
        <v>3213.61</v>
      </c>
      <c r="N2467" s="5" t="str">
        <f t="shared" si="155"/>
        <v>December 2022</v>
      </c>
    </row>
    <row r="2468" spans="1:14" x14ac:dyDescent="0.25">
      <c r="A2468" s="1">
        <v>44923</v>
      </c>
      <c r="B2468" t="s">
        <v>5028</v>
      </c>
      <c r="C2468">
        <v>92</v>
      </c>
      <c r="D2468" t="s">
        <v>21</v>
      </c>
      <c r="E2468" t="s">
        <v>15</v>
      </c>
      <c r="F2468" t="s">
        <v>29</v>
      </c>
      <c r="G2468" t="s">
        <v>36</v>
      </c>
      <c r="H2468">
        <v>3491.43</v>
      </c>
      <c r="I2468" s="8" t="str" cm="1">
        <f t="array" ref="I2468">_xlfn.IFS(C2468&lt;=15,"Children and Young Adolescents", C2468&gt;64, "Seniors", TRUE, "Working Age")</f>
        <v>Seniors</v>
      </c>
      <c r="J2468" s="6">
        <f>VLOOKUP(F2468,Analysis!$F$1:$G$5,2,FALSE)</f>
        <v>2496.7676064256989</v>
      </c>
      <c r="K2468">
        <f t="shared" si="152"/>
        <v>3840.57</v>
      </c>
      <c r="L2468">
        <f t="shared" si="153"/>
        <v>3840.5800000000004</v>
      </c>
      <c r="M2468">
        <f t="shared" si="154"/>
        <v>3840.57</v>
      </c>
      <c r="N2468" s="5" t="str">
        <f t="shared" si="155"/>
        <v>December 2022</v>
      </c>
    </row>
    <row r="2469" spans="1:14" x14ac:dyDescent="0.25">
      <c r="A2469" s="1">
        <v>44923</v>
      </c>
      <c r="B2469" t="s">
        <v>4239</v>
      </c>
      <c r="C2469">
        <v>19</v>
      </c>
      <c r="D2469" t="s">
        <v>14</v>
      </c>
      <c r="E2469" t="s">
        <v>34</v>
      </c>
      <c r="F2469" t="s">
        <v>16</v>
      </c>
      <c r="G2469" t="s">
        <v>27</v>
      </c>
      <c r="H2469">
        <v>727.23</v>
      </c>
      <c r="I2469" s="8" t="str" cm="1">
        <f t="array" ref="I2469">_xlfn.IFS(C2469&lt;=15,"Children and Young Adolescents", C2469&gt;64, "Seniors", TRUE, "Working Age")</f>
        <v>Working Age</v>
      </c>
      <c r="J2469" s="6">
        <f>VLOOKUP(F2469,Analysis!$F$1:$G$5,2,FALSE)</f>
        <v>2509.1716796874912</v>
      </c>
      <c r="K2469">
        <f t="shared" si="152"/>
        <v>799.95</v>
      </c>
      <c r="L2469">
        <f t="shared" si="153"/>
        <v>799.96</v>
      </c>
      <c r="M2469">
        <f t="shared" si="154"/>
        <v>799.95</v>
      </c>
      <c r="N2469" s="5" t="str">
        <f t="shared" si="155"/>
        <v>December 2022</v>
      </c>
    </row>
    <row r="2470" spans="1:14" x14ac:dyDescent="0.25">
      <c r="A2470" s="1">
        <v>44923</v>
      </c>
      <c r="B2470" t="s">
        <v>1888</v>
      </c>
      <c r="C2470">
        <v>42</v>
      </c>
      <c r="D2470" t="s">
        <v>21</v>
      </c>
      <c r="E2470" t="s">
        <v>15</v>
      </c>
      <c r="F2470" t="s">
        <v>29</v>
      </c>
      <c r="G2470" t="s">
        <v>12</v>
      </c>
      <c r="H2470">
        <v>2096.5500000000002</v>
      </c>
      <c r="I2470" s="8" t="str" cm="1">
        <f t="array" ref="I2470">_xlfn.IFS(C2470&lt;=15,"Children and Young Adolescents", C2470&gt;64, "Seniors", TRUE, "Working Age")</f>
        <v>Working Age</v>
      </c>
      <c r="J2470" s="6">
        <f>VLOOKUP(F2470,Analysis!$F$1:$G$5,2,FALSE)</f>
        <v>2496.7676064256989</v>
      </c>
      <c r="K2470">
        <f t="shared" si="152"/>
        <v>2306.1999999999998</v>
      </c>
      <c r="L2470">
        <f t="shared" si="153"/>
        <v>2306.21</v>
      </c>
      <c r="M2470">
        <f t="shared" si="154"/>
        <v>2306.21</v>
      </c>
      <c r="N2470" s="5" t="str">
        <f t="shared" si="155"/>
        <v>December 2022</v>
      </c>
    </row>
    <row r="2471" spans="1:14" x14ac:dyDescent="0.25">
      <c r="A2471" s="1">
        <v>44923</v>
      </c>
      <c r="B2471" t="s">
        <v>2547</v>
      </c>
      <c r="C2471">
        <v>73</v>
      </c>
      <c r="D2471" t="s">
        <v>9</v>
      </c>
      <c r="E2471" t="s">
        <v>19</v>
      </c>
      <c r="F2471" t="s">
        <v>11</v>
      </c>
      <c r="G2471" t="s">
        <v>36</v>
      </c>
      <c r="H2471">
        <v>857.41</v>
      </c>
      <c r="I2471" s="8" t="str" cm="1">
        <f t="array" ref="I2471">_xlfn.IFS(C2471&lt;=15,"Children and Young Adolescents", C2471&gt;64, "Seniors", TRUE, "Working Age")</f>
        <v>Seniors</v>
      </c>
      <c r="J2471" s="6">
        <f>VLOOKUP(F2471,Analysis!$F$1:$G$5,2,FALSE)</f>
        <v>2503.6022787783854</v>
      </c>
      <c r="K2471">
        <f t="shared" si="152"/>
        <v>943.15</v>
      </c>
      <c r="L2471">
        <f t="shared" si="153"/>
        <v>943.16</v>
      </c>
      <c r="M2471">
        <f t="shared" si="154"/>
        <v>943.15</v>
      </c>
      <c r="N2471" s="5" t="str">
        <f t="shared" si="155"/>
        <v>December 2022</v>
      </c>
    </row>
    <row r="2472" spans="1:14" x14ac:dyDescent="0.25">
      <c r="A2472" s="1">
        <v>44924</v>
      </c>
      <c r="B2472" t="s">
        <v>2524</v>
      </c>
      <c r="C2472">
        <v>98</v>
      </c>
      <c r="D2472" t="s">
        <v>21</v>
      </c>
      <c r="E2472" t="s">
        <v>10</v>
      </c>
      <c r="F2472" t="s">
        <v>23</v>
      </c>
      <c r="G2472" t="s">
        <v>17</v>
      </c>
      <c r="H2472">
        <v>1623.23</v>
      </c>
      <c r="I2472" s="8" t="str" cm="1">
        <f t="array" ref="I2472">_xlfn.IFS(C2472&lt;=15,"Children and Young Adolescents", C2472&gt;64, "Seniors", TRUE, "Working Age")</f>
        <v>Seniors</v>
      </c>
      <c r="J2472" s="6">
        <f>VLOOKUP(F2472,Analysis!$F$1:$G$5,2,FALSE)</f>
        <v>2440.2966694490838</v>
      </c>
      <c r="K2472">
        <f t="shared" si="152"/>
        <v>1785.55</v>
      </c>
      <c r="L2472">
        <f t="shared" si="153"/>
        <v>1785.56</v>
      </c>
      <c r="M2472">
        <f t="shared" si="154"/>
        <v>1785.55</v>
      </c>
      <c r="N2472" s="5" t="str">
        <f t="shared" si="155"/>
        <v>December 2022</v>
      </c>
    </row>
    <row r="2473" spans="1:14" x14ac:dyDescent="0.25">
      <c r="A2473" s="1">
        <v>44924</v>
      </c>
      <c r="B2473" t="s">
        <v>3039</v>
      </c>
      <c r="C2473">
        <v>50</v>
      </c>
      <c r="D2473" t="s">
        <v>21</v>
      </c>
      <c r="E2473" t="s">
        <v>34</v>
      </c>
      <c r="F2473" t="s">
        <v>11</v>
      </c>
      <c r="G2473" t="s">
        <v>12</v>
      </c>
      <c r="H2473">
        <v>3832.71</v>
      </c>
      <c r="I2473" s="8" t="str" cm="1">
        <f t="array" ref="I2473">_xlfn.IFS(C2473&lt;=15,"Children and Young Adolescents", C2473&gt;64, "Seniors", TRUE, "Working Age")</f>
        <v>Working Age</v>
      </c>
      <c r="J2473" s="6">
        <f>VLOOKUP(F2473,Analysis!$F$1:$G$5,2,FALSE)</f>
        <v>2503.6022787783854</v>
      </c>
      <c r="K2473">
        <f t="shared" si="152"/>
        <v>4215.9799999999996</v>
      </c>
      <c r="L2473">
        <f t="shared" si="153"/>
        <v>4215.99</v>
      </c>
      <c r="M2473">
        <f t="shared" si="154"/>
        <v>4215.9799999999996</v>
      </c>
      <c r="N2473" s="5" t="str">
        <f t="shared" si="155"/>
        <v>December 2022</v>
      </c>
    </row>
    <row r="2474" spans="1:14" x14ac:dyDescent="0.25">
      <c r="A2474" s="1">
        <v>44924</v>
      </c>
      <c r="B2474" t="s">
        <v>1278</v>
      </c>
      <c r="C2474">
        <v>33</v>
      </c>
      <c r="D2474" t="s">
        <v>21</v>
      </c>
      <c r="E2474" t="s">
        <v>10</v>
      </c>
      <c r="F2474" t="s">
        <v>16</v>
      </c>
      <c r="G2474" t="s">
        <v>5033</v>
      </c>
      <c r="H2474">
        <v>1878.08</v>
      </c>
      <c r="I2474" s="8" t="str" cm="1">
        <f t="array" ref="I2474">_xlfn.IFS(C2474&lt;=15,"Children and Young Adolescents", C2474&gt;64, "Seniors", TRUE, "Working Age")</f>
        <v>Working Age</v>
      </c>
      <c r="J2474" s="6">
        <f>VLOOKUP(F2474,Analysis!$F$1:$G$5,2,FALSE)</f>
        <v>2509.1716796874912</v>
      </c>
      <c r="K2474">
        <f t="shared" si="152"/>
        <v>2065.88</v>
      </c>
      <c r="L2474">
        <f t="shared" si="153"/>
        <v>2065.8900000000003</v>
      </c>
      <c r="M2474">
        <f t="shared" si="154"/>
        <v>2065.89</v>
      </c>
      <c r="N2474" s="5" t="str">
        <f t="shared" si="155"/>
        <v>December 2022</v>
      </c>
    </row>
    <row r="2475" spans="1:14" x14ac:dyDescent="0.25">
      <c r="A2475" s="1">
        <v>44924</v>
      </c>
      <c r="B2475" t="s">
        <v>3850</v>
      </c>
      <c r="C2475">
        <v>25</v>
      </c>
      <c r="D2475" t="s">
        <v>21</v>
      </c>
      <c r="E2475" t="s">
        <v>25</v>
      </c>
      <c r="F2475" t="s">
        <v>11</v>
      </c>
      <c r="G2475" t="s">
        <v>17</v>
      </c>
      <c r="H2475">
        <v>1143.02</v>
      </c>
      <c r="I2475" s="8" t="str" cm="1">
        <f t="array" ref="I2475">_xlfn.IFS(C2475&lt;=15,"Children and Young Adolescents", C2475&gt;64, "Seniors", TRUE, "Working Age")</f>
        <v>Working Age</v>
      </c>
      <c r="J2475" s="6">
        <f>VLOOKUP(F2475,Analysis!$F$1:$G$5,2,FALSE)</f>
        <v>2503.6022787783854</v>
      </c>
      <c r="K2475">
        <f t="shared" si="152"/>
        <v>1257.32</v>
      </c>
      <c r="L2475">
        <f t="shared" si="153"/>
        <v>1257.33</v>
      </c>
      <c r="M2475">
        <f t="shared" si="154"/>
        <v>1257.32</v>
      </c>
      <c r="N2475" s="5" t="str">
        <f t="shared" si="155"/>
        <v>December 2022</v>
      </c>
    </row>
    <row r="2476" spans="1:14" x14ac:dyDescent="0.25">
      <c r="A2476" s="1">
        <v>44924</v>
      </c>
      <c r="B2476" t="s">
        <v>3731</v>
      </c>
      <c r="C2476">
        <v>42</v>
      </c>
      <c r="D2476" t="s">
        <v>21</v>
      </c>
      <c r="E2476" t="s">
        <v>22</v>
      </c>
      <c r="F2476" t="s">
        <v>11</v>
      </c>
      <c r="G2476" t="s">
        <v>12</v>
      </c>
      <c r="H2476">
        <v>3345.16</v>
      </c>
      <c r="I2476" s="8" t="str" cm="1">
        <f t="array" ref="I2476">_xlfn.IFS(C2476&lt;=15,"Children and Young Adolescents", C2476&gt;64, "Seniors", TRUE, "Working Age")</f>
        <v>Working Age</v>
      </c>
      <c r="J2476" s="6">
        <f>VLOOKUP(F2476,Analysis!$F$1:$G$5,2,FALSE)</f>
        <v>2503.6022787783854</v>
      </c>
      <c r="K2476">
        <f t="shared" si="152"/>
        <v>3679.67</v>
      </c>
      <c r="L2476">
        <f t="shared" si="153"/>
        <v>3679.6800000000003</v>
      </c>
      <c r="M2476">
        <f t="shared" si="154"/>
        <v>3679.68</v>
      </c>
      <c r="N2476" s="5" t="str">
        <f t="shared" si="155"/>
        <v>December 2022</v>
      </c>
    </row>
    <row r="2477" spans="1:14" x14ac:dyDescent="0.25">
      <c r="A2477" s="1">
        <v>44924</v>
      </c>
      <c r="B2477" t="s">
        <v>988</v>
      </c>
      <c r="C2477">
        <v>16</v>
      </c>
      <c r="D2477" t="s">
        <v>9</v>
      </c>
      <c r="E2477" t="s">
        <v>10</v>
      </c>
      <c r="F2477" t="s">
        <v>29</v>
      </c>
      <c r="G2477" t="s">
        <v>39</v>
      </c>
      <c r="H2477">
        <v>2252.15</v>
      </c>
      <c r="I2477" s="8" t="str" cm="1">
        <f t="array" ref="I2477">_xlfn.IFS(C2477&lt;=15,"Children and Young Adolescents", C2477&gt;64, "Seniors", TRUE, "Working Age")</f>
        <v>Working Age</v>
      </c>
      <c r="J2477" s="6">
        <f>VLOOKUP(F2477,Analysis!$F$1:$G$5,2,FALSE)</f>
        <v>2496.7676064256989</v>
      </c>
      <c r="K2477">
        <f t="shared" si="152"/>
        <v>2477.36</v>
      </c>
      <c r="L2477">
        <f t="shared" si="153"/>
        <v>2477.3700000000003</v>
      </c>
      <c r="M2477">
        <f t="shared" si="154"/>
        <v>2477.37</v>
      </c>
      <c r="N2477" s="5" t="str">
        <f t="shared" si="155"/>
        <v>December 2022</v>
      </c>
    </row>
    <row r="2478" spans="1:14" x14ac:dyDescent="0.25">
      <c r="A2478" s="1">
        <v>44924</v>
      </c>
      <c r="B2478" t="s">
        <v>1221</v>
      </c>
      <c r="C2478">
        <v>36</v>
      </c>
      <c r="D2478" t="s">
        <v>14</v>
      </c>
      <c r="E2478" t="s">
        <v>19</v>
      </c>
      <c r="F2478" t="s">
        <v>11</v>
      </c>
      <c r="G2478" t="s">
        <v>36</v>
      </c>
      <c r="H2478">
        <v>2238.2199999999998</v>
      </c>
      <c r="I2478" s="8" t="str" cm="1">
        <f t="array" ref="I2478">_xlfn.IFS(C2478&lt;=15,"Children and Young Adolescents", C2478&gt;64, "Seniors", TRUE, "Working Age")</f>
        <v>Working Age</v>
      </c>
      <c r="J2478" s="6">
        <f>VLOOKUP(F2478,Analysis!$F$1:$G$5,2,FALSE)</f>
        <v>2503.6022787783854</v>
      </c>
      <c r="K2478">
        <f t="shared" si="152"/>
        <v>2462.04</v>
      </c>
      <c r="L2478">
        <f t="shared" si="153"/>
        <v>2462.0500000000002</v>
      </c>
      <c r="M2478">
        <f t="shared" si="154"/>
        <v>2462.04</v>
      </c>
      <c r="N2478" s="5" t="str">
        <f t="shared" si="155"/>
        <v>December 2022</v>
      </c>
    </row>
    <row r="2479" spans="1:14" x14ac:dyDescent="0.25">
      <c r="A2479" s="1">
        <v>44924</v>
      </c>
      <c r="B2479" t="s">
        <v>3797</v>
      </c>
      <c r="C2479">
        <v>19</v>
      </c>
      <c r="D2479" t="s">
        <v>21</v>
      </c>
      <c r="E2479" t="s">
        <v>10</v>
      </c>
      <c r="F2479" t="s">
        <v>11</v>
      </c>
      <c r="G2479" t="s">
        <v>17</v>
      </c>
      <c r="H2479">
        <v>2160.2199999999998</v>
      </c>
      <c r="I2479" s="8" t="str" cm="1">
        <f t="array" ref="I2479">_xlfn.IFS(C2479&lt;=15,"Children and Young Adolescents", C2479&gt;64, "Seniors", TRUE, "Working Age")</f>
        <v>Working Age</v>
      </c>
      <c r="J2479" s="6">
        <f>VLOOKUP(F2479,Analysis!$F$1:$G$5,2,FALSE)</f>
        <v>2503.6022787783854</v>
      </c>
      <c r="K2479">
        <f t="shared" si="152"/>
        <v>2376.2399999999998</v>
      </c>
      <c r="L2479">
        <f t="shared" si="153"/>
        <v>2376.25</v>
      </c>
      <c r="M2479">
        <f t="shared" si="154"/>
        <v>2376.2399999999998</v>
      </c>
      <c r="N2479" s="5" t="str">
        <f t="shared" si="155"/>
        <v>December 2022</v>
      </c>
    </row>
    <row r="2480" spans="1:14" x14ac:dyDescent="0.25">
      <c r="A2480" s="1">
        <v>44924</v>
      </c>
      <c r="B2480" t="s">
        <v>4671</v>
      </c>
      <c r="C2480">
        <v>57</v>
      </c>
      <c r="D2480" t="s">
        <v>21</v>
      </c>
      <c r="E2480" t="s">
        <v>32</v>
      </c>
      <c r="F2480" t="s">
        <v>29</v>
      </c>
      <c r="G2480" t="s">
        <v>39</v>
      </c>
      <c r="H2480">
        <v>2140.2399999999998</v>
      </c>
      <c r="I2480" s="8" t="str" cm="1">
        <f t="array" ref="I2480">_xlfn.IFS(C2480&lt;=15,"Children and Young Adolescents", C2480&gt;64, "Seniors", TRUE, "Working Age")</f>
        <v>Working Age</v>
      </c>
      <c r="J2480" s="6">
        <f>VLOOKUP(F2480,Analysis!$F$1:$G$5,2,FALSE)</f>
        <v>2496.7676064256989</v>
      </c>
      <c r="K2480">
        <f t="shared" si="152"/>
        <v>2354.2600000000002</v>
      </c>
      <c r="L2480">
        <f t="shared" si="153"/>
        <v>2354.2700000000004</v>
      </c>
      <c r="M2480">
        <f t="shared" si="154"/>
        <v>2354.2600000000002</v>
      </c>
      <c r="N2480" s="5" t="str">
        <f t="shared" si="155"/>
        <v>December 2022</v>
      </c>
    </row>
    <row r="2481" spans="1:14" x14ac:dyDescent="0.25">
      <c r="A2481" s="1">
        <v>44924</v>
      </c>
      <c r="B2481" t="s">
        <v>4751</v>
      </c>
      <c r="C2481">
        <v>49</v>
      </c>
      <c r="D2481" t="s">
        <v>14</v>
      </c>
      <c r="E2481" t="s">
        <v>25</v>
      </c>
      <c r="F2481" t="s">
        <v>29</v>
      </c>
      <c r="G2481" t="s">
        <v>12</v>
      </c>
      <c r="H2481">
        <v>798.41</v>
      </c>
      <c r="I2481" s="8" t="str" cm="1">
        <f t="array" ref="I2481">_xlfn.IFS(C2481&lt;=15,"Children and Young Adolescents", C2481&gt;64, "Seniors", TRUE, "Working Age")</f>
        <v>Working Age</v>
      </c>
      <c r="J2481" s="6">
        <f>VLOOKUP(F2481,Analysis!$F$1:$G$5,2,FALSE)</f>
        <v>2496.7676064256989</v>
      </c>
      <c r="K2481">
        <f t="shared" si="152"/>
        <v>878.25</v>
      </c>
      <c r="L2481">
        <f t="shared" si="153"/>
        <v>878.26</v>
      </c>
      <c r="M2481">
        <f t="shared" si="154"/>
        <v>878.25</v>
      </c>
      <c r="N2481" s="5" t="str">
        <f t="shared" si="155"/>
        <v>December 2022</v>
      </c>
    </row>
    <row r="2482" spans="1:14" x14ac:dyDescent="0.25">
      <c r="A2482" s="1">
        <v>44925</v>
      </c>
      <c r="B2482" t="s">
        <v>2135</v>
      </c>
      <c r="C2482">
        <v>98</v>
      </c>
      <c r="D2482" t="s">
        <v>21</v>
      </c>
      <c r="E2482" t="s">
        <v>10</v>
      </c>
      <c r="F2482" t="s">
        <v>29</v>
      </c>
      <c r="G2482" t="s">
        <v>39</v>
      </c>
      <c r="H2482">
        <v>1703.4</v>
      </c>
      <c r="I2482" s="8" t="str" cm="1">
        <f t="array" ref="I2482">_xlfn.IFS(C2482&lt;=15,"Children and Young Adolescents", C2482&gt;64, "Seniors", TRUE, "Working Age")</f>
        <v>Seniors</v>
      </c>
      <c r="J2482" s="6">
        <f>VLOOKUP(F2482,Analysis!$F$1:$G$5,2,FALSE)</f>
        <v>2496.7676064256989</v>
      </c>
      <c r="K2482">
        <f t="shared" si="152"/>
        <v>1873.74</v>
      </c>
      <c r="L2482">
        <f t="shared" si="153"/>
        <v>1873.74</v>
      </c>
      <c r="M2482">
        <f t="shared" si="154"/>
        <v>1873.74</v>
      </c>
      <c r="N2482" s="5" t="str">
        <f t="shared" si="155"/>
        <v>December 2022</v>
      </c>
    </row>
    <row r="2483" spans="1:14" x14ac:dyDescent="0.25">
      <c r="A2483" s="1">
        <v>44925</v>
      </c>
      <c r="B2483" t="s">
        <v>3879</v>
      </c>
      <c r="C2483">
        <v>0</v>
      </c>
      <c r="D2483" t="s">
        <v>14</v>
      </c>
      <c r="E2483" t="s">
        <v>25</v>
      </c>
      <c r="F2483" t="s">
        <v>16</v>
      </c>
      <c r="G2483" t="s">
        <v>17</v>
      </c>
      <c r="H2483">
        <v>776.67</v>
      </c>
      <c r="I2483" s="8" t="str" cm="1">
        <f t="array" ref="I2483">_xlfn.IFS(C2483&lt;=15,"Children and Young Adolescents", C2483&gt;64, "Seniors", TRUE, "Working Age")</f>
        <v>Children and Young Adolescents</v>
      </c>
      <c r="J2483" s="6">
        <f>VLOOKUP(F2483,Analysis!$F$1:$G$5,2,FALSE)</f>
        <v>2509.1716796874912</v>
      </c>
      <c r="K2483">
        <f t="shared" si="152"/>
        <v>854.33</v>
      </c>
      <c r="L2483">
        <f t="shared" si="153"/>
        <v>854.34</v>
      </c>
      <c r="M2483">
        <f t="shared" si="154"/>
        <v>854.34</v>
      </c>
      <c r="N2483" s="5" t="str">
        <f t="shared" si="155"/>
        <v>December 2022</v>
      </c>
    </row>
    <row r="2484" spans="1:14" x14ac:dyDescent="0.25">
      <c r="A2484" s="1">
        <v>44925</v>
      </c>
      <c r="B2484" t="s">
        <v>2166</v>
      </c>
      <c r="C2484">
        <v>49</v>
      </c>
      <c r="D2484" t="s">
        <v>21</v>
      </c>
      <c r="E2484" t="s">
        <v>25</v>
      </c>
      <c r="F2484" t="s">
        <v>23</v>
      </c>
      <c r="G2484" t="s">
        <v>17</v>
      </c>
      <c r="H2484">
        <v>2693.63</v>
      </c>
      <c r="I2484" s="8" t="str" cm="1">
        <f t="array" ref="I2484">_xlfn.IFS(C2484&lt;=15,"Children and Young Adolescents", C2484&gt;64, "Seniors", TRUE, "Working Age")</f>
        <v>Working Age</v>
      </c>
      <c r="J2484" s="6">
        <f>VLOOKUP(F2484,Analysis!$F$1:$G$5,2,FALSE)</f>
        <v>2440.2966694490838</v>
      </c>
      <c r="K2484">
        <f t="shared" si="152"/>
        <v>2962.99</v>
      </c>
      <c r="L2484">
        <f t="shared" si="153"/>
        <v>2963</v>
      </c>
      <c r="M2484">
        <f t="shared" si="154"/>
        <v>2962.99</v>
      </c>
      <c r="N2484" s="5" t="str">
        <f t="shared" si="155"/>
        <v>December 2022</v>
      </c>
    </row>
    <row r="2485" spans="1:14" x14ac:dyDescent="0.25">
      <c r="A2485" s="1">
        <v>44925</v>
      </c>
      <c r="B2485" t="s">
        <v>230</v>
      </c>
      <c r="C2485">
        <v>49</v>
      </c>
      <c r="D2485" t="s">
        <v>21</v>
      </c>
      <c r="E2485" t="s">
        <v>25</v>
      </c>
      <c r="F2485" t="s">
        <v>11</v>
      </c>
      <c r="G2485" t="s">
        <v>36</v>
      </c>
      <c r="H2485">
        <v>468.76</v>
      </c>
      <c r="I2485" s="8" t="str" cm="1">
        <f t="array" ref="I2485">_xlfn.IFS(C2485&lt;=15,"Children and Young Adolescents", C2485&gt;64, "Seniors", TRUE, "Working Age")</f>
        <v>Working Age</v>
      </c>
      <c r="J2485" s="6">
        <f>VLOOKUP(F2485,Analysis!$F$1:$G$5,2,FALSE)</f>
        <v>2503.6022787783854</v>
      </c>
      <c r="K2485">
        <f t="shared" si="152"/>
        <v>515.63</v>
      </c>
      <c r="L2485">
        <f t="shared" si="153"/>
        <v>515.64</v>
      </c>
      <c r="M2485">
        <f t="shared" si="154"/>
        <v>515.64</v>
      </c>
      <c r="N2485" s="5" t="str">
        <f t="shared" si="155"/>
        <v>December 2022</v>
      </c>
    </row>
    <row r="2486" spans="1:14" x14ac:dyDescent="0.25">
      <c r="A2486" s="1">
        <v>44925</v>
      </c>
      <c r="B2486" t="s">
        <v>1308</v>
      </c>
      <c r="C2486">
        <v>63</v>
      </c>
      <c r="D2486" t="s">
        <v>14</v>
      </c>
      <c r="E2486" t="s">
        <v>25</v>
      </c>
      <c r="F2486" t="s">
        <v>29</v>
      </c>
      <c r="G2486" t="s">
        <v>17</v>
      </c>
      <c r="H2486">
        <v>2969.76</v>
      </c>
      <c r="I2486" s="8" t="str" cm="1">
        <f t="array" ref="I2486">_xlfn.IFS(C2486&lt;=15,"Children and Young Adolescents", C2486&gt;64, "Seniors", TRUE, "Working Age")</f>
        <v>Working Age</v>
      </c>
      <c r="J2486" s="6">
        <f>VLOOKUP(F2486,Analysis!$F$1:$G$5,2,FALSE)</f>
        <v>2496.7676064256989</v>
      </c>
      <c r="K2486">
        <f t="shared" si="152"/>
        <v>3266.73</v>
      </c>
      <c r="L2486">
        <f t="shared" si="153"/>
        <v>3266.7400000000002</v>
      </c>
      <c r="M2486">
        <f t="shared" si="154"/>
        <v>3266.74</v>
      </c>
      <c r="N2486" s="5" t="str">
        <f t="shared" si="155"/>
        <v>December 2022</v>
      </c>
    </row>
    <row r="2487" spans="1:14" x14ac:dyDescent="0.25">
      <c r="A2487" s="1">
        <v>44925</v>
      </c>
      <c r="B2487" t="s">
        <v>586</v>
      </c>
      <c r="C2487">
        <v>66</v>
      </c>
      <c r="D2487" t="s">
        <v>9</v>
      </c>
      <c r="E2487" t="s">
        <v>10</v>
      </c>
      <c r="F2487" t="s">
        <v>29</v>
      </c>
      <c r="G2487" t="s">
        <v>36</v>
      </c>
      <c r="H2487">
        <v>2110.61</v>
      </c>
      <c r="I2487" s="8" t="str" cm="1">
        <f t="array" ref="I2487">_xlfn.IFS(C2487&lt;=15,"Children and Young Adolescents", C2487&gt;64, "Seniors", TRUE, "Working Age")</f>
        <v>Seniors</v>
      </c>
      <c r="J2487" s="6">
        <f>VLOOKUP(F2487,Analysis!$F$1:$G$5,2,FALSE)</f>
        <v>2496.7676064256989</v>
      </c>
      <c r="K2487">
        <f t="shared" si="152"/>
        <v>2321.67</v>
      </c>
      <c r="L2487">
        <f t="shared" si="153"/>
        <v>2321.6800000000003</v>
      </c>
      <c r="M2487">
        <f t="shared" si="154"/>
        <v>2321.67</v>
      </c>
      <c r="N2487" s="5" t="str">
        <f t="shared" si="155"/>
        <v>December 2022</v>
      </c>
    </row>
    <row r="2488" spans="1:14" x14ac:dyDescent="0.25">
      <c r="A2488" s="1">
        <v>44925</v>
      </c>
      <c r="B2488" t="s">
        <v>4977</v>
      </c>
      <c r="C2488">
        <v>63</v>
      </c>
      <c r="D2488" t="s">
        <v>21</v>
      </c>
      <c r="E2488" t="s">
        <v>15</v>
      </c>
      <c r="F2488" t="s">
        <v>29</v>
      </c>
      <c r="G2488" t="s">
        <v>39</v>
      </c>
      <c r="H2488">
        <v>4022.97</v>
      </c>
      <c r="I2488" s="8" t="str" cm="1">
        <f t="array" ref="I2488">_xlfn.IFS(C2488&lt;=15,"Children and Young Adolescents", C2488&gt;64, "Seniors", TRUE, "Working Age")</f>
        <v>Working Age</v>
      </c>
      <c r="J2488" s="6">
        <f>VLOOKUP(F2488,Analysis!$F$1:$G$5,2,FALSE)</f>
        <v>2496.7676064256989</v>
      </c>
      <c r="K2488">
        <f t="shared" si="152"/>
        <v>4425.26</v>
      </c>
      <c r="L2488">
        <f t="shared" si="153"/>
        <v>4425.2700000000004</v>
      </c>
      <c r="M2488">
        <f t="shared" si="154"/>
        <v>4425.2700000000004</v>
      </c>
      <c r="N2488" s="5" t="str">
        <f t="shared" si="155"/>
        <v>December 2022</v>
      </c>
    </row>
    <row r="2489" spans="1:14" x14ac:dyDescent="0.25">
      <c r="A2489" s="1">
        <v>44925</v>
      </c>
      <c r="B2489" t="s">
        <v>3122</v>
      </c>
      <c r="C2489">
        <v>16</v>
      </c>
      <c r="D2489" t="s">
        <v>9</v>
      </c>
      <c r="E2489" t="s">
        <v>22</v>
      </c>
      <c r="F2489" t="s">
        <v>29</v>
      </c>
      <c r="G2489" t="s">
        <v>36</v>
      </c>
      <c r="H2489">
        <v>301.27</v>
      </c>
      <c r="I2489" s="8" t="str" cm="1">
        <f t="array" ref="I2489">_xlfn.IFS(C2489&lt;=15,"Children and Young Adolescents", C2489&gt;64, "Seniors", TRUE, "Working Age")</f>
        <v>Working Age</v>
      </c>
      <c r="J2489" s="6">
        <f>VLOOKUP(F2489,Analysis!$F$1:$G$5,2,FALSE)</f>
        <v>2496.7676064256989</v>
      </c>
      <c r="K2489">
        <f t="shared" si="152"/>
        <v>331.39</v>
      </c>
      <c r="L2489">
        <f t="shared" si="153"/>
        <v>331.4</v>
      </c>
      <c r="M2489">
        <f t="shared" si="154"/>
        <v>331.4</v>
      </c>
      <c r="N2489" s="5" t="str">
        <f t="shared" si="155"/>
        <v>December 2022</v>
      </c>
    </row>
    <row r="2490" spans="1:14" x14ac:dyDescent="0.25">
      <c r="A2490" s="1">
        <v>44925</v>
      </c>
      <c r="B2490" t="s">
        <v>4556</v>
      </c>
      <c r="C2490">
        <v>7</v>
      </c>
      <c r="D2490" t="s">
        <v>21</v>
      </c>
      <c r="E2490" t="s">
        <v>10</v>
      </c>
      <c r="F2490" t="s">
        <v>11</v>
      </c>
      <c r="G2490" t="s">
        <v>17</v>
      </c>
      <c r="H2490">
        <v>4635.8100000000004</v>
      </c>
      <c r="I2490" s="8" t="str" cm="1">
        <f t="array" ref="I2490">_xlfn.IFS(C2490&lt;=15,"Children and Young Adolescents", C2490&gt;64, "Seniors", TRUE, "Working Age")</f>
        <v>Children and Young Adolescents</v>
      </c>
      <c r="J2490" s="6">
        <f>VLOOKUP(F2490,Analysis!$F$1:$G$5,2,FALSE)</f>
        <v>2503.6022787783854</v>
      </c>
      <c r="K2490">
        <f t="shared" si="152"/>
        <v>5099.3900000000003</v>
      </c>
      <c r="L2490">
        <f t="shared" si="153"/>
        <v>5099.4000000000005</v>
      </c>
      <c r="M2490">
        <f t="shared" si="154"/>
        <v>5099.3900000000003</v>
      </c>
      <c r="N2490" s="5" t="str">
        <f t="shared" si="155"/>
        <v>December 2022</v>
      </c>
    </row>
    <row r="2491" spans="1:14" x14ac:dyDescent="0.25">
      <c r="A2491" s="1">
        <v>44925</v>
      </c>
      <c r="B2491" t="s">
        <v>741</v>
      </c>
      <c r="C2491">
        <v>74</v>
      </c>
      <c r="D2491" t="s">
        <v>9</v>
      </c>
      <c r="E2491" t="s">
        <v>34</v>
      </c>
      <c r="F2491" t="s">
        <v>16</v>
      </c>
      <c r="G2491" t="s">
        <v>27</v>
      </c>
      <c r="H2491">
        <v>2833.13</v>
      </c>
      <c r="I2491" s="8" t="str" cm="1">
        <f t="array" ref="I2491">_xlfn.IFS(C2491&lt;=15,"Children and Young Adolescents", C2491&gt;64, "Seniors", TRUE, "Working Age")</f>
        <v>Seniors</v>
      </c>
      <c r="J2491" s="6">
        <f>VLOOKUP(F2491,Analysis!$F$1:$G$5,2,FALSE)</f>
        <v>2509.1716796874912</v>
      </c>
      <c r="K2491">
        <f t="shared" si="152"/>
        <v>3116.44</v>
      </c>
      <c r="L2491">
        <f t="shared" si="153"/>
        <v>3116.4500000000003</v>
      </c>
      <c r="M2491">
        <f t="shared" si="154"/>
        <v>3116.44</v>
      </c>
      <c r="N2491" s="5" t="str">
        <f t="shared" si="155"/>
        <v>December 2022</v>
      </c>
    </row>
    <row r="2492" spans="1:14" x14ac:dyDescent="0.25">
      <c r="A2492" s="1">
        <v>44925</v>
      </c>
      <c r="B2492" t="s">
        <v>4504</v>
      </c>
      <c r="C2492">
        <v>55</v>
      </c>
      <c r="D2492" t="s">
        <v>9</v>
      </c>
      <c r="E2492" t="s">
        <v>19</v>
      </c>
      <c r="F2492" t="s">
        <v>11</v>
      </c>
      <c r="G2492" t="s">
        <v>5033</v>
      </c>
      <c r="H2492">
        <v>4830.18</v>
      </c>
      <c r="I2492" s="8" t="str" cm="1">
        <f t="array" ref="I2492">_xlfn.IFS(C2492&lt;=15,"Children and Young Adolescents", C2492&gt;64, "Seniors", TRUE, "Working Age")</f>
        <v>Working Age</v>
      </c>
      <c r="J2492" s="6">
        <f>VLOOKUP(F2492,Analysis!$F$1:$G$5,2,FALSE)</f>
        <v>2503.6022787783854</v>
      </c>
      <c r="K2492">
        <f t="shared" si="152"/>
        <v>5313.19</v>
      </c>
      <c r="L2492">
        <f t="shared" si="153"/>
        <v>5313.2</v>
      </c>
      <c r="M2492">
        <f t="shared" si="154"/>
        <v>5313.2</v>
      </c>
      <c r="N2492" s="5" t="str">
        <f t="shared" si="155"/>
        <v>December 2022</v>
      </c>
    </row>
    <row r="2493" spans="1:14" x14ac:dyDescent="0.25">
      <c r="A2493" s="1">
        <v>44925</v>
      </c>
      <c r="B2493" t="s">
        <v>2154</v>
      </c>
      <c r="C2493">
        <v>43</v>
      </c>
      <c r="D2493" t="s">
        <v>21</v>
      </c>
      <c r="E2493" t="s">
        <v>25</v>
      </c>
      <c r="F2493" t="s">
        <v>11</v>
      </c>
      <c r="G2493" t="s">
        <v>27</v>
      </c>
      <c r="H2493">
        <v>4161.01</v>
      </c>
      <c r="I2493" s="8" t="str" cm="1">
        <f t="array" ref="I2493">_xlfn.IFS(C2493&lt;=15,"Children and Young Adolescents", C2493&gt;64, "Seniors", TRUE, "Working Age")</f>
        <v>Working Age</v>
      </c>
      <c r="J2493" s="6">
        <f>VLOOKUP(F2493,Analysis!$F$1:$G$5,2,FALSE)</f>
        <v>2503.6022787783854</v>
      </c>
      <c r="K2493">
        <f t="shared" si="152"/>
        <v>4577.1099999999997</v>
      </c>
      <c r="L2493">
        <f t="shared" si="153"/>
        <v>4577.12</v>
      </c>
      <c r="M2493">
        <f t="shared" si="154"/>
        <v>4577.1099999999997</v>
      </c>
      <c r="N2493" s="5" t="str">
        <f t="shared" si="155"/>
        <v>December 2022</v>
      </c>
    </row>
    <row r="2494" spans="1:14" x14ac:dyDescent="0.25">
      <c r="A2494" s="1">
        <v>44926</v>
      </c>
      <c r="B2494" t="s">
        <v>3569</v>
      </c>
      <c r="C2494">
        <v>62</v>
      </c>
      <c r="D2494" t="s">
        <v>9</v>
      </c>
      <c r="E2494" t="s">
        <v>32</v>
      </c>
      <c r="F2494" t="s">
        <v>23</v>
      </c>
      <c r="G2494" t="s">
        <v>36</v>
      </c>
      <c r="H2494">
        <v>1351.07</v>
      </c>
      <c r="I2494" s="8" t="str" cm="1">
        <f t="array" ref="I2494">_xlfn.IFS(C2494&lt;=15,"Children and Young Adolescents", C2494&gt;64, "Seniors", TRUE, "Working Age")</f>
        <v>Working Age</v>
      </c>
      <c r="J2494" s="6">
        <f>VLOOKUP(F2494,Analysis!$F$1:$G$5,2,FALSE)</f>
        <v>2440.2966694490838</v>
      </c>
      <c r="K2494">
        <f t="shared" si="152"/>
        <v>1486.17</v>
      </c>
      <c r="L2494">
        <f t="shared" si="153"/>
        <v>1486.18</v>
      </c>
      <c r="M2494">
        <f t="shared" si="154"/>
        <v>1486.18</v>
      </c>
      <c r="N2494" s="5" t="str">
        <f t="shared" si="155"/>
        <v>December 2022</v>
      </c>
    </row>
    <row r="2495" spans="1:14" x14ac:dyDescent="0.25">
      <c r="A2495" s="1">
        <v>44926</v>
      </c>
      <c r="B2495" t="s">
        <v>380</v>
      </c>
      <c r="C2495">
        <v>73</v>
      </c>
      <c r="D2495" t="s">
        <v>9</v>
      </c>
      <c r="E2495" t="s">
        <v>22</v>
      </c>
      <c r="F2495" t="s">
        <v>23</v>
      </c>
      <c r="G2495" t="s">
        <v>39</v>
      </c>
      <c r="H2495">
        <v>2551.75</v>
      </c>
      <c r="I2495" s="8" t="str" cm="1">
        <f t="array" ref="I2495">_xlfn.IFS(C2495&lt;=15,"Children and Young Adolescents", C2495&gt;64, "Seniors", TRUE, "Working Age")</f>
        <v>Seniors</v>
      </c>
      <c r="J2495" s="6">
        <f>VLOOKUP(F2495,Analysis!$F$1:$G$5,2,FALSE)</f>
        <v>2440.2966694490838</v>
      </c>
      <c r="K2495">
        <f t="shared" si="152"/>
        <v>2806.92</v>
      </c>
      <c r="L2495">
        <f t="shared" si="153"/>
        <v>2806.9300000000003</v>
      </c>
      <c r="M2495">
        <f t="shared" si="154"/>
        <v>2806.93</v>
      </c>
      <c r="N2495" s="5" t="str">
        <f t="shared" si="155"/>
        <v>December 2022</v>
      </c>
    </row>
    <row r="2496" spans="1:14" x14ac:dyDescent="0.25">
      <c r="A2496" s="1">
        <v>44926</v>
      </c>
      <c r="B2496" t="s">
        <v>1389</v>
      </c>
      <c r="C2496">
        <v>55</v>
      </c>
      <c r="D2496" t="s">
        <v>21</v>
      </c>
      <c r="E2496" t="s">
        <v>34</v>
      </c>
      <c r="F2496" t="s">
        <v>16</v>
      </c>
      <c r="G2496" t="s">
        <v>27</v>
      </c>
      <c r="H2496">
        <v>4074.49</v>
      </c>
      <c r="I2496" s="8" t="str" cm="1">
        <f t="array" ref="I2496">_xlfn.IFS(C2496&lt;=15,"Children and Young Adolescents", C2496&gt;64, "Seniors", TRUE, "Working Age")</f>
        <v>Working Age</v>
      </c>
      <c r="J2496" s="6">
        <f>VLOOKUP(F2496,Analysis!$F$1:$G$5,2,FALSE)</f>
        <v>2509.1716796874912</v>
      </c>
      <c r="K2496">
        <f t="shared" si="152"/>
        <v>4481.93</v>
      </c>
      <c r="L2496">
        <f t="shared" si="153"/>
        <v>4481.9400000000005</v>
      </c>
      <c r="M2496">
        <f t="shared" si="154"/>
        <v>4481.9399999999996</v>
      </c>
      <c r="N2496" s="5" t="str">
        <f t="shared" si="155"/>
        <v>December 2022</v>
      </c>
    </row>
    <row r="2497" spans="1:14" x14ac:dyDescent="0.25">
      <c r="A2497" s="1">
        <v>44926</v>
      </c>
      <c r="B2497" t="s">
        <v>3667</v>
      </c>
      <c r="C2497">
        <v>24</v>
      </c>
      <c r="D2497" t="s">
        <v>14</v>
      </c>
      <c r="E2497" t="s">
        <v>34</v>
      </c>
      <c r="F2497" t="s">
        <v>11</v>
      </c>
      <c r="G2497" t="s">
        <v>39</v>
      </c>
      <c r="H2497">
        <v>1497.98</v>
      </c>
      <c r="I2497" s="8" t="str" cm="1">
        <f t="array" ref="I2497">_xlfn.IFS(C2497&lt;=15,"Children and Young Adolescents", C2497&gt;64, "Seniors", TRUE, "Working Age")</f>
        <v>Working Age</v>
      </c>
      <c r="J2497" s="6">
        <f>VLOOKUP(F2497,Analysis!$F$1:$G$5,2,FALSE)</f>
        <v>2503.6022787783854</v>
      </c>
      <c r="K2497">
        <f t="shared" si="152"/>
        <v>1647.77</v>
      </c>
      <c r="L2497">
        <f t="shared" si="153"/>
        <v>1647.78</v>
      </c>
      <c r="M2497">
        <f t="shared" si="154"/>
        <v>1647.78</v>
      </c>
      <c r="N2497" s="5" t="str">
        <f t="shared" si="155"/>
        <v>December 2022</v>
      </c>
    </row>
    <row r="2498" spans="1:14" x14ac:dyDescent="0.25">
      <c r="A2498" s="1">
        <v>44927</v>
      </c>
      <c r="B2498" t="s">
        <v>438</v>
      </c>
      <c r="C2498">
        <v>56</v>
      </c>
      <c r="D2498" t="s">
        <v>21</v>
      </c>
      <c r="E2498" t="s">
        <v>19</v>
      </c>
      <c r="F2498" t="s">
        <v>29</v>
      </c>
      <c r="G2498" t="s">
        <v>36</v>
      </c>
      <c r="H2498">
        <v>1331.55</v>
      </c>
      <c r="I2498" s="8" t="str" cm="1">
        <f t="array" ref="I2498">_xlfn.IFS(C2498&lt;=15,"Children and Young Adolescents", C2498&gt;64, "Seniors", TRUE, "Working Age")</f>
        <v>Working Age</v>
      </c>
      <c r="J2498" s="6">
        <f>VLOOKUP(F2498,Analysis!$F$1:$G$5,2,FALSE)</f>
        <v>2496.7676064256989</v>
      </c>
      <c r="K2498">
        <f t="shared" si="152"/>
        <v>1464.7</v>
      </c>
      <c r="L2498">
        <f t="shared" si="153"/>
        <v>1464.71</v>
      </c>
      <c r="M2498">
        <f t="shared" si="154"/>
        <v>1464.71</v>
      </c>
      <c r="N2498" s="5" t="str">
        <f t="shared" si="155"/>
        <v>January 2023</v>
      </c>
    </row>
    <row r="2499" spans="1:14" x14ac:dyDescent="0.25">
      <c r="A2499" s="1">
        <v>44927</v>
      </c>
      <c r="B2499" t="s">
        <v>4720</v>
      </c>
      <c r="C2499">
        <v>53</v>
      </c>
      <c r="D2499" t="s">
        <v>21</v>
      </c>
      <c r="E2499" t="s">
        <v>10</v>
      </c>
      <c r="F2499" t="s">
        <v>11</v>
      </c>
      <c r="G2499" t="s">
        <v>39</v>
      </c>
      <c r="H2499">
        <v>1176.79</v>
      </c>
      <c r="I2499" s="8" t="str" cm="1">
        <f t="array" ref="I2499">_xlfn.IFS(C2499&lt;=15,"Children and Young Adolescents", C2499&gt;64, "Seniors", TRUE, "Working Age")</f>
        <v>Working Age</v>
      </c>
      <c r="J2499" s="6">
        <f>VLOOKUP(F2499,Analysis!$F$1:$G$5,2,FALSE)</f>
        <v>2503.6022787783854</v>
      </c>
      <c r="K2499">
        <f t="shared" ref="K2499:K2562" si="156">ROUNDDOWN(H2499*1.1,2)</f>
        <v>1294.46</v>
      </c>
      <c r="L2499">
        <f t="shared" ref="L2499:L2562" si="157">ROUNDUP(H2499*1.1,2)</f>
        <v>1294.47</v>
      </c>
      <c r="M2499">
        <f t="shared" ref="M2499:M2562" si="158">ROUND(H2499*1.1,2)</f>
        <v>1294.47</v>
      </c>
      <c r="N2499" s="5" t="str">
        <f t="shared" ref="N2499:N2562" si="159">TEXT(A2499,"mmmm yyyy")</f>
        <v>January 2023</v>
      </c>
    </row>
    <row r="2500" spans="1:14" x14ac:dyDescent="0.25">
      <c r="A2500" s="1">
        <v>44927</v>
      </c>
      <c r="B2500" t="s">
        <v>3238</v>
      </c>
      <c r="C2500">
        <v>58</v>
      </c>
      <c r="D2500" t="s">
        <v>14</v>
      </c>
      <c r="E2500" t="s">
        <v>32</v>
      </c>
      <c r="F2500" t="s">
        <v>11</v>
      </c>
      <c r="G2500" t="s">
        <v>39</v>
      </c>
      <c r="H2500">
        <v>2296.4</v>
      </c>
      <c r="I2500" s="8" t="str" cm="1">
        <f t="array" ref="I2500">_xlfn.IFS(C2500&lt;=15,"Children and Young Adolescents", C2500&gt;64, "Seniors", TRUE, "Working Age")</f>
        <v>Working Age</v>
      </c>
      <c r="J2500" s="6">
        <f>VLOOKUP(F2500,Analysis!$F$1:$G$5,2,FALSE)</f>
        <v>2503.6022787783854</v>
      </c>
      <c r="K2500">
        <f t="shared" si="156"/>
        <v>2526.04</v>
      </c>
      <c r="L2500">
        <f t="shared" si="157"/>
        <v>2526.04</v>
      </c>
      <c r="M2500">
        <f t="shared" si="158"/>
        <v>2526.04</v>
      </c>
      <c r="N2500" s="5" t="str">
        <f t="shared" si="159"/>
        <v>January 2023</v>
      </c>
    </row>
    <row r="2501" spans="1:14" x14ac:dyDescent="0.25">
      <c r="A2501" s="1">
        <v>44927</v>
      </c>
      <c r="B2501" t="s">
        <v>1277</v>
      </c>
      <c r="C2501">
        <v>87</v>
      </c>
      <c r="D2501" t="s">
        <v>14</v>
      </c>
      <c r="E2501" t="s">
        <v>22</v>
      </c>
      <c r="F2501" t="s">
        <v>16</v>
      </c>
      <c r="G2501" t="s">
        <v>27</v>
      </c>
      <c r="H2501">
        <v>292.60000000000002</v>
      </c>
      <c r="I2501" s="8" t="str" cm="1">
        <f t="array" ref="I2501">_xlfn.IFS(C2501&lt;=15,"Children and Young Adolescents", C2501&gt;64, "Seniors", TRUE, "Working Age")</f>
        <v>Seniors</v>
      </c>
      <c r="J2501" s="6">
        <f>VLOOKUP(F2501,Analysis!$F$1:$G$5,2,FALSE)</f>
        <v>2509.1716796874912</v>
      </c>
      <c r="K2501">
        <f t="shared" si="156"/>
        <v>321.86</v>
      </c>
      <c r="L2501">
        <f t="shared" si="157"/>
        <v>321.86</v>
      </c>
      <c r="M2501">
        <f t="shared" si="158"/>
        <v>321.86</v>
      </c>
      <c r="N2501" s="5" t="str">
        <f t="shared" si="159"/>
        <v>January 2023</v>
      </c>
    </row>
    <row r="2502" spans="1:14" x14ac:dyDescent="0.25">
      <c r="A2502" s="1">
        <v>44927</v>
      </c>
      <c r="B2502" t="s">
        <v>1305</v>
      </c>
      <c r="C2502">
        <v>20</v>
      </c>
      <c r="D2502" t="s">
        <v>21</v>
      </c>
      <c r="E2502" t="s">
        <v>34</v>
      </c>
      <c r="F2502" t="s">
        <v>23</v>
      </c>
      <c r="G2502" t="s">
        <v>27</v>
      </c>
      <c r="H2502">
        <v>4660.43</v>
      </c>
      <c r="I2502" s="8" t="str" cm="1">
        <f t="array" ref="I2502">_xlfn.IFS(C2502&lt;=15,"Children and Young Adolescents", C2502&gt;64, "Seniors", TRUE, "Working Age")</f>
        <v>Working Age</v>
      </c>
      <c r="J2502" s="6">
        <f>VLOOKUP(F2502,Analysis!$F$1:$G$5,2,FALSE)</f>
        <v>2440.2966694490838</v>
      </c>
      <c r="K2502">
        <f t="shared" si="156"/>
        <v>5126.47</v>
      </c>
      <c r="L2502">
        <f t="shared" si="157"/>
        <v>5126.4800000000005</v>
      </c>
      <c r="M2502">
        <f t="shared" si="158"/>
        <v>5126.47</v>
      </c>
      <c r="N2502" s="5" t="str">
        <f t="shared" si="159"/>
        <v>January 2023</v>
      </c>
    </row>
    <row r="2503" spans="1:14" x14ac:dyDescent="0.25">
      <c r="A2503" s="1">
        <v>44927</v>
      </c>
      <c r="B2503" t="s">
        <v>3226</v>
      </c>
      <c r="C2503">
        <v>99</v>
      </c>
      <c r="D2503" t="s">
        <v>9</v>
      </c>
      <c r="E2503" t="s">
        <v>10</v>
      </c>
      <c r="F2503" t="s">
        <v>23</v>
      </c>
      <c r="G2503" t="s">
        <v>39</v>
      </c>
      <c r="H2503">
        <v>4039.5</v>
      </c>
      <c r="I2503" s="8" t="str" cm="1">
        <f t="array" ref="I2503">_xlfn.IFS(C2503&lt;=15,"Children and Young Adolescents", C2503&gt;64, "Seniors", TRUE, "Working Age")</f>
        <v>Seniors</v>
      </c>
      <c r="J2503" s="6">
        <f>VLOOKUP(F2503,Analysis!$F$1:$G$5,2,FALSE)</f>
        <v>2440.2966694490838</v>
      </c>
      <c r="K2503">
        <f t="shared" si="156"/>
        <v>4443.45</v>
      </c>
      <c r="L2503">
        <f t="shared" si="157"/>
        <v>4443.45</v>
      </c>
      <c r="M2503">
        <f t="shared" si="158"/>
        <v>4443.45</v>
      </c>
      <c r="N2503" s="5" t="str">
        <f t="shared" si="159"/>
        <v>January 2023</v>
      </c>
    </row>
    <row r="2504" spans="1:14" x14ac:dyDescent="0.25">
      <c r="A2504" s="1">
        <v>44927</v>
      </c>
      <c r="B2504" t="s">
        <v>1760</v>
      </c>
      <c r="C2504">
        <v>8</v>
      </c>
      <c r="D2504" t="s">
        <v>14</v>
      </c>
      <c r="E2504" t="s">
        <v>5032</v>
      </c>
      <c r="F2504" t="s">
        <v>29</v>
      </c>
      <c r="G2504" t="s">
        <v>12</v>
      </c>
      <c r="H2504">
        <v>888.44</v>
      </c>
      <c r="I2504" s="8" t="str" cm="1">
        <f t="array" ref="I2504">_xlfn.IFS(C2504&lt;=15,"Children and Young Adolescents", C2504&gt;64, "Seniors", TRUE, "Working Age")</f>
        <v>Children and Young Adolescents</v>
      </c>
      <c r="J2504" s="6">
        <f>VLOOKUP(F2504,Analysis!$F$1:$G$5,2,FALSE)</f>
        <v>2496.7676064256989</v>
      </c>
      <c r="K2504">
        <f t="shared" si="156"/>
        <v>977.28</v>
      </c>
      <c r="L2504">
        <f t="shared" si="157"/>
        <v>977.29</v>
      </c>
      <c r="M2504">
        <f t="shared" si="158"/>
        <v>977.28</v>
      </c>
      <c r="N2504" s="5" t="str">
        <f t="shared" si="159"/>
        <v>January 2023</v>
      </c>
    </row>
    <row r="2505" spans="1:14" x14ac:dyDescent="0.25">
      <c r="A2505" s="1">
        <v>44927</v>
      </c>
      <c r="B2505" t="s">
        <v>4036</v>
      </c>
      <c r="C2505">
        <v>35</v>
      </c>
      <c r="D2505" t="s">
        <v>21</v>
      </c>
      <c r="E2505" t="s">
        <v>10</v>
      </c>
      <c r="F2505" t="s">
        <v>16</v>
      </c>
      <c r="G2505" t="s">
        <v>39</v>
      </c>
      <c r="H2505">
        <v>3142.74</v>
      </c>
      <c r="I2505" s="8" t="str" cm="1">
        <f t="array" ref="I2505">_xlfn.IFS(C2505&lt;=15,"Children and Young Adolescents", C2505&gt;64, "Seniors", TRUE, "Working Age")</f>
        <v>Working Age</v>
      </c>
      <c r="J2505" s="6">
        <f>VLOOKUP(F2505,Analysis!$F$1:$G$5,2,FALSE)</f>
        <v>2509.1716796874912</v>
      </c>
      <c r="K2505">
        <f t="shared" si="156"/>
        <v>3457.01</v>
      </c>
      <c r="L2505">
        <f t="shared" si="157"/>
        <v>3457.0200000000004</v>
      </c>
      <c r="M2505">
        <f t="shared" si="158"/>
        <v>3457.01</v>
      </c>
      <c r="N2505" s="5" t="str">
        <f t="shared" si="159"/>
        <v>January 2023</v>
      </c>
    </row>
    <row r="2506" spans="1:14" x14ac:dyDescent="0.25">
      <c r="A2506" s="1">
        <v>44927</v>
      </c>
      <c r="B2506" t="s">
        <v>1970</v>
      </c>
      <c r="C2506">
        <v>81</v>
      </c>
      <c r="D2506" t="s">
        <v>14</v>
      </c>
      <c r="E2506" t="s">
        <v>22</v>
      </c>
      <c r="F2506" t="s">
        <v>11</v>
      </c>
      <c r="G2506" t="s">
        <v>12</v>
      </c>
      <c r="H2506">
        <v>4629.24</v>
      </c>
      <c r="I2506" s="8" t="str" cm="1">
        <f t="array" ref="I2506">_xlfn.IFS(C2506&lt;=15,"Children and Young Adolescents", C2506&gt;64, "Seniors", TRUE, "Working Age")</f>
        <v>Seniors</v>
      </c>
      <c r="J2506" s="6">
        <f>VLOOKUP(F2506,Analysis!$F$1:$G$5,2,FALSE)</f>
        <v>2503.6022787783854</v>
      </c>
      <c r="K2506">
        <f t="shared" si="156"/>
        <v>5092.16</v>
      </c>
      <c r="L2506">
        <f t="shared" si="157"/>
        <v>5092.17</v>
      </c>
      <c r="M2506">
        <f t="shared" si="158"/>
        <v>5092.16</v>
      </c>
      <c r="N2506" s="5" t="str">
        <f t="shared" si="159"/>
        <v>January 2023</v>
      </c>
    </row>
    <row r="2507" spans="1:14" x14ac:dyDescent="0.25">
      <c r="A2507" s="1">
        <v>44927</v>
      </c>
      <c r="B2507" t="s">
        <v>1119</v>
      </c>
      <c r="C2507">
        <v>79</v>
      </c>
      <c r="D2507" t="s">
        <v>21</v>
      </c>
      <c r="E2507" t="s">
        <v>15</v>
      </c>
      <c r="F2507" t="s">
        <v>16</v>
      </c>
      <c r="G2507" t="s">
        <v>12</v>
      </c>
      <c r="H2507">
        <v>40.090000000000003</v>
      </c>
      <c r="I2507" s="8" t="str" cm="1">
        <f t="array" ref="I2507">_xlfn.IFS(C2507&lt;=15,"Children and Young Adolescents", C2507&gt;64, "Seniors", TRUE, "Working Age")</f>
        <v>Seniors</v>
      </c>
      <c r="J2507" s="6">
        <f>VLOOKUP(F2507,Analysis!$F$1:$G$5,2,FALSE)</f>
        <v>2509.1716796874912</v>
      </c>
      <c r="K2507">
        <f t="shared" si="156"/>
        <v>44.09</v>
      </c>
      <c r="L2507">
        <f t="shared" si="157"/>
        <v>44.1</v>
      </c>
      <c r="M2507">
        <f t="shared" si="158"/>
        <v>44.1</v>
      </c>
      <c r="N2507" s="5" t="str">
        <f t="shared" si="159"/>
        <v>January 2023</v>
      </c>
    </row>
    <row r="2508" spans="1:14" x14ac:dyDescent="0.25">
      <c r="A2508" s="1">
        <v>44927</v>
      </c>
      <c r="B2508" t="s">
        <v>3399</v>
      </c>
      <c r="C2508">
        <v>49</v>
      </c>
      <c r="D2508" t="s">
        <v>14</v>
      </c>
      <c r="E2508" t="s">
        <v>32</v>
      </c>
      <c r="F2508" t="s">
        <v>11</v>
      </c>
      <c r="G2508" t="s">
        <v>17</v>
      </c>
      <c r="H2508">
        <v>4011.08</v>
      </c>
      <c r="I2508" s="8" t="str" cm="1">
        <f t="array" ref="I2508">_xlfn.IFS(C2508&lt;=15,"Children and Young Adolescents", C2508&gt;64, "Seniors", TRUE, "Working Age")</f>
        <v>Working Age</v>
      </c>
      <c r="J2508" s="6">
        <f>VLOOKUP(F2508,Analysis!$F$1:$G$5,2,FALSE)</f>
        <v>2503.6022787783854</v>
      </c>
      <c r="K2508">
        <f t="shared" si="156"/>
        <v>4412.18</v>
      </c>
      <c r="L2508">
        <f t="shared" si="157"/>
        <v>4412.1900000000005</v>
      </c>
      <c r="M2508">
        <f t="shared" si="158"/>
        <v>4412.1899999999996</v>
      </c>
      <c r="N2508" s="5" t="str">
        <f t="shared" si="159"/>
        <v>January 2023</v>
      </c>
    </row>
    <row r="2509" spans="1:14" x14ac:dyDescent="0.25">
      <c r="A2509" s="1">
        <v>44928</v>
      </c>
      <c r="B2509" t="s">
        <v>3558</v>
      </c>
      <c r="C2509">
        <v>81</v>
      </c>
      <c r="D2509" t="s">
        <v>21</v>
      </c>
      <c r="E2509" t="s">
        <v>25</v>
      </c>
      <c r="F2509" t="s">
        <v>23</v>
      </c>
      <c r="G2509" t="s">
        <v>36</v>
      </c>
      <c r="H2509">
        <v>751.87</v>
      </c>
      <c r="I2509" s="8" t="str" cm="1">
        <f t="array" ref="I2509">_xlfn.IFS(C2509&lt;=15,"Children and Young Adolescents", C2509&gt;64, "Seniors", TRUE, "Working Age")</f>
        <v>Seniors</v>
      </c>
      <c r="J2509" s="6">
        <f>VLOOKUP(F2509,Analysis!$F$1:$G$5,2,FALSE)</f>
        <v>2440.2966694490838</v>
      </c>
      <c r="K2509">
        <f t="shared" si="156"/>
        <v>827.05</v>
      </c>
      <c r="L2509">
        <f t="shared" si="157"/>
        <v>827.06</v>
      </c>
      <c r="M2509">
        <f t="shared" si="158"/>
        <v>827.06</v>
      </c>
      <c r="N2509" s="5" t="str">
        <f t="shared" si="159"/>
        <v>January 2023</v>
      </c>
    </row>
    <row r="2510" spans="1:14" x14ac:dyDescent="0.25">
      <c r="A2510" s="1">
        <v>44928</v>
      </c>
      <c r="B2510" t="s">
        <v>336</v>
      </c>
      <c r="C2510">
        <v>11</v>
      </c>
      <c r="D2510" t="s">
        <v>14</v>
      </c>
      <c r="E2510" t="s">
        <v>25</v>
      </c>
      <c r="F2510" t="s">
        <v>29</v>
      </c>
      <c r="G2510" t="s">
        <v>17</v>
      </c>
      <c r="H2510">
        <v>4267.3100000000004</v>
      </c>
      <c r="I2510" s="8" t="str" cm="1">
        <f t="array" ref="I2510">_xlfn.IFS(C2510&lt;=15,"Children and Young Adolescents", C2510&gt;64, "Seniors", TRUE, "Working Age")</f>
        <v>Children and Young Adolescents</v>
      </c>
      <c r="J2510" s="6">
        <f>VLOOKUP(F2510,Analysis!$F$1:$G$5,2,FALSE)</f>
        <v>2496.7676064256989</v>
      </c>
      <c r="K2510">
        <f t="shared" si="156"/>
        <v>4694.04</v>
      </c>
      <c r="L2510">
        <f t="shared" si="157"/>
        <v>4694.05</v>
      </c>
      <c r="M2510">
        <f t="shared" si="158"/>
        <v>4694.04</v>
      </c>
      <c r="N2510" s="5" t="str">
        <f t="shared" si="159"/>
        <v>January 2023</v>
      </c>
    </row>
    <row r="2511" spans="1:14" x14ac:dyDescent="0.25">
      <c r="A2511" s="1">
        <v>44928</v>
      </c>
      <c r="B2511" t="s">
        <v>494</v>
      </c>
      <c r="C2511">
        <v>43</v>
      </c>
      <c r="D2511" t="s">
        <v>9</v>
      </c>
      <c r="E2511" t="s">
        <v>32</v>
      </c>
      <c r="F2511" t="s">
        <v>11</v>
      </c>
      <c r="G2511" t="s">
        <v>36</v>
      </c>
      <c r="H2511">
        <v>3806.52</v>
      </c>
      <c r="I2511" s="8" t="str" cm="1">
        <f t="array" ref="I2511">_xlfn.IFS(C2511&lt;=15,"Children and Young Adolescents", C2511&gt;64, "Seniors", TRUE, "Working Age")</f>
        <v>Working Age</v>
      </c>
      <c r="J2511" s="6">
        <f>VLOOKUP(F2511,Analysis!$F$1:$G$5,2,FALSE)</f>
        <v>2503.6022787783854</v>
      </c>
      <c r="K2511">
        <f t="shared" si="156"/>
        <v>4187.17</v>
      </c>
      <c r="L2511">
        <f t="shared" si="157"/>
        <v>4187.18</v>
      </c>
      <c r="M2511">
        <f t="shared" si="158"/>
        <v>4187.17</v>
      </c>
      <c r="N2511" s="5" t="str">
        <f t="shared" si="159"/>
        <v>January 2023</v>
      </c>
    </row>
    <row r="2512" spans="1:14" x14ac:dyDescent="0.25">
      <c r="A2512" s="1">
        <v>44929</v>
      </c>
      <c r="B2512" t="s">
        <v>4778</v>
      </c>
      <c r="C2512">
        <v>24</v>
      </c>
      <c r="D2512" t="s">
        <v>21</v>
      </c>
      <c r="E2512" t="s">
        <v>5032</v>
      </c>
      <c r="F2512" t="s">
        <v>23</v>
      </c>
      <c r="G2512" t="s">
        <v>39</v>
      </c>
      <c r="H2512">
        <v>3505.33</v>
      </c>
      <c r="I2512" s="8" t="str" cm="1">
        <f t="array" ref="I2512">_xlfn.IFS(C2512&lt;=15,"Children and Young Adolescents", C2512&gt;64, "Seniors", TRUE, "Working Age")</f>
        <v>Working Age</v>
      </c>
      <c r="J2512" s="6">
        <f>VLOOKUP(F2512,Analysis!$F$1:$G$5,2,FALSE)</f>
        <v>2440.2966694490838</v>
      </c>
      <c r="K2512">
        <f t="shared" si="156"/>
        <v>3855.86</v>
      </c>
      <c r="L2512">
        <f t="shared" si="157"/>
        <v>3855.8700000000003</v>
      </c>
      <c r="M2512">
        <f t="shared" si="158"/>
        <v>3855.86</v>
      </c>
      <c r="N2512" s="5" t="str">
        <f t="shared" si="159"/>
        <v>January 2023</v>
      </c>
    </row>
    <row r="2513" spans="1:14" x14ac:dyDescent="0.25">
      <c r="A2513" s="1">
        <v>44929</v>
      </c>
      <c r="B2513" t="s">
        <v>4378</v>
      </c>
      <c r="C2513">
        <v>71</v>
      </c>
      <c r="D2513" t="s">
        <v>21</v>
      </c>
      <c r="E2513" t="s">
        <v>34</v>
      </c>
      <c r="F2513" t="s">
        <v>16</v>
      </c>
      <c r="G2513" t="s">
        <v>12</v>
      </c>
      <c r="H2513">
        <v>1885.62</v>
      </c>
      <c r="I2513" s="8" t="str" cm="1">
        <f t="array" ref="I2513">_xlfn.IFS(C2513&lt;=15,"Children and Young Adolescents", C2513&gt;64, "Seniors", TRUE, "Working Age")</f>
        <v>Seniors</v>
      </c>
      <c r="J2513" s="6">
        <f>VLOOKUP(F2513,Analysis!$F$1:$G$5,2,FALSE)</f>
        <v>2509.1716796874912</v>
      </c>
      <c r="K2513">
        <f t="shared" si="156"/>
        <v>2074.1799999999998</v>
      </c>
      <c r="L2513">
        <f t="shared" si="157"/>
        <v>2074.19</v>
      </c>
      <c r="M2513">
        <f t="shared" si="158"/>
        <v>2074.1799999999998</v>
      </c>
      <c r="N2513" s="5" t="str">
        <f t="shared" si="159"/>
        <v>January 2023</v>
      </c>
    </row>
    <row r="2514" spans="1:14" x14ac:dyDescent="0.25">
      <c r="A2514" s="1">
        <v>44929</v>
      </c>
      <c r="B2514" t="s">
        <v>13</v>
      </c>
      <c r="C2514">
        <v>19</v>
      </c>
      <c r="D2514" t="s">
        <v>14</v>
      </c>
      <c r="E2514" t="s">
        <v>15</v>
      </c>
      <c r="F2514" t="s">
        <v>16</v>
      </c>
      <c r="G2514" t="s">
        <v>17</v>
      </c>
      <c r="H2514">
        <v>3421.18</v>
      </c>
      <c r="I2514" s="8" t="str" cm="1">
        <f t="array" ref="I2514">_xlfn.IFS(C2514&lt;=15,"Children and Young Adolescents", C2514&gt;64, "Seniors", TRUE, "Working Age")</f>
        <v>Working Age</v>
      </c>
      <c r="J2514" s="6">
        <f>VLOOKUP(F2514,Analysis!$F$1:$G$5,2,FALSE)</f>
        <v>2509.1716796874912</v>
      </c>
      <c r="K2514">
        <f t="shared" si="156"/>
        <v>3763.29</v>
      </c>
      <c r="L2514">
        <f t="shared" si="157"/>
        <v>3763.3</v>
      </c>
      <c r="M2514">
        <f t="shared" si="158"/>
        <v>3763.3</v>
      </c>
      <c r="N2514" s="5" t="str">
        <f t="shared" si="159"/>
        <v>January 2023</v>
      </c>
    </row>
    <row r="2515" spans="1:14" x14ac:dyDescent="0.25">
      <c r="A2515" s="1">
        <v>44929</v>
      </c>
      <c r="B2515" t="s">
        <v>2646</v>
      </c>
      <c r="C2515">
        <v>89</v>
      </c>
      <c r="D2515" t="s">
        <v>9</v>
      </c>
      <c r="E2515" t="s">
        <v>22</v>
      </c>
      <c r="F2515" t="s">
        <v>16</v>
      </c>
      <c r="G2515" t="s">
        <v>12</v>
      </c>
      <c r="H2515">
        <v>853.36</v>
      </c>
      <c r="I2515" s="8" t="str" cm="1">
        <f t="array" ref="I2515">_xlfn.IFS(C2515&lt;=15,"Children and Young Adolescents", C2515&gt;64, "Seniors", TRUE, "Working Age")</f>
        <v>Seniors</v>
      </c>
      <c r="J2515" s="6">
        <f>VLOOKUP(F2515,Analysis!$F$1:$G$5,2,FALSE)</f>
        <v>2509.1716796874912</v>
      </c>
      <c r="K2515">
        <f t="shared" si="156"/>
        <v>938.69</v>
      </c>
      <c r="L2515">
        <f t="shared" si="157"/>
        <v>938.7</v>
      </c>
      <c r="M2515">
        <f t="shared" si="158"/>
        <v>938.7</v>
      </c>
      <c r="N2515" s="5" t="str">
        <f t="shared" si="159"/>
        <v>January 2023</v>
      </c>
    </row>
    <row r="2516" spans="1:14" x14ac:dyDescent="0.25">
      <c r="A2516" s="1">
        <v>44929</v>
      </c>
      <c r="B2516" t="s">
        <v>4962</v>
      </c>
      <c r="C2516">
        <v>78</v>
      </c>
      <c r="D2516" t="s">
        <v>9</v>
      </c>
      <c r="E2516" t="s">
        <v>22</v>
      </c>
      <c r="F2516" t="s">
        <v>11</v>
      </c>
      <c r="G2516" t="s">
        <v>27</v>
      </c>
      <c r="H2516">
        <v>4983.76</v>
      </c>
      <c r="I2516" s="8" t="str" cm="1">
        <f t="array" ref="I2516">_xlfn.IFS(C2516&lt;=15,"Children and Young Adolescents", C2516&gt;64, "Seniors", TRUE, "Working Age")</f>
        <v>Seniors</v>
      </c>
      <c r="J2516" s="6">
        <f>VLOOKUP(F2516,Analysis!$F$1:$G$5,2,FALSE)</f>
        <v>2503.6022787783854</v>
      </c>
      <c r="K2516">
        <f t="shared" si="156"/>
        <v>5482.13</v>
      </c>
      <c r="L2516">
        <f t="shared" si="157"/>
        <v>5482.14</v>
      </c>
      <c r="M2516">
        <f t="shared" si="158"/>
        <v>5482.14</v>
      </c>
      <c r="N2516" s="5" t="str">
        <f t="shared" si="159"/>
        <v>January 2023</v>
      </c>
    </row>
    <row r="2517" spans="1:14" x14ac:dyDescent="0.25">
      <c r="A2517" s="1">
        <v>44930</v>
      </c>
      <c r="B2517" t="s">
        <v>1153</v>
      </c>
      <c r="C2517">
        <v>68</v>
      </c>
      <c r="D2517" t="s">
        <v>9</v>
      </c>
      <c r="E2517" t="s">
        <v>15</v>
      </c>
      <c r="F2517" t="s">
        <v>29</v>
      </c>
      <c r="G2517" t="s">
        <v>17</v>
      </c>
      <c r="H2517">
        <v>3644.28</v>
      </c>
      <c r="I2517" s="8" t="str" cm="1">
        <f t="array" ref="I2517">_xlfn.IFS(C2517&lt;=15,"Children and Young Adolescents", C2517&gt;64, "Seniors", TRUE, "Working Age")</f>
        <v>Seniors</v>
      </c>
      <c r="J2517" s="6">
        <f>VLOOKUP(F2517,Analysis!$F$1:$G$5,2,FALSE)</f>
        <v>2496.7676064256989</v>
      </c>
      <c r="K2517">
        <f t="shared" si="156"/>
        <v>4008.7</v>
      </c>
      <c r="L2517">
        <f t="shared" si="157"/>
        <v>4008.71</v>
      </c>
      <c r="M2517">
        <f t="shared" si="158"/>
        <v>4008.71</v>
      </c>
      <c r="N2517" s="5" t="str">
        <f t="shared" si="159"/>
        <v>January 2023</v>
      </c>
    </row>
    <row r="2518" spans="1:14" x14ac:dyDescent="0.25">
      <c r="A2518" s="1">
        <v>44930</v>
      </c>
      <c r="B2518" t="s">
        <v>3618</v>
      </c>
      <c r="C2518">
        <v>90</v>
      </c>
      <c r="D2518" t="s">
        <v>14</v>
      </c>
      <c r="E2518" t="s">
        <v>5032</v>
      </c>
      <c r="F2518" t="s">
        <v>29</v>
      </c>
      <c r="G2518" t="s">
        <v>27</v>
      </c>
      <c r="H2518">
        <v>2939.81</v>
      </c>
      <c r="I2518" s="8" t="str" cm="1">
        <f t="array" ref="I2518">_xlfn.IFS(C2518&lt;=15,"Children and Young Adolescents", C2518&gt;64, "Seniors", TRUE, "Working Age")</f>
        <v>Seniors</v>
      </c>
      <c r="J2518" s="6">
        <f>VLOOKUP(F2518,Analysis!$F$1:$G$5,2,FALSE)</f>
        <v>2496.7676064256989</v>
      </c>
      <c r="K2518">
        <f t="shared" si="156"/>
        <v>3233.79</v>
      </c>
      <c r="L2518">
        <f t="shared" si="157"/>
        <v>3233.8</v>
      </c>
      <c r="M2518">
        <f t="shared" si="158"/>
        <v>3233.79</v>
      </c>
      <c r="N2518" s="5" t="str">
        <f t="shared" si="159"/>
        <v>January 2023</v>
      </c>
    </row>
    <row r="2519" spans="1:14" x14ac:dyDescent="0.25">
      <c r="A2519" s="1">
        <v>44930</v>
      </c>
      <c r="B2519" t="s">
        <v>445</v>
      </c>
      <c r="C2519">
        <v>13</v>
      </c>
      <c r="D2519" t="s">
        <v>9</v>
      </c>
      <c r="E2519" t="s">
        <v>34</v>
      </c>
      <c r="F2519" t="s">
        <v>23</v>
      </c>
      <c r="G2519" t="s">
        <v>39</v>
      </c>
      <c r="H2519">
        <v>1896.35</v>
      </c>
      <c r="I2519" s="8" t="str" cm="1">
        <f t="array" ref="I2519">_xlfn.IFS(C2519&lt;=15,"Children and Young Adolescents", C2519&gt;64, "Seniors", TRUE, "Working Age")</f>
        <v>Children and Young Adolescents</v>
      </c>
      <c r="J2519" s="6">
        <f>VLOOKUP(F2519,Analysis!$F$1:$G$5,2,FALSE)</f>
        <v>2440.2966694490838</v>
      </c>
      <c r="K2519">
        <f t="shared" si="156"/>
        <v>2085.98</v>
      </c>
      <c r="L2519">
        <f t="shared" si="157"/>
        <v>2085.9900000000002</v>
      </c>
      <c r="M2519">
        <f t="shared" si="158"/>
        <v>2085.9899999999998</v>
      </c>
      <c r="N2519" s="5" t="str">
        <f t="shared" si="159"/>
        <v>January 2023</v>
      </c>
    </row>
    <row r="2520" spans="1:14" x14ac:dyDescent="0.25">
      <c r="A2520" s="1">
        <v>44930</v>
      </c>
      <c r="B2520" t="s">
        <v>2817</v>
      </c>
      <c r="C2520">
        <v>24</v>
      </c>
      <c r="D2520" t="s">
        <v>14</v>
      </c>
      <c r="E2520" t="s">
        <v>15</v>
      </c>
      <c r="F2520" t="s">
        <v>29</v>
      </c>
      <c r="G2520" t="s">
        <v>12</v>
      </c>
      <c r="H2520">
        <v>830.61</v>
      </c>
      <c r="I2520" s="8" t="str" cm="1">
        <f t="array" ref="I2520">_xlfn.IFS(C2520&lt;=15,"Children and Young Adolescents", C2520&gt;64, "Seniors", TRUE, "Working Age")</f>
        <v>Working Age</v>
      </c>
      <c r="J2520" s="6">
        <f>VLOOKUP(F2520,Analysis!$F$1:$G$5,2,FALSE)</f>
        <v>2496.7676064256989</v>
      </c>
      <c r="K2520">
        <f t="shared" si="156"/>
        <v>913.67</v>
      </c>
      <c r="L2520">
        <f t="shared" si="157"/>
        <v>913.68</v>
      </c>
      <c r="M2520">
        <f t="shared" si="158"/>
        <v>913.67</v>
      </c>
      <c r="N2520" s="5" t="str">
        <f t="shared" si="159"/>
        <v>January 2023</v>
      </c>
    </row>
    <row r="2521" spans="1:14" x14ac:dyDescent="0.25">
      <c r="A2521" s="1">
        <v>44930</v>
      </c>
      <c r="B2521" t="s">
        <v>2453</v>
      </c>
      <c r="C2521">
        <v>46</v>
      </c>
      <c r="D2521" t="s">
        <v>9</v>
      </c>
      <c r="E2521" t="s">
        <v>10</v>
      </c>
      <c r="F2521" t="s">
        <v>29</v>
      </c>
      <c r="G2521" t="s">
        <v>27</v>
      </c>
      <c r="H2521">
        <v>736.34</v>
      </c>
      <c r="I2521" s="8" t="str" cm="1">
        <f t="array" ref="I2521">_xlfn.IFS(C2521&lt;=15,"Children and Young Adolescents", C2521&gt;64, "Seniors", TRUE, "Working Age")</f>
        <v>Working Age</v>
      </c>
      <c r="J2521" s="6">
        <f>VLOOKUP(F2521,Analysis!$F$1:$G$5,2,FALSE)</f>
        <v>2496.7676064256989</v>
      </c>
      <c r="K2521">
        <f t="shared" si="156"/>
        <v>809.97</v>
      </c>
      <c r="L2521">
        <f t="shared" si="157"/>
        <v>809.98</v>
      </c>
      <c r="M2521">
        <f t="shared" si="158"/>
        <v>809.97</v>
      </c>
      <c r="N2521" s="5" t="str">
        <f t="shared" si="159"/>
        <v>January 2023</v>
      </c>
    </row>
    <row r="2522" spans="1:14" x14ac:dyDescent="0.25">
      <c r="A2522" s="1">
        <v>44930</v>
      </c>
      <c r="B2522" t="s">
        <v>3387</v>
      </c>
      <c r="C2522">
        <v>25</v>
      </c>
      <c r="D2522" t="s">
        <v>21</v>
      </c>
      <c r="E2522" t="s">
        <v>34</v>
      </c>
      <c r="F2522" t="s">
        <v>16</v>
      </c>
      <c r="G2522" t="s">
        <v>36</v>
      </c>
      <c r="H2522">
        <v>316.04000000000002</v>
      </c>
      <c r="I2522" s="8" t="str" cm="1">
        <f t="array" ref="I2522">_xlfn.IFS(C2522&lt;=15,"Children and Young Adolescents", C2522&gt;64, "Seniors", TRUE, "Working Age")</f>
        <v>Working Age</v>
      </c>
      <c r="J2522" s="6">
        <f>VLOOKUP(F2522,Analysis!$F$1:$G$5,2,FALSE)</f>
        <v>2509.1716796874912</v>
      </c>
      <c r="K2522">
        <f t="shared" si="156"/>
        <v>347.64</v>
      </c>
      <c r="L2522">
        <f t="shared" si="157"/>
        <v>347.65</v>
      </c>
      <c r="M2522">
        <f t="shared" si="158"/>
        <v>347.64</v>
      </c>
      <c r="N2522" s="5" t="str">
        <f t="shared" si="159"/>
        <v>January 2023</v>
      </c>
    </row>
    <row r="2523" spans="1:14" x14ac:dyDescent="0.25">
      <c r="A2523" s="1">
        <v>44930</v>
      </c>
      <c r="B2523" t="s">
        <v>4256</v>
      </c>
      <c r="C2523">
        <v>53</v>
      </c>
      <c r="D2523" t="s">
        <v>9</v>
      </c>
      <c r="E2523" t="s">
        <v>5032</v>
      </c>
      <c r="F2523" t="s">
        <v>11</v>
      </c>
      <c r="G2523" t="s">
        <v>39</v>
      </c>
      <c r="H2523">
        <v>2334.5500000000002</v>
      </c>
      <c r="I2523" s="8" t="str" cm="1">
        <f t="array" ref="I2523">_xlfn.IFS(C2523&lt;=15,"Children and Young Adolescents", C2523&gt;64, "Seniors", TRUE, "Working Age")</f>
        <v>Working Age</v>
      </c>
      <c r="J2523" s="6">
        <f>VLOOKUP(F2523,Analysis!$F$1:$G$5,2,FALSE)</f>
        <v>2503.6022787783854</v>
      </c>
      <c r="K2523">
        <f t="shared" si="156"/>
        <v>2568</v>
      </c>
      <c r="L2523">
        <f t="shared" si="157"/>
        <v>2568.0100000000002</v>
      </c>
      <c r="M2523">
        <f t="shared" si="158"/>
        <v>2568.0100000000002</v>
      </c>
      <c r="N2523" s="5" t="str">
        <f t="shared" si="159"/>
        <v>January 2023</v>
      </c>
    </row>
    <row r="2524" spans="1:14" x14ac:dyDescent="0.25">
      <c r="A2524" s="1">
        <v>44931</v>
      </c>
      <c r="B2524" t="s">
        <v>2338</v>
      </c>
      <c r="C2524">
        <v>59</v>
      </c>
      <c r="D2524" t="s">
        <v>14</v>
      </c>
      <c r="E2524" t="s">
        <v>32</v>
      </c>
      <c r="F2524" t="s">
        <v>23</v>
      </c>
      <c r="G2524" t="s">
        <v>27</v>
      </c>
      <c r="H2524">
        <v>608.33000000000004</v>
      </c>
      <c r="I2524" s="8" t="str" cm="1">
        <f t="array" ref="I2524">_xlfn.IFS(C2524&lt;=15,"Children and Young Adolescents", C2524&gt;64, "Seniors", TRUE, "Working Age")</f>
        <v>Working Age</v>
      </c>
      <c r="J2524" s="6">
        <f>VLOOKUP(F2524,Analysis!$F$1:$G$5,2,FALSE)</f>
        <v>2440.2966694490838</v>
      </c>
      <c r="K2524">
        <f t="shared" si="156"/>
        <v>669.16</v>
      </c>
      <c r="L2524">
        <f t="shared" si="157"/>
        <v>669.17</v>
      </c>
      <c r="M2524">
        <f t="shared" si="158"/>
        <v>669.16</v>
      </c>
      <c r="N2524" s="5" t="str">
        <f t="shared" si="159"/>
        <v>January 2023</v>
      </c>
    </row>
    <row r="2525" spans="1:14" x14ac:dyDescent="0.25">
      <c r="A2525" s="1">
        <v>44931</v>
      </c>
      <c r="B2525" t="s">
        <v>3992</v>
      </c>
      <c r="C2525">
        <v>77</v>
      </c>
      <c r="D2525" t="s">
        <v>9</v>
      </c>
      <c r="E2525" t="s">
        <v>34</v>
      </c>
      <c r="F2525" t="s">
        <v>11</v>
      </c>
      <c r="G2525" t="s">
        <v>36</v>
      </c>
      <c r="H2525">
        <v>793.86</v>
      </c>
      <c r="I2525" s="8" t="str" cm="1">
        <f t="array" ref="I2525">_xlfn.IFS(C2525&lt;=15,"Children and Young Adolescents", C2525&gt;64, "Seniors", TRUE, "Working Age")</f>
        <v>Seniors</v>
      </c>
      <c r="J2525" s="6">
        <f>VLOOKUP(F2525,Analysis!$F$1:$G$5,2,FALSE)</f>
        <v>2503.6022787783854</v>
      </c>
      <c r="K2525">
        <f t="shared" si="156"/>
        <v>873.24</v>
      </c>
      <c r="L2525">
        <f t="shared" si="157"/>
        <v>873.25</v>
      </c>
      <c r="M2525">
        <f t="shared" si="158"/>
        <v>873.25</v>
      </c>
      <c r="N2525" s="5" t="str">
        <f t="shared" si="159"/>
        <v>January 2023</v>
      </c>
    </row>
    <row r="2526" spans="1:14" x14ac:dyDescent="0.25">
      <c r="A2526" s="1">
        <v>44931</v>
      </c>
      <c r="B2526" t="s">
        <v>831</v>
      </c>
      <c r="C2526">
        <v>39</v>
      </c>
      <c r="D2526" t="s">
        <v>21</v>
      </c>
      <c r="E2526" t="s">
        <v>34</v>
      </c>
      <c r="F2526" t="s">
        <v>23</v>
      </c>
      <c r="G2526" t="s">
        <v>27</v>
      </c>
      <c r="H2526">
        <v>114.04</v>
      </c>
      <c r="I2526" s="8" t="str" cm="1">
        <f t="array" ref="I2526">_xlfn.IFS(C2526&lt;=15,"Children and Young Adolescents", C2526&gt;64, "Seniors", TRUE, "Working Age")</f>
        <v>Working Age</v>
      </c>
      <c r="J2526" s="6">
        <f>VLOOKUP(F2526,Analysis!$F$1:$G$5,2,FALSE)</f>
        <v>2440.2966694490838</v>
      </c>
      <c r="K2526">
        <f t="shared" si="156"/>
        <v>125.44</v>
      </c>
      <c r="L2526">
        <f t="shared" si="157"/>
        <v>125.45</v>
      </c>
      <c r="M2526">
        <f t="shared" si="158"/>
        <v>125.44</v>
      </c>
      <c r="N2526" s="5" t="str">
        <f t="shared" si="159"/>
        <v>January 2023</v>
      </c>
    </row>
    <row r="2527" spans="1:14" x14ac:dyDescent="0.25">
      <c r="A2527" s="1">
        <v>44931</v>
      </c>
      <c r="B2527" t="s">
        <v>4617</v>
      </c>
      <c r="C2527">
        <v>98</v>
      </c>
      <c r="D2527" t="s">
        <v>21</v>
      </c>
      <c r="E2527" t="s">
        <v>10</v>
      </c>
      <c r="F2527" t="s">
        <v>23</v>
      </c>
      <c r="G2527" t="s">
        <v>36</v>
      </c>
      <c r="H2527">
        <v>1831.81</v>
      </c>
      <c r="I2527" s="8" t="str" cm="1">
        <f t="array" ref="I2527">_xlfn.IFS(C2527&lt;=15,"Children and Young Adolescents", C2527&gt;64, "Seniors", TRUE, "Working Age")</f>
        <v>Seniors</v>
      </c>
      <c r="J2527" s="6">
        <f>VLOOKUP(F2527,Analysis!$F$1:$G$5,2,FALSE)</f>
        <v>2440.2966694490838</v>
      </c>
      <c r="K2527">
        <f t="shared" si="156"/>
        <v>2014.99</v>
      </c>
      <c r="L2527">
        <f t="shared" si="157"/>
        <v>2015</v>
      </c>
      <c r="M2527">
        <f t="shared" si="158"/>
        <v>2014.99</v>
      </c>
      <c r="N2527" s="5" t="str">
        <f t="shared" si="159"/>
        <v>January 2023</v>
      </c>
    </row>
    <row r="2528" spans="1:14" x14ac:dyDescent="0.25">
      <c r="A2528" s="1">
        <v>44931</v>
      </c>
      <c r="B2528" t="s">
        <v>3932</v>
      </c>
      <c r="C2528">
        <v>21</v>
      </c>
      <c r="D2528" t="s">
        <v>21</v>
      </c>
      <c r="E2528" t="s">
        <v>22</v>
      </c>
      <c r="F2528" t="s">
        <v>29</v>
      </c>
      <c r="G2528" t="s">
        <v>12</v>
      </c>
      <c r="H2528">
        <v>4882.18</v>
      </c>
      <c r="I2528" s="8" t="str" cm="1">
        <f t="array" ref="I2528">_xlfn.IFS(C2528&lt;=15,"Children and Young Adolescents", C2528&gt;64, "Seniors", TRUE, "Working Age")</f>
        <v>Working Age</v>
      </c>
      <c r="J2528" s="6">
        <f>VLOOKUP(F2528,Analysis!$F$1:$G$5,2,FALSE)</f>
        <v>2496.7676064256989</v>
      </c>
      <c r="K2528">
        <f t="shared" si="156"/>
        <v>5370.39</v>
      </c>
      <c r="L2528">
        <f t="shared" si="157"/>
        <v>5370.4000000000005</v>
      </c>
      <c r="M2528">
        <f t="shared" si="158"/>
        <v>5370.4</v>
      </c>
      <c r="N2528" s="5" t="str">
        <f t="shared" si="159"/>
        <v>January 2023</v>
      </c>
    </row>
    <row r="2529" spans="1:14" x14ac:dyDescent="0.25">
      <c r="A2529" s="1">
        <v>44932</v>
      </c>
      <c r="B2529" t="s">
        <v>4871</v>
      </c>
      <c r="C2529">
        <v>59</v>
      </c>
      <c r="D2529" t="s">
        <v>9</v>
      </c>
      <c r="E2529" t="s">
        <v>34</v>
      </c>
      <c r="F2529" t="s">
        <v>23</v>
      </c>
      <c r="G2529" t="s">
        <v>36</v>
      </c>
      <c r="H2529">
        <v>751</v>
      </c>
      <c r="I2529" s="8" t="str" cm="1">
        <f t="array" ref="I2529">_xlfn.IFS(C2529&lt;=15,"Children and Young Adolescents", C2529&gt;64, "Seniors", TRUE, "Working Age")</f>
        <v>Working Age</v>
      </c>
      <c r="J2529" s="6">
        <f>VLOOKUP(F2529,Analysis!$F$1:$G$5,2,FALSE)</f>
        <v>2440.2966694490838</v>
      </c>
      <c r="K2529">
        <f t="shared" si="156"/>
        <v>826.1</v>
      </c>
      <c r="L2529">
        <f t="shared" si="157"/>
        <v>826.1</v>
      </c>
      <c r="M2529">
        <f t="shared" si="158"/>
        <v>826.1</v>
      </c>
      <c r="N2529" s="5" t="str">
        <f t="shared" si="159"/>
        <v>January 2023</v>
      </c>
    </row>
    <row r="2530" spans="1:14" x14ac:dyDescent="0.25">
      <c r="A2530" s="1">
        <v>44932</v>
      </c>
      <c r="B2530" t="s">
        <v>4235</v>
      </c>
      <c r="C2530">
        <v>31</v>
      </c>
      <c r="D2530" t="s">
        <v>9</v>
      </c>
      <c r="E2530" t="s">
        <v>19</v>
      </c>
      <c r="F2530" t="s">
        <v>16</v>
      </c>
      <c r="G2530" t="s">
        <v>17</v>
      </c>
      <c r="H2530">
        <v>1161.45</v>
      </c>
      <c r="I2530" s="8" t="str" cm="1">
        <f t="array" ref="I2530">_xlfn.IFS(C2530&lt;=15,"Children and Young Adolescents", C2530&gt;64, "Seniors", TRUE, "Working Age")</f>
        <v>Working Age</v>
      </c>
      <c r="J2530" s="6">
        <f>VLOOKUP(F2530,Analysis!$F$1:$G$5,2,FALSE)</f>
        <v>2509.1716796874912</v>
      </c>
      <c r="K2530">
        <f t="shared" si="156"/>
        <v>1277.5899999999999</v>
      </c>
      <c r="L2530">
        <f t="shared" si="157"/>
        <v>1277.5999999999999</v>
      </c>
      <c r="M2530">
        <f t="shared" si="158"/>
        <v>1277.5999999999999</v>
      </c>
      <c r="N2530" s="5" t="str">
        <f t="shared" si="159"/>
        <v>January 2023</v>
      </c>
    </row>
    <row r="2531" spans="1:14" x14ac:dyDescent="0.25">
      <c r="A2531" s="1">
        <v>44932</v>
      </c>
      <c r="B2531" t="s">
        <v>1256</v>
      </c>
      <c r="C2531">
        <v>57</v>
      </c>
      <c r="D2531" t="s">
        <v>14</v>
      </c>
      <c r="E2531" t="s">
        <v>34</v>
      </c>
      <c r="F2531" t="s">
        <v>16</v>
      </c>
      <c r="G2531" t="s">
        <v>12</v>
      </c>
      <c r="H2531">
        <v>2448.96</v>
      </c>
      <c r="I2531" s="8" t="str" cm="1">
        <f t="array" ref="I2531">_xlfn.IFS(C2531&lt;=15,"Children and Young Adolescents", C2531&gt;64, "Seniors", TRUE, "Working Age")</f>
        <v>Working Age</v>
      </c>
      <c r="J2531" s="6">
        <f>VLOOKUP(F2531,Analysis!$F$1:$G$5,2,FALSE)</f>
        <v>2509.1716796874912</v>
      </c>
      <c r="K2531">
        <f t="shared" si="156"/>
        <v>2693.85</v>
      </c>
      <c r="L2531">
        <f t="shared" si="157"/>
        <v>2693.86</v>
      </c>
      <c r="M2531">
        <f t="shared" si="158"/>
        <v>2693.86</v>
      </c>
      <c r="N2531" s="5" t="str">
        <f t="shared" si="159"/>
        <v>January 2023</v>
      </c>
    </row>
    <row r="2532" spans="1:14" x14ac:dyDescent="0.25">
      <c r="A2532" s="1">
        <v>44932</v>
      </c>
      <c r="B2532" t="s">
        <v>3843</v>
      </c>
      <c r="C2532">
        <v>32</v>
      </c>
      <c r="D2532" t="s">
        <v>14</v>
      </c>
      <c r="E2532" t="s">
        <v>34</v>
      </c>
      <c r="F2532" t="s">
        <v>23</v>
      </c>
      <c r="G2532" t="s">
        <v>12</v>
      </c>
      <c r="H2532">
        <v>3754.54</v>
      </c>
      <c r="I2532" s="8" t="str" cm="1">
        <f t="array" ref="I2532">_xlfn.IFS(C2532&lt;=15,"Children and Young Adolescents", C2532&gt;64, "Seniors", TRUE, "Working Age")</f>
        <v>Working Age</v>
      </c>
      <c r="J2532" s="6">
        <f>VLOOKUP(F2532,Analysis!$F$1:$G$5,2,FALSE)</f>
        <v>2440.2966694490838</v>
      </c>
      <c r="K2532">
        <f t="shared" si="156"/>
        <v>4129.99</v>
      </c>
      <c r="L2532">
        <f t="shared" si="157"/>
        <v>4130</v>
      </c>
      <c r="M2532">
        <f t="shared" si="158"/>
        <v>4129.99</v>
      </c>
      <c r="N2532" s="5" t="str">
        <f t="shared" si="159"/>
        <v>January 2023</v>
      </c>
    </row>
    <row r="2533" spans="1:14" x14ac:dyDescent="0.25">
      <c r="A2533" s="1">
        <v>44932</v>
      </c>
      <c r="B2533" t="s">
        <v>2073</v>
      </c>
      <c r="C2533">
        <v>48</v>
      </c>
      <c r="D2533" t="s">
        <v>21</v>
      </c>
      <c r="E2533" t="s">
        <v>15</v>
      </c>
      <c r="F2533" t="s">
        <v>11</v>
      </c>
      <c r="G2533" t="s">
        <v>27</v>
      </c>
      <c r="H2533">
        <v>3738.09</v>
      </c>
      <c r="I2533" s="8" t="str" cm="1">
        <f t="array" ref="I2533">_xlfn.IFS(C2533&lt;=15,"Children and Young Adolescents", C2533&gt;64, "Seniors", TRUE, "Working Age")</f>
        <v>Working Age</v>
      </c>
      <c r="J2533" s="6">
        <f>VLOOKUP(F2533,Analysis!$F$1:$G$5,2,FALSE)</f>
        <v>2503.6022787783854</v>
      </c>
      <c r="K2533">
        <f t="shared" si="156"/>
        <v>4111.8900000000003</v>
      </c>
      <c r="L2533">
        <f t="shared" si="157"/>
        <v>4111.9000000000005</v>
      </c>
      <c r="M2533">
        <f t="shared" si="158"/>
        <v>4111.8999999999996</v>
      </c>
      <c r="N2533" s="5" t="str">
        <f t="shared" si="159"/>
        <v>January 2023</v>
      </c>
    </row>
    <row r="2534" spans="1:14" x14ac:dyDescent="0.25">
      <c r="A2534" s="1">
        <v>44932</v>
      </c>
      <c r="B2534" t="s">
        <v>1528</v>
      </c>
      <c r="C2534">
        <v>57</v>
      </c>
      <c r="D2534" t="s">
        <v>14</v>
      </c>
      <c r="E2534" t="s">
        <v>19</v>
      </c>
      <c r="F2534" t="s">
        <v>11</v>
      </c>
      <c r="G2534" t="s">
        <v>17</v>
      </c>
      <c r="H2534">
        <v>4766.05</v>
      </c>
      <c r="I2534" s="8" t="str" cm="1">
        <f t="array" ref="I2534">_xlfn.IFS(C2534&lt;=15,"Children and Young Adolescents", C2534&gt;64, "Seniors", TRUE, "Working Age")</f>
        <v>Working Age</v>
      </c>
      <c r="J2534" s="6">
        <f>VLOOKUP(F2534,Analysis!$F$1:$G$5,2,FALSE)</f>
        <v>2503.6022787783854</v>
      </c>
      <c r="K2534">
        <f t="shared" si="156"/>
        <v>5242.6499999999996</v>
      </c>
      <c r="L2534">
        <f t="shared" si="157"/>
        <v>5242.66</v>
      </c>
      <c r="M2534">
        <f t="shared" si="158"/>
        <v>5242.66</v>
      </c>
      <c r="N2534" s="5" t="str">
        <f t="shared" si="159"/>
        <v>January 2023</v>
      </c>
    </row>
    <row r="2535" spans="1:14" x14ac:dyDescent="0.25">
      <c r="A2535" s="1">
        <v>44932</v>
      </c>
      <c r="B2535" t="s">
        <v>4050</v>
      </c>
      <c r="C2535">
        <v>0</v>
      </c>
      <c r="D2535" t="s">
        <v>21</v>
      </c>
      <c r="E2535" t="s">
        <v>15</v>
      </c>
      <c r="F2535" t="s">
        <v>23</v>
      </c>
      <c r="G2535" t="s">
        <v>36</v>
      </c>
      <c r="H2535">
        <v>2364.5100000000002</v>
      </c>
      <c r="I2535" s="8" t="str" cm="1">
        <f t="array" ref="I2535">_xlfn.IFS(C2535&lt;=15,"Children and Young Adolescents", C2535&gt;64, "Seniors", TRUE, "Working Age")</f>
        <v>Children and Young Adolescents</v>
      </c>
      <c r="J2535" s="6">
        <f>VLOOKUP(F2535,Analysis!$F$1:$G$5,2,FALSE)</f>
        <v>2440.2966694490838</v>
      </c>
      <c r="K2535">
        <f t="shared" si="156"/>
        <v>2600.96</v>
      </c>
      <c r="L2535">
        <f t="shared" si="157"/>
        <v>2600.9700000000003</v>
      </c>
      <c r="M2535">
        <f t="shared" si="158"/>
        <v>2600.96</v>
      </c>
      <c r="N2535" s="5" t="str">
        <f t="shared" si="159"/>
        <v>January 2023</v>
      </c>
    </row>
    <row r="2536" spans="1:14" x14ac:dyDescent="0.25">
      <c r="A2536" s="1">
        <v>44932</v>
      </c>
      <c r="B2536" t="s">
        <v>934</v>
      </c>
      <c r="C2536">
        <v>15</v>
      </c>
      <c r="D2536" t="s">
        <v>9</v>
      </c>
      <c r="E2536" t="s">
        <v>32</v>
      </c>
      <c r="F2536" t="s">
        <v>11</v>
      </c>
      <c r="G2536" t="s">
        <v>17</v>
      </c>
      <c r="H2536">
        <v>3033.44</v>
      </c>
      <c r="I2536" s="8" t="str" cm="1">
        <f t="array" ref="I2536">_xlfn.IFS(C2536&lt;=15,"Children and Young Adolescents", C2536&gt;64, "Seniors", TRUE, "Working Age")</f>
        <v>Children and Young Adolescents</v>
      </c>
      <c r="J2536" s="6">
        <f>VLOOKUP(F2536,Analysis!$F$1:$G$5,2,FALSE)</f>
        <v>2503.6022787783854</v>
      </c>
      <c r="K2536">
        <f t="shared" si="156"/>
        <v>3336.78</v>
      </c>
      <c r="L2536">
        <f t="shared" si="157"/>
        <v>3336.7900000000004</v>
      </c>
      <c r="M2536">
        <f t="shared" si="158"/>
        <v>3336.78</v>
      </c>
      <c r="N2536" s="5" t="str">
        <f t="shared" si="159"/>
        <v>January 2023</v>
      </c>
    </row>
    <row r="2537" spans="1:14" x14ac:dyDescent="0.25">
      <c r="A2537" s="1">
        <v>44932</v>
      </c>
      <c r="B2537" t="s">
        <v>4114</v>
      </c>
      <c r="C2537">
        <v>31</v>
      </c>
      <c r="D2537" t="s">
        <v>14</v>
      </c>
      <c r="E2537" t="s">
        <v>15</v>
      </c>
      <c r="F2537" t="s">
        <v>23</v>
      </c>
      <c r="G2537" t="s">
        <v>27</v>
      </c>
      <c r="H2537">
        <v>2131.42</v>
      </c>
      <c r="I2537" s="8" t="str" cm="1">
        <f t="array" ref="I2537">_xlfn.IFS(C2537&lt;=15,"Children and Young Adolescents", C2537&gt;64, "Seniors", TRUE, "Working Age")</f>
        <v>Working Age</v>
      </c>
      <c r="J2537" s="6">
        <f>VLOOKUP(F2537,Analysis!$F$1:$G$5,2,FALSE)</f>
        <v>2440.2966694490838</v>
      </c>
      <c r="K2537">
        <f t="shared" si="156"/>
        <v>2344.56</v>
      </c>
      <c r="L2537">
        <f t="shared" si="157"/>
        <v>2344.5700000000002</v>
      </c>
      <c r="M2537">
        <f t="shared" si="158"/>
        <v>2344.56</v>
      </c>
      <c r="N2537" s="5" t="str">
        <f t="shared" si="159"/>
        <v>January 2023</v>
      </c>
    </row>
    <row r="2538" spans="1:14" x14ac:dyDescent="0.25">
      <c r="A2538" s="1">
        <v>44933</v>
      </c>
      <c r="B2538" t="s">
        <v>4625</v>
      </c>
      <c r="C2538">
        <v>43</v>
      </c>
      <c r="D2538" t="s">
        <v>14</v>
      </c>
      <c r="E2538" t="s">
        <v>32</v>
      </c>
      <c r="F2538" t="s">
        <v>11</v>
      </c>
      <c r="G2538" t="s">
        <v>39</v>
      </c>
      <c r="H2538">
        <v>3624.67</v>
      </c>
      <c r="I2538" s="8" t="str" cm="1">
        <f t="array" ref="I2538">_xlfn.IFS(C2538&lt;=15,"Children and Young Adolescents", C2538&gt;64, "Seniors", TRUE, "Working Age")</f>
        <v>Working Age</v>
      </c>
      <c r="J2538" s="6">
        <f>VLOOKUP(F2538,Analysis!$F$1:$G$5,2,FALSE)</f>
        <v>2503.6022787783854</v>
      </c>
      <c r="K2538">
        <f t="shared" si="156"/>
        <v>3987.13</v>
      </c>
      <c r="L2538">
        <f t="shared" si="157"/>
        <v>3987.1400000000003</v>
      </c>
      <c r="M2538">
        <f t="shared" si="158"/>
        <v>3987.14</v>
      </c>
      <c r="N2538" s="5" t="str">
        <f t="shared" si="159"/>
        <v>January 2023</v>
      </c>
    </row>
    <row r="2539" spans="1:14" x14ac:dyDescent="0.25">
      <c r="A2539" s="1">
        <v>44933</v>
      </c>
      <c r="B2539" t="s">
        <v>4976</v>
      </c>
      <c r="C2539">
        <v>68</v>
      </c>
      <c r="D2539" t="s">
        <v>9</v>
      </c>
      <c r="E2539" t="s">
        <v>25</v>
      </c>
      <c r="F2539" t="s">
        <v>23</v>
      </c>
      <c r="G2539" t="s">
        <v>39</v>
      </c>
      <c r="H2539">
        <v>2024.25</v>
      </c>
      <c r="I2539" s="8" t="str" cm="1">
        <f t="array" ref="I2539">_xlfn.IFS(C2539&lt;=15,"Children and Young Adolescents", C2539&gt;64, "Seniors", TRUE, "Working Age")</f>
        <v>Seniors</v>
      </c>
      <c r="J2539" s="6">
        <f>VLOOKUP(F2539,Analysis!$F$1:$G$5,2,FALSE)</f>
        <v>2440.2966694490838</v>
      </c>
      <c r="K2539">
        <f t="shared" si="156"/>
        <v>2226.67</v>
      </c>
      <c r="L2539">
        <f t="shared" si="157"/>
        <v>2226.6800000000003</v>
      </c>
      <c r="M2539">
        <f t="shared" si="158"/>
        <v>2226.6799999999998</v>
      </c>
      <c r="N2539" s="5" t="str">
        <f t="shared" si="159"/>
        <v>January 2023</v>
      </c>
    </row>
    <row r="2540" spans="1:14" x14ac:dyDescent="0.25">
      <c r="A2540" s="1">
        <v>44933</v>
      </c>
      <c r="B2540" t="s">
        <v>186</v>
      </c>
      <c r="C2540">
        <v>0</v>
      </c>
      <c r="D2540" t="s">
        <v>21</v>
      </c>
      <c r="E2540" t="s">
        <v>19</v>
      </c>
      <c r="F2540" t="s">
        <v>29</v>
      </c>
      <c r="G2540" t="s">
        <v>27</v>
      </c>
      <c r="H2540">
        <v>4944.5</v>
      </c>
      <c r="I2540" s="8" t="str" cm="1">
        <f t="array" ref="I2540">_xlfn.IFS(C2540&lt;=15,"Children and Young Adolescents", C2540&gt;64, "Seniors", TRUE, "Working Age")</f>
        <v>Children and Young Adolescents</v>
      </c>
      <c r="J2540" s="6">
        <f>VLOOKUP(F2540,Analysis!$F$1:$G$5,2,FALSE)</f>
        <v>2496.7676064256989</v>
      </c>
      <c r="K2540">
        <f t="shared" si="156"/>
        <v>5438.95</v>
      </c>
      <c r="L2540">
        <f t="shared" si="157"/>
        <v>5438.95</v>
      </c>
      <c r="M2540">
        <f t="shared" si="158"/>
        <v>5438.95</v>
      </c>
      <c r="N2540" s="5" t="str">
        <f t="shared" si="159"/>
        <v>January 2023</v>
      </c>
    </row>
    <row r="2541" spans="1:14" x14ac:dyDescent="0.25">
      <c r="A2541" s="1">
        <v>44933</v>
      </c>
      <c r="B2541" t="s">
        <v>1894</v>
      </c>
      <c r="C2541">
        <v>53</v>
      </c>
      <c r="D2541" t="s">
        <v>14</v>
      </c>
      <c r="E2541" t="s">
        <v>19</v>
      </c>
      <c r="F2541" t="s">
        <v>16</v>
      </c>
      <c r="G2541" t="s">
        <v>36</v>
      </c>
      <c r="H2541">
        <v>4903.3599999999997</v>
      </c>
      <c r="I2541" s="8" t="str" cm="1">
        <f t="array" ref="I2541">_xlfn.IFS(C2541&lt;=15,"Children and Young Adolescents", C2541&gt;64, "Seniors", TRUE, "Working Age")</f>
        <v>Working Age</v>
      </c>
      <c r="J2541" s="6">
        <f>VLOOKUP(F2541,Analysis!$F$1:$G$5,2,FALSE)</f>
        <v>2509.1716796874912</v>
      </c>
      <c r="K2541">
        <f t="shared" si="156"/>
        <v>5393.69</v>
      </c>
      <c r="L2541">
        <f t="shared" si="157"/>
        <v>5393.7</v>
      </c>
      <c r="M2541">
        <f t="shared" si="158"/>
        <v>5393.7</v>
      </c>
      <c r="N2541" s="5" t="str">
        <f t="shared" si="159"/>
        <v>January 2023</v>
      </c>
    </row>
    <row r="2542" spans="1:14" x14ac:dyDescent="0.25">
      <c r="A2542" s="1">
        <v>44933</v>
      </c>
      <c r="B2542" t="s">
        <v>4569</v>
      </c>
      <c r="C2542">
        <v>95</v>
      </c>
      <c r="D2542" t="s">
        <v>14</v>
      </c>
      <c r="E2542" t="s">
        <v>34</v>
      </c>
      <c r="F2542" t="s">
        <v>23</v>
      </c>
      <c r="G2542" t="s">
        <v>27</v>
      </c>
      <c r="H2542">
        <v>1744.18</v>
      </c>
      <c r="I2542" s="8" t="str" cm="1">
        <f t="array" ref="I2542">_xlfn.IFS(C2542&lt;=15,"Children and Young Adolescents", C2542&gt;64, "Seniors", TRUE, "Working Age")</f>
        <v>Seniors</v>
      </c>
      <c r="J2542" s="6">
        <f>VLOOKUP(F2542,Analysis!$F$1:$G$5,2,FALSE)</f>
        <v>2440.2966694490838</v>
      </c>
      <c r="K2542">
        <f t="shared" si="156"/>
        <v>1918.59</v>
      </c>
      <c r="L2542">
        <f t="shared" si="157"/>
        <v>1918.6</v>
      </c>
      <c r="M2542">
        <f t="shared" si="158"/>
        <v>1918.6</v>
      </c>
      <c r="N2542" s="5" t="str">
        <f t="shared" si="159"/>
        <v>January 2023</v>
      </c>
    </row>
    <row r="2543" spans="1:14" x14ac:dyDescent="0.25">
      <c r="A2543" s="1">
        <v>44933</v>
      </c>
      <c r="B2543" t="s">
        <v>3584</v>
      </c>
      <c r="C2543">
        <v>42</v>
      </c>
      <c r="D2543" t="s">
        <v>21</v>
      </c>
      <c r="E2543" t="s">
        <v>5032</v>
      </c>
      <c r="F2543" t="s">
        <v>23</v>
      </c>
      <c r="G2543" t="s">
        <v>39</v>
      </c>
      <c r="H2543">
        <v>3295.64</v>
      </c>
      <c r="I2543" s="8" t="str" cm="1">
        <f t="array" ref="I2543">_xlfn.IFS(C2543&lt;=15,"Children and Young Adolescents", C2543&gt;64, "Seniors", TRUE, "Working Age")</f>
        <v>Working Age</v>
      </c>
      <c r="J2543" s="6">
        <f>VLOOKUP(F2543,Analysis!$F$1:$G$5,2,FALSE)</f>
        <v>2440.2966694490838</v>
      </c>
      <c r="K2543">
        <f t="shared" si="156"/>
        <v>3625.2</v>
      </c>
      <c r="L2543">
        <f t="shared" si="157"/>
        <v>3625.21</v>
      </c>
      <c r="M2543">
        <f t="shared" si="158"/>
        <v>3625.2</v>
      </c>
      <c r="N2543" s="5" t="str">
        <f t="shared" si="159"/>
        <v>January 2023</v>
      </c>
    </row>
    <row r="2544" spans="1:14" x14ac:dyDescent="0.25">
      <c r="A2544" s="1">
        <v>44933</v>
      </c>
      <c r="B2544" t="s">
        <v>3462</v>
      </c>
      <c r="C2544">
        <v>44</v>
      </c>
      <c r="D2544" t="s">
        <v>9</v>
      </c>
      <c r="E2544" t="s">
        <v>32</v>
      </c>
      <c r="F2544" t="s">
        <v>23</v>
      </c>
      <c r="G2544" t="s">
        <v>27</v>
      </c>
      <c r="H2544">
        <v>3840.17</v>
      </c>
      <c r="I2544" s="8" t="str" cm="1">
        <f t="array" ref="I2544">_xlfn.IFS(C2544&lt;=15,"Children and Young Adolescents", C2544&gt;64, "Seniors", TRUE, "Working Age")</f>
        <v>Working Age</v>
      </c>
      <c r="J2544" s="6">
        <f>VLOOKUP(F2544,Analysis!$F$1:$G$5,2,FALSE)</f>
        <v>2440.2966694490838</v>
      </c>
      <c r="K2544">
        <f t="shared" si="156"/>
        <v>4224.18</v>
      </c>
      <c r="L2544">
        <f t="shared" si="157"/>
        <v>4224.1900000000005</v>
      </c>
      <c r="M2544">
        <f t="shared" si="158"/>
        <v>4224.1899999999996</v>
      </c>
      <c r="N2544" s="5" t="str">
        <f t="shared" si="159"/>
        <v>January 2023</v>
      </c>
    </row>
    <row r="2545" spans="1:14" x14ac:dyDescent="0.25">
      <c r="A2545" s="1">
        <v>44933</v>
      </c>
      <c r="B2545" t="s">
        <v>577</v>
      </c>
      <c r="C2545">
        <v>85</v>
      </c>
      <c r="D2545" t="s">
        <v>21</v>
      </c>
      <c r="E2545" t="s">
        <v>10</v>
      </c>
      <c r="F2545" t="s">
        <v>11</v>
      </c>
      <c r="G2545" t="s">
        <v>27</v>
      </c>
      <c r="H2545">
        <v>3750.07</v>
      </c>
      <c r="I2545" s="8" t="str" cm="1">
        <f t="array" ref="I2545">_xlfn.IFS(C2545&lt;=15,"Children and Young Adolescents", C2545&gt;64, "Seniors", TRUE, "Working Age")</f>
        <v>Seniors</v>
      </c>
      <c r="J2545" s="6">
        <f>VLOOKUP(F2545,Analysis!$F$1:$G$5,2,FALSE)</f>
        <v>2503.6022787783854</v>
      </c>
      <c r="K2545">
        <f t="shared" si="156"/>
        <v>4125.07</v>
      </c>
      <c r="L2545">
        <f t="shared" si="157"/>
        <v>4125.08</v>
      </c>
      <c r="M2545">
        <f t="shared" si="158"/>
        <v>4125.08</v>
      </c>
      <c r="N2545" s="5" t="str">
        <f t="shared" si="159"/>
        <v>January 2023</v>
      </c>
    </row>
    <row r="2546" spans="1:14" x14ac:dyDescent="0.25">
      <c r="A2546" s="1">
        <v>44933</v>
      </c>
      <c r="B2546" t="s">
        <v>2253</v>
      </c>
      <c r="C2546">
        <v>20</v>
      </c>
      <c r="D2546" t="s">
        <v>21</v>
      </c>
      <c r="E2546" t="s">
        <v>22</v>
      </c>
      <c r="F2546" t="s">
        <v>16</v>
      </c>
      <c r="G2546" t="s">
        <v>36</v>
      </c>
      <c r="H2546">
        <v>4058.54</v>
      </c>
      <c r="I2546" s="8" t="str" cm="1">
        <f t="array" ref="I2546">_xlfn.IFS(C2546&lt;=15,"Children and Young Adolescents", C2546&gt;64, "Seniors", TRUE, "Working Age")</f>
        <v>Working Age</v>
      </c>
      <c r="J2546" s="6">
        <f>VLOOKUP(F2546,Analysis!$F$1:$G$5,2,FALSE)</f>
        <v>2509.1716796874912</v>
      </c>
      <c r="K2546">
        <f t="shared" si="156"/>
        <v>4464.3900000000003</v>
      </c>
      <c r="L2546">
        <f t="shared" si="157"/>
        <v>4464.4000000000005</v>
      </c>
      <c r="M2546">
        <f t="shared" si="158"/>
        <v>4464.3900000000003</v>
      </c>
      <c r="N2546" s="5" t="str">
        <f t="shared" si="159"/>
        <v>January 2023</v>
      </c>
    </row>
    <row r="2547" spans="1:14" x14ac:dyDescent="0.25">
      <c r="A2547" s="1">
        <v>44933</v>
      </c>
      <c r="B2547" t="s">
        <v>3455</v>
      </c>
      <c r="C2547">
        <v>72</v>
      </c>
      <c r="D2547" t="s">
        <v>21</v>
      </c>
      <c r="E2547" t="s">
        <v>22</v>
      </c>
      <c r="F2547" t="s">
        <v>23</v>
      </c>
      <c r="G2547" t="s">
        <v>12</v>
      </c>
      <c r="H2547">
        <v>3475.19</v>
      </c>
      <c r="I2547" s="8" t="str" cm="1">
        <f t="array" ref="I2547">_xlfn.IFS(C2547&lt;=15,"Children and Young Adolescents", C2547&gt;64, "Seniors", TRUE, "Working Age")</f>
        <v>Seniors</v>
      </c>
      <c r="J2547" s="6">
        <f>VLOOKUP(F2547,Analysis!$F$1:$G$5,2,FALSE)</f>
        <v>2440.2966694490838</v>
      </c>
      <c r="K2547">
        <f t="shared" si="156"/>
        <v>3822.7</v>
      </c>
      <c r="L2547">
        <f t="shared" si="157"/>
        <v>3822.71</v>
      </c>
      <c r="M2547">
        <f t="shared" si="158"/>
        <v>3822.71</v>
      </c>
      <c r="N2547" s="5" t="str">
        <f t="shared" si="159"/>
        <v>January 2023</v>
      </c>
    </row>
    <row r="2548" spans="1:14" x14ac:dyDescent="0.25">
      <c r="A2548" s="1">
        <v>44933</v>
      </c>
      <c r="B2548" t="s">
        <v>3882</v>
      </c>
      <c r="C2548">
        <v>82</v>
      </c>
      <c r="D2548" t="s">
        <v>14</v>
      </c>
      <c r="E2548" t="s">
        <v>19</v>
      </c>
      <c r="F2548" t="s">
        <v>16</v>
      </c>
      <c r="G2548" t="s">
        <v>17</v>
      </c>
      <c r="H2548">
        <v>3859.76</v>
      </c>
      <c r="I2548" s="8" t="str" cm="1">
        <f t="array" ref="I2548">_xlfn.IFS(C2548&lt;=15,"Children and Young Adolescents", C2548&gt;64, "Seniors", TRUE, "Working Age")</f>
        <v>Seniors</v>
      </c>
      <c r="J2548" s="6">
        <f>VLOOKUP(F2548,Analysis!$F$1:$G$5,2,FALSE)</f>
        <v>2509.1716796874912</v>
      </c>
      <c r="K2548">
        <f t="shared" si="156"/>
        <v>4245.7299999999996</v>
      </c>
      <c r="L2548">
        <f t="shared" si="157"/>
        <v>4245.74</v>
      </c>
      <c r="M2548">
        <f t="shared" si="158"/>
        <v>4245.74</v>
      </c>
      <c r="N2548" s="5" t="str">
        <f t="shared" si="159"/>
        <v>January 2023</v>
      </c>
    </row>
    <row r="2549" spans="1:14" x14ac:dyDescent="0.25">
      <c r="A2549" s="1">
        <v>44933</v>
      </c>
      <c r="B2549" t="s">
        <v>3252</v>
      </c>
      <c r="C2549">
        <v>14</v>
      </c>
      <c r="D2549" t="s">
        <v>21</v>
      </c>
      <c r="E2549" t="s">
        <v>10</v>
      </c>
      <c r="F2549" t="s">
        <v>23</v>
      </c>
      <c r="G2549" t="s">
        <v>5033</v>
      </c>
      <c r="H2549">
        <v>3334.5</v>
      </c>
      <c r="I2549" s="8" t="str" cm="1">
        <f t="array" ref="I2549">_xlfn.IFS(C2549&lt;=15,"Children and Young Adolescents", C2549&gt;64, "Seniors", TRUE, "Working Age")</f>
        <v>Children and Young Adolescents</v>
      </c>
      <c r="J2549" s="6">
        <f>VLOOKUP(F2549,Analysis!$F$1:$G$5,2,FALSE)</f>
        <v>2440.2966694490838</v>
      </c>
      <c r="K2549">
        <f t="shared" si="156"/>
        <v>3667.95</v>
      </c>
      <c r="L2549">
        <f t="shared" si="157"/>
        <v>3667.95</v>
      </c>
      <c r="M2549">
        <f t="shared" si="158"/>
        <v>3667.95</v>
      </c>
      <c r="N2549" s="5" t="str">
        <f t="shared" si="159"/>
        <v>January 2023</v>
      </c>
    </row>
    <row r="2550" spans="1:14" x14ac:dyDescent="0.25">
      <c r="A2550" s="1">
        <v>44933</v>
      </c>
      <c r="B2550" t="s">
        <v>4707</v>
      </c>
      <c r="C2550">
        <v>39</v>
      </c>
      <c r="D2550" t="s">
        <v>21</v>
      </c>
      <c r="E2550" t="s">
        <v>15</v>
      </c>
      <c r="F2550" t="s">
        <v>16</v>
      </c>
      <c r="G2550" t="s">
        <v>17</v>
      </c>
      <c r="H2550">
        <v>4193.45</v>
      </c>
      <c r="I2550" s="8" t="str" cm="1">
        <f t="array" ref="I2550">_xlfn.IFS(C2550&lt;=15,"Children and Young Adolescents", C2550&gt;64, "Seniors", TRUE, "Working Age")</f>
        <v>Working Age</v>
      </c>
      <c r="J2550" s="6">
        <f>VLOOKUP(F2550,Analysis!$F$1:$G$5,2,FALSE)</f>
        <v>2509.1716796874912</v>
      </c>
      <c r="K2550">
        <f t="shared" si="156"/>
        <v>4612.79</v>
      </c>
      <c r="L2550">
        <f t="shared" si="157"/>
        <v>4612.8</v>
      </c>
      <c r="M2550">
        <f t="shared" si="158"/>
        <v>4612.8</v>
      </c>
      <c r="N2550" s="5" t="str">
        <f t="shared" si="159"/>
        <v>January 2023</v>
      </c>
    </row>
    <row r="2551" spans="1:14" x14ac:dyDescent="0.25">
      <c r="A2551" s="1">
        <v>44934</v>
      </c>
      <c r="B2551" t="s">
        <v>1637</v>
      </c>
      <c r="C2551">
        <v>17</v>
      </c>
      <c r="D2551" t="s">
        <v>14</v>
      </c>
      <c r="E2551" t="s">
        <v>22</v>
      </c>
      <c r="F2551" t="s">
        <v>16</v>
      </c>
      <c r="G2551" t="s">
        <v>36</v>
      </c>
      <c r="H2551">
        <v>4915.8500000000004</v>
      </c>
      <c r="I2551" s="8" t="str" cm="1">
        <f t="array" ref="I2551">_xlfn.IFS(C2551&lt;=15,"Children and Young Adolescents", C2551&gt;64, "Seniors", TRUE, "Working Age")</f>
        <v>Working Age</v>
      </c>
      <c r="J2551" s="6">
        <f>VLOOKUP(F2551,Analysis!$F$1:$G$5,2,FALSE)</f>
        <v>2509.1716796874912</v>
      </c>
      <c r="K2551">
        <f t="shared" si="156"/>
        <v>5407.43</v>
      </c>
      <c r="L2551">
        <f t="shared" si="157"/>
        <v>5407.4400000000005</v>
      </c>
      <c r="M2551">
        <f t="shared" si="158"/>
        <v>5407.44</v>
      </c>
      <c r="N2551" s="5" t="str">
        <f t="shared" si="159"/>
        <v>January 2023</v>
      </c>
    </row>
    <row r="2552" spans="1:14" x14ac:dyDescent="0.25">
      <c r="A2552" s="1">
        <v>44934</v>
      </c>
      <c r="B2552" t="s">
        <v>1945</v>
      </c>
      <c r="C2552">
        <v>86</v>
      </c>
      <c r="D2552" t="s">
        <v>14</v>
      </c>
      <c r="E2552" t="s">
        <v>32</v>
      </c>
      <c r="F2552" t="s">
        <v>23</v>
      </c>
      <c r="G2552" t="s">
        <v>12</v>
      </c>
      <c r="H2552">
        <v>1888.64</v>
      </c>
      <c r="I2552" s="8" t="str" cm="1">
        <f t="array" ref="I2552">_xlfn.IFS(C2552&lt;=15,"Children and Young Adolescents", C2552&gt;64, "Seniors", TRUE, "Working Age")</f>
        <v>Seniors</v>
      </c>
      <c r="J2552" s="6">
        <f>VLOOKUP(F2552,Analysis!$F$1:$G$5,2,FALSE)</f>
        <v>2440.2966694490838</v>
      </c>
      <c r="K2552">
        <f t="shared" si="156"/>
        <v>2077.5</v>
      </c>
      <c r="L2552">
        <f t="shared" si="157"/>
        <v>2077.5100000000002</v>
      </c>
      <c r="M2552">
        <f t="shared" si="158"/>
        <v>2077.5</v>
      </c>
      <c r="N2552" s="5" t="str">
        <f t="shared" si="159"/>
        <v>January 2023</v>
      </c>
    </row>
    <row r="2553" spans="1:14" x14ac:dyDescent="0.25">
      <c r="A2553" s="1">
        <v>44934</v>
      </c>
      <c r="B2553" t="s">
        <v>1060</v>
      </c>
      <c r="C2553">
        <v>20</v>
      </c>
      <c r="D2553" t="s">
        <v>14</v>
      </c>
      <c r="E2553" t="s">
        <v>15</v>
      </c>
      <c r="F2553" t="s">
        <v>11</v>
      </c>
      <c r="G2553" t="s">
        <v>39</v>
      </c>
      <c r="H2553">
        <v>712.51</v>
      </c>
      <c r="I2553" s="8" t="str" cm="1">
        <f t="array" ref="I2553">_xlfn.IFS(C2553&lt;=15,"Children and Young Adolescents", C2553&gt;64, "Seniors", TRUE, "Working Age")</f>
        <v>Working Age</v>
      </c>
      <c r="J2553" s="6">
        <f>VLOOKUP(F2553,Analysis!$F$1:$G$5,2,FALSE)</f>
        <v>2503.6022787783854</v>
      </c>
      <c r="K2553">
        <f t="shared" si="156"/>
        <v>783.76</v>
      </c>
      <c r="L2553">
        <f t="shared" si="157"/>
        <v>783.77</v>
      </c>
      <c r="M2553">
        <f t="shared" si="158"/>
        <v>783.76</v>
      </c>
      <c r="N2553" s="5" t="str">
        <f t="shared" si="159"/>
        <v>January 2023</v>
      </c>
    </row>
    <row r="2554" spans="1:14" x14ac:dyDescent="0.25">
      <c r="A2554" s="1">
        <v>44934</v>
      </c>
      <c r="B2554" t="s">
        <v>3952</v>
      </c>
      <c r="C2554">
        <v>12</v>
      </c>
      <c r="D2554" t="s">
        <v>14</v>
      </c>
      <c r="E2554" t="s">
        <v>25</v>
      </c>
      <c r="F2554" t="s">
        <v>11</v>
      </c>
      <c r="G2554" t="s">
        <v>27</v>
      </c>
      <c r="H2554">
        <v>4420.0200000000004</v>
      </c>
      <c r="I2554" s="8" t="str" cm="1">
        <f t="array" ref="I2554">_xlfn.IFS(C2554&lt;=15,"Children and Young Adolescents", C2554&gt;64, "Seniors", TRUE, "Working Age")</f>
        <v>Children and Young Adolescents</v>
      </c>
      <c r="J2554" s="6">
        <f>VLOOKUP(F2554,Analysis!$F$1:$G$5,2,FALSE)</f>
        <v>2503.6022787783854</v>
      </c>
      <c r="K2554">
        <f t="shared" si="156"/>
        <v>4862.0200000000004</v>
      </c>
      <c r="L2554">
        <f t="shared" si="157"/>
        <v>4862.0300000000007</v>
      </c>
      <c r="M2554">
        <f t="shared" si="158"/>
        <v>4862.0200000000004</v>
      </c>
      <c r="N2554" s="5" t="str">
        <f t="shared" si="159"/>
        <v>January 2023</v>
      </c>
    </row>
    <row r="2555" spans="1:14" x14ac:dyDescent="0.25">
      <c r="A2555" s="1">
        <v>44934</v>
      </c>
      <c r="B2555" t="s">
        <v>4969</v>
      </c>
      <c r="C2555">
        <v>27</v>
      </c>
      <c r="D2555" t="s">
        <v>21</v>
      </c>
      <c r="E2555" t="s">
        <v>34</v>
      </c>
      <c r="F2555" t="s">
        <v>29</v>
      </c>
      <c r="G2555" t="s">
        <v>27</v>
      </c>
      <c r="H2555">
        <v>2221.5100000000002</v>
      </c>
      <c r="I2555" s="8" t="str" cm="1">
        <f t="array" ref="I2555">_xlfn.IFS(C2555&lt;=15,"Children and Young Adolescents", C2555&gt;64, "Seniors", TRUE, "Working Age")</f>
        <v>Working Age</v>
      </c>
      <c r="J2555" s="6">
        <f>VLOOKUP(F2555,Analysis!$F$1:$G$5,2,FALSE)</f>
        <v>2496.7676064256989</v>
      </c>
      <c r="K2555">
        <f t="shared" si="156"/>
        <v>2443.66</v>
      </c>
      <c r="L2555">
        <f t="shared" si="157"/>
        <v>2443.67</v>
      </c>
      <c r="M2555">
        <f t="shared" si="158"/>
        <v>2443.66</v>
      </c>
      <c r="N2555" s="5" t="str">
        <f t="shared" si="159"/>
        <v>January 2023</v>
      </c>
    </row>
    <row r="2556" spans="1:14" x14ac:dyDescent="0.25">
      <c r="A2556" s="1">
        <v>44934</v>
      </c>
      <c r="B2556" t="s">
        <v>4924</v>
      </c>
      <c r="C2556">
        <v>9</v>
      </c>
      <c r="D2556" t="s">
        <v>14</v>
      </c>
      <c r="E2556" t="s">
        <v>22</v>
      </c>
      <c r="F2556" t="s">
        <v>23</v>
      </c>
      <c r="G2556" t="s">
        <v>17</v>
      </c>
      <c r="H2556">
        <v>3777.85</v>
      </c>
      <c r="I2556" s="8" t="str" cm="1">
        <f t="array" ref="I2556">_xlfn.IFS(C2556&lt;=15,"Children and Young Adolescents", C2556&gt;64, "Seniors", TRUE, "Working Age")</f>
        <v>Children and Young Adolescents</v>
      </c>
      <c r="J2556" s="6">
        <f>VLOOKUP(F2556,Analysis!$F$1:$G$5,2,FALSE)</f>
        <v>2440.2966694490838</v>
      </c>
      <c r="K2556">
        <f t="shared" si="156"/>
        <v>4155.63</v>
      </c>
      <c r="L2556">
        <f t="shared" si="157"/>
        <v>4155.6400000000003</v>
      </c>
      <c r="M2556">
        <f t="shared" si="158"/>
        <v>4155.6400000000003</v>
      </c>
      <c r="N2556" s="5" t="str">
        <f t="shared" si="159"/>
        <v>January 2023</v>
      </c>
    </row>
    <row r="2557" spans="1:14" x14ac:dyDescent="0.25">
      <c r="A2557" s="1">
        <v>44934</v>
      </c>
      <c r="B2557" t="s">
        <v>4034</v>
      </c>
      <c r="C2557">
        <v>28</v>
      </c>
      <c r="D2557" t="s">
        <v>9</v>
      </c>
      <c r="E2557" t="s">
        <v>5032</v>
      </c>
      <c r="F2557" t="s">
        <v>23</v>
      </c>
      <c r="G2557" t="s">
        <v>36</v>
      </c>
      <c r="H2557">
        <v>2639.56</v>
      </c>
      <c r="I2557" s="8" t="str" cm="1">
        <f t="array" ref="I2557">_xlfn.IFS(C2557&lt;=15,"Children and Young Adolescents", C2557&gt;64, "Seniors", TRUE, "Working Age")</f>
        <v>Working Age</v>
      </c>
      <c r="J2557" s="6">
        <f>VLOOKUP(F2557,Analysis!$F$1:$G$5,2,FALSE)</f>
        <v>2440.2966694490838</v>
      </c>
      <c r="K2557">
        <f t="shared" si="156"/>
        <v>2903.51</v>
      </c>
      <c r="L2557">
        <f t="shared" si="157"/>
        <v>2903.5200000000004</v>
      </c>
      <c r="M2557">
        <f t="shared" si="158"/>
        <v>2903.52</v>
      </c>
      <c r="N2557" s="5" t="str">
        <f t="shared" si="159"/>
        <v>January 2023</v>
      </c>
    </row>
    <row r="2558" spans="1:14" x14ac:dyDescent="0.25">
      <c r="A2558" s="1">
        <v>44934</v>
      </c>
      <c r="B2558" t="s">
        <v>1571</v>
      </c>
      <c r="C2558">
        <v>12</v>
      </c>
      <c r="D2558" t="s">
        <v>21</v>
      </c>
      <c r="E2558" t="s">
        <v>19</v>
      </c>
      <c r="F2558" t="s">
        <v>16</v>
      </c>
      <c r="G2558" t="s">
        <v>27</v>
      </c>
      <c r="H2558">
        <v>4404.59</v>
      </c>
      <c r="I2558" s="8" t="str" cm="1">
        <f t="array" ref="I2558">_xlfn.IFS(C2558&lt;=15,"Children and Young Adolescents", C2558&gt;64, "Seniors", TRUE, "Working Age")</f>
        <v>Children and Young Adolescents</v>
      </c>
      <c r="J2558" s="6">
        <f>VLOOKUP(F2558,Analysis!$F$1:$G$5,2,FALSE)</f>
        <v>2509.1716796874912</v>
      </c>
      <c r="K2558">
        <f t="shared" si="156"/>
        <v>4845.04</v>
      </c>
      <c r="L2558">
        <f t="shared" si="157"/>
        <v>4845.05</v>
      </c>
      <c r="M2558">
        <f t="shared" si="158"/>
        <v>4845.05</v>
      </c>
      <c r="N2558" s="5" t="str">
        <f t="shared" si="159"/>
        <v>January 2023</v>
      </c>
    </row>
    <row r="2559" spans="1:14" x14ac:dyDescent="0.25">
      <c r="A2559" s="1">
        <v>44934</v>
      </c>
      <c r="B2559" t="s">
        <v>1921</v>
      </c>
      <c r="C2559">
        <v>89</v>
      </c>
      <c r="D2559" t="s">
        <v>21</v>
      </c>
      <c r="E2559" t="s">
        <v>10</v>
      </c>
      <c r="F2559" t="s">
        <v>16</v>
      </c>
      <c r="G2559" t="s">
        <v>27</v>
      </c>
      <c r="H2559">
        <v>640.54999999999995</v>
      </c>
      <c r="I2559" s="8" t="str" cm="1">
        <f t="array" ref="I2559">_xlfn.IFS(C2559&lt;=15,"Children and Young Adolescents", C2559&gt;64, "Seniors", TRUE, "Working Age")</f>
        <v>Seniors</v>
      </c>
      <c r="J2559" s="6">
        <f>VLOOKUP(F2559,Analysis!$F$1:$G$5,2,FALSE)</f>
        <v>2509.1716796874912</v>
      </c>
      <c r="K2559">
        <f t="shared" si="156"/>
        <v>704.6</v>
      </c>
      <c r="L2559">
        <f t="shared" si="157"/>
        <v>704.61</v>
      </c>
      <c r="M2559">
        <f t="shared" si="158"/>
        <v>704.61</v>
      </c>
      <c r="N2559" s="5" t="str">
        <f t="shared" si="159"/>
        <v>January 2023</v>
      </c>
    </row>
    <row r="2560" spans="1:14" x14ac:dyDescent="0.25">
      <c r="A2560" s="1">
        <v>44935</v>
      </c>
      <c r="B2560" t="s">
        <v>3896</v>
      </c>
      <c r="C2560">
        <v>68</v>
      </c>
      <c r="D2560" t="s">
        <v>9</v>
      </c>
      <c r="E2560" t="s">
        <v>34</v>
      </c>
      <c r="F2560" t="s">
        <v>23</v>
      </c>
      <c r="G2560" t="s">
        <v>17</v>
      </c>
      <c r="H2560">
        <v>4758.7700000000004</v>
      </c>
      <c r="I2560" s="8" t="str" cm="1">
        <f t="array" ref="I2560">_xlfn.IFS(C2560&lt;=15,"Children and Young Adolescents", C2560&gt;64, "Seniors", TRUE, "Working Age")</f>
        <v>Seniors</v>
      </c>
      <c r="J2560" s="6">
        <f>VLOOKUP(F2560,Analysis!$F$1:$G$5,2,FALSE)</f>
        <v>2440.2966694490838</v>
      </c>
      <c r="K2560">
        <f t="shared" si="156"/>
        <v>5234.6400000000003</v>
      </c>
      <c r="L2560">
        <f t="shared" si="157"/>
        <v>5234.6500000000005</v>
      </c>
      <c r="M2560">
        <f t="shared" si="158"/>
        <v>5234.6499999999996</v>
      </c>
      <c r="N2560" s="5" t="str">
        <f t="shared" si="159"/>
        <v>January 2023</v>
      </c>
    </row>
    <row r="2561" spans="1:14" x14ac:dyDescent="0.25">
      <c r="A2561" s="1">
        <v>44935</v>
      </c>
      <c r="B2561" t="s">
        <v>633</v>
      </c>
      <c r="C2561">
        <v>40</v>
      </c>
      <c r="D2561" t="s">
        <v>9</v>
      </c>
      <c r="E2561" t="s">
        <v>10</v>
      </c>
      <c r="F2561" t="s">
        <v>29</v>
      </c>
      <c r="G2561" t="s">
        <v>36</v>
      </c>
      <c r="H2561">
        <v>1727.07</v>
      </c>
      <c r="I2561" s="8" t="str" cm="1">
        <f t="array" ref="I2561">_xlfn.IFS(C2561&lt;=15,"Children and Young Adolescents", C2561&gt;64, "Seniors", TRUE, "Working Age")</f>
        <v>Working Age</v>
      </c>
      <c r="J2561" s="6">
        <f>VLOOKUP(F2561,Analysis!$F$1:$G$5,2,FALSE)</f>
        <v>2496.7676064256989</v>
      </c>
      <c r="K2561">
        <f t="shared" si="156"/>
        <v>1899.77</v>
      </c>
      <c r="L2561">
        <f t="shared" si="157"/>
        <v>1899.78</v>
      </c>
      <c r="M2561">
        <f t="shared" si="158"/>
        <v>1899.78</v>
      </c>
      <c r="N2561" s="5" t="str">
        <f t="shared" si="159"/>
        <v>January 2023</v>
      </c>
    </row>
    <row r="2562" spans="1:14" x14ac:dyDescent="0.25">
      <c r="A2562" s="1">
        <v>44935</v>
      </c>
      <c r="B2562" t="s">
        <v>4079</v>
      </c>
      <c r="C2562">
        <v>50</v>
      </c>
      <c r="D2562" t="s">
        <v>9</v>
      </c>
      <c r="E2562" t="s">
        <v>32</v>
      </c>
      <c r="F2562" t="s">
        <v>23</v>
      </c>
      <c r="G2562" t="s">
        <v>12</v>
      </c>
      <c r="H2562">
        <v>4408.8599999999997</v>
      </c>
      <c r="I2562" s="8" t="str" cm="1">
        <f t="array" ref="I2562">_xlfn.IFS(C2562&lt;=15,"Children and Young Adolescents", C2562&gt;64, "Seniors", TRUE, "Working Age")</f>
        <v>Working Age</v>
      </c>
      <c r="J2562" s="6">
        <f>VLOOKUP(F2562,Analysis!$F$1:$G$5,2,FALSE)</f>
        <v>2440.2966694490838</v>
      </c>
      <c r="K2562">
        <f t="shared" si="156"/>
        <v>4849.74</v>
      </c>
      <c r="L2562">
        <f t="shared" si="157"/>
        <v>4849.75</v>
      </c>
      <c r="M2562">
        <f t="shared" si="158"/>
        <v>4849.75</v>
      </c>
      <c r="N2562" s="5" t="str">
        <f t="shared" si="159"/>
        <v>January 2023</v>
      </c>
    </row>
    <row r="2563" spans="1:14" x14ac:dyDescent="0.25">
      <c r="A2563" s="1">
        <v>44935</v>
      </c>
      <c r="B2563" t="s">
        <v>4463</v>
      </c>
      <c r="C2563">
        <v>44</v>
      </c>
      <c r="D2563" t="s">
        <v>14</v>
      </c>
      <c r="E2563" t="s">
        <v>22</v>
      </c>
      <c r="F2563" t="s">
        <v>29</v>
      </c>
      <c r="G2563" t="s">
        <v>27</v>
      </c>
      <c r="H2563">
        <v>3017.71</v>
      </c>
      <c r="I2563" s="8" t="str" cm="1">
        <f t="array" ref="I2563">_xlfn.IFS(C2563&lt;=15,"Children and Young Adolescents", C2563&gt;64, "Seniors", TRUE, "Working Age")</f>
        <v>Working Age</v>
      </c>
      <c r="J2563" s="6">
        <f>VLOOKUP(F2563,Analysis!$F$1:$G$5,2,FALSE)</f>
        <v>2496.7676064256989</v>
      </c>
      <c r="K2563">
        <f t="shared" ref="K2563:K2626" si="160">ROUNDDOWN(H2563*1.1,2)</f>
        <v>3319.48</v>
      </c>
      <c r="L2563">
        <f t="shared" ref="L2563:L2626" si="161">ROUNDUP(H2563*1.1,2)</f>
        <v>3319.4900000000002</v>
      </c>
      <c r="M2563">
        <f t="shared" ref="M2563:M2626" si="162">ROUND(H2563*1.1,2)</f>
        <v>3319.48</v>
      </c>
      <c r="N2563" s="5" t="str">
        <f t="shared" ref="N2563:N2626" si="163">TEXT(A2563,"mmmm yyyy")</f>
        <v>January 2023</v>
      </c>
    </row>
    <row r="2564" spans="1:14" x14ac:dyDescent="0.25">
      <c r="A2564" s="1">
        <v>44935</v>
      </c>
      <c r="B2564" t="s">
        <v>847</v>
      </c>
      <c r="C2564">
        <v>96</v>
      </c>
      <c r="D2564" t="s">
        <v>14</v>
      </c>
      <c r="E2564" t="s">
        <v>22</v>
      </c>
      <c r="F2564" t="s">
        <v>16</v>
      </c>
      <c r="G2564" t="s">
        <v>5033</v>
      </c>
      <c r="H2564">
        <v>3114.73</v>
      </c>
      <c r="I2564" s="8" t="str" cm="1">
        <f t="array" ref="I2564">_xlfn.IFS(C2564&lt;=15,"Children and Young Adolescents", C2564&gt;64, "Seniors", TRUE, "Working Age")</f>
        <v>Seniors</v>
      </c>
      <c r="J2564" s="6">
        <f>VLOOKUP(F2564,Analysis!$F$1:$G$5,2,FALSE)</f>
        <v>2509.1716796874912</v>
      </c>
      <c r="K2564">
        <f t="shared" si="160"/>
        <v>3426.2</v>
      </c>
      <c r="L2564">
        <f t="shared" si="161"/>
        <v>3426.21</v>
      </c>
      <c r="M2564">
        <f t="shared" si="162"/>
        <v>3426.2</v>
      </c>
      <c r="N2564" s="5" t="str">
        <f t="shared" si="163"/>
        <v>January 2023</v>
      </c>
    </row>
    <row r="2565" spans="1:14" x14ac:dyDescent="0.25">
      <c r="A2565" s="1">
        <v>44935</v>
      </c>
      <c r="B2565" t="s">
        <v>3487</v>
      </c>
      <c r="C2565">
        <v>21</v>
      </c>
      <c r="D2565" t="s">
        <v>14</v>
      </c>
      <c r="E2565" t="s">
        <v>10</v>
      </c>
      <c r="F2565" t="s">
        <v>23</v>
      </c>
      <c r="G2565" t="s">
        <v>12</v>
      </c>
      <c r="H2565">
        <v>3203.92</v>
      </c>
      <c r="I2565" s="8" t="str" cm="1">
        <f t="array" ref="I2565">_xlfn.IFS(C2565&lt;=15,"Children and Young Adolescents", C2565&gt;64, "Seniors", TRUE, "Working Age")</f>
        <v>Working Age</v>
      </c>
      <c r="J2565" s="6">
        <f>VLOOKUP(F2565,Analysis!$F$1:$G$5,2,FALSE)</f>
        <v>2440.2966694490838</v>
      </c>
      <c r="K2565">
        <f t="shared" si="160"/>
        <v>3524.31</v>
      </c>
      <c r="L2565">
        <f t="shared" si="161"/>
        <v>3524.32</v>
      </c>
      <c r="M2565">
        <f t="shared" si="162"/>
        <v>3524.31</v>
      </c>
      <c r="N2565" s="5" t="str">
        <f t="shared" si="163"/>
        <v>January 2023</v>
      </c>
    </row>
    <row r="2566" spans="1:14" x14ac:dyDescent="0.25">
      <c r="A2566" s="1">
        <v>44935</v>
      </c>
      <c r="B2566" t="s">
        <v>4204</v>
      </c>
      <c r="C2566">
        <v>4</v>
      </c>
      <c r="D2566" t="s">
        <v>14</v>
      </c>
      <c r="E2566" t="s">
        <v>15</v>
      </c>
      <c r="F2566" t="s">
        <v>29</v>
      </c>
      <c r="G2566" t="s">
        <v>17</v>
      </c>
      <c r="H2566">
        <v>635.91</v>
      </c>
      <c r="I2566" s="8" t="str" cm="1">
        <f t="array" ref="I2566">_xlfn.IFS(C2566&lt;=15,"Children and Young Adolescents", C2566&gt;64, "Seniors", TRUE, "Working Age")</f>
        <v>Children and Young Adolescents</v>
      </c>
      <c r="J2566" s="6">
        <f>VLOOKUP(F2566,Analysis!$F$1:$G$5,2,FALSE)</f>
        <v>2496.7676064256989</v>
      </c>
      <c r="K2566">
        <f t="shared" si="160"/>
        <v>699.5</v>
      </c>
      <c r="L2566">
        <f t="shared" si="161"/>
        <v>699.51</v>
      </c>
      <c r="M2566">
        <f t="shared" si="162"/>
        <v>699.5</v>
      </c>
      <c r="N2566" s="5" t="str">
        <f t="shared" si="163"/>
        <v>January 2023</v>
      </c>
    </row>
    <row r="2567" spans="1:14" x14ac:dyDescent="0.25">
      <c r="A2567" s="1">
        <v>44936</v>
      </c>
      <c r="B2567" t="s">
        <v>604</v>
      </c>
      <c r="C2567">
        <v>21</v>
      </c>
      <c r="D2567" t="s">
        <v>14</v>
      </c>
      <c r="E2567" t="s">
        <v>19</v>
      </c>
      <c r="F2567" t="s">
        <v>29</v>
      </c>
      <c r="G2567" t="s">
        <v>27</v>
      </c>
      <c r="H2567">
        <v>3315.65</v>
      </c>
      <c r="I2567" s="8" t="str" cm="1">
        <f t="array" ref="I2567">_xlfn.IFS(C2567&lt;=15,"Children and Young Adolescents", C2567&gt;64, "Seniors", TRUE, "Working Age")</f>
        <v>Working Age</v>
      </c>
      <c r="J2567" s="6">
        <f>VLOOKUP(F2567,Analysis!$F$1:$G$5,2,FALSE)</f>
        <v>2496.7676064256989</v>
      </c>
      <c r="K2567">
        <f t="shared" si="160"/>
        <v>3647.21</v>
      </c>
      <c r="L2567">
        <f t="shared" si="161"/>
        <v>3647.2200000000003</v>
      </c>
      <c r="M2567">
        <f t="shared" si="162"/>
        <v>3647.22</v>
      </c>
      <c r="N2567" s="5" t="str">
        <f t="shared" si="163"/>
        <v>January 2023</v>
      </c>
    </row>
    <row r="2568" spans="1:14" x14ac:dyDescent="0.25">
      <c r="A2568" s="1">
        <v>44936</v>
      </c>
      <c r="B2568" t="s">
        <v>852</v>
      </c>
      <c r="C2568">
        <v>41</v>
      </c>
      <c r="D2568" t="s">
        <v>9</v>
      </c>
      <c r="E2568" t="s">
        <v>32</v>
      </c>
      <c r="F2568" t="s">
        <v>11</v>
      </c>
      <c r="G2568" t="s">
        <v>27</v>
      </c>
      <c r="H2568">
        <v>1997.16</v>
      </c>
      <c r="I2568" s="8" t="str" cm="1">
        <f t="array" ref="I2568">_xlfn.IFS(C2568&lt;=15,"Children and Young Adolescents", C2568&gt;64, "Seniors", TRUE, "Working Age")</f>
        <v>Working Age</v>
      </c>
      <c r="J2568" s="6">
        <f>VLOOKUP(F2568,Analysis!$F$1:$G$5,2,FALSE)</f>
        <v>2503.6022787783854</v>
      </c>
      <c r="K2568">
        <f t="shared" si="160"/>
        <v>2196.87</v>
      </c>
      <c r="L2568">
        <f t="shared" si="161"/>
        <v>2196.88</v>
      </c>
      <c r="M2568">
        <f t="shared" si="162"/>
        <v>2196.88</v>
      </c>
      <c r="N2568" s="5" t="str">
        <f t="shared" si="163"/>
        <v>January 2023</v>
      </c>
    </row>
    <row r="2569" spans="1:14" x14ac:dyDescent="0.25">
      <c r="A2569" s="1">
        <v>44936</v>
      </c>
      <c r="B2569" t="s">
        <v>501</v>
      </c>
      <c r="C2569">
        <v>87</v>
      </c>
      <c r="D2569" t="s">
        <v>21</v>
      </c>
      <c r="E2569" t="s">
        <v>5032</v>
      </c>
      <c r="F2569" t="s">
        <v>11</v>
      </c>
      <c r="G2569" t="s">
        <v>17</v>
      </c>
      <c r="H2569">
        <v>2813.34</v>
      </c>
      <c r="I2569" s="8" t="str" cm="1">
        <f t="array" ref="I2569">_xlfn.IFS(C2569&lt;=15,"Children and Young Adolescents", C2569&gt;64, "Seniors", TRUE, "Working Age")</f>
        <v>Seniors</v>
      </c>
      <c r="J2569" s="6">
        <f>VLOOKUP(F2569,Analysis!$F$1:$G$5,2,FALSE)</f>
        <v>2503.6022787783854</v>
      </c>
      <c r="K2569">
        <f t="shared" si="160"/>
        <v>3094.67</v>
      </c>
      <c r="L2569">
        <f t="shared" si="161"/>
        <v>3094.6800000000003</v>
      </c>
      <c r="M2569">
        <f t="shared" si="162"/>
        <v>3094.67</v>
      </c>
      <c r="N2569" s="5" t="str">
        <f t="shared" si="163"/>
        <v>January 2023</v>
      </c>
    </row>
    <row r="2570" spans="1:14" x14ac:dyDescent="0.25">
      <c r="A2570" s="1">
        <v>44936</v>
      </c>
      <c r="B2570" t="s">
        <v>882</v>
      </c>
      <c r="C2570">
        <v>96</v>
      </c>
      <c r="D2570" t="s">
        <v>14</v>
      </c>
      <c r="E2570" t="s">
        <v>5032</v>
      </c>
      <c r="F2570" t="s">
        <v>23</v>
      </c>
      <c r="G2570" t="s">
        <v>39</v>
      </c>
      <c r="H2570">
        <v>2330.14</v>
      </c>
      <c r="I2570" s="8" t="str" cm="1">
        <f t="array" ref="I2570">_xlfn.IFS(C2570&lt;=15,"Children and Young Adolescents", C2570&gt;64, "Seniors", TRUE, "Working Age")</f>
        <v>Seniors</v>
      </c>
      <c r="J2570" s="6">
        <f>VLOOKUP(F2570,Analysis!$F$1:$G$5,2,FALSE)</f>
        <v>2440.2966694490838</v>
      </c>
      <c r="K2570">
        <f t="shared" si="160"/>
        <v>2563.15</v>
      </c>
      <c r="L2570">
        <f t="shared" si="161"/>
        <v>2563.1600000000003</v>
      </c>
      <c r="M2570">
        <f t="shared" si="162"/>
        <v>2563.15</v>
      </c>
      <c r="N2570" s="5" t="str">
        <f t="shared" si="163"/>
        <v>January 2023</v>
      </c>
    </row>
    <row r="2571" spans="1:14" x14ac:dyDescent="0.25">
      <c r="A2571" s="1">
        <v>44936</v>
      </c>
      <c r="B2571" t="s">
        <v>4665</v>
      </c>
      <c r="C2571">
        <v>78</v>
      </c>
      <c r="D2571" t="s">
        <v>14</v>
      </c>
      <c r="E2571" t="s">
        <v>10</v>
      </c>
      <c r="F2571" t="s">
        <v>23</v>
      </c>
      <c r="G2571" t="s">
        <v>39</v>
      </c>
      <c r="H2571">
        <v>3003.91</v>
      </c>
      <c r="I2571" s="8" t="str" cm="1">
        <f t="array" ref="I2571">_xlfn.IFS(C2571&lt;=15,"Children and Young Adolescents", C2571&gt;64, "Seniors", TRUE, "Working Age")</f>
        <v>Seniors</v>
      </c>
      <c r="J2571" s="6">
        <f>VLOOKUP(F2571,Analysis!$F$1:$G$5,2,FALSE)</f>
        <v>2440.2966694490838</v>
      </c>
      <c r="K2571">
        <f t="shared" si="160"/>
        <v>3304.3</v>
      </c>
      <c r="L2571">
        <f t="shared" si="161"/>
        <v>3304.3100000000004</v>
      </c>
      <c r="M2571">
        <f t="shared" si="162"/>
        <v>3304.3</v>
      </c>
      <c r="N2571" s="5" t="str">
        <f t="shared" si="163"/>
        <v>January 2023</v>
      </c>
    </row>
    <row r="2572" spans="1:14" x14ac:dyDescent="0.25">
      <c r="A2572" s="1">
        <v>44936</v>
      </c>
      <c r="B2572" t="s">
        <v>3127</v>
      </c>
      <c r="C2572">
        <v>16</v>
      </c>
      <c r="D2572" t="s">
        <v>21</v>
      </c>
      <c r="E2572" t="s">
        <v>5032</v>
      </c>
      <c r="F2572" t="s">
        <v>11</v>
      </c>
      <c r="G2572" t="s">
        <v>39</v>
      </c>
      <c r="H2572">
        <v>3796.82</v>
      </c>
      <c r="I2572" s="8" t="str" cm="1">
        <f t="array" ref="I2572">_xlfn.IFS(C2572&lt;=15,"Children and Young Adolescents", C2572&gt;64, "Seniors", TRUE, "Working Age")</f>
        <v>Working Age</v>
      </c>
      <c r="J2572" s="6">
        <f>VLOOKUP(F2572,Analysis!$F$1:$G$5,2,FALSE)</f>
        <v>2503.6022787783854</v>
      </c>
      <c r="K2572">
        <f t="shared" si="160"/>
        <v>4176.5</v>
      </c>
      <c r="L2572">
        <f t="shared" si="161"/>
        <v>4176.51</v>
      </c>
      <c r="M2572">
        <f t="shared" si="162"/>
        <v>4176.5</v>
      </c>
      <c r="N2572" s="5" t="str">
        <f t="shared" si="163"/>
        <v>January 2023</v>
      </c>
    </row>
    <row r="2573" spans="1:14" x14ac:dyDescent="0.25">
      <c r="A2573" s="1">
        <v>44936</v>
      </c>
      <c r="B2573" t="s">
        <v>3985</v>
      </c>
      <c r="C2573">
        <v>44</v>
      </c>
      <c r="D2573" t="s">
        <v>9</v>
      </c>
      <c r="E2573" t="s">
        <v>25</v>
      </c>
      <c r="F2573" t="s">
        <v>29</v>
      </c>
      <c r="G2573" t="s">
        <v>12</v>
      </c>
      <c r="H2573">
        <v>1411.21</v>
      </c>
      <c r="I2573" s="8" t="str" cm="1">
        <f t="array" ref="I2573">_xlfn.IFS(C2573&lt;=15,"Children and Young Adolescents", C2573&gt;64, "Seniors", TRUE, "Working Age")</f>
        <v>Working Age</v>
      </c>
      <c r="J2573" s="6">
        <f>VLOOKUP(F2573,Analysis!$F$1:$G$5,2,FALSE)</f>
        <v>2496.7676064256989</v>
      </c>
      <c r="K2573">
        <f t="shared" si="160"/>
        <v>1552.33</v>
      </c>
      <c r="L2573">
        <f t="shared" si="161"/>
        <v>1552.34</v>
      </c>
      <c r="M2573">
        <f t="shared" si="162"/>
        <v>1552.33</v>
      </c>
      <c r="N2573" s="5" t="str">
        <f t="shared" si="163"/>
        <v>January 2023</v>
      </c>
    </row>
    <row r="2574" spans="1:14" x14ac:dyDescent="0.25">
      <c r="A2574" s="1">
        <v>44936</v>
      </c>
      <c r="B2574" t="s">
        <v>3335</v>
      </c>
      <c r="C2574">
        <v>91</v>
      </c>
      <c r="D2574" t="s">
        <v>9</v>
      </c>
      <c r="E2574" t="s">
        <v>19</v>
      </c>
      <c r="F2574" t="s">
        <v>29</v>
      </c>
      <c r="G2574" t="s">
        <v>27</v>
      </c>
      <c r="H2574">
        <v>541.02</v>
      </c>
      <c r="I2574" s="8" t="str" cm="1">
        <f t="array" ref="I2574">_xlfn.IFS(C2574&lt;=15,"Children and Young Adolescents", C2574&gt;64, "Seniors", TRUE, "Working Age")</f>
        <v>Seniors</v>
      </c>
      <c r="J2574" s="6">
        <f>VLOOKUP(F2574,Analysis!$F$1:$G$5,2,FALSE)</f>
        <v>2496.7676064256989</v>
      </c>
      <c r="K2574">
        <f t="shared" si="160"/>
        <v>595.12</v>
      </c>
      <c r="L2574">
        <f t="shared" si="161"/>
        <v>595.13</v>
      </c>
      <c r="M2574">
        <f t="shared" si="162"/>
        <v>595.12</v>
      </c>
      <c r="N2574" s="5" t="str">
        <f t="shared" si="163"/>
        <v>January 2023</v>
      </c>
    </row>
    <row r="2575" spans="1:14" x14ac:dyDescent="0.25">
      <c r="A2575" s="1">
        <v>44937</v>
      </c>
      <c r="B2575" t="s">
        <v>3009</v>
      </c>
      <c r="C2575">
        <v>35</v>
      </c>
      <c r="D2575" t="s">
        <v>9</v>
      </c>
      <c r="E2575" t="s">
        <v>34</v>
      </c>
      <c r="F2575" t="s">
        <v>11</v>
      </c>
      <c r="G2575" t="s">
        <v>39</v>
      </c>
      <c r="H2575">
        <v>1481.26</v>
      </c>
      <c r="I2575" s="8" t="str" cm="1">
        <f t="array" ref="I2575">_xlfn.IFS(C2575&lt;=15,"Children and Young Adolescents", C2575&gt;64, "Seniors", TRUE, "Working Age")</f>
        <v>Working Age</v>
      </c>
      <c r="J2575" s="6">
        <f>VLOOKUP(F2575,Analysis!$F$1:$G$5,2,FALSE)</f>
        <v>2503.6022787783854</v>
      </c>
      <c r="K2575">
        <f t="shared" si="160"/>
        <v>1629.38</v>
      </c>
      <c r="L2575">
        <f t="shared" si="161"/>
        <v>1629.39</v>
      </c>
      <c r="M2575">
        <f t="shared" si="162"/>
        <v>1629.39</v>
      </c>
      <c r="N2575" s="5" t="str">
        <f t="shared" si="163"/>
        <v>January 2023</v>
      </c>
    </row>
    <row r="2576" spans="1:14" x14ac:dyDescent="0.25">
      <c r="A2576" s="1">
        <v>44937</v>
      </c>
      <c r="B2576" t="s">
        <v>1312</v>
      </c>
      <c r="C2576">
        <v>72</v>
      </c>
      <c r="D2576" t="s">
        <v>21</v>
      </c>
      <c r="E2576" t="s">
        <v>15</v>
      </c>
      <c r="F2576" t="s">
        <v>29</v>
      </c>
      <c r="G2576" t="s">
        <v>27</v>
      </c>
      <c r="H2576">
        <v>3454.3</v>
      </c>
      <c r="I2576" s="8" t="str" cm="1">
        <f t="array" ref="I2576">_xlfn.IFS(C2576&lt;=15,"Children and Young Adolescents", C2576&gt;64, "Seniors", TRUE, "Working Age")</f>
        <v>Seniors</v>
      </c>
      <c r="J2576" s="6">
        <f>VLOOKUP(F2576,Analysis!$F$1:$G$5,2,FALSE)</f>
        <v>2496.7676064256989</v>
      </c>
      <c r="K2576">
        <f t="shared" si="160"/>
        <v>3799.73</v>
      </c>
      <c r="L2576">
        <f t="shared" si="161"/>
        <v>3799.73</v>
      </c>
      <c r="M2576">
        <f t="shared" si="162"/>
        <v>3799.73</v>
      </c>
      <c r="N2576" s="5" t="str">
        <f t="shared" si="163"/>
        <v>January 2023</v>
      </c>
    </row>
    <row r="2577" spans="1:14" x14ac:dyDescent="0.25">
      <c r="A2577" s="1">
        <v>44937</v>
      </c>
      <c r="B2577" t="s">
        <v>1244</v>
      </c>
      <c r="C2577">
        <v>32</v>
      </c>
      <c r="D2577" t="s">
        <v>9</v>
      </c>
      <c r="E2577" t="s">
        <v>15</v>
      </c>
      <c r="F2577" t="s">
        <v>16</v>
      </c>
      <c r="G2577" t="s">
        <v>27</v>
      </c>
      <c r="H2577">
        <v>64.459999999999994</v>
      </c>
      <c r="I2577" s="8" t="str" cm="1">
        <f t="array" ref="I2577">_xlfn.IFS(C2577&lt;=15,"Children and Young Adolescents", C2577&gt;64, "Seniors", TRUE, "Working Age")</f>
        <v>Working Age</v>
      </c>
      <c r="J2577" s="6">
        <f>VLOOKUP(F2577,Analysis!$F$1:$G$5,2,FALSE)</f>
        <v>2509.1716796874912</v>
      </c>
      <c r="K2577">
        <f t="shared" si="160"/>
        <v>70.900000000000006</v>
      </c>
      <c r="L2577">
        <f t="shared" si="161"/>
        <v>70.910000000000011</v>
      </c>
      <c r="M2577">
        <f t="shared" si="162"/>
        <v>70.91</v>
      </c>
      <c r="N2577" s="5" t="str">
        <f t="shared" si="163"/>
        <v>January 2023</v>
      </c>
    </row>
    <row r="2578" spans="1:14" x14ac:dyDescent="0.25">
      <c r="A2578" s="1">
        <v>44937</v>
      </c>
      <c r="B2578" t="s">
        <v>197</v>
      </c>
      <c r="C2578">
        <v>43</v>
      </c>
      <c r="D2578" t="s">
        <v>14</v>
      </c>
      <c r="E2578" t="s">
        <v>19</v>
      </c>
      <c r="F2578" t="s">
        <v>29</v>
      </c>
      <c r="G2578" t="s">
        <v>17</v>
      </c>
      <c r="H2578">
        <v>4971.17</v>
      </c>
      <c r="I2578" s="8" t="str" cm="1">
        <f t="array" ref="I2578">_xlfn.IFS(C2578&lt;=15,"Children and Young Adolescents", C2578&gt;64, "Seniors", TRUE, "Working Age")</f>
        <v>Working Age</v>
      </c>
      <c r="J2578" s="6">
        <f>VLOOKUP(F2578,Analysis!$F$1:$G$5,2,FALSE)</f>
        <v>2496.7676064256989</v>
      </c>
      <c r="K2578">
        <f t="shared" si="160"/>
        <v>5468.28</v>
      </c>
      <c r="L2578">
        <f t="shared" si="161"/>
        <v>5468.29</v>
      </c>
      <c r="M2578">
        <f t="shared" si="162"/>
        <v>5468.29</v>
      </c>
      <c r="N2578" s="5" t="str">
        <f t="shared" si="163"/>
        <v>January 2023</v>
      </c>
    </row>
    <row r="2579" spans="1:14" x14ac:dyDescent="0.25">
      <c r="A2579" s="1">
        <v>44937</v>
      </c>
      <c r="B2579" t="s">
        <v>2529</v>
      </c>
      <c r="C2579">
        <v>56</v>
      </c>
      <c r="D2579" t="s">
        <v>9</v>
      </c>
      <c r="E2579" t="s">
        <v>25</v>
      </c>
      <c r="F2579" t="s">
        <v>29</v>
      </c>
      <c r="G2579" t="s">
        <v>27</v>
      </c>
      <c r="H2579">
        <v>4909.1499999999996</v>
      </c>
      <c r="I2579" s="8" t="str" cm="1">
        <f t="array" ref="I2579">_xlfn.IFS(C2579&lt;=15,"Children and Young Adolescents", C2579&gt;64, "Seniors", TRUE, "Working Age")</f>
        <v>Working Age</v>
      </c>
      <c r="J2579" s="6">
        <f>VLOOKUP(F2579,Analysis!$F$1:$G$5,2,FALSE)</f>
        <v>2496.7676064256989</v>
      </c>
      <c r="K2579">
        <f t="shared" si="160"/>
        <v>5400.06</v>
      </c>
      <c r="L2579">
        <f t="shared" si="161"/>
        <v>5400.0700000000006</v>
      </c>
      <c r="M2579">
        <f t="shared" si="162"/>
        <v>5400.07</v>
      </c>
      <c r="N2579" s="5" t="str">
        <f t="shared" si="163"/>
        <v>January 2023</v>
      </c>
    </row>
    <row r="2580" spans="1:14" x14ac:dyDescent="0.25">
      <c r="A2580" s="1">
        <v>44937</v>
      </c>
      <c r="B2580" t="s">
        <v>1269</v>
      </c>
      <c r="C2580">
        <v>10</v>
      </c>
      <c r="D2580" t="s">
        <v>9</v>
      </c>
      <c r="E2580" t="s">
        <v>15</v>
      </c>
      <c r="F2580" t="s">
        <v>11</v>
      </c>
      <c r="G2580" t="s">
        <v>39</v>
      </c>
      <c r="H2580">
        <v>3970.38</v>
      </c>
      <c r="I2580" s="8" t="str" cm="1">
        <f t="array" ref="I2580">_xlfn.IFS(C2580&lt;=15,"Children and Young Adolescents", C2580&gt;64, "Seniors", TRUE, "Working Age")</f>
        <v>Children and Young Adolescents</v>
      </c>
      <c r="J2580" s="6">
        <f>VLOOKUP(F2580,Analysis!$F$1:$G$5,2,FALSE)</f>
        <v>2503.6022787783854</v>
      </c>
      <c r="K2580">
        <f t="shared" si="160"/>
        <v>4367.41</v>
      </c>
      <c r="L2580">
        <f t="shared" si="161"/>
        <v>4367.42</v>
      </c>
      <c r="M2580">
        <f t="shared" si="162"/>
        <v>4367.42</v>
      </c>
      <c r="N2580" s="5" t="str">
        <f t="shared" si="163"/>
        <v>January 2023</v>
      </c>
    </row>
    <row r="2581" spans="1:14" x14ac:dyDescent="0.25">
      <c r="A2581" s="1">
        <v>44937</v>
      </c>
      <c r="B2581" t="s">
        <v>3866</v>
      </c>
      <c r="C2581">
        <v>78</v>
      </c>
      <c r="D2581" t="s">
        <v>9</v>
      </c>
      <c r="E2581" t="s">
        <v>19</v>
      </c>
      <c r="F2581" t="s">
        <v>11</v>
      </c>
      <c r="G2581" t="s">
        <v>36</v>
      </c>
      <c r="H2581">
        <v>3947.69</v>
      </c>
      <c r="I2581" s="8" t="str" cm="1">
        <f t="array" ref="I2581">_xlfn.IFS(C2581&lt;=15,"Children and Young Adolescents", C2581&gt;64, "Seniors", TRUE, "Working Age")</f>
        <v>Seniors</v>
      </c>
      <c r="J2581" s="6">
        <f>VLOOKUP(F2581,Analysis!$F$1:$G$5,2,FALSE)</f>
        <v>2503.6022787783854</v>
      </c>
      <c r="K2581">
        <f t="shared" si="160"/>
        <v>4342.45</v>
      </c>
      <c r="L2581">
        <f t="shared" si="161"/>
        <v>4342.46</v>
      </c>
      <c r="M2581">
        <f t="shared" si="162"/>
        <v>4342.46</v>
      </c>
      <c r="N2581" s="5" t="str">
        <f t="shared" si="163"/>
        <v>January 2023</v>
      </c>
    </row>
    <row r="2582" spans="1:14" x14ac:dyDescent="0.25">
      <c r="A2582" s="1">
        <v>44938</v>
      </c>
      <c r="B2582" t="s">
        <v>653</v>
      </c>
      <c r="C2582">
        <v>50</v>
      </c>
      <c r="D2582" t="s">
        <v>9</v>
      </c>
      <c r="E2582" t="s">
        <v>25</v>
      </c>
      <c r="F2582" t="s">
        <v>11</v>
      </c>
      <c r="G2582" t="s">
        <v>36</v>
      </c>
      <c r="H2582">
        <v>3042.91</v>
      </c>
      <c r="I2582" s="8" t="str" cm="1">
        <f t="array" ref="I2582">_xlfn.IFS(C2582&lt;=15,"Children and Young Adolescents", C2582&gt;64, "Seniors", TRUE, "Working Age")</f>
        <v>Working Age</v>
      </c>
      <c r="J2582" s="6">
        <f>VLOOKUP(F2582,Analysis!$F$1:$G$5,2,FALSE)</f>
        <v>2503.6022787783854</v>
      </c>
      <c r="K2582">
        <f t="shared" si="160"/>
        <v>3347.2</v>
      </c>
      <c r="L2582">
        <f t="shared" si="161"/>
        <v>3347.21</v>
      </c>
      <c r="M2582">
        <f t="shared" si="162"/>
        <v>3347.2</v>
      </c>
      <c r="N2582" s="5" t="str">
        <f t="shared" si="163"/>
        <v>January 2023</v>
      </c>
    </row>
    <row r="2583" spans="1:14" x14ac:dyDescent="0.25">
      <c r="A2583" s="1">
        <v>44938</v>
      </c>
      <c r="B2583" t="s">
        <v>310</v>
      </c>
      <c r="C2583">
        <v>85</v>
      </c>
      <c r="D2583" t="s">
        <v>9</v>
      </c>
      <c r="E2583" t="s">
        <v>25</v>
      </c>
      <c r="F2583" t="s">
        <v>16</v>
      </c>
      <c r="G2583" t="s">
        <v>17</v>
      </c>
      <c r="H2583">
        <v>116.1</v>
      </c>
      <c r="I2583" s="8" t="str" cm="1">
        <f t="array" ref="I2583">_xlfn.IFS(C2583&lt;=15,"Children and Young Adolescents", C2583&gt;64, "Seniors", TRUE, "Working Age")</f>
        <v>Seniors</v>
      </c>
      <c r="J2583" s="6">
        <f>VLOOKUP(F2583,Analysis!$F$1:$G$5,2,FALSE)</f>
        <v>2509.1716796874912</v>
      </c>
      <c r="K2583">
        <f t="shared" si="160"/>
        <v>127.71</v>
      </c>
      <c r="L2583">
        <f t="shared" si="161"/>
        <v>127.71</v>
      </c>
      <c r="M2583">
        <f t="shared" si="162"/>
        <v>127.71</v>
      </c>
      <c r="N2583" s="5" t="str">
        <f t="shared" si="163"/>
        <v>January 2023</v>
      </c>
    </row>
    <row r="2584" spans="1:14" x14ac:dyDescent="0.25">
      <c r="A2584" s="1">
        <v>44938</v>
      </c>
      <c r="B2584" t="s">
        <v>4663</v>
      </c>
      <c r="C2584">
        <v>46</v>
      </c>
      <c r="D2584" t="s">
        <v>9</v>
      </c>
      <c r="E2584" t="s">
        <v>19</v>
      </c>
      <c r="F2584" t="s">
        <v>16</v>
      </c>
      <c r="G2584" t="s">
        <v>12</v>
      </c>
      <c r="H2584">
        <v>4527.46</v>
      </c>
      <c r="I2584" s="8" t="str" cm="1">
        <f t="array" ref="I2584">_xlfn.IFS(C2584&lt;=15,"Children and Young Adolescents", C2584&gt;64, "Seniors", TRUE, "Working Age")</f>
        <v>Working Age</v>
      </c>
      <c r="J2584" s="6">
        <f>VLOOKUP(F2584,Analysis!$F$1:$G$5,2,FALSE)</f>
        <v>2509.1716796874912</v>
      </c>
      <c r="K2584">
        <f t="shared" si="160"/>
        <v>4980.2</v>
      </c>
      <c r="L2584">
        <f t="shared" si="161"/>
        <v>4980.21</v>
      </c>
      <c r="M2584">
        <f t="shared" si="162"/>
        <v>4980.21</v>
      </c>
      <c r="N2584" s="5" t="str">
        <f t="shared" si="163"/>
        <v>January 2023</v>
      </c>
    </row>
    <row r="2585" spans="1:14" x14ac:dyDescent="0.25">
      <c r="A2585" s="1">
        <v>44938</v>
      </c>
      <c r="B2585" t="s">
        <v>959</v>
      </c>
      <c r="C2585">
        <v>1</v>
      </c>
      <c r="D2585" t="s">
        <v>14</v>
      </c>
      <c r="E2585" t="s">
        <v>25</v>
      </c>
      <c r="F2585" t="s">
        <v>16</v>
      </c>
      <c r="G2585" t="s">
        <v>27</v>
      </c>
      <c r="H2585">
        <v>3978.83</v>
      </c>
      <c r="I2585" s="8" t="str" cm="1">
        <f t="array" ref="I2585">_xlfn.IFS(C2585&lt;=15,"Children and Young Adolescents", C2585&gt;64, "Seniors", TRUE, "Working Age")</f>
        <v>Children and Young Adolescents</v>
      </c>
      <c r="J2585" s="6">
        <f>VLOOKUP(F2585,Analysis!$F$1:$G$5,2,FALSE)</f>
        <v>2509.1716796874912</v>
      </c>
      <c r="K2585">
        <f t="shared" si="160"/>
        <v>4376.71</v>
      </c>
      <c r="L2585">
        <f t="shared" si="161"/>
        <v>4376.72</v>
      </c>
      <c r="M2585">
        <f t="shared" si="162"/>
        <v>4376.71</v>
      </c>
      <c r="N2585" s="5" t="str">
        <f t="shared" si="163"/>
        <v>January 2023</v>
      </c>
    </row>
    <row r="2586" spans="1:14" x14ac:dyDescent="0.25">
      <c r="A2586" s="1">
        <v>44938</v>
      </c>
      <c r="B2586" t="s">
        <v>3557</v>
      </c>
      <c r="C2586">
        <v>99</v>
      </c>
      <c r="D2586" t="s">
        <v>21</v>
      </c>
      <c r="E2586" t="s">
        <v>22</v>
      </c>
      <c r="F2586" t="s">
        <v>16</v>
      </c>
      <c r="G2586" t="s">
        <v>27</v>
      </c>
      <c r="H2586">
        <v>616.53</v>
      </c>
      <c r="I2586" s="8" t="str" cm="1">
        <f t="array" ref="I2586">_xlfn.IFS(C2586&lt;=15,"Children and Young Adolescents", C2586&gt;64, "Seniors", TRUE, "Working Age")</f>
        <v>Seniors</v>
      </c>
      <c r="J2586" s="6">
        <f>VLOOKUP(F2586,Analysis!$F$1:$G$5,2,FALSE)</f>
        <v>2509.1716796874912</v>
      </c>
      <c r="K2586">
        <f t="shared" si="160"/>
        <v>678.18</v>
      </c>
      <c r="L2586">
        <f t="shared" si="161"/>
        <v>678.18999999999994</v>
      </c>
      <c r="M2586">
        <f t="shared" si="162"/>
        <v>678.18</v>
      </c>
      <c r="N2586" s="5" t="str">
        <f t="shared" si="163"/>
        <v>January 2023</v>
      </c>
    </row>
    <row r="2587" spans="1:14" x14ac:dyDescent="0.25">
      <c r="A2587" s="1">
        <v>44939</v>
      </c>
      <c r="B2587" t="s">
        <v>3266</v>
      </c>
      <c r="C2587">
        <v>49</v>
      </c>
      <c r="D2587" t="s">
        <v>14</v>
      </c>
      <c r="E2587" t="s">
        <v>34</v>
      </c>
      <c r="F2587" t="s">
        <v>29</v>
      </c>
      <c r="G2587" t="s">
        <v>27</v>
      </c>
      <c r="H2587">
        <v>1684.74</v>
      </c>
      <c r="I2587" s="8" t="str" cm="1">
        <f t="array" ref="I2587">_xlfn.IFS(C2587&lt;=15,"Children and Young Adolescents", C2587&gt;64, "Seniors", TRUE, "Working Age")</f>
        <v>Working Age</v>
      </c>
      <c r="J2587" s="6">
        <f>VLOOKUP(F2587,Analysis!$F$1:$G$5,2,FALSE)</f>
        <v>2496.7676064256989</v>
      </c>
      <c r="K2587">
        <f t="shared" si="160"/>
        <v>1853.21</v>
      </c>
      <c r="L2587">
        <f t="shared" si="161"/>
        <v>1853.22</v>
      </c>
      <c r="M2587">
        <f t="shared" si="162"/>
        <v>1853.21</v>
      </c>
      <c r="N2587" s="5" t="str">
        <f t="shared" si="163"/>
        <v>January 2023</v>
      </c>
    </row>
    <row r="2588" spans="1:14" x14ac:dyDescent="0.25">
      <c r="A2588" s="1">
        <v>44939</v>
      </c>
      <c r="B2588" t="s">
        <v>2421</v>
      </c>
      <c r="C2588">
        <v>17</v>
      </c>
      <c r="D2588" t="s">
        <v>14</v>
      </c>
      <c r="E2588" t="s">
        <v>32</v>
      </c>
      <c r="F2588" t="s">
        <v>16</v>
      </c>
      <c r="G2588" t="s">
        <v>39</v>
      </c>
      <c r="H2588">
        <v>2700.31</v>
      </c>
      <c r="I2588" s="8" t="str" cm="1">
        <f t="array" ref="I2588">_xlfn.IFS(C2588&lt;=15,"Children and Young Adolescents", C2588&gt;64, "Seniors", TRUE, "Working Age")</f>
        <v>Working Age</v>
      </c>
      <c r="J2588" s="6">
        <f>VLOOKUP(F2588,Analysis!$F$1:$G$5,2,FALSE)</f>
        <v>2509.1716796874912</v>
      </c>
      <c r="K2588">
        <f t="shared" si="160"/>
        <v>2970.34</v>
      </c>
      <c r="L2588">
        <f t="shared" si="161"/>
        <v>2970.3500000000004</v>
      </c>
      <c r="M2588">
        <f t="shared" si="162"/>
        <v>2970.34</v>
      </c>
      <c r="N2588" s="5" t="str">
        <f t="shared" si="163"/>
        <v>January 2023</v>
      </c>
    </row>
    <row r="2589" spans="1:14" x14ac:dyDescent="0.25">
      <c r="A2589" s="1">
        <v>44939</v>
      </c>
      <c r="B2589" t="s">
        <v>3375</v>
      </c>
      <c r="C2589">
        <v>0</v>
      </c>
      <c r="D2589" t="s">
        <v>9</v>
      </c>
      <c r="E2589" t="s">
        <v>19</v>
      </c>
      <c r="F2589" t="s">
        <v>11</v>
      </c>
      <c r="G2589" t="s">
        <v>27</v>
      </c>
      <c r="H2589">
        <v>3547.11</v>
      </c>
      <c r="I2589" s="8" t="str" cm="1">
        <f t="array" ref="I2589">_xlfn.IFS(C2589&lt;=15,"Children and Young Adolescents", C2589&gt;64, "Seniors", TRUE, "Working Age")</f>
        <v>Children and Young Adolescents</v>
      </c>
      <c r="J2589" s="6">
        <f>VLOOKUP(F2589,Analysis!$F$1:$G$5,2,FALSE)</f>
        <v>2503.6022787783854</v>
      </c>
      <c r="K2589">
        <f t="shared" si="160"/>
        <v>3901.82</v>
      </c>
      <c r="L2589">
        <f t="shared" si="161"/>
        <v>3901.8300000000004</v>
      </c>
      <c r="M2589">
        <f t="shared" si="162"/>
        <v>3901.82</v>
      </c>
      <c r="N2589" s="5" t="str">
        <f t="shared" si="163"/>
        <v>January 2023</v>
      </c>
    </row>
    <row r="2590" spans="1:14" x14ac:dyDescent="0.25">
      <c r="A2590" s="1">
        <v>44939</v>
      </c>
      <c r="B2590" t="s">
        <v>1402</v>
      </c>
      <c r="C2590">
        <v>13</v>
      </c>
      <c r="D2590" t="s">
        <v>9</v>
      </c>
      <c r="E2590" t="s">
        <v>32</v>
      </c>
      <c r="F2590" t="s">
        <v>16</v>
      </c>
      <c r="G2590" t="s">
        <v>36</v>
      </c>
      <c r="H2590">
        <v>2470.4499999999998</v>
      </c>
      <c r="I2590" s="8" t="str" cm="1">
        <f t="array" ref="I2590">_xlfn.IFS(C2590&lt;=15,"Children and Young Adolescents", C2590&gt;64, "Seniors", TRUE, "Working Age")</f>
        <v>Children and Young Adolescents</v>
      </c>
      <c r="J2590" s="6">
        <f>VLOOKUP(F2590,Analysis!$F$1:$G$5,2,FALSE)</f>
        <v>2509.1716796874912</v>
      </c>
      <c r="K2590">
        <f t="shared" si="160"/>
        <v>2717.49</v>
      </c>
      <c r="L2590">
        <f t="shared" si="161"/>
        <v>2717.5</v>
      </c>
      <c r="M2590">
        <f t="shared" si="162"/>
        <v>2717.5</v>
      </c>
      <c r="N2590" s="5" t="str">
        <f t="shared" si="163"/>
        <v>January 2023</v>
      </c>
    </row>
    <row r="2591" spans="1:14" x14ac:dyDescent="0.25">
      <c r="A2591" s="1">
        <v>44940</v>
      </c>
      <c r="B2591" t="s">
        <v>1129</v>
      </c>
      <c r="C2591">
        <v>65</v>
      </c>
      <c r="D2591" t="s">
        <v>14</v>
      </c>
      <c r="E2591" t="s">
        <v>10</v>
      </c>
      <c r="F2591" t="s">
        <v>11</v>
      </c>
      <c r="G2591" t="s">
        <v>12</v>
      </c>
      <c r="H2591">
        <v>938.73</v>
      </c>
      <c r="I2591" s="8" t="str" cm="1">
        <f t="array" ref="I2591">_xlfn.IFS(C2591&lt;=15,"Children and Young Adolescents", C2591&gt;64, "Seniors", TRUE, "Working Age")</f>
        <v>Seniors</v>
      </c>
      <c r="J2591" s="6">
        <f>VLOOKUP(F2591,Analysis!$F$1:$G$5,2,FALSE)</f>
        <v>2503.6022787783854</v>
      </c>
      <c r="K2591">
        <f t="shared" si="160"/>
        <v>1032.5999999999999</v>
      </c>
      <c r="L2591">
        <f t="shared" si="161"/>
        <v>1032.6099999999999</v>
      </c>
      <c r="M2591">
        <f t="shared" si="162"/>
        <v>1032.5999999999999</v>
      </c>
      <c r="N2591" s="5" t="str">
        <f t="shared" si="163"/>
        <v>January 2023</v>
      </c>
    </row>
    <row r="2592" spans="1:14" x14ac:dyDescent="0.25">
      <c r="A2592" s="1">
        <v>44940</v>
      </c>
      <c r="B2592" t="s">
        <v>4973</v>
      </c>
      <c r="C2592">
        <v>28</v>
      </c>
      <c r="D2592" t="s">
        <v>14</v>
      </c>
      <c r="E2592" t="s">
        <v>5032</v>
      </c>
      <c r="F2592" t="s">
        <v>11</v>
      </c>
      <c r="G2592" t="s">
        <v>12</v>
      </c>
      <c r="H2592">
        <v>451.44</v>
      </c>
      <c r="I2592" s="8" t="str" cm="1">
        <f t="array" ref="I2592">_xlfn.IFS(C2592&lt;=15,"Children and Young Adolescents", C2592&gt;64, "Seniors", TRUE, "Working Age")</f>
        <v>Working Age</v>
      </c>
      <c r="J2592" s="6">
        <f>VLOOKUP(F2592,Analysis!$F$1:$G$5,2,FALSE)</f>
        <v>2503.6022787783854</v>
      </c>
      <c r="K2592">
        <f t="shared" si="160"/>
        <v>496.58</v>
      </c>
      <c r="L2592">
        <f t="shared" si="161"/>
        <v>496.59</v>
      </c>
      <c r="M2592">
        <f t="shared" si="162"/>
        <v>496.58</v>
      </c>
      <c r="N2592" s="5" t="str">
        <f t="shared" si="163"/>
        <v>January 2023</v>
      </c>
    </row>
    <row r="2593" spans="1:14" x14ac:dyDescent="0.25">
      <c r="A2593" s="1">
        <v>44940</v>
      </c>
      <c r="B2593" t="s">
        <v>2572</v>
      </c>
      <c r="C2593">
        <v>5</v>
      </c>
      <c r="D2593" t="s">
        <v>14</v>
      </c>
      <c r="E2593" t="s">
        <v>10</v>
      </c>
      <c r="F2593" t="s">
        <v>23</v>
      </c>
      <c r="G2593" t="s">
        <v>17</v>
      </c>
      <c r="H2593">
        <v>2491.79</v>
      </c>
      <c r="I2593" s="8" t="str" cm="1">
        <f t="array" ref="I2593">_xlfn.IFS(C2593&lt;=15,"Children and Young Adolescents", C2593&gt;64, "Seniors", TRUE, "Working Age")</f>
        <v>Children and Young Adolescents</v>
      </c>
      <c r="J2593" s="6">
        <f>VLOOKUP(F2593,Analysis!$F$1:$G$5,2,FALSE)</f>
        <v>2440.2966694490838</v>
      </c>
      <c r="K2593">
        <f t="shared" si="160"/>
        <v>2740.96</v>
      </c>
      <c r="L2593">
        <f t="shared" si="161"/>
        <v>2740.9700000000003</v>
      </c>
      <c r="M2593">
        <f t="shared" si="162"/>
        <v>2740.97</v>
      </c>
      <c r="N2593" s="5" t="str">
        <f t="shared" si="163"/>
        <v>January 2023</v>
      </c>
    </row>
    <row r="2594" spans="1:14" x14ac:dyDescent="0.25">
      <c r="A2594" s="1">
        <v>44940</v>
      </c>
      <c r="B2594" t="s">
        <v>4820</v>
      </c>
      <c r="C2594">
        <v>29</v>
      </c>
      <c r="D2594" t="s">
        <v>9</v>
      </c>
      <c r="E2594" t="s">
        <v>34</v>
      </c>
      <c r="F2594" t="s">
        <v>16</v>
      </c>
      <c r="G2594" t="s">
        <v>39</v>
      </c>
      <c r="H2594">
        <v>2948.06</v>
      </c>
      <c r="I2594" s="8" t="str" cm="1">
        <f t="array" ref="I2594">_xlfn.IFS(C2594&lt;=15,"Children and Young Adolescents", C2594&gt;64, "Seniors", TRUE, "Working Age")</f>
        <v>Working Age</v>
      </c>
      <c r="J2594" s="6">
        <f>VLOOKUP(F2594,Analysis!$F$1:$G$5,2,FALSE)</f>
        <v>2509.1716796874912</v>
      </c>
      <c r="K2594">
        <f t="shared" si="160"/>
        <v>3242.86</v>
      </c>
      <c r="L2594">
        <f t="shared" si="161"/>
        <v>3242.8700000000003</v>
      </c>
      <c r="M2594">
        <f t="shared" si="162"/>
        <v>3242.87</v>
      </c>
      <c r="N2594" s="5" t="str">
        <f t="shared" si="163"/>
        <v>January 2023</v>
      </c>
    </row>
    <row r="2595" spans="1:14" x14ac:dyDescent="0.25">
      <c r="A2595" s="1">
        <v>44940</v>
      </c>
      <c r="B2595" t="s">
        <v>595</v>
      </c>
      <c r="C2595">
        <v>79</v>
      </c>
      <c r="D2595" t="s">
        <v>21</v>
      </c>
      <c r="E2595" t="s">
        <v>15</v>
      </c>
      <c r="F2595" t="s">
        <v>16</v>
      </c>
      <c r="G2595" t="s">
        <v>27</v>
      </c>
      <c r="H2595">
        <v>3284.08</v>
      </c>
      <c r="I2595" s="8" t="str" cm="1">
        <f t="array" ref="I2595">_xlfn.IFS(C2595&lt;=15,"Children and Young Adolescents", C2595&gt;64, "Seniors", TRUE, "Working Age")</f>
        <v>Seniors</v>
      </c>
      <c r="J2595" s="6">
        <f>VLOOKUP(F2595,Analysis!$F$1:$G$5,2,FALSE)</f>
        <v>2509.1716796874912</v>
      </c>
      <c r="K2595">
        <f t="shared" si="160"/>
        <v>3612.48</v>
      </c>
      <c r="L2595">
        <f t="shared" si="161"/>
        <v>3612.4900000000002</v>
      </c>
      <c r="M2595">
        <f t="shared" si="162"/>
        <v>3612.49</v>
      </c>
      <c r="N2595" s="5" t="str">
        <f t="shared" si="163"/>
        <v>January 2023</v>
      </c>
    </row>
    <row r="2596" spans="1:14" x14ac:dyDescent="0.25">
      <c r="A2596" s="1">
        <v>44941</v>
      </c>
      <c r="B2596" t="s">
        <v>3010</v>
      </c>
      <c r="C2596">
        <v>18</v>
      </c>
      <c r="D2596" t="s">
        <v>14</v>
      </c>
      <c r="E2596" t="s">
        <v>32</v>
      </c>
      <c r="F2596" t="s">
        <v>11</v>
      </c>
      <c r="G2596" t="s">
        <v>27</v>
      </c>
      <c r="H2596">
        <v>4217.5</v>
      </c>
      <c r="I2596" s="8" t="str" cm="1">
        <f t="array" ref="I2596">_xlfn.IFS(C2596&lt;=15,"Children and Young Adolescents", C2596&gt;64, "Seniors", TRUE, "Working Age")</f>
        <v>Working Age</v>
      </c>
      <c r="J2596" s="6">
        <f>VLOOKUP(F2596,Analysis!$F$1:$G$5,2,FALSE)</f>
        <v>2503.6022787783854</v>
      </c>
      <c r="K2596">
        <f t="shared" si="160"/>
        <v>4639.25</v>
      </c>
      <c r="L2596">
        <f t="shared" si="161"/>
        <v>4639.25</v>
      </c>
      <c r="M2596">
        <f t="shared" si="162"/>
        <v>4639.25</v>
      </c>
      <c r="N2596" s="5" t="str">
        <f t="shared" si="163"/>
        <v>January 2023</v>
      </c>
    </row>
    <row r="2597" spans="1:14" x14ac:dyDescent="0.25">
      <c r="A2597" s="1">
        <v>44941</v>
      </c>
      <c r="B2597" t="s">
        <v>1081</v>
      </c>
      <c r="C2597">
        <v>64</v>
      </c>
      <c r="D2597" t="s">
        <v>21</v>
      </c>
      <c r="E2597" t="s">
        <v>10</v>
      </c>
      <c r="F2597" t="s">
        <v>23</v>
      </c>
      <c r="G2597" t="s">
        <v>36</v>
      </c>
      <c r="H2597">
        <v>277.11</v>
      </c>
      <c r="I2597" s="8" t="str" cm="1">
        <f t="array" ref="I2597">_xlfn.IFS(C2597&lt;=15,"Children and Young Adolescents", C2597&gt;64, "Seniors", TRUE, "Working Age")</f>
        <v>Working Age</v>
      </c>
      <c r="J2597" s="6">
        <f>VLOOKUP(F2597,Analysis!$F$1:$G$5,2,FALSE)</f>
        <v>2440.2966694490838</v>
      </c>
      <c r="K2597">
        <f t="shared" si="160"/>
        <v>304.82</v>
      </c>
      <c r="L2597">
        <f t="shared" si="161"/>
        <v>304.83</v>
      </c>
      <c r="M2597">
        <f t="shared" si="162"/>
        <v>304.82</v>
      </c>
      <c r="N2597" s="5" t="str">
        <f t="shared" si="163"/>
        <v>January 2023</v>
      </c>
    </row>
    <row r="2598" spans="1:14" x14ac:dyDescent="0.25">
      <c r="A2598" s="1">
        <v>44941</v>
      </c>
      <c r="B2598" t="s">
        <v>925</v>
      </c>
      <c r="C2598">
        <v>3</v>
      </c>
      <c r="D2598" t="s">
        <v>21</v>
      </c>
      <c r="E2598" t="s">
        <v>19</v>
      </c>
      <c r="F2598" t="s">
        <v>11</v>
      </c>
      <c r="G2598" t="s">
        <v>36</v>
      </c>
      <c r="H2598">
        <v>4259.5</v>
      </c>
      <c r="I2598" s="8" t="str" cm="1">
        <f t="array" ref="I2598">_xlfn.IFS(C2598&lt;=15,"Children and Young Adolescents", C2598&gt;64, "Seniors", TRUE, "Working Age")</f>
        <v>Children and Young Adolescents</v>
      </c>
      <c r="J2598" s="6">
        <f>VLOOKUP(F2598,Analysis!$F$1:$G$5,2,FALSE)</f>
        <v>2503.6022787783854</v>
      </c>
      <c r="K2598">
        <f t="shared" si="160"/>
        <v>4685.45</v>
      </c>
      <c r="L2598">
        <f t="shared" si="161"/>
        <v>4685.45</v>
      </c>
      <c r="M2598">
        <f t="shared" si="162"/>
        <v>4685.45</v>
      </c>
      <c r="N2598" s="5" t="str">
        <f t="shared" si="163"/>
        <v>January 2023</v>
      </c>
    </row>
    <row r="2599" spans="1:14" x14ac:dyDescent="0.25">
      <c r="A2599" s="1">
        <v>44941</v>
      </c>
      <c r="B2599" t="s">
        <v>3251</v>
      </c>
      <c r="C2599">
        <v>59</v>
      </c>
      <c r="D2599" t="s">
        <v>14</v>
      </c>
      <c r="E2599" t="s">
        <v>10</v>
      </c>
      <c r="F2599" t="s">
        <v>16</v>
      </c>
      <c r="G2599" t="s">
        <v>27</v>
      </c>
      <c r="H2599">
        <v>635.32000000000005</v>
      </c>
      <c r="I2599" s="8" t="str" cm="1">
        <f t="array" ref="I2599">_xlfn.IFS(C2599&lt;=15,"Children and Young Adolescents", C2599&gt;64, "Seniors", TRUE, "Working Age")</f>
        <v>Working Age</v>
      </c>
      <c r="J2599" s="6">
        <f>VLOOKUP(F2599,Analysis!$F$1:$G$5,2,FALSE)</f>
        <v>2509.1716796874912</v>
      </c>
      <c r="K2599">
        <f t="shared" si="160"/>
        <v>698.85</v>
      </c>
      <c r="L2599">
        <f t="shared" si="161"/>
        <v>698.86</v>
      </c>
      <c r="M2599">
        <f t="shared" si="162"/>
        <v>698.85</v>
      </c>
      <c r="N2599" s="5" t="str">
        <f t="shared" si="163"/>
        <v>January 2023</v>
      </c>
    </row>
    <row r="2600" spans="1:14" x14ac:dyDescent="0.25">
      <c r="A2600" s="1">
        <v>44941</v>
      </c>
      <c r="B2600" t="s">
        <v>4922</v>
      </c>
      <c r="C2600">
        <v>88</v>
      </c>
      <c r="D2600" t="s">
        <v>14</v>
      </c>
      <c r="E2600" t="s">
        <v>32</v>
      </c>
      <c r="F2600" t="s">
        <v>16</v>
      </c>
      <c r="G2600" t="s">
        <v>27</v>
      </c>
      <c r="H2600">
        <v>328.94</v>
      </c>
      <c r="I2600" s="8" t="str" cm="1">
        <f t="array" ref="I2600">_xlfn.IFS(C2600&lt;=15,"Children and Young Adolescents", C2600&gt;64, "Seniors", TRUE, "Working Age")</f>
        <v>Seniors</v>
      </c>
      <c r="J2600" s="6">
        <f>VLOOKUP(F2600,Analysis!$F$1:$G$5,2,FALSE)</f>
        <v>2509.1716796874912</v>
      </c>
      <c r="K2600">
        <f t="shared" si="160"/>
        <v>361.83</v>
      </c>
      <c r="L2600">
        <f t="shared" si="161"/>
        <v>361.84</v>
      </c>
      <c r="M2600">
        <f t="shared" si="162"/>
        <v>361.83</v>
      </c>
      <c r="N2600" s="5" t="str">
        <f t="shared" si="163"/>
        <v>January 2023</v>
      </c>
    </row>
    <row r="2601" spans="1:14" x14ac:dyDescent="0.25">
      <c r="A2601" s="1">
        <v>44942</v>
      </c>
      <c r="B2601" t="s">
        <v>808</v>
      </c>
      <c r="C2601">
        <v>29</v>
      </c>
      <c r="D2601" t="s">
        <v>14</v>
      </c>
      <c r="E2601" t="s">
        <v>22</v>
      </c>
      <c r="F2601" t="s">
        <v>23</v>
      </c>
      <c r="G2601" t="s">
        <v>12</v>
      </c>
      <c r="H2601">
        <v>4119.4399999999996</v>
      </c>
      <c r="I2601" s="8" t="str" cm="1">
        <f t="array" ref="I2601">_xlfn.IFS(C2601&lt;=15,"Children and Young Adolescents", C2601&gt;64, "Seniors", TRUE, "Working Age")</f>
        <v>Working Age</v>
      </c>
      <c r="J2601" s="6">
        <f>VLOOKUP(F2601,Analysis!$F$1:$G$5,2,FALSE)</f>
        <v>2440.2966694490838</v>
      </c>
      <c r="K2601">
        <f t="shared" si="160"/>
        <v>4531.38</v>
      </c>
      <c r="L2601">
        <f t="shared" si="161"/>
        <v>4531.3900000000003</v>
      </c>
      <c r="M2601">
        <f t="shared" si="162"/>
        <v>4531.38</v>
      </c>
      <c r="N2601" s="5" t="str">
        <f t="shared" si="163"/>
        <v>January 2023</v>
      </c>
    </row>
    <row r="2602" spans="1:14" x14ac:dyDescent="0.25">
      <c r="A2602" s="1">
        <v>44942</v>
      </c>
      <c r="B2602" t="s">
        <v>2970</v>
      </c>
      <c r="C2602">
        <v>74</v>
      </c>
      <c r="D2602" t="s">
        <v>21</v>
      </c>
      <c r="E2602" t="s">
        <v>25</v>
      </c>
      <c r="F2602" t="s">
        <v>23</v>
      </c>
      <c r="G2602" t="s">
        <v>27</v>
      </c>
      <c r="H2602">
        <v>2050.71</v>
      </c>
      <c r="I2602" s="8" t="str" cm="1">
        <f t="array" ref="I2602">_xlfn.IFS(C2602&lt;=15,"Children and Young Adolescents", C2602&gt;64, "Seniors", TRUE, "Working Age")</f>
        <v>Seniors</v>
      </c>
      <c r="J2602" s="6">
        <f>VLOOKUP(F2602,Analysis!$F$1:$G$5,2,FALSE)</f>
        <v>2440.2966694490838</v>
      </c>
      <c r="K2602">
        <f t="shared" si="160"/>
        <v>2255.7800000000002</v>
      </c>
      <c r="L2602">
        <f t="shared" si="161"/>
        <v>2255.7900000000004</v>
      </c>
      <c r="M2602">
        <f t="shared" si="162"/>
        <v>2255.7800000000002</v>
      </c>
      <c r="N2602" s="5" t="str">
        <f t="shared" si="163"/>
        <v>January 2023</v>
      </c>
    </row>
    <row r="2603" spans="1:14" x14ac:dyDescent="0.25">
      <c r="A2603" s="1">
        <v>44942</v>
      </c>
      <c r="B2603" t="s">
        <v>2263</v>
      </c>
      <c r="C2603">
        <v>94</v>
      </c>
      <c r="D2603" t="s">
        <v>9</v>
      </c>
      <c r="E2603" t="s">
        <v>34</v>
      </c>
      <c r="F2603" t="s">
        <v>11</v>
      </c>
      <c r="G2603" t="s">
        <v>39</v>
      </c>
      <c r="H2603">
        <v>540.63</v>
      </c>
      <c r="I2603" s="8" t="str" cm="1">
        <f t="array" ref="I2603">_xlfn.IFS(C2603&lt;=15,"Children and Young Adolescents", C2603&gt;64, "Seniors", TRUE, "Working Age")</f>
        <v>Seniors</v>
      </c>
      <c r="J2603" s="6">
        <f>VLOOKUP(F2603,Analysis!$F$1:$G$5,2,FALSE)</f>
        <v>2503.6022787783854</v>
      </c>
      <c r="K2603">
        <f t="shared" si="160"/>
        <v>594.69000000000005</v>
      </c>
      <c r="L2603">
        <f t="shared" si="161"/>
        <v>594.70000000000005</v>
      </c>
      <c r="M2603">
        <f t="shared" si="162"/>
        <v>594.69000000000005</v>
      </c>
      <c r="N2603" s="5" t="str">
        <f t="shared" si="163"/>
        <v>January 2023</v>
      </c>
    </row>
    <row r="2604" spans="1:14" x14ac:dyDescent="0.25">
      <c r="A2604" s="1">
        <v>44942</v>
      </c>
      <c r="B2604" t="s">
        <v>4906</v>
      </c>
      <c r="C2604">
        <v>51</v>
      </c>
      <c r="D2604" t="s">
        <v>14</v>
      </c>
      <c r="E2604" t="s">
        <v>10</v>
      </c>
      <c r="F2604" t="s">
        <v>16</v>
      </c>
      <c r="G2604" t="s">
        <v>39</v>
      </c>
      <c r="H2604">
        <v>3995.85</v>
      </c>
      <c r="I2604" s="8" t="str" cm="1">
        <f t="array" ref="I2604">_xlfn.IFS(C2604&lt;=15,"Children and Young Adolescents", C2604&gt;64, "Seniors", TRUE, "Working Age")</f>
        <v>Working Age</v>
      </c>
      <c r="J2604" s="6">
        <f>VLOOKUP(F2604,Analysis!$F$1:$G$5,2,FALSE)</f>
        <v>2509.1716796874912</v>
      </c>
      <c r="K2604">
        <f t="shared" si="160"/>
        <v>4395.43</v>
      </c>
      <c r="L2604">
        <f t="shared" si="161"/>
        <v>4395.4400000000005</v>
      </c>
      <c r="M2604">
        <f t="shared" si="162"/>
        <v>4395.4399999999996</v>
      </c>
      <c r="N2604" s="5" t="str">
        <f t="shared" si="163"/>
        <v>January 2023</v>
      </c>
    </row>
    <row r="2605" spans="1:14" x14ac:dyDescent="0.25">
      <c r="A2605" s="1">
        <v>44942</v>
      </c>
      <c r="B2605" t="s">
        <v>4485</v>
      </c>
      <c r="C2605">
        <v>90</v>
      </c>
      <c r="D2605" t="s">
        <v>14</v>
      </c>
      <c r="E2605" t="s">
        <v>22</v>
      </c>
      <c r="F2605" t="s">
        <v>29</v>
      </c>
      <c r="G2605" t="s">
        <v>12</v>
      </c>
      <c r="H2605">
        <v>2852.2</v>
      </c>
      <c r="I2605" s="8" t="str" cm="1">
        <f t="array" ref="I2605">_xlfn.IFS(C2605&lt;=15,"Children and Young Adolescents", C2605&gt;64, "Seniors", TRUE, "Working Age")</f>
        <v>Seniors</v>
      </c>
      <c r="J2605" s="6">
        <f>VLOOKUP(F2605,Analysis!$F$1:$G$5,2,FALSE)</f>
        <v>2496.7676064256989</v>
      </c>
      <c r="K2605">
        <f t="shared" si="160"/>
        <v>3137.42</v>
      </c>
      <c r="L2605">
        <f t="shared" si="161"/>
        <v>3137.42</v>
      </c>
      <c r="M2605">
        <f t="shared" si="162"/>
        <v>3137.42</v>
      </c>
      <c r="N2605" s="5" t="str">
        <f t="shared" si="163"/>
        <v>January 2023</v>
      </c>
    </row>
    <row r="2606" spans="1:14" x14ac:dyDescent="0.25">
      <c r="A2606" s="1">
        <v>44942</v>
      </c>
      <c r="B2606" t="s">
        <v>3362</v>
      </c>
      <c r="C2606">
        <v>45</v>
      </c>
      <c r="D2606" t="s">
        <v>21</v>
      </c>
      <c r="E2606" t="s">
        <v>15</v>
      </c>
      <c r="F2606" t="s">
        <v>11</v>
      </c>
      <c r="G2606" t="s">
        <v>39</v>
      </c>
      <c r="H2606">
        <v>759.79</v>
      </c>
      <c r="I2606" s="8" t="str" cm="1">
        <f t="array" ref="I2606">_xlfn.IFS(C2606&lt;=15,"Children and Young Adolescents", C2606&gt;64, "Seniors", TRUE, "Working Age")</f>
        <v>Working Age</v>
      </c>
      <c r="J2606" s="6">
        <f>VLOOKUP(F2606,Analysis!$F$1:$G$5,2,FALSE)</f>
        <v>2503.6022787783854</v>
      </c>
      <c r="K2606">
        <f t="shared" si="160"/>
        <v>835.76</v>
      </c>
      <c r="L2606">
        <f t="shared" si="161"/>
        <v>835.77</v>
      </c>
      <c r="M2606">
        <f t="shared" si="162"/>
        <v>835.77</v>
      </c>
      <c r="N2606" s="5" t="str">
        <f t="shared" si="163"/>
        <v>January 2023</v>
      </c>
    </row>
    <row r="2607" spans="1:14" x14ac:dyDescent="0.25">
      <c r="A2607" s="1">
        <v>44942</v>
      </c>
      <c r="B2607" t="s">
        <v>3631</v>
      </c>
      <c r="C2607">
        <v>81</v>
      </c>
      <c r="D2607" t="s">
        <v>14</v>
      </c>
      <c r="E2607" t="s">
        <v>32</v>
      </c>
      <c r="F2607" t="s">
        <v>29</v>
      </c>
      <c r="G2607" t="s">
        <v>36</v>
      </c>
      <c r="H2607">
        <v>4711.07</v>
      </c>
      <c r="I2607" s="8" t="str" cm="1">
        <f t="array" ref="I2607">_xlfn.IFS(C2607&lt;=15,"Children and Young Adolescents", C2607&gt;64, "Seniors", TRUE, "Working Age")</f>
        <v>Seniors</v>
      </c>
      <c r="J2607" s="6">
        <f>VLOOKUP(F2607,Analysis!$F$1:$G$5,2,FALSE)</f>
        <v>2496.7676064256989</v>
      </c>
      <c r="K2607">
        <f t="shared" si="160"/>
        <v>5182.17</v>
      </c>
      <c r="L2607">
        <f t="shared" si="161"/>
        <v>5182.18</v>
      </c>
      <c r="M2607">
        <f t="shared" si="162"/>
        <v>5182.18</v>
      </c>
      <c r="N2607" s="5" t="str">
        <f t="shared" si="163"/>
        <v>January 2023</v>
      </c>
    </row>
    <row r="2608" spans="1:14" x14ac:dyDescent="0.25">
      <c r="A2608" s="1">
        <v>44942</v>
      </c>
      <c r="B2608" t="s">
        <v>4575</v>
      </c>
      <c r="C2608">
        <v>57</v>
      </c>
      <c r="D2608" t="s">
        <v>21</v>
      </c>
      <c r="E2608" t="s">
        <v>22</v>
      </c>
      <c r="F2608" t="s">
        <v>29</v>
      </c>
      <c r="G2608" t="s">
        <v>12</v>
      </c>
      <c r="H2608">
        <v>2568.67</v>
      </c>
      <c r="I2608" s="8" t="str" cm="1">
        <f t="array" ref="I2608">_xlfn.IFS(C2608&lt;=15,"Children and Young Adolescents", C2608&gt;64, "Seniors", TRUE, "Working Age")</f>
        <v>Working Age</v>
      </c>
      <c r="J2608" s="6">
        <f>VLOOKUP(F2608,Analysis!$F$1:$G$5,2,FALSE)</f>
        <v>2496.7676064256989</v>
      </c>
      <c r="K2608">
        <f t="shared" si="160"/>
        <v>2825.53</v>
      </c>
      <c r="L2608">
        <f t="shared" si="161"/>
        <v>2825.5400000000004</v>
      </c>
      <c r="M2608">
        <f t="shared" si="162"/>
        <v>2825.54</v>
      </c>
      <c r="N2608" s="5" t="str">
        <f t="shared" si="163"/>
        <v>January 2023</v>
      </c>
    </row>
    <row r="2609" spans="1:14" x14ac:dyDescent="0.25">
      <c r="A2609" s="1">
        <v>44943</v>
      </c>
      <c r="B2609" t="s">
        <v>195</v>
      </c>
      <c r="C2609">
        <v>45</v>
      </c>
      <c r="D2609" t="s">
        <v>9</v>
      </c>
      <c r="E2609" t="s">
        <v>15</v>
      </c>
      <c r="F2609" t="s">
        <v>23</v>
      </c>
      <c r="G2609" t="s">
        <v>36</v>
      </c>
      <c r="H2609">
        <v>4892.88</v>
      </c>
      <c r="I2609" s="8" t="str" cm="1">
        <f t="array" ref="I2609">_xlfn.IFS(C2609&lt;=15,"Children and Young Adolescents", C2609&gt;64, "Seniors", TRUE, "Working Age")</f>
        <v>Working Age</v>
      </c>
      <c r="J2609" s="6">
        <f>VLOOKUP(F2609,Analysis!$F$1:$G$5,2,FALSE)</f>
        <v>2440.2966694490838</v>
      </c>
      <c r="K2609">
        <f t="shared" si="160"/>
        <v>5382.16</v>
      </c>
      <c r="L2609">
        <f t="shared" si="161"/>
        <v>5382.17</v>
      </c>
      <c r="M2609">
        <f t="shared" si="162"/>
        <v>5382.17</v>
      </c>
      <c r="N2609" s="5" t="str">
        <f t="shared" si="163"/>
        <v>January 2023</v>
      </c>
    </row>
    <row r="2610" spans="1:14" x14ac:dyDescent="0.25">
      <c r="A2610" s="1">
        <v>44943</v>
      </c>
      <c r="B2610" t="s">
        <v>1370</v>
      </c>
      <c r="C2610">
        <v>12</v>
      </c>
      <c r="D2610" t="s">
        <v>14</v>
      </c>
      <c r="E2610" t="s">
        <v>10</v>
      </c>
      <c r="F2610" t="s">
        <v>11</v>
      </c>
      <c r="G2610" t="s">
        <v>27</v>
      </c>
      <c r="H2610">
        <v>3268.31</v>
      </c>
      <c r="I2610" s="8" t="str" cm="1">
        <f t="array" ref="I2610">_xlfn.IFS(C2610&lt;=15,"Children and Young Adolescents", C2610&gt;64, "Seniors", TRUE, "Working Age")</f>
        <v>Children and Young Adolescents</v>
      </c>
      <c r="J2610" s="6">
        <f>VLOOKUP(F2610,Analysis!$F$1:$G$5,2,FALSE)</f>
        <v>2503.6022787783854</v>
      </c>
      <c r="K2610">
        <f t="shared" si="160"/>
        <v>3595.14</v>
      </c>
      <c r="L2610">
        <f t="shared" si="161"/>
        <v>3595.15</v>
      </c>
      <c r="M2610">
        <f t="shared" si="162"/>
        <v>3595.14</v>
      </c>
      <c r="N2610" s="5" t="str">
        <f t="shared" si="163"/>
        <v>January 2023</v>
      </c>
    </row>
    <row r="2611" spans="1:14" x14ac:dyDescent="0.25">
      <c r="A2611" s="1">
        <v>44943</v>
      </c>
      <c r="B2611" t="s">
        <v>3775</v>
      </c>
      <c r="C2611">
        <v>69</v>
      </c>
      <c r="D2611" t="s">
        <v>9</v>
      </c>
      <c r="E2611" t="s">
        <v>19</v>
      </c>
      <c r="F2611" t="s">
        <v>11</v>
      </c>
      <c r="G2611" t="s">
        <v>39</v>
      </c>
      <c r="H2611">
        <v>1834.53</v>
      </c>
      <c r="I2611" s="8" t="str" cm="1">
        <f t="array" ref="I2611">_xlfn.IFS(C2611&lt;=15,"Children and Young Adolescents", C2611&gt;64, "Seniors", TRUE, "Working Age")</f>
        <v>Seniors</v>
      </c>
      <c r="J2611" s="6">
        <f>VLOOKUP(F2611,Analysis!$F$1:$G$5,2,FALSE)</f>
        <v>2503.6022787783854</v>
      </c>
      <c r="K2611">
        <f t="shared" si="160"/>
        <v>2017.98</v>
      </c>
      <c r="L2611">
        <f t="shared" si="161"/>
        <v>2017.99</v>
      </c>
      <c r="M2611">
        <f t="shared" si="162"/>
        <v>2017.98</v>
      </c>
      <c r="N2611" s="5" t="str">
        <f t="shared" si="163"/>
        <v>January 2023</v>
      </c>
    </row>
    <row r="2612" spans="1:14" x14ac:dyDescent="0.25">
      <c r="A2612" s="1">
        <v>44943</v>
      </c>
      <c r="B2612" t="s">
        <v>1615</v>
      </c>
      <c r="C2612">
        <v>68</v>
      </c>
      <c r="D2612" t="s">
        <v>14</v>
      </c>
      <c r="E2612" t="s">
        <v>22</v>
      </c>
      <c r="F2612" t="s">
        <v>11</v>
      </c>
      <c r="G2612" t="s">
        <v>27</v>
      </c>
      <c r="H2612">
        <v>120.95</v>
      </c>
      <c r="I2612" s="8" t="str" cm="1">
        <f t="array" ref="I2612">_xlfn.IFS(C2612&lt;=15,"Children and Young Adolescents", C2612&gt;64, "Seniors", TRUE, "Working Age")</f>
        <v>Seniors</v>
      </c>
      <c r="J2612" s="6">
        <f>VLOOKUP(F2612,Analysis!$F$1:$G$5,2,FALSE)</f>
        <v>2503.6022787783854</v>
      </c>
      <c r="K2612">
        <f t="shared" si="160"/>
        <v>133.04</v>
      </c>
      <c r="L2612">
        <f t="shared" si="161"/>
        <v>133.04999999999998</v>
      </c>
      <c r="M2612">
        <f t="shared" si="162"/>
        <v>133.05000000000001</v>
      </c>
      <c r="N2612" s="5" t="str">
        <f t="shared" si="163"/>
        <v>January 2023</v>
      </c>
    </row>
    <row r="2613" spans="1:14" x14ac:dyDescent="0.25">
      <c r="A2613" s="1">
        <v>44943</v>
      </c>
      <c r="B2613" t="s">
        <v>4202</v>
      </c>
      <c r="C2613">
        <v>40</v>
      </c>
      <c r="D2613" t="s">
        <v>21</v>
      </c>
      <c r="E2613" t="s">
        <v>15</v>
      </c>
      <c r="F2613" t="s">
        <v>23</v>
      </c>
      <c r="G2613" t="s">
        <v>12</v>
      </c>
      <c r="H2613">
        <v>747.37</v>
      </c>
      <c r="I2613" s="8" t="str" cm="1">
        <f t="array" ref="I2613">_xlfn.IFS(C2613&lt;=15,"Children and Young Adolescents", C2613&gt;64, "Seniors", TRUE, "Working Age")</f>
        <v>Working Age</v>
      </c>
      <c r="J2613" s="6">
        <f>VLOOKUP(F2613,Analysis!$F$1:$G$5,2,FALSE)</f>
        <v>2440.2966694490838</v>
      </c>
      <c r="K2613">
        <f t="shared" si="160"/>
        <v>822.1</v>
      </c>
      <c r="L2613">
        <f t="shared" si="161"/>
        <v>822.11</v>
      </c>
      <c r="M2613">
        <f t="shared" si="162"/>
        <v>822.11</v>
      </c>
      <c r="N2613" s="5" t="str">
        <f t="shared" si="163"/>
        <v>January 2023</v>
      </c>
    </row>
    <row r="2614" spans="1:14" x14ac:dyDescent="0.25">
      <c r="A2614" s="1">
        <v>44943</v>
      </c>
      <c r="B2614" t="s">
        <v>4816</v>
      </c>
      <c r="C2614">
        <v>42</v>
      </c>
      <c r="D2614" t="s">
        <v>14</v>
      </c>
      <c r="E2614" t="s">
        <v>32</v>
      </c>
      <c r="F2614" t="s">
        <v>16</v>
      </c>
      <c r="G2614" t="s">
        <v>39</v>
      </c>
      <c r="H2614">
        <v>343.1</v>
      </c>
      <c r="I2614" s="8" t="str" cm="1">
        <f t="array" ref="I2614">_xlfn.IFS(C2614&lt;=15,"Children and Young Adolescents", C2614&gt;64, "Seniors", TRUE, "Working Age")</f>
        <v>Working Age</v>
      </c>
      <c r="J2614" s="6">
        <f>VLOOKUP(F2614,Analysis!$F$1:$G$5,2,FALSE)</f>
        <v>2509.1716796874912</v>
      </c>
      <c r="K2614">
        <f t="shared" si="160"/>
        <v>377.41</v>
      </c>
      <c r="L2614">
        <f t="shared" si="161"/>
        <v>377.41</v>
      </c>
      <c r="M2614">
        <f t="shared" si="162"/>
        <v>377.41</v>
      </c>
      <c r="N2614" s="5" t="str">
        <f t="shared" si="163"/>
        <v>January 2023</v>
      </c>
    </row>
    <row r="2615" spans="1:14" x14ac:dyDescent="0.25">
      <c r="A2615" s="1">
        <v>44944</v>
      </c>
      <c r="B2615" t="s">
        <v>1773</v>
      </c>
      <c r="C2615">
        <v>78</v>
      </c>
      <c r="D2615" t="s">
        <v>9</v>
      </c>
      <c r="E2615" t="s">
        <v>25</v>
      </c>
      <c r="F2615" t="s">
        <v>29</v>
      </c>
      <c r="G2615" t="s">
        <v>27</v>
      </c>
      <c r="H2615">
        <v>789.19</v>
      </c>
      <c r="I2615" s="8" t="str" cm="1">
        <f t="array" ref="I2615">_xlfn.IFS(C2615&lt;=15,"Children and Young Adolescents", C2615&gt;64, "Seniors", TRUE, "Working Age")</f>
        <v>Seniors</v>
      </c>
      <c r="J2615" s="6">
        <f>VLOOKUP(F2615,Analysis!$F$1:$G$5,2,FALSE)</f>
        <v>2496.7676064256989</v>
      </c>
      <c r="K2615">
        <f t="shared" si="160"/>
        <v>868.1</v>
      </c>
      <c r="L2615">
        <f t="shared" si="161"/>
        <v>868.11</v>
      </c>
      <c r="M2615">
        <f t="shared" si="162"/>
        <v>868.11</v>
      </c>
      <c r="N2615" s="5" t="str">
        <f t="shared" si="163"/>
        <v>January 2023</v>
      </c>
    </row>
    <row r="2616" spans="1:14" x14ac:dyDescent="0.25">
      <c r="A2616" s="1">
        <v>44944</v>
      </c>
      <c r="B2616" t="s">
        <v>706</v>
      </c>
      <c r="C2616">
        <v>58</v>
      </c>
      <c r="D2616" t="s">
        <v>9</v>
      </c>
      <c r="E2616" t="s">
        <v>32</v>
      </c>
      <c r="F2616" t="s">
        <v>29</v>
      </c>
      <c r="G2616" t="s">
        <v>39</v>
      </c>
      <c r="H2616">
        <v>1370.94</v>
      </c>
      <c r="I2616" s="8" t="str" cm="1">
        <f t="array" ref="I2616">_xlfn.IFS(C2616&lt;=15,"Children and Young Adolescents", C2616&gt;64, "Seniors", TRUE, "Working Age")</f>
        <v>Working Age</v>
      </c>
      <c r="J2616" s="6">
        <f>VLOOKUP(F2616,Analysis!$F$1:$G$5,2,FALSE)</f>
        <v>2496.7676064256989</v>
      </c>
      <c r="K2616">
        <f t="shared" si="160"/>
        <v>1508.03</v>
      </c>
      <c r="L2616">
        <f t="shared" si="161"/>
        <v>1508.04</v>
      </c>
      <c r="M2616">
        <f t="shared" si="162"/>
        <v>1508.03</v>
      </c>
      <c r="N2616" s="5" t="str">
        <f t="shared" si="163"/>
        <v>January 2023</v>
      </c>
    </row>
    <row r="2617" spans="1:14" x14ac:dyDescent="0.25">
      <c r="A2617" s="1">
        <v>44944</v>
      </c>
      <c r="B2617" t="s">
        <v>480</v>
      </c>
      <c r="C2617">
        <v>58</v>
      </c>
      <c r="D2617" t="s">
        <v>9</v>
      </c>
      <c r="E2617" t="s">
        <v>25</v>
      </c>
      <c r="F2617" t="s">
        <v>16</v>
      </c>
      <c r="G2617" t="s">
        <v>39</v>
      </c>
      <c r="H2617">
        <v>3156.18</v>
      </c>
      <c r="I2617" s="8" t="str" cm="1">
        <f t="array" ref="I2617">_xlfn.IFS(C2617&lt;=15,"Children and Young Adolescents", C2617&gt;64, "Seniors", TRUE, "Working Age")</f>
        <v>Working Age</v>
      </c>
      <c r="J2617" s="6">
        <f>VLOOKUP(F2617,Analysis!$F$1:$G$5,2,FALSE)</f>
        <v>2509.1716796874912</v>
      </c>
      <c r="K2617">
        <f t="shared" si="160"/>
        <v>3471.79</v>
      </c>
      <c r="L2617">
        <f t="shared" si="161"/>
        <v>3471.8</v>
      </c>
      <c r="M2617">
        <f t="shared" si="162"/>
        <v>3471.8</v>
      </c>
      <c r="N2617" s="5" t="str">
        <f t="shared" si="163"/>
        <v>January 2023</v>
      </c>
    </row>
    <row r="2618" spans="1:14" x14ac:dyDescent="0.25">
      <c r="A2618" s="1">
        <v>44944</v>
      </c>
      <c r="B2618" t="s">
        <v>488</v>
      </c>
      <c r="C2618">
        <v>92</v>
      </c>
      <c r="D2618" t="s">
        <v>14</v>
      </c>
      <c r="E2618" t="s">
        <v>15</v>
      </c>
      <c r="F2618" t="s">
        <v>11</v>
      </c>
      <c r="G2618" t="s">
        <v>17</v>
      </c>
      <c r="H2618">
        <v>4207.6499999999996</v>
      </c>
      <c r="I2618" s="8" t="str" cm="1">
        <f t="array" ref="I2618">_xlfn.IFS(C2618&lt;=15,"Children and Young Adolescents", C2618&gt;64, "Seniors", TRUE, "Working Age")</f>
        <v>Seniors</v>
      </c>
      <c r="J2618" s="6">
        <f>VLOOKUP(F2618,Analysis!$F$1:$G$5,2,FALSE)</f>
        <v>2503.6022787783854</v>
      </c>
      <c r="K2618">
        <f t="shared" si="160"/>
        <v>4628.41</v>
      </c>
      <c r="L2618">
        <f t="shared" si="161"/>
        <v>4628.42</v>
      </c>
      <c r="M2618">
        <f t="shared" si="162"/>
        <v>4628.42</v>
      </c>
      <c r="N2618" s="5" t="str">
        <f t="shared" si="163"/>
        <v>January 2023</v>
      </c>
    </row>
    <row r="2619" spans="1:14" x14ac:dyDescent="0.25">
      <c r="A2619" s="1">
        <v>44944</v>
      </c>
      <c r="B2619" t="s">
        <v>4704</v>
      </c>
      <c r="C2619">
        <v>54</v>
      </c>
      <c r="D2619" t="s">
        <v>9</v>
      </c>
      <c r="E2619" t="s">
        <v>15</v>
      </c>
      <c r="F2619" t="s">
        <v>23</v>
      </c>
      <c r="G2619" t="s">
        <v>12</v>
      </c>
      <c r="H2619">
        <v>2351.0500000000002</v>
      </c>
      <c r="I2619" s="8" t="str" cm="1">
        <f t="array" ref="I2619">_xlfn.IFS(C2619&lt;=15,"Children and Young Adolescents", C2619&gt;64, "Seniors", TRUE, "Working Age")</f>
        <v>Working Age</v>
      </c>
      <c r="J2619" s="6">
        <f>VLOOKUP(F2619,Analysis!$F$1:$G$5,2,FALSE)</f>
        <v>2440.2966694490838</v>
      </c>
      <c r="K2619">
        <f t="shared" si="160"/>
        <v>2586.15</v>
      </c>
      <c r="L2619">
        <f t="shared" si="161"/>
        <v>2586.1600000000003</v>
      </c>
      <c r="M2619">
        <f t="shared" si="162"/>
        <v>2586.16</v>
      </c>
      <c r="N2619" s="5" t="str">
        <f t="shared" si="163"/>
        <v>January 2023</v>
      </c>
    </row>
    <row r="2620" spans="1:14" x14ac:dyDescent="0.25">
      <c r="A2620" s="1">
        <v>44944</v>
      </c>
      <c r="B2620" t="s">
        <v>3991</v>
      </c>
      <c r="C2620">
        <v>38</v>
      </c>
      <c r="D2620" t="s">
        <v>9</v>
      </c>
      <c r="E2620" t="s">
        <v>32</v>
      </c>
      <c r="F2620" t="s">
        <v>23</v>
      </c>
      <c r="G2620" t="s">
        <v>27</v>
      </c>
      <c r="H2620">
        <v>3470.8</v>
      </c>
      <c r="I2620" s="8" t="str" cm="1">
        <f t="array" ref="I2620">_xlfn.IFS(C2620&lt;=15,"Children and Young Adolescents", C2620&gt;64, "Seniors", TRUE, "Working Age")</f>
        <v>Working Age</v>
      </c>
      <c r="J2620" s="6">
        <f>VLOOKUP(F2620,Analysis!$F$1:$G$5,2,FALSE)</f>
        <v>2440.2966694490838</v>
      </c>
      <c r="K2620">
        <f t="shared" si="160"/>
        <v>3817.88</v>
      </c>
      <c r="L2620">
        <f t="shared" si="161"/>
        <v>3817.88</v>
      </c>
      <c r="M2620">
        <f t="shared" si="162"/>
        <v>3817.88</v>
      </c>
      <c r="N2620" s="5" t="str">
        <f t="shared" si="163"/>
        <v>January 2023</v>
      </c>
    </row>
    <row r="2621" spans="1:14" x14ac:dyDescent="0.25">
      <c r="A2621" s="1">
        <v>44944</v>
      </c>
      <c r="B2621" t="s">
        <v>614</v>
      </c>
      <c r="C2621">
        <v>99</v>
      </c>
      <c r="D2621" t="s">
        <v>14</v>
      </c>
      <c r="E2621" t="s">
        <v>32</v>
      </c>
      <c r="F2621" t="s">
        <v>23</v>
      </c>
      <c r="G2621" t="s">
        <v>39</v>
      </c>
      <c r="H2621">
        <v>4650.01</v>
      </c>
      <c r="I2621" s="8" t="str" cm="1">
        <f t="array" ref="I2621">_xlfn.IFS(C2621&lt;=15,"Children and Young Adolescents", C2621&gt;64, "Seniors", TRUE, "Working Age")</f>
        <v>Seniors</v>
      </c>
      <c r="J2621" s="6">
        <f>VLOOKUP(F2621,Analysis!$F$1:$G$5,2,FALSE)</f>
        <v>2440.2966694490838</v>
      </c>
      <c r="K2621">
        <f t="shared" si="160"/>
        <v>5115.01</v>
      </c>
      <c r="L2621">
        <f t="shared" si="161"/>
        <v>5115.0200000000004</v>
      </c>
      <c r="M2621">
        <f t="shared" si="162"/>
        <v>5115.01</v>
      </c>
      <c r="N2621" s="5" t="str">
        <f t="shared" si="163"/>
        <v>January 2023</v>
      </c>
    </row>
    <row r="2622" spans="1:14" x14ac:dyDescent="0.25">
      <c r="A2622" s="1">
        <v>44944</v>
      </c>
      <c r="B2622" t="s">
        <v>1332</v>
      </c>
      <c r="C2622">
        <v>45</v>
      </c>
      <c r="D2622" t="s">
        <v>21</v>
      </c>
      <c r="E2622" t="s">
        <v>10</v>
      </c>
      <c r="F2622" t="s">
        <v>16</v>
      </c>
      <c r="G2622" t="s">
        <v>17</v>
      </c>
      <c r="H2622">
        <v>3337.58</v>
      </c>
      <c r="I2622" s="8" t="str" cm="1">
        <f t="array" ref="I2622">_xlfn.IFS(C2622&lt;=15,"Children and Young Adolescents", C2622&gt;64, "Seniors", TRUE, "Working Age")</f>
        <v>Working Age</v>
      </c>
      <c r="J2622" s="6">
        <f>VLOOKUP(F2622,Analysis!$F$1:$G$5,2,FALSE)</f>
        <v>2509.1716796874912</v>
      </c>
      <c r="K2622">
        <f t="shared" si="160"/>
        <v>3671.33</v>
      </c>
      <c r="L2622">
        <f t="shared" si="161"/>
        <v>3671.34</v>
      </c>
      <c r="M2622">
        <f t="shared" si="162"/>
        <v>3671.34</v>
      </c>
      <c r="N2622" s="5" t="str">
        <f t="shared" si="163"/>
        <v>January 2023</v>
      </c>
    </row>
    <row r="2623" spans="1:14" x14ac:dyDescent="0.25">
      <c r="A2623" s="1">
        <v>44944</v>
      </c>
      <c r="B2623" t="s">
        <v>2670</v>
      </c>
      <c r="C2623">
        <v>36</v>
      </c>
      <c r="D2623" t="s">
        <v>9</v>
      </c>
      <c r="E2623" t="s">
        <v>34</v>
      </c>
      <c r="F2623" t="s">
        <v>23</v>
      </c>
      <c r="G2623" t="s">
        <v>17</v>
      </c>
      <c r="H2623">
        <v>3208.05</v>
      </c>
      <c r="I2623" s="8" t="str" cm="1">
        <f t="array" ref="I2623">_xlfn.IFS(C2623&lt;=15,"Children and Young Adolescents", C2623&gt;64, "Seniors", TRUE, "Working Age")</f>
        <v>Working Age</v>
      </c>
      <c r="J2623" s="6">
        <f>VLOOKUP(F2623,Analysis!$F$1:$G$5,2,FALSE)</f>
        <v>2440.2966694490838</v>
      </c>
      <c r="K2623">
        <f t="shared" si="160"/>
        <v>3528.85</v>
      </c>
      <c r="L2623">
        <f t="shared" si="161"/>
        <v>3528.86</v>
      </c>
      <c r="M2623">
        <f t="shared" si="162"/>
        <v>3528.86</v>
      </c>
      <c r="N2623" s="5" t="str">
        <f t="shared" si="163"/>
        <v>January 2023</v>
      </c>
    </row>
    <row r="2624" spans="1:14" x14ac:dyDescent="0.25">
      <c r="A2624" s="1">
        <v>44944</v>
      </c>
      <c r="B2624" t="s">
        <v>793</v>
      </c>
      <c r="C2624">
        <v>64</v>
      </c>
      <c r="D2624" t="s">
        <v>14</v>
      </c>
      <c r="E2624" t="s">
        <v>15</v>
      </c>
      <c r="F2624" t="s">
        <v>23</v>
      </c>
      <c r="G2624" t="s">
        <v>27</v>
      </c>
      <c r="H2624">
        <v>1533.33</v>
      </c>
      <c r="I2624" s="8" t="str" cm="1">
        <f t="array" ref="I2624">_xlfn.IFS(C2624&lt;=15,"Children and Young Adolescents", C2624&gt;64, "Seniors", TRUE, "Working Age")</f>
        <v>Working Age</v>
      </c>
      <c r="J2624" s="6">
        <f>VLOOKUP(F2624,Analysis!$F$1:$G$5,2,FALSE)</f>
        <v>2440.2966694490838</v>
      </c>
      <c r="K2624">
        <f t="shared" si="160"/>
        <v>1686.66</v>
      </c>
      <c r="L2624">
        <f t="shared" si="161"/>
        <v>1686.67</v>
      </c>
      <c r="M2624">
        <f t="shared" si="162"/>
        <v>1686.66</v>
      </c>
      <c r="N2624" s="5" t="str">
        <f t="shared" si="163"/>
        <v>January 2023</v>
      </c>
    </row>
    <row r="2625" spans="1:14" x14ac:dyDescent="0.25">
      <c r="A2625" s="1">
        <v>44945</v>
      </c>
      <c r="B2625" t="s">
        <v>2173</v>
      </c>
      <c r="C2625">
        <v>3</v>
      </c>
      <c r="D2625" t="s">
        <v>9</v>
      </c>
      <c r="E2625" t="s">
        <v>22</v>
      </c>
      <c r="F2625" t="s">
        <v>29</v>
      </c>
      <c r="G2625" t="s">
        <v>36</v>
      </c>
      <c r="H2625">
        <v>4107.79</v>
      </c>
      <c r="I2625" s="8" t="str" cm="1">
        <f t="array" ref="I2625">_xlfn.IFS(C2625&lt;=15,"Children and Young Adolescents", C2625&gt;64, "Seniors", TRUE, "Working Age")</f>
        <v>Children and Young Adolescents</v>
      </c>
      <c r="J2625" s="6">
        <f>VLOOKUP(F2625,Analysis!$F$1:$G$5,2,FALSE)</f>
        <v>2496.7676064256989</v>
      </c>
      <c r="K2625">
        <f t="shared" si="160"/>
        <v>4518.5600000000004</v>
      </c>
      <c r="L2625">
        <f t="shared" si="161"/>
        <v>4518.5700000000006</v>
      </c>
      <c r="M2625">
        <f t="shared" si="162"/>
        <v>4518.57</v>
      </c>
      <c r="N2625" s="5" t="str">
        <f t="shared" si="163"/>
        <v>January 2023</v>
      </c>
    </row>
    <row r="2626" spans="1:14" x14ac:dyDescent="0.25">
      <c r="A2626" s="1">
        <v>44945</v>
      </c>
      <c r="B2626" t="s">
        <v>3661</v>
      </c>
      <c r="C2626">
        <v>65</v>
      </c>
      <c r="D2626" t="s">
        <v>14</v>
      </c>
      <c r="E2626" t="s">
        <v>34</v>
      </c>
      <c r="F2626" t="s">
        <v>11</v>
      </c>
      <c r="G2626" t="s">
        <v>36</v>
      </c>
      <c r="H2626">
        <v>2572.7399999999998</v>
      </c>
      <c r="I2626" s="8" t="str" cm="1">
        <f t="array" ref="I2626">_xlfn.IFS(C2626&lt;=15,"Children and Young Adolescents", C2626&gt;64, "Seniors", TRUE, "Working Age")</f>
        <v>Seniors</v>
      </c>
      <c r="J2626" s="6">
        <f>VLOOKUP(F2626,Analysis!$F$1:$G$5,2,FALSE)</f>
        <v>2503.6022787783854</v>
      </c>
      <c r="K2626">
        <f t="shared" si="160"/>
        <v>2830.01</v>
      </c>
      <c r="L2626">
        <f t="shared" si="161"/>
        <v>2830.0200000000004</v>
      </c>
      <c r="M2626">
        <f t="shared" si="162"/>
        <v>2830.01</v>
      </c>
      <c r="N2626" s="5" t="str">
        <f t="shared" si="163"/>
        <v>January 2023</v>
      </c>
    </row>
    <row r="2627" spans="1:14" x14ac:dyDescent="0.25">
      <c r="A2627" s="1">
        <v>44945</v>
      </c>
      <c r="B2627" t="s">
        <v>1560</v>
      </c>
      <c r="C2627">
        <v>25</v>
      </c>
      <c r="D2627" t="s">
        <v>21</v>
      </c>
      <c r="E2627" t="s">
        <v>25</v>
      </c>
      <c r="F2627" t="s">
        <v>11</v>
      </c>
      <c r="G2627" t="s">
        <v>17</v>
      </c>
      <c r="H2627">
        <v>1984.36</v>
      </c>
      <c r="I2627" s="8" t="str" cm="1">
        <f t="array" ref="I2627">_xlfn.IFS(C2627&lt;=15,"Children and Young Adolescents", C2627&gt;64, "Seniors", TRUE, "Working Age")</f>
        <v>Working Age</v>
      </c>
      <c r="J2627" s="6">
        <f>VLOOKUP(F2627,Analysis!$F$1:$G$5,2,FALSE)</f>
        <v>2503.6022787783854</v>
      </c>
      <c r="K2627">
        <f t="shared" ref="K2627:K2690" si="164">ROUNDDOWN(H2627*1.1,2)</f>
        <v>2182.79</v>
      </c>
      <c r="L2627">
        <f t="shared" ref="L2627:L2690" si="165">ROUNDUP(H2627*1.1,2)</f>
        <v>2182.8000000000002</v>
      </c>
      <c r="M2627">
        <f t="shared" ref="M2627:M2690" si="166">ROUND(H2627*1.1,2)</f>
        <v>2182.8000000000002</v>
      </c>
      <c r="N2627" s="5" t="str">
        <f t="shared" ref="N2627:N2690" si="167">TEXT(A2627,"mmmm yyyy")</f>
        <v>January 2023</v>
      </c>
    </row>
    <row r="2628" spans="1:14" x14ac:dyDescent="0.25">
      <c r="A2628" s="1">
        <v>44945</v>
      </c>
      <c r="B2628" t="s">
        <v>2504</v>
      </c>
      <c r="C2628">
        <v>12</v>
      </c>
      <c r="D2628" t="s">
        <v>14</v>
      </c>
      <c r="E2628" t="s">
        <v>5032</v>
      </c>
      <c r="F2628" t="s">
        <v>11</v>
      </c>
      <c r="G2628" t="s">
        <v>27</v>
      </c>
      <c r="H2628">
        <v>225.42</v>
      </c>
      <c r="I2628" s="8" t="str" cm="1">
        <f t="array" ref="I2628">_xlfn.IFS(C2628&lt;=15,"Children and Young Adolescents", C2628&gt;64, "Seniors", TRUE, "Working Age")</f>
        <v>Children and Young Adolescents</v>
      </c>
      <c r="J2628" s="6">
        <f>VLOOKUP(F2628,Analysis!$F$1:$G$5,2,FALSE)</f>
        <v>2503.6022787783854</v>
      </c>
      <c r="K2628">
        <f t="shared" si="164"/>
        <v>247.96</v>
      </c>
      <c r="L2628">
        <f t="shared" si="165"/>
        <v>247.97</v>
      </c>
      <c r="M2628">
        <f t="shared" si="166"/>
        <v>247.96</v>
      </c>
      <c r="N2628" s="5" t="str">
        <f t="shared" si="167"/>
        <v>January 2023</v>
      </c>
    </row>
    <row r="2629" spans="1:14" x14ac:dyDescent="0.25">
      <c r="A2629" s="1">
        <v>44945</v>
      </c>
      <c r="B2629" t="s">
        <v>87</v>
      </c>
      <c r="C2629">
        <v>1</v>
      </c>
      <c r="D2629" t="s">
        <v>14</v>
      </c>
      <c r="E2629" t="s">
        <v>25</v>
      </c>
      <c r="F2629" t="s">
        <v>23</v>
      </c>
      <c r="G2629" t="s">
        <v>39</v>
      </c>
      <c r="H2629">
        <v>282.02</v>
      </c>
      <c r="I2629" s="8" t="str" cm="1">
        <f t="array" ref="I2629">_xlfn.IFS(C2629&lt;=15,"Children and Young Adolescents", C2629&gt;64, "Seniors", TRUE, "Working Age")</f>
        <v>Children and Young Adolescents</v>
      </c>
      <c r="J2629" s="6">
        <f>VLOOKUP(F2629,Analysis!$F$1:$G$5,2,FALSE)</f>
        <v>2440.2966694490838</v>
      </c>
      <c r="K2629">
        <f t="shared" si="164"/>
        <v>310.22000000000003</v>
      </c>
      <c r="L2629">
        <f t="shared" si="165"/>
        <v>310.23</v>
      </c>
      <c r="M2629">
        <f t="shared" si="166"/>
        <v>310.22000000000003</v>
      </c>
      <c r="N2629" s="5" t="str">
        <f t="shared" si="167"/>
        <v>January 2023</v>
      </c>
    </row>
    <row r="2630" spans="1:14" x14ac:dyDescent="0.25">
      <c r="A2630" s="1">
        <v>44945</v>
      </c>
      <c r="B2630" t="s">
        <v>4979</v>
      </c>
      <c r="C2630">
        <v>86</v>
      </c>
      <c r="D2630" t="s">
        <v>21</v>
      </c>
      <c r="E2630" t="s">
        <v>19</v>
      </c>
      <c r="F2630" t="s">
        <v>23</v>
      </c>
      <c r="G2630" t="s">
        <v>27</v>
      </c>
      <c r="H2630">
        <v>2437.56</v>
      </c>
      <c r="I2630" s="8" t="str" cm="1">
        <f t="array" ref="I2630">_xlfn.IFS(C2630&lt;=15,"Children and Young Adolescents", C2630&gt;64, "Seniors", TRUE, "Working Age")</f>
        <v>Seniors</v>
      </c>
      <c r="J2630" s="6">
        <f>VLOOKUP(F2630,Analysis!$F$1:$G$5,2,FALSE)</f>
        <v>2440.2966694490838</v>
      </c>
      <c r="K2630">
        <f t="shared" si="164"/>
        <v>2681.31</v>
      </c>
      <c r="L2630">
        <f t="shared" si="165"/>
        <v>2681.32</v>
      </c>
      <c r="M2630">
        <f t="shared" si="166"/>
        <v>2681.32</v>
      </c>
      <c r="N2630" s="5" t="str">
        <f t="shared" si="167"/>
        <v>January 2023</v>
      </c>
    </row>
    <row r="2631" spans="1:14" x14ac:dyDescent="0.25">
      <c r="A2631" s="1">
        <v>44945</v>
      </c>
      <c r="B2631" t="s">
        <v>2271</v>
      </c>
      <c r="C2631">
        <v>37</v>
      </c>
      <c r="D2631" t="s">
        <v>9</v>
      </c>
      <c r="E2631" t="s">
        <v>5032</v>
      </c>
      <c r="F2631" t="s">
        <v>11</v>
      </c>
      <c r="G2631" t="s">
        <v>27</v>
      </c>
      <c r="H2631">
        <v>153.22</v>
      </c>
      <c r="I2631" s="8" t="str" cm="1">
        <f t="array" ref="I2631">_xlfn.IFS(C2631&lt;=15,"Children and Young Adolescents", C2631&gt;64, "Seniors", TRUE, "Working Age")</f>
        <v>Working Age</v>
      </c>
      <c r="J2631" s="6">
        <f>VLOOKUP(F2631,Analysis!$F$1:$G$5,2,FALSE)</f>
        <v>2503.6022787783854</v>
      </c>
      <c r="K2631">
        <f t="shared" si="164"/>
        <v>168.54</v>
      </c>
      <c r="L2631">
        <f t="shared" si="165"/>
        <v>168.54999999999998</v>
      </c>
      <c r="M2631">
        <f t="shared" si="166"/>
        <v>168.54</v>
      </c>
      <c r="N2631" s="5" t="str">
        <f t="shared" si="167"/>
        <v>January 2023</v>
      </c>
    </row>
    <row r="2632" spans="1:14" x14ac:dyDescent="0.25">
      <c r="A2632" s="1">
        <v>44945</v>
      </c>
      <c r="B2632" t="s">
        <v>3181</v>
      </c>
      <c r="C2632">
        <v>12</v>
      </c>
      <c r="D2632" t="s">
        <v>21</v>
      </c>
      <c r="E2632" t="s">
        <v>25</v>
      </c>
      <c r="F2632" t="s">
        <v>16</v>
      </c>
      <c r="G2632" t="s">
        <v>27</v>
      </c>
      <c r="H2632">
        <v>4178.1099999999997</v>
      </c>
      <c r="I2632" s="8" t="str" cm="1">
        <f t="array" ref="I2632">_xlfn.IFS(C2632&lt;=15,"Children and Young Adolescents", C2632&gt;64, "Seniors", TRUE, "Working Age")</f>
        <v>Children and Young Adolescents</v>
      </c>
      <c r="J2632" s="6">
        <f>VLOOKUP(F2632,Analysis!$F$1:$G$5,2,FALSE)</f>
        <v>2509.1716796874912</v>
      </c>
      <c r="K2632">
        <f t="shared" si="164"/>
        <v>4595.92</v>
      </c>
      <c r="L2632">
        <f t="shared" si="165"/>
        <v>4595.93</v>
      </c>
      <c r="M2632">
        <f t="shared" si="166"/>
        <v>4595.92</v>
      </c>
      <c r="N2632" s="5" t="str">
        <f t="shared" si="167"/>
        <v>January 2023</v>
      </c>
    </row>
    <row r="2633" spans="1:14" x14ac:dyDescent="0.25">
      <c r="A2633" s="1">
        <v>44945</v>
      </c>
      <c r="B2633" t="s">
        <v>3785</v>
      </c>
      <c r="C2633">
        <v>64</v>
      </c>
      <c r="D2633" t="s">
        <v>14</v>
      </c>
      <c r="E2633" t="s">
        <v>10</v>
      </c>
      <c r="F2633" t="s">
        <v>29</v>
      </c>
      <c r="G2633" t="s">
        <v>17</v>
      </c>
      <c r="H2633">
        <v>1966.99</v>
      </c>
      <c r="I2633" s="8" t="str" cm="1">
        <f t="array" ref="I2633">_xlfn.IFS(C2633&lt;=15,"Children and Young Adolescents", C2633&gt;64, "Seniors", TRUE, "Working Age")</f>
        <v>Working Age</v>
      </c>
      <c r="J2633" s="6">
        <f>VLOOKUP(F2633,Analysis!$F$1:$G$5,2,FALSE)</f>
        <v>2496.7676064256989</v>
      </c>
      <c r="K2633">
        <f t="shared" si="164"/>
        <v>2163.6799999999998</v>
      </c>
      <c r="L2633">
        <f t="shared" si="165"/>
        <v>2163.69</v>
      </c>
      <c r="M2633">
        <f t="shared" si="166"/>
        <v>2163.69</v>
      </c>
      <c r="N2633" s="5" t="str">
        <f t="shared" si="167"/>
        <v>January 2023</v>
      </c>
    </row>
    <row r="2634" spans="1:14" x14ac:dyDescent="0.25">
      <c r="A2634" s="1">
        <v>44946</v>
      </c>
      <c r="B2634" t="s">
        <v>3197</v>
      </c>
      <c r="C2634">
        <v>88</v>
      </c>
      <c r="D2634" t="s">
        <v>14</v>
      </c>
      <c r="E2634" t="s">
        <v>34</v>
      </c>
      <c r="F2634" t="s">
        <v>11</v>
      </c>
      <c r="G2634" t="s">
        <v>27</v>
      </c>
      <c r="H2634">
        <v>1625.37</v>
      </c>
      <c r="I2634" s="8" t="str" cm="1">
        <f t="array" ref="I2634">_xlfn.IFS(C2634&lt;=15,"Children and Young Adolescents", C2634&gt;64, "Seniors", TRUE, "Working Age")</f>
        <v>Seniors</v>
      </c>
      <c r="J2634" s="6">
        <f>VLOOKUP(F2634,Analysis!$F$1:$G$5,2,FALSE)</f>
        <v>2503.6022787783854</v>
      </c>
      <c r="K2634">
        <f t="shared" si="164"/>
        <v>1787.9</v>
      </c>
      <c r="L2634">
        <f t="shared" si="165"/>
        <v>1787.91</v>
      </c>
      <c r="M2634">
        <f t="shared" si="166"/>
        <v>1787.91</v>
      </c>
      <c r="N2634" s="5" t="str">
        <f t="shared" si="167"/>
        <v>January 2023</v>
      </c>
    </row>
    <row r="2635" spans="1:14" x14ac:dyDescent="0.25">
      <c r="A2635" s="1">
        <v>44946</v>
      </c>
      <c r="B2635" t="s">
        <v>4910</v>
      </c>
      <c r="C2635">
        <v>51</v>
      </c>
      <c r="D2635" t="s">
        <v>9</v>
      </c>
      <c r="E2635" t="s">
        <v>32</v>
      </c>
      <c r="F2635" t="s">
        <v>29</v>
      </c>
      <c r="G2635" t="s">
        <v>17</v>
      </c>
      <c r="H2635">
        <v>4803.76</v>
      </c>
      <c r="I2635" s="8" t="str" cm="1">
        <f t="array" ref="I2635">_xlfn.IFS(C2635&lt;=15,"Children and Young Adolescents", C2635&gt;64, "Seniors", TRUE, "Working Age")</f>
        <v>Working Age</v>
      </c>
      <c r="J2635" s="6">
        <f>VLOOKUP(F2635,Analysis!$F$1:$G$5,2,FALSE)</f>
        <v>2496.7676064256989</v>
      </c>
      <c r="K2635">
        <f t="shared" si="164"/>
        <v>5284.13</v>
      </c>
      <c r="L2635">
        <f t="shared" si="165"/>
        <v>5284.14</v>
      </c>
      <c r="M2635">
        <f t="shared" si="166"/>
        <v>5284.14</v>
      </c>
      <c r="N2635" s="5" t="str">
        <f t="shared" si="167"/>
        <v>January 2023</v>
      </c>
    </row>
    <row r="2636" spans="1:14" x14ac:dyDescent="0.25">
      <c r="A2636" s="1">
        <v>44946</v>
      </c>
      <c r="B2636" t="s">
        <v>1203</v>
      </c>
      <c r="C2636">
        <v>18</v>
      </c>
      <c r="D2636" t="s">
        <v>9</v>
      </c>
      <c r="E2636" t="s">
        <v>19</v>
      </c>
      <c r="F2636" t="s">
        <v>29</v>
      </c>
      <c r="G2636" t="s">
        <v>17</v>
      </c>
      <c r="H2636">
        <v>235.52</v>
      </c>
      <c r="I2636" s="8" t="str" cm="1">
        <f t="array" ref="I2636">_xlfn.IFS(C2636&lt;=15,"Children and Young Adolescents", C2636&gt;64, "Seniors", TRUE, "Working Age")</f>
        <v>Working Age</v>
      </c>
      <c r="J2636" s="6">
        <f>VLOOKUP(F2636,Analysis!$F$1:$G$5,2,FALSE)</f>
        <v>2496.7676064256989</v>
      </c>
      <c r="K2636">
        <f t="shared" si="164"/>
        <v>259.07</v>
      </c>
      <c r="L2636">
        <f t="shared" si="165"/>
        <v>259.08</v>
      </c>
      <c r="M2636">
        <f t="shared" si="166"/>
        <v>259.07</v>
      </c>
      <c r="N2636" s="5" t="str">
        <f t="shared" si="167"/>
        <v>January 2023</v>
      </c>
    </row>
    <row r="2637" spans="1:14" x14ac:dyDescent="0.25">
      <c r="A2637" s="1">
        <v>44946</v>
      </c>
      <c r="B2637" t="s">
        <v>4748</v>
      </c>
      <c r="C2637">
        <v>91</v>
      </c>
      <c r="D2637" t="s">
        <v>14</v>
      </c>
      <c r="E2637" t="s">
        <v>15</v>
      </c>
      <c r="F2637" t="s">
        <v>23</v>
      </c>
      <c r="G2637" t="s">
        <v>39</v>
      </c>
      <c r="H2637">
        <v>2102.77</v>
      </c>
      <c r="I2637" s="8" t="str" cm="1">
        <f t="array" ref="I2637">_xlfn.IFS(C2637&lt;=15,"Children and Young Adolescents", C2637&gt;64, "Seniors", TRUE, "Working Age")</f>
        <v>Seniors</v>
      </c>
      <c r="J2637" s="6">
        <f>VLOOKUP(F2637,Analysis!$F$1:$G$5,2,FALSE)</f>
        <v>2440.2966694490838</v>
      </c>
      <c r="K2637">
        <f t="shared" si="164"/>
        <v>2313.04</v>
      </c>
      <c r="L2637">
        <f t="shared" si="165"/>
        <v>2313.0500000000002</v>
      </c>
      <c r="M2637">
        <f t="shared" si="166"/>
        <v>2313.0500000000002</v>
      </c>
      <c r="N2637" s="5" t="str">
        <f t="shared" si="167"/>
        <v>January 2023</v>
      </c>
    </row>
    <row r="2638" spans="1:14" x14ac:dyDescent="0.25">
      <c r="A2638" s="1">
        <v>44946</v>
      </c>
      <c r="B2638" t="s">
        <v>2205</v>
      </c>
      <c r="C2638">
        <v>47</v>
      </c>
      <c r="D2638" t="s">
        <v>9</v>
      </c>
      <c r="E2638" t="s">
        <v>19</v>
      </c>
      <c r="F2638" t="s">
        <v>11</v>
      </c>
      <c r="G2638" t="s">
        <v>36</v>
      </c>
      <c r="H2638">
        <v>1325.35</v>
      </c>
      <c r="I2638" s="8" t="str" cm="1">
        <f t="array" ref="I2638">_xlfn.IFS(C2638&lt;=15,"Children and Young Adolescents", C2638&gt;64, "Seniors", TRUE, "Working Age")</f>
        <v>Working Age</v>
      </c>
      <c r="J2638" s="6">
        <f>VLOOKUP(F2638,Analysis!$F$1:$G$5,2,FALSE)</f>
        <v>2503.6022787783854</v>
      </c>
      <c r="K2638">
        <f t="shared" si="164"/>
        <v>1457.88</v>
      </c>
      <c r="L2638">
        <f t="shared" si="165"/>
        <v>1457.89</v>
      </c>
      <c r="M2638">
        <f t="shared" si="166"/>
        <v>1457.89</v>
      </c>
      <c r="N2638" s="5" t="str">
        <f t="shared" si="167"/>
        <v>January 2023</v>
      </c>
    </row>
    <row r="2639" spans="1:14" x14ac:dyDescent="0.25">
      <c r="A2639" s="1">
        <v>44946</v>
      </c>
      <c r="B2639" t="s">
        <v>2172</v>
      </c>
      <c r="C2639">
        <v>19</v>
      </c>
      <c r="D2639" t="s">
        <v>9</v>
      </c>
      <c r="E2639" t="s">
        <v>32</v>
      </c>
      <c r="F2639" t="s">
        <v>29</v>
      </c>
      <c r="G2639" t="s">
        <v>36</v>
      </c>
      <c r="H2639">
        <v>2835.14</v>
      </c>
      <c r="I2639" s="8" t="str" cm="1">
        <f t="array" ref="I2639">_xlfn.IFS(C2639&lt;=15,"Children and Young Adolescents", C2639&gt;64, "Seniors", TRUE, "Working Age")</f>
        <v>Working Age</v>
      </c>
      <c r="J2639" s="6">
        <f>VLOOKUP(F2639,Analysis!$F$1:$G$5,2,FALSE)</f>
        <v>2496.7676064256989</v>
      </c>
      <c r="K2639">
        <f t="shared" si="164"/>
        <v>3118.65</v>
      </c>
      <c r="L2639">
        <f t="shared" si="165"/>
        <v>3118.6600000000003</v>
      </c>
      <c r="M2639">
        <f t="shared" si="166"/>
        <v>3118.65</v>
      </c>
      <c r="N2639" s="5" t="str">
        <f t="shared" si="167"/>
        <v>January 2023</v>
      </c>
    </row>
    <row r="2640" spans="1:14" x14ac:dyDescent="0.25">
      <c r="A2640" s="1">
        <v>44946</v>
      </c>
      <c r="B2640" t="s">
        <v>2230</v>
      </c>
      <c r="C2640">
        <v>87</v>
      </c>
      <c r="D2640" t="s">
        <v>9</v>
      </c>
      <c r="E2640" t="s">
        <v>15</v>
      </c>
      <c r="F2640" t="s">
        <v>29</v>
      </c>
      <c r="G2640" t="s">
        <v>17</v>
      </c>
      <c r="H2640">
        <v>1898.94</v>
      </c>
      <c r="I2640" s="8" t="str" cm="1">
        <f t="array" ref="I2640">_xlfn.IFS(C2640&lt;=15,"Children and Young Adolescents", C2640&gt;64, "Seniors", TRUE, "Working Age")</f>
        <v>Seniors</v>
      </c>
      <c r="J2640" s="6">
        <f>VLOOKUP(F2640,Analysis!$F$1:$G$5,2,FALSE)</f>
        <v>2496.7676064256989</v>
      </c>
      <c r="K2640">
        <f t="shared" si="164"/>
        <v>2088.83</v>
      </c>
      <c r="L2640">
        <f t="shared" si="165"/>
        <v>2088.84</v>
      </c>
      <c r="M2640">
        <f t="shared" si="166"/>
        <v>2088.83</v>
      </c>
      <c r="N2640" s="5" t="str">
        <f t="shared" si="167"/>
        <v>January 2023</v>
      </c>
    </row>
    <row r="2641" spans="1:14" x14ac:dyDescent="0.25">
      <c r="A2641" s="1">
        <v>44946</v>
      </c>
      <c r="B2641" t="s">
        <v>1832</v>
      </c>
      <c r="C2641">
        <v>44</v>
      </c>
      <c r="D2641" t="s">
        <v>21</v>
      </c>
      <c r="E2641" t="s">
        <v>32</v>
      </c>
      <c r="F2641" t="s">
        <v>29</v>
      </c>
      <c r="G2641" t="s">
        <v>27</v>
      </c>
      <c r="H2641">
        <v>4947.3999999999996</v>
      </c>
      <c r="I2641" s="8" t="str" cm="1">
        <f t="array" ref="I2641">_xlfn.IFS(C2641&lt;=15,"Children and Young Adolescents", C2641&gt;64, "Seniors", TRUE, "Working Age")</f>
        <v>Working Age</v>
      </c>
      <c r="J2641" s="6">
        <f>VLOOKUP(F2641,Analysis!$F$1:$G$5,2,FALSE)</f>
        <v>2496.7676064256989</v>
      </c>
      <c r="K2641">
        <f t="shared" si="164"/>
        <v>5442.14</v>
      </c>
      <c r="L2641">
        <f t="shared" si="165"/>
        <v>5442.14</v>
      </c>
      <c r="M2641">
        <f t="shared" si="166"/>
        <v>5442.14</v>
      </c>
      <c r="N2641" s="5" t="str">
        <f t="shared" si="167"/>
        <v>January 2023</v>
      </c>
    </row>
    <row r="2642" spans="1:14" x14ac:dyDescent="0.25">
      <c r="A2642" s="1">
        <v>44947</v>
      </c>
      <c r="B2642" t="s">
        <v>3285</v>
      </c>
      <c r="C2642">
        <v>52</v>
      </c>
      <c r="D2642" t="s">
        <v>21</v>
      </c>
      <c r="E2642" t="s">
        <v>25</v>
      </c>
      <c r="F2642" t="s">
        <v>16</v>
      </c>
      <c r="G2642" t="s">
        <v>27</v>
      </c>
      <c r="H2642">
        <v>3870.75</v>
      </c>
      <c r="I2642" s="8" t="str" cm="1">
        <f t="array" ref="I2642">_xlfn.IFS(C2642&lt;=15,"Children and Young Adolescents", C2642&gt;64, "Seniors", TRUE, "Working Age")</f>
        <v>Working Age</v>
      </c>
      <c r="J2642" s="6">
        <f>VLOOKUP(F2642,Analysis!$F$1:$G$5,2,FALSE)</f>
        <v>2509.1716796874912</v>
      </c>
      <c r="K2642">
        <f t="shared" si="164"/>
        <v>4257.82</v>
      </c>
      <c r="L2642">
        <f t="shared" si="165"/>
        <v>4257.83</v>
      </c>
      <c r="M2642">
        <f t="shared" si="166"/>
        <v>4257.83</v>
      </c>
      <c r="N2642" s="5" t="str">
        <f t="shared" si="167"/>
        <v>January 2023</v>
      </c>
    </row>
    <row r="2643" spans="1:14" x14ac:dyDescent="0.25">
      <c r="A2643" s="1">
        <v>44947</v>
      </c>
      <c r="B2643" t="s">
        <v>466</v>
      </c>
      <c r="C2643">
        <v>18</v>
      </c>
      <c r="D2643" t="s">
        <v>21</v>
      </c>
      <c r="E2643" t="s">
        <v>34</v>
      </c>
      <c r="F2643" t="s">
        <v>29</v>
      </c>
      <c r="G2643" t="s">
        <v>17</v>
      </c>
      <c r="H2643">
        <v>866.59</v>
      </c>
      <c r="I2643" s="8" t="str" cm="1">
        <f t="array" ref="I2643">_xlfn.IFS(C2643&lt;=15,"Children and Young Adolescents", C2643&gt;64, "Seniors", TRUE, "Working Age")</f>
        <v>Working Age</v>
      </c>
      <c r="J2643" s="6">
        <f>VLOOKUP(F2643,Analysis!$F$1:$G$5,2,FALSE)</f>
        <v>2496.7676064256989</v>
      </c>
      <c r="K2643">
        <f t="shared" si="164"/>
        <v>953.24</v>
      </c>
      <c r="L2643">
        <f t="shared" si="165"/>
        <v>953.25</v>
      </c>
      <c r="M2643">
        <f t="shared" si="166"/>
        <v>953.25</v>
      </c>
      <c r="N2643" s="5" t="str">
        <f t="shared" si="167"/>
        <v>January 2023</v>
      </c>
    </row>
    <row r="2644" spans="1:14" x14ac:dyDescent="0.25">
      <c r="A2644" s="1">
        <v>44947</v>
      </c>
      <c r="B2644" t="s">
        <v>1087</v>
      </c>
      <c r="C2644">
        <v>2</v>
      </c>
      <c r="D2644" t="s">
        <v>21</v>
      </c>
      <c r="E2644" t="s">
        <v>19</v>
      </c>
      <c r="F2644" t="s">
        <v>29</v>
      </c>
      <c r="G2644" t="s">
        <v>27</v>
      </c>
      <c r="H2644">
        <v>4354.41</v>
      </c>
      <c r="I2644" s="8" t="str" cm="1">
        <f t="array" ref="I2644">_xlfn.IFS(C2644&lt;=15,"Children and Young Adolescents", C2644&gt;64, "Seniors", TRUE, "Working Age")</f>
        <v>Children and Young Adolescents</v>
      </c>
      <c r="J2644" s="6">
        <f>VLOOKUP(F2644,Analysis!$F$1:$G$5,2,FALSE)</f>
        <v>2496.7676064256989</v>
      </c>
      <c r="K2644">
        <f t="shared" si="164"/>
        <v>4789.8500000000004</v>
      </c>
      <c r="L2644">
        <f t="shared" si="165"/>
        <v>4789.8600000000006</v>
      </c>
      <c r="M2644">
        <f t="shared" si="166"/>
        <v>4789.8500000000004</v>
      </c>
      <c r="N2644" s="5" t="str">
        <f t="shared" si="167"/>
        <v>January 2023</v>
      </c>
    </row>
    <row r="2645" spans="1:14" x14ac:dyDescent="0.25">
      <c r="A2645" s="1">
        <v>44947</v>
      </c>
      <c r="B2645" t="s">
        <v>1454</v>
      </c>
      <c r="C2645">
        <v>14</v>
      </c>
      <c r="D2645" t="s">
        <v>14</v>
      </c>
      <c r="E2645" t="s">
        <v>22</v>
      </c>
      <c r="F2645" t="s">
        <v>16</v>
      </c>
      <c r="G2645" t="s">
        <v>12</v>
      </c>
      <c r="H2645">
        <v>4075.17</v>
      </c>
      <c r="I2645" s="8" t="str" cm="1">
        <f t="array" ref="I2645">_xlfn.IFS(C2645&lt;=15,"Children and Young Adolescents", C2645&gt;64, "Seniors", TRUE, "Working Age")</f>
        <v>Children and Young Adolescents</v>
      </c>
      <c r="J2645" s="6">
        <f>VLOOKUP(F2645,Analysis!$F$1:$G$5,2,FALSE)</f>
        <v>2509.1716796874912</v>
      </c>
      <c r="K2645">
        <f t="shared" si="164"/>
        <v>4482.68</v>
      </c>
      <c r="L2645">
        <f t="shared" si="165"/>
        <v>4482.6900000000005</v>
      </c>
      <c r="M2645">
        <f t="shared" si="166"/>
        <v>4482.6899999999996</v>
      </c>
      <c r="N2645" s="5" t="str">
        <f t="shared" si="167"/>
        <v>January 2023</v>
      </c>
    </row>
    <row r="2646" spans="1:14" x14ac:dyDescent="0.25">
      <c r="A2646" s="1">
        <v>44947</v>
      </c>
      <c r="B2646" t="s">
        <v>1646</v>
      </c>
      <c r="C2646">
        <v>79</v>
      </c>
      <c r="D2646" t="s">
        <v>14</v>
      </c>
      <c r="E2646" t="s">
        <v>15</v>
      </c>
      <c r="F2646" t="s">
        <v>11</v>
      </c>
      <c r="G2646" t="s">
        <v>12</v>
      </c>
      <c r="H2646">
        <v>4708.78</v>
      </c>
      <c r="I2646" s="8" t="str" cm="1">
        <f t="array" ref="I2646">_xlfn.IFS(C2646&lt;=15,"Children and Young Adolescents", C2646&gt;64, "Seniors", TRUE, "Working Age")</f>
        <v>Seniors</v>
      </c>
      <c r="J2646" s="6">
        <f>VLOOKUP(F2646,Analysis!$F$1:$G$5,2,FALSE)</f>
        <v>2503.6022787783854</v>
      </c>
      <c r="K2646">
        <f t="shared" si="164"/>
        <v>5179.6499999999996</v>
      </c>
      <c r="L2646">
        <f t="shared" si="165"/>
        <v>5179.66</v>
      </c>
      <c r="M2646">
        <f t="shared" si="166"/>
        <v>5179.66</v>
      </c>
      <c r="N2646" s="5" t="str">
        <f t="shared" si="167"/>
        <v>January 2023</v>
      </c>
    </row>
    <row r="2647" spans="1:14" x14ac:dyDescent="0.25">
      <c r="A2647" s="1">
        <v>44947</v>
      </c>
      <c r="B2647" t="s">
        <v>2907</v>
      </c>
      <c r="C2647">
        <v>15</v>
      </c>
      <c r="D2647" t="s">
        <v>9</v>
      </c>
      <c r="E2647" t="s">
        <v>34</v>
      </c>
      <c r="F2647" t="s">
        <v>23</v>
      </c>
      <c r="G2647" t="s">
        <v>17</v>
      </c>
      <c r="H2647">
        <v>4207.34</v>
      </c>
      <c r="I2647" s="8" t="str" cm="1">
        <f t="array" ref="I2647">_xlfn.IFS(C2647&lt;=15,"Children and Young Adolescents", C2647&gt;64, "Seniors", TRUE, "Working Age")</f>
        <v>Children and Young Adolescents</v>
      </c>
      <c r="J2647" s="6">
        <f>VLOOKUP(F2647,Analysis!$F$1:$G$5,2,FALSE)</f>
        <v>2440.2966694490838</v>
      </c>
      <c r="K2647">
        <f t="shared" si="164"/>
        <v>4628.07</v>
      </c>
      <c r="L2647">
        <f t="shared" si="165"/>
        <v>4628.08</v>
      </c>
      <c r="M2647">
        <f t="shared" si="166"/>
        <v>4628.07</v>
      </c>
      <c r="N2647" s="5" t="str">
        <f t="shared" si="167"/>
        <v>January 2023</v>
      </c>
    </row>
    <row r="2648" spans="1:14" x14ac:dyDescent="0.25">
      <c r="A2648" s="1">
        <v>44947</v>
      </c>
      <c r="B2648" t="s">
        <v>1248</v>
      </c>
      <c r="C2648">
        <v>71</v>
      </c>
      <c r="D2648" t="s">
        <v>14</v>
      </c>
      <c r="E2648" t="s">
        <v>10</v>
      </c>
      <c r="F2648" t="s">
        <v>23</v>
      </c>
      <c r="G2648" t="s">
        <v>39</v>
      </c>
      <c r="H2648">
        <v>4033.82</v>
      </c>
      <c r="I2648" s="8" t="str" cm="1">
        <f t="array" ref="I2648">_xlfn.IFS(C2648&lt;=15,"Children and Young Adolescents", C2648&gt;64, "Seniors", TRUE, "Working Age")</f>
        <v>Seniors</v>
      </c>
      <c r="J2648" s="6">
        <f>VLOOKUP(F2648,Analysis!$F$1:$G$5,2,FALSE)</f>
        <v>2440.2966694490838</v>
      </c>
      <c r="K2648">
        <f t="shared" si="164"/>
        <v>4437.2</v>
      </c>
      <c r="L2648">
        <f t="shared" si="165"/>
        <v>4437.21</v>
      </c>
      <c r="M2648">
        <f t="shared" si="166"/>
        <v>4437.2</v>
      </c>
      <c r="N2648" s="5" t="str">
        <f t="shared" si="167"/>
        <v>January 2023</v>
      </c>
    </row>
    <row r="2649" spans="1:14" x14ac:dyDescent="0.25">
      <c r="A2649" s="1">
        <v>44947</v>
      </c>
      <c r="B2649" t="s">
        <v>813</v>
      </c>
      <c r="C2649">
        <v>22</v>
      </c>
      <c r="D2649" t="s">
        <v>9</v>
      </c>
      <c r="E2649" t="s">
        <v>32</v>
      </c>
      <c r="F2649" t="s">
        <v>11</v>
      </c>
      <c r="G2649" t="s">
        <v>12</v>
      </c>
      <c r="H2649">
        <v>2366.96</v>
      </c>
      <c r="I2649" s="8" t="str" cm="1">
        <f t="array" ref="I2649">_xlfn.IFS(C2649&lt;=15,"Children and Young Adolescents", C2649&gt;64, "Seniors", TRUE, "Working Age")</f>
        <v>Working Age</v>
      </c>
      <c r="J2649" s="6">
        <f>VLOOKUP(F2649,Analysis!$F$1:$G$5,2,FALSE)</f>
        <v>2503.6022787783854</v>
      </c>
      <c r="K2649">
        <f t="shared" si="164"/>
        <v>2603.65</v>
      </c>
      <c r="L2649">
        <f t="shared" si="165"/>
        <v>2603.6600000000003</v>
      </c>
      <c r="M2649">
        <f t="shared" si="166"/>
        <v>2603.66</v>
      </c>
      <c r="N2649" s="5" t="str">
        <f t="shared" si="167"/>
        <v>January 2023</v>
      </c>
    </row>
    <row r="2650" spans="1:14" x14ac:dyDescent="0.25">
      <c r="A2650" s="1">
        <v>44947</v>
      </c>
      <c r="B2650" t="s">
        <v>921</v>
      </c>
      <c r="C2650">
        <v>50</v>
      </c>
      <c r="D2650" t="s">
        <v>14</v>
      </c>
      <c r="E2650" t="s">
        <v>19</v>
      </c>
      <c r="F2650" t="s">
        <v>16</v>
      </c>
      <c r="G2650" t="s">
        <v>27</v>
      </c>
      <c r="H2650">
        <v>2691.68</v>
      </c>
      <c r="I2650" s="8" t="str" cm="1">
        <f t="array" ref="I2650">_xlfn.IFS(C2650&lt;=15,"Children and Young Adolescents", C2650&gt;64, "Seniors", TRUE, "Working Age")</f>
        <v>Working Age</v>
      </c>
      <c r="J2650" s="6">
        <f>VLOOKUP(F2650,Analysis!$F$1:$G$5,2,FALSE)</f>
        <v>2509.1716796874912</v>
      </c>
      <c r="K2650">
        <f t="shared" si="164"/>
        <v>2960.84</v>
      </c>
      <c r="L2650">
        <f t="shared" si="165"/>
        <v>2960.8500000000004</v>
      </c>
      <c r="M2650">
        <f t="shared" si="166"/>
        <v>2960.85</v>
      </c>
      <c r="N2650" s="5" t="str">
        <f t="shared" si="167"/>
        <v>January 2023</v>
      </c>
    </row>
    <row r="2651" spans="1:14" x14ac:dyDescent="0.25">
      <c r="A2651" s="1">
        <v>44948</v>
      </c>
      <c r="B2651" t="s">
        <v>4557</v>
      </c>
      <c r="C2651">
        <v>87</v>
      </c>
      <c r="D2651" t="s">
        <v>9</v>
      </c>
      <c r="E2651" t="s">
        <v>32</v>
      </c>
      <c r="F2651" t="s">
        <v>29</v>
      </c>
      <c r="G2651" t="s">
        <v>27</v>
      </c>
      <c r="H2651">
        <v>2175.6</v>
      </c>
      <c r="I2651" s="8" t="str" cm="1">
        <f t="array" ref="I2651">_xlfn.IFS(C2651&lt;=15,"Children and Young Adolescents", C2651&gt;64, "Seniors", TRUE, "Working Age")</f>
        <v>Seniors</v>
      </c>
      <c r="J2651" s="6">
        <f>VLOOKUP(F2651,Analysis!$F$1:$G$5,2,FALSE)</f>
        <v>2496.7676064256989</v>
      </c>
      <c r="K2651">
        <f t="shared" si="164"/>
        <v>2393.16</v>
      </c>
      <c r="L2651">
        <f t="shared" si="165"/>
        <v>2393.16</v>
      </c>
      <c r="M2651">
        <f t="shared" si="166"/>
        <v>2393.16</v>
      </c>
      <c r="N2651" s="5" t="str">
        <f t="shared" si="167"/>
        <v>January 2023</v>
      </c>
    </row>
    <row r="2652" spans="1:14" x14ac:dyDescent="0.25">
      <c r="A2652" s="1">
        <v>44948</v>
      </c>
      <c r="B2652" t="s">
        <v>2097</v>
      </c>
      <c r="C2652">
        <v>70</v>
      </c>
      <c r="D2652" t="s">
        <v>21</v>
      </c>
      <c r="E2652" t="s">
        <v>22</v>
      </c>
      <c r="F2652" t="s">
        <v>16</v>
      </c>
      <c r="G2652" t="s">
        <v>17</v>
      </c>
      <c r="H2652">
        <v>3294.75</v>
      </c>
      <c r="I2652" s="8" t="str" cm="1">
        <f t="array" ref="I2652">_xlfn.IFS(C2652&lt;=15,"Children and Young Adolescents", C2652&gt;64, "Seniors", TRUE, "Working Age")</f>
        <v>Seniors</v>
      </c>
      <c r="J2652" s="6">
        <f>VLOOKUP(F2652,Analysis!$F$1:$G$5,2,FALSE)</f>
        <v>2509.1716796874912</v>
      </c>
      <c r="K2652">
        <f t="shared" si="164"/>
        <v>3624.22</v>
      </c>
      <c r="L2652">
        <f t="shared" si="165"/>
        <v>3624.23</v>
      </c>
      <c r="M2652">
        <f t="shared" si="166"/>
        <v>3624.23</v>
      </c>
      <c r="N2652" s="5" t="str">
        <f t="shared" si="167"/>
        <v>January 2023</v>
      </c>
    </row>
    <row r="2653" spans="1:14" x14ac:dyDescent="0.25">
      <c r="A2653" s="1">
        <v>44948</v>
      </c>
      <c r="B2653" t="s">
        <v>3673</v>
      </c>
      <c r="C2653">
        <v>18</v>
      </c>
      <c r="D2653" t="s">
        <v>9</v>
      </c>
      <c r="E2653" t="s">
        <v>10</v>
      </c>
      <c r="F2653" t="s">
        <v>23</v>
      </c>
      <c r="G2653" t="s">
        <v>39</v>
      </c>
      <c r="H2653">
        <v>1970.97</v>
      </c>
      <c r="I2653" s="8" t="str" cm="1">
        <f t="array" ref="I2653">_xlfn.IFS(C2653&lt;=15,"Children and Young Adolescents", C2653&gt;64, "Seniors", TRUE, "Working Age")</f>
        <v>Working Age</v>
      </c>
      <c r="J2653" s="6">
        <f>VLOOKUP(F2653,Analysis!$F$1:$G$5,2,FALSE)</f>
        <v>2440.2966694490838</v>
      </c>
      <c r="K2653">
        <f t="shared" si="164"/>
        <v>2168.06</v>
      </c>
      <c r="L2653">
        <f t="shared" si="165"/>
        <v>2168.0700000000002</v>
      </c>
      <c r="M2653">
        <f t="shared" si="166"/>
        <v>2168.0700000000002</v>
      </c>
      <c r="N2653" s="5" t="str">
        <f t="shared" si="167"/>
        <v>January 2023</v>
      </c>
    </row>
    <row r="2654" spans="1:14" x14ac:dyDescent="0.25">
      <c r="A2654" s="1">
        <v>44948</v>
      </c>
      <c r="B2654" t="s">
        <v>4343</v>
      </c>
      <c r="C2654">
        <v>19</v>
      </c>
      <c r="D2654" t="s">
        <v>14</v>
      </c>
      <c r="E2654" t="s">
        <v>32</v>
      </c>
      <c r="F2654" t="s">
        <v>11</v>
      </c>
      <c r="G2654" t="s">
        <v>17</v>
      </c>
      <c r="H2654">
        <v>1742.91</v>
      </c>
      <c r="I2654" s="8" t="str" cm="1">
        <f t="array" ref="I2654">_xlfn.IFS(C2654&lt;=15,"Children and Young Adolescents", C2654&gt;64, "Seniors", TRUE, "Working Age")</f>
        <v>Working Age</v>
      </c>
      <c r="J2654" s="6">
        <f>VLOOKUP(F2654,Analysis!$F$1:$G$5,2,FALSE)</f>
        <v>2503.6022787783854</v>
      </c>
      <c r="K2654">
        <f t="shared" si="164"/>
        <v>1917.2</v>
      </c>
      <c r="L2654">
        <f t="shared" si="165"/>
        <v>1917.21</v>
      </c>
      <c r="M2654">
        <f t="shared" si="166"/>
        <v>1917.2</v>
      </c>
      <c r="N2654" s="5" t="str">
        <f t="shared" si="167"/>
        <v>January 2023</v>
      </c>
    </row>
    <row r="2655" spans="1:14" x14ac:dyDescent="0.25">
      <c r="A2655" s="1">
        <v>44948</v>
      </c>
      <c r="B2655" t="s">
        <v>619</v>
      </c>
      <c r="C2655">
        <v>46</v>
      </c>
      <c r="D2655" t="s">
        <v>21</v>
      </c>
      <c r="E2655" t="s">
        <v>10</v>
      </c>
      <c r="F2655" t="s">
        <v>11</v>
      </c>
      <c r="G2655" t="s">
        <v>39</v>
      </c>
      <c r="H2655">
        <v>132.32</v>
      </c>
      <c r="I2655" s="8" t="str" cm="1">
        <f t="array" ref="I2655">_xlfn.IFS(C2655&lt;=15,"Children and Young Adolescents", C2655&gt;64, "Seniors", TRUE, "Working Age")</f>
        <v>Working Age</v>
      </c>
      <c r="J2655" s="6">
        <f>VLOOKUP(F2655,Analysis!$F$1:$G$5,2,FALSE)</f>
        <v>2503.6022787783854</v>
      </c>
      <c r="K2655">
        <f t="shared" si="164"/>
        <v>145.55000000000001</v>
      </c>
      <c r="L2655">
        <f t="shared" si="165"/>
        <v>145.56</v>
      </c>
      <c r="M2655">
        <f t="shared" si="166"/>
        <v>145.55000000000001</v>
      </c>
      <c r="N2655" s="5" t="str">
        <f t="shared" si="167"/>
        <v>January 2023</v>
      </c>
    </row>
    <row r="2656" spans="1:14" x14ac:dyDescent="0.25">
      <c r="A2656" s="1">
        <v>44948</v>
      </c>
      <c r="B2656" t="s">
        <v>3408</v>
      </c>
      <c r="C2656">
        <v>59</v>
      </c>
      <c r="D2656" t="s">
        <v>9</v>
      </c>
      <c r="E2656" t="s">
        <v>10</v>
      </c>
      <c r="F2656" t="s">
        <v>29</v>
      </c>
      <c r="G2656" t="s">
        <v>27</v>
      </c>
      <c r="H2656">
        <v>4217.76</v>
      </c>
      <c r="I2656" s="8" t="str" cm="1">
        <f t="array" ref="I2656">_xlfn.IFS(C2656&lt;=15,"Children and Young Adolescents", C2656&gt;64, "Seniors", TRUE, "Working Age")</f>
        <v>Working Age</v>
      </c>
      <c r="J2656" s="6">
        <f>VLOOKUP(F2656,Analysis!$F$1:$G$5,2,FALSE)</f>
        <v>2496.7676064256989</v>
      </c>
      <c r="K2656">
        <f t="shared" si="164"/>
        <v>4639.53</v>
      </c>
      <c r="L2656">
        <f t="shared" si="165"/>
        <v>4639.54</v>
      </c>
      <c r="M2656">
        <f t="shared" si="166"/>
        <v>4639.54</v>
      </c>
      <c r="N2656" s="5" t="str">
        <f t="shared" si="167"/>
        <v>January 2023</v>
      </c>
    </row>
    <row r="2657" spans="1:14" x14ac:dyDescent="0.25">
      <c r="A2657" s="1">
        <v>44948</v>
      </c>
      <c r="B2657" t="s">
        <v>302</v>
      </c>
      <c r="C2657">
        <v>27</v>
      </c>
      <c r="D2657" t="s">
        <v>14</v>
      </c>
      <c r="E2657" t="s">
        <v>22</v>
      </c>
      <c r="F2657" t="s">
        <v>23</v>
      </c>
      <c r="G2657" t="s">
        <v>17</v>
      </c>
      <c r="H2657">
        <v>123.08</v>
      </c>
      <c r="I2657" s="8" t="str" cm="1">
        <f t="array" ref="I2657">_xlfn.IFS(C2657&lt;=15,"Children and Young Adolescents", C2657&gt;64, "Seniors", TRUE, "Working Age")</f>
        <v>Working Age</v>
      </c>
      <c r="J2657" s="6">
        <f>VLOOKUP(F2657,Analysis!$F$1:$G$5,2,FALSE)</f>
        <v>2440.2966694490838</v>
      </c>
      <c r="K2657">
        <f t="shared" si="164"/>
        <v>135.38</v>
      </c>
      <c r="L2657">
        <f t="shared" si="165"/>
        <v>135.38999999999999</v>
      </c>
      <c r="M2657">
        <f t="shared" si="166"/>
        <v>135.38999999999999</v>
      </c>
      <c r="N2657" s="5" t="str">
        <f t="shared" si="167"/>
        <v>January 2023</v>
      </c>
    </row>
    <row r="2658" spans="1:14" x14ac:dyDescent="0.25">
      <c r="A2658" s="1">
        <v>44948</v>
      </c>
      <c r="B2658" t="s">
        <v>4008</v>
      </c>
      <c r="C2658">
        <v>59</v>
      </c>
      <c r="D2658" t="s">
        <v>14</v>
      </c>
      <c r="E2658" t="s">
        <v>5032</v>
      </c>
      <c r="F2658" t="s">
        <v>11</v>
      </c>
      <c r="G2658" t="s">
        <v>39</v>
      </c>
      <c r="H2658">
        <v>3798.26</v>
      </c>
      <c r="I2658" s="8" t="str" cm="1">
        <f t="array" ref="I2658">_xlfn.IFS(C2658&lt;=15,"Children and Young Adolescents", C2658&gt;64, "Seniors", TRUE, "Working Age")</f>
        <v>Working Age</v>
      </c>
      <c r="J2658" s="6">
        <f>VLOOKUP(F2658,Analysis!$F$1:$G$5,2,FALSE)</f>
        <v>2503.6022787783854</v>
      </c>
      <c r="K2658">
        <f t="shared" si="164"/>
        <v>4178.08</v>
      </c>
      <c r="L2658">
        <f t="shared" si="165"/>
        <v>4178.09</v>
      </c>
      <c r="M2658">
        <f t="shared" si="166"/>
        <v>4178.09</v>
      </c>
      <c r="N2658" s="5" t="str">
        <f t="shared" si="167"/>
        <v>January 2023</v>
      </c>
    </row>
    <row r="2659" spans="1:14" x14ac:dyDescent="0.25">
      <c r="A2659" s="1">
        <v>44949</v>
      </c>
      <c r="B2659" t="s">
        <v>2080</v>
      </c>
      <c r="C2659">
        <v>97</v>
      </c>
      <c r="D2659" t="s">
        <v>14</v>
      </c>
      <c r="E2659" t="s">
        <v>25</v>
      </c>
      <c r="F2659" t="s">
        <v>23</v>
      </c>
      <c r="G2659" t="s">
        <v>39</v>
      </c>
      <c r="H2659">
        <v>1389.4</v>
      </c>
      <c r="I2659" s="8" t="str" cm="1">
        <f t="array" ref="I2659">_xlfn.IFS(C2659&lt;=15,"Children and Young Adolescents", C2659&gt;64, "Seniors", TRUE, "Working Age")</f>
        <v>Seniors</v>
      </c>
      <c r="J2659" s="6">
        <f>VLOOKUP(F2659,Analysis!$F$1:$G$5,2,FALSE)</f>
        <v>2440.2966694490838</v>
      </c>
      <c r="K2659">
        <f t="shared" si="164"/>
        <v>1528.34</v>
      </c>
      <c r="L2659">
        <f t="shared" si="165"/>
        <v>1528.34</v>
      </c>
      <c r="M2659">
        <f t="shared" si="166"/>
        <v>1528.34</v>
      </c>
      <c r="N2659" s="5" t="str">
        <f t="shared" si="167"/>
        <v>January 2023</v>
      </c>
    </row>
    <row r="2660" spans="1:14" x14ac:dyDescent="0.25">
      <c r="A2660" s="1">
        <v>44949</v>
      </c>
      <c r="B2660" t="s">
        <v>3344</v>
      </c>
      <c r="C2660">
        <v>43</v>
      </c>
      <c r="D2660" t="s">
        <v>14</v>
      </c>
      <c r="E2660" t="s">
        <v>5032</v>
      </c>
      <c r="F2660" t="s">
        <v>16</v>
      </c>
      <c r="G2660" t="s">
        <v>12</v>
      </c>
      <c r="H2660">
        <v>1241.44</v>
      </c>
      <c r="I2660" s="8" t="str" cm="1">
        <f t="array" ref="I2660">_xlfn.IFS(C2660&lt;=15,"Children and Young Adolescents", C2660&gt;64, "Seniors", TRUE, "Working Age")</f>
        <v>Working Age</v>
      </c>
      <c r="J2660" s="6">
        <f>VLOOKUP(F2660,Analysis!$F$1:$G$5,2,FALSE)</f>
        <v>2509.1716796874912</v>
      </c>
      <c r="K2660">
        <f t="shared" si="164"/>
        <v>1365.58</v>
      </c>
      <c r="L2660">
        <f t="shared" si="165"/>
        <v>1365.59</v>
      </c>
      <c r="M2660">
        <f t="shared" si="166"/>
        <v>1365.58</v>
      </c>
      <c r="N2660" s="5" t="str">
        <f t="shared" si="167"/>
        <v>January 2023</v>
      </c>
    </row>
    <row r="2661" spans="1:14" x14ac:dyDescent="0.25">
      <c r="A2661" s="1">
        <v>44949</v>
      </c>
      <c r="B2661" t="s">
        <v>3160</v>
      </c>
      <c r="C2661">
        <v>83</v>
      </c>
      <c r="D2661" t="s">
        <v>21</v>
      </c>
      <c r="E2661" t="s">
        <v>22</v>
      </c>
      <c r="F2661" t="s">
        <v>23</v>
      </c>
      <c r="G2661" t="s">
        <v>17</v>
      </c>
      <c r="H2661">
        <v>2347.09</v>
      </c>
      <c r="I2661" s="8" t="str" cm="1">
        <f t="array" ref="I2661">_xlfn.IFS(C2661&lt;=15,"Children and Young Adolescents", C2661&gt;64, "Seniors", TRUE, "Working Age")</f>
        <v>Seniors</v>
      </c>
      <c r="J2661" s="6">
        <f>VLOOKUP(F2661,Analysis!$F$1:$G$5,2,FALSE)</f>
        <v>2440.2966694490838</v>
      </c>
      <c r="K2661">
        <f t="shared" si="164"/>
        <v>2581.79</v>
      </c>
      <c r="L2661">
        <f t="shared" si="165"/>
        <v>2581.8000000000002</v>
      </c>
      <c r="M2661">
        <f t="shared" si="166"/>
        <v>2581.8000000000002</v>
      </c>
      <c r="N2661" s="5" t="str">
        <f t="shared" si="167"/>
        <v>January 2023</v>
      </c>
    </row>
    <row r="2662" spans="1:14" x14ac:dyDescent="0.25">
      <c r="A2662" s="1">
        <v>44949</v>
      </c>
      <c r="B2662" t="s">
        <v>807</v>
      </c>
      <c r="C2662">
        <v>72</v>
      </c>
      <c r="D2662" t="s">
        <v>14</v>
      </c>
      <c r="E2662" t="s">
        <v>19</v>
      </c>
      <c r="F2662" t="s">
        <v>29</v>
      </c>
      <c r="G2662" t="s">
        <v>17</v>
      </c>
      <c r="H2662">
        <v>2414.7600000000002</v>
      </c>
      <c r="I2662" s="8" t="str" cm="1">
        <f t="array" ref="I2662">_xlfn.IFS(C2662&lt;=15,"Children and Young Adolescents", C2662&gt;64, "Seniors", TRUE, "Working Age")</f>
        <v>Seniors</v>
      </c>
      <c r="J2662" s="6">
        <f>VLOOKUP(F2662,Analysis!$F$1:$G$5,2,FALSE)</f>
        <v>2496.7676064256989</v>
      </c>
      <c r="K2662">
        <f t="shared" si="164"/>
        <v>2656.23</v>
      </c>
      <c r="L2662">
        <f t="shared" si="165"/>
        <v>2656.2400000000002</v>
      </c>
      <c r="M2662">
        <f t="shared" si="166"/>
        <v>2656.24</v>
      </c>
      <c r="N2662" s="5" t="str">
        <f t="shared" si="167"/>
        <v>January 2023</v>
      </c>
    </row>
    <row r="2663" spans="1:14" x14ac:dyDescent="0.25">
      <c r="A2663" s="1">
        <v>44949</v>
      </c>
      <c r="B2663" t="s">
        <v>3824</v>
      </c>
      <c r="C2663">
        <v>41</v>
      </c>
      <c r="D2663" t="s">
        <v>14</v>
      </c>
      <c r="E2663" t="s">
        <v>25</v>
      </c>
      <c r="F2663" t="s">
        <v>11</v>
      </c>
      <c r="G2663" t="s">
        <v>17</v>
      </c>
      <c r="H2663">
        <v>4887.0200000000004</v>
      </c>
      <c r="I2663" s="8" t="str" cm="1">
        <f t="array" ref="I2663">_xlfn.IFS(C2663&lt;=15,"Children and Young Adolescents", C2663&gt;64, "Seniors", TRUE, "Working Age")</f>
        <v>Working Age</v>
      </c>
      <c r="J2663" s="6">
        <f>VLOOKUP(F2663,Analysis!$F$1:$G$5,2,FALSE)</f>
        <v>2503.6022787783854</v>
      </c>
      <c r="K2663">
        <f t="shared" si="164"/>
        <v>5375.72</v>
      </c>
      <c r="L2663">
        <f t="shared" si="165"/>
        <v>5375.7300000000005</v>
      </c>
      <c r="M2663">
        <f t="shared" si="166"/>
        <v>5375.72</v>
      </c>
      <c r="N2663" s="5" t="str">
        <f t="shared" si="167"/>
        <v>January 2023</v>
      </c>
    </row>
    <row r="2664" spans="1:14" x14ac:dyDescent="0.25">
      <c r="A2664" s="1">
        <v>44949</v>
      </c>
      <c r="B2664" t="s">
        <v>3070</v>
      </c>
      <c r="C2664">
        <v>12</v>
      </c>
      <c r="D2664" t="s">
        <v>21</v>
      </c>
      <c r="E2664" t="s">
        <v>10</v>
      </c>
      <c r="F2664" t="s">
        <v>11</v>
      </c>
      <c r="G2664" t="s">
        <v>27</v>
      </c>
      <c r="H2664">
        <v>3058.82</v>
      </c>
      <c r="I2664" s="8" t="str" cm="1">
        <f t="array" ref="I2664">_xlfn.IFS(C2664&lt;=15,"Children and Young Adolescents", C2664&gt;64, "Seniors", TRUE, "Working Age")</f>
        <v>Children and Young Adolescents</v>
      </c>
      <c r="J2664" s="6">
        <f>VLOOKUP(F2664,Analysis!$F$1:$G$5,2,FALSE)</f>
        <v>2503.6022787783854</v>
      </c>
      <c r="K2664">
        <f t="shared" si="164"/>
        <v>3364.7</v>
      </c>
      <c r="L2664">
        <f t="shared" si="165"/>
        <v>3364.71</v>
      </c>
      <c r="M2664">
        <f t="shared" si="166"/>
        <v>3364.7</v>
      </c>
      <c r="N2664" s="5" t="str">
        <f t="shared" si="167"/>
        <v>January 2023</v>
      </c>
    </row>
    <row r="2665" spans="1:14" x14ac:dyDescent="0.25">
      <c r="A2665" s="1">
        <v>44949</v>
      </c>
      <c r="B2665" t="s">
        <v>3966</v>
      </c>
      <c r="C2665">
        <v>31</v>
      </c>
      <c r="D2665" t="s">
        <v>21</v>
      </c>
      <c r="E2665" t="s">
        <v>32</v>
      </c>
      <c r="F2665" t="s">
        <v>11</v>
      </c>
      <c r="G2665" t="s">
        <v>27</v>
      </c>
      <c r="H2665">
        <v>3519.16</v>
      </c>
      <c r="I2665" s="8" t="str" cm="1">
        <f t="array" ref="I2665">_xlfn.IFS(C2665&lt;=15,"Children and Young Adolescents", C2665&gt;64, "Seniors", TRUE, "Working Age")</f>
        <v>Working Age</v>
      </c>
      <c r="J2665" s="6">
        <f>VLOOKUP(F2665,Analysis!$F$1:$G$5,2,FALSE)</f>
        <v>2503.6022787783854</v>
      </c>
      <c r="K2665">
        <f t="shared" si="164"/>
        <v>3871.07</v>
      </c>
      <c r="L2665">
        <f t="shared" si="165"/>
        <v>3871.0800000000004</v>
      </c>
      <c r="M2665">
        <f t="shared" si="166"/>
        <v>3871.08</v>
      </c>
      <c r="N2665" s="5" t="str">
        <f t="shared" si="167"/>
        <v>January 2023</v>
      </c>
    </row>
    <row r="2666" spans="1:14" x14ac:dyDescent="0.25">
      <c r="A2666" s="1">
        <v>44949</v>
      </c>
      <c r="B2666" t="s">
        <v>3212</v>
      </c>
      <c r="C2666">
        <v>83</v>
      </c>
      <c r="D2666" t="s">
        <v>21</v>
      </c>
      <c r="E2666" t="s">
        <v>32</v>
      </c>
      <c r="F2666" t="s">
        <v>11</v>
      </c>
      <c r="G2666" t="s">
        <v>17</v>
      </c>
      <c r="H2666">
        <v>4404.5600000000004</v>
      </c>
      <c r="I2666" s="8" t="str" cm="1">
        <f t="array" ref="I2666">_xlfn.IFS(C2666&lt;=15,"Children and Young Adolescents", C2666&gt;64, "Seniors", TRUE, "Working Age")</f>
        <v>Seniors</v>
      </c>
      <c r="J2666" s="6">
        <f>VLOOKUP(F2666,Analysis!$F$1:$G$5,2,FALSE)</f>
        <v>2503.6022787783854</v>
      </c>
      <c r="K2666">
        <f t="shared" si="164"/>
        <v>4845.01</v>
      </c>
      <c r="L2666">
        <f t="shared" si="165"/>
        <v>4845.0200000000004</v>
      </c>
      <c r="M2666">
        <f t="shared" si="166"/>
        <v>4845.0200000000004</v>
      </c>
      <c r="N2666" s="5" t="str">
        <f t="shared" si="167"/>
        <v>January 2023</v>
      </c>
    </row>
    <row r="2667" spans="1:14" x14ac:dyDescent="0.25">
      <c r="A2667" s="1">
        <v>44950</v>
      </c>
      <c r="B2667" t="s">
        <v>2477</v>
      </c>
      <c r="C2667">
        <v>43</v>
      </c>
      <c r="D2667" t="s">
        <v>14</v>
      </c>
      <c r="E2667" t="s">
        <v>19</v>
      </c>
      <c r="F2667" t="s">
        <v>23</v>
      </c>
      <c r="G2667" t="s">
        <v>12</v>
      </c>
      <c r="H2667">
        <v>2741.98</v>
      </c>
      <c r="I2667" s="8" t="str" cm="1">
        <f t="array" ref="I2667">_xlfn.IFS(C2667&lt;=15,"Children and Young Adolescents", C2667&gt;64, "Seniors", TRUE, "Working Age")</f>
        <v>Working Age</v>
      </c>
      <c r="J2667" s="6">
        <f>VLOOKUP(F2667,Analysis!$F$1:$G$5,2,FALSE)</f>
        <v>2440.2966694490838</v>
      </c>
      <c r="K2667">
        <f t="shared" si="164"/>
        <v>3016.17</v>
      </c>
      <c r="L2667">
        <f t="shared" si="165"/>
        <v>3016.1800000000003</v>
      </c>
      <c r="M2667">
        <f t="shared" si="166"/>
        <v>3016.18</v>
      </c>
      <c r="N2667" s="5" t="str">
        <f t="shared" si="167"/>
        <v>January 2023</v>
      </c>
    </row>
    <row r="2668" spans="1:14" x14ac:dyDescent="0.25">
      <c r="A2668" s="1">
        <v>44950</v>
      </c>
      <c r="B2668" t="s">
        <v>3924</v>
      </c>
      <c r="C2668">
        <v>20</v>
      </c>
      <c r="D2668" t="s">
        <v>9</v>
      </c>
      <c r="E2668" t="s">
        <v>15</v>
      </c>
      <c r="F2668" t="s">
        <v>29</v>
      </c>
      <c r="G2668" t="s">
        <v>17</v>
      </c>
      <c r="H2668">
        <v>3028.39</v>
      </c>
      <c r="I2668" s="8" t="str" cm="1">
        <f t="array" ref="I2668">_xlfn.IFS(C2668&lt;=15,"Children and Young Adolescents", C2668&gt;64, "Seniors", TRUE, "Working Age")</f>
        <v>Working Age</v>
      </c>
      <c r="J2668" s="6">
        <f>VLOOKUP(F2668,Analysis!$F$1:$G$5,2,FALSE)</f>
        <v>2496.7676064256989</v>
      </c>
      <c r="K2668">
        <f t="shared" si="164"/>
        <v>3331.22</v>
      </c>
      <c r="L2668">
        <f t="shared" si="165"/>
        <v>3331.23</v>
      </c>
      <c r="M2668">
        <f t="shared" si="166"/>
        <v>3331.23</v>
      </c>
      <c r="N2668" s="5" t="str">
        <f t="shared" si="167"/>
        <v>January 2023</v>
      </c>
    </row>
    <row r="2669" spans="1:14" x14ac:dyDescent="0.25">
      <c r="A2669" s="1">
        <v>44951</v>
      </c>
      <c r="B2669" t="s">
        <v>878</v>
      </c>
      <c r="C2669">
        <v>4</v>
      </c>
      <c r="D2669" t="s">
        <v>14</v>
      </c>
      <c r="E2669" t="s">
        <v>15</v>
      </c>
      <c r="F2669" t="s">
        <v>16</v>
      </c>
      <c r="G2669" t="s">
        <v>27</v>
      </c>
      <c r="H2669">
        <v>1971.96</v>
      </c>
      <c r="I2669" s="8" t="str" cm="1">
        <f t="array" ref="I2669">_xlfn.IFS(C2669&lt;=15,"Children and Young Adolescents", C2669&gt;64, "Seniors", TRUE, "Working Age")</f>
        <v>Children and Young Adolescents</v>
      </c>
      <c r="J2669" s="6">
        <f>VLOOKUP(F2669,Analysis!$F$1:$G$5,2,FALSE)</f>
        <v>2509.1716796874912</v>
      </c>
      <c r="K2669">
        <f t="shared" si="164"/>
        <v>2169.15</v>
      </c>
      <c r="L2669">
        <f t="shared" si="165"/>
        <v>2169.1600000000003</v>
      </c>
      <c r="M2669">
        <f t="shared" si="166"/>
        <v>2169.16</v>
      </c>
      <c r="N2669" s="5" t="str">
        <f t="shared" si="167"/>
        <v>January 2023</v>
      </c>
    </row>
    <row r="2670" spans="1:14" x14ac:dyDescent="0.25">
      <c r="A2670" s="1">
        <v>44951</v>
      </c>
      <c r="B2670" t="s">
        <v>3674</v>
      </c>
      <c r="C2670">
        <v>18</v>
      </c>
      <c r="D2670" t="s">
        <v>9</v>
      </c>
      <c r="E2670" t="s">
        <v>15</v>
      </c>
      <c r="F2670" t="s">
        <v>16</v>
      </c>
      <c r="G2670" t="s">
        <v>39</v>
      </c>
      <c r="H2670">
        <v>3463.17</v>
      </c>
      <c r="I2670" s="8" t="str" cm="1">
        <f t="array" ref="I2670">_xlfn.IFS(C2670&lt;=15,"Children and Young Adolescents", C2670&gt;64, "Seniors", TRUE, "Working Age")</f>
        <v>Working Age</v>
      </c>
      <c r="J2670" s="6">
        <f>VLOOKUP(F2670,Analysis!$F$1:$G$5,2,FALSE)</f>
        <v>2509.1716796874912</v>
      </c>
      <c r="K2670">
        <f t="shared" si="164"/>
        <v>3809.48</v>
      </c>
      <c r="L2670">
        <f t="shared" si="165"/>
        <v>3809.4900000000002</v>
      </c>
      <c r="M2670">
        <f t="shared" si="166"/>
        <v>3809.49</v>
      </c>
      <c r="N2670" s="5" t="str">
        <f t="shared" si="167"/>
        <v>January 2023</v>
      </c>
    </row>
    <row r="2671" spans="1:14" x14ac:dyDescent="0.25">
      <c r="A2671" s="1">
        <v>44951</v>
      </c>
      <c r="B2671" t="s">
        <v>2006</v>
      </c>
      <c r="C2671">
        <v>92</v>
      </c>
      <c r="D2671" t="s">
        <v>21</v>
      </c>
      <c r="E2671" t="s">
        <v>10</v>
      </c>
      <c r="F2671" t="s">
        <v>16</v>
      </c>
      <c r="G2671" t="s">
        <v>39</v>
      </c>
      <c r="H2671">
        <v>2557.17</v>
      </c>
      <c r="I2671" s="8" t="str" cm="1">
        <f t="array" ref="I2671">_xlfn.IFS(C2671&lt;=15,"Children and Young Adolescents", C2671&gt;64, "Seniors", TRUE, "Working Age")</f>
        <v>Seniors</v>
      </c>
      <c r="J2671" s="6">
        <f>VLOOKUP(F2671,Analysis!$F$1:$G$5,2,FALSE)</f>
        <v>2509.1716796874912</v>
      </c>
      <c r="K2671">
        <f t="shared" si="164"/>
        <v>2812.88</v>
      </c>
      <c r="L2671">
        <f t="shared" si="165"/>
        <v>2812.8900000000003</v>
      </c>
      <c r="M2671">
        <f t="shared" si="166"/>
        <v>2812.89</v>
      </c>
      <c r="N2671" s="5" t="str">
        <f t="shared" si="167"/>
        <v>January 2023</v>
      </c>
    </row>
    <row r="2672" spans="1:14" x14ac:dyDescent="0.25">
      <c r="A2672" s="1">
        <v>44951</v>
      </c>
      <c r="B2672" t="s">
        <v>2013</v>
      </c>
      <c r="C2672">
        <v>83</v>
      </c>
      <c r="D2672" t="s">
        <v>14</v>
      </c>
      <c r="E2672" t="s">
        <v>34</v>
      </c>
      <c r="F2672" t="s">
        <v>11</v>
      </c>
      <c r="G2672" t="s">
        <v>39</v>
      </c>
      <c r="H2672">
        <v>4911.99</v>
      </c>
      <c r="I2672" s="8" t="str" cm="1">
        <f t="array" ref="I2672">_xlfn.IFS(C2672&lt;=15,"Children and Young Adolescents", C2672&gt;64, "Seniors", TRUE, "Working Age")</f>
        <v>Seniors</v>
      </c>
      <c r="J2672" s="6">
        <f>VLOOKUP(F2672,Analysis!$F$1:$G$5,2,FALSE)</f>
        <v>2503.6022787783854</v>
      </c>
      <c r="K2672">
        <f t="shared" si="164"/>
        <v>5403.18</v>
      </c>
      <c r="L2672">
        <f t="shared" si="165"/>
        <v>5403.1900000000005</v>
      </c>
      <c r="M2672">
        <f t="shared" si="166"/>
        <v>5403.19</v>
      </c>
      <c r="N2672" s="5" t="str">
        <f t="shared" si="167"/>
        <v>January 2023</v>
      </c>
    </row>
    <row r="2673" spans="1:14" x14ac:dyDescent="0.25">
      <c r="A2673" s="1">
        <v>44951</v>
      </c>
      <c r="B2673" t="s">
        <v>2162</v>
      </c>
      <c r="C2673">
        <v>40</v>
      </c>
      <c r="D2673" t="s">
        <v>14</v>
      </c>
      <c r="E2673" t="s">
        <v>22</v>
      </c>
      <c r="F2673" t="s">
        <v>11</v>
      </c>
      <c r="G2673" t="s">
        <v>36</v>
      </c>
      <c r="H2673">
        <v>4392.3599999999997</v>
      </c>
      <c r="I2673" s="8" t="str" cm="1">
        <f t="array" ref="I2673">_xlfn.IFS(C2673&lt;=15,"Children and Young Adolescents", C2673&gt;64, "Seniors", TRUE, "Working Age")</f>
        <v>Working Age</v>
      </c>
      <c r="J2673" s="6">
        <f>VLOOKUP(F2673,Analysis!$F$1:$G$5,2,FALSE)</f>
        <v>2503.6022787783854</v>
      </c>
      <c r="K2673">
        <f t="shared" si="164"/>
        <v>4831.59</v>
      </c>
      <c r="L2673">
        <f t="shared" si="165"/>
        <v>4831.6000000000004</v>
      </c>
      <c r="M2673">
        <f t="shared" si="166"/>
        <v>4831.6000000000004</v>
      </c>
      <c r="N2673" s="5" t="str">
        <f t="shared" si="167"/>
        <v>January 2023</v>
      </c>
    </row>
    <row r="2674" spans="1:14" x14ac:dyDescent="0.25">
      <c r="A2674" s="1">
        <v>44951</v>
      </c>
      <c r="B2674" t="s">
        <v>685</v>
      </c>
      <c r="C2674">
        <v>10</v>
      </c>
      <c r="D2674" t="s">
        <v>21</v>
      </c>
      <c r="E2674" t="s">
        <v>32</v>
      </c>
      <c r="F2674" t="s">
        <v>29</v>
      </c>
      <c r="G2674" t="s">
        <v>17</v>
      </c>
      <c r="H2674">
        <v>3763.64</v>
      </c>
      <c r="I2674" s="8" t="str" cm="1">
        <f t="array" ref="I2674">_xlfn.IFS(C2674&lt;=15,"Children and Young Adolescents", C2674&gt;64, "Seniors", TRUE, "Working Age")</f>
        <v>Children and Young Adolescents</v>
      </c>
      <c r="J2674" s="6">
        <f>VLOOKUP(F2674,Analysis!$F$1:$G$5,2,FALSE)</f>
        <v>2496.7676064256989</v>
      </c>
      <c r="K2674">
        <f t="shared" si="164"/>
        <v>4140</v>
      </c>
      <c r="L2674">
        <f t="shared" si="165"/>
        <v>4140.01</v>
      </c>
      <c r="M2674">
        <f t="shared" si="166"/>
        <v>4140</v>
      </c>
      <c r="N2674" s="5" t="str">
        <f t="shared" si="167"/>
        <v>January 2023</v>
      </c>
    </row>
    <row r="2675" spans="1:14" x14ac:dyDescent="0.25">
      <c r="A2675" s="1">
        <v>44951</v>
      </c>
      <c r="B2675" t="s">
        <v>4996</v>
      </c>
      <c r="C2675">
        <v>36</v>
      </c>
      <c r="D2675" t="s">
        <v>21</v>
      </c>
      <c r="E2675" t="s">
        <v>10</v>
      </c>
      <c r="F2675" t="s">
        <v>11</v>
      </c>
      <c r="G2675" t="s">
        <v>36</v>
      </c>
      <c r="H2675">
        <v>2062.86</v>
      </c>
      <c r="I2675" s="8" t="str" cm="1">
        <f t="array" ref="I2675">_xlfn.IFS(C2675&lt;=15,"Children and Young Adolescents", C2675&gt;64, "Seniors", TRUE, "Working Age")</f>
        <v>Working Age</v>
      </c>
      <c r="J2675" s="6">
        <f>VLOOKUP(F2675,Analysis!$F$1:$G$5,2,FALSE)</f>
        <v>2503.6022787783854</v>
      </c>
      <c r="K2675">
        <f t="shared" si="164"/>
        <v>2269.14</v>
      </c>
      <c r="L2675">
        <f t="shared" si="165"/>
        <v>2269.15</v>
      </c>
      <c r="M2675">
        <f t="shared" si="166"/>
        <v>2269.15</v>
      </c>
      <c r="N2675" s="5" t="str">
        <f t="shared" si="167"/>
        <v>January 2023</v>
      </c>
    </row>
    <row r="2676" spans="1:14" x14ac:dyDescent="0.25">
      <c r="A2676" s="1">
        <v>44951</v>
      </c>
      <c r="B2676" t="s">
        <v>124</v>
      </c>
      <c r="C2676">
        <v>52</v>
      </c>
      <c r="D2676" t="s">
        <v>14</v>
      </c>
      <c r="E2676" t="s">
        <v>15</v>
      </c>
      <c r="F2676" t="s">
        <v>16</v>
      </c>
      <c r="G2676" t="s">
        <v>39</v>
      </c>
      <c r="H2676">
        <v>4949.17</v>
      </c>
      <c r="I2676" s="8" t="str" cm="1">
        <f t="array" ref="I2676">_xlfn.IFS(C2676&lt;=15,"Children and Young Adolescents", C2676&gt;64, "Seniors", TRUE, "Working Age")</f>
        <v>Working Age</v>
      </c>
      <c r="J2676" s="6">
        <f>VLOOKUP(F2676,Analysis!$F$1:$G$5,2,FALSE)</f>
        <v>2509.1716796874912</v>
      </c>
      <c r="K2676">
        <f t="shared" si="164"/>
        <v>5444.08</v>
      </c>
      <c r="L2676">
        <f t="shared" si="165"/>
        <v>5444.09</v>
      </c>
      <c r="M2676">
        <f t="shared" si="166"/>
        <v>5444.09</v>
      </c>
      <c r="N2676" s="5" t="str">
        <f t="shared" si="167"/>
        <v>January 2023</v>
      </c>
    </row>
    <row r="2677" spans="1:14" x14ac:dyDescent="0.25">
      <c r="A2677" s="1">
        <v>44952</v>
      </c>
      <c r="B2677" t="s">
        <v>2782</v>
      </c>
      <c r="C2677">
        <v>17</v>
      </c>
      <c r="D2677" t="s">
        <v>21</v>
      </c>
      <c r="E2677" t="s">
        <v>32</v>
      </c>
      <c r="F2677" t="s">
        <v>29</v>
      </c>
      <c r="G2677" t="s">
        <v>36</v>
      </c>
      <c r="H2677">
        <v>4360.95</v>
      </c>
      <c r="I2677" s="8" t="str" cm="1">
        <f t="array" ref="I2677">_xlfn.IFS(C2677&lt;=15,"Children and Young Adolescents", C2677&gt;64, "Seniors", TRUE, "Working Age")</f>
        <v>Working Age</v>
      </c>
      <c r="J2677" s="6">
        <f>VLOOKUP(F2677,Analysis!$F$1:$G$5,2,FALSE)</f>
        <v>2496.7676064256989</v>
      </c>
      <c r="K2677">
        <f t="shared" si="164"/>
        <v>4797.04</v>
      </c>
      <c r="L2677">
        <f t="shared" si="165"/>
        <v>4797.05</v>
      </c>
      <c r="M2677">
        <f t="shared" si="166"/>
        <v>4797.05</v>
      </c>
      <c r="N2677" s="5" t="str">
        <f t="shared" si="167"/>
        <v>January 2023</v>
      </c>
    </row>
    <row r="2678" spans="1:14" x14ac:dyDescent="0.25">
      <c r="A2678" s="1">
        <v>44952</v>
      </c>
      <c r="B2678" t="s">
        <v>3564</v>
      </c>
      <c r="C2678">
        <v>97</v>
      </c>
      <c r="D2678" t="s">
        <v>14</v>
      </c>
      <c r="E2678" t="s">
        <v>5032</v>
      </c>
      <c r="F2678" t="s">
        <v>23</v>
      </c>
      <c r="G2678" t="s">
        <v>5033</v>
      </c>
      <c r="H2678">
        <v>3243.5</v>
      </c>
      <c r="I2678" s="8" t="str" cm="1">
        <f t="array" ref="I2678">_xlfn.IFS(C2678&lt;=15,"Children and Young Adolescents", C2678&gt;64, "Seniors", TRUE, "Working Age")</f>
        <v>Seniors</v>
      </c>
      <c r="J2678" s="6">
        <f>VLOOKUP(F2678,Analysis!$F$1:$G$5,2,FALSE)</f>
        <v>2440.2966694490838</v>
      </c>
      <c r="K2678">
        <f t="shared" si="164"/>
        <v>3567.85</v>
      </c>
      <c r="L2678">
        <f t="shared" si="165"/>
        <v>3567.85</v>
      </c>
      <c r="M2678">
        <f t="shared" si="166"/>
        <v>3567.85</v>
      </c>
      <c r="N2678" s="5" t="str">
        <f t="shared" si="167"/>
        <v>January 2023</v>
      </c>
    </row>
    <row r="2679" spans="1:14" x14ac:dyDescent="0.25">
      <c r="A2679" s="1">
        <v>44952</v>
      </c>
      <c r="B2679" t="s">
        <v>4560</v>
      </c>
      <c r="C2679">
        <v>62</v>
      </c>
      <c r="D2679" t="s">
        <v>9</v>
      </c>
      <c r="E2679" t="s">
        <v>10</v>
      </c>
      <c r="F2679" t="s">
        <v>29</v>
      </c>
      <c r="G2679" t="s">
        <v>36</v>
      </c>
      <c r="H2679">
        <v>3474.51</v>
      </c>
      <c r="I2679" s="8" t="str" cm="1">
        <f t="array" ref="I2679">_xlfn.IFS(C2679&lt;=15,"Children and Young Adolescents", C2679&gt;64, "Seniors", TRUE, "Working Age")</f>
        <v>Working Age</v>
      </c>
      <c r="J2679" s="6">
        <f>VLOOKUP(F2679,Analysis!$F$1:$G$5,2,FALSE)</f>
        <v>2496.7676064256989</v>
      </c>
      <c r="K2679">
        <f t="shared" si="164"/>
        <v>3821.96</v>
      </c>
      <c r="L2679">
        <f t="shared" si="165"/>
        <v>3821.9700000000003</v>
      </c>
      <c r="M2679">
        <f t="shared" si="166"/>
        <v>3821.96</v>
      </c>
      <c r="N2679" s="5" t="str">
        <f t="shared" si="167"/>
        <v>January 2023</v>
      </c>
    </row>
    <row r="2680" spans="1:14" x14ac:dyDescent="0.25">
      <c r="A2680" s="1">
        <v>44952</v>
      </c>
      <c r="B2680" t="s">
        <v>1074</v>
      </c>
      <c r="C2680">
        <v>2</v>
      </c>
      <c r="D2680" t="s">
        <v>9</v>
      </c>
      <c r="E2680" t="s">
        <v>22</v>
      </c>
      <c r="F2680" t="s">
        <v>16</v>
      </c>
      <c r="G2680" t="s">
        <v>39</v>
      </c>
      <c r="H2680">
        <v>1728.52</v>
      </c>
      <c r="I2680" s="8" t="str" cm="1">
        <f t="array" ref="I2680">_xlfn.IFS(C2680&lt;=15,"Children and Young Adolescents", C2680&gt;64, "Seniors", TRUE, "Working Age")</f>
        <v>Children and Young Adolescents</v>
      </c>
      <c r="J2680" s="6">
        <f>VLOOKUP(F2680,Analysis!$F$1:$G$5,2,FALSE)</f>
        <v>2509.1716796874912</v>
      </c>
      <c r="K2680">
        <f t="shared" si="164"/>
        <v>1901.37</v>
      </c>
      <c r="L2680">
        <f t="shared" si="165"/>
        <v>1901.3799999999999</v>
      </c>
      <c r="M2680">
        <f t="shared" si="166"/>
        <v>1901.37</v>
      </c>
      <c r="N2680" s="5" t="str">
        <f t="shared" si="167"/>
        <v>January 2023</v>
      </c>
    </row>
    <row r="2681" spans="1:14" x14ac:dyDescent="0.25">
      <c r="A2681" s="1">
        <v>44953</v>
      </c>
      <c r="B2681" t="s">
        <v>432</v>
      </c>
      <c r="C2681">
        <v>37</v>
      </c>
      <c r="D2681" t="s">
        <v>14</v>
      </c>
      <c r="E2681" t="s">
        <v>19</v>
      </c>
      <c r="F2681" t="s">
        <v>11</v>
      </c>
      <c r="G2681" t="s">
        <v>12</v>
      </c>
      <c r="H2681">
        <v>1794.36</v>
      </c>
      <c r="I2681" s="8" t="str" cm="1">
        <f t="array" ref="I2681">_xlfn.IFS(C2681&lt;=15,"Children and Young Adolescents", C2681&gt;64, "Seniors", TRUE, "Working Age")</f>
        <v>Working Age</v>
      </c>
      <c r="J2681" s="6">
        <f>VLOOKUP(F2681,Analysis!$F$1:$G$5,2,FALSE)</f>
        <v>2503.6022787783854</v>
      </c>
      <c r="K2681">
        <f t="shared" si="164"/>
        <v>1973.79</v>
      </c>
      <c r="L2681">
        <f t="shared" si="165"/>
        <v>1973.8</v>
      </c>
      <c r="M2681">
        <f t="shared" si="166"/>
        <v>1973.8</v>
      </c>
      <c r="N2681" s="5" t="str">
        <f t="shared" si="167"/>
        <v>January 2023</v>
      </c>
    </row>
    <row r="2682" spans="1:14" x14ac:dyDescent="0.25">
      <c r="A2682" s="1">
        <v>44953</v>
      </c>
      <c r="B2682" t="s">
        <v>1265</v>
      </c>
      <c r="C2682">
        <v>9</v>
      </c>
      <c r="D2682" t="s">
        <v>14</v>
      </c>
      <c r="E2682" t="s">
        <v>19</v>
      </c>
      <c r="F2682" t="s">
        <v>16</v>
      </c>
      <c r="G2682" t="s">
        <v>27</v>
      </c>
      <c r="H2682">
        <v>1522.42</v>
      </c>
      <c r="I2682" s="8" t="str" cm="1">
        <f t="array" ref="I2682">_xlfn.IFS(C2682&lt;=15,"Children and Young Adolescents", C2682&gt;64, "Seniors", TRUE, "Working Age")</f>
        <v>Children and Young Adolescents</v>
      </c>
      <c r="J2682" s="6">
        <f>VLOOKUP(F2682,Analysis!$F$1:$G$5,2,FALSE)</f>
        <v>2509.1716796874912</v>
      </c>
      <c r="K2682">
        <f t="shared" si="164"/>
        <v>1674.66</v>
      </c>
      <c r="L2682">
        <f t="shared" si="165"/>
        <v>1674.67</v>
      </c>
      <c r="M2682">
        <f t="shared" si="166"/>
        <v>1674.66</v>
      </c>
      <c r="N2682" s="5" t="str">
        <f t="shared" si="167"/>
        <v>January 2023</v>
      </c>
    </row>
    <row r="2683" spans="1:14" x14ac:dyDescent="0.25">
      <c r="A2683" s="1">
        <v>44953</v>
      </c>
      <c r="B2683" t="s">
        <v>340</v>
      </c>
      <c r="C2683">
        <v>39</v>
      </c>
      <c r="D2683" t="s">
        <v>21</v>
      </c>
      <c r="E2683" t="s">
        <v>25</v>
      </c>
      <c r="F2683" t="s">
        <v>16</v>
      </c>
      <c r="G2683" t="s">
        <v>36</v>
      </c>
      <c r="H2683">
        <v>3888.77</v>
      </c>
      <c r="I2683" s="8" t="str" cm="1">
        <f t="array" ref="I2683">_xlfn.IFS(C2683&lt;=15,"Children and Young Adolescents", C2683&gt;64, "Seniors", TRUE, "Working Age")</f>
        <v>Working Age</v>
      </c>
      <c r="J2683" s="6">
        <f>VLOOKUP(F2683,Analysis!$F$1:$G$5,2,FALSE)</f>
        <v>2509.1716796874912</v>
      </c>
      <c r="K2683">
        <f t="shared" si="164"/>
        <v>4277.6400000000003</v>
      </c>
      <c r="L2683">
        <f t="shared" si="165"/>
        <v>4277.6500000000005</v>
      </c>
      <c r="M2683">
        <f t="shared" si="166"/>
        <v>4277.6499999999996</v>
      </c>
      <c r="N2683" s="5" t="str">
        <f t="shared" si="167"/>
        <v>January 2023</v>
      </c>
    </row>
    <row r="2684" spans="1:14" x14ac:dyDescent="0.25">
      <c r="A2684" s="1">
        <v>44953</v>
      </c>
      <c r="B2684" t="s">
        <v>973</v>
      </c>
      <c r="C2684">
        <v>17</v>
      </c>
      <c r="D2684" t="s">
        <v>14</v>
      </c>
      <c r="E2684" t="s">
        <v>15</v>
      </c>
      <c r="F2684" t="s">
        <v>11</v>
      </c>
      <c r="G2684" t="s">
        <v>17</v>
      </c>
      <c r="H2684">
        <v>1278.57</v>
      </c>
      <c r="I2684" s="8" t="str" cm="1">
        <f t="array" ref="I2684">_xlfn.IFS(C2684&lt;=15,"Children and Young Adolescents", C2684&gt;64, "Seniors", TRUE, "Working Age")</f>
        <v>Working Age</v>
      </c>
      <c r="J2684" s="6">
        <f>VLOOKUP(F2684,Analysis!$F$1:$G$5,2,FALSE)</f>
        <v>2503.6022787783854</v>
      </c>
      <c r="K2684">
        <f t="shared" si="164"/>
        <v>1406.42</v>
      </c>
      <c r="L2684">
        <f t="shared" si="165"/>
        <v>1406.43</v>
      </c>
      <c r="M2684">
        <f t="shared" si="166"/>
        <v>1406.43</v>
      </c>
      <c r="N2684" s="5" t="str">
        <f t="shared" si="167"/>
        <v>January 2023</v>
      </c>
    </row>
    <row r="2685" spans="1:14" x14ac:dyDescent="0.25">
      <c r="A2685" s="1">
        <v>44953</v>
      </c>
      <c r="B2685" t="s">
        <v>1850</v>
      </c>
      <c r="C2685">
        <v>32</v>
      </c>
      <c r="D2685" t="s">
        <v>14</v>
      </c>
      <c r="E2685" t="s">
        <v>5032</v>
      </c>
      <c r="F2685" t="s">
        <v>29</v>
      </c>
      <c r="G2685" t="s">
        <v>17</v>
      </c>
      <c r="H2685">
        <v>2646.41</v>
      </c>
      <c r="I2685" s="8" t="str" cm="1">
        <f t="array" ref="I2685">_xlfn.IFS(C2685&lt;=15,"Children and Young Adolescents", C2685&gt;64, "Seniors", TRUE, "Working Age")</f>
        <v>Working Age</v>
      </c>
      <c r="J2685" s="6">
        <f>VLOOKUP(F2685,Analysis!$F$1:$G$5,2,FALSE)</f>
        <v>2496.7676064256989</v>
      </c>
      <c r="K2685">
        <f t="shared" si="164"/>
        <v>2911.05</v>
      </c>
      <c r="L2685">
        <f t="shared" si="165"/>
        <v>2911.0600000000004</v>
      </c>
      <c r="M2685">
        <f t="shared" si="166"/>
        <v>2911.05</v>
      </c>
      <c r="N2685" s="5" t="str">
        <f t="shared" si="167"/>
        <v>January 2023</v>
      </c>
    </row>
    <row r="2686" spans="1:14" x14ac:dyDescent="0.25">
      <c r="A2686" s="1">
        <v>44953</v>
      </c>
      <c r="B2686" t="s">
        <v>2723</v>
      </c>
      <c r="C2686">
        <v>51</v>
      </c>
      <c r="D2686" t="s">
        <v>14</v>
      </c>
      <c r="E2686" t="s">
        <v>25</v>
      </c>
      <c r="F2686" t="s">
        <v>29</v>
      </c>
      <c r="G2686" t="s">
        <v>17</v>
      </c>
      <c r="H2686">
        <v>2464.66</v>
      </c>
      <c r="I2686" s="8" t="str" cm="1">
        <f t="array" ref="I2686">_xlfn.IFS(C2686&lt;=15,"Children and Young Adolescents", C2686&gt;64, "Seniors", TRUE, "Working Age")</f>
        <v>Working Age</v>
      </c>
      <c r="J2686" s="6">
        <f>VLOOKUP(F2686,Analysis!$F$1:$G$5,2,FALSE)</f>
        <v>2496.7676064256989</v>
      </c>
      <c r="K2686">
        <f t="shared" si="164"/>
        <v>2711.12</v>
      </c>
      <c r="L2686">
        <f t="shared" si="165"/>
        <v>2711.13</v>
      </c>
      <c r="M2686">
        <f t="shared" si="166"/>
        <v>2711.13</v>
      </c>
      <c r="N2686" s="5" t="str">
        <f t="shared" si="167"/>
        <v>January 2023</v>
      </c>
    </row>
    <row r="2687" spans="1:14" x14ac:dyDescent="0.25">
      <c r="A2687" s="1">
        <v>44953</v>
      </c>
      <c r="B2687" t="s">
        <v>2294</v>
      </c>
      <c r="C2687">
        <v>14</v>
      </c>
      <c r="D2687" t="s">
        <v>21</v>
      </c>
      <c r="E2687" t="s">
        <v>34</v>
      </c>
      <c r="F2687" t="s">
        <v>29</v>
      </c>
      <c r="G2687" t="s">
        <v>17</v>
      </c>
      <c r="H2687">
        <v>101.57</v>
      </c>
      <c r="I2687" s="8" t="str" cm="1">
        <f t="array" ref="I2687">_xlfn.IFS(C2687&lt;=15,"Children and Young Adolescents", C2687&gt;64, "Seniors", TRUE, "Working Age")</f>
        <v>Children and Young Adolescents</v>
      </c>
      <c r="J2687" s="6">
        <f>VLOOKUP(F2687,Analysis!$F$1:$G$5,2,FALSE)</f>
        <v>2496.7676064256989</v>
      </c>
      <c r="K2687">
        <f t="shared" si="164"/>
        <v>111.72</v>
      </c>
      <c r="L2687">
        <f t="shared" si="165"/>
        <v>111.73</v>
      </c>
      <c r="M2687">
        <f t="shared" si="166"/>
        <v>111.73</v>
      </c>
      <c r="N2687" s="5" t="str">
        <f t="shared" si="167"/>
        <v>January 2023</v>
      </c>
    </row>
    <row r="2688" spans="1:14" x14ac:dyDescent="0.25">
      <c r="A2688" s="1">
        <v>44953</v>
      </c>
      <c r="B2688" t="s">
        <v>3414</v>
      </c>
      <c r="C2688">
        <v>68</v>
      </c>
      <c r="D2688" t="s">
        <v>14</v>
      </c>
      <c r="E2688" t="s">
        <v>22</v>
      </c>
      <c r="F2688" t="s">
        <v>11</v>
      </c>
      <c r="G2688" t="s">
        <v>39</v>
      </c>
      <c r="H2688">
        <v>2065.2399999999998</v>
      </c>
      <c r="I2688" s="8" t="str" cm="1">
        <f t="array" ref="I2688">_xlfn.IFS(C2688&lt;=15,"Children and Young Adolescents", C2688&gt;64, "Seniors", TRUE, "Working Age")</f>
        <v>Seniors</v>
      </c>
      <c r="J2688" s="6">
        <f>VLOOKUP(F2688,Analysis!$F$1:$G$5,2,FALSE)</f>
        <v>2503.6022787783854</v>
      </c>
      <c r="K2688">
        <f t="shared" si="164"/>
        <v>2271.7600000000002</v>
      </c>
      <c r="L2688">
        <f t="shared" si="165"/>
        <v>2271.7700000000004</v>
      </c>
      <c r="M2688">
        <f t="shared" si="166"/>
        <v>2271.7600000000002</v>
      </c>
      <c r="N2688" s="5" t="str">
        <f t="shared" si="167"/>
        <v>January 2023</v>
      </c>
    </row>
    <row r="2689" spans="1:14" x14ac:dyDescent="0.25">
      <c r="A2689" s="1">
        <v>44953</v>
      </c>
      <c r="B2689" t="s">
        <v>1591</v>
      </c>
      <c r="C2689">
        <v>65</v>
      </c>
      <c r="D2689" t="s">
        <v>14</v>
      </c>
      <c r="E2689" t="s">
        <v>22</v>
      </c>
      <c r="F2689" t="s">
        <v>16</v>
      </c>
      <c r="G2689" t="s">
        <v>12</v>
      </c>
      <c r="H2689">
        <v>1231.52</v>
      </c>
      <c r="I2689" s="8" t="str" cm="1">
        <f t="array" ref="I2689">_xlfn.IFS(C2689&lt;=15,"Children and Young Adolescents", C2689&gt;64, "Seniors", TRUE, "Working Age")</f>
        <v>Seniors</v>
      </c>
      <c r="J2689" s="6">
        <f>VLOOKUP(F2689,Analysis!$F$1:$G$5,2,FALSE)</f>
        <v>2509.1716796874912</v>
      </c>
      <c r="K2689">
        <f t="shared" si="164"/>
        <v>1354.67</v>
      </c>
      <c r="L2689">
        <f t="shared" si="165"/>
        <v>1354.68</v>
      </c>
      <c r="M2689">
        <f t="shared" si="166"/>
        <v>1354.67</v>
      </c>
      <c r="N2689" s="5" t="str">
        <f t="shared" si="167"/>
        <v>January 2023</v>
      </c>
    </row>
    <row r="2690" spans="1:14" x14ac:dyDescent="0.25">
      <c r="A2690" s="1">
        <v>44953</v>
      </c>
      <c r="B2690" t="s">
        <v>110</v>
      </c>
      <c r="C2690">
        <v>29</v>
      </c>
      <c r="D2690" t="s">
        <v>21</v>
      </c>
      <c r="E2690" t="s">
        <v>15</v>
      </c>
      <c r="F2690" t="s">
        <v>29</v>
      </c>
      <c r="G2690" t="s">
        <v>12</v>
      </c>
      <c r="H2690">
        <v>2747.05</v>
      </c>
      <c r="I2690" s="8" t="str" cm="1">
        <f t="array" ref="I2690">_xlfn.IFS(C2690&lt;=15,"Children and Young Adolescents", C2690&gt;64, "Seniors", TRUE, "Working Age")</f>
        <v>Working Age</v>
      </c>
      <c r="J2690" s="6">
        <f>VLOOKUP(F2690,Analysis!$F$1:$G$5,2,FALSE)</f>
        <v>2496.7676064256989</v>
      </c>
      <c r="K2690">
        <f t="shared" si="164"/>
        <v>3021.75</v>
      </c>
      <c r="L2690">
        <f t="shared" si="165"/>
        <v>3021.76</v>
      </c>
      <c r="M2690">
        <f t="shared" si="166"/>
        <v>3021.76</v>
      </c>
      <c r="N2690" s="5" t="str">
        <f t="shared" si="167"/>
        <v>January 2023</v>
      </c>
    </row>
    <row r="2691" spans="1:14" x14ac:dyDescent="0.25">
      <c r="A2691" s="1">
        <v>44954</v>
      </c>
      <c r="B2691" t="s">
        <v>2308</v>
      </c>
      <c r="C2691">
        <v>53</v>
      </c>
      <c r="D2691" t="s">
        <v>14</v>
      </c>
      <c r="E2691" t="s">
        <v>5032</v>
      </c>
      <c r="F2691" t="s">
        <v>16</v>
      </c>
      <c r="G2691" t="s">
        <v>39</v>
      </c>
      <c r="H2691">
        <v>556.04</v>
      </c>
      <c r="I2691" s="8" t="str" cm="1">
        <f t="array" ref="I2691">_xlfn.IFS(C2691&lt;=15,"Children and Young Adolescents", C2691&gt;64, "Seniors", TRUE, "Working Age")</f>
        <v>Working Age</v>
      </c>
      <c r="J2691" s="6">
        <f>VLOOKUP(F2691,Analysis!$F$1:$G$5,2,FALSE)</f>
        <v>2509.1716796874912</v>
      </c>
      <c r="K2691">
        <f t="shared" ref="K2691:K2754" si="168">ROUNDDOWN(H2691*1.1,2)</f>
        <v>611.64</v>
      </c>
      <c r="L2691">
        <f t="shared" ref="L2691:L2754" si="169">ROUNDUP(H2691*1.1,2)</f>
        <v>611.65</v>
      </c>
      <c r="M2691">
        <f t="shared" ref="M2691:M2754" si="170">ROUND(H2691*1.1,2)</f>
        <v>611.64</v>
      </c>
      <c r="N2691" s="5" t="str">
        <f t="shared" ref="N2691:N2754" si="171">TEXT(A2691,"mmmm yyyy")</f>
        <v>January 2023</v>
      </c>
    </row>
    <row r="2692" spans="1:14" x14ac:dyDescent="0.25">
      <c r="A2692" s="1">
        <v>44954</v>
      </c>
      <c r="B2692" t="s">
        <v>625</v>
      </c>
      <c r="C2692">
        <v>86</v>
      </c>
      <c r="D2692" t="s">
        <v>21</v>
      </c>
      <c r="E2692" t="s">
        <v>19</v>
      </c>
      <c r="F2692" t="s">
        <v>29</v>
      </c>
      <c r="G2692" t="s">
        <v>36</v>
      </c>
      <c r="H2692">
        <v>141.34</v>
      </c>
      <c r="I2692" s="8" t="str" cm="1">
        <f t="array" ref="I2692">_xlfn.IFS(C2692&lt;=15,"Children and Young Adolescents", C2692&gt;64, "Seniors", TRUE, "Working Age")</f>
        <v>Seniors</v>
      </c>
      <c r="J2692" s="6">
        <f>VLOOKUP(F2692,Analysis!$F$1:$G$5,2,FALSE)</f>
        <v>2496.7676064256989</v>
      </c>
      <c r="K2692">
        <f t="shared" si="168"/>
        <v>155.47</v>
      </c>
      <c r="L2692">
        <f t="shared" si="169"/>
        <v>155.47999999999999</v>
      </c>
      <c r="M2692">
        <f t="shared" si="170"/>
        <v>155.47</v>
      </c>
      <c r="N2692" s="5" t="str">
        <f t="shared" si="171"/>
        <v>January 2023</v>
      </c>
    </row>
    <row r="2693" spans="1:14" x14ac:dyDescent="0.25">
      <c r="A2693" s="1">
        <v>44954</v>
      </c>
      <c r="B2693" t="s">
        <v>3681</v>
      </c>
      <c r="C2693">
        <v>72</v>
      </c>
      <c r="D2693" t="s">
        <v>9</v>
      </c>
      <c r="E2693" t="s">
        <v>10</v>
      </c>
      <c r="F2693" t="s">
        <v>16</v>
      </c>
      <c r="G2693" t="s">
        <v>17</v>
      </c>
      <c r="H2693">
        <v>136.93</v>
      </c>
      <c r="I2693" s="8" t="str" cm="1">
        <f t="array" ref="I2693">_xlfn.IFS(C2693&lt;=15,"Children and Young Adolescents", C2693&gt;64, "Seniors", TRUE, "Working Age")</f>
        <v>Seniors</v>
      </c>
      <c r="J2693" s="6">
        <f>VLOOKUP(F2693,Analysis!$F$1:$G$5,2,FALSE)</f>
        <v>2509.1716796874912</v>
      </c>
      <c r="K2693">
        <f t="shared" si="168"/>
        <v>150.62</v>
      </c>
      <c r="L2693">
        <f t="shared" si="169"/>
        <v>150.63</v>
      </c>
      <c r="M2693">
        <f t="shared" si="170"/>
        <v>150.62</v>
      </c>
      <c r="N2693" s="5" t="str">
        <f t="shared" si="171"/>
        <v>January 2023</v>
      </c>
    </row>
    <row r="2694" spans="1:14" x14ac:dyDescent="0.25">
      <c r="A2694" s="1">
        <v>44954</v>
      </c>
      <c r="B2694" t="s">
        <v>1250</v>
      </c>
      <c r="C2694">
        <v>30</v>
      </c>
      <c r="D2694" t="s">
        <v>9</v>
      </c>
      <c r="E2694" t="s">
        <v>32</v>
      </c>
      <c r="F2694" t="s">
        <v>16</v>
      </c>
      <c r="G2694" t="s">
        <v>36</v>
      </c>
      <c r="H2694">
        <v>4746.13</v>
      </c>
      <c r="I2694" s="8" t="str" cm="1">
        <f t="array" ref="I2694">_xlfn.IFS(C2694&lt;=15,"Children and Young Adolescents", C2694&gt;64, "Seniors", TRUE, "Working Age")</f>
        <v>Working Age</v>
      </c>
      <c r="J2694" s="6">
        <f>VLOOKUP(F2694,Analysis!$F$1:$G$5,2,FALSE)</f>
        <v>2509.1716796874912</v>
      </c>
      <c r="K2694">
        <f t="shared" si="168"/>
        <v>5220.74</v>
      </c>
      <c r="L2694">
        <f t="shared" si="169"/>
        <v>5220.75</v>
      </c>
      <c r="M2694">
        <f t="shared" si="170"/>
        <v>5220.74</v>
      </c>
      <c r="N2694" s="5" t="str">
        <f t="shared" si="171"/>
        <v>January 2023</v>
      </c>
    </row>
    <row r="2695" spans="1:14" x14ac:dyDescent="0.25">
      <c r="A2695" s="1">
        <v>44955</v>
      </c>
      <c r="B2695" t="s">
        <v>2095</v>
      </c>
      <c r="C2695">
        <v>3</v>
      </c>
      <c r="D2695" t="s">
        <v>14</v>
      </c>
      <c r="E2695" t="s">
        <v>32</v>
      </c>
      <c r="F2695" t="s">
        <v>23</v>
      </c>
      <c r="G2695" t="s">
        <v>17</v>
      </c>
      <c r="H2695">
        <v>204.53</v>
      </c>
      <c r="I2695" s="8" t="str" cm="1">
        <f t="array" ref="I2695">_xlfn.IFS(C2695&lt;=15,"Children and Young Adolescents", C2695&gt;64, "Seniors", TRUE, "Working Age")</f>
        <v>Children and Young Adolescents</v>
      </c>
      <c r="J2695" s="6">
        <f>VLOOKUP(F2695,Analysis!$F$1:$G$5,2,FALSE)</f>
        <v>2440.2966694490838</v>
      </c>
      <c r="K2695">
        <f t="shared" si="168"/>
        <v>224.98</v>
      </c>
      <c r="L2695">
        <f t="shared" si="169"/>
        <v>224.98999999999998</v>
      </c>
      <c r="M2695">
        <f t="shared" si="170"/>
        <v>224.98</v>
      </c>
      <c r="N2695" s="5" t="str">
        <f t="shared" si="171"/>
        <v>January 2023</v>
      </c>
    </row>
    <row r="2696" spans="1:14" x14ac:dyDescent="0.25">
      <c r="A2696" s="1">
        <v>44955</v>
      </c>
      <c r="B2696" t="s">
        <v>4076</v>
      </c>
      <c r="C2696">
        <v>28</v>
      </c>
      <c r="D2696" t="s">
        <v>21</v>
      </c>
      <c r="E2696" t="s">
        <v>5032</v>
      </c>
      <c r="F2696" t="s">
        <v>29</v>
      </c>
      <c r="G2696" t="s">
        <v>27</v>
      </c>
      <c r="H2696">
        <v>1705.01</v>
      </c>
      <c r="I2696" s="8" t="str" cm="1">
        <f t="array" ref="I2696">_xlfn.IFS(C2696&lt;=15,"Children and Young Adolescents", C2696&gt;64, "Seniors", TRUE, "Working Age")</f>
        <v>Working Age</v>
      </c>
      <c r="J2696" s="6">
        <f>VLOOKUP(F2696,Analysis!$F$1:$G$5,2,FALSE)</f>
        <v>2496.7676064256989</v>
      </c>
      <c r="K2696">
        <f t="shared" si="168"/>
        <v>1875.51</v>
      </c>
      <c r="L2696">
        <f t="shared" si="169"/>
        <v>1875.52</v>
      </c>
      <c r="M2696">
        <f t="shared" si="170"/>
        <v>1875.51</v>
      </c>
      <c r="N2696" s="5" t="str">
        <f t="shared" si="171"/>
        <v>January 2023</v>
      </c>
    </row>
    <row r="2697" spans="1:14" x14ac:dyDescent="0.25">
      <c r="A2697" s="1">
        <v>44955</v>
      </c>
      <c r="B2697" t="s">
        <v>4547</v>
      </c>
      <c r="C2697">
        <v>55</v>
      </c>
      <c r="D2697" t="s">
        <v>21</v>
      </c>
      <c r="E2697" t="s">
        <v>32</v>
      </c>
      <c r="F2697" t="s">
        <v>29</v>
      </c>
      <c r="G2697" t="s">
        <v>17</v>
      </c>
      <c r="H2697">
        <v>2072.7600000000002</v>
      </c>
      <c r="I2697" s="8" t="str" cm="1">
        <f t="array" ref="I2697">_xlfn.IFS(C2697&lt;=15,"Children and Young Adolescents", C2697&gt;64, "Seniors", TRUE, "Working Age")</f>
        <v>Working Age</v>
      </c>
      <c r="J2697" s="6">
        <f>VLOOKUP(F2697,Analysis!$F$1:$G$5,2,FALSE)</f>
        <v>2496.7676064256989</v>
      </c>
      <c r="K2697">
        <f t="shared" si="168"/>
        <v>2280.0300000000002</v>
      </c>
      <c r="L2697">
        <f t="shared" si="169"/>
        <v>2280.0400000000004</v>
      </c>
      <c r="M2697">
        <f t="shared" si="170"/>
        <v>2280.04</v>
      </c>
      <c r="N2697" s="5" t="str">
        <f t="shared" si="171"/>
        <v>January 2023</v>
      </c>
    </row>
    <row r="2698" spans="1:14" x14ac:dyDescent="0.25">
      <c r="A2698" s="1">
        <v>44955</v>
      </c>
      <c r="B2698" t="s">
        <v>2158</v>
      </c>
      <c r="C2698">
        <v>94</v>
      </c>
      <c r="D2698" t="s">
        <v>21</v>
      </c>
      <c r="E2698" t="s">
        <v>32</v>
      </c>
      <c r="F2698" t="s">
        <v>29</v>
      </c>
      <c r="G2698" t="s">
        <v>39</v>
      </c>
      <c r="H2698">
        <v>1244.8900000000001</v>
      </c>
      <c r="I2698" s="8" t="str" cm="1">
        <f t="array" ref="I2698">_xlfn.IFS(C2698&lt;=15,"Children and Young Adolescents", C2698&gt;64, "Seniors", TRUE, "Working Age")</f>
        <v>Seniors</v>
      </c>
      <c r="J2698" s="6">
        <f>VLOOKUP(F2698,Analysis!$F$1:$G$5,2,FALSE)</f>
        <v>2496.7676064256989</v>
      </c>
      <c r="K2698">
        <f t="shared" si="168"/>
        <v>1369.37</v>
      </c>
      <c r="L2698">
        <f t="shared" si="169"/>
        <v>1369.3799999999999</v>
      </c>
      <c r="M2698">
        <f t="shared" si="170"/>
        <v>1369.38</v>
      </c>
      <c r="N2698" s="5" t="str">
        <f t="shared" si="171"/>
        <v>January 2023</v>
      </c>
    </row>
    <row r="2699" spans="1:14" x14ac:dyDescent="0.25">
      <c r="A2699" s="1">
        <v>44955</v>
      </c>
      <c r="B2699" t="s">
        <v>3149</v>
      </c>
      <c r="C2699">
        <v>28</v>
      </c>
      <c r="D2699" t="s">
        <v>14</v>
      </c>
      <c r="E2699" t="s">
        <v>15</v>
      </c>
      <c r="F2699" t="s">
        <v>11</v>
      </c>
      <c r="G2699" t="s">
        <v>36</v>
      </c>
      <c r="H2699">
        <v>3484.11</v>
      </c>
      <c r="I2699" s="8" t="str" cm="1">
        <f t="array" ref="I2699">_xlfn.IFS(C2699&lt;=15,"Children and Young Adolescents", C2699&gt;64, "Seniors", TRUE, "Working Age")</f>
        <v>Working Age</v>
      </c>
      <c r="J2699" s="6">
        <f>VLOOKUP(F2699,Analysis!$F$1:$G$5,2,FALSE)</f>
        <v>2503.6022787783854</v>
      </c>
      <c r="K2699">
        <f t="shared" si="168"/>
        <v>3832.52</v>
      </c>
      <c r="L2699">
        <f t="shared" si="169"/>
        <v>3832.53</v>
      </c>
      <c r="M2699">
        <f t="shared" si="170"/>
        <v>3832.52</v>
      </c>
      <c r="N2699" s="5" t="str">
        <f t="shared" si="171"/>
        <v>January 2023</v>
      </c>
    </row>
    <row r="2700" spans="1:14" x14ac:dyDescent="0.25">
      <c r="A2700" s="1">
        <v>44955</v>
      </c>
      <c r="B2700" t="s">
        <v>3590</v>
      </c>
      <c r="C2700">
        <v>70</v>
      </c>
      <c r="D2700" t="s">
        <v>21</v>
      </c>
      <c r="E2700" t="s">
        <v>32</v>
      </c>
      <c r="F2700" t="s">
        <v>29</v>
      </c>
      <c r="G2700" t="s">
        <v>17</v>
      </c>
      <c r="H2700">
        <v>2278.33</v>
      </c>
      <c r="I2700" s="8" t="str" cm="1">
        <f t="array" ref="I2700">_xlfn.IFS(C2700&lt;=15,"Children and Young Adolescents", C2700&gt;64, "Seniors", TRUE, "Working Age")</f>
        <v>Seniors</v>
      </c>
      <c r="J2700" s="6">
        <f>VLOOKUP(F2700,Analysis!$F$1:$G$5,2,FALSE)</f>
        <v>2496.7676064256989</v>
      </c>
      <c r="K2700">
        <f t="shared" si="168"/>
        <v>2506.16</v>
      </c>
      <c r="L2700">
        <f t="shared" si="169"/>
        <v>2506.17</v>
      </c>
      <c r="M2700">
        <f t="shared" si="170"/>
        <v>2506.16</v>
      </c>
      <c r="N2700" s="5" t="str">
        <f t="shared" si="171"/>
        <v>January 2023</v>
      </c>
    </row>
    <row r="2701" spans="1:14" x14ac:dyDescent="0.25">
      <c r="A2701" s="1">
        <v>44956</v>
      </c>
      <c r="B2701" t="s">
        <v>3690</v>
      </c>
      <c r="C2701">
        <v>0</v>
      </c>
      <c r="D2701" t="s">
        <v>14</v>
      </c>
      <c r="E2701" t="s">
        <v>25</v>
      </c>
      <c r="F2701" t="s">
        <v>11</v>
      </c>
      <c r="G2701" t="s">
        <v>12</v>
      </c>
      <c r="H2701">
        <v>3807.25</v>
      </c>
      <c r="I2701" s="8" t="str" cm="1">
        <f t="array" ref="I2701">_xlfn.IFS(C2701&lt;=15,"Children and Young Adolescents", C2701&gt;64, "Seniors", TRUE, "Working Age")</f>
        <v>Children and Young Adolescents</v>
      </c>
      <c r="J2701" s="6">
        <f>VLOOKUP(F2701,Analysis!$F$1:$G$5,2,FALSE)</f>
        <v>2503.6022787783854</v>
      </c>
      <c r="K2701">
        <f t="shared" si="168"/>
        <v>4187.97</v>
      </c>
      <c r="L2701">
        <f t="shared" si="169"/>
        <v>4187.9800000000005</v>
      </c>
      <c r="M2701">
        <f t="shared" si="170"/>
        <v>4187.9799999999996</v>
      </c>
      <c r="N2701" s="5" t="str">
        <f t="shared" si="171"/>
        <v>January 2023</v>
      </c>
    </row>
    <row r="2702" spans="1:14" x14ac:dyDescent="0.25">
      <c r="A2702" s="1">
        <v>44956</v>
      </c>
      <c r="B2702" t="s">
        <v>1723</v>
      </c>
      <c r="C2702">
        <v>68</v>
      </c>
      <c r="D2702" t="s">
        <v>21</v>
      </c>
      <c r="E2702" t="s">
        <v>32</v>
      </c>
      <c r="F2702" t="s">
        <v>11</v>
      </c>
      <c r="G2702" t="s">
        <v>12</v>
      </c>
      <c r="H2702">
        <v>2282.88</v>
      </c>
      <c r="I2702" s="8" t="str" cm="1">
        <f t="array" ref="I2702">_xlfn.IFS(C2702&lt;=15,"Children and Young Adolescents", C2702&gt;64, "Seniors", TRUE, "Working Age")</f>
        <v>Seniors</v>
      </c>
      <c r="J2702" s="6">
        <f>VLOOKUP(F2702,Analysis!$F$1:$G$5,2,FALSE)</f>
        <v>2503.6022787783854</v>
      </c>
      <c r="K2702">
        <f t="shared" si="168"/>
        <v>2511.16</v>
      </c>
      <c r="L2702">
        <f t="shared" si="169"/>
        <v>2511.17</v>
      </c>
      <c r="M2702">
        <f t="shared" si="170"/>
        <v>2511.17</v>
      </c>
      <c r="N2702" s="5" t="str">
        <f t="shared" si="171"/>
        <v>January 2023</v>
      </c>
    </row>
    <row r="2703" spans="1:14" x14ac:dyDescent="0.25">
      <c r="A2703" s="1">
        <v>44956</v>
      </c>
      <c r="B2703" t="s">
        <v>2226</v>
      </c>
      <c r="C2703">
        <v>36</v>
      </c>
      <c r="D2703" t="s">
        <v>21</v>
      </c>
      <c r="E2703" t="s">
        <v>22</v>
      </c>
      <c r="F2703" t="s">
        <v>29</v>
      </c>
      <c r="G2703" t="s">
        <v>17</v>
      </c>
      <c r="H2703">
        <v>4025.23</v>
      </c>
      <c r="I2703" s="8" t="str" cm="1">
        <f t="array" ref="I2703">_xlfn.IFS(C2703&lt;=15,"Children and Young Adolescents", C2703&gt;64, "Seniors", TRUE, "Working Age")</f>
        <v>Working Age</v>
      </c>
      <c r="J2703" s="6">
        <f>VLOOKUP(F2703,Analysis!$F$1:$G$5,2,FALSE)</f>
        <v>2496.7676064256989</v>
      </c>
      <c r="K2703">
        <f t="shared" si="168"/>
        <v>4427.75</v>
      </c>
      <c r="L2703">
        <f t="shared" si="169"/>
        <v>4427.76</v>
      </c>
      <c r="M2703">
        <f t="shared" si="170"/>
        <v>4427.75</v>
      </c>
      <c r="N2703" s="5" t="str">
        <f t="shared" si="171"/>
        <v>January 2023</v>
      </c>
    </row>
    <row r="2704" spans="1:14" x14ac:dyDescent="0.25">
      <c r="A2704" s="1">
        <v>44957</v>
      </c>
      <c r="B2704" t="s">
        <v>2307</v>
      </c>
      <c r="C2704">
        <v>2</v>
      </c>
      <c r="D2704" t="s">
        <v>14</v>
      </c>
      <c r="E2704" t="s">
        <v>25</v>
      </c>
      <c r="F2704" t="s">
        <v>16</v>
      </c>
      <c r="G2704" t="s">
        <v>17</v>
      </c>
      <c r="H2704">
        <v>4867.9799999999996</v>
      </c>
      <c r="I2704" s="8" t="str" cm="1">
        <f t="array" ref="I2704">_xlfn.IFS(C2704&lt;=15,"Children and Young Adolescents", C2704&gt;64, "Seniors", TRUE, "Working Age")</f>
        <v>Children and Young Adolescents</v>
      </c>
      <c r="J2704" s="6">
        <f>VLOOKUP(F2704,Analysis!$F$1:$G$5,2,FALSE)</f>
        <v>2509.1716796874912</v>
      </c>
      <c r="K2704">
        <f t="shared" si="168"/>
        <v>5354.77</v>
      </c>
      <c r="L2704">
        <f t="shared" si="169"/>
        <v>5354.7800000000007</v>
      </c>
      <c r="M2704">
        <f t="shared" si="170"/>
        <v>5354.78</v>
      </c>
      <c r="N2704" s="5" t="str">
        <f t="shared" si="171"/>
        <v>January 2023</v>
      </c>
    </row>
    <row r="2705" spans="1:14" x14ac:dyDescent="0.25">
      <c r="A2705" s="1">
        <v>44957</v>
      </c>
      <c r="B2705" t="s">
        <v>2864</v>
      </c>
      <c r="C2705">
        <v>13</v>
      </c>
      <c r="D2705" t="s">
        <v>21</v>
      </c>
      <c r="E2705" t="s">
        <v>34</v>
      </c>
      <c r="F2705" t="s">
        <v>23</v>
      </c>
      <c r="G2705" t="s">
        <v>36</v>
      </c>
      <c r="H2705">
        <v>2410.63</v>
      </c>
      <c r="I2705" s="8" t="str" cm="1">
        <f t="array" ref="I2705">_xlfn.IFS(C2705&lt;=15,"Children and Young Adolescents", C2705&gt;64, "Seniors", TRUE, "Working Age")</f>
        <v>Children and Young Adolescents</v>
      </c>
      <c r="J2705" s="6">
        <f>VLOOKUP(F2705,Analysis!$F$1:$G$5,2,FALSE)</f>
        <v>2440.2966694490838</v>
      </c>
      <c r="K2705">
        <f t="shared" si="168"/>
        <v>2651.69</v>
      </c>
      <c r="L2705">
        <f t="shared" si="169"/>
        <v>2651.7000000000003</v>
      </c>
      <c r="M2705">
        <f t="shared" si="170"/>
        <v>2651.69</v>
      </c>
      <c r="N2705" s="5" t="str">
        <f t="shared" si="171"/>
        <v>January 2023</v>
      </c>
    </row>
    <row r="2706" spans="1:14" x14ac:dyDescent="0.25">
      <c r="A2706" s="1">
        <v>44957</v>
      </c>
      <c r="B2706" t="s">
        <v>4078</v>
      </c>
      <c r="C2706">
        <v>28</v>
      </c>
      <c r="D2706" t="s">
        <v>14</v>
      </c>
      <c r="E2706" t="s">
        <v>15</v>
      </c>
      <c r="F2706" t="s">
        <v>23</v>
      </c>
      <c r="G2706" t="s">
        <v>27</v>
      </c>
      <c r="H2706">
        <v>4714.54</v>
      </c>
      <c r="I2706" s="8" t="str" cm="1">
        <f t="array" ref="I2706">_xlfn.IFS(C2706&lt;=15,"Children and Young Adolescents", C2706&gt;64, "Seniors", TRUE, "Working Age")</f>
        <v>Working Age</v>
      </c>
      <c r="J2706" s="6">
        <f>VLOOKUP(F2706,Analysis!$F$1:$G$5,2,FALSE)</f>
        <v>2440.2966694490838</v>
      </c>
      <c r="K2706">
        <f t="shared" si="168"/>
        <v>5185.99</v>
      </c>
      <c r="L2706">
        <f t="shared" si="169"/>
        <v>5186</v>
      </c>
      <c r="M2706">
        <f t="shared" si="170"/>
        <v>5185.99</v>
      </c>
      <c r="N2706" s="5" t="str">
        <f t="shared" si="171"/>
        <v>January 2023</v>
      </c>
    </row>
    <row r="2707" spans="1:14" x14ac:dyDescent="0.25">
      <c r="A2707" s="1">
        <v>44957</v>
      </c>
      <c r="B2707" t="s">
        <v>3895</v>
      </c>
      <c r="C2707">
        <v>61</v>
      </c>
      <c r="D2707" t="s">
        <v>21</v>
      </c>
      <c r="E2707" t="s">
        <v>22</v>
      </c>
      <c r="F2707" t="s">
        <v>29</v>
      </c>
      <c r="G2707" t="s">
        <v>39</v>
      </c>
      <c r="H2707">
        <v>3817.02</v>
      </c>
      <c r="I2707" s="8" t="str" cm="1">
        <f t="array" ref="I2707">_xlfn.IFS(C2707&lt;=15,"Children and Young Adolescents", C2707&gt;64, "Seniors", TRUE, "Working Age")</f>
        <v>Working Age</v>
      </c>
      <c r="J2707" s="6">
        <f>VLOOKUP(F2707,Analysis!$F$1:$G$5,2,FALSE)</f>
        <v>2496.7676064256989</v>
      </c>
      <c r="K2707">
        <f t="shared" si="168"/>
        <v>4198.72</v>
      </c>
      <c r="L2707">
        <f t="shared" si="169"/>
        <v>4198.7300000000005</v>
      </c>
      <c r="M2707">
        <f t="shared" si="170"/>
        <v>4198.72</v>
      </c>
      <c r="N2707" s="5" t="str">
        <f t="shared" si="171"/>
        <v>January 2023</v>
      </c>
    </row>
    <row r="2708" spans="1:14" x14ac:dyDescent="0.25">
      <c r="A2708" s="1">
        <v>44957</v>
      </c>
      <c r="B2708" t="s">
        <v>3858</v>
      </c>
      <c r="C2708">
        <v>53</v>
      </c>
      <c r="D2708" t="s">
        <v>21</v>
      </c>
      <c r="E2708" t="s">
        <v>34</v>
      </c>
      <c r="F2708" t="s">
        <v>23</v>
      </c>
      <c r="G2708" t="s">
        <v>12</v>
      </c>
      <c r="H2708">
        <v>2311.83</v>
      </c>
      <c r="I2708" s="8" t="str" cm="1">
        <f t="array" ref="I2708">_xlfn.IFS(C2708&lt;=15,"Children and Young Adolescents", C2708&gt;64, "Seniors", TRUE, "Working Age")</f>
        <v>Working Age</v>
      </c>
      <c r="J2708" s="6">
        <f>VLOOKUP(F2708,Analysis!$F$1:$G$5,2,FALSE)</f>
        <v>2440.2966694490838</v>
      </c>
      <c r="K2708">
        <f t="shared" si="168"/>
        <v>2543.0100000000002</v>
      </c>
      <c r="L2708">
        <f t="shared" si="169"/>
        <v>2543.0200000000004</v>
      </c>
      <c r="M2708">
        <f t="shared" si="170"/>
        <v>2543.0100000000002</v>
      </c>
      <c r="N2708" s="5" t="str">
        <f t="shared" si="171"/>
        <v>January 2023</v>
      </c>
    </row>
    <row r="2709" spans="1:14" x14ac:dyDescent="0.25">
      <c r="A2709" s="1">
        <v>44957</v>
      </c>
      <c r="B2709" t="s">
        <v>2131</v>
      </c>
      <c r="C2709">
        <v>47</v>
      </c>
      <c r="D2709" t="s">
        <v>14</v>
      </c>
      <c r="E2709" t="s">
        <v>5032</v>
      </c>
      <c r="F2709" t="s">
        <v>23</v>
      </c>
      <c r="G2709" t="s">
        <v>12</v>
      </c>
      <c r="H2709">
        <v>2006.12</v>
      </c>
      <c r="I2709" s="8" t="str" cm="1">
        <f t="array" ref="I2709">_xlfn.IFS(C2709&lt;=15,"Children and Young Adolescents", C2709&gt;64, "Seniors", TRUE, "Working Age")</f>
        <v>Working Age</v>
      </c>
      <c r="J2709" s="6">
        <f>VLOOKUP(F2709,Analysis!$F$1:$G$5,2,FALSE)</f>
        <v>2440.2966694490838</v>
      </c>
      <c r="K2709">
        <f t="shared" si="168"/>
        <v>2206.73</v>
      </c>
      <c r="L2709">
        <f t="shared" si="169"/>
        <v>2206.7400000000002</v>
      </c>
      <c r="M2709">
        <f t="shared" si="170"/>
        <v>2206.73</v>
      </c>
      <c r="N2709" s="5" t="str">
        <f t="shared" si="171"/>
        <v>January 2023</v>
      </c>
    </row>
    <row r="2710" spans="1:14" x14ac:dyDescent="0.25">
      <c r="A2710" s="1">
        <v>44957</v>
      </c>
      <c r="B2710" t="s">
        <v>4634</v>
      </c>
      <c r="C2710">
        <v>47</v>
      </c>
      <c r="D2710" t="s">
        <v>14</v>
      </c>
      <c r="E2710" t="s">
        <v>32</v>
      </c>
      <c r="F2710" t="s">
        <v>11</v>
      </c>
      <c r="G2710" t="s">
        <v>17</v>
      </c>
      <c r="H2710">
        <v>2750.66</v>
      </c>
      <c r="I2710" s="8" t="str" cm="1">
        <f t="array" ref="I2710">_xlfn.IFS(C2710&lt;=15,"Children and Young Adolescents", C2710&gt;64, "Seniors", TRUE, "Working Age")</f>
        <v>Working Age</v>
      </c>
      <c r="J2710" s="6">
        <f>VLOOKUP(F2710,Analysis!$F$1:$G$5,2,FALSE)</f>
        <v>2503.6022787783854</v>
      </c>
      <c r="K2710">
        <f t="shared" si="168"/>
        <v>3025.72</v>
      </c>
      <c r="L2710">
        <f t="shared" si="169"/>
        <v>3025.73</v>
      </c>
      <c r="M2710">
        <f t="shared" si="170"/>
        <v>3025.73</v>
      </c>
      <c r="N2710" s="5" t="str">
        <f t="shared" si="171"/>
        <v>January 2023</v>
      </c>
    </row>
    <row r="2711" spans="1:14" x14ac:dyDescent="0.25">
      <c r="A2711" s="1">
        <v>44957</v>
      </c>
      <c r="B2711" t="s">
        <v>1133</v>
      </c>
      <c r="C2711">
        <v>84</v>
      </c>
      <c r="D2711" t="s">
        <v>21</v>
      </c>
      <c r="E2711" t="s">
        <v>19</v>
      </c>
      <c r="F2711" t="s">
        <v>23</v>
      </c>
      <c r="G2711" t="s">
        <v>39</v>
      </c>
      <c r="H2711">
        <v>1653.56</v>
      </c>
      <c r="I2711" s="8" t="str" cm="1">
        <f t="array" ref="I2711">_xlfn.IFS(C2711&lt;=15,"Children and Young Adolescents", C2711&gt;64, "Seniors", TRUE, "Working Age")</f>
        <v>Seniors</v>
      </c>
      <c r="J2711" s="6">
        <f>VLOOKUP(F2711,Analysis!$F$1:$G$5,2,FALSE)</f>
        <v>2440.2966694490838</v>
      </c>
      <c r="K2711">
        <f t="shared" si="168"/>
        <v>1818.91</v>
      </c>
      <c r="L2711">
        <f t="shared" si="169"/>
        <v>1818.92</v>
      </c>
      <c r="M2711">
        <f t="shared" si="170"/>
        <v>1818.92</v>
      </c>
      <c r="N2711" s="5" t="str">
        <f t="shared" si="171"/>
        <v>January 2023</v>
      </c>
    </row>
    <row r="2712" spans="1:14" x14ac:dyDescent="0.25">
      <c r="A2712" s="1">
        <v>44957</v>
      </c>
      <c r="B2712" t="s">
        <v>3593</v>
      </c>
      <c r="C2712">
        <v>62</v>
      </c>
      <c r="D2712" t="s">
        <v>14</v>
      </c>
      <c r="E2712" t="s">
        <v>5032</v>
      </c>
      <c r="F2712" t="s">
        <v>16</v>
      </c>
      <c r="G2712" t="s">
        <v>39</v>
      </c>
      <c r="H2712">
        <v>4302.8999999999996</v>
      </c>
      <c r="I2712" s="8" t="str" cm="1">
        <f t="array" ref="I2712">_xlfn.IFS(C2712&lt;=15,"Children and Young Adolescents", C2712&gt;64, "Seniors", TRUE, "Working Age")</f>
        <v>Working Age</v>
      </c>
      <c r="J2712" s="6">
        <f>VLOOKUP(F2712,Analysis!$F$1:$G$5,2,FALSE)</f>
        <v>2509.1716796874912</v>
      </c>
      <c r="K2712">
        <f t="shared" si="168"/>
        <v>4733.1899999999996</v>
      </c>
      <c r="L2712">
        <f t="shared" si="169"/>
        <v>4733.1899999999996</v>
      </c>
      <c r="M2712">
        <f t="shared" si="170"/>
        <v>4733.1899999999996</v>
      </c>
      <c r="N2712" s="5" t="str">
        <f t="shared" si="171"/>
        <v>January 2023</v>
      </c>
    </row>
    <row r="2713" spans="1:14" x14ac:dyDescent="0.25">
      <c r="A2713" s="1">
        <v>44957</v>
      </c>
      <c r="B2713" t="s">
        <v>2511</v>
      </c>
      <c r="C2713">
        <v>37</v>
      </c>
      <c r="D2713" t="s">
        <v>21</v>
      </c>
      <c r="E2713" t="s">
        <v>32</v>
      </c>
      <c r="F2713" t="s">
        <v>11</v>
      </c>
      <c r="G2713" t="s">
        <v>36</v>
      </c>
      <c r="H2713">
        <v>1957.36</v>
      </c>
      <c r="I2713" s="8" t="str" cm="1">
        <f t="array" ref="I2713">_xlfn.IFS(C2713&lt;=15,"Children and Young Adolescents", C2713&gt;64, "Seniors", TRUE, "Working Age")</f>
        <v>Working Age</v>
      </c>
      <c r="J2713" s="6">
        <f>VLOOKUP(F2713,Analysis!$F$1:$G$5,2,FALSE)</f>
        <v>2503.6022787783854</v>
      </c>
      <c r="K2713">
        <f t="shared" si="168"/>
        <v>2153.09</v>
      </c>
      <c r="L2713">
        <f t="shared" si="169"/>
        <v>2153.1000000000004</v>
      </c>
      <c r="M2713">
        <f t="shared" si="170"/>
        <v>2153.1</v>
      </c>
      <c r="N2713" s="5" t="str">
        <f t="shared" si="171"/>
        <v>January 2023</v>
      </c>
    </row>
    <row r="2714" spans="1:14" x14ac:dyDescent="0.25">
      <c r="A2714" s="1">
        <v>44957</v>
      </c>
      <c r="B2714" t="s">
        <v>4459</v>
      </c>
      <c r="C2714">
        <v>47</v>
      </c>
      <c r="D2714" t="s">
        <v>9</v>
      </c>
      <c r="E2714" t="s">
        <v>25</v>
      </c>
      <c r="F2714" t="s">
        <v>11</v>
      </c>
      <c r="G2714" t="s">
        <v>12</v>
      </c>
      <c r="H2714">
        <v>2971.4</v>
      </c>
      <c r="I2714" s="8" t="str" cm="1">
        <f t="array" ref="I2714">_xlfn.IFS(C2714&lt;=15,"Children and Young Adolescents", C2714&gt;64, "Seniors", TRUE, "Working Age")</f>
        <v>Working Age</v>
      </c>
      <c r="J2714" s="6">
        <f>VLOOKUP(F2714,Analysis!$F$1:$G$5,2,FALSE)</f>
        <v>2503.6022787783854</v>
      </c>
      <c r="K2714">
        <f t="shared" si="168"/>
        <v>3268.54</v>
      </c>
      <c r="L2714">
        <f t="shared" si="169"/>
        <v>3268.54</v>
      </c>
      <c r="M2714">
        <f t="shared" si="170"/>
        <v>3268.54</v>
      </c>
      <c r="N2714" s="5" t="str">
        <f t="shared" si="171"/>
        <v>January 2023</v>
      </c>
    </row>
    <row r="2715" spans="1:14" x14ac:dyDescent="0.25">
      <c r="A2715" s="1">
        <v>44957</v>
      </c>
      <c r="B2715" t="s">
        <v>1279</v>
      </c>
      <c r="C2715">
        <v>42</v>
      </c>
      <c r="D2715" t="s">
        <v>9</v>
      </c>
      <c r="E2715" t="s">
        <v>25</v>
      </c>
      <c r="F2715" t="s">
        <v>16</v>
      </c>
      <c r="G2715" t="s">
        <v>27</v>
      </c>
      <c r="H2715">
        <v>1367.77</v>
      </c>
      <c r="I2715" s="8" t="str" cm="1">
        <f t="array" ref="I2715">_xlfn.IFS(C2715&lt;=15,"Children and Young Adolescents", C2715&gt;64, "Seniors", TRUE, "Working Age")</f>
        <v>Working Age</v>
      </c>
      <c r="J2715" s="6">
        <f>VLOOKUP(F2715,Analysis!$F$1:$G$5,2,FALSE)</f>
        <v>2509.1716796874912</v>
      </c>
      <c r="K2715">
        <f t="shared" si="168"/>
        <v>1504.54</v>
      </c>
      <c r="L2715">
        <f t="shared" si="169"/>
        <v>1504.55</v>
      </c>
      <c r="M2715">
        <f t="shared" si="170"/>
        <v>1504.55</v>
      </c>
      <c r="N2715" s="5" t="str">
        <f t="shared" si="171"/>
        <v>January 2023</v>
      </c>
    </row>
    <row r="2716" spans="1:14" x14ac:dyDescent="0.25">
      <c r="A2716" s="1">
        <v>44958</v>
      </c>
      <c r="B2716" t="s">
        <v>4482</v>
      </c>
      <c r="C2716">
        <v>95</v>
      </c>
      <c r="D2716" t="s">
        <v>14</v>
      </c>
      <c r="E2716" t="s">
        <v>22</v>
      </c>
      <c r="F2716" t="s">
        <v>29</v>
      </c>
      <c r="G2716" t="s">
        <v>39</v>
      </c>
      <c r="H2716">
        <v>2573.34</v>
      </c>
      <c r="I2716" s="8" t="str" cm="1">
        <f t="array" ref="I2716">_xlfn.IFS(C2716&lt;=15,"Children and Young Adolescents", C2716&gt;64, "Seniors", TRUE, "Working Age")</f>
        <v>Seniors</v>
      </c>
      <c r="J2716" s="6">
        <f>VLOOKUP(F2716,Analysis!$F$1:$G$5,2,FALSE)</f>
        <v>2496.7676064256989</v>
      </c>
      <c r="K2716">
        <f t="shared" si="168"/>
        <v>2830.67</v>
      </c>
      <c r="L2716">
        <f t="shared" si="169"/>
        <v>2830.6800000000003</v>
      </c>
      <c r="M2716">
        <f t="shared" si="170"/>
        <v>2830.67</v>
      </c>
      <c r="N2716" s="5" t="str">
        <f t="shared" si="171"/>
        <v>February 2023</v>
      </c>
    </row>
    <row r="2717" spans="1:14" x14ac:dyDescent="0.25">
      <c r="A2717" s="1">
        <v>44958</v>
      </c>
      <c r="B2717" t="s">
        <v>2790</v>
      </c>
      <c r="C2717">
        <v>16</v>
      </c>
      <c r="D2717" t="s">
        <v>21</v>
      </c>
      <c r="E2717" t="s">
        <v>5032</v>
      </c>
      <c r="F2717" t="s">
        <v>11</v>
      </c>
      <c r="G2717" t="s">
        <v>36</v>
      </c>
      <c r="H2717">
        <v>1382.33</v>
      </c>
      <c r="I2717" s="8" t="str" cm="1">
        <f t="array" ref="I2717">_xlfn.IFS(C2717&lt;=15,"Children and Young Adolescents", C2717&gt;64, "Seniors", TRUE, "Working Age")</f>
        <v>Working Age</v>
      </c>
      <c r="J2717" s="6">
        <f>VLOOKUP(F2717,Analysis!$F$1:$G$5,2,FALSE)</f>
        <v>2503.6022787783854</v>
      </c>
      <c r="K2717">
        <f t="shared" si="168"/>
        <v>1520.56</v>
      </c>
      <c r="L2717">
        <f t="shared" si="169"/>
        <v>1520.57</v>
      </c>
      <c r="M2717">
        <f t="shared" si="170"/>
        <v>1520.56</v>
      </c>
      <c r="N2717" s="5" t="str">
        <f t="shared" si="171"/>
        <v>February 2023</v>
      </c>
    </row>
    <row r="2718" spans="1:14" x14ac:dyDescent="0.25">
      <c r="A2718" s="1">
        <v>44958</v>
      </c>
      <c r="B2718" t="s">
        <v>1918</v>
      </c>
      <c r="C2718">
        <v>25</v>
      </c>
      <c r="D2718" t="s">
        <v>9</v>
      </c>
      <c r="E2718" t="s">
        <v>25</v>
      </c>
      <c r="F2718" t="s">
        <v>23</v>
      </c>
      <c r="G2718" t="s">
        <v>27</v>
      </c>
      <c r="H2718">
        <v>1952.65</v>
      </c>
      <c r="I2718" s="8" t="str" cm="1">
        <f t="array" ref="I2718">_xlfn.IFS(C2718&lt;=15,"Children and Young Adolescents", C2718&gt;64, "Seniors", TRUE, "Working Age")</f>
        <v>Working Age</v>
      </c>
      <c r="J2718" s="6">
        <f>VLOOKUP(F2718,Analysis!$F$1:$G$5,2,FALSE)</f>
        <v>2440.2966694490838</v>
      </c>
      <c r="K2718">
        <f t="shared" si="168"/>
        <v>2147.91</v>
      </c>
      <c r="L2718">
        <f t="shared" si="169"/>
        <v>2147.92</v>
      </c>
      <c r="M2718">
        <f t="shared" si="170"/>
        <v>2147.92</v>
      </c>
      <c r="N2718" s="5" t="str">
        <f t="shared" si="171"/>
        <v>February 2023</v>
      </c>
    </row>
    <row r="2719" spans="1:14" x14ac:dyDescent="0.25">
      <c r="A2719" s="1">
        <v>44958</v>
      </c>
      <c r="B2719" t="s">
        <v>1754</v>
      </c>
      <c r="C2719">
        <v>55</v>
      </c>
      <c r="D2719" t="s">
        <v>14</v>
      </c>
      <c r="E2719" t="s">
        <v>25</v>
      </c>
      <c r="F2719" t="s">
        <v>23</v>
      </c>
      <c r="G2719" t="s">
        <v>27</v>
      </c>
      <c r="H2719">
        <v>2963.58</v>
      </c>
      <c r="I2719" s="8" t="str" cm="1">
        <f t="array" ref="I2719">_xlfn.IFS(C2719&lt;=15,"Children and Young Adolescents", C2719&gt;64, "Seniors", TRUE, "Working Age")</f>
        <v>Working Age</v>
      </c>
      <c r="J2719" s="6">
        <f>VLOOKUP(F2719,Analysis!$F$1:$G$5,2,FALSE)</f>
        <v>2440.2966694490838</v>
      </c>
      <c r="K2719">
        <f t="shared" si="168"/>
        <v>3259.93</v>
      </c>
      <c r="L2719">
        <f t="shared" si="169"/>
        <v>3259.94</v>
      </c>
      <c r="M2719">
        <f t="shared" si="170"/>
        <v>3259.94</v>
      </c>
      <c r="N2719" s="5" t="str">
        <f t="shared" si="171"/>
        <v>February 2023</v>
      </c>
    </row>
    <row r="2720" spans="1:14" x14ac:dyDescent="0.25">
      <c r="A2720" s="1">
        <v>44958</v>
      </c>
      <c r="B2720" t="s">
        <v>1002</v>
      </c>
      <c r="C2720">
        <v>15</v>
      </c>
      <c r="D2720" t="s">
        <v>14</v>
      </c>
      <c r="E2720" t="s">
        <v>32</v>
      </c>
      <c r="F2720" t="s">
        <v>29</v>
      </c>
      <c r="G2720" t="s">
        <v>17</v>
      </c>
      <c r="H2720">
        <v>4121.82</v>
      </c>
      <c r="I2720" s="8" t="str" cm="1">
        <f t="array" ref="I2720">_xlfn.IFS(C2720&lt;=15,"Children and Young Adolescents", C2720&gt;64, "Seniors", TRUE, "Working Age")</f>
        <v>Children and Young Adolescents</v>
      </c>
      <c r="J2720" s="6">
        <f>VLOOKUP(F2720,Analysis!$F$1:$G$5,2,FALSE)</f>
        <v>2496.7676064256989</v>
      </c>
      <c r="K2720">
        <f t="shared" si="168"/>
        <v>4534</v>
      </c>
      <c r="L2720">
        <f t="shared" si="169"/>
        <v>4534.01</v>
      </c>
      <c r="M2720">
        <f t="shared" si="170"/>
        <v>4534</v>
      </c>
      <c r="N2720" s="5" t="str">
        <f t="shared" si="171"/>
        <v>February 2023</v>
      </c>
    </row>
    <row r="2721" spans="1:14" x14ac:dyDescent="0.25">
      <c r="A2721" s="1">
        <v>44958</v>
      </c>
      <c r="B2721" t="s">
        <v>2178</v>
      </c>
      <c r="C2721">
        <v>3</v>
      </c>
      <c r="D2721" t="s">
        <v>9</v>
      </c>
      <c r="E2721" t="s">
        <v>15</v>
      </c>
      <c r="F2721" t="s">
        <v>23</v>
      </c>
      <c r="G2721" t="s">
        <v>39</v>
      </c>
      <c r="H2721">
        <v>625.99</v>
      </c>
      <c r="I2721" s="8" t="str" cm="1">
        <f t="array" ref="I2721">_xlfn.IFS(C2721&lt;=15,"Children and Young Adolescents", C2721&gt;64, "Seniors", TRUE, "Working Age")</f>
        <v>Children and Young Adolescents</v>
      </c>
      <c r="J2721" s="6">
        <f>VLOOKUP(F2721,Analysis!$F$1:$G$5,2,FALSE)</f>
        <v>2440.2966694490838</v>
      </c>
      <c r="K2721">
        <f t="shared" si="168"/>
        <v>688.58</v>
      </c>
      <c r="L2721">
        <f t="shared" si="169"/>
        <v>688.59</v>
      </c>
      <c r="M2721">
        <f t="shared" si="170"/>
        <v>688.59</v>
      </c>
      <c r="N2721" s="5" t="str">
        <f t="shared" si="171"/>
        <v>February 2023</v>
      </c>
    </row>
    <row r="2722" spans="1:14" x14ac:dyDescent="0.25">
      <c r="A2722" s="1">
        <v>44958</v>
      </c>
      <c r="B2722" t="s">
        <v>1515</v>
      </c>
      <c r="C2722">
        <v>65</v>
      </c>
      <c r="D2722" t="s">
        <v>14</v>
      </c>
      <c r="E2722" t="s">
        <v>15</v>
      </c>
      <c r="F2722" t="s">
        <v>11</v>
      </c>
      <c r="G2722" t="s">
        <v>39</v>
      </c>
      <c r="H2722">
        <v>3528.37</v>
      </c>
      <c r="I2722" s="8" t="str" cm="1">
        <f t="array" ref="I2722">_xlfn.IFS(C2722&lt;=15,"Children and Young Adolescents", C2722&gt;64, "Seniors", TRUE, "Working Age")</f>
        <v>Seniors</v>
      </c>
      <c r="J2722" s="6">
        <f>VLOOKUP(F2722,Analysis!$F$1:$G$5,2,FALSE)</f>
        <v>2503.6022787783854</v>
      </c>
      <c r="K2722">
        <f t="shared" si="168"/>
        <v>3881.2</v>
      </c>
      <c r="L2722">
        <f t="shared" si="169"/>
        <v>3881.21</v>
      </c>
      <c r="M2722">
        <f t="shared" si="170"/>
        <v>3881.21</v>
      </c>
      <c r="N2722" s="5" t="str">
        <f t="shared" si="171"/>
        <v>February 2023</v>
      </c>
    </row>
    <row r="2723" spans="1:14" x14ac:dyDescent="0.25">
      <c r="A2723" s="1">
        <v>44959</v>
      </c>
      <c r="B2723" t="s">
        <v>1110</v>
      </c>
      <c r="C2723">
        <v>79</v>
      </c>
      <c r="D2723" t="s">
        <v>21</v>
      </c>
      <c r="E2723" t="s">
        <v>15</v>
      </c>
      <c r="F2723" t="s">
        <v>11</v>
      </c>
      <c r="G2723" t="s">
        <v>39</v>
      </c>
      <c r="H2723">
        <v>4671.4399999999996</v>
      </c>
      <c r="I2723" s="8" t="str" cm="1">
        <f t="array" ref="I2723">_xlfn.IFS(C2723&lt;=15,"Children and Young Adolescents", C2723&gt;64, "Seniors", TRUE, "Working Age")</f>
        <v>Seniors</v>
      </c>
      <c r="J2723" s="6">
        <f>VLOOKUP(F2723,Analysis!$F$1:$G$5,2,FALSE)</f>
        <v>2503.6022787783854</v>
      </c>
      <c r="K2723">
        <f t="shared" si="168"/>
        <v>5138.58</v>
      </c>
      <c r="L2723">
        <f t="shared" si="169"/>
        <v>5138.59</v>
      </c>
      <c r="M2723">
        <f t="shared" si="170"/>
        <v>5138.58</v>
      </c>
      <c r="N2723" s="5" t="str">
        <f t="shared" si="171"/>
        <v>February 2023</v>
      </c>
    </row>
    <row r="2724" spans="1:14" x14ac:dyDescent="0.25">
      <c r="A2724" s="1">
        <v>44959</v>
      </c>
      <c r="B2724" t="s">
        <v>1159</v>
      </c>
      <c r="C2724">
        <v>30</v>
      </c>
      <c r="D2724" t="s">
        <v>9</v>
      </c>
      <c r="E2724" t="s">
        <v>19</v>
      </c>
      <c r="F2724" t="s">
        <v>16</v>
      </c>
      <c r="G2724" t="s">
        <v>27</v>
      </c>
      <c r="H2724">
        <v>4406.87</v>
      </c>
      <c r="I2724" s="8" t="str" cm="1">
        <f t="array" ref="I2724">_xlfn.IFS(C2724&lt;=15,"Children and Young Adolescents", C2724&gt;64, "Seniors", TRUE, "Working Age")</f>
        <v>Working Age</v>
      </c>
      <c r="J2724" s="6">
        <f>VLOOKUP(F2724,Analysis!$F$1:$G$5,2,FALSE)</f>
        <v>2509.1716796874912</v>
      </c>
      <c r="K2724">
        <f t="shared" si="168"/>
        <v>4847.55</v>
      </c>
      <c r="L2724">
        <f t="shared" si="169"/>
        <v>4847.5600000000004</v>
      </c>
      <c r="M2724">
        <f t="shared" si="170"/>
        <v>4847.5600000000004</v>
      </c>
      <c r="N2724" s="5" t="str">
        <f t="shared" si="171"/>
        <v>February 2023</v>
      </c>
    </row>
    <row r="2725" spans="1:14" x14ac:dyDescent="0.25">
      <c r="A2725" s="1">
        <v>44959</v>
      </c>
      <c r="B2725" t="s">
        <v>231</v>
      </c>
      <c r="C2725">
        <v>36</v>
      </c>
      <c r="D2725" t="s">
        <v>21</v>
      </c>
      <c r="E2725" t="s">
        <v>22</v>
      </c>
      <c r="F2725" t="s">
        <v>11</v>
      </c>
      <c r="G2725" t="s">
        <v>39</v>
      </c>
      <c r="H2725">
        <v>2341.9</v>
      </c>
      <c r="I2725" s="8" t="str" cm="1">
        <f t="array" ref="I2725">_xlfn.IFS(C2725&lt;=15,"Children and Young Adolescents", C2725&gt;64, "Seniors", TRUE, "Working Age")</f>
        <v>Working Age</v>
      </c>
      <c r="J2725" s="6">
        <f>VLOOKUP(F2725,Analysis!$F$1:$G$5,2,FALSE)</f>
        <v>2503.6022787783854</v>
      </c>
      <c r="K2725">
        <f t="shared" si="168"/>
        <v>2576.09</v>
      </c>
      <c r="L2725">
        <f t="shared" si="169"/>
        <v>2576.09</v>
      </c>
      <c r="M2725">
        <f t="shared" si="170"/>
        <v>2576.09</v>
      </c>
      <c r="N2725" s="5" t="str">
        <f t="shared" si="171"/>
        <v>February 2023</v>
      </c>
    </row>
    <row r="2726" spans="1:14" x14ac:dyDescent="0.25">
      <c r="A2726" s="1">
        <v>44959</v>
      </c>
      <c r="B2726" t="s">
        <v>2767</v>
      </c>
      <c r="C2726">
        <v>87</v>
      </c>
      <c r="D2726" t="s">
        <v>14</v>
      </c>
      <c r="E2726" t="s">
        <v>22</v>
      </c>
      <c r="F2726" t="s">
        <v>29</v>
      </c>
      <c r="G2726" t="s">
        <v>12</v>
      </c>
      <c r="H2726">
        <v>1000.63</v>
      </c>
      <c r="I2726" s="8" t="str" cm="1">
        <f t="array" ref="I2726">_xlfn.IFS(C2726&lt;=15,"Children and Young Adolescents", C2726&gt;64, "Seniors", TRUE, "Working Age")</f>
        <v>Seniors</v>
      </c>
      <c r="J2726" s="6">
        <f>VLOOKUP(F2726,Analysis!$F$1:$G$5,2,FALSE)</f>
        <v>2496.7676064256989</v>
      </c>
      <c r="K2726">
        <f t="shared" si="168"/>
        <v>1100.69</v>
      </c>
      <c r="L2726">
        <f t="shared" si="169"/>
        <v>1100.7</v>
      </c>
      <c r="M2726">
        <f t="shared" si="170"/>
        <v>1100.69</v>
      </c>
      <c r="N2726" s="5" t="str">
        <f t="shared" si="171"/>
        <v>February 2023</v>
      </c>
    </row>
    <row r="2727" spans="1:14" x14ac:dyDescent="0.25">
      <c r="A2727" s="1">
        <v>44959</v>
      </c>
      <c r="B2727" t="s">
        <v>964</v>
      </c>
      <c r="C2727">
        <v>40</v>
      </c>
      <c r="D2727" t="s">
        <v>9</v>
      </c>
      <c r="E2727" t="s">
        <v>10</v>
      </c>
      <c r="F2727" t="s">
        <v>11</v>
      </c>
      <c r="G2727" t="s">
        <v>39</v>
      </c>
      <c r="H2727">
        <v>4431.4399999999996</v>
      </c>
      <c r="I2727" s="8" t="str" cm="1">
        <f t="array" ref="I2727">_xlfn.IFS(C2727&lt;=15,"Children and Young Adolescents", C2727&gt;64, "Seniors", TRUE, "Working Age")</f>
        <v>Working Age</v>
      </c>
      <c r="J2727" s="6">
        <f>VLOOKUP(F2727,Analysis!$F$1:$G$5,2,FALSE)</f>
        <v>2503.6022787783854</v>
      </c>
      <c r="K2727">
        <f t="shared" si="168"/>
        <v>4874.58</v>
      </c>
      <c r="L2727">
        <f t="shared" si="169"/>
        <v>4874.59</v>
      </c>
      <c r="M2727">
        <f t="shared" si="170"/>
        <v>4874.58</v>
      </c>
      <c r="N2727" s="5" t="str">
        <f t="shared" si="171"/>
        <v>February 2023</v>
      </c>
    </row>
    <row r="2728" spans="1:14" x14ac:dyDescent="0.25">
      <c r="A2728" s="1">
        <v>44959</v>
      </c>
      <c r="B2728" t="s">
        <v>2892</v>
      </c>
      <c r="C2728">
        <v>69</v>
      </c>
      <c r="D2728" t="s">
        <v>9</v>
      </c>
      <c r="E2728" t="s">
        <v>10</v>
      </c>
      <c r="F2728" t="s">
        <v>23</v>
      </c>
      <c r="G2728" t="s">
        <v>27</v>
      </c>
      <c r="H2728">
        <v>798.35</v>
      </c>
      <c r="I2728" s="8" t="str" cm="1">
        <f t="array" ref="I2728">_xlfn.IFS(C2728&lt;=15,"Children and Young Adolescents", C2728&gt;64, "Seniors", TRUE, "Working Age")</f>
        <v>Seniors</v>
      </c>
      <c r="J2728" s="6">
        <f>VLOOKUP(F2728,Analysis!$F$1:$G$5,2,FALSE)</f>
        <v>2440.2966694490838</v>
      </c>
      <c r="K2728">
        <f t="shared" si="168"/>
        <v>878.18</v>
      </c>
      <c r="L2728">
        <f t="shared" si="169"/>
        <v>878.18999999999994</v>
      </c>
      <c r="M2728">
        <f t="shared" si="170"/>
        <v>878.19</v>
      </c>
      <c r="N2728" s="5" t="str">
        <f t="shared" si="171"/>
        <v>February 2023</v>
      </c>
    </row>
    <row r="2729" spans="1:14" x14ac:dyDescent="0.25">
      <c r="A2729" s="1">
        <v>44960</v>
      </c>
      <c r="B2729" t="s">
        <v>3880</v>
      </c>
      <c r="C2729">
        <v>64</v>
      </c>
      <c r="D2729" t="s">
        <v>21</v>
      </c>
      <c r="E2729" t="s">
        <v>34</v>
      </c>
      <c r="F2729" t="s">
        <v>16</v>
      </c>
      <c r="G2729" t="s">
        <v>27</v>
      </c>
      <c r="H2729">
        <v>564.4</v>
      </c>
      <c r="I2729" s="8" t="str" cm="1">
        <f t="array" ref="I2729">_xlfn.IFS(C2729&lt;=15,"Children and Young Adolescents", C2729&gt;64, "Seniors", TRUE, "Working Age")</f>
        <v>Working Age</v>
      </c>
      <c r="J2729" s="6">
        <f>VLOOKUP(F2729,Analysis!$F$1:$G$5,2,FALSE)</f>
        <v>2509.1716796874912</v>
      </c>
      <c r="K2729">
        <f t="shared" si="168"/>
        <v>620.84</v>
      </c>
      <c r="L2729">
        <f t="shared" si="169"/>
        <v>620.84</v>
      </c>
      <c r="M2729">
        <f t="shared" si="170"/>
        <v>620.84</v>
      </c>
      <c r="N2729" s="5" t="str">
        <f t="shared" si="171"/>
        <v>February 2023</v>
      </c>
    </row>
    <row r="2730" spans="1:14" x14ac:dyDescent="0.25">
      <c r="A2730" s="1">
        <v>44960</v>
      </c>
      <c r="B2730" t="s">
        <v>2254</v>
      </c>
      <c r="C2730">
        <v>25</v>
      </c>
      <c r="D2730" t="s">
        <v>9</v>
      </c>
      <c r="E2730" t="s">
        <v>22</v>
      </c>
      <c r="F2730" t="s">
        <v>23</v>
      </c>
      <c r="G2730" t="s">
        <v>39</v>
      </c>
      <c r="H2730">
        <v>1912.22</v>
      </c>
      <c r="I2730" s="8" t="str" cm="1">
        <f t="array" ref="I2730">_xlfn.IFS(C2730&lt;=15,"Children and Young Adolescents", C2730&gt;64, "Seniors", TRUE, "Working Age")</f>
        <v>Working Age</v>
      </c>
      <c r="J2730" s="6">
        <f>VLOOKUP(F2730,Analysis!$F$1:$G$5,2,FALSE)</f>
        <v>2440.2966694490838</v>
      </c>
      <c r="K2730">
        <f t="shared" si="168"/>
        <v>2103.44</v>
      </c>
      <c r="L2730">
        <f t="shared" si="169"/>
        <v>2103.4500000000003</v>
      </c>
      <c r="M2730">
        <f t="shared" si="170"/>
        <v>2103.44</v>
      </c>
      <c r="N2730" s="5" t="str">
        <f t="shared" si="171"/>
        <v>February 2023</v>
      </c>
    </row>
    <row r="2731" spans="1:14" x14ac:dyDescent="0.25">
      <c r="A2731" s="1">
        <v>44960</v>
      </c>
      <c r="B2731" t="s">
        <v>1632</v>
      </c>
      <c r="C2731">
        <v>85</v>
      </c>
      <c r="D2731" t="s">
        <v>21</v>
      </c>
      <c r="E2731" t="s">
        <v>19</v>
      </c>
      <c r="F2731" t="s">
        <v>29</v>
      </c>
      <c r="G2731" t="s">
        <v>27</v>
      </c>
      <c r="H2731">
        <v>3561.95</v>
      </c>
      <c r="I2731" s="8" t="str" cm="1">
        <f t="array" ref="I2731">_xlfn.IFS(C2731&lt;=15,"Children and Young Adolescents", C2731&gt;64, "Seniors", TRUE, "Working Age")</f>
        <v>Seniors</v>
      </c>
      <c r="J2731" s="6">
        <f>VLOOKUP(F2731,Analysis!$F$1:$G$5,2,FALSE)</f>
        <v>2496.7676064256989</v>
      </c>
      <c r="K2731">
        <f t="shared" si="168"/>
        <v>3918.14</v>
      </c>
      <c r="L2731">
        <f t="shared" si="169"/>
        <v>3918.15</v>
      </c>
      <c r="M2731">
        <f t="shared" si="170"/>
        <v>3918.15</v>
      </c>
      <c r="N2731" s="5" t="str">
        <f t="shared" si="171"/>
        <v>February 2023</v>
      </c>
    </row>
    <row r="2732" spans="1:14" x14ac:dyDescent="0.25">
      <c r="A2732" s="1">
        <v>44960</v>
      </c>
      <c r="B2732" t="s">
        <v>802</v>
      </c>
      <c r="C2732">
        <v>34</v>
      </c>
      <c r="D2732" t="s">
        <v>14</v>
      </c>
      <c r="E2732" t="s">
        <v>19</v>
      </c>
      <c r="F2732" t="s">
        <v>16</v>
      </c>
      <c r="G2732" t="s">
        <v>27</v>
      </c>
      <c r="H2732">
        <v>4744.8100000000004</v>
      </c>
      <c r="I2732" s="8" t="str" cm="1">
        <f t="array" ref="I2732">_xlfn.IFS(C2732&lt;=15,"Children and Young Adolescents", C2732&gt;64, "Seniors", TRUE, "Working Age")</f>
        <v>Working Age</v>
      </c>
      <c r="J2732" s="6">
        <f>VLOOKUP(F2732,Analysis!$F$1:$G$5,2,FALSE)</f>
        <v>2509.1716796874912</v>
      </c>
      <c r="K2732">
        <f t="shared" si="168"/>
        <v>5219.29</v>
      </c>
      <c r="L2732">
        <f t="shared" si="169"/>
        <v>5219.3</v>
      </c>
      <c r="M2732">
        <f t="shared" si="170"/>
        <v>5219.29</v>
      </c>
      <c r="N2732" s="5" t="str">
        <f t="shared" si="171"/>
        <v>February 2023</v>
      </c>
    </row>
    <row r="2733" spans="1:14" x14ac:dyDescent="0.25">
      <c r="A2733" s="1">
        <v>44960</v>
      </c>
      <c r="B2733" t="s">
        <v>2678</v>
      </c>
      <c r="C2733">
        <v>84</v>
      </c>
      <c r="D2733" t="s">
        <v>9</v>
      </c>
      <c r="E2733" t="s">
        <v>34</v>
      </c>
      <c r="F2733" t="s">
        <v>16</v>
      </c>
      <c r="G2733" t="s">
        <v>39</v>
      </c>
      <c r="H2733">
        <v>4718.8500000000004</v>
      </c>
      <c r="I2733" s="8" t="str" cm="1">
        <f t="array" ref="I2733">_xlfn.IFS(C2733&lt;=15,"Children and Young Adolescents", C2733&gt;64, "Seniors", TRUE, "Working Age")</f>
        <v>Seniors</v>
      </c>
      <c r="J2733" s="6">
        <f>VLOOKUP(F2733,Analysis!$F$1:$G$5,2,FALSE)</f>
        <v>2509.1716796874912</v>
      </c>
      <c r="K2733">
        <f t="shared" si="168"/>
        <v>5190.7299999999996</v>
      </c>
      <c r="L2733">
        <f t="shared" si="169"/>
        <v>5190.74</v>
      </c>
      <c r="M2733">
        <f t="shared" si="170"/>
        <v>5190.74</v>
      </c>
      <c r="N2733" s="5" t="str">
        <f t="shared" si="171"/>
        <v>February 2023</v>
      </c>
    </row>
    <row r="2734" spans="1:14" x14ac:dyDescent="0.25">
      <c r="A2734" s="1">
        <v>44960</v>
      </c>
      <c r="B2734" t="s">
        <v>1033</v>
      </c>
      <c r="C2734">
        <v>42</v>
      </c>
      <c r="D2734" t="s">
        <v>21</v>
      </c>
      <c r="E2734" t="s">
        <v>5032</v>
      </c>
      <c r="F2734" t="s">
        <v>23</v>
      </c>
      <c r="G2734" t="s">
        <v>27</v>
      </c>
      <c r="H2734">
        <v>1358.08</v>
      </c>
      <c r="I2734" s="8" t="str" cm="1">
        <f t="array" ref="I2734">_xlfn.IFS(C2734&lt;=15,"Children and Young Adolescents", C2734&gt;64, "Seniors", TRUE, "Working Age")</f>
        <v>Working Age</v>
      </c>
      <c r="J2734" s="6">
        <f>VLOOKUP(F2734,Analysis!$F$1:$G$5,2,FALSE)</f>
        <v>2440.2966694490838</v>
      </c>
      <c r="K2734">
        <f t="shared" si="168"/>
        <v>1493.88</v>
      </c>
      <c r="L2734">
        <f t="shared" si="169"/>
        <v>1493.89</v>
      </c>
      <c r="M2734">
        <f t="shared" si="170"/>
        <v>1493.89</v>
      </c>
      <c r="N2734" s="5" t="str">
        <f t="shared" si="171"/>
        <v>February 2023</v>
      </c>
    </row>
    <row r="2735" spans="1:14" x14ac:dyDescent="0.25">
      <c r="A2735" s="1">
        <v>44960</v>
      </c>
      <c r="B2735" t="s">
        <v>1175</v>
      </c>
      <c r="C2735">
        <v>56</v>
      </c>
      <c r="D2735" t="s">
        <v>9</v>
      </c>
      <c r="E2735" t="s">
        <v>22</v>
      </c>
      <c r="F2735" t="s">
        <v>16</v>
      </c>
      <c r="G2735" t="s">
        <v>39</v>
      </c>
      <c r="H2735">
        <v>2573.58</v>
      </c>
      <c r="I2735" s="8" t="str" cm="1">
        <f t="array" ref="I2735">_xlfn.IFS(C2735&lt;=15,"Children and Young Adolescents", C2735&gt;64, "Seniors", TRUE, "Working Age")</f>
        <v>Working Age</v>
      </c>
      <c r="J2735" s="6">
        <f>VLOOKUP(F2735,Analysis!$F$1:$G$5,2,FALSE)</f>
        <v>2509.1716796874912</v>
      </c>
      <c r="K2735">
        <f t="shared" si="168"/>
        <v>2830.93</v>
      </c>
      <c r="L2735">
        <f t="shared" si="169"/>
        <v>2830.94</v>
      </c>
      <c r="M2735">
        <f t="shared" si="170"/>
        <v>2830.94</v>
      </c>
      <c r="N2735" s="5" t="str">
        <f t="shared" si="171"/>
        <v>February 2023</v>
      </c>
    </row>
    <row r="2736" spans="1:14" x14ac:dyDescent="0.25">
      <c r="A2736" s="1">
        <v>44960</v>
      </c>
      <c r="B2736" t="s">
        <v>3537</v>
      </c>
      <c r="C2736">
        <v>91</v>
      </c>
      <c r="D2736" t="s">
        <v>21</v>
      </c>
      <c r="E2736" t="s">
        <v>19</v>
      </c>
      <c r="F2736" t="s">
        <v>29</v>
      </c>
      <c r="G2736" t="s">
        <v>27</v>
      </c>
      <c r="H2736">
        <v>1044.3</v>
      </c>
      <c r="I2736" s="8" t="str" cm="1">
        <f t="array" ref="I2736">_xlfn.IFS(C2736&lt;=15,"Children and Young Adolescents", C2736&gt;64, "Seniors", TRUE, "Working Age")</f>
        <v>Seniors</v>
      </c>
      <c r="J2736" s="6">
        <f>VLOOKUP(F2736,Analysis!$F$1:$G$5,2,FALSE)</f>
        <v>2496.7676064256989</v>
      </c>
      <c r="K2736">
        <f t="shared" si="168"/>
        <v>1148.73</v>
      </c>
      <c r="L2736">
        <f t="shared" si="169"/>
        <v>1148.73</v>
      </c>
      <c r="M2736">
        <f t="shared" si="170"/>
        <v>1148.73</v>
      </c>
      <c r="N2736" s="5" t="str">
        <f t="shared" si="171"/>
        <v>February 2023</v>
      </c>
    </row>
    <row r="2737" spans="1:14" x14ac:dyDescent="0.25">
      <c r="A2737" s="1">
        <v>44961</v>
      </c>
      <c r="B2737" t="s">
        <v>248</v>
      </c>
      <c r="C2737">
        <v>34</v>
      </c>
      <c r="D2737" t="s">
        <v>14</v>
      </c>
      <c r="E2737" t="s">
        <v>34</v>
      </c>
      <c r="F2737" t="s">
        <v>16</v>
      </c>
      <c r="G2737" t="s">
        <v>36</v>
      </c>
      <c r="H2737">
        <v>1208.8399999999999</v>
      </c>
      <c r="I2737" s="8" t="str" cm="1">
        <f t="array" ref="I2737">_xlfn.IFS(C2737&lt;=15,"Children and Young Adolescents", C2737&gt;64, "Seniors", TRUE, "Working Age")</f>
        <v>Working Age</v>
      </c>
      <c r="J2737" s="6">
        <f>VLOOKUP(F2737,Analysis!$F$1:$G$5,2,FALSE)</f>
        <v>2509.1716796874912</v>
      </c>
      <c r="K2737">
        <f t="shared" si="168"/>
        <v>1329.72</v>
      </c>
      <c r="L2737">
        <f t="shared" si="169"/>
        <v>1329.73</v>
      </c>
      <c r="M2737">
        <f t="shared" si="170"/>
        <v>1329.72</v>
      </c>
      <c r="N2737" s="5" t="str">
        <f t="shared" si="171"/>
        <v>February 2023</v>
      </c>
    </row>
    <row r="2738" spans="1:14" x14ac:dyDescent="0.25">
      <c r="A2738" s="1">
        <v>44961</v>
      </c>
      <c r="B2738" t="s">
        <v>3006</v>
      </c>
      <c r="C2738">
        <v>23</v>
      </c>
      <c r="D2738" t="s">
        <v>9</v>
      </c>
      <c r="E2738" t="s">
        <v>34</v>
      </c>
      <c r="F2738" t="s">
        <v>16</v>
      </c>
      <c r="G2738" t="s">
        <v>27</v>
      </c>
      <c r="H2738">
        <v>3078.16</v>
      </c>
      <c r="I2738" s="8" t="str" cm="1">
        <f t="array" ref="I2738">_xlfn.IFS(C2738&lt;=15,"Children and Young Adolescents", C2738&gt;64, "Seniors", TRUE, "Working Age")</f>
        <v>Working Age</v>
      </c>
      <c r="J2738" s="6">
        <f>VLOOKUP(F2738,Analysis!$F$1:$G$5,2,FALSE)</f>
        <v>2509.1716796874912</v>
      </c>
      <c r="K2738">
        <f t="shared" si="168"/>
        <v>3385.97</v>
      </c>
      <c r="L2738">
        <f t="shared" si="169"/>
        <v>3385.98</v>
      </c>
      <c r="M2738">
        <f t="shared" si="170"/>
        <v>3385.98</v>
      </c>
      <c r="N2738" s="5" t="str">
        <f t="shared" si="171"/>
        <v>February 2023</v>
      </c>
    </row>
    <row r="2739" spans="1:14" x14ac:dyDescent="0.25">
      <c r="A2739" s="1">
        <v>44961</v>
      </c>
      <c r="B2739" t="s">
        <v>2141</v>
      </c>
      <c r="C2739">
        <v>95</v>
      </c>
      <c r="D2739" t="s">
        <v>9</v>
      </c>
      <c r="E2739" t="s">
        <v>19</v>
      </c>
      <c r="F2739" t="s">
        <v>16</v>
      </c>
      <c r="G2739" t="s">
        <v>17</v>
      </c>
      <c r="H2739">
        <v>1469.25</v>
      </c>
      <c r="I2739" s="8" t="str" cm="1">
        <f t="array" ref="I2739">_xlfn.IFS(C2739&lt;=15,"Children and Young Adolescents", C2739&gt;64, "Seniors", TRUE, "Working Age")</f>
        <v>Seniors</v>
      </c>
      <c r="J2739" s="6">
        <f>VLOOKUP(F2739,Analysis!$F$1:$G$5,2,FALSE)</f>
        <v>2509.1716796874912</v>
      </c>
      <c r="K2739">
        <f t="shared" si="168"/>
        <v>1616.17</v>
      </c>
      <c r="L2739">
        <f t="shared" si="169"/>
        <v>1616.18</v>
      </c>
      <c r="M2739">
        <f t="shared" si="170"/>
        <v>1616.18</v>
      </c>
      <c r="N2739" s="5" t="str">
        <f t="shared" si="171"/>
        <v>February 2023</v>
      </c>
    </row>
    <row r="2740" spans="1:14" x14ac:dyDescent="0.25">
      <c r="A2740" s="1">
        <v>44961</v>
      </c>
      <c r="B2740" t="s">
        <v>613</v>
      </c>
      <c r="C2740">
        <v>72</v>
      </c>
      <c r="D2740" t="s">
        <v>14</v>
      </c>
      <c r="E2740" t="s">
        <v>15</v>
      </c>
      <c r="F2740" t="s">
        <v>29</v>
      </c>
      <c r="G2740" t="s">
        <v>27</v>
      </c>
      <c r="H2740">
        <v>3517.57</v>
      </c>
      <c r="I2740" s="8" t="str" cm="1">
        <f t="array" ref="I2740">_xlfn.IFS(C2740&lt;=15,"Children and Young Adolescents", C2740&gt;64, "Seniors", TRUE, "Working Age")</f>
        <v>Seniors</v>
      </c>
      <c r="J2740" s="6">
        <f>VLOOKUP(F2740,Analysis!$F$1:$G$5,2,FALSE)</f>
        <v>2496.7676064256989</v>
      </c>
      <c r="K2740">
        <f t="shared" si="168"/>
        <v>3869.32</v>
      </c>
      <c r="L2740">
        <f t="shared" si="169"/>
        <v>3869.3300000000004</v>
      </c>
      <c r="M2740">
        <f t="shared" si="170"/>
        <v>3869.33</v>
      </c>
      <c r="N2740" s="5" t="str">
        <f t="shared" si="171"/>
        <v>February 2023</v>
      </c>
    </row>
    <row r="2741" spans="1:14" x14ac:dyDescent="0.25">
      <c r="A2741" s="1">
        <v>44961</v>
      </c>
      <c r="B2741" t="s">
        <v>727</v>
      </c>
      <c r="C2741">
        <v>60</v>
      </c>
      <c r="D2741" t="s">
        <v>14</v>
      </c>
      <c r="E2741" t="s">
        <v>34</v>
      </c>
      <c r="F2741" t="s">
        <v>11</v>
      </c>
      <c r="G2741" t="s">
        <v>12</v>
      </c>
      <c r="H2741">
        <v>2134.5100000000002</v>
      </c>
      <c r="I2741" s="8" t="str" cm="1">
        <f t="array" ref="I2741">_xlfn.IFS(C2741&lt;=15,"Children and Young Adolescents", C2741&gt;64, "Seniors", TRUE, "Working Age")</f>
        <v>Working Age</v>
      </c>
      <c r="J2741" s="6">
        <f>VLOOKUP(F2741,Analysis!$F$1:$G$5,2,FALSE)</f>
        <v>2503.6022787783854</v>
      </c>
      <c r="K2741">
        <f t="shared" si="168"/>
        <v>2347.96</v>
      </c>
      <c r="L2741">
        <f t="shared" si="169"/>
        <v>2347.9700000000003</v>
      </c>
      <c r="M2741">
        <f t="shared" si="170"/>
        <v>2347.96</v>
      </c>
      <c r="N2741" s="5" t="str">
        <f t="shared" si="171"/>
        <v>February 2023</v>
      </c>
    </row>
    <row r="2742" spans="1:14" x14ac:dyDescent="0.25">
      <c r="A2742" s="1">
        <v>44961</v>
      </c>
      <c r="B2742" t="s">
        <v>4639</v>
      </c>
      <c r="C2742">
        <v>77</v>
      </c>
      <c r="D2742" t="s">
        <v>21</v>
      </c>
      <c r="E2742" t="s">
        <v>19</v>
      </c>
      <c r="F2742" t="s">
        <v>11</v>
      </c>
      <c r="G2742" t="s">
        <v>12</v>
      </c>
      <c r="H2742">
        <v>3369.02</v>
      </c>
      <c r="I2742" s="8" t="str" cm="1">
        <f t="array" ref="I2742">_xlfn.IFS(C2742&lt;=15,"Children and Young Adolescents", C2742&gt;64, "Seniors", TRUE, "Working Age")</f>
        <v>Seniors</v>
      </c>
      <c r="J2742" s="6">
        <f>VLOOKUP(F2742,Analysis!$F$1:$G$5,2,FALSE)</f>
        <v>2503.6022787783854</v>
      </c>
      <c r="K2742">
        <f t="shared" si="168"/>
        <v>3705.92</v>
      </c>
      <c r="L2742">
        <f t="shared" si="169"/>
        <v>3705.9300000000003</v>
      </c>
      <c r="M2742">
        <f t="shared" si="170"/>
        <v>3705.92</v>
      </c>
      <c r="N2742" s="5" t="str">
        <f t="shared" si="171"/>
        <v>February 2023</v>
      </c>
    </row>
    <row r="2743" spans="1:14" x14ac:dyDescent="0.25">
      <c r="A2743" s="1">
        <v>44961</v>
      </c>
      <c r="B2743" t="s">
        <v>4981</v>
      </c>
      <c r="C2743">
        <v>7</v>
      </c>
      <c r="D2743" t="s">
        <v>21</v>
      </c>
      <c r="E2743" t="s">
        <v>32</v>
      </c>
      <c r="F2743" t="s">
        <v>11</v>
      </c>
      <c r="G2743" t="s">
        <v>36</v>
      </c>
      <c r="H2743">
        <v>1138.45</v>
      </c>
      <c r="I2743" s="8" t="str" cm="1">
        <f t="array" ref="I2743">_xlfn.IFS(C2743&lt;=15,"Children and Young Adolescents", C2743&gt;64, "Seniors", TRUE, "Working Age")</f>
        <v>Children and Young Adolescents</v>
      </c>
      <c r="J2743" s="6">
        <f>VLOOKUP(F2743,Analysis!$F$1:$G$5,2,FALSE)</f>
        <v>2503.6022787783854</v>
      </c>
      <c r="K2743">
        <f t="shared" si="168"/>
        <v>1252.29</v>
      </c>
      <c r="L2743">
        <f t="shared" si="169"/>
        <v>1252.3</v>
      </c>
      <c r="M2743">
        <f t="shared" si="170"/>
        <v>1252.3</v>
      </c>
      <c r="N2743" s="5" t="str">
        <f t="shared" si="171"/>
        <v>February 2023</v>
      </c>
    </row>
    <row r="2744" spans="1:14" x14ac:dyDescent="0.25">
      <c r="A2744" s="1">
        <v>44961</v>
      </c>
      <c r="B2744" t="s">
        <v>2125</v>
      </c>
      <c r="C2744">
        <v>72</v>
      </c>
      <c r="D2744" t="s">
        <v>9</v>
      </c>
      <c r="E2744" t="s">
        <v>32</v>
      </c>
      <c r="F2744" t="s">
        <v>11</v>
      </c>
      <c r="G2744" t="s">
        <v>17</v>
      </c>
      <c r="H2744">
        <v>331.96</v>
      </c>
      <c r="I2744" s="8" t="str" cm="1">
        <f t="array" ref="I2744">_xlfn.IFS(C2744&lt;=15,"Children and Young Adolescents", C2744&gt;64, "Seniors", TRUE, "Working Age")</f>
        <v>Seniors</v>
      </c>
      <c r="J2744" s="6">
        <f>VLOOKUP(F2744,Analysis!$F$1:$G$5,2,FALSE)</f>
        <v>2503.6022787783854</v>
      </c>
      <c r="K2744">
        <f t="shared" si="168"/>
        <v>365.15</v>
      </c>
      <c r="L2744">
        <f t="shared" si="169"/>
        <v>365.15999999999997</v>
      </c>
      <c r="M2744">
        <f t="shared" si="170"/>
        <v>365.16</v>
      </c>
      <c r="N2744" s="5" t="str">
        <f t="shared" si="171"/>
        <v>February 2023</v>
      </c>
    </row>
    <row r="2745" spans="1:14" x14ac:dyDescent="0.25">
      <c r="A2745" s="1">
        <v>44961</v>
      </c>
      <c r="B2745" t="s">
        <v>47</v>
      </c>
      <c r="C2745">
        <v>63</v>
      </c>
      <c r="D2745" t="s">
        <v>9</v>
      </c>
      <c r="E2745" t="s">
        <v>10</v>
      </c>
      <c r="F2745" t="s">
        <v>23</v>
      </c>
      <c r="G2745" t="s">
        <v>17</v>
      </c>
      <c r="H2745">
        <v>581.22</v>
      </c>
      <c r="I2745" s="8" t="str" cm="1">
        <f t="array" ref="I2745">_xlfn.IFS(C2745&lt;=15,"Children and Young Adolescents", C2745&gt;64, "Seniors", TRUE, "Working Age")</f>
        <v>Working Age</v>
      </c>
      <c r="J2745" s="6">
        <f>VLOOKUP(F2745,Analysis!$F$1:$G$5,2,FALSE)</f>
        <v>2440.2966694490838</v>
      </c>
      <c r="K2745">
        <f t="shared" si="168"/>
        <v>639.34</v>
      </c>
      <c r="L2745">
        <f t="shared" si="169"/>
        <v>639.35</v>
      </c>
      <c r="M2745">
        <f t="shared" si="170"/>
        <v>639.34</v>
      </c>
      <c r="N2745" s="5" t="str">
        <f t="shared" si="171"/>
        <v>February 2023</v>
      </c>
    </row>
    <row r="2746" spans="1:14" x14ac:dyDescent="0.25">
      <c r="A2746" s="1">
        <v>44962</v>
      </c>
      <c r="B2746" t="s">
        <v>2789</v>
      </c>
      <c r="C2746">
        <v>79</v>
      </c>
      <c r="D2746" t="s">
        <v>9</v>
      </c>
      <c r="E2746" t="s">
        <v>25</v>
      </c>
      <c r="F2746" t="s">
        <v>23</v>
      </c>
      <c r="G2746" t="s">
        <v>27</v>
      </c>
      <c r="H2746">
        <v>4258.29</v>
      </c>
      <c r="I2746" s="8" t="str" cm="1">
        <f t="array" ref="I2746">_xlfn.IFS(C2746&lt;=15,"Children and Young Adolescents", C2746&gt;64, "Seniors", TRUE, "Working Age")</f>
        <v>Seniors</v>
      </c>
      <c r="J2746" s="6">
        <f>VLOOKUP(F2746,Analysis!$F$1:$G$5,2,FALSE)</f>
        <v>2440.2966694490838</v>
      </c>
      <c r="K2746">
        <f t="shared" si="168"/>
        <v>4684.1099999999997</v>
      </c>
      <c r="L2746">
        <f t="shared" si="169"/>
        <v>4684.12</v>
      </c>
      <c r="M2746">
        <f t="shared" si="170"/>
        <v>4684.12</v>
      </c>
      <c r="N2746" s="5" t="str">
        <f t="shared" si="171"/>
        <v>February 2023</v>
      </c>
    </row>
    <row r="2747" spans="1:14" x14ac:dyDescent="0.25">
      <c r="A2747" s="1">
        <v>44962</v>
      </c>
      <c r="B2747" t="s">
        <v>3167</v>
      </c>
      <c r="C2747">
        <v>2</v>
      </c>
      <c r="D2747" t="s">
        <v>9</v>
      </c>
      <c r="E2747" t="s">
        <v>15</v>
      </c>
      <c r="F2747" t="s">
        <v>11</v>
      </c>
      <c r="G2747" t="s">
        <v>39</v>
      </c>
      <c r="H2747">
        <v>4779.9799999999996</v>
      </c>
      <c r="I2747" s="8" t="str" cm="1">
        <f t="array" ref="I2747">_xlfn.IFS(C2747&lt;=15,"Children and Young Adolescents", C2747&gt;64, "Seniors", TRUE, "Working Age")</f>
        <v>Children and Young Adolescents</v>
      </c>
      <c r="J2747" s="6">
        <f>VLOOKUP(F2747,Analysis!$F$1:$G$5,2,FALSE)</f>
        <v>2503.6022787783854</v>
      </c>
      <c r="K2747">
        <f t="shared" si="168"/>
        <v>5257.97</v>
      </c>
      <c r="L2747">
        <f t="shared" si="169"/>
        <v>5257.9800000000005</v>
      </c>
      <c r="M2747">
        <f t="shared" si="170"/>
        <v>5257.98</v>
      </c>
      <c r="N2747" s="5" t="str">
        <f t="shared" si="171"/>
        <v>February 2023</v>
      </c>
    </row>
    <row r="2748" spans="1:14" x14ac:dyDescent="0.25">
      <c r="A2748" s="1">
        <v>44962</v>
      </c>
      <c r="B2748" t="s">
        <v>3378</v>
      </c>
      <c r="C2748">
        <v>13</v>
      </c>
      <c r="D2748" t="s">
        <v>9</v>
      </c>
      <c r="E2748" t="s">
        <v>22</v>
      </c>
      <c r="F2748" t="s">
        <v>29</v>
      </c>
      <c r="G2748" t="s">
        <v>36</v>
      </c>
      <c r="H2748">
        <v>4629.58</v>
      </c>
      <c r="I2748" s="8" t="str" cm="1">
        <f t="array" ref="I2748">_xlfn.IFS(C2748&lt;=15,"Children and Young Adolescents", C2748&gt;64, "Seniors", TRUE, "Working Age")</f>
        <v>Children and Young Adolescents</v>
      </c>
      <c r="J2748" s="6">
        <f>VLOOKUP(F2748,Analysis!$F$1:$G$5,2,FALSE)</f>
        <v>2496.7676064256989</v>
      </c>
      <c r="K2748">
        <f t="shared" si="168"/>
        <v>5092.53</v>
      </c>
      <c r="L2748">
        <f t="shared" si="169"/>
        <v>5092.54</v>
      </c>
      <c r="M2748">
        <f t="shared" si="170"/>
        <v>5092.54</v>
      </c>
      <c r="N2748" s="5" t="str">
        <f t="shared" si="171"/>
        <v>February 2023</v>
      </c>
    </row>
    <row r="2749" spans="1:14" x14ac:dyDescent="0.25">
      <c r="A2749" s="1">
        <v>44962</v>
      </c>
      <c r="B2749" t="s">
        <v>4860</v>
      </c>
      <c r="C2749">
        <v>68</v>
      </c>
      <c r="D2749" t="s">
        <v>21</v>
      </c>
      <c r="E2749" t="s">
        <v>25</v>
      </c>
      <c r="F2749" t="s">
        <v>11</v>
      </c>
      <c r="G2749" t="s">
        <v>12</v>
      </c>
      <c r="H2749">
        <v>3342.99</v>
      </c>
      <c r="I2749" s="8" t="str" cm="1">
        <f t="array" ref="I2749">_xlfn.IFS(C2749&lt;=15,"Children and Young Adolescents", C2749&gt;64, "Seniors", TRUE, "Working Age")</f>
        <v>Seniors</v>
      </c>
      <c r="J2749" s="6">
        <f>VLOOKUP(F2749,Analysis!$F$1:$G$5,2,FALSE)</f>
        <v>2503.6022787783854</v>
      </c>
      <c r="K2749">
        <f t="shared" si="168"/>
        <v>3677.28</v>
      </c>
      <c r="L2749">
        <f t="shared" si="169"/>
        <v>3677.2900000000004</v>
      </c>
      <c r="M2749">
        <f t="shared" si="170"/>
        <v>3677.29</v>
      </c>
      <c r="N2749" s="5" t="str">
        <f t="shared" si="171"/>
        <v>February 2023</v>
      </c>
    </row>
    <row r="2750" spans="1:14" x14ac:dyDescent="0.25">
      <c r="A2750" s="1">
        <v>44962</v>
      </c>
      <c r="B2750" t="s">
        <v>3400</v>
      </c>
      <c r="C2750">
        <v>57</v>
      </c>
      <c r="D2750" t="s">
        <v>14</v>
      </c>
      <c r="E2750" t="s">
        <v>10</v>
      </c>
      <c r="F2750" t="s">
        <v>29</v>
      </c>
      <c r="G2750" t="s">
        <v>39</v>
      </c>
      <c r="H2750">
        <v>4794.37</v>
      </c>
      <c r="I2750" s="8" t="str" cm="1">
        <f t="array" ref="I2750">_xlfn.IFS(C2750&lt;=15,"Children and Young Adolescents", C2750&gt;64, "Seniors", TRUE, "Working Age")</f>
        <v>Working Age</v>
      </c>
      <c r="J2750" s="6">
        <f>VLOOKUP(F2750,Analysis!$F$1:$G$5,2,FALSE)</f>
        <v>2496.7676064256989</v>
      </c>
      <c r="K2750">
        <f t="shared" si="168"/>
        <v>5273.8</v>
      </c>
      <c r="L2750">
        <f t="shared" si="169"/>
        <v>5273.81</v>
      </c>
      <c r="M2750">
        <f t="shared" si="170"/>
        <v>5273.81</v>
      </c>
      <c r="N2750" s="5" t="str">
        <f t="shared" si="171"/>
        <v>February 2023</v>
      </c>
    </row>
    <row r="2751" spans="1:14" x14ac:dyDescent="0.25">
      <c r="A2751" s="1">
        <v>44962</v>
      </c>
      <c r="B2751" t="s">
        <v>2146</v>
      </c>
      <c r="C2751">
        <v>66</v>
      </c>
      <c r="D2751" t="s">
        <v>9</v>
      </c>
      <c r="E2751" t="s">
        <v>32</v>
      </c>
      <c r="F2751" t="s">
        <v>16</v>
      </c>
      <c r="G2751" t="s">
        <v>27</v>
      </c>
      <c r="H2751">
        <v>1969.07</v>
      </c>
      <c r="I2751" s="8" t="str" cm="1">
        <f t="array" ref="I2751">_xlfn.IFS(C2751&lt;=15,"Children and Young Adolescents", C2751&gt;64, "Seniors", TRUE, "Working Age")</f>
        <v>Seniors</v>
      </c>
      <c r="J2751" s="6">
        <f>VLOOKUP(F2751,Analysis!$F$1:$G$5,2,FALSE)</f>
        <v>2509.1716796874912</v>
      </c>
      <c r="K2751">
        <f t="shared" si="168"/>
        <v>2165.9699999999998</v>
      </c>
      <c r="L2751">
        <f t="shared" si="169"/>
        <v>2165.98</v>
      </c>
      <c r="M2751">
        <f t="shared" si="170"/>
        <v>2165.98</v>
      </c>
      <c r="N2751" s="5" t="str">
        <f t="shared" si="171"/>
        <v>February 2023</v>
      </c>
    </row>
    <row r="2752" spans="1:14" x14ac:dyDescent="0.25">
      <c r="A2752" s="1">
        <v>44962</v>
      </c>
      <c r="B2752" t="s">
        <v>2816</v>
      </c>
      <c r="C2752">
        <v>17</v>
      </c>
      <c r="D2752" t="s">
        <v>14</v>
      </c>
      <c r="E2752" t="s">
        <v>5032</v>
      </c>
      <c r="F2752" t="s">
        <v>16</v>
      </c>
      <c r="G2752" t="s">
        <v>36</v>
      </c>
      <c r="H2752">
        <v>251.26</v>
      </c>
      <c r="I2752" s="8" t="str" cm="1">
        <f t="array" ref="I2752">_xlfn.IFS(C2752&lt;=15,"Children and Young Adolescents", C2752&gt;64, "Seniors", TRUE, "Working Age")</f>
        <v>Working Age</v>
      </c>
      <c r="J2752" s="6">
        <f>VLOOKUP(F2752,Analysis!$F$1:$G$5,2,FALSE)</f>
        <v>2509.1716796874912</v>
      </c>
      <c r="K2752">
        <f t="shared" si="168"/>
        <v>276.38</v>
      </c>
      <c r="L2752">
        <f t="shared" si="169"/>
        <v>276.39</v>
      </c>
      <c r="M2752">
        <f t="shared" si="170"/>
        <v>276.39</v>
      </c>
      <c r="N2752" s="5" t="str">
        <f t="shared" si="171"/>
        <v>February 2023</v>
      </c>
    </row>
    <row r="2753" spans="1:14" x14ac:dyDescent="0.25">
      <c r="A2753" s="1">
        <v>44962</v>
      </c>
      <c r="B2753" t="s">
        <v>2061</v>
      </c>
      <c r="C2753">
        <v>53</v>
      </c>
      <c r="D2753" t="s">
        <v>9</v>
      </c>
      <c r="E2753" t="s">
        <v>10</v>
      </c>
      <c r="F2753" t="s">
        <v>16</v>
      </c>
      <c r="G2753" t="s">
        <v>17</v>
      </c>
      <c r="H2753">
        <v>1843.73</v>
      </c>
      <c r="I2753" s="8" t="str" cm="1">
        <f t="array" ref="I2753">_xlfn.IFS(C2753&lt;=15,"Children and Young Adolescents", C2753&gt;64, "Seniors", TRUE, "Working Age")</f>
        <v>Working Age</v>
      </c>
      <c r="J2753" s="6">
        <f>VLOOKUP(F2753,Analysis!$F$1:$G$5,2,FALSE)</f>
        <v>2509.1716796874912</v>
      </c>
      <c r="K2753">
        <f t="shared" si="168"/>
        <v>2028.1</v>
      </c>
      <c r="L2753">
        <f t="shared" si="169"/>
        <v>2028.11</v>
      </c>
      <c r="M2753">
        <f t="shared" si="170"/>
        <v>2028.1</v>
      </c>
      <c r="N2753" s="5" t="str">
        <f t="shared" si="171"/>
        <v>February 2023</v>
      </c>
    </row>
    <row r="2754" spans="1:14" x14ac:dyDescent="0.25">
      <c r="A2754" s="1">
        <v>44962</v>
      </c>
      <c r="B2754" t="s">
        <v>2514</v>
      </c>
      <c r="C2754">
        <v>9</v>
      </c>
      <c r="D2754" t="s">
        <v>9</v>
      </c>
      <c r="E2754" t="s">
        <v>22</v>
      </c>
      <c r="F2754" t="s">
        <v>29</v>
      </c>
      <c r="G2754" t="s">
        <v>17</v>
      </c>
      <c r="H2754">
        <v>2088.23</v>
      </c>
      <c r="I2754" s="8" t="str" cm="1">
        <f t="array" ref="I2754">_xlfn.IFS(C2754&lt;=15,"Children and Young Adolescents", C2754&gt;64, "Seniors", TRUE, "Working Age")</f>
        <v>Children and Young Adolescents</v>
      </c>
      <c r="J2754" s="6">
        <f>VLOOKUP(F2754,Analysis!$F$1:$G$5,2,FALSE)</f>
        <v>2496.7676064256989</v>
      </c>
      <c r="K2754">
        <f t="shared" si="168"/>
        <v>2297.0500000000002</v>
      </c>
      <c r="L2754">
        <f t="shared" si="169"/>
        <v>2297.0600000000004</v>
      </c>
      <c r="M2754">
        <f t="shared" si="170"/>
        <v>2297.0500000000002</v>
      </c>
      <c r="N2754" s="5" t="str">
        <f t="shared" si="171"/>
        <v>February 2023</v>
      </c>
    </row>
    <row r="2755" spans="1:14" x14ac:dyDescent="0.25">
      <c r="A2755" s="1">
        <v>44962</v>
      </c>
      <c r="B2755" t="s">
        <v>2842</v>
      </c>
      <c r="C2755">
        <v>54</v>
      </c>
      <c r="D2755" t="s">
        <v>14</v>
      </c>
      <c r="E2755" t="s">
        <v>19</v>
      </c>
      <c r="F2755" t="s">
        <v>11</v>
      </c>
      <c r="G2755" t="s">
        <v>36</v>
      </c>
      <c r="H2755">
        <v>1509.35</v>
      </c>
      <c r="I2755" s="8" t="str" cm="1">
        <f t="array" ref="I2755">_xlfn.IFS(C2755&lt;=15,"Children and Young Adolescents", C2755&gt;64, "Seniors", TRUE, "Working Age")</f>
        <v>Working Age</v>
      </c>
      <c r="J2755" s="6">
        <f>VLOOKUP(F2755,Analysis!$F$1:$G$5,2,FALSE)</f>
        <v>2503.6022787783854</v>
      </c>
      <c r="K2755">
        <f t="shared" ref="K2755:K2818" si="172">ROUNDDOWN(H2755*1.1,2)</f>
        <v>1660.28</v>
      </c>
      <c r="L2755">
        <f t="shared" ref="L2755:L2818" si="173">ROUNDUP(H2755*1.1,2)</f>
        <v>1660.29</v>
      </c>
      <c r="M2755">
        <f t="shared" ref="M2755:M2818" si="174">ROUND(H2755*1.1,2)</f>
        <v>1660.29</v>
      </c>
      <c r="N2755" s="5" t="str">
        <f t="shared" ref="N2755:N2818" si="175">TEXT(A2755,"mmmm yyyy")</f>
        <v>February 2023</v>
      </c>
    </row>
    <row r="2756" spans="1:14" x14ac:dyDescent="0.25">
      <c r="A2756" s="1">
        <v>44962</v>
      </c>
      <c r="B2756" t="s">
        <v>1387</v>
      </c>
      <c r="C2756">
        <v>52</v>
      </c>
      <c r="D2756" t="s">
        <v>14</v>
      </c>
      <c r="E2756" t="s">
        <v>22</v>
      </c>
      <c r="F2756" t="s">
        <v>16</v>
      </c>
      <c r="G2756" t="s">
        <v>39</v>
      </c>
      <c r="H2756">
        <v>4759.47</v>
      </c>
      <c r="I2756" s="8" t="str" cm="1">
        <f t="array" ref="I2756">_xlfn.IFS(C2756&lt;=15,"Children and Young Adolescents", C2756&gt;64, "Seniors", TRUE, "Working Age")</f>
        <v>Working Age</v>
      </c>
      <c r="J2756" s="6">
        <f>VLOOKUP(F2756,Analysis!$F$1:$G$5,2,FALSE)</f>
        <v>2509.1716796874912</v>
      </c>
      <c r="K2756">
        <f t="shared" si="172"/>
        <v>5235.41</v>
      </c>
      <c r="L2756">
        <f t="shared" si="173"/>
        <v>5235.42</v>
      </c>
      <c r="M2756">
        <f t="shared" si="174"/>
        <v>5235.42</v>
      </c>
      <c r="N2756" s="5" t="str">
        <f t="shared" si="175"/>
        <v>February 2023</v>
      </c>
    </row>
    <row r="2757" spans="1:14" x14ac:dyDescent="0.25">
      <c r="A2757" s="1">
        <v>44962</v>
      </c>
      <c r="B2757" t="s">
        <v>3511</v>
      </c>
      <c r="C2757">
        <v>13</v>
      </c>
      <c r="D2757" t="s">
        <v>14</v>
      </c>
      <c r="E2757" t="s">
        <v>34</v>
      </c>
      <c r="F2757" t="s">
        <v>23</v>
      </c>
      <c r="G2757" t="s">
        <v>12</v>
      </c>
      <c r="H2757">
        <v>1761.53</v>
      </c>
      <c r="I2757" s="8" t="str" cm="1">
        <f t="array" ref="I2757">_xlfn.IFS(C2757&lt;=15,"Children and Young Adolescents", C2757&gt;64, "Seniors", TRUE, "Working Age")</f>
        <v>Children and Young Adolescents</v>
      </c>
      <c r="J2757" s="6">
        <f>VLOOKUP(F2757,Analysis!$F$1:$G$5,2,FALSE)</f>
        <v>2440.2966694490838</v>
      </c>
      <c r="K2757">
        <f t="shared" si="172"/>
        <v>1937.68</v>
      </c>
      <c r="L2757">
        <f t="shared" si="173"/>
        <v>1937.69</v>
      </c>
      <c r="M2757">
        <f t="shared" si="174"/>
        <v>1937.68</v>
      </c>
      <c r="N2757" s="5" t="str">
        <f t="shared" si="175"/>
        <v>February 2023</v>
      </c>
    </row>
    <row r="2758" spans="1:14" x14ac:dyDescent="0.25">
      <c r="A2758" s="1">
        <v>44962</v>
      </c>
      <c r="B2758" t="s">
        <v>850</v>
      </c>
      <c r="C2758">
        <v>14</v>
      </c>
      <c r="D2758" t="s">
        <v>14</v>
      </c>
      <c r="E2758" t="s">
        <v>10</v>
      </c>
      <c r="F2758" t="s">
        <v>11</v>
      </c>
      <c r="G2758" t="s">
        <v>27</v>
      </c>
      <c r="H2758">
        <v>1464.62</v>
      </c>
      <c r="I2758" s="8" t="str" cm="1">
        <f t="array" ref="I2758">_xlfn.IFS(C2758&lt;=15,"Children and Young Adolescents", C2758&gt;64, "Seniors", TRUE, "Working Age")</f>
        <v>Children and Young Adolescents</v>
      </c>
      <c r="J2758" s="6">
        <f>VLOOKUP(F2758,Analysis!$F$1:$G$5,2,FALSE)</f>
        <v>2503.6022787783854</v>
      </c>
      <c r="K2758">
        <f t="shared" si="172"/>
        <v>1611.08</v>
      </c>
      <c r="L2758">
        <f t="shared" si="173"/>
        <v>1611.09</v>
      </c>
      <c r="M2758">
        <f t="shared" si="174"/>
        <v>1611.08</v>
      </c>
      <c r="N2758" s="5" t="str">
        <f t="shared" si="175"/>
        <v>February 2023</v>
      </c>
    </row>
    <row r="2759" spans="1:14" x14ac:dyDescent="0.25">
      <c r="A2759" s="1">
        <v>44962</v>
      </c>
      <c r="B2759" t="s">
        <v>3587</v>
      </c>
      <c r="C2759">
        <v>19</v>
      </c>
      <c r="D2759" t="s">
        <v>9</v>
      </c>
      <c r="E2759" t="s">
        <v>25</v>
      </c>
      <c r="F2759" t="s">
        <v>29</v>
      </c>
      <c r="G2759" t="s">
        <v>12</v>
      </c>
      <c r="H2759">
        <v>2869.83</v>
      </c>
      <c r="I2759" s="8" t="str" cm="1">
        <f t="array" ref="I2759">_xlfn.IFS(C2759&lt;=15,"Children and Young Adolescents", C2759&gt;64, "Seniors", TRUE, "Working Age")</f>
        <v>Working Age</v>
      </c>
      <c r="J2759" s="6">
        <f>VLOOKUP(F2759,Analysis!$F$1:$G$5,2,FALSE)</f>
        <v>2496.7676064256989</v>
      </c>
      <c r="K2759">
        <f t="shared" si="172"/>
        <v>3156.81</v>
      </c>
      <c r="L2759">
        <f t="shared" si="173"/>
        <v>3156.82</v>
      </c>
      <c r="M2759">
        <f t="shared" si="174"/>
        <v>3156.81</v>
      </c>
      <c r="N2759" s="5" t="str">
        <f t="shared" si="175"/>
        <v>February 2023</v>
      </c>
    </row>
    <row r="2760" spans="1:14" x14ac:dyDescent="0.25">
      <c r="A2760" s="1">
        <v>44962</v>
      </c>
      <c r="B2760" t="s">
        <v>2486</v>
      </c>
      <c r="C2760">
        <v>48</v>
      </c>
      <c r="D2760" t="s">
        <v>21</v>
      </c>
      <c r="E2760" t="s">
        <v>22</v>
      </c>
      <c r="F2760" t="s">
        <v>23</v>
      </c>
      <c r="G2760" t="s">
        <v>27</v>
      </c>
      <c r="H2760">
        <v>985.78</v>
      </c>
      <c r="I2760" s="8" t="str" cm="1">
        <f t="array" ref="I2760">_xlfn.IFS(C2760&lt;=15,"Children and Young Adolescents", C2760&gt;64, "Seniors", TRUE, "Working Age")</f>
        <v>Working Age</v>
      </c>
      <c r="J2760" s="6">
        <f>VLOOKUP(F2760,Analysis!$F$1:$G$5,2,FALSE)</f>
        <v>2440.2966694490838</v>
      </c>
      <c r="K2760">
        <f t="shared" si="172"/>
        <v>1084.3499999999999</v>
      </c>
      <c r="L2760">
        <f t="shared" si="173"/>
        <v>1084.3599999999999</v>
      </c>
      <c r="M2760">
        <f t="shared" si="174"/>
        <v>1084.3599999999999</v>
      </c>
      <c r="N2760" s="5" t="str">
        <f t="shared" si="175"/>
        <v>February 2023</v>
      </c>
    </row>
    <row r="2761" spans="1:14" x14ac:dyDescent="0.25">
      <c r="A2761" s="1">
        <v>44963</v>
      </c>
      <c r="B2761" t="s">
        <v>1049</v>
      </c>
      <c r="C2761">
        <v>40</v>
      </c>
      <c r="D2761" t="s">
        <v>14</v>
      </c>
      <c r="E2761" t="s">
        <v>34</v>
      </c>
      <c r="F2761" t="s">
        <v>23</v>
      </c>
      <c r="G2761" t="s">
        <v>12</v>
      </c>
      <c r="H2761">
        <v>3505.85</v>
      </c>
      <c r="I2761" s="8" t="str" cm="1">
        <f t="array" ref="I2761">_xlfn.IFS(C2761&lt;=15,"Children and Young Adolescents", C2761&gt;64, "Seniors", TRUE, "Working Age")</f>
        <v>Working Age</v>
      </c>
      <c r="J2761" s="6">
        <f>VLOOKUP(F2761,Analysis!$F$1:$G$5,2,FALSE)</f>
        <v>2440.2966694490838</v>
      </c>
      <c r="K2761">
        <f t="shared" si="172"/>
        <v>3856.43</v>
      </c>
      <c r="L2761">
        <f t="shared" si="173"/>
        <v>3856.44</v>
      </c>
      <c r="M2761">
        <f t="shared" si="174"/>
        <v>3856.44</v>
      </c>
      <c r="N2761" s="5" t="str">
        <f t="shared" si="175"/>
        <v>February 2023</v>
      </c>
    </row>
    <row r="2762" spans="1:14" x14ac:dyDescent="0.25">
      <c r="A2762" s="1">
        <v>44963</v>
      </c>
      <c r="B2762" t="s">
        <v>2598</v>
      </c>
      <c r="C2762">
        <v>53</v>
      </c>
      <c r="D2762" t="s">
        <v>21</v>
      </c>
      <c r="E2762" t="s">
        <v>22</v>
      </c>
      <c r="F2762" t="s">
        <v>29</v>
      </c>
      <c r="G2762" t="s">
        <v>27</v>
      </c>
      <c r="H2762">
        <v>4808.1400000000003</v>
      </c>
      <c r="I2762" s="8" t="str" cm="1">
        <f t="array" ref="I2762">_xlfn.IFS(C2762&lt;=15,"Children and Young Adolescents", C2762&gt;64, "Seniors", TRUE, "Working Age")</f>
        <v>Working Age</v>
      </c>
      <c r="J2762" s="6">
        <f>VLOOKUP(F2762,Analysis!$F$1:$G$5,2,FALSE)</f>
        <v>2496.7676064256989</v>
      </c>
      <c r="K2762">
        <f t="shared" si="172"/>
        <v>5288.95</v>
      </c>
      <c r="L2762">
        <f t="shared" si="173"/>
        <v>5288.96</v>
      </c>
      <c r="M2762">
        <f t="shared" si="174"/>
        <v>5288.95</v>
      </c>
      <c r="N2762" s="5" t="str">
        <f t="shared" si="175"/>
        <v>February 2023</v>
      </c>
    </row>
    <row r="2763" spans="1:14" x14ac:dyDescent="0.25">
      <c r="A2763" s="1">
        <v>44963</v>
      </c>
      <c r="B2763" t="s">
        <v>3109</v>
      </c>
      <c r="C2763">
        <v>54</v>
      </c>
      <c r="D2763" t="s">
        <v>9</v>
      </c>
      <c r="E2763" t="s">
        <v>10</v>
      </c>
      <c r="F2763" t="s">
        <v>16</v>
      </c>
      <c r="G2763" t="s">
        <v>17</v>
      </c>
      <c r="H2763">
        <v>1126.99</v>
      </c>
      <c r="I2763" s="8" t="str" cm="1">
        <f t="array" ref="I2763">_xlfn.IFS(C2763&lt;=15,"Children and Young Adolescents", C2763&gt;64, "Seniors", TRUE, "Working Age")</f>
        <v>Working Age</v>
      </c>
      <c r="J2763" s="6">
        <f>VLOOKUP(F2763,Analysis!$F$1:$G$5,2,FALSE)</f>
        <v>2509.1716796874912</v>
      </c>
      <c r="K2763">
        <f t="shared" si="172"/>
        <v>1239.68</v>
      </c>
      <c r="L2763">
        <f t="shared" si="173"/>
        <v>1239.69</v>
      </c>
      <c r="M2763">
        <f t="shared" si="174"/>
        <v>1239.69</v>
      </c>
      <c r="N2763" s="5" t="str">
        <f t="shared" si="175"/>
        <v>February 2023</v>
      </c>
    </row>
    <row r="2764" spans="1:14" x14ac:dyDescent="0.25">
      <c r="A2764" s="1">
        <v>44964</v>
      </c>
      <c r="B2764" t="s">
        <v>2328</v>
      </c>
      <c r="C2764">
        <v>35</v>
      </c>
      <c r="D2764" t="s">
        <v>9</v>
      </c>
      <c r="E2764" t="s">
        <v>10</v>
      </c>
      <c r="F2764" t="s">
        <v>23</v>
      </c>
      <c r="G2764" t="s">
        <v>36</v>
      </c>
      <c r="H2764">
        <v>1246.67</v>
      </c>
      <c r="I2764" s="8" t="str" cm="1">
        <f t="array" ref="I2764">_xlfn.IFS(C2764&lt;=15,"Children and Young Adolescents", C2764&gt;64, "Seniors", TRUE, "Working Age")</f>
        <v>Working Age</v>
      </c>
      <c r="J2764" s="6">
        <f>VLOOKUP(F2764,Analysis!$F$1:$G$5,2,FALSE)</f>
        <v>2440.2966694490838</v>
      </c>
      <c r="K2764">
        <f t="shared" si="172"/>
        <v>1371.33</v>
      </c>
      <c r="L2764">
        <f t="shared" si="173"/>
        <v>1371.34</v>
      </c>
      <c r="M2764">
        <f t="shared" si="174"/>
        <v>1371.34</v>
      </c>
      <c r="N2764" s="5" t="str">
        <f t="shared" si="175"/>
        <v>February 2023</v>
      </c>
    </row>
    <row r="2765" spans="1:14" x14ac:dyDescent="0.25">
      <c r="A2765" s="1">
        <v>44964</v>
      </c>
      <c r="B2765" t="s">
        <v>673</v>
      </c>
      <c r="C2765">
        <v>24</v>
      </c>
      <c r="D2765" t="s">
        <v>21</v>
      </c>
      <c r="E2765" t="s">
        <v>22</v>
      </c>
      <c r="F2765" t="s">
        <v>16</v>
      </c>
      <c r="G2765" t="s">
        <v>39</v>
      </c>
      <c r="H2765">
        <v>3713.78</v>
      </c>
      <c r="I2765" s="8" t="str" cm="1">
        <f t="array" ref="I2765">_xlfn.IFS(C2765&lt;=15,"Children and Young Adolescents", C2765&gt;64, "Seniors", TRUE, "Working Age")</f>
        <v>Working Age</v>
      </c>
      <c r="J2765" s="6">
        <f>VLOOKUP(F2765,Analysis!$F$1:$G$5,2,FALSE)</f>
        <v>2509.1716796874912</v>
      </c>
      <c r="K2765">
        <f t="shared" si="172"/>
        <v>4085.15</v>
      </c>
      <c r="L2765">
        <f t="shared" si="173"/>
        <v>4085.1600000000003</v>
      </c>
      <c r="M2765">
        <f t="shared" si="174"/>
        <v>4085.16</v>
      </c>
      <c r="N2765" s="5" t="str">
        <f t="shared" si="175"/>
        <v>February 2023</v>
      </c>
    </row>
    <row r="2766" spans="1:14" x14ac:dyDescent="0.25">
      <c r="A2766" s="1">
        <v>44964</v>
      </c>
      <c r="B2766" t="s">
        <v>2023</v>
      </c>
      <c r="C2766">
        <v>81</v>
      </c>
      <c r="D2766" t="s">
        <v>14</v>
      </c>
      <c r="E2766" t="s">
        <v>5032</v>
      </c>
      <c r="F2766" t="s">
        <v>29</v>
      </c>
      <c r="G2766" t="s">
        <v>17</v>
      </c>
      <c r="H2766">
        <v>4554.13</v>
      </c>
      <c r="I2766" s="8" t="str" cm="1">
        <f t="array" ref="I2766">_xlfn.IFS(C2766&lt;=15,"Children and Young Adolescents", C2766&gt;64, "Seniors", TRUE, "Working Age")</f>
        <v>Seniors</v>
      </c>
      <c r="J2766" s="6">
        <f>VLOOKUP(F2766,Analysis!$F$1:$G$5,2,FALSE)</f>
        <v>2496.7676064256989</v>
      </c>
      <c r="K2766">
        <f t="shared" si="172"/>
        <v>5009.54</v>
      </c>
      <c r="L2766">
        <f t="shared" si="173"/>
        <v>5009.55</v>
      </c>
      <c r="M2766">
        <f t="shared" si="174"/>
        <v>5009.54</v>
      </c>
      <c r="N2766" s="5" t="str">
        <f t="shared" si="175"/>
        <v>February 2023</v>
      </c>
    </row>
    <row r="2767" spans="1:14" x14ac:dyDescent="0.25">
      <c r="A2767" s="1">
        <v>44964</v>
      </c>
      <c r="B2767" t="s">
        <v>2182</v>
      </c>
      <c r="C2767">
        <v>49</v>
      </c>
      <c r="D2767" t="s">
        <v>9</v>
      </c>
      <c r="E2767" t="s">
        <v>34</v>
      </c>
      <c r="F2767" t="s">
        <v>23</v>
      </c>
      <c r="G2767" t="s">
        <v>17</v>
      </c>
      <c r="H2767">
        <v>1181.8800000000001</v>
      </c>
      <c r="I2767" s="8" t="str" cm="1">
        <f t="array" ref="I2767">_xlfn.IFS(C2767&lt;=15,"Children and Young Adolescents", C2767&gt;64, "Seniors", TRUE, "Working Age")</f>
        <v>Working Age</v>
      </c>
      <c r="J2767" s="6">
        <f>VLOOKUP(F2767,Analysis!$F$1:$G$5,2,FALSE)</f>
        <v>2440.2966694490838</v>
      </c>
      <c r="K2767">
        <f t="shared" si="172"/>
        <v>1300.06</v>
      </c>
      <c r="L2767">
        <f t="shared" si="173"/>
        <v>1300.07</v>
      </c>
      <c r="M2767">
        <f t="shared" si="174"/>
        <v>1300.07</v>
      </c>
      <c r="N2767" s="5" t="str">
        <f t="shared" si="175"/>
        <v>February 2023</v>
      </c>
    </row>
    <row r="2768" spans="1:14" x14ac:dyDescent="0.25">
      <c r="A2768" s="1">
        <v>44965</v>
      </c>
      <c r="B2768" t="s">
        <v>1750</v>
      </c>
      <c r="C2768">
        <v>92</v>
      </c>
      <c r="D2768" t="s">
        <v>14</v>
      </c>
      <c r="E2768" t="s">
        <v>34</v>
      </c>
      <c r="F2768" t="s">
        <v>23</v>
      </c>
      <c r="G2768" t="s">
        <v>36</v>
      </c>
      <c r="H2768">
        <v>4232.03</v>
      </c>
      <c r="I2768" s="8" t="str" cm="1">
        <f t="array" ref="I2768">_xlfn.IFS(C2768&lt;=15,"Children and Young Adolescents", C2768&gt;64, "Seniors", TRUE, "Working Age")</f>
        <v>Seniors</v>
      </c>
      <c r="J2768" s="6">
        <f>VLOOKUP(F2768,Analysis!$F$1:$G$5,2,FALSE)</f>
        <v>2440.2966694490838</v>
      </c>
      <c r="K2768">
        <f t="shared" si="172"/>
        <v>4655.2299999999996</v>
      </c>
      <c r="L2768">
        <f t="shared" si="173"/>
        <v>4655.24</v>
      </c>
      <c r="M2768">
        <f t="shared" si="174"/>
        <v>4655.2299999999996</v>
      </c>
      <c r="N2768" s="5" t="str">
        <f t="shared" si="175"/>
        <v>February 2023</v>
      </c>
    </row>
    <row r="2769" spans="1:14" x14ac:dyDescent="0.25">
      <c r="A2769" s="1">
        <v>44965</v>
      </c>
      <c r="B2769" t="s">
        <v>1091</v>
      </c>
      <c r="C2769">
        <v>38</v>
      </c>
      <c r="D2769" t="s">
        <v>9</v>
      </c>
      <c r="E2769" t="s">
        <v>19</v>
      </c>
      <c r="F2769" t="s">
        <v>16</v>
      </c>
      <c r="G2769" t="s">
        <v>12</v>
      </c>
      <c r="H2769">
        <v>4141.26</v>
      </c>
      <c r="I2769" s="8" t="str" cm="1">
        <f t="array" ref="I2769">_xlfn.IFS(C2769&lt;=15,"Children and Young Adolescents", C2769&gt;64, "Seniors", TRUE, "Working Age")</f>
        <v>Working Age</v>
      </c>
      <c r="J2769" s="6">
        <f>VLOOKUP(F2769,Analysis!$F$1:$G$5,2,FALSE)</f>
        <v>2509.1716796874912</v>
      </c>
      <c r="K2769">
        <f t="shared" si="172"/>
        <v>4555.38</v>
      </c>
      <c r="L2769">
        <f t="shared" si="173"/>
        <v>4555.3900000000003</v>
      </c>
      <c r="M2769">
        <f t="shared" si="174"/>
        <v>4555.3900000000003</v>
      </c>
      <c r="N2769" s="5" t="str">
        <f t="shared" si="175"/>
        <v>February 2023</v>
      </c>
    </row>
    <row r="2770" spans="1:14" x14ac:dyDescent="0.25">
      <c r="A2770" s="1">
        <v>44965</v>
      </c>
      <c r="B2770" t="s">
        <v>2616</v>
      </c>
      <c r="C2770">
        <v>32</v>
      </c>
      <c r="D2770" t="s">
        <v>14</v>
      </c>
      <c r="E2770" t="s">
        <v>22</v>
      </c>
      <c r="F2770" t="s">
        <v>16</v>
      </c>
      <c r="G2770" t="s">
        <v>5033</v>
      </c>
      <c r="H2770">
        <v>2507.62</v>
      </c>
      <c r="I2770" s="8" t="str" cm="1">
        <f t="array" ref="I2770">_xlfn.IFS(C2770&lt;=15,"Children and Young Adolescents", C2770&gt;64, "Seniors", TRUE, "Working Age")</f>
        <v>Working Age</v>
      </c>
      <c r="J2770" s="6">
        <f>VLOOKUP(F2770,Analysis!$F$1:$G$5,2,FALSE)</f>
        <v>2509.1716796874912</v>
      </c>
      <c r="K2770">
        <f t="shared" si="172"/>
        <v>2758.38</v>
      </c>
      <c r="L2770">
        <f t="shared" si="173"/>
        <v>2758.3900000000003</v>
      </c>
      <c r="M2770">
        <f t="shared" si="174"/>
        <v>2758.38</v>
      </c>
      <c r="N2770" s="5" t="str">
        <f t="shared" si="175"/>
        <v>February 2023</v>
      </c>
    </row>
    <row r="2771" spans="1:14" x14ac:dyDescent="0.25">
      <c r="A2771" s="1">
        <v>44965</v>
      </c>
      <c r="B2771" t="s">
        <v>2350</v>
      </c>
      <c r="C2771">
        <v>23</v>
      </c>
      <c r="D2771" t="s">
        <v>14</v>
      </c>
      <c r="E2771" t="s">
        <v>15</v>
      </c>
      <c r="F2771" t="s">
        <v>23</v>
      </c>
      <c r="G2771" t="s">
        <v>17</v>
      </c>
      <c r="H2771">
        <v>3477.23</v>
      </c>
      <c r="I2771" s="8" t="str" cm="1">
        <f t="array" ref="I2771">_xlfn.IFS(C2771&lt;=15,"Children and Young Adolescents", C2771&gt;64, "Seniors", TRUE, "Working Age")</f>
        <v>Working Age</v>
      </c>
      <c r="J2771" s="6">
        <f>VLOOKUP(F2771,Analysis!$F$1:$G$5,2,FALSE)</f>
        <v>2440.2966694490838</v>
      </c>
      <c r="K2771">
        <f t="shared" si="172"/>
        <v>3824.95</v>
      </c>
      <c r="L2771">
        <f t="shared" si="173"/>
        <v>3824.96</v>
      </c>
      <c r="M2771">
        <f t="shared" si="174"/>
        <v>3824.95</v>
      </c>
      <c r="N2771" s="5" t="str">
        <f t="shared" si="175"/>
        <v>February 2023</v>
      </c>
    </row>
    <row r="2772" spans="1:14" x14ac:dyDescent="0.25">
      <c r="A2772" s="1">
        <v>44965</v>
      </c>
      <c r="B2772" t="s">
        <v>2372</v>
      </c>
      <c r="C2772">
        <v>74</v>
      </c>
      <c r="D2772" t="s">
        <v>14</v>
      </c>
      <c r="E2772" t="s">
        <v>22</v>
      </c>
      <c r="F2772" t="s">
        <v>16</v>
      </c>
      <c r="G2772" t="s">
        <v>12</v>
      </c>
      <c r="H2772">
        <v>2815.39</v>
      </c>
      <c r="I2772" s="8" t="str" cm="1">
        <f t="array" ref="I2772">_xlfn.IFS(C2772&lt;=15,"Children and Young Adolescents", C2772&gt;64, "Seniors", TRUE, "Working Age")</f>
        <v>Seniors</v>
      </c>
      <c r="J2772" s="6">
        <f>VLOOKUP(F2772,Analysis!$F$1:$G$5,2,FALSE)</f>
        <v>2509.1716796874912</v>
      </c>
      <c r="K2772">
        <f t="shared" si="172"/>
        <v>3096.92</v>
      </c>
      <c r="L2772">
        <f t="shared" si="173"/>
        <v>3096.9300000000003</v>
      </c>
      <c r="M2772">
        <f t="shared" si="174"/>
        <v>3096.93</v>
      </c>
      <c r="N2772" s="5" t="str">
        <f t="shared" si="175"/>
        <v>February 2023</v>
      </c>
    </row>
    <row r="2773" spans="1:14" x14ac:dyDescent="0.25">
      <c r="A2773" s="1">
        <v>44965</v>
      </c>
      <c r="B2773" t="s">
        <v>2732</v>
      </c>
      <c r="C2773">
        <v>91</v>
      </c>
      <c r="D2773" t="s">
        <v>9</v>
      </c>
      <c r="E2773" t="s">
        <v>32</v>
      </c>
      <c r="F2773" t="s">
        <v>11</v>
      </c>
      <c r="G2773" t="s">
        <v>12</v>
      </c>
      <c r="H2773">
        <v>2251.58</v>
      </c>
      <c r="I2773" s="8" t="str" cm="1">
        <f t="array" ref="I2773">_xlfn.IFS(C2773&lt;=15,"Children and Young Adolescents", C2773&gt;64, "Seniors", TRUE, "Working Age")</f>
        <v>Seniors</v>
      </c>
      <c r="J2773" s="6">
        <f>VLOOKUP(F2773,Analysis!$F$1:$G$5,2,FALSE)</f>
        <v>2503.6022787783854</v>
      </c>
      <c r="K2773">
        <f t="shared" si="172"/>
        <v>2476.73</v>
      </c>
      <c r="L2773">
        <f t="shared" si="173"/>
        <v>2476.7400000000002</v>
      </c>
      <c r="M2773">
        <f t="shared" si="174"/>
        <v>2476.7399999999998</v>
      </c>
      <c r="N2773" s="5" t="str">
        <f t="shared" si="175"/>
        <v>February 2023</v>
      </c>
    </row>
    <row r="2774" spans="1:14" x14ac:dyDescent="0.25">
      <c r="A2774" s="1">
        <v>44966</v>
      </c>
      <c r="B2774" t="s">
        <v>4716</v>
      </c>
      <c r="C2774">
        <v>20</v>
      </c>
      <c r="D2774" t="s">
        <v>14</v>
      </c>
      <c r="E2774" t="s">
        <v>22</v>
      </c>
      <c r="F2774" t="s">
        <v>23</v>
      </c>
      <c r="G2774" t="s">
        <v>36</v>
      </c>
      <c r="H2774">
        <v>921.78</v>
      </c>
      <c r="I2774" s="8" t="str" cm="1">
        <f t="array" ref="I2774">_xlfn.IFS(C2774&lt;=15,"Children and Young Adolescents", C2774&gt;64, "Seniors", TRUE, "Working Age")</f>
        <v>Working Age</v>
      </c>
      <c r="J2774" s="6">
        <f>VLOOKUP(F2774,Analysis!$F$1:$G$5,2,FALSE)</f>
        <v>2440.2966694490838</v>
      </c>
      <c r="K2774">
        <f t="shared" si="172"/>
        <v>1013.95</v>
      </c>
      <c r="L2774">
        <f t="shared" si="173"/>
        <v>1013.96</v>
      </c>
      <c r="M2774">
        <f t="shared" si="174"/>
        <v>1013.96</v>
      </c>
      <c r="N2774" s="5" t="str">
        <f t="shared" si="175"/>
        <v>February 2023</v>
      </c>
    </row>
    <row r="2775" spans="1:14" x14ac:dyDescent="0.25">
      <c r="A2775" s="1">
        <v>44966</v>
      </c>
      <c r="B2775" t="s">
        <v>1608</v>
      </c>
      <c r="C2775">
        <v>33</v>
      </c>
      <c r="D2775" t="s">
        <v>14</v>
      </c>
      <c r="E2775" t="s">
        <v>22</v>
      </c>
      <c r="F2775" t="s">
        <v>29</v>
      </c>
      <c r="G2775" t="s">
        <v>36</v>
      </c>
      <c r="H2775">
        <v>3698</v>
      </c>
      <c r="I2775" s="8" t="str" cm="1">
        <f t="array" ref="I2775">_xlfn.IFS(C2775&lt;=15,"Children and Young Adolescents", C2775&gt;64, "Seniors", TRUE, "Working Age")</f>
        <v>Working Age</v>
      </c>
      <c r="J2775" s="6">
        <f>VLOOKUP(F2775,Analysis!$F$1:$G$5,2,FALSE)</f>
        <v>2496.7676064256989</v>
      </c>
      <c r="K2775">
        <f t="shared" si="172"/>
        <v>4067.8</v>
      </c>
      <c r="L2775">
        <f t="shared" si="173"/>
        <v>4067.8</v>
      </c>
      <c r="M2775">
        <f t="shared" si="174"/>
        <v>4067.8</v>
      </c>
      <c r="N2775" s="5" t="str">
        <f t="shared" si="175"/>
        <v>February 2023</v>
      </c>
    </row>
    <row r="2776" spans="1:14" x14ac:dyDescent="0.25">
      <c r="A2776" s="1">
        <v>44966</v>
      </c>
      <c r="B2776" t="s">
        <v>45</v>
      </c>
      <c r="C2776">
        <v>18</v>
      </c>
      <c r="D2776" t="s">
        <v>21</v>
      </c>
      <c r="E2776" t="s">
        <v>32</v>
      </c>
      <c r="F2776" t="s">
        <v>29</v>
      </c>
      <c r="G2776" t="s">
        <v>12</v>
      </c>
      <c r="H2776">
        <v>2984.95</v>
      </c>
      <c r="I2776" s="8" t="str" cm="1">
        <f t="array" ref="I2776">_xlfn.IFS(C2776&lt;=15,"Children and Young Adolescents", C2776&gt;64, "Seniors", TRUE, "Working Age")</f>
        <v>Working Age</v>
      </c>
      <c r="J2776" s="6">
        <f>VLOOKUP(F2776,Analysis!$F$1:$G$5,2,FALSE)</f>
        <v>2496.7676064256989</v>
      </c>
      <c r="K2776">
        <f t="shared" si="172"/>
        <v>3283.44</v>
      </c>
      <c r="L2776">
        <f t="shared" si="173"/>
        <v>3283.4500000000003</v>
      </c>
      <c r="M2776">
        <f t="shared" si="174"/>
        <v>3283.45</v>
      </c>
      <c r="N2776" s="5" t="str">
        <f t="shared" si="175"/>
        <v>February 2023</v>
      </c>
    </row>
    <row r="2777" spans="1:14" x14ac:dyDescent="0.25">
      <c r="A2777" s="1">
        <v>44966</v>
      </c>
      <c r="B2777" t="s">
        <v>620</v>
      </c>
      <c r="C2777">
        <v>10</v>
      </c>
      <c r="D2777" t="s">
        <v>21</v>
      </c>
      <c r="E2777" t="s">
        <v>25</v>
      </c>
      <c r="F2777" t="s">
        <v>16</v>
      </c>
      <c r="G2777" t="s">
        <v>36</v>
      </c>
      <c r="H2777">
        <v>3988.92</v>
      </c>
      <c r="I2777" s="8" t="str" cm="1">
        <f t="array" ref="I2777">_xlfn.IFS(C2777&lt;=15,"Children and Young Adolescents", C2777&gt;64, "Seniors", TRUE, "Working Age")</f>
        <v>Children and Young Adolescents</v>
      </c>
      <c r="J2777" s="6">
        <f>VLOOKUP(F2777,Analysis!$F$1:$G$5,2,FALSE)</f>
        <v>2509.1716796874912</v>
      </c>
      <c r="K2777">
        <f t="shared" si="172"/>
        <v>4387.8100000000004</v>
      </c>
      <c r="L2777">
        <f t="shared" si="173"/>
        <v>4387.8200000000006</v>
      </c>
      <c r="M2777">
        <f t="shared" si="174"/>
        <v>4387.8100000000004</v>
      </c>
      <c r="N2777" s="5" t="str">
        <f t="shared" si="175"/>
        <v>February 2023</v>
      </c>
    </row>
    <row r="2778" spans="1:14" x14ac:dyDescent="0.25">
      <c r="A2778" s="1">
        <v>44966</v>
      </c>
      <c r="B2778" t="s">
        <v>4023</v>
      </c>
      <c r="C2778">
        <v>64</v>
      </c>
      <c r="D2778" t="s">
        <v>14</v>
      </c>
      <c r="E2778" t="s">
        <v>34</v>
      </c>
      <c r="F2778" t="s">
        <v>23</v>
      </c>
      <c r="G2778" t="s">
        <v>12</v>
      </c>
      <c r="H2778">
        <v>3633.41</v>
      </c>
      <c r="I2778" s="8" t="str" cm="1">
        <f t="array" ref="I2778">_xlfn.IFS(C2778&lt;=15,"Children and Young Adolescents", C2778&gt;64, "Seniors", TRUE, "Working Age")</f>
        <v>Working Age</v>
      </c>
      <c r="J2778" s="6">
        <f>VLOOKUP(F2778,Analysis!$F$1:$G$5,2,FALSE)</f>
        <v>2440.2966694490838</v>
      </c>
      <c r="K2778">
        <f t="shared" si="172"/>
        <v>3996.75</v>
      </c>
      <c r="L2778">
        <f t="shared" si="173"/>
        <v>3996.76</v>
      </c>
      <c r="M2778">
        <f t="shared" si="174"/>
        <v>3996.75</v>
      </c>
      <c r="N2778" s="5" t="str">
        <f t="shared" si="175"/>
        <v>February 2023</v>
      </c>
    </row>
    <row r="2779" spans="1:14" x14ac:dyDescent="0.25">
      <c r="A2779" s="1">
        <v>44966</v>
      </c>
      <c r="B2779" t="s">
        <v>2065</v>
      </c>
      <c r="C2779">
        <v>73</v>
      </c>
      <c r="D2779" t="s">
        <v>9</v>
      </c>
      <c r="E2779" t="s">
        <v>15</v>
      </c>
      <c r="F2779" t="s">
        <v>16</v>
      </c>
      <c r="G2779" t="s">
        <v>36</v>
      </c>
      <c r="H2779">
        <v>1868.43</v>
      </c>
      <c r="I2779" s="8" t="str" cm="1">
        <f t="array" ref="I2779">_xlfn.IFS(C2779&lt;=15,"Children and Young Adolescents", C2779&gt;64, "Seniors", TRUE, "Working Age")</f>
        <v>Seniors</v>
      </c>
      <c r="J2779" s="6">
        <f>VLOOKUP(F2779,Analysis!$F$1:$G$5,2,FALSE)</f>
        <v>2509.1716796874912</v>
      </c>
      <c r="K2779">
        <f t="shared" si="172"/>
        <v>2055.27</v>
      </c>
      <c r="L2779">
        <f t="shared" si="173"/>
        <v>2055.2800000000002</v>
      </c>
      <c r="M2779">
        <f t="shared" si="174"/>
        <v>2055.27</v>
      </c>
      <c r="N2779" s="5" t="str">
        <f t="shared" si="175"/>
        <v>February 2023</v>
      </c>
    </row>
    <row r="2780" spans="1:14" x14ac:dyDescent="0.25">
      <c r="A2780" s="1">
        <v>44966</v>
      </c>
      <c r="B2780" t="s">
        <v>3208</v>
      </c>
      <c r="C2780">
        <v>9</v>
      </c>
      <c r="D2780" t="s">
        <v>9</v>
      </c>
      <c r="E2780" t="s">
        <v>5032</v>
      </c>
      <c r="F2780" t="s">
        <v>23</v>
      </c>
      <c r="G2780" t="s">
        <v>39</v>
      </c>
      <c r="H2780">
        <v>1177.1099999999999</v>
      </c>
      <c r="I2780" s="8" t="str" cm="1">
        <f t="array" ref="I2780">_xlfn.IFS(C2780&lt;=15,"Children and Young Adolescents", C2780&gt;64, "Seniors", TRUE, "Working Age")</f>
        <v>Children and Young Adolescents</v>
      </c>
      <c r="J2780" s="6">
        <f>VLOOKUP(F2780,Analysis!$F$1:$G$5,2,FALSE)</f>
        <v>2440.2966694490838</v>
      </c>
      <c r="K2780">
        <f t="shared" si="172"/>
        <v>1294.82</v>
      </c>
      <c r="L2780">
        <f t="shared" si="173"/>
        <v>1294.83</v>
      </c>
      <c r="M2780">
        <f t="shared" si="174"/>
        <v>1294.82</v>
      </c>
      <c r="N2780" s="5" t="str">
        <f t="shared" si="175"/>
        <v>February 2023</v>
      </c>
    </row>
    <row r="2781" spans="1:14" x14ac:dyDescent="0.25">
      <c r="A2781" s="1">
        <v>44966</v>
      </c>
      <c r="B2781" t="s">
        <v>433</v>
      </c>
      <c r="C2781">
        <v>51</v>
      </c>
      <c r="D2781" t="s">
        <v>9</v>
      </c>
      <c r="E2781" t="s">
        <v>32</v>
      </c>
      <c r="F2781" t="s">
        <v>23</v>
      </c>
      <c r="G2781" t="s">
        <v>27</v>
      </c>
      <c r="H2781">
        <v>1925.83</v>
      </c>
      <c r="I2781" s="8" t="str" cm="1">
        <f t="array" ref="I2781">_xlfn.IFS(C2781&lt;=15,"Children and Young Adolescents", C2781&gt;64, "Seniors", TRUE, "Working Age")</f>
        <v>Working Age</v>
      </c>
      <c r="J2781" s="6">
        <f>VLOOKUP(F2781,Analysis!$F$1:$G$5,2,FALSE)</f>
        <v>2440.2966694490838</v>
      </c>
      <c r="K2781">
        <f t="shared" si="172"/>
        <v>2118.41</v>
      </c>
      <c r="L2781">
        <f t="shared" si="173"/>
        <v>2118.42</v>
      </c>
      <c r="M2781">
        <f t="shared" si="174"/>
        <v>2118.41</v>
      </c>
      <c r="N2781" s="5" t="str">
        <f t="shared" si="175"/>
        <v>February 2023</v>
      </c>
    </row>
    <row r="2782" spans="1:14" x14ac:dyDescent="0.25">
      <c r="A2782" s="1">
        <v>44966</v>
      </c>
      <c r="B2782" t="s">
        <v>928</v>
      </c>
      <c r="C2782">
        <v>89</v>
      </c>
      <c r="D2782" t="s">
        <v>9</v>
      </c>
      <c r="E2782" t="s">
        <v>25</v>
      </c>
      <c r="F2782" t="s">
        <v>23</v>
      </c>
      <c r="G2782" t="s">
        <v>27</v>
      </c>
      <c r="H2782">
        <v>2360.92</v>
      </c>
      <c r="I2782" s="8" t="str" cm="1">
        <f t="array" ref="I2782">_xlfn.IFS(C2782&lt;=15,"Children and Young Adolescents", C2782&gt;64, "Seniors", TRUE, "Working Age")</f>
        <v>Seniors</v>
      </c>
      <c r="J2782" s="6">
        <f>VLOOKUP(F2782,Analysis!$F$1:$G$5,2,FALSE)</f>
        <v>2440.2966694490838</v>
      </c>
      <c r="K2782">
        <f t="shared" si="172"/>
        <v>2597.0100000000002</v>
      </c>
      <c r="L2782">
        <f t="shared" si="173"/>
        <v>2597.0200000000004</v>
      </c>
      <c r="M2782">
        <f t="shared" si="174"/>
        <v>2597.0100000000002</v>
      </c>
      <c r="N2782" s="5" t="str">
        <f t="shared" si="175"/>
        <v>February 2023</v>
      </c>
    </row>
    <row r="2783" spans="1:14" x14ac:dyDescent="0.25">
      <c r="A2783" s="1">
        <v>44966</v>
      </c>
      <c r="B2783" t="s">
        <v>274</v>
      </c>
      <c r="C2783">
        <v>84</v>
      </c>
      <c r="D2783" t="s">
        <v>21</v>
      </c>
      <c r="E2783" t="s">
        <v>19</v>
      </c>
      <c r="F2783" t="s">
        <v>29</v>
      </c>
      <c r="G2783" t="s">
        <v>27</v>
      </c>
      <c r="H2783">
        <v>4741.3999999999996</v>
      </c>
      <c r="I2783" s="8" t="str" cm="1">
        <f t="array" ref="I2783">_xlfn.IFS(C2783&lt;=15,"Children and Young Adolescents", C2783&gt;64, "Seniors", TRUE, "Working Age")</f>
        <v>Seniors</v>
      </c>
      <c r="J2783" s="6">
        <f>VLOOKUP(F2783,Analysis!$F$1:$G$5,2,FALSE)</f>
        <v>2496.7676064256989</v>
      </c>
      <c r="K2783">
        <f t="shared" si="172"/>
        <v>5215.54</v>
      </c>
      <c r="L2783">
        <f t="shared" si="173"/>
        <v>5215.54</v>
      </c>
      <c r="M2783">
        <f t="shared" si="174"/>
        <v>5215.54</v>
      </c>
      <c r="N2783" s="5" t="str">
        <f t="shared" si="175"/>
        <v>February 2023</v>
      </c>
    </row>
    <row r="2784" spans="1:14" x14ac:dyDescent="0.25">
      <c r="A2784" s="1">
        <v>44967</v>
      </c>
      <c r="B2784" t="s">
        <v>2106</v>
      </c>
      <c r="C2784">
        <v>98</v>
      </c>
      <c r="D2784" t="s">
        <v>14</v>
      </c>
      <c r="E2784" t="s">
        <v>15</v>
      </c>
      <c r="F2784" t="s">
        <v>29</v>
      </c>
      <c r="G2784" t="s">
        <v>39</v>
      </c>
      <c r="H2784">
        <v>742.85</v>
      </c>
      <c r="I2784" s="8" t="str" cm="1">
        <f t="array" ref="I2784">_xlfn.IFS(C2784&lt;=15,"Children and Young Adolescents", C2784&gt;64, "Seniors", TRUE, "Working Age")</f>
        <v>Seniors</v>
      </c>
      <c r="J2784" s="6">
        <f>VLOOKUP(F2784,Analysis!$F$1:$G$5,2,FALSE)</f>
        <v>2496.7676064256989</v>
      </c>
      <c r="K2784">
        <f t="shared" si="172"/>
        <v>817.13</v>
      </c>
      <c r="L2784">
        <f t="shared" si="173"/>
        <v>817.14</v>
      </c>
      <c r="M2784">
        <f t="shared" si="174"/>
        <v>817.14</v>
      </c>
      <c r="N2784" s="5" t="str">
        <f t="shared" si="175"/>
        <v>February 2023</v>
      </c>
    </row>
    <row r="2785" spans="1:14" x14ac:dyDescent="0.25">
      <c r="A2785" s="1">
        <v>44967</v>
      </c>
      <c r="B2785" t="s">
        <v>4657</v>
      </c>
      <c r="C2785">
        <v>79</v>
      </c>
      <c r="D2785" t="s">
        <v>9</v>
      </c>
      <c r="E2785" t="s">
        <v>32</v>
      </c>
      <c r="F2785" t="s">
        <v>11</v>
      </c>
      <c r="G2785" t="s">
        <v>36</v>
      </c>
      <c r="H2785">
        <v>4275.63</v>
      </c>
      <c r="I2785" s="8" t="str" cm="1">
        <f t="array" ref="I2785">_xlfn.IFS(C2785&lt;=15,"Children and Young Adolescents", C2785&gt;64, "Seniors", TRUE, "Working Age")</f>
        <v>Seniors</v>
      </c>
      <c r="J2785" s="6">
        <f>VLOOKUP(F2785,Analysis!$F$1:$G$5,2,FALSE)</f>
        <v>2503.6022787783854</v>
      </c>
      <c r="K2785">
        <f t="shared" si="172"/>
        <v>4703.1899999999996</v>
      </c>
      <c r="L2785">
        <f t="shared" si="173"/>
        <v>4703.2</v>
      </c>
      <c r="M2785">
        <f t="shared" si="174"/>
        <v>4703.1899999999996</v>
      </c>
      <c r="N2785" s="5" t="str">
        <f t="shared" si="175"/>
        <v>February 2023</v>
      </c>
    </row>
    <row r="2786" spans="1:14" x14ac:dyDescent="0.25">
      <c r="A2786" s="1">
        <v>44967</v>
      </c>
      <c r="B2786" t="s">
        <v>3303</v>
      </c>
      <c r="C2786">
        <v>89</v>
      </c>
      <c r="D2786" t="s">
        <v>9</v>
      </c>
      <c r="E2786" t="s">
        <v>34</v>
      </c>
      <c r="F2786" t="s">
        <v>11</v>
      </c>
      <c r="G2786" t="s">
        <v>36</v>
      </c>
      <c r="H2786">
        <v>446.68</v>
      </c>
      <c r="I2786" s="8" t="str" cm="1">
        <f t="array" ref="I2786">_xlfn.IFS(C2786&lt;=15,"Children and Young Adolescents", C2786&gt;64, "Seniors", TRUE, "Working Age")</f>
        <v>Seniors</v>
      </c>
      <c r="J2786" s="6">
        <f>VLOOKUP(F2786,Analysis!$F$1:$G$5,2,FALSE)</f>
        <v>2503.6022787783854</v>
      </c>
      <c r="K2786">
        <f t="shared" si="172"/>
        <v>491.34</v>
      </c>
      <c r="L2786">
        <f t="shared" si="173"/>
        <v>491.34999999999997</v>
      </c>
      <c r="M2786">
        <f t="shared" si="174"/>
        <v>491.35</v>
      </c>
      <c r="N2786" s="5" t="str">
        <f t="shared" si="175"/>
        <v>February 2023</v>
      </c>
    </row>
    <row r="2787" spans="1:14" x14ac:dyDescent="0.25">
      <c r="A2787" s="1">
        <v>44967</v>
      </c>
      <c r="B2787" t="s">
        <v>3083</v>
      </c>
      <c r="C2787">
        <v>87</v>
      </c>
      <c r="D2787" t="s">
        <v>9</v>
      </c>
      <c r="E2787" t="s">
        <v>5032</v>
      </c>
      <c r="F2787" t="s">
        <v>11</v>
      </c>
      <c r="G2787" t="s">
        <v>17</v>
      </c>
      <c r="H2787">
        <v>4342.82</v>
      </c>
      <c r="I2787" s="8" t="str" cm="1">
        <f t="array" ref="I2787">_xlfn.IFS(C2787&lt;=15,"Children and Young Adolescents", C2787&gt;64, "Seniors", TRUE, "Working Age")</f>
        <v>Seniors</v>
      </c>
      <c r="J2787" s="6">
        <f>VLOOKUP(F2787,Analysis!$F$1:$G$5,2,FALSE)</f>
        <v>2503.6022787783854</v>
      </c>
      <c r="K2787">
        <f t="shared" si="172"/>
        <v>4777.1000000000004</v>
      </c>
      <c r="L2787">
        <f t="shared" si="173"/>
        <v>4777.1100000000006</v>
      </c>
      <c r="M2787">
        <f t="shared" si="174"/>
        <v>4777.1000000000004</v>
      </c>
      <c r="N2787" s="5" t="str">
        <f t="shared" si="175"/>
        <v>February 2023</v>
      </c>
    </row>
    <row r="2788" spans="1:14" x14ac:dyDescent="0.25">
      <c r="A2788" s="1">
        <v>44967</v>
      </c>
      <c r="B2788" t="s">
        <v>1375</v>
      </c>
      <c r="C2788">
        <v>35</v>
      </c>
      <c r="D2788" t="s">
        <v>9</v>
      </c>
      <c r="E2788" t="s">
        <v>19</v>
      </c>
      <c r="F2788" t="s">
        <v>23</v>
      </c>
      <c r="G2788" t="s">
        <v>27</v>
      </c>
      <c r="H2788">
        <v>3752.59</v>
      </c>
      <c r="I2788" s="8" t="str" cm="1">
        <f t="array" ref="I2788">_xlfn.IFS(C2788&lt;=15,"Children and Young Adolescents", C2788&gt;64, "Seniors", TRUE, "Working Age")</f>
        <v>Working Age</v>
      </c>
      <c r="J2788" s="6">
        <f>VLOOKUP(F2788,Analysis!$F$1:$G$5,2,FALSE)</f>
        <v>2440.2966694490838</v>
      </c>
      <c r="K2788">
        <f t="shared" si="172"/>
        <v>4127.84</v>
      </c>
      <c r="L2788">
        <f t="shared" si="173"/>
        <v>4127.8500000000004</v>
      </c>
      <c r="M2788">
        <f t="shared" si="174"/>
        <v>4127.8500000000004</v>
      </c>
      <c r="N2788" s="5" t="str">
        <f t="shared" si="175"/>
        <v>February 2023</v>
      </c>
    </row>
    <row r="2789" spans="1:14" x14ac:dyDescent="0.25">
      <c r="A2789" s="1">
        <v>44967</v>
      </c>
      <c r="B2789" t="s">
        <v>2142</v>
      </c>
      <c r="C2789">
        <v>64</v>
      </c>
      <c r="D2789" t="s">
        <v>14</v>
      </c>
      <c r="E2789" t="s">
        <v>19</v>
      </c>
      <c r="F2789" t="s">
        <v>16</v>
      </c>
      <c r="G2789" t="s">
        <v>27</v>
      </c>
      <c r="H2789">
        <v>2589.92</v>
      </c>
      <c r="I2789" s="8" t="str" cm="1">
        <f t="array" ref="I2789">_xlfn.IFS(C2789&lt;=15,"Children and Young Adolescents", C2789&gt;64, "Seniors", TRUE, "Working Age")</f>
        <v>Working Age</v>
      </c>
      <c r="J2789" s="6">
        <f>VLOOKUP(F2789,Analysis!$F$1:$G$5,2,FALSE)</f>
        <v>2509.1716796874912</v>
      </c>
      <c r="K2789">
        <f t="shared" si="172"/>
        <v>2848.91</v>
      </c>
      <c r="L2789">
        <f t="shared" si="173"/>
        <v>2848.92</v>
      </c>
      <c r="M2789">
        <f t="shared" si="174"/>
        <v>2848.91</v>
      </c>
      <c r="N2789" s="5" t="str">
        <f t="shared" si="175"/>
        <v>February 2023</v>
      </c>
    </row>
    <row r="2790" spans="1:14" x14ac:dyDescent="0.25">
      <c r="A2790" s="1">
        <v>44967</v>
      </c>
      <c r="B2790" t="s">
        <v>1326</v>
      </c>
      <c r="C2790">
        <v>68</v>
      </c>
      <c r="D2790" t="s">
        <v>21</v>
      </c>
      <c r="E2790" t="s">
        <v>22</v>
      </c>
      <c r="F2790" t="s">
        <v>11</v>
      </c>
      <c r="G2790" t="s">
        <v>36</v>
      </c>
      <c r="H2790">
        <v>4643.42</v>
      </c>
      <c r="I2790" s="8" t="str" cm="1">
        <f t="array" ref="I2790">_xlfn.IFS(C2790&lt;=15,"Children and Young Adolescents", C2790&gt;64, "Seniors", TRUE, "Working Age")</f>
        <v>Seniors</v>
      </c>
      <c r="J2790" s="6">
        <f>VLOOKUP(F2790,Analysis!$F$1:$G$5,2,FALSE)</f>
        <v>2503.6022787783854</v>
      </c>
      <c r="K2790">
        <f t="shared" si="172"/>
        <v>5107.76</v>
      </c>
      <c r="L2790">
        <f t="shared" si="173"/>
        <v>5107.7700000000004</v>
      </c>
      <c r="M2790">
        <f t="shared" si="174"/>
        <v>5107.76</v>
      </c>
      <c r="N2790" s="5" t="str">
        <f t="shared" si="175"/>
        <v>February 2023</v>
      </c>
    </row>
    <row r="2791" spans="1:14" x14ac:dyDescent="0.25">
      <c r="A2791" s="1">
        <v>44968</v>
      </c>
      <c r="B2791" t="s">
        <v>2622</v>
      </c>
      <c r="C2791">
        <v>19</v>
      </c>
      <c r="D2791" t="s">
        <v>14</v>
      </c>
      <c r="E2791" t="s">
        <v>19</v>
      </c>
      <c r="F2791" t="s">
        <v>23</v>
      </c>
      <c r="G2791" t="s">
        <v>17</v>
      </c>
      <c r="H2791">
        <v>1058.4100000000001</v>
      </c>
      <c r="I2791" s="8" t="str" cm="1">
        <f t="array" ref="I2791">_xlfn.IFS(C2791&lt;=15,"Children and Young Adolescents", C2791&gt;64, "Seniors", TRUE, "Working Age")</f>
        <v>Working Age</v>
      </c>
      <c r="J2791" s="6">
        <f>VLOOKUP(F2791,Analysis!$F$1:$G$5,2,FALSE)</f>
        <v>2440.2966694490838</v>
      </c>
      <c r="K2791">
        <f t="shared" si="172"/>
        <v>1164.25</v>
      </c>
      <c r="L2791">
        <f t="shared" si="173"/>
        <v>1164.26</v>
      </c>
      <c r="M2791">
        <f t="shared" si="174"/>
        <v>1164.25</v>
      </c>
      <c r="N2791" s="5" t="str">
        <f t="shared" si="175"/>
        <v>February 2023</v>
      </c>
    </row>
    <row r="2792" spans="1:14" x14ac:dyDescent="0.25">
      <c r="A2792" s="1">
        <v>44968</v>
      </c>
      <c r="B2792" t="s">
        <v>1759</v>
      </c>
      <c r="C2792">
        <v>17</v>
      </c>
      <c r="D2792" t="s">
        <v>9</v>
      </c>
      <c r="E2792" t="s">
        <v>32</v>
      </c>
      <c r="F2792" t="s">
        <v>11</v>
      </c>
      <c r="G2792" t="s">
        <v>17</v>
      </c>
      <c r="H2792">
        <v>845.64</v>
      </c>
      <c r="I2792" s="8" t="str" cm="1">
        <f t="array" ref="I2792">_xlfn.IFS(C2792&lt;=15,"Children and Young Adolescents", C2792&gt;64, "Seniors", TRUE, "Working Age")</f>
        <v>Working Age</v>
      </c>
      <c r="J2792" s="6">
        <f>VLOOKUP(F2792,Analysis!$F$1:$G$5,2,FALSE)</f>
        <v>2503.6022787783854</v>
      </c>
      <c r="K2792">
        <f t="shared" si="172"/>
        <v>930.2</v>
      </c>
      <c r="L2792">
        <f t="shared" si="173"/>
        <v>930.21</v>
      </c>
      <c r="M2792">
        <f t="shared" si="174"/>
        <v>930.2</v>
      </c>
      <c r="N2792" s="5" t="str">
        <f t="shared" si="175"/>
        <v>February 2023</v>
      </c>
    </row>
    <row r="2793" spans="1:14" x14ac:dyDescent="0.25">
      <c r="A2793" s="1">
        <v>44968</v>
      </c>
      <c r="B2793" t="s">
        <v>1331</v>
      </c>
      <c r="C2793">
        <v>47</v>
      </c>
      <c r="D2793" t="s">
        <v>21</v>
      </c>
      <c r="E2793" t="s">
        <v>22</v>
      </c>
      <c r="F2793" t="s">
        <v>23</v>
      </c>
      <c r="G2793" t="s">
        <v>12</v>
      </c>
      <c r="H2793">
        <v>3275.51</v>
      </c>
      <c r="I2793" s="8" t="str" cm="1">
        <f t="array" ref="I2793">_xlfn.IFS(C2793&lt;=15,"Children and Young Adolescents", C2793&gt;64, "Seniors", TRUE, "Working Age")</f>
        <v>Working Age</v>
      </c>
      <c r="J2793" s="6">
        <f>VLOOKUP(F2793,Analysis!$F$1:$G$5,2,FALSE)</f>
        <v>2440.2966694490838</v>
      </c>
      <c r="K2793">
        <f t="shared" si="172"/>
        <v>3603.06</v>
      </c>
      <c r="L2793">
        <f t="shared" si="173"/>
        <v>3603.07</v>
      </c>
      <c r="M2793">
        <f t="shared" si="174"/>
        <v>3603.06</v>
      </c>
      <c r="N2793" s="5" t="str">
        <f t="shared" si="175"/>
        <v>February 2023</v>
      </c>
    </row>
    <row r="2794" spans="1:14" x14ac:dyDescent="0.25">
      <c r="A2794" s="1">
        <v>44968</v>
      </c>
      <c r="B2794" t="s">
        <v>4332</v>
      </c>
      <c r="C2794">
        <v>67</v>
      </c>
      <c r="D2794" t="s">
        <v>21</v>
      </c>
      <c r="E2794" t="s">
        <v>22</v>
      </c>
      <c r="F2794" t="s">
        <v>29</v>
      </c>
      <c r="G2794" t="s">
        <v>27</v>
      </c>
      <c r="H2794">
        <v>539.57000000000005</v>
      </c>
      <c r="I2794" s="8" t="str" cm="1">
        <f t="array" ref="I2794">_xlfn.IFS(C2794&lt;=15,"Children and Young Adolescents", C2794&gt;64, "Seniors", TRUE, "Working Age")</f>
        <v>Seniors</v>
      </c>
      <c r="J2794" s="6">
        <f>VLOOKUP(F2794,Analysis!$F$1:$G$5,2,FALSE)</f>
        <v>2496.7676064256989</v>
      </c>
      <c r="K2794">
        <f t="shared" si="172"/>
        <v>593.52</v>
      </c>
      <c r="L2794">
        <f t="shared" si="173"/>
        <v>593.53</v>
      </c>
      <c r="M2794">
        <f t="shared" si="174"/>
        <v>593.53</v>
      </c>
      <c r="N2794" s="5" t="str">
        <f t="shared" si="175"/>
        <v>February 2023</v>
      </c>
    </row>
    <row r="2795" spans="1:14" x14ac:dyDescent="0.25">
      <c r="A2795" s="1">
        <v>44968</v>
      </c>
      <c r="B2795" t="s">
        <v>3173</v>
      </c>
      <c r="C2795">
        <v>56</v>
      </c>
      <c r="D2795" t="s">
        <v>14</v>
      </c>
      <c r="E2795" t="s">
        <v>5032</v>
      </c>
      <c r="F2795" t="s">
        <v>16</v>
      </c>
      <c r="G2795" t="s">
        <v>27</v>
      </c>
      <c r="H2795">
        <v>3569.92</v>
      </c>
      <c r="I2795" s="8" t="str" cm="1">
        <f t="array" ref="I2795">_xlfn.IFS(C2795&lt;=15,"Children and Young Adolescents", C2795&gt;64, "Seniors", TRUE, "Working Age")</f>
        <v>Working Age</v>
      </c>
      <c r="J2795" s="6">
        <f>VLOOKUP(F2795,Analysis!$F$1:$G$5,2,FALSE)</f>
        <v>2509.1716796874912</v>
      </c>
      <c r="K2795">
        <f t="shared" si="172"/>
        <v>3926.91</v>
      </c>
      <c r="L2795">
        <f t="shared" si="173"/>
        <v>3926.92</v>
      </c>
      <c r="M2795">
        <f t="shared" si="174"/>
        <v>3926.91</v>
      </c>
      <c r="N2795" s="5" t="str">
        <f t="shared" si="175"/>
        <v>February 2023</v>
      </c>
    </row>
    <row r="2796" spans="1:14" x14ac:dyDescent="0.25">
      <c r="A2796" s="1">
        <v>44968</v>
      </c>
      <c r="B2796" t="s">
        <v>525</v>
      </c>
      <c r="C2796">
        <v>38</v>
      </c>
      <c r="D2796" t="s">
        <v>9</v>
      </c>
      <c r="E2796" t="s">
        <v>19</v>
      </c>
      <c r="F2796" t="s">
        <v>16</v>
      </c>
      <c r="G2796" t="s">
        <v>27</v>
      </c>
      <c r="H2796">
        <v>1813.65</v>
      </c>
      <c r="I2796" s="8" t="str" cm="1">
        <f t="array" ref="I2796">_xlfn.IFS(C2796&lt;=15,"Children and Young Adolescents", C2796&gt;64, "Seniors", TRUE, "Working Age")</f>
        <v>Working Age</v>
      </c>
      <c r="J2796" s="6">
        <f>VLOOKUP(F2796,Analysis!$F$1:$G$5,2,FALSE)</f>
        <v>2509.1716796874912</v>
      </c>
      <c r="K2796">
        <f t="shared" si="172"/>
        <v>1995.01</v>
      </c>
      <c r="L2796">
        <f t="shared" si="173"/>
        <v>1995.02</v>
      </c>
      <c r="M2796">
        <f t="shared" si="174"/>
        <v>1995.02</v>
      </c>
      <c r="N2796" s="5" t="str">
        <f t="shared" si="175"/>
        <v>February 2023</v>
      </c>
    </row>
    <row r="2797" spans="1:14" x14ac:dyDescent="0.25">
      <c r="A2797" s="1">
        <v>44968</v>
      </c>
      <c r="B2797" t="s">
        <v>2955</v>
      </c>
      <c r="C2797">
        <v>48</v>
      </c>
      <c r="D2797" t="s">
        <v>9</v>
      </c>
      <c r="E2797" t="s">
        <v>10</v>
      </c>
      <c r="F2797" t="s">
        <v>23</v>
      </c>
      <c r="G2797" t="s">
        <v>27</v>
      </c>
      <c r="H2797">
        <v>457.83</v>
      </c>
      <c r="I2797" s="8" t="str" cm="1">
        <f t="array" ref="I2797">_xlfn.IFS(C2797&lt;=15,"Children and Young Adolescents", C2797&gt;64, "Seniors", TRUE, "Working Age")</f>
        <v>Working Age</v>
      </c>
      <c r="J2797" s="6">
        <f>VLOOKUP(F2797,Analysis!$F$1:$G$5,2,FALSE)</f>
        <v>2440.2966694490838</v>
      </c>
      <c r="K2797">
        <f t="shared" si="172"/>
        <v>503.61</v>
      </c>
      <c r="L2797">
        <f t="shared" si="173"/>
        <v>503.62</v>
      </c>
      <c r="M2797">
        <f t="shared" si="174"/>
        <v>503.61</v>
      </c>
      <c r="N2797" s="5" t="str">
        <f t="shared" si="175"/>
        <v>February 2023</v>
      </c>
    </row>
    <row r="2798" spans="1:14" x14ac:dyDescent="0.25">
      <c r="A2798" s="1">
        <v>44968</v>
      </c>
      <c r="B2798" t="s">
        <v>51</v>
      </c>
      <c r="C2798">
        <v>79</v>
      </c>
      <c r="D2798" t="s">
        <v>14</v>
      </c>
      <c r="E2798" t="s">
        <v>32</v>
      </c>
      <c r="F2798" t="s">
        <v>11</v>
      </c>
      <c r="G2798" t="s">
        <v>39</v>
      </c>
      <c r="H2798">
        <v>2287.6799999999998</v>
      </c>
      <c r="I2798" s="8" t="str" cm="1">
        <f t="array" ref="I2798">_xlfn.IFS(C2798&lt;=15,"Children and Young Adolescents", C2798&gt;64, "Seniors", TRUE, "Working Age")</f>
        <v>Seniors</v>
      </c>
      <c r="J2798" s="6">
        <f>VLOOKUP(F2798,Analysis!$F$1:$G$5,2,FALSE)</f>
        <v>2503.6022787783854</v>
      </c>
      <c r="K2798">
        <f t="shared" si="172"/>
        <v>2516.44</v>
      </c>
      <c r="L2798">
        <f t="shared" si="173"/>
        <v>2516.4500000000003</v>
      </c>
      <c r="M2798">
        <f t="shared" si="174"/>
        <v>2516.4499999999998</v>
      </c>
      <c r="N2798" s="5" t="str">
        <f t="shared" si="175"/>
        <v>February 2023</v>
      </c>
    </row>
    <row r="2799" spans="1:14" x14ac:dyDescent="0.25">
      <c r="A2799" s="1">
        <v>44968</v>
      </c>
      <c r="B2799" t="s">
        <v>983</v>
      </c>
      <c r="C2799">
        <v>90</v>
      </c>
      <c r="D2799" t="s">
        <v>14</v>
      </c>
      <c r="E2799" t="s">
        <v>19</v>
      </c>
      <c r="F2799" t="s">
        <v>11</v>
      </c>
      <c r="G2799" t="s">
        <v>27</v>
      </c>
      <c r="H2799">
        <v>1414.28</v>
      </c>
      <c r="I2799" s="8" t="str" cm="1">
        <f t="array" ref="I2799">_xlfn.IFS(C2799&lt;=15,"Children and Young Adolescents", C2799&gt;64, "Seniors", TRUE, "Working Age")</f>
        <v>Seniors</v>
      </c>
      <c r="J2799" s="6">
        <f>VLOOKUP(F2799,Analysis!$F$1:$G$5,2,FALSE)</f>
        <v>2503.6022787783854</v>
      </c>
      <c r="K2799">
        <f t="shared" si="172"/>
        <v>1555.7</v>
      </c>
      <c r="L2799">
        <f t="shared" si="173"/>
        <v>1555.71</v>
      </c>
      <c r="M2799">
        <f t="shared" si="174"/>
        <v>1555.71</v>
      </c>
      <c r="N2799" s="5" t="str">
        <f t="shared" si="175"/>
        <v>February 2023</v>
      </c>
    </row>
    <row r="2800" spans="1:14" x14ac:dyDescent="0.25">
      <c r="A2800" s="1">
        <v>44969</v>
      </c>
      <c r="B2800" t="s">
        <v>3608</v>
      </c>
      <c r="C2800">
        <v>36</v>
      </c>
      <c r="D2800" t="s">
        <v>9</v>
      </c>
      <c r="E2800" t="s">
        <v>32</v>
      </c>
      <c r="F2800" t="s">
        <v>29</v>
      </c>
      <c r="G2800" t="s">
        <v>17</v>
      </c>
      <c r="H2800">
        <v>3405.12</v>
      </c>
      <c r="I2800" s="8" t="str" cm="1">
        <f t="array" ref="I2800">_xlfn.IFS(C2800&lt;=15,"Children and Young Adolescents", C2800&gt;64, "Seniors", TRUE, "Working Age")</f>
        <v>Working Age</v>
      </c>
      <c r="J2800" s="6">
        <f>VLOOKUP(F2800,Analysis!$F$1:$G$5,2,FALSE)</f>
        <v>2496.7676064256989</v>
      </c>
      <c r="K2800">
        <f t="shared" si="172"/>
        <v>3745.63</v>
      </c>
      <c r="L2800">
        <f t="shared" si="173"/>
        <v>3745.6400000000003</v>
      </c>
      <c r="M2800">
        <f t="shared" si="174"/>
        <v>3745.63</v>
      </c>
      <c r="N2800" s="5" t="str">
        <f t="shared" si="175"/>
        <v>February 2023</v>
      </c>
    </row>
    <row r="2801" spans="1:14" x14ac:dyDescent="0.25">
      <c r="A2801" s="1">
        <v>44969</v>
      </c>
      <c r="B2801" t="s">
        <v>4721</v>
      </c>
      <c r="C2801">
        <v>29</v>
      </c>
      <c r="D2801" t="s">
        <v>14</v>
      </c>
      <c r="E2801" t="s">
        <v>15</v>
      </c>
      <c r="F2801" t="s">
        <v>23</v>
      </c>
      <c r="G2801" t="s">
        <v>17</v>
      </c>
      <c r="H2801">
        <v>1795.91</v>
      </c>
      <c r="I2801" s="8" t="str" cm="1">
        <f t="array" ref="I2801">_xlfn.IFS(C2801&lt;=15,"Children and Young Adolescents", C2801&gt;64, "Seniors", TRUE, "Working Age")</f>
        <v>Working Age</v>
      </c>
      <c r="J2801" s="6">
        <f>VLOOKUP(F2801,Analysis!$F$1:$G$5,2,FALSE)</f>
        <v>2440.2966694490838</v>
      </c>
      <c r="K2801">
        <f t="shared" si="172"/>
        <v>1975.5</v>
      </c>
      <c r="L2801">
        <f t="shared" si="173"/>
        <v>1975.51</v>
      </c>
      <c r="M2801">
        <f t="shared" si="174"/>
        <v>1975.5</v>
      </c>
      <c r="N2801" s="5" t="str">
        <f t="shared" si="175"/>
        <v>February 2023</v>
      </c>
    </row>
    <row r="2802" spans="1:14" x14ac:dyDescent="0.25">
      <c r="A2802" s="1">
        <v>44969</v>
      </c>
      <c r="B2802" t="s">
        <v>4393</v>
      </c>
      <c r="C2802">
        <v>9</v>
      </c>
      <c r="D2802" t="s">
        <v>14</v>
      </c>
      <c r="E2802" t="s">
        <v>34</v>
      </c>
      <c r="F2802" t="s">
        <v>29</v>
      </c>
      <c r="G2802" t="s">
        <v>27</v>
      </c>
      <c r="H2802">
        <v>640.13</v>
      </c>
      <c r="I2802" s="8" t="str" cm="1">
        <f t="array" ref="I2802">_xlfn.IFS(C2802&lt;=15,"Children and Young Adolescents", C2802&gt;64, "Seniors", TRUE, "Working Age")</f>
        <v>Children and Young Adolescents</v>
      </c>
      <c r="J2802" s="6">
        <f>VLOOKUP(F2802,Analysis!$F$1:$G$5,2,FALSE)</f>
        <v>2496.7676064256989</v>
      </c>
      <c r="K2802">
        <f t="shared" si="172"/>
        <v>704.14</v>
      </c>
      <c r="L2802">
        <f t="shared" si="173"/>
        <v>704.15</v>
      </c>
      <c r="M2802">
        <f t="shared" si="174"/>
        <v>704.14</v>
      </c>
      <c r="N2802" s="5" t="str">
        <f t="shared" si="175"/>
        <v>February 2023</v>
      </c>
    </row>
    <row r="2803" spans="1:14" x14ac:dyDescent="0.25">
      <c r="A2803" s="1">
        <v>44970</v>
      </c>
      <c r="B2803" t="s">
        <v>4734</v>
      </c>
      <c r="C2803">
        <v>80</v>
      </c>
      <c r="D2803" t="s">
        <v>14</v>
      </c>
      <c r="E2803" t="s">
        <v>32</v>
      </c>
      <c r="F2803" t="s">
        <v>16</v>
      </c>
      <c r="G2803" t="s">
        <v>39</v>
      </c>
      <c r="H2803">
        <v>3508.24</v>
      </c>
      <c r="I2803" s="8" t="str" cm="1">
        <f t="array" ref="I2803">_xlfn.IFS(C2803&lt;=15,"Children and Young Adolescents", C2803&gt;64, "Seniors", TRUE, "Working Age")</f>
        <v>Seniors</v>
      </c>
      <c r="J2803" s="6">
        <f>VLOOKUP(F2803,Analysis!$F$1:$G$5,2,FALSE)</f>
        <v>2509.1716796874912</v>
      </c>
      <c r="K2803">
        <f t="shared" si="172"/>
        <v>3859.06</v>
      </c>
      <c r="L2803">
        <f t="shared" si="173"/>
        <v>3859.07</v>
      </c>
      <c r="M2803">
        <f t="shared" si="174"/>
        <v>3859.06</v>
      </c>
      <c r="N2803" s="5" t="str">
        <f t="shared" si="175"/>
        <v>February 2023</v>
      </c>
    </row>
    <row r="2804" spans="1:14" x14ac:dyDescent="0.25">
      <c r="A2804" s="1">
        <v>44970</v>
      </c>
      <c r="B2804" t="s">
        <v>1649</v>
      </c>
      <c r="C2804">
        <v>66</v>
      </c>
      <c r="D2804" t="s">
        <v>14</v>
      </c>
      <c r="E2804" t="s">
        <v>19</v>
      </c>
      <c r="F2804" t="s">
        <v>29</v>
      </c>
      <c r="G2804" t="s">
        <v>12</v>
      </c>
      <c r="H2804">
        <v>1667.63</v>
      </c>
      <c r="I2804" s="8" t="str" cm="1">
        <f t="array" ref="I2804">_xlfn.IFS(C2804&lt;=15,"Children and Young Adolescents", C2804&gt;64, "Seniors", TRUE, "Working Age")</f>
        <v>Seniors</v>
      </c>
      <c r="J2804" s="6">
        <f>VLOOKUP(F2804,Analysis!$F$1:$G$5,2,FALSE)</f>
        <v>2496.7676064256989</v>
      </c>
      <c r="K2804">
        <f t="shared" si="172"/>
        <v>1834.39</v>
      </c>
      <c r="L2804">
        <f t="shared" si="173"/>
        <v>1834.4</v>
      </c>
      <c r="M2804">
        <f t="shared" si="174"/>
        <v>1834.39</v>
      </c>
      <c r="N2804" s="5" t="str">
        <f t="shared" si="175"/>
        <v>February 2023</v>
      </c>
    </row>
    <row r="2805" spans="1:14" x14ac:dyDescent="0.25">
      <c r="A2805" s="1">
        <v>44970</v>
      </c>
      <c r="B2805" t="s">
        <v>3246</v>
      </c>
      <c r="C2805">
        <v>53</v>
      </c>
      <c r="D2805" t="s">
        <v>21</v>
      </c>
      <c r="E2805" t="s">
        <v>22</v>
      </c>
      <c r="F2805" t="s">
        <v>16</v>
      </c>
      <c r="G2805" t="s">
        <v>39</v>
      </c>
      <c r="H2805">
        <v>246.89</v>
      </c>
      <c r="I2805" s="8" t="str" cm="1">
        <f t="array" ref="I2805">_xlfn.IFS(C2805&lt;=15,"Children and Young Adolescents", C2805&gt;64, "Seniors", TRUE, "Working Age")</f>
        <v>Working Age</v>
      </c>
      <c r="J2805" s="6">
        <f>VLOOKUP(F2805,Analysis!$F$1:$G$5,2,FALSE)</f>
        <v>2509.1716796874912</v>
      </c>
      <c r="K2805">
        <f t="shared" si="172"/>
        <v>271.57</v>
      </c>
      <c r="L2805">
        <f t="shared" si="173"/>
        <v>271.58</v>
      </c>
      <c r="M2805">
        <f t="shared" si="174"/>
        <v>271.58</v>
      </c>
      <c r="N2805" s="5" t="str">
        <f t="shared" si="175"/>
        <v>February 2023</v>
      </c>
    </row>
    <row r="2806" spans="1:14" x14ac:dyDescent="0.25">
      <c r="A2806" s="1">
        <v>44970</v>
      </c>
      <c r="B2806" t="s">
        <v>1055</v>
      </c>
      <c r="C2806">
        <v>23</v>
      </c>
      <c r="D2806" t="s">
        <v>21</v>
      </c>
      <c r="E2806" t="s">
        <v>10</v>
      </c>
      <c r="F2806" t="s">
        <v>23</v>
      </c>
      <c r="G2806" t="s">
        <v>27</v>
      </c>
      <c r="H2806">
        <v>3130.26</v>
      </c>
      <c r="I2806" s="8" t="str" cm="1">
        <f t="array" ref="I2806">_xlfn.IFS(C2806&lt;=15,"Children and Young Adolescents", C2806&gt;64, "Seniors", TRUE, "Working Age")</f>
        <v>Working Age</v>
      </c>
      <c r="J2806" s="6">
        <f>VLOOKUP(F2806,Analysis!$F$1:$G$5,2,FALSE)</f>
        <v>2440.2966694490838</v>
      </c>
      <c r="K2806">
        <f t="shared" si="172"/>
        <v>3443.28</v>
      </c>
      <c r="L2806">
        <f t="shared" si="173"/>
        <v>3443.2900000000004</v>
      </c>
      <c r="M2806">
        <f t="shared" si="174"/>
        <v>3443.29</v>
      </c>
      <c r="N2806" s="5" t="str">
        <f t="shared" si="175"/>
        <v>February 2023</v>
      </c>
    </row>
    <row r="2807" spans="1:14" x14ac:dyDescent="0.25">
      <c r="A2807" s="1">
        <v>44970</v>
      </c>
      <c r="B2807" t="s">
        <v>405</v>
      </c>
      <c r="C2807">
        <v>81</v>
      </c>
      <c r="D2807" t="s">
        <v>9</v>
      </c>
      <c r="E2807" t="s">
        <v>25</v>
      </c>
      <c r="F2807" t="s">
        <v>16</v>
      </c>
      <c r="G2807" t="s">
        <v>36</v>
      </c>
      <c r="H2807">
        <v>21.04</v>
      </c>
      <c r="I2807" s="8" t="str" cm="1">
        <f t="array" ref="I2807">_xlfn.IFS(C2807&lt;=15,"Children and Young Adolescents", C2807&gt;64, "Seniors", TRUE, "Working Age")</f>
        <v>Seniors</v>
      </c>
      <c r="J2807" s="6">
        <f>VLOOKUP(F2807,Analysis!$F$1:$G$5,2,FALSE)</f>
        <v>2509.1716796874912</v>
      </c>
      <c r="K2807">
        <f t="shared" si="172"/>
        <v>23.14</v>
      </c>
      <c r="L2807">
        <f t="shared" si="173"/>
        <v>23.150000000000002</v>
      </c>
      <c r="M2807">
        <f t="shared" si="174"/>
        <v>23.14</v>
      </c>
      <c r="N2807" s="5" t="str">
        <f t="shared" si="175"/>
        <v>February 2023</v>
      </c>
    </row>
    <row r="2808" spans="1:14" x14ac:dyDescent="0.25">
      <c r="A2808" s="1">
        <v>44970</v>
      </c>
      <c r="B2808" t="s">
        <v>2438</v>
      </c>
      <c r="C2808">
        <v>79</v>
      </c>
      <c r="D2808" t="s">
        <v>9</v>
      </c>
      <c r="E2808" t="s">
        <v>22</v>
      </c>
      <c r="F2808" t="s">
        <v>23</v>
      </c>
      <c r="G2808" t="s">
        <v>27</v>
      </c>
      <c r="H2808">
        <v>2659.85</v>
      </c>
      <c r="I2808" s="8" t="str" cm="1">
        <f t="array" ref="I2808">_xlfn.IFS(C2808&lt;=15,"Children and Young Adolescents", C2808&gt;64, "Seniors", TRUE, "Working Age")</f>
        <v>Seniors</v>
      </c>
      <c r="J2808" s="6">
        <f>VLOOKUP(F2808,Analysis!$F$1:$G$5,2,FALSE)</f>
        <v>2440.2966694490838</v>
      </c>
      <c r="K2808">
        <f t="shared" si="172"/>
        <v>2925.83</v>
      </c>
      <c r="L2808">
        <f t="shared" si="173"/>
        <v>2925.84</v>
      </c>
      <c r="M2808">
        <f t="shared" si="174"/>
        <v>2925.84</v>
      </c>
      <c r="N2808" s="5" t="str">
        <f t="shared" si="175"/>
        <v>February 2023</v>
      </c>
    </row>
    <row r="2809" spans="1:14" x14ac:dyDescent="0.25">
      <c r="A2809" s="1">
        <v>44970</v>
      </c>
      <c r="B2809" t="s">
        <v>2894</v>
      </c>
      <c r="C2809">
        <v>14</v>
      </c>
      <c r="D2809" t="s">
        <v>9</v>
      </c>
      <c r="E2809" t="s">
        <v>25</v>
      </c>
      <c r="F2809" t="s">
        <v>16</v>
      </c>
      <c r="G2809" t="s">
        <v>12</v>
      </c>
      <c r="H2809">
        <v>4275.66</v>
      </c>
      <c r="I2809" s="8" t="str" cm="1">
        <f t="array" ref="I2809">_xlfn.IFS(C2809&lt;=15,"Children and Young Adolescents", C2809&gt;64, "Seniors", TRUE, "Working Age")</f>
        <v>Children and Young Adolescents</v>
      </c>
      <c r="J2809" s="6">
        <f>VLOOKUP(F2809,Analysis!$F$1:$G$5,2,FALSE)</f>
        <v>2509.1716796874912</v>
      </c>
      <c r="K2809">
        <f t="shared" si="172"/>
        <v>4703.22</v>
      </c>
      <c r="L2809">
        <f t="shared" si="173"/>
        <v>4703.2300000000005</v>
      </c>
      <c r="M2809">
        <f t="shared" si="174"/>
        <v>4703.2299999999996</v>
      </c>
      <c r="N2809" s="5" t="str">
        <f t="shared" si="175"/>
        <v>February 2023</v>
      </c>
    </row>
    <row r="2810" spans="1:14" x14ac:dyDescent="0.25">
      <c r="A2810" s="1">
        <v>44970</v>
      </c>
      <c r="B2810" t="s">
        <v>1777</v>
      </c>
      <c r="C2810">
        <v>42</v>
      </c>
      <c r="D2810" t="s">
        <v>14</v>
      </c>
      <c r="E2810" t="s">
        <v>25</v>
      </c>
      <c r="F2810" t="s">
        <v>11</v>
      </c>
      <c r="G2810" t="s">
        <v>27</v>
      </c>
      <c r="H2810">
        <v>2822.45</v>
      </c>
      <c r="I2810" s="8" t="str" cm="1">
        <f t="array" ref="I2810">_xlfn.IFS(C2810&lt;=15,"Children and Young Adolescents", C2810&gt;64, "Seniors", TRUE, "Working Age")</f>
        <v>Working Age</v>
      </c>
      <c r="J2810" s="6">
        <f>VLOOKUP(F2810,Analysis!$F$1:$G$5,2,FALSE)</f>
        <v>2503.6022787783854</v>
      </c>
      <c r="K2810">
        <f t="shared" si="172"/>
        <v>3104.69</v>
      </c>
      <c r="L2810">
        <f t="shared" si="173"/>
        <v>3104.7000000000003</v>
      </c>
      <c r="M2810">
        <f t="shared" si="174"/>
        <v>3104.7</v>
      </c>
      <c r="N2810" s="5" t="str">
        <f t="shared" si="175"/>
        <v>February 2023</v>
      </c>
    </row>
    <row r="2811" spans="1:14" x14ac:dyDescent="0.25">
      <c r="A2811" s="1">
        <v>44970</v>
      </c>
      <c r="B2811" t="s">
        <v>1157</v>
      </c>
      <c r="C2811">
        <v>48</v>
      </c>
      <c r="D2811" t="s">
        <v>14</v>
      </c>
      <c r="E2811" t="s">
        <v>22</v>
      </c>
      <c r="F2811" t="s">
        <v>11</v>
      </c>
      <c r="G2811" t="s">
        <v>39</v>
      </c>
      <c r="H2811">
        <v>849.58</v>
      </c>
      <c r="I2811" s="8" t="str" cm="1">
        <f t="array" ref="I2811">_xlfn.IFS(C2811&lt;=15,"Children and Young Adolescents", C2811&gt;64, "Seniors", TRUE, "Working Age")</f>
        <v>Working Age</v>
      </c>
      <c r="J2811" s="6">
        <f>VLOOKUP(F2811,Analysis!$F$1:$G$5,2,FALSE)</f>
        <v>2503.6022787783854</v>
      </c>
      <c r="K2811">
        <f t="shared" si="172"/>
        <v>934.53</v>
      </c>
      <c r="L2811">
        <f t="shared" si="173"/>
        <v>934.54</v>
      </c>
      <c r="M2811">
        <f t="shared" si="174"/>
        <v>934.54</v>
      </c>
      <c r="N2811" s="5" t="str">
        <f t="shared" si="175"/>
        <v>February 2023</v>
      </c>
    </row>
    <row r="2812" spans="1:14" x14ac:dyDescent="0.25">
      <c r="A2812" s="1">
        <v>44971</v>
      </c>
      <c r="B2812" t="s">
        <v>3639</v>
      </c>
      <c r="C2812">
        <v>3</v>
      </c>
      <c r="D2812" t="s">
        <v>9</v>
      </c>
      <c r="E2812" t="s">
        <v>32</v>
      </c>
      <c r="F2812" t="s">
        <v>29</v>
      </c>
      <c r="G2812" t="s">
        <v>12</v>
      </c>
      <c r="H2812">
        <v>69.72</v>
      </c>
      <c r="I2812" s="8" t="str" cm="1">
        <f t="array" ref="I2812">_xlfn.IFS(C2812&lt;=15,"Children and Young Adolescents", C2812&gt;64, "Seniors", TRUE, "Working Age")</f>
        <v>Children and Young Adolescents</v>
      </c>
      <c r="J2812" s="6">
        <f>VLOOKUP(F2812,Analysis!$F$1:$G$5,2,FALSE)</f>
        <v>2496.7676064256989</v>
      </c>
      <c r="K2812">
        <f t="shared" si="172"/>
        <v>76.69</v>
      </c>
      <c r="L2812">
        <f t="shared" si="173"/>
        <v>76.7</v>
      </c>
      <c r="M2812">
        <f t="shared" si="174"/>
        <v>76.69</v>
      </c>
      <c r="N2812" s="5" t="str">
        <f t="shared" si="175"/>
        <v>February 2023</v>
      </c>
    </row>
    <row r="2813" spans="1:14" x14ac:dyDescent="0.25">
      <c r="A2813" s="1">
        <v>44971</v>
      </c>
      <c r="B2813" t="s">
        <v>2780</v>
      </c>
      <c r="C2813">
        <v>60</v>
      </c>
      <c r="D2813" t="s">
        <v>21</v>
      </c>
      <c r="E2813" t="s">
        <v>34</v>
      </c>
      <c r="F2813" t="s">
        <v>11</v>
      </c>
      <c r="G2813" t="s">
        <v>27</v>
      </c>
      <c r="H2813">
        <v>3640.15</v>
      </c>
      <c r="I2813" s="8" t="str" cm="1">
        <f t="array" ref="I2813">_xlfn.IFS(C2813&lt;=15,"Children and Young Adolescents", C2813&gt;64, "Seniors", TRUE, "Working Age")</f>
        <v>Working Age</v>
      </c>
      <c r="J2813" s="6">
        <f>VLOOKUP(F2813,Analysis!$F$1:$G$5,2,FALSE)</f>
        <v>2503.6022787783854</v>
      </c>
      <c r="K2813">
        <f t="shared" si="172"/>
        <v>4004.16</v>
      </c>
      <c r="L2813">
        <f t="shared" si="173"/>
        <v>4004.17</v>
      </c>
      <c r="M2813">
        <f t="shared" si="174"/>
        <v>4004.17</v>
      </c>
      <c r="N2813" s="5" t="str">
        <f t="shared" si="175"/>
        <v>February 2023</v>
      </c>
    </row>
    <row r="2814" spans="1:14" x14ac:dyDescent="0.25">
      <c r="A2814" s="1">
        <v>44971</v>
      </c>
      <c r="B2814" t="s">
        <v>2781</v>
      </c>
      <c r="C2814">
        <v>66</v>
      </c>
      <c r="D2814" t="s">
        <v>21</v>
      </c>
      <c r="E2814" t="s">
        <v>15</v>
      </c>
      <c r="F2814" t="s">
        <v>23</v>
      </c>
      <c r="G2814" t="s">
        <v>12</v>
      </c>
      <c r="H2814">
        <v>4377.92</v>
      </c>
      <c r="I2814" s="8" t="str" cm="1">
        <f t="array" ref="I2814">_xlfn.IFS(C2814&lt;=15,"Children and Young Adolescents", C2814&gt;64, "Seniors", TRUE, "Working Age")</f>
        <v>Seniors</v>
      </c>
      <c r="J2814" s="6">
        <f>VLOOKUP(F2814,Analysis!$F$1:$G$5,2,FALSE)</f>
        <v>2440.2966694490838</v>
      </c>
      <c r="K2814">
        <f t="shared" si="172"/>
        <v>4815.71</v>
      </c>
      <c r="L2814">
        <f t="shared" si="173"/>
        <v>4815.72</v>
      </c>
      <c r="M2814">
        <f t="shared" si="174"/>
        <v>4815.71</v>
      </c>
      <c r="N2814" s="5" t="str">
        <f t="shared" si="175"/>
        <v>February 2023</v>
      </c>
    </row>
    <row r="2815" spans="1:14" x14ac:dyDescent="0.25">
      <c r="A2815" s="1">
        <v>44971</v>
      </c>
      <c r="B2815" t="s">
        <v>2349</v>
      </c>
      <c r="C2815">
        <v>56</v>
      </c>
      <c r="D2815" t="s">
        <v>14</v>
      </c>
      <c r="E2815" t="s">
        <v>22</v>
      </c>
      <c r="F2815" t="s">
        <v>23</v>
      </c>
      <c r="G2815" t="s">
        <v>27</v>
      </c>
      <c r="H2815">
        <v>1156.04</v>
      </c>
      <c r="I2815" s="8" t="str" cm="1">
        <f t="array" ref="I2815">_xlfn.IFS(C2815&lt;=15,"Children and Young Adolescents", C2815&gt;64, "Seniors", TRUE, "Working Age")</f>
        <v>Working Age</v>
      </c>
      <c r="J2815" s="6">
        <f>VLOOKUP(F2815,Analysis!$F$1:$G$5,2,FALSE)</f>
        <v>2440.2966694490838</v>
      </c>
      <c r="K2815">
        <f t="shared" si="172"/>
        <v>1271.6400000000001</v>
      </c>
      <c r="L2815">
        <f t="shared" si="173"/>
        <v>1271.6500000000001</v>
      </c>
      <c r="M2815">
        <f t="shared" si="174"/>
        <v>1271.6400000000001</v>
      </c>
      <c r="N2815" s="5" t="str">
        <f t="shared" si="175"/>
        <v>February 2023</v>
      </c>
    </row>
    <row r="2816" spans="1:14" x14ac:dyDescent="0.25">
      <c r="A2816" s="1">
        <v>44971</v>
      </c>
      <c r="B2816" t="s">
        <v>992</v>
      </c>
      <c r="C2816">
        <v>61</v>
      </c>
      <c r="D2816" t="s">
        <v>9</v>
      </c>
      <c r="E2816" t="s">
        <v>19</v>
      </c>
      <c r="F2816" t="s">
        <v>29</v>
      </c>
      <c r="G2816" t="s">
        <v>17</v>
      </c>
      <c r="H2816">
        <v>3222.11</v>
      </c>
      <c r="I2816" s="8" t="str" cm="1">
        <f t="array" ref="I2816">_xlfn.IFS(C2816&lt;=15,"Children and Young Adolescents", C2816&gt;64, "Seniors", TRUE, "Working Age")</f>
        <v>Working Age</v>
      </c>
      <c r="J2816" s="6">
        <f>VLOOKUP(F2816,Analysis!$F$1:$G$5,2,FALSE)</f>
        <v>2496.7676064256989</v>
      </c>
      <c r="K2816">
        <f t="shared" si="172"/>
        <v>3544.32</v>
      </c>
      <c r="L2816">
        <f t="shared" si="173"/>
        <v>3544.3300000000004</v>
      </c>
      <c r="M2816">
        <f t="shared" si="174"/>
        <v>3544.32</v>
      </c>
      <c r="N2816" s="5" t="str">
        <f t="shared" si="175"/>
        <v>February 2023</v>
      </c>
    </row>
    <row r="2817" spans="1:14" x14ac:dyDescent="0.25">
      <c r="A2817" s="1">
        <v>44971</v>
      </c>
      <c r="B2817" t="s">
        <v>810</v>
      </c>
      <c r="C2817">
        <v>0</v>
      </c>
      <c r="D2817" t="s">
        <v>21</v>
      </c>
      <c r="E2817" t="s">
        <v>22</v>
      </c>
      <c r="F2817" t="s">
        <v>16</v>
      </c>
      <c r="G2817" t="s">
        <v>39</v>
      </c>
      <c r="H2817">
        <v>2640.71</v>
      </c>
      <c r="I2817" s="8" t="str" cm="1">
        <f t="array" ref="I2817">_xlfn.IFS(C2817&lt;=15,"Children and Young Adolescents", C2817&gt;64, "Seniors", TRUE, "Working Age")</f>
        <v>Children and Young Adolescents</v>
      </c>
      <c r="J2817" s="6">
        <f>VLOOKUP(F2817,Analysis!$F$1:$G$5,2,FALSE)</f>
        <v>2509.1716796874912</v>
      </c>
      <c r="K2817">
        <f t="shared" si="172"/>
        <v>2904.78</v>
      </c>
      <c r="L2817">
        <f t="shared" si="173"/>
        <v>2904.7900000000004</v>
      </c>
      <c r="M2817">
        <f t="shared" si="174"/>
        <v>2904.78</v>
      </c>
      <c r="N2817" s="5" t="str">
        <f t="shared" si="175"/>
        <v>February 2023</v>
      </c>
    </row>
    <row r="2818" spans="1:14" x14ac:dyDescent="0.25">
      <c r="A2818" s="1">
        <v>44972</v>
      </c>
      <c r="B2818" t="s">
        <v>4237</v>
      </c>
      <c r="C2818">
        <v>1</v>
      </c>
      <c r="D2818" t="s">
        <v>21</v>
      </c>
      <c r="E2818" t="s">
        <v>34</v>
      </c>
      <c r="F2818" t="s">
        <v>23</v>
      </c>
      <c r="G2818" t="s">
        <v>12</v>
      </c>
      <c r="H2818">
        <v>4985.7700000000004</v>
      </c>
      <c r="I2818" s="8" t="str" cm="1">
        <f t="array" ref="I2818">_xlfn.IFS(C2818&lt;=15,"Children and Young Adolescents", C2818&gt;64, "Seniors", TRUE, "Working Age")</f>
        <v>Children and Young Adolescents</v>
      </c>
      <c r="J2818" s="6">
        <f>VLOOKUP(F2818,Analysis!$F$1:$G$5,2,FALSE)</f>
        <v>2440.2966694490838</v>
      </c>
      <c r="K2818">
        <f t="shared" si="172"/>
        <v>5484.34</v>
      </c>
      <c r="L2818">
        <f t="shared" si="173"/>
        <v>5484.35</v>
      </c>
      <c r="M2818">
        <f t="shared" si="174"/>
        <v>5484.35</v>
      </c>
      <c r="N2818" s="5" t="str">
        <f t="shared" si="175"/>
        <v>February 2023</v>
      </c>
    </row>
    <row r="2819" spans="1:14" x14ac:dyDescent="0.25">
      <c r="A2819" s="1">
        <v>44972</v>
      </c>
      <c r="B2819" t="s">
        <v>2337</v>
      </c>
      <c r="C2819">
        <v>60</v>
      </c>
      <c r="D2819" t="s">
        <v>9</v>
      </c>
      <c r="E2819" t="s">
        <v>32</v>
      </c>
      <c r="F2819" t="s">
        <v>16</v>
      </c>
      <c r="G2819" t="s">
        <v>17</v>
      </c>
      <c r="H2819">
        <v>1758.2</v>
      </c>
      <c r="I2819" s="8" t="str" cm="1">
        <f t="array" ref="I2819">_xlfn.IFS(C2819&lt;=15,"Children and Young Adolescents", C2819&gt;64, "Seniors", TRUE, "Working Age")</f>
        <v>Working Age</v>
      </c>
      <c r="J2819" s="6">
        <f>VLOOKUP(F2819,Analysis!$F$1:$G$5,2,FALSE)</f>
        <v>2509.1716796874912</v>
      </c>
      <c r="K2819">
        <f t="shared" ref="K2819:K2882" si="176">ROUNDDOWN(H2819*1.1,2)</f>
        <v>1934.02</v>
      </c>
      <c r="L2819">
        <f t="shared" ref="L2819:L2882" si="177">ROUNDUP(H2819*1.1,2)</f>
        <v>1934.02</v>
      </c>
      <c r="M2819">
        <f t="shared" ref="M2819:M2882" si="178">ROUND(H2819*1.1,2)</f>
        <v>1934.02</v>
      </c>
      <c r="N2819" s="5" t="str">
        <f t="shared" ref="N2819:N2882" si="179">TEXT(A2819,"mmmm yyyy")</f>
        <v>February 2023</v>
      </c>
    </row>
    <row r="2820" spans="1:14" x14ac:dyDescent="0.25">
      <c r="A2820" s="1">
        <v>44972</v>
      </c>
      <c r="B2820" t="s">
        <v>3023</v>
      </c>
      <c r="C2820">
        <v>50</v>
      </c>
      <c r="D2820" t="s">
        <v>9</v>
      </c>
      <c r="E2820" t="s">
        <v>19</v>
      </c>
      <c r="F2820" t="s">
        <v>11</v>
      </c>
      <c r="G2820" t="s">
        <v>27</v>
      </c>
      <c r="H2820">
        <v>4932.75</v>
      </c>
      <c r="I2820" s="8" t="str" cm="1">
        <f t="array" ref="I2820">_xlfn.IFS(C2820&lt;=15,"Children and Young Adolescents", C2820&gt;64, "Seniors", TRUE, "Working Age")</f>
        <v>Working Age</v>
      </c>
      <c r="J2820" s="6">
        <f>VLOOKUP(F2820,Analysis!$F$1:$G$5,2,FALSE)</f>
        <v>2503.6022787783854</v>
      </c>
      <c r="K2820">
        <f t="shared" si="176"/>
        <v>5426.02</v>
      </c>
      <c r="L2820">
        <f t="shared" si="177"/>
        <v>5426.0300000000007</v>
      </c>
      <c r="M2820">
        <f t="shared" si="178"/>
        <v>5426.03</v>
      </c>
      <c r="N2820" s="5" t="str">
        <f t="shared" si="179"/>
        <v>February 2023</v>
      </c>
    </row>
    <row r="2821" spans="1:14" x14ac:dyDescent="0.25">
      <c r="A2821" s="1">
        <v>44972</v>
      </c>
      <c r="B2821" t="s">
        <v>1348</v>
      </c>
      <c r="C2821">
        <v>52</v>
      </c>
      <c r="D2821" t="s">
        <v>14</v>
      </c>
      <c r="E2821" t="s">
        <v>10</v>
      </c>
      <c r="F2821" t="s">
        <v>29</v>
      </c>
      <c r="G2821" t="s">
        <v>27</v>
      </c>
      <c r="H2821">
        <v>1205.25</v>
      </c>
      <c r="I2821" s="8" t="str" cm="1">
        <f t="array" ref="I2821">_xlfn.IFS(C2821&lt;=15,"Children and Young Adolescents", C2821&gt;64, "Seniors", TRUE, "Working Age")</f>
        <v>Working Age</v>
      </c>
      <c r="J2821" s="6">
        <f>VLOOKUP(F2821,Analysis!$F$1:$G$5,2,FALSE)</f>
        <v>2496.7676064256989</v>
      </c>
      <c r="K2821">
        <f t="shared" si="176"/>
        <v>1325.77</v>
      </c>
      <c r="L2821">
        <f t="shared" si="177"/>
        <v>1325.78</v>
      </c>
      <c r="M2821">
        <f t="shared" si="178"/>
        <v>1325.78</v>
      </c>
      <c r="N2821" s="5" t="str">
        <f t="shared" si="179"/>
        <v>February 2023</v>
      </c>
    </row>
    <row r="2822" spans="1:14" x14ac:dyDescent="0.25">
      <c r="A2822" s="1">
        <v>44972</v>
      </c>
      <c r="B2822" t="s">
        <v>2966</v>
      </c>
      <c r="C2822">
        <v>74</v>
      </c>
      <c r="D2822" t="s">
        <v>21</v>
      </c>
      <c r="E2822" t="s">
        <v>25</v>
      </c>
      <c r="F2822" t="s">
        <v>16</v>
      </c>
      <c r="G2822" t="s">
        <v>36</v>
      </c>
      <c r="H2822">
        <v>3981.71</v>
      </c>
      <c r="I2822" s="8" t="str" cm="1">
        <f t="array" ref="I2822">_xlfn.IFS(C2822&lt;=15,"Children and Young Adolescents", C2822&gt;64, "Seniors", TRUE, "Working Age")</f>
        <v>Seniors</v>
      </c>
      <c r="J2822" s="6">
        <f>VLOOKUP(F2822,Analysis!$F$1:$G$5,2,FALSE)</f>
        <v>2509.1716796874912</v>
      </c>
      <c r="K2822">
        <f t="shared" si="176"/>
        <v>4379.88</v>
      </c>
      <c r="L2822">
        <f t="shared" si="177"/>
        <v>4379.8900000000003</v>
      </c>
      <c r="M2822">
        <f t="shared" si="178"/>
        <v>4379.88</v>
      </c>
      <c r="N2822" s="5" t="str">
        <f t="shared" si="179"/>
        <v>February 2023</v>
      </c>
    </row>
    <row r="2823" spans="1:14" x14ac:dyDescent="0.25">
      <c r="A2823" s="1">
        <v>44972</v>
      </c>
      <c r="B2823" t="s">
        <v>1444</v>
      </c>
      <c r="C2823">
        <v>33</v>
      </c>
      <c r="D2823" t="s">
        <v>9</v>
      </c>
      <c r="E2823" t="s">
        <v>15</v>
      </c>
      <c r="F2823" t="s">
        <v>29</v>
      </c>
      <c r="G2823" t="s">
        <v>17</v>
      </c>
      <c r="H2823">
        <v>4062.39</v>
      </c>
      <c r="I2823" s="8" t="str" cm="1">
        <f t="array" ref="I2823">_xlfn.IFS(C2823&lt;=15,"Children and Young Adolescents", C2823&gt;64, "Seniors", TRUE, "Working Age")</f>
        <v>Working Age</v>
      </c>
      <c r="J2823" s="6">
        <f>VLOOKUP(F2823,Analysis!$F$1:$G$5,2,FALSE)</f>
        <v>2496.7676064256989</v>
      </c>
      <c r="K2823">
        <f t="shared" si="176"/>
        <v>4468.62</v>
      </c>
      <c r="L2823">
        <f t="shared" si="177"/>
        <v>4468.63</v>
      </c>
      <c r="M2823">
        <f t="shared" si="178"/>
        <v>4468.63</v>
      </c>
      <c r="N2823" s="5" t="str">
        <f t="shared" si="179"/>
        <v>February 2023</v>
      </c>
    </row>
    <row r="2824" spans="1:14" x14ac:dyDescent="0.25">
      <c r="A2824" s="1">
        <v>44972</v>
      </c>
      <c r="B2824" t="s">
        <v>2927</v>
      </c>
      <c r="C2824">
        <v>12</v>
      </c>
      <c r="D2824" t="s">
        <v>9</v>
      </c>
      <c r="E2824" t="s">
        <v>19</v>
      </c>
      <c r="F2824" t="s">
        <v>16</v>
      </c>
      <c r="G2824" t="s">
        <v>36</v>
      </c>
      <c r="H2824">
        <v>3849.37</v>
      </c>
      <c r="I2824" s="8" t="str" cm="1">
        <f t="array" ref="I2824">_xlfn.IFS(C2824&lt;=15,"Children and Young Adolescents", C2824&gt;64, "Seniors", TRUE, "Working Age")</f>
        <v>Children and Young Adolescents</v>
      </c>
      <c r="J2824" s="6">
        <f>VLOOKUP(F2824,Analysis!$F$1:$G$5,2,FALSE)</f>
        <v>2509.1716796874912</v>
      </c>
      <c r="K2824">
        <f t="shared" si="176"/>
        <v>4234.3</v>
      </c>
      <c r="L2824">
        <f t="shared" si="177"/>
        <v>4234.3100000000004</v>
      </c>
      <c r="M2824">
        <f t="shared" si="178"/>
        <v>4234.3100000000004</v>
      </c>
      <c r="N2824" s="5" t="str">
        <f t="shared" si="179"/>
        <v>February 2023</v>
      </c>
    </row>
    <row r="2825" spans="1:14" x14ac:dyDescent="0.25">
      <c r="A2825" s="1">
        <v>44973</v>
      </c>
      <c r="B2825" t="s">
        <v>1036</v>
      </c>
      <c r="C2825">
        <v>3</v>
      </c>
      <c r="D2825" t="s">
        <v>9</v>
      </c>
      <c r="E2825" t="s">
        <v>286</v>
      </c>
      <c r="F2825" t="s">
        <v>23</v>
      </c>
      <c r="G2825" t="s">
        <v>12</v>
      </c>
      <c r="H2825">
        <v>85.63</v>
      </c>
      <c r="I2825" s="8" t="str" cm="1">
        <f t="array" ref="I2825">_xlfn.IFS(C2825&lt;=15,"Children and Young Adolescents", C2825&gt;64, "Seniors", TRUE, "Working Age")</f>
        <v>Children and Young Adolescents</v>
      </c>
      <c r="J2825" s="6">
        <f>VLOOKUP(F2825,Analysis!$F$1:$G$5,2,FALSE)</f>
        <v>2440.2966694490838</v>
      </c>
      <c r="K2825">
        <f t="shared" si="176"/>
        <v>94.19</v>
      </c>
      <c r="L2825">
        <f t="shared" si="177"/>
        <v>94.2</v>
      </c>
      <c r="M2825">
        <f t="shared" si="178"/>
        <v>94.19</v>
      </c>
      <c r="N2825" s="5" t="str">
        <f t="shared" si="179"/>
        <v>February 2023</v>
      </c>
    </row>
    <row r="2826" spans="1:14" x14ac:dyDescent="0.25">
      <c r="A2826" s="1">
        <v>44973</v>
      </c>
      <c r="B2826" t="s">
        <v>1098</v>
      </c>
      <c r="C2826">
        <v>50</v>
      </c>
      <c r="D2826" t="s">
        <v>9</v>
      </c>
      <c r="E2826" t="s">
        <v>34</v>
      </c>
      <c r="F2826" t="s">
        <v>11</v>
      </c>
      <c r="G2826" t="s">
        <v>27</v>
      </c>
      <c r="H2826">
        <v>3752.54</v>
      </c>
      <c r="I2826" s="8" t="str" cm="1">
        <f t="array" ref="I2826">_xlfn.IFS(C2826&lt;=15,"Children and Young Adolescents", C2826&gt;64, "Seniors", TRUE, "Working Age")</f>
        <v>Working Age</v>
      </c>
      <c r="J2826" s="6">
        <f>VLOOKUP(F2826,Analysis!$F$1:$G$5,2,FALSE)</f>
        <v>2503.6022787783854</v>
      </c>
      <c r="K2826">
        <f t="shared" si="176"/>
        <v>4127.79</v>
      </c>
      <c r="L2826">
        <f t="shared" si="177"/>
        <v>4127.8</v>
      </c>
      <c r="M2826">
        <f t="shared" si="178"/>
        <v>4127.79</v>
      </c>
      <c r="N2826" s="5" t="str">
        <f t="shared" si="179"/>
        <v>February 2023</v>
      </c>
    </row>
    <row r="2827" spans="1:14" x14ac:dyDescent="0.25">
      <c r="A2827" s="1">
        <v>44973</v>
      </c>
      <c r="B2827" t="s">
        <v>777</v>
      </c>
      <c r="C2827">
        <v>55</v>
      </c>
      <c r="D2827" t="s">
        <v>14</v>
      </c>
      <c r="E2827" t="s">
        <v>15</v>
      </c>
      <c r="F2827" t="s">
        <v>29</v>
      </c>
      <c r="G2827" t="s">
        <v>17</v>
      </c>
      <c r="H2827">
        <v>993.13</v>
      </c>
      <c r="I2827" s="8" t="str" cm="1">
        <f t="array" ref="I2827">_xlfn.IFS(C2827&lt;=15,"Children and Young Adolescents", C2827&gt;64, "Seniors", TRUE, "Working Age")</f>
        <v>Working Age</v>
      </c>
      <c r="J2827" s="6">
        <f>VLOOKUP(F2827,Analysis!$F$1:$G$5,2,FALSE)</f>
        <v>2496.7676064256989</v>
      </c>
      <c r="K2827">
        <f t="shared" si="176"/>
        <v>1092.44</v>
      </c>
      <c r="L2827">
        <f t="shared" si="177"/>
        <v>1092.45</v>
      </c>
      <c r="M2827">
        <f t="shared" si="178"/>
        <v>1092.44</v>
      </c>
      <c r="N2827" s="5" t="str">
        <f t="shared" si="179"/>
        <v>February 2023</v>
      </c>
    </row>
    <row r="2828" spans="1:14" x14ac:dyDescent="0.25">
      <c r="A2828" s="1">
        <v>44973</v>
      </c>
      <c r="B2828" t="s">
        <v>1722</v>
      </c>
      <c r="C2828">
        <v>69</v>
      </c>
      <c r="D2828" t="s">
        <v>9</v>
      </c>
      <c r="E2828" t="s">
        <v>22</v>
      </c>
      <c r="F2828" t="s">
        <v>11</v>
      </c>
      <c r="G2828" t="s">
        <v>39</v>
      </c>
      <c r="H2828">
        <v>409</v>
      </c>
      <c r="I2828" s="8" t="str" cm="1">
        <f t="array" ref="I2828">_xlfn.IFS(C2828&lt;=15,"Children and Young Adolescents", C2828&gt;64, "Seniors", TRUE, "Working Age")</f>
        <v>Seniors</v>
      </c>
      <c r="J2828" s="6">
        <f>VLOOKUP(F2828,Analysis!$F$1:$G$5,2,FALSE)</f>
        <v>2503.6022787783854</v>
      </c>
      <c r="K2828">
        <f t="shared" si="176"/>
        <v>449.9</v>
      </c>
      <c r="L2828">
        <f t="shared" si="177"/>
        <v>449.9</v>
      </c>
      <c r="M2828">
        <f t="shared" si="178"/>
        <v>449.9</v>
      </c>
      <c r="N2828" s="5" t="str">
        <f t="shared" si="179"/>
        <v>February 2023</v>
      </c>
    </row>
    <row r="2829" spans="1:14" x14ac:dyDescent="0.25">
      <c r="A2829" s="1">
        <v>44973</v>
      </c>
      <c r="B2829" t="s">
        <v>2204</v>
      </c>
      <c r="C2829">
        <v>92</v>
      </c>
      <c r="D2829" t="s">
        <v>9</v>
      </c>
      <c r="E2829" t="s">
        <v>19</v>
      </c>
      <c r="F2829" t="s">
        <v>11</v>
      </c>
      <c r="G2829" t="s">
        <v>27</v>
      </c>
      <c r="H2829">
        <v>4805.59</v>
      </c>
      <c r="I2829" s="8" t="str" cm="1">
        <f t="array" ref="I2829">_xlfn.IFS(C2829&lt;=15,"Children and Young Adolescents", C2829&gt;64, "Seniors", TRUE, "Working Age")</f>
        <v>Seniors</v>
      </c>
      <c r="J2829" s="6">
        <f>VLOOKUP(F2829,Analysis!$F$1:$G$5,2,FALSE)</f>
        <v>2503.6022787783854</v>
      </c>
      <c r="K2829">
        <f t="shared" si="176"/>
        <v>5286.14</v>
      </c>
      <c r="L2829">
        <f t="shared" si="177"/>
        <v>5286.1500000000005</v>
      </c>
      <c r="M2829">
        <f t="shared" si="178"/>
        <v>5286.15</v>
      </c>
      <c r="N2829" s="5" t="str">
        <f t="shared" si="179"/>
        <v>February 2023</v>
      </c>
    </row>
    <row r="2830" spans="1:14" x14ac:dyDescent="0.25">
      <c r="A2830" s="1">
        <v>44973</v>
      </c>
      <c r="B2830" t="s">
        <v>3311</v>
      </c>
      <c r="C2830">
        <v>74</v>
      </c>
      <c r="D2830" t="s">
        <v>14</v>
      </c>
      <c r="E2830" t="s">
        <v>34</v>
      </c>
      <c r="F2830" t="s">
        <v>29</v>
      </c>
      <c r="G2830" t="s">
        <v>12</v>
      </c>
      <c r="H2830">
        <v>4604.18</v>
      </c>
      <c r="I2830" s="8" t="str" cm="1">
        <f t="array" ref="I2830">_xlfn.IFS(C2830&lt;=15,"Children and Young Adolescents", C2830&gt;64, "Seniors", TRUE, "Working Age")</f>
        <v>Seniors</v>
      </c>
      <c r="J2830" s="6">
        <f>VLOOKUP(F2830,Analysis!$F$1:$G$5,2,FALSE)</f>
        <v>2496.7676064256989</v>
      </c>
      <c r="K2830">
        <f t="shared" si="176"/>
        <v>5064.59</v>
      </c>
      <c r="L2830">
        <f t="shared" si="177"/>
        <v>5064.6000000000004</v>
      </c>
      <c r="M2830">
        <f t="shared" si="178"/>
        <v>5064.6000000000004</v>
      </c>
      <c r="N2830" s="5" t="str">
        <f t="shared" si="179"/>
        <v>February 2023</v>
      </c>
    </row>
    <row r="2831" spans="1:14" x14ac:dyDescent="0.25">
      <c r="A2831" s="1">
        <v>44973</v>
      </c>
      <c r="B2831" t="s">
        <v>2292</v>
      </c>
      <c r="C2831">
        <v>20</v>
      </c>
      <c r="D2831" t="s">
        <v>14</v>
      </c>
      <c r="E2831" t="s">
        <v>22</v>
      </c>
      <c r="F2831" t="s">
        <v>23</v>
      </c>
      <c r="G2831" t="s">
        <v>27</v>
      </c>
      <c r="H2831">
        <v>827.7</v>
      </c>
      <c r="I2831" s="8" t="str" cm="1">
        <f t="array" ref="I2831">_xlfn.IFS(C2831&lt;=15,"Children and Young Adolescents", C2831&gt;64, "Seniors", TRUE, "Working Age")</f>
        <v>Working Age</v>
      </c>
      <c r="J2831" s="6">
        <f>VLOOKUP(F2831,Analysis!$F$1:$G$5,2,FALSE)</f>
        <v>2440.2966694490838</v>
      </c>
      <c r="K2831">
        <f t="shared" si="176"/>
        <v>910.47</v>
      </c>
      <c r="L2831">
        <f t="shared" si="177"/>
        <v>910.47</v>
      </c>
      <c r="M2831">
        <f t="shared" si="178"/>
        <v>910.47</v>
      </c>
      <c r="N2831" s="5" t="str">
        <f t="shared" si="179"/>
        <v>February 2023</v>
      </c>
    </row>
    <row r="2832" spans="1:14" x14ac:dyDescent="0.25">
      <c r="A2832" s="1">
        <v>44973</v>
      </c>
      <c r="B2832" t="s">
        <v>2411</v>
      </c>
      <c r="C2832">
        <v>49</v>
      </c>
      <c r="D2832" t="s">
        <v>9</v>
      </c>
      <c r="E2832" t="s">
        <v>15</v>
      </c>
      <c r="F2832" t="s">
        <v>29</v>
      </c>
      <c r="G2832" t="s">
        <v>36</v>
      </c>
      <c r="H2832">
        <v>1834.56</v>
      </c>
      <c r="I2832" s="8" t="str" cm="1">
        <f t="array" ref="I2832">_xlfn.IFS(C2832&lt;=15,"Children and Young Adolescents", C2832&gt;64, "Seniors", TRUE, "Working Age")</f>
        <v>Working Age</v>
      </c>
      <c r="J2832" s="6">
        <f>VLOOKUP(F2832,Analysis!$F$1:$G$5,2,FALSE)</f>
        <v>2496.7676064256989</v>
      </c>
      <c r="K2832">
        <f t="shared" si="176"/>
        <v>2018.01</v>
      </c>
      <c r="L2832">
        <f t="shared" si="177"/>
        <v>2018.02</v>
      </c>
      <c r="M2832">
        <f t="shared" si="178"/>
        <v>2018.02</v>
      </c>
      <c r="N2832" s="5" t="str">
        <f t="shared" si="179"/>
        <v>February 2023</v>
      </c>
    </row>
    <row r="2833" spans="1:14" x14ac:dyDescent="0.25">
      <c r="A2833" s="1">
        <v>44974</v>
      </c>
      <c r="B2833" t="s">
        <v>1075</v>
      </c>
      <c r="C2833">
        <v>92</v>
      </c>
      <c r="D2833" t="s">
        <v>14</v>
      </c>
      <c r="E2833" t="s">
        <v>34</v>
      </c>
      <c r="F2833" t="s">
        <v>23</v>
      </c>
      <c r="G2833" t="s">
        <v>12</v>
      </c>
      <c r="H2833">
        <v>3627.43</v>
      </c>
      <c r="I2833" s="8" t="str" cm="1">
        <f t="array" ref="I2833">_xlfn.IFS(C2833&lt;=15,"Children and Young Adolescents", C2833&gt;64, "Seniors", TRUE, "Working Age")</f>
        <v>Seniors</v>
      </c>
      <c r="J2833" s="6">
        <f>VLOOKUP(F2833,Analysis!$F$1:$G$5,2,FALSE)</f>
        <v>2440.2966694490838</v>
      </c>
      <c r="K2833">
        <f t="shared" si="176"/>
        <v>3990.17</v>
      </c>
      <c r="L2833">
        <f t="shared" si="177"/>
        <v>3990.1800000000003</v>
      </c>
      <c r="M2833">
        <f t="shared" si="178"/>
        <v>3990.17</v>
      </c>
      <c r="N2833" s="5" t="str">
        <f t="shared" si="179"/>
        <v>February 2023</v>
      </c>
    </row>
    <row r="2834" spans="1:14" x14ac:dyDescent="0.25">
      <c r="A2834" s="1">
        <v>44974</v>
      </c>
      <c r="B2834" t="s">
        <v>3977</v>
      </c>
      <c r="C2834">
        <v>38</v>
      </c>
      <c r="D2834" t="s">
        <v>21</v>
      </c>
      <c r="E2834" t="s">
        <v>10</v>
      </c>
      <c r="F2834" t="s">
        <v>29</v>
      </c>
      <c r="G2834" t="s">
        <v>17</v>
      </c>
      <c r="H2834">
        <v>1551.58</v>
      </c>
      <c r="I2834" s="8" t="str" cm="1">
        <f t="array" ref="I2834">_xlfn.IFS(C2834&lt;=15,"Children and Young Adolescents", C2834&gt;64, "Seniors", TRUE, "Working Age")</f>
        <v>Working Age</v>
      </c>
      <c r="J2834" s="6">
        <f>VLOOKUP(F2834,Analysis!$F$1:$G$5,2,FALSE)</f>
        <v>2496.7676064256989</v>
      </c>
      <c r="K2834">
        <f t="shared" si="176"/>
        <v>1706.73</v>
      </c>
      <c r="L2834">
        <f t="shared" si="177"/>
        <v>1706.74</v>
      </c>
      <c r="M2834">
        <f t="shared" si="178"/>
        <v>1706.74</v>
      </c>
      <c r="N2834" s="5" t="str">
        <f t="shared" si="179"/>
        <v>February 2023</v>
      </c>
    </row>
    <row r="2835" spans="1:14" x14ac:dyDescent="0.25">
      <c r="A2835" s="1">
        <v>44974</v>
      </c>
      <c r="B2835" t="s">
        <v>679</v>
      </c>
      <c r="C2835">
        <v>71</v>
      </c>
      <c r="D2835" t="s">
        <v>21</v>
      </c>
      <c r="E2835" t="s">
        <v>32</v>
      </c>
      <c r="F2835" t="s">
        <v>11</v>
      </c>
      <c r="G2835" t="s">
        <v>36</v>
      </c>
      <c r="H2835">
        <v>1274.54</v>
      </c>
      <c r="I2835" s="8" t="str" cm="1">
        <f t="array" ref="I2835">_xlfn.IFS(C2835&lt;=15,"Children and Young Adolescents", C2835&gt;64, "Seniors", TRUE, "Working Age")</f>
        <v>Seniors</v>
      </c>
      <c r="J2835" s="6">
        <f>VLOOKUP(F2835,Analysis!$F$1:$G$5,2,FALSE)</f>
        <v>2503.6022787783854</v>
      </c>
      <c r="K2835">
        <f t="shared" si="176"/>
        <v>1401.99</v>
      </c>
      <c r="L2835">
        <f t="shared" si="177"/>
        <v>1402</v>
      </c>
      <c r="M2835">
        <f t="shared" si="178"/>
        <v>1401.99</v>
      </c>
      <c r="N2835" s="5" t="str">
        <f t="shared" si="179"/>
        <v>February 2023</v>
      </c>
    </row>
    <row r="2836" spans="1:14" x14ac:dyDescent="0.25">
      <c r="A2836" s="1">
        <v>44974</v>
      </c>
      <c r="B2836" t="s">
        <v>1014</v>
      </c>
      <c r="C2836">
        <v>69</v>
      </c>
      <c r="D2836" t="s">
        <v>14</v>
      </c>
      <c r="E2836" t="s">
        <v>19</v>
      </c>
      <c r="F2836" t="s">
        <v>16</v>
      </c>
      <c r="G2836" t="s">
        <v>12</v>
      </c>
      <c r="H2836">
        <v>1009.55</v>
      </c>
      <c r="I2836" s="8" t="str" cm="1">
        <f t="array" ref="I2836">_xlfn.IFS(C2836&lt;=15,"Children and Young Adolescents", C2836&gt;64, "Seniors", TRUE, "Working Age")</f>
        <v>Seniors</v>
      </c>
      <c r="J2836" s="6">
        <f>VLOOKUP(F2836,Analysis!$F$1:$G$5,2,FALSE)</f>
        <v>2509.1716796874912</v>
      </c>
      <c r="K2836">
        <f t="shared" si="176"/>
        <v>1110.5</v>
      </c>
      <c r="L2836">
        <f t="shared" si="177"/>
        <v>1110.51</v>
      </c>
      <c r="M2836">
        <f t="shared" si="178"/>
        <v>1110.51</v>
      </c>
      <c r="N2836" s="5" t="str">
        <f t="shared" si="179"/>
        <v>February 2023</v>
      </c>
    </row>
    <row r="2837" spans="1:14" x14ac:dyDescent="0.25">
      <c r="A2837" s="1">
        <v>44974</v>
      </c>
      <c r="B2837" t="s">
        <v>3689</v>
      </c>
      <c r="C2837">
        <v>56</v>
      </c>
      <c r="D2837" t="s">
        <v>14</v>
      </c>
      <c r="E2837" t="s">
        <v>22</v>
      </c>
      <c r="F2837" t="s">
        <v>11</v>
      </c>
      <c r="G2837" t="s">
        <v>27</v>
      </c>
      <c r="H2837">
        <v>4419.43</v>
      </c>
      <c r="I2837" s="8" t="str" cm="1">
        <f t="array" ref="I2837">_xlfn.IFS(C2837&lt;=15,"Children and Young Adolescents", C2837&gt;64, "Seniors", TRUE, "Working Age")</f>
        <v>Working Age</v>
      </c>
      <c r="J2837" s="6">
        <f>VLOOKUP(F2837,Analysis!$F$1:$G$5,2,FALSE)</f>
        <v>2503.6022787783854</v>
      </c>
      <c r="K2837">
        <f t="shared" si="176"/>
        <v>4861.37</v>
      </c>
      <c r="L2837">
        <f t="shared" si="177"/>
        <v>4861.38</v>
      </c>
      <c r="M2837">
        <f t="shared" si="178"/>
        <v>4861.37</v>
      </c>
      <c r="N2837" s="5" t="str">
        <f t="shared" si="179"/>
        <v>February 2023</v>
      </c>
    </row>
    <row r="2838" spans="1:14" x14ac:dyDescent="0.25">
      <c r="A2838" s="1">
        <v>44975</v>
      </c>
      <c r="B2838" t="s">
        <v>3818</v>
      </c>
      <c r="C2838">
        <v>86</v>
      </c>
      <c r="D2838" t="s">
        <v>14</v>
      </c>
      <c r="E2838" t="s">
        <v>15</v>
      </c>
      <c r="F2838" t="s">
        <v>11</v>
      </c>
      <c r="G2838" t="s">
        <v>39</v>
      </c>
      <c r="H2838">
        <v>2866.09</v>
      </c>
      <c r="I2838" s="8" t="str" cm="1">
        <f t="array" ref="I2838">_xlfn.IFS(C2838&lt;=15,"Children and Young Adolescents", C2838&gt;64, "Seniors", TRUE, "Working Age")</f>
        <v>Seniors</v>
      </c>
      <c r="J2838" s="6">
        <f>VLOOKUP(F2838,Analysis!$F$1:$G$5,2,FALSE)</f>
        <v>2503.6022787783854</v>
      </c>
      <c r="K2838">
        <f t="shared" si="176"/>
        <v>3152.69</v>
      </c>
      <c r="L2838">
        <f t="shared" si="177"/>
        <v>3152.7000000000003</v>
      </c>
      <c r="M2838">
        <f t="shared" si="178"/>
        <v>3152.7</v>
      </c>
      <c r="N2838" s="5" t="str">
        <f t="shared" si="179"/>
        <v>February 2023</v>
      </c>
    </row>
    <row r="2839" spans="1:14" x14ac:dyDescent="0.25">
      <c r="A2839" s="1">
        <v>44975</v>
      </c>
      <c r="B2839" t="s">
        <v>3183</v>
      </c>
      <c r="C2839">
        <v>1</v>
      </c>
      <c r="D2839" t="s">
        <v>14</v>
      </c>
      <c r="E2839" t="s">
        <v>32</v>
      </c>
      <c r="F2839" t="s">
        <v>29</v>
      </c>
      <c r="G2839" t="s">
        <v>39</v>
      </c>
      <c r="H2839">
        <v>184.03</v>
      </c>
      <c r="I2839" s="8" t="str" cm="1">
        <f t="array" ref="I2839">_xlfn.IFS(C2839&lt;=15,"Children and Young Adolescents", C2839&gt;64, "Seniors", TRUE, "Working Age")</f>
        <v>Children and Young Adolescents</v>
      </c>
      <c r="J2839" s="6">
        <f>VLOOKUP(F2839,Analysis!$F$1:$G$5,2,FALSE)</f>
        <v>2496.7676064256989</v>
      </c>
      <c r="K2839">
        <f t="shared" si="176"/>
        <v>202.43</v>
      </c>
      <c r="L2839">
        <f t="shared" si="177"/>
        <v>202.44</v>
      </c>
      <c r="M2839">
        <f t="shared" si="178"/>
        <v>202.43</v>
      </c>
      <c r="N2839" s="5" t="str">
        <f t="shared" si="179"/>
        <v>February 2023</v>
      </c>
    </row>
    <row r="2840" spans="1:14" x14ac:dyDescent="0.25">
      <c r="A2840" s="1">
        <v>44975</v>
      </c>
      <c r="B2840" t="s">
        <v>898</v>
      </c>
      <c r="C2840">
        <v>37</v>
      </c>
      <c r="D2840" t="s">
        <v>21</v>
      </c>
      <c r="E2840" t="s">
        <v>19</v>
      </c>
      <c r="F2840" t="s">
        <v>29</v>
      </c>
      <c r="G2840" t="s">
        <v>27</v>
      </c>
      <c r="H2840">
        <v>3620.26</v>
      </c>
      <c r="I2840" s="8" t="str" cm="1">
        <f t="array" ref="I2840">_xlfn.IFS(C2840&lt;=15,"Children and Young Adolescents", C2840&gt;64, "Seniors", TRUE, "Working Age")</f>
        <v>Working Age</v>
      </c>
      <c r="J2840" s="6">
        <f>VLOOKUP(F2840,Analysis!$F$1:$G$5,2,FALSE)</f>
        <v>2496.7676064256989</v>
      </c>
      <c r="K2840">
        <f t="shared" si="176"/>
        <v>3982.28</v>
      </c>
      <c r="L2840">
        <f t="shared" si="177"/>
        <v>3982.2900000000004</v>
      </c>
      <c r="M2840">
        <f t="shared" si="178"/>
        <v>3982.29</v>
      </c>
      <c r="N2840" s="5" t="str">
        <f t="shared" si="179"/>
        <v>February 2023</v>
      </c>
    </row>
    <row r="2841" spans="1:14" x14ac:dyDescent="0.25">
      <c r="A2841" s="1">
        <v>44975</v>
      </c>
      <c r="B2841" t="s">
        <v>1541</v>
      </c>
      <c r="C2841">
        <v>13</v>
      </c>
      <c r="D2841" t="s">
        <v>9</v>
      </c>
      <c r="E2841" t="s">
        <v>34</v>
      </c>
      <c r="F2841" t="s">
        <v>11</v>
      </c>
      <c r="G2841" t="s">
        <v>12</v>
      </c>
      <c r="H2841">
        <v>2524.87</v>
      </c>
      <c r="I2841" s="8" t="str" cm="1">
        <f t="array" ref="I2841">_xlfn.IFS(C2841&lt;=15,"Children and Young Adolescents", C2841&gt;64, "Seniors", TRUE, "Working Age")</f>
        <v>Children and Young Adolescents</v>
      </c>
      <c r="J2841" s="6">
        <f>VLOOKUP(F2841,Analysis!$F$1:$G$5,2,FALSE)</f>
        <v>2503.6022787783854</v>
      </c>
      <c r="K2841">
        <f t="shared" si="176"/>
        <v>2777.35</v>
      </c>
      <c r="L2841">
        <f t="shared" si="177"/>
        <v>2777.36</v>
      </c>
      <c r="M2841">
        <f t="shared" si="178"/>
        <v>2777.36</v>
      </c>
      <c r="N2841" s="5" t="str">
        <f t="shared" si="179"/>
        <v>February 2023</v>
      </c>
    </row>
    <row r="2842" spans="1:14" x14ac:dyDescent="0.25">
      <c r="A2842" s="1">
        <v>44975</v>
      </c>
      <c r="B2842" t="s">
        <v>2674</v>
      </c>
      <c r="C2842">
        <v>80</v>
      </c>
      <c r="D2842" t="s">
        <v>21</v>
      </c>
      <c r="E2842" t="s">
        <v>22</v>
      </c>
      <c r="F2842" t="s">
        <v>11</v>
      </c>
      <c r="G2842" t="s">
        <v>17</v>
      </c>
      <c r="H2842">
        <v>3771.47</v>
      </c>
      <c r="I2842" s="8" t="str" cm="1">
        <f t="array" ref="I2842">_xlfn.IFS(C2842&lt;=15,"Children and Young Adolescents", C2842&gt;64, "Seniors", TRUE, "Working Age")</f>
        <v>Seniors</v>
      </c>
      <c r="J2842" s="6">
        <f>VLOOKUP(F2842,Analysis!$F$1:$G$5,2,FALSE)</f>
        <v>2503.6022787783854</v>
      </c>
      <c r="K2842">
        <f t="shared" si="176"/>
        <v>4148.6099999999997</v>
      </c>
      <c r="L2842">
        <f t="shared" si="177"/>
        <v>4148.62</v>
      </c>
      <c r="M2842">
        <f t="shared" si="178"/>
        <v>4148.62</v>
      </c>
      <c r="N2842" s="5" t="str">
        <f t="shared" si="179"/>
        <v>February 2023</v>
      </c>
    </row>
    <row r="2843" spans="1:14" x14ac:dyDescent="0.25">
      <c r="A2843" s="1">
        <v>44975</v>
      </c>
      <c r="B2843" t="s">
        <v>1128</v>
      </c>
      <c r="C2843">
        <v>12</v>
      </c>
      <c r="D2843" t="s">
        <v>9</v>
      </c>
      <c r="E2843" t="s">
        <v>25</v>
      </c>
      <c r="F2843" t="s">
        <v>11</v>
      </c>
      <c r="G2843" t="s">
        <v>39</v>
      </c>
      <c r="H2843">
        <v>4726.6099999999997</v>
      </c>
      <c r="I2843" s="8" t="str" cm="1">
        <f t="array" ref="I2843">_xlfn.IFS(C2843&lt;=15,"Children and Young Adolescents", C2843&gt;64, "Seniors", TRUE, "Working Age")</f>
        <v>Children and Young Adolescents</v>
      </c>
      <c r="J2843" s="6">
        <f>VLOOKUP(F2843,Analysis!$F$1:$G$5,2,FALSE)</f>
        <v>2503.6022787783854</v>
      </c>
      <c r="K2843">
        <f t="shared" si="176"/>
        <v>5199.2700000000004</v>
      </c>
      <c r="L2843">
        <f t="shared" si="177"/>
        <v>5199.2800000000007</v>
      </c>
      <c r="M2843">
        <f t="shared" si="178"/>
        <v>5199.2700000000004</v>
      </c>
      <c r="N2843" s="5" t="str">
        <f t="shared" si="179"/>
        <v>February 2023</v>
      </c>
    </row>
    <row r="2844" spans="1:14" x14ac:dyDescent="0.25">
      <c r="A2844" s="1">
        <v>44975</v>
      </c>
      <c r="B2844" t="s">
        <v>789</v>
      </c>
      <c r="C2844">
        <v>93</v>
      </c>
      <c r="D2844" t="s">
        <v>21</v>
      </c>
      <c r="E2844" t="s">
        <v>19</v>
      </c>
      <c r="F2844" t="s">
        <v>11</v>
      </c>
      <c r="G2844" t="s">
        <v>27</v>
      </c>
      <c r="H2844">
        <v>1875.61</v>
      </c>
      <c r="I2844" s="8" t="str" cm="1">
        <f t="array" ref="I2844">_xlfn.IFS(C2844&lt;=15,"Children and Young Adolescents", C2844&gt;64, "Seniors", TRUE, "Working Age")</f>
        <v>Seniors</v>
      </c>
      <c r="J2844" s="6">
        <f>VLOOKUP(F2844,Analysis!$F$1:$G$5,2,FALSE)</f>
        <v>2503.6022787783854</v>
      </c>
      <c r="K2844">
        <f t="shared" si="176"/>
        <v>2063.17</v>
      </c>
      <c r="L2844">
        <f t="shared" si="177"/>
        <v>2063.1800000000003</v>
      </c>
      <c r="M2844">
        <f t="shared" si="178"/>
        <v>2063.17</v>
      </c>
      <c r="N2844" s="5" t="str">
        <f t="shared" si="179"/>
        <v>February 2023</v>
      </c>
    </row>
    <row r="2845" spans="1:14" x14ac:dyDescent="0.25">
      <c r="A2845" s="1">
        <v>44975</v>
      </c>
      <c r="B2845" t="s">
        <v>4757</v>
      </c>
      <c r="C2845">
        <v>55</v>
      </c>
      <c r="D2845" t="s">
        <v>21</v>
      </c>
      <c r="E2845" t="s">
        <v>19</v>
      </c>
      <c r="F2845" t="s">
        <v>23</v>
      </c>
      <c r="G2845" t="s">
        <v>12</v>
      </c>
      <c r="H2845">
        <v>526.96</v>
      </c>
      <c r="I2845" s="8" t="str" cm="1">
        <f t="array" ref="I2845">_xlfn.IFS(C2845&lt;=15,"Children and Young Adolescents", C2845&gt;64, "Seniors", TRUE, "Working Age")</f>
        <v>Working Age</v>
      </c>
      <c r="J2845" s="6">
        <f>VLOOKUP(F2845,Analysis!$F$1:$G$5,2,FALSE)</f>
        <v>2440.2966694490838</v>
      </c>
      <c r="K2845">
        <f t="shared" si="176"/>
        <v>579.65</v>
      </c>
      <c r="L2845">
        <f t="shared" si="177"/>
        <v>579.66</v>
      </c>
      <c r="M2845">
        <f t="shared" si="178"/>
        <v>579.66</v>
      </c>
      <c r="N2845" s="5" t="str">
        <f t="shared" si="179"/>
        <v>February 2023</v>
      </c>
    </row>
    <row r="2846" spans="1:14" x14ac:dyDescent="0.25">
      <c r="A2846" s="1">
        <v>44975</v>
      </c>
      <c r="B2846" t="s">
        <v>1703</v>
      </c>
      <c r="C2846">
        <v>95</v>
      </c>
      <c r="D2846" t="s">
        <v>14</v>
      </c>
      <c r="E2846" t="s">
        <v>19</v>
      </c>
      <c r="F2846" t="s">
        <v>23</v>
      </c>
      <c r="G2846" t="s">
        <v>39</v>
      </c>
      <c r="H2846">
        <v>3027.41</v>
      </c>
      <c r="I2846" s="8" t="str" cm="1">
        <f t="array" ref="I2846">_xlfn.IFS(C2846&lt;=15,"Children and Young Adolescents", C2846&gt;64, "Seniors", TRUE, "Working Age")</f>
        <v>Seniors</v>
      </c>
      <c r="J2846" s="6">
        <f>VLOOKUP(F2846,Analysis!$F$1:$G$5,2,FALSE)</f>
        <v>2440.2966694490838</v>
      </c>
      <c r="K2846">
        <f t="shared" si="176"/>
        <v>3330.15</v>
      </c>
      <c r="L2846">
        <f t="shared" si="177"/>
        <v>3330.1600000000003</v>
      </c>
      <c r="M2846">
        <f t="shared" si="178"/>
        <v>3330.15</v>
      </c>
      <c r="N2846" s="5" t="str">
        <f t="shared" si="179"/>
        <v>February 2023</v>
      </c>
    </row>
    <row r="2847" spans="1:14" x14ac:dyDescent="0.25">
      <c r="A2847" s="1">
        <v>44975</v>
      </c>
      <c r="B2847" t="s">
        <v>570</v>
      </c>
      <c r="C2847">
        <v>37</v>
      </c>
      <c r="D2847" t="s">
        <v>9</v>
      </c>
      <c r="E2847" t="s">
        <v>32</v>
      </c>
      <c r="F2847" t="s">
        <v>11</v>
      </c>
      <c r="G2847" t="s">
        <v>36</v>
      </c>
      <c r="H2847">
        <v>3320.57</v>
      </c>
      <c r="I2847" s="8" t="str" cm="1">
        <f t="array" ref="I2847">_xlfn.IFS(C2847&lt;=15,"Children and Young Adolescents", C2847&gt;64, "Seniors", TRUE, "Working Age")</f>
        <v>Working Age</v>
      </c>
      <c r="J2847" s="6">
        <f>VLOOKUP(F2847,Analysis!$F$1:$G$5,2,FALSE)</f>
        <v>2503.6022787783854</v>
      </c>
      <c r="K2847">
        <f t="shared" si="176"/>
        <v>3652.62</v>
      </c>
      <c r="L2847">
        <f t="shared" si="177"/>
        <v>3652.63</v>
      </c>
      <c r="M2847">
        <f t="shared" si="178"/>
        <v>3652.63</v>
      </c>
      <c r="N2847" s="5" t="str">
        <f t="shared" si="179"/>
        <v>February 2023</v>
      </c>
    </row>
    <row r="2848" spans="1:14" x14ac:dyDescent="0.25">
      <c r="A2848" s="1">
        <v>44975</v>
      </c>
      <c r="B2848" t="s">
        <v>4497</v>
      </c>
      <c r="C2848">
        <v>58</v>
      </c>
      <c r="D2848" t="s">
        <v>21</v>
      </c>
      <c r="E2848" t="s">
        <v>32</v>
      </c>
      <c r="F2848" t="s">
        <v>11</v>
      </c>
      <c r="G2848" t="s">
        <v>27</v>
      </c>
      <c r="H2848">
        <v>3949.81</v>
      </c>
      <c r="I2848" s="8" t="str" cm="1">
        <f t="array" ref="I2848">_xlfn.IFS(C2848&lt;=15,"Children and Young Adolescents", C2848&gt;64, "Seniors", TRUE, "Working Age")</f>
        <v>Working Age</v>
      </c>
      <c r="J2848" s="6">
        <f>VLOOKUP(F2848,Analysis!$F$1:$G$5,2,FALSE)</f>
        <v>2503.6022787783854</v>
      </c>
      <c r="K2848">
        <f t="shared" si="176"/>
        <v>4344.79</v>
      </c>
      <c r="L2848">
        <f t="shared" si="177"/>
        <v>4344.8</v>
      </c>
      <c r="M2848">
        <f t="shared" si="178"/>
        <v>4344.79</v>
      </c>
      <c r="N2848" s="5" t="str">
        <f t="shared" si="179"/>
        <v>February 2023</v>
      </c>
    </row>
    <row r="2849" spans="1:14" x14ac:dyDescent="0.25">
      <c r="A2849" s="1">
        <v>44976</v>
      </c>
      <c r="B2849" t="s">
        <v>2244</v>
      </c>
      <c r="C2849">
        <v>84</v>
      </c>
      <c r="D2849" t="s">
        <v>21</v>
      </c>
      <c r="E2849" t="s">
        <v>22</v>
      </c>
      <c r="F2849" t="s">
        <v>23</v>
      </c>
      <c r="G2849" t="s">
        <v>36</v>
      </c>
      <c r="H2849">
        <v>372.23</v>
      </c>
      <c r="I2849" s="8" t="str" cm="1">
        <f t="array" ref="I2849">_xlfn.IFS(C2849&lt;=15,"Children and Young Adolescents", C2849&gt;64, "Seniors", TRUE, "Working Age")</f>
        <v>Seniors</v>
      </c>
      <c r="J2849" s="6">
        <f>VLOOKUP(F2849,Analysis!$F$1:$G$5,2,FALSE)</f>
        <v>2440.2966694490838</v>
      </c>
      <c r="K2849">
        <f t="shared" si="176"/>
        <v>409.45</v>
      </c>
      <c r="L2849">
        <f t="shared" si="177"/>
        <v>409.46</v>
      </c>
      <c r="M2849">
        <f t="shared" si="178"/>
        <v>409.45</v>
      </c>
      <c r="N2849" s="5" t="str">
        <f t="shared" si="179"/>
        <v>February 2023</v>
      </c>
    </row>
    <row r="2850" spans="1:14" x14ac:dyDescent="0.25">
      <c r="A2850" s="1">
        <v>44976</v>
      </c>
      <c r="B2850" t="s">
        <v>1668</v>
      </c>
      <c r="C2850">
        <v>12</v>
      </c>
      <c r="D2850" t="s">
        <v>14</v>
      </c>
      <c r="E2850" t="s">
        <v>22</v>
      </c>
      <c r="F2850" t="s">
        <v>29</v>
      </c>
      <c r="G2850" t="s">
        <v>17</v>
      </c>
      <c r="H2850">
        <v>4878.6499999999996</v>
      </c>
      <c r="I2850" s="8" t="str" cm="1">
        <f t="array" ref="I2850">_xlfn.IFS(C2850&lt;=15,"Children and Young Adolescents", C2850&gt;64, "Seniors", TRUE, "Working Age")</f>
        <v>Children and Young Adolescents</v>
      </c>
      <c r="J2850" s="6">
        <f>VLOOKUP(F2850,Analysis!$F$1:$G$5,2,FALSE)</f>
        <v>2496.7676064256989</v>
      </c>
      <c r="K2850">
        <f t="shared" si="176"/>
        <v>5366.51</v>
      </c>
      <c r="L2850">
        <f t="shared" si="177"/>
        <v>5366.52</v>
      </c>
      <c r="M2850">
        <f t="shared" si="178"/>
        <v>5366.52</v>
      </c>
      <c r="N2850" s="5" t="str">
        <f t="shared" si="179"/>
        <v>February 2023</v>
      </c>
    </row>
    <row r="2851" spans="1:14" x14ac:dyDescent="0.25">
      <c r="A2851" s="1">
        <v>44976</v>
      </c>
      <c r="B2851" t="s">
        <v>584</v>
      </c>
      <c r="C2851">
        <v>68</v>
      </c>
      <c r="D2851" t="s">
        <v>14</v>
      </c>
      <c r="E2851" t="s">
        <v>19</v>
      </c>
      <c r="F2851" t="s">
        <v>29</v>
      </c>
      <c r="G2851" t="s">
        <v>27</v>
      </c>
      <c r="H2851">
        <v>3054.55</v>
      </c>
      <c r="I2851" s="8" t="str" cm="1">
        <f t="array" ref="I2851">_xlfn.IFS(C2851&lt;=15,"Children and Young Adolescents", C2851&gt;64, "Seniors", TRUE, "Working Age")</f>
        <v>Seniors</v>
      </c>
      <c r="J2851" s="6">
        <f>VLOOKUP(F2851,Analysis!$F$1:$G$5,2,FALSE)</f>
        <v>2496.7676064256989</v>
      </c>
      <c r="K2851">
        <f t="shared" si="176"/>
        <v>3360</v>
      </c>
      <c r="L2851">
        <f t="shared" si="177"/>
        <v>3360.01</v>
      </c>
      <c r="M2851">
        <f t="shared" si="178"/>
        <v>3360.01</v>
      </c>
      <c r="N2851" s="5" t="str">
        <f t="shared" si="179"/>
        <v>February 2023</v>
      </c>
    </row>
    <row r="2852" spans="1:14" x14ac:dyDescent="0.25">
      <c r="A2852" s="1">
        <v>44976</v>
      </c>
      <c r="B2852" t="s">
        <v>3600</v>
      </c>
      <c r="C2852">
        <v>93</v>
      </c>
      <c r="D2852" t="s">
        <v>14</v>
      </c>
      <c r="E2852" t="s">
        <v>19</v>
      </c>
      <c r="F2852" t="s">
        <v>29</v>
      </c>
      <c r="G2852" t="s">
        <v>12</v>
      </c>
      <c r="H2852">
        <v>4049.9</v>
      </c>
      <c r="I2852" s="8" t="str" cm="1">
        <f t="array" ref="I2852">_xlfn.IFS(C2852&lt;=15,"Children and Young Adolescents", C2852&gt;64, "Seniors", TRUE, "Working Age")</f>
        <v>Seniors</v>
      </c>
      <c r="J2852" s="6">
        <f>VLOOKUP(F2852,Analysis!$F$1:$G$5,2,FALSE)</f>
        <v>2496.7676064256989</v>
      </c>
      <c r="K2852">
        <f t="shared" si="176"/>
        <v>4454.8900000000003</v>
      </c>
      <c r="L2852">
        <f t="shared" si="177"/>
        <v>4454.8900000000003</v>
      </c>
      <c r="M2852">
        <f t="shared" si="178"/>
        <v>4454.8900000000003</v>
      </c>
      <c r="N2852" s="5" t="str">
        <f t="shared" si="179"/>
        <v>February 2023</v>
      </c>
    </row>
    <row r="2853" spans="1:14" x14ac:dyDescent="0.25">
      <c r="A2853" s="1">
        <v>44976</v>
      </c>
      <c r="B2853" t="s">
        <v>3688</v>
      </c>
      <c r="C2853">
        <v>68</v>
      </c>
      <c r="D2853" t="s">
        <v>21</v>
      </c>
      <c r="E2853" t="s">
        <v>25</v>
      </c>
      <c r="F2853" t="s">
        <v>16</v>
      </c>
      <c r="G2853" t="s">
        <v>27</v>
      </c>
      <c r="H2853">
        <v>1290.0999999999999</v>
      </c>
      <c r="I2853" s="8" t="str" cm="1">
        <f t="array" ref="I2853">_xlfn.IFS(C2853&lt;=15,"Children and Young Adolescents", C2853&gt;64, "Seniors", TRUE, "Working Age")</f>
        <v>Seniors</v>
      </c>
      <c r="J2853" s="6">
        <f>VLOOKUP(F2853,Analysis!$F$1:$G$5,2,FALSE)</f>
        <v>2509.1716796874912</v>
      </c>
      <c r="K2853">
        <f t="shared" si="176"/>
        <v>1419.11</v>
      </c>
      <c r="L2853">
        <f t="shared" si="177"/>
        <v>1419.11</v>
      </c>
      <c r="M2853">
        <f t="shared" si="178"/>
        <v>1419.11</v>
      </c>
      <c r="N2853" s="5" t="str">
        <f t="shared" si="179"/>
        <v>February 2023</v>
      </c>
    </row>
    <row r="2854" spans="1:14" x14ac:dyDescent="0.25">
      <c r="A2854" s="1">
        <v>44976</v>
      </c>
      <c r="B2854" t="s">
        <v>1856</v>
      </c>
      <c r="C2854">
        <v>72</v>
      </c>
      <c r="D2854" t="s">
        <v>9</v>
      </c>
      <c r="E2854" t="s">
        <v>19</v>
      </c>
      <c r="F2854" t="s">
        <v>29</v>
      </c>
      <c r="G2854" t="s">
        <v>27</v>
      </c>
      <c r="H2854">
        <v>2871.12</v>
      </c>
      <c r="I2854" s="8" t="str" cm="1">
        <f t="array" ref="I2854">_xlfn.IFS(C2854&lt;=15,"Children and Young Adolescents", C2854&gt;64, "Seniors", TRUE, "Working Age")</f>
        <v>Seniors</v>
      </c>
      <c r="J2854" s="6">
        <f>VLOOKUP(F2854,Analysis!$F$1:$G$5,2,FALSE)</f>
        <v>2496.7676064256989</v>
      </c>
      <c r="K2854">
        <f t="shared" si="176"/>
        <v>3158.23</v>
      </c>
      <c r="L2854">
        <f t="shared" si="177"/>
        <v>3158.2400000000002</v>
      </c>
      <c r="M2854">
        <f t="shared" si="178"/>
        <v>3158.23</v>
      </c>
      <c r="N2854" s="5" t="str">
        <f t="shared" si="179"/>
        <v>February 2023</v>
      </c>
    </row>
    <row r="2855" spans="1:14" x14ac:dyDescent="0.25">
      <c r="A2855" s="1">
        <v>44976</v>
      </c>
      <c r="B2855" t="s">
        <v>867</v>
      </c>
      <c r="C2855">
        <v>74</v>
      </c>
      <c r="D2855" t="s">
        <v>9</v>
      </c>
      <c r="E2855" t="s">
        <v>15</v>
      </c>
      <c r="F2855" t="s">
        <v>11</v>
      </c>
      <c r="G2855" t="s">
        <v>12</v>
      </c>
      <c r="H2855">
        <v>1269.71</v>
      </c>
      <c r="I2855" s="8" t="str" cm="1">
        <f t="array" ref="I2855">_xlfn.IFS(C2855&lt;=15,"Children and Young Adolescents", C2855&gt;64, "Seniors", TRUE, "Working Age")</f>
        <v>Seniors</v>
      </c>
      <c r="J2855" s="6">
        <f>VLOOKUP(F2855,Analysis!$F$1:$G$5,2,FALSE)</f>
        <v>2503.6022787783854</v>
      </c>
      <c r="K2855">
        <f t="shared" si="176"/>
        <v>1396.68</v>
      </c>
      <c r="L2855">
        <f t="shared" si="177"/>
        <v>1396.69</v>
      </c>
      <c r="M2855">
        <f t="shared" si="178"/>
        <v>1396.68</v>
      </c>
      <c r="N2855" s="5" t="str">
        <f t="shared" si="179"/>
        <v>February 2023</v>
      </c>
    </row>
    <row r="2856" spans="1:14" x14ac:dyDescent="0.25">
      <c r="A2856" s="1">
        <v>44977</v>
      </c>
      <c r="B2856" t="s">
        <v>3699</v>
      </c>
      <c r="C2856">
        <v>17</v>
      </c>
      <c r="D2856" t="s">
        <v>14</v>
      </c>
      <c r="E2856" t="s">
        <v>22</v>
      </c>
      <c r="F2856" t="s">
        <v>16</v>
      </c>
      <c r="G2856" t="s">
        <v>36</v>
      </c>
      <c r="H2856">
        <v>783.39</v>
      </c>
      <c r="I2856" s="8" t="str" cm="1">
        <f t="array" ref="I2856">_xlfn.IFS(C2856&lt;=15,"Children and Young Adolescents", C2856&gt;64, "Seniors", TRUE, "Working Age")</f>
        <v>Working Age</v>
      </c>
      <c r="J2856" s="6">
        <f>VLOOKUP(F2856,Analysis!$F$1:$G$5,2,FALSE)</f>
        <v>2509.1716796874912</v>
      </c>
      <c r="K2856">
        <f t="shared" si="176"/>
        <v>861.72</v>
      </c>
      <c r="L2856">
        <f t="shared" si="177"/>
        <v>861.73</v>
      </c>
      <c r="M2856">
        <f t="shared" si="178"/>
        <v>861.73</v>
      </c>
      <c r="N2856" s="5" t="str">
        <f t="shared" si="179"/>
        <v>February 2023</v>
      </c>
    </row>
    <row r="2857" spans="1:14" x14ac:dyDescent="0.25">
      <c r="A2857" s="1">
        <v>44977</v>
      </c>
      <c r="B2857" t="s">
        <v>4445</v>
      </c>
      <c r="C2857">
        <v>39</v>
      </c>
      <c r="D2857" t="s">
        <v>9</v>
      </c>
      <c r="E2857" t="s">
        <v>22</v>
      </c>
      <c r="F2857" t="s">
        <v>16</v>
      </c>
      <c r="G2857" t="s">
        <v>27</v>
      </c>
      <c r="H2857">
        <v>4205.3100000000004</v>
      </c>
      <c r="I2857" s="8" t="str" cm="1">
        <f t="array" ref="I2857">_xlfn.IFS(C2857&lt;=15,"Children and Young Adolescents", C2857&gt;64, "Seniors", TRUE, "Working Age")</f>
        <v>Working Age</v>
      </c>
      <c r="J2857" s="6">
        <f>VLOOKUP(F2857,Analysis!$F$1:$G$5,2,FALSE)</f>
        <v>2509.1716796874912</v>
      </c>
      <c r="K2857">
        <f t="shared" si="176"/>
        <v>4625.84</v>
      </c>
      <c r="L2857">
        <f t="shared" si="177"/>
        <v>4625.8500000000004</v>
      </c>
      <c r="M2857">
        <f t="shared" si="178"/>
        <v>4625.84</v>
      </c>
      <c r="N2857" s="5" t="str">
        <f t="shared" si="179"/>
        <v>February 2023</v>
      </c>
    </row>
    <row r="2858" spans="1:14" x14ac:dyDescent="0.25">
      <c r="A2858" s="1">
        <v>44977</v>
      </c>
      <c r="B2858" t="s">
        <v>182</v>
      </c>
      <c r="C2858">
        <v>63</v>
      </c>
      <c r="D2858" t="s">
        <v>9</v>
      </c>
      <c r="E2858" t="s">
        <v>32</v>
      </c>
      <c r="F2858" t="s">
        <v>16</v>
      </c>
      <c r="G2858" t="s">
        <v>39</v>
      </c>
      <c r="H2858">
        <v>4015.16</v>
      </c>
      <c r="I2858" s="8" t="str" cm="1">
        <f t="array" ref="I2858">_xlfn.IFS(C2858&lt;=15,"Children and Young Adolescents", C2858&gt;64, "Seniors", TRUE, "Working Age")</f>
        <v>Working Age</v>
      </c>
      <c r="J2858" s="6">
        <f>VLOOKUP(F2858,Analysis!$F$1:$G$5,2,FALSE)</f>
        <v>2509.1716796874912</v>
      </c>
      <c r="K2858">
        <f t="shared" si="176"/>
        <v>4416.67</v>
      </c>
      <c r="L2858">
        <f t="shared" si="177"/>
        <v>4416.68</v>
      </c>
      <c r="M2858">
        <f t="shared" si="178"/>
        <v>4416.68</v>
      </c>
      <c r="N2858" s="5" t="str">
        <f t="shared" si="179"/>
        <v>February 2023</v>
      </c>
    </row>
    <row r="2859" spans="1:14" x14ac:dyDescent="0.25">
      <c r="A2859" s="1">
        <v>44977</v>
      </c>
      <c r="B2859" t="s">
        <v>1466</v>
      </c>
      <c r="C2859">
        <v>74</v>
      </c>
      <c r="D2859" t="s">
        <v>14</v>
      </c>
      <c r="E2859" t="s">
        <v>25</v>
      </c>
      <c r="F2859" t="s">
        <v>29</v>
      </c>
      <c r="G2859" t="s">
        <v>36</v>
      </c>
      <c r="H2859">
        <v>1823.52</v>
      </c>
      <c r="I2859" s="8" t="str" cm="1">
        <f t="array" ref="I2859">_xlfn.IFS(C2859&lt;=15,"Children and Young Adolescents", C2859&gt;64, "Seniors", TRUE, "Working Age")</f>
        <v>Seniors</v>
      </c>
      <c r="J2859" s="6">
        <f>VLOOKUP(F2859,Analysis!$F$1:$G$5,2,FALSE)</f>
        <v>2496.7676064256989</v>
      </c>
      <c r="K2859">
        <f t="shared" si="176"/>
        <v>2005.87</v>
      </c>
      <c r="L2859">
        <f t="shared" si="177"/>
        <v>2005.8799999999999</v>
      </c>
      <c r="M2859">
        <f t="shared" si="178"/>
        <v>2005.87</v>
      </c>
      <c r="N2859" s="5" t="str">
        <f t="shared" si="179"/>
        <v>February 2023</v>
      </c>
    </row>
    <row r="2860" spans="1:14" x14ac:dyDescent="0.25">
      <c r="A2860" s="1">
        <v>44977</v>
      </c>
      <c r="B2860" t="s">
        <v>1957</v>
      </c>
      <c r="C2860">
        <v>72</v>
      </c>
      <c r="D2860" t="s">
        <v>21</v>
      </c>
      <c r="E2860" t="s">
        <v>25</v>
      </c>
      <c r="F2860" t="s">
        <v>11</v>
      </c>
      <c r="G2860" t="s">
        <v>17</v>
      </c>
      <c r="H2860">
        <v>311.89</v>
      </c>
      <c r="I2860" s="8" t="str" cm="1">
        <f t="array" ref="I2860">_xlfn.IFS(C2860&lt;=15,"Children and Young Adolescents", C2860&gt;64, "Seniors", TRUE, "Working Age")</f>
        <v>Seniors</v>
      </c>
      <c r="J2860" s="6">
        <f>VLOOKUP(F2860,Analysis!$F$1:$G$5,2,FALSE)</f>
        <v>2503.6022787783854</v>
      </c>
      <c r="K2860">
        <f t="shared" si="176"/>
        <v>343.07</v>
      </c>
      <c r="L2860">
        <f t="shared" si="177"/>
        <v>343.08</v>
      </c>
      <c r="M2860">
        <f t="shared" si="178"/>
        <v>343.08</v>
      </c>
      <c r="N2860" s="5" t="str">
        <f t="shared" si="179"/>
        <v>February 2023</v>
      </c>
    </row>
    <row r="2861" spans="1:14" x14ac:dyDescent="0.25">
      <c r="A2861" s="1">
        <v>44977</v>
      </c>
      <c r="B2861" t="s">
        <v>194</v>
      </c>
      <c r="C2861">
        <v>72</v>
      </c>
      <c r="D2861" t="s">
        <v>14</v>
      </c>
      <c r="E2861" t="s">
        <v>25</v>
      </c>
      <c r="F2861" t="s">
        <v>16</v>
      </c>
      <c r="G2861" t="s">
        <v>12</v>
      </c>
      <c r="H2861">
        <v>3623.64</v>
      </c>
      <c r="I2861" s="8" t="str" cm="1">
        <f t="array" ref="I2861">_xlfn.IFS(C2861&lt;=15,"Children and Young Adolescents", C2861&gt;64, "Seniors", TRUE, "Working Age")</f>
        <v>Seniors</v>
      </c>
      <c r="J2861" s="6">
        <f>VLOOKUP(F2861,Analysis!$F$1:$G$5,2,FALSE)</f>
        <v>2509.1716796874912</v>
      </c>
      <c r="K2861">
        <f t="shared" si="176"/>
        <v>3986</v>
      </c>
      <c r="L2861">
        <f t="shared" si="177"/>
        <v>3986.01</v>
      </c>
      <c r="M2861">
        <f t="shared" si="178"/>
        <v>3986</v>
      </c>
      <c r="N2861" s="5" t="str">
        <f t="shared" si="179"/>
        <v>February 2023</v>
      </c>
    </row>
    <row r="2862" spans="1:14" x14ac:dyDescent="0.25">
      <c r="A2862" s="1">
        <v>44977</v>
      </c>
      <c r="B2862" t="s">
        <v>4626</v>
      </c>
      <c r="C2862">
        <v>97</v>
      </c>
      <c r="D2862" t="s">
        <v>9</v>
      </c>
      <c r="E2862" t="s">
        <v>25</v>
      </c>
      <c r="F2862" t="s">
        <v>16</v>
      </c>
      <c r="G2862" t="s">
        <v>39</v>
      </c>
      <c r="H2862">
        <v>376.61</v>
      </c>
      <c r="I2862" s="8" t="str" cm="1">
        <f t="array" ref="I2862">_xlfn.IFS(C2862&lt;=15,"Children and Young Adolescents", C2862&gt;64, "Seniors", TRUE, "Working Age")</f>
        <v>Seniors</v>
      </c>
      <c r="J2862" s="6">
        <f>VLOOKUP(F2862,Analysis!$F$1:$G$5,2,FALSE)</f>
        <v>2509.1716796874912</v>
      </c>
      <c r="K2862">
        <f t="shared" si="176"/>
        <v>414.27</v>
      </c>
      <c r="L2862">
        <f t="shared" si="177"/>
        <v>414.28</v>
      </c>
      <c r="M2862">
        <f t="shared" si="178"/>
        <v>414.27</v>
      </c>
      <c r="N2862" s="5" t="str">
        <f t="shared" si="179"/>
        <v>February 2023</v>
      </c>
    </row>
    <row r="2863" spans="1:14" x14ac:dyDescent="0.25">
      <c r="A2863" s="1">
        <v>44977</v>
      </c>
      <c r="B2863" t="s">
        <v>3753</v>
      </c>
      <c r="C2863">
        <v>75</v>
      </c>
      <c r="D2863" t="s">
        <v>9</v>
      </c>
      <c r="E2863" t="s">
        <v>25</v>
      </c>
      <c r="F2863" t="s">
        <v>29</v>
      </c>
      <c r="G2863" t="s">
        <v>12</v>
      </c>
      <c r="H2863">
        <v>3397.94</v>
      </c>
      <c r="I2863" s="8" t="str" cm="1">
        <f t="array" ref="I2863">_xlfn.IFS(C2863&lt;=15,"Children and Young Adolescents", C2863&gt;64, "Seniors", TRUE, "Working Age")</f>
        <v>Seniors</v>
      </c>
      <c r="J2863" s="6">
        <f>VLOOKUP(F2863,Analysis!$F$1:$G$5,2,FALSE)</f>
        <v>2496.7676064256989</v>
      </c>
      <c r="K2863">
        <f t="shared" si="176"/>
        <v>3737.73</v>
      </c>
      <c r="L2863">
        <f t="shared" si="177"/>
        <v>3737.7400000000002</v>
      </c>
      <c r="M2863">
        <f t="shared" si="178"/>
        <v>3737.73</v>
      </c>
      <c r="N2863" s="5" t="str">
        <f t="shared" si="179"/>
        <v>February 2023</v>
      </c>
    </row>
    <row r="2864" spans="1:14" x14ac:dyDescent="0.25">
      <c r="A2864" s="1">
        <v>44977</v>
      </c>
      <c r="B2864" t="s">
        <v>4591</v>
      </c>
      <c r="C2864">
        <v>46</v>
      </c>
      <c r="D2864" t="s">
        <v>14</v>
      </c>
      <c r="E2864" t="s">
        <v>19</v>
      </c>
      <c r="F2864" t="s">
        <v>23</v>
      </c>
      <c r="G2864" t="s">
        <v>39</v>
      </c>
      <c r="H2864">
        <v>176.29</v>
      </c>
      <c r="I2864" s="8" t="str" cm="1">
        <f t="array" ref="I2864">_xlfn.IFS(C2864&lt;=15,"Children and Young Adolescents", C2864&gt;64, "Seniors", TRUE, "Working Age")</f>
        <v>Working Age</v>
      </c>
      <c r="J2864" s="6">
        <f>VLOOKUP(F2864,Analysis!$F$1:$G$5,2,FALSE)</f>
        <v>2440.2966694490838</v>
      </c>
      <c r="K2864">
        <f t="shared" si="176"/>
        <v>193.91</v>
      </c>
      <c r="L2864">
        <f t="shared" si="177"/>
        <v>193.92</v>
      </c>
      <c r="M2864">
        <f t="shared" si="178"/>
        <v>193.92</v>
      </c>
      <c r="N2864" s="5" t="str">
        <f t="shared" si="179"/>
        <v>February 2023</v>
      </c>
    </row>
    <row r="2865" spans="1:14" x14ac:dyDescent="0.25">
      <c r="A2865" s="1">
        <v>44977</v>
      </c>
      <c r="B2865" t="s">
        <v>4619</v>
      </c>
      <c r="C2865">
        <v>45</v>
      </c>
      <c r="D2865" t="s">
        <v>21</v>
      </c>
      <c r="E2865" t="s">
        <v>19</v>
      </c>
      <c r="F2865" t="s">
        <v>29</v>
      </c>
      <c r="G2865" t="s">
        <v>39</v>
      </c>
      <c r="H2865">
        <v>3010.46</v>
      </c>
      <c r="I2865" s="8" t="str" cm="1">
        <f t="array" ref="I2865">_xlfn.IFS(C2865&lt;=15,"Children and Young Adolescents", C2865&gt;64, "Seniors", TRUE, "Working Age")</f>
        <v>Working Age</v>
      </c>
      <c r="J2865" s="6">
        <f>VLOOKUP(F2865,Analysis!$F$1:$G$5,2,FALSE)</f>
        <v>2496.7676064256989</v>
      </c>
      <c r="K2865">
        <f t="shared" si="176"/>
        <v>3311.5</v>
      </c>
      <c r="L2865">
        <f t="shared" si="177"/>
        <v>3311.51</v>
      </c>
      <c r="M2865">
        <f t="shared" si="178"/>
        <v>3311.51</v>
      </c>
      <c r="N2865" s="5" t="str">
        <f t="shared" si="179"/>
        <v>February 2023</v>
      </c>
    </row>
    <row r="2866" spans="1:14" x14ac:dyDescent="0.25">
      <c r="A2866" s="1">
        <v>44977</v>
      </c>
      <c r="B2866" t="s">
        <v>4862</v>
      </c>
      <c r="C2866">
        <v>37</v>
      </c>
      <c r="D2866" t="s">
        <v>14</v>
      </c>
      <c r="E2866" t="s">
        <v>15</v>
      </c>
      <c r="F2866" t="s">
        <v>29</v>
      </c>
      <c r="G2866" t="s">
        <v>12</v>
      </c>
      <c r="H2866">
        <v>614.80999999999995</v>
      </c>
      <c r="I2866" s="8" t="str" cm="1">
        <f t="array" ref="I2866">_xlfn.IFS(C2866&lt;=15,"Children and Young Adolescents", C2866&gt;64, "Seniors", TRUE, "Working Age")</f>
        <v>Working Age</v>
      </c>
      <c r="J2866" s="6">
        <f>VLOOKUP(F2866,Analysis!$F$1:$G$5,2,FALSE)</f>
        <v>2496.7676064256989</v>
      </c>
      <c r="K2866">
        <f t="shared" si="176"/>
        <v>676.29</v>
      </c>
      <c r="L2866">
        <f t="shared" si="177"/>
        <v>676.3</v>
      </c>
      <c r="M2866">
        <f t="shared" si="178"/>
        <v>676.29</v>
      </c>
      <c r="N2866" s="5" t="str">
        <f t="shared" si="179"/>
        <v>February 2023</v>
      </c>
    </row>
    <row r="2867" spans="1:14" x14ac:dyDescent="0.25">
      <c r="A2867" s="1">
        <v>44978</v>
      </c>
      <c r="B2867" t="s">
        <v>3483</v>
      </c>
      <c r="C2867">
        <v>3</v>
      </c>
      <c r="D2867" t="s">
        <v>9</v>
      </c>
      <c r="E2867" t="s">
        <v>15</v>
      </c>
      <c r="F2867" t="s">
        <v>11</v>
      </c>
      <c r="G2867" t="s">
        <v>17</v>
      </c>
      <c r="H2867">
        <v>142.33000000000001</v>
      </c>
      <c r="I2867" s="8" t="str" cm="1">
        <f t="array" ref="I2867">_xlfn.IFS(C2867&lt;=15,"Children and Young Adolescents", C2867&gt;64, "Seniors", TRUE, "Working Age")</f>
        <v>Children and Young Adolescents</v>
      </c>
      <c r="J2867" s="6">
        <f>VLOOKUP(F2867,Analysis!$F$1:$G$5,2,FALSE)</f>
        <v>2503.6022787783854</v>
      </c>
      <c r="K2867">
        <f t="shared" si="176"/>
        <v>156.56</v>
      </c>
      <c r="L2867">
        <f t="shared" si="177"/>
        <v>156.57</v>
      </c>
      <c r="M2867">
        <f t="shared" si="178"/>
        <v>156.56</v>
      </c>
      <c r="N2867" s="5" t="str">
        <f t="shared" si="179"/>
        <v>February 2023</v>
      </c>
    </row>
    <row r="2868" spans="1:14" x14ac:dyDescent="0.25">
      <c r="A2868" s="1">
        <v>44978</v>
      </c>
      <c r="B2868" t="s">
        <v>3283</v>
      </c>
      <c r="C2868">
        <v>38</v>
      </c>
      <c r="D2868" t="s">
        <v>14</v>
      </c>
      <c r="E2868" t="s">
        <v>34</v>
      </c>
      <c r="F2868" t="s">
        <v>11</v>
      </c>
      <c r="G2868" t="s">
        <v>39</v>
      </c>
      <c r="H2868">
        <v>4833.17</v>
      </c>
      <c r="I2868" s="8" t="str" cm="1">
        <f t="array" ref="I2868">_xlfn.IFS(C2868&lt;=15,"Children and Young Adolescents", C2868&gt;64, "Seniors", TRUE, "Working Age")</f>
        <v>Working Age</v>
      </c>
      <c r="J2868" s="6">
        <f>VLOOKUP(F2868,Analysis!$F$1:$G$5,2,FALSE)</f>
        <v>2503.6022787783854</v>
      </c>
      <c r="K2868">
        <f t="shared" si="176"/>
        <v>5316.48</v>
      </c>
      <c r="L2868">
        <f t="shared" si="177"/>
        <v>5316.49</v>
      </c>
      <c r="M2868">
        <f t="shared" si="178"/>
        <v>5316.49</v>
      </c>
      <c r="N2868" s="5" t="str">
        <f t="shared" si="179"/>
        <v>February 2023</v>
      </c>
    </row>
    <row r="2869" spans="1:14" x14ac:dyDescent="0.25">
      <c r="A2869" s="1">
        <v>44978</v>
      </c>
      <c r="B2869" t="s">
        <v>4153</v>
      </c>
      <c r="C2869">
        <v>3</v>
      </c>
      <c r="D2869" t="s">
        <v>14</v>
      </c>
      <c r="E2869" t="s">
        <v>25</v>
      </c>
      <c r="F2869" t="s">
        <v>29</v>
      </c>
      <c r="G2869" t="s">
        <v>12</v>
      </c>
      <c r="H2869">
        <v>2005.22</v>
      </c>
      <c r="I2869" s="8" t="str" cm="1">
        <f t="array" ref="I2869">_xlfn.IFS(C2869&lt;=15,"Children and Young Adolescents", C2869&gt;64, "Seniors", TRUE, "Working Age")</f>
        <v>Children and Young Adolescents</v>
      </c>
      <c r="J2869" s="6">
        <f>VLOOKUP(F2869,Analysis!$F$1:$G$5,2,FALSE)</f>
        <v>2496.7676064256989</v>
      </c>
      <c r="K2869">
        <f t="shared" si="176"/>
        <v>2205.7399999999998</v>
      </c>
      <c r="L2869">
        <f t="shared" si="177"/>
        <v>2205.75</v>
      </c>
      <c r="M2869">
        <f t="shared" si="178"/>
        <v>2205.7399999999998</v>
      </c>
      <c r="N2869" s="5" t="str">
        <f t="shared" si="179"/>
        <v>February 2023</v>
      </c>
    </row>
    <row r="2870" spans="1:14" x14ac:dyDescent="0.25">
      <c r="A2870" s="1">
        <v>44978</v>
      </c>
      <c r="B2870" t="s">
        <v>4261</v>
      </c>
      <c r="C2870">
        <v>46</v>
      </c>
      <c r="D2870" t="s">
        <v>9</v>
      </c>
      <c r="E2870" t="s">
        <v>5032</v>
      </c>
      <c r="F2870" t="s">
        <v>11</v>
      </c>
      <c r="G2870" t="s">
        <v>36</v>
      </c>
      <c r="H2870">
        <v>2116.9499999999998</v>
      </c>
      <c r="I2870" s="8" t="str" cm="1">
        <f t="array" ref="I2870">_xlfn.IFS(C2870&lt;=15,"Children and Young Adolescents", C2870&gt;64, "Seniors", TRUE, "Working Age")</f>
        <v>Working Age</v>
      </c>
      <c r="J2870" s="6">
        <f>VLOOKUP(F2870,Analysis!$F$1:$G$5,2,FALSE)</f>
        <v>2503.6022787783854</v>
      </c>
      <c r="K2870">
        <f t="shared" si="176"/>
        <v>2328.64</v>
      </c>
      <c r="L2870">
        <f t="shared" si="177"/>
        <v>2328.65</v>
      </c>
      <c r="M2870">
        <f t="shared" si="178"/>
        <v>2328.65</v>
      </c>
      <c r="N2870" s="5" t="str">
        <f t="shared" si="179"/>
        <v>February 2023</v>
      </c>
    </row>
    <row r="2871" spans="1:14" x14ac:dyDescent="0.25">
      <c r="A2871" s="1">
        <v>44979</v>
      </c>
      <c r="B2871" t="s">
        <v>3505</v>
      </c>
      <c r="C2871">
        <v>82</v>
      </c>
      <c r="D2871" t="s">
        <v>14</v>
      </c>
      <c r="E2871" t="s">
        <v>32</v>
      </c>
      <c r="F2871" t="s">
        <v>29</v>
      </c>
      <c r="G2871" t="s">
        <v>27</v>
      </c>
      <c r="H2871">
        <v>4977.6499999999996</v>
      </c>
      <c r="I2871" s="8" t="str" cm="1">
        <f t="array" ref="I2871">_xlfn.IFS(C2871&lt;=15,"Children and Young Adolescents", C2871&gt;64, "Seniors", TRUE, "Working Age")</f>
        <v>Seniors</v>
      </c>
      <c r="J2871" s="6">
        <f>VLOOKUP(F2871,Analysis!$F$1:$G$5,2,FALSE)</f>
        <v>2496.7676064256989</v>
      </c>
      <c r="K2871">
        <f t="shared" si="176"/>
        <v>5475.41</v>
      </c>
      <c r="L2871">
        <f t="shared" si="177"/>
        <v>5475.42</v>
      </c>
      <c r="M2871">
        <f t="shared" si="178"/>
        <v>5475.42</v>
      </c>
      <c r="N2871" s="5" t="str">
        <f t="shared" si="179"/>
        <v>February 2023</v>
      </c>
    </row>
    <row r="2872" spans="1:14" x14ac:dyDescent="0.25">
      <c r="A2872" s="1">
        <v>44979</v>
      </c>
      <c r="B2872" t="s">
        <v>4062</v>
      </c>
      <c r="C2872">
        <v>48</v>
      </c>
      <c r="D2872" t="s">
        <v>9</v>
      </c>
      <c r="E2872" t="s">
        <v>32</v>
      </c>
      <c r="F2872" t="s">
        <v>29</v>
      </c>
      <c r="G2872" t="s">
        <v>27</v>
      </c>
      <c r="H2872">
        <v>4350.3100000000004</v>
      </c>
      <c r="I2872" s="8" t="str" cm="1">
        <f t="array" ref="I2872">_xlfn.IFS(C2872&lt;=15,"Children and Young Adolescents", C2872&gt;64, "Seniors", TRUE, "Working Age")</f>
        <v>Working Age</v>
      </c>
      <c r="J2872" s="6">
        <f>VLOOKUP(F2872,Analysis!$F$1:$G$5,2,FALSE)</f>
        <v>2496.7676064256989</v>
      </c>
      <c r="K2872">
        <f t="shared" si="176"/>
        <v>4785.34</v>
      </c>
      <c r="L2872">
        <f t="shared" si="177"/>
        <v>4785.3500000000004</v>
      </c>
      <c r="M2872">
        <f t="shared" si="178"/>
        <v>4785.34</v>
      </c>
      <c r="N2872" s="5" t="str">
        <f t="shared" si="179"/>
        <v>February 2023</v>
      </c>
    </row>
    <row r="2873" spans="1:14" x14ac:dyDescent="0.25">
      <c r="A2873" s="1">
        <v>44979</v>
      </c>
      <c r="B2873" t="s">
        <v>4731</v>
      </c>
      <c r="C2873">
        <v>68</v>
      </c>
      <c r="D2873" t="s">
        <v>21</v>
      </c>
      <c r="E2873" t="s">
        <v>19</v>
      </c>
      <c r="F2873" t="s">
        <v>16</v>
      </c>
      <c r="G2873" t="s">
        <v>12</v>
      </c>
      <c r="H2873">
        <v>1421.59</v>
      </c>
      <c r="I2873" s="8" t="str" cm="1">
        <f t="array" ref="I2873">_xlfn.IFS(C2873&lt;=15,"Children and Young Adolescents", C2873&gt;64, "Seniors", TRUE, "Working Age")</f>
        <v>Seniors</v>
      </c>
      <c r="J2873" s="6">
        <f>VLOOKUP(F2873,Analysis!$F$1:$G$5,2,FALSE)</f>
        <v>2509.1716796874912</v>
      </c>
      <c r="K2873">
        <f t="shared" si="176"/>
        <v>1563.74</v>
      </c>
      <c r="L2873">
        <f t="shared" si="177"/>
        <v>1563.75</v>
      </c>
      <c r="M2873">
        <f t="shared" si="178"/>
        <v>1563.75</v>
      </c>
      <c r="N2873" s="5" t="str">
        <f t="shared" si="179"/>
        <v>February 2023</v>
      </c>
    </row>
    <row r="2874" spans="1:14" x14ac:dyDescent="0.25">
      <c r="A2874" s="1">
        <v>44979</v>
      </c>
      <c r="B2874" t="s">
        <v>4755</v>
      </c>
      <c r="C2874">
        <v>22</v>
      </c>
      <c r="D2874" t="s">
        <v>21</v>
      </c>
      <c r="E2874" t="s">
        <v>25</v>
      </c>
      <c r="F2874" t="s">
        <v>11</v>
      </c>
      <c r="G2874" t="s">
        <v>27</v>
      </c>
      <c r="H2874">
        <v>4456.84</v>
      </c>
      <c r="I2874" s="8" t="str" cm="1">
        <f t="array" ref="I2874">_xlfn.IFS(C2874&lt;=15,"Children and Young Adolescents", C2874&gt;64, "Seniors", TRUE, "Working Age")</f>
        <v>Working Age</v>
      </c>
      <c r="J2874" s="6">
        <f>VLOOKUP(F2874,Analysis!$F$1:$G$5,2,FALSE)</f>
        <v>2503.6022787783854</v>
      </c>
      <c r="K2874">
        <f t="shared" si="176"/>
        <v>4902.5200000000004</v>
      </c>
      <c r="L2874">
        <f t="shared" si="177"/>
        <v>4902.5300000000007</v>
      </c>
      <c r="M2874">
        <f t="shared" si="178"/>
        <v>4902.5200000000004</v>
      </c>
      <c r="N2874" s="5" t="str">
        <f t="shared" si="179"/>
        <v>February 2023</v>
      </c>
    </row>
    <row r="2875" spans="1:14" x14ac:dyDescent="0.25">
      <c r="A2875" s="1">
        <v>44979</v>
      </c>
      <c r="B2875" t="s">
        <v>1934</v>
      </c>
      <c r="C2875">
        <v>72</v>
      </c>
      <c r="D2875" t="s">
        <v>21</v>
      </c>
      <c r="E2875" t="s">
        <v>15</v>
      </c>
      <c r="F2875" t="s">
        <v>29</v>
      </c>
      <c r="G2875" t="s">
        <v>27</v>
      </c>
      <c r="H2875">
        <v>4562.34</v>
      </c>
      <c r="I2875" s="8" t="str" cm="1">
        <f t="array" ref="I2875">_xlfn.IFS(C2875&lt;=15,"Children and Young Adolescents", C2875&gt;64, "Seniors", TRUE, "Working Age")</f>
        <v>Seniors</v>
      </c>
      <c r="J2875" s="6">
        <f>VLOOKUP(F2875,Analysis!$F$1:$G$5,2,FALSE)</f>
        <v>2496.7676064256989</v>
      </c>
      <c r="K2875">
        <f t="shared" si="176"/>
        <v>5018.57</v>
      </c>
      <c r="L2875">
        <f t="shared" si="177"/>
        <v>5018.58</v>
      </c>
      <c r="M2875">
        <f t="shared" si="178"/>
        <v>5018.57</v>
      </c>
      <c r="N2875" s="5" t="str">
        <f t="shared" si="179"/>
        <v>February 2023</v>
      </c>
    </row>
    <row r="2876" spans="1:14" x14ac:dyDescent="0.25">
      <c r="A2876" s="1">
        <v>44979</v>
      </c>
      <c r="B2876" t="s">
        <v>541</v>
      </c>
      <c r="C2876">
        <v>93</v>
      </c>
      <c r="D2876" t="s">
        <v>9</v>
      </c>
      <c r="E2876" t="s">
        <v>10</v>
      </c>
      <c r="F2876" t="s">
        <v>11</v>
      </c>
      <c r="G2876" t="s">
        <v>12</v>
      </c>
      <c r="H2876">
        <v>2944.6</v>
      </c>
      <c r="I2876" s="8" t="str" cm="1">
        <f t="array" ref="I2876">_xlfn.IFS(C2876&lt;=15,"Children and Young Adolescents", C2876&gt;64, "Seniors", TRUE, "Working Age")</f>
        <v>Seniors</v>
      </c>
      <c r="J2876" s="6">
        <f>VLOOKUP(F2876,Analysis!$F$1:$G$5,2,FALSE)</f>
        <v>2503.6022787783854</v>
      </c>
      <c r="K2876">
        <f t="shared" si="176"/>
        <v>3239.06</v>
      </c>
      <c r="L2876">
        <f t="shared" si="177"/>
        <v>3239.06</v>
      </c>
      <c r="M2876">
        <f t="shared" si="178"/>
        <v>3239.06</v>
      </c>
      <c r="N2876" s="5" t="str">
        <f t="shared" si="179"/>
        <v>February 2023</v>
      </c>
    </row>
    <row r="2877" spans="1:14" x14ac:dyDescent="0.25">
      <c r="A2877" s="1">
        <v>44979</v>
      </c>
      <c r="B2877" t="s">
        <v>4567</v>
      </c>
      <c r="C2877">
        <v>62</v>
      </c>
      <c r="D2877" t="s">
        <v>14</v>
      </c>
      <c r="E2877" t="s">
        <v>15</v>
      </c>
      <c r="F2877" t="s">
        <v>16</v>
      </c>
      <c r="G2877" t="s">
        <v>17</v>
      </c>
      <c r="H2877">
        <v>3287.41</v>
      </c>
      <c r="I2877" s="8" t="str" cm="1">
        <f t="array" ref="I2877">_xlfn.IFS(C2877&lt;=15,"Children and Young Adolescents", C2877&gt;64, "Seniors", TRUE, "Working Age")</f>
        <v>Working Age</v>
      </c>
      <c r="J2877" s="6">
        <f>VLOOKUP(F2877,Analysis!$F$1:$G$5,2,FALSE)</f>
        <v>2509.1716796874912</v>
      </c>
      <c r="K2877">
        <f t="shared" si="176"/>
        <v>3616.15</v>
      </c>
      <c r="L2877">
        <f t="shared" si="177"/>
        <v>3616.1600000000003</v>
      </c>
      <c r="M2877">
        <f t="shared" si="178"/>
        <v>3616.15</v>
      </c>
      <c r="N2877" s="5" t="str">
        <f t="shared" si="179"/>
        <v>February 2023</v>
      </c>
    </row>
    <row r="2878" spans="1:14" x14ac:dyDescent="0.25">
      <c r="A2878" s="1">
        <v>44979</v>
      </c>
      <c r="B2878" t="s">
        <v>2575</v>
      </c>
      <c r="C2878">
        <v>40</v>
      </c>
      <c r="D2878" t="s">
        <v>9</v>
      </c>
      <c r="E2878" t="s">
        <v>32</v>
      </c>
      <c r="F2878" t="s">
        <v>16</v>
      </c>
      <c r="G2878" t="s">
        <v>39</v>
      </c>
      <c r="H2878">
        <v>4206.66</v>
      </c>
      <c r="I2878" s="8" t="str" cm="1">
        <f t="array" ref="I2878">_xlfn.IFS(C2878&lt;=15,"Children and Young Adolescents", C2878&gt;64, "Seniors", TRUE, "Working Age")</f>
        <v>Working Age</v>
      </c>
      <c r="J2878" s="6">
        <f>VLOOKUP(F2878,Analysis!$F$1:$G$5,2,FALSE)</f>
        <v>2509.1716796874912</v>
      </c>
      <c r="K2878">
        <f t="shared" si="176"/>
        <v>4627.32</v>
      </c>
      <c r="L2878">
        <f t="shared" si="177"/>
        <v>4627.33</v>
      </c>
      <c r="M2878">
        <f t="shared" si="178"/>
        <v>4627.33</v>
      </c>
      <c r="N2878" s="5" t="str">
        <f t="shared" si="179"/>
        <v>February 2023</v>
      </c>
    </row>
    <row r="2879" spans="1:14" x14ac:dyDescent="0.25">
      <c r="A2879" s="1">
        <v>44979</v>
      </c>
      <c r="B2879" t="s">
        <v>3777</v>
      </c>
      <c r="C2879">
        <v>76</v>
      </c>
      <c r="D2879" t="s">
        <v>14</v>
      </c>
      <c r="E2879" t="s">
        <v>22</v>
      </c>
      <c r="F2879" t="s">
        <v>16</v>
      </c>
      <c r="G2879" t="s">
        <v>17</v>
      </c>
      <c r="H2879">
        <v>2071.3200000000002</v>
      </c>
      <c r="I2879" s="8" t="str" cm="1">
        <f t="array" ref="I2879">_xlfn.IFS(C2879&lt;=15,"Children and Young Adolescents", C2879&gt;64, "Seniors", TRUE, "Working Age")</f>
        <v>Seniors</v>
      </c>
      <c r="J2879" s="6">
        <f>VLOOKUP(F2879,Analysis!$F$1:$G$5,2,FALSE)</f>
        <v>2509.1716796874912</v>
      </c>
      <c r="K2879">
        <f t="shared" si="176"/>
        <v>2278.4499999999998</v>
      </c>
      <c r="L2879">
        <f t="shared" si="177"/>
        <v>2278.46</v>
      </c>
      <c r="M2879">
        <f t="shared" si="178"/>
        <v>2278.4499999999998</v>
      </c>
      <c r="N2879" s="5" t="str">
        <f t="shared" si="179"/>
        <v>February 2023</v>
      </c>
    </row>
    <row r="2880" spans="1:14" x14ac:dyDescent="0.25">
      <c r="A2880" s="1">
        <v>44980</v>
      </c>
      <c r="B2880" t="s">
        <v>2001</v>
      </c>
      <c r="C2880">
        <v>44</v>
      </c>
      <c r="D2880" t="s">
        <v>9</v>
      </c>
      <c r="E2880" t="s">
        <v>10</v>
      </c>
      <c r="F2880" t="s">
        <v>23</v>
      </c>
      <c r="G2880" t="s">
        <v>12</v>
      </c>
      <c r="H2880">
        <v>2928.62</v>
      </c>
      <c r="I2880" s="8" t="str" cm="1">
        <f t="array" ref="I2880">_xlfn.IFS(C2880&lt;=15,"Children and Young Adolescents", C2880&gt;64, "Seniors", TRUE, "Working Age")</f>
        <v>Working Age</v>
      </c>
      <c r="J2880" s="6">
        <f>VLOOKUP(F2880,Analysis!$F$1:$G$5,2,FALSE)</f>
        <v>2440.2966694490838</v>
      </c>
      <c r="K2880">
        <f t="shared" si="176"/>
        <v>3221.48</v>
      </c>
      <c r="L2880">
        <f t="shared" si="177"/>
        <v>3221.4900000000002</v>
      </c>
      <c r="M2880">
        <f t="shared" si="178"/>
        <v>3221.48</v>
      </c>
      <c r="N2880" s="5" t="str">
        <f t="shared" si="179"/>
        <v>February 2023</v>
      </c>
    </row>
    <row r="2881" spans="1:14" x14ac:dyDescent="0.25">
      <c r="A2881" s="1">
        <v>44980</v>
      </c>
      <c r="B2881" t="s">
        <v>1639</v>
      </c>
      <c r="C2881">
        <v>14</v>
      </c>
      <c r="D2881" t="s">
        <v>14</v>
      </c>
      <c r="E2881" t="s">
        <v>25</v>
      </c>
      <c r="F2881" t="s">
        <v>16</v>
      </c>
      <c r="G2881" t="s">
        <v>17</v>
      </c>
      <c r="H2881">
        <v>699.3</v>
      </c>
      <c r="I2881" s="8" t="str" cm="1">
        <f t="array" ref="I2881">_xlfn.IFS(C2881&lt;=15,"Children and Young Adolescents", C2881&gt;64, "Seniors", TRUE, "Working Age")</f>
        <v>Children and Young Adolescents</v>
      </c>
      <c r="J2881" s="6">
        <f>VLOOKUP(F2881,Analysis!$F$1:$G$5,2,FALSE)</f>
        <v>2509.1716796874912</v>
      </c>
      <c r="K2881">
        <f t="shared" si="176"/>
        <v>769.23</v>
      </c>
      <c r="L2881">
        <f t="shared" si="177"/>
        <v>769.23</v>
      </c>
      <c r="M2881">
        <f t="shared" si="178"/>
        <v>769.23</v>
      </c>
      <c r="N2881" s="5" t="str">
        <f t="shared" si="179"/>
        <v>February 2023</v>
      </c>
    </row>
    <row r="2882" spans="1:14" x14ac:dyDescent="0.25">
      <c r="A2882" s="1">
        <v>44981</v>
      </c>
      <c r="B2882" t="s">
        <v>3003</v>
      </c>
      <c r="C2882">
        <v>4</v>
      </c>
      <c r="D2882" t="s">
        <v>14</v>
      </c>
      <c r="E2882" t="s">
        <v>15</v>
      </c>
      <c r="F2882" t="s">
        <v>23</v>
      </c>
      <c r="G2882" t="s">
        <v>5033</v>
      </c>
      <c r="H2882">
        <v>166.64</v>
      </c>
      <c r="I2882" s="8" t="str" cm="1">
        <f t="array" ref="I2882">_xlfn.IFS(C2882&lt;=15,"Children and Young Adolescents", C2882&gt;64, "Seniors", TRUE, "Working Age")</f>
        <v>Children and Young Adolescents</v>
      </c>
      <c r="J2882" s="6">
        <f>VLOOKUP(F2882,Analysis!$F$1:$G$5,2,FALSE)</f>
        <v>2440.2966694490838</v>
      </c>
      <c r="K2882">
        <f t="shared" si="176"/>
        <v>183.3</v>
      </c>
      <c r="L2882">
        <f t="shared" si="177"/>
        <v>183.31</v>
      </c>
      <c r="M2882">
        <f t="shared" si="178"/>
        <v>183.3</v>
      </c>
      <c r="N2882" s="5" t="str">
        <f t="shared" si="179"/>
        <v>February 2023</v>
      </c>
    </row>
    <row r="2883" spans="1:14" x14ac:dyDescent="0.25">
      <c r="A2883" s="1">
        <v>44981</v>
      </c>
      <c r="B2883" t="s">
        <v>3556</v>
      </c>
      <c r="C2883">
        <v>46</v>
      </c>
      <c r="D2883" t="s">
        <v>14</v>
      </c>
      <c r="E2883" t="s">
        <v>19</v>
      </c>
      <c r="F2883" t="s">
        <v>23</v>
      </c>
      <c r="G2883" t="s">
        <v>17</v>
      </c>
      <c r="H2883">
        <v>1087.8900000000001</v>
      </c>
      <c r="I2883" s="8" t="str" cm="1">
        <f t="array" ref="I2883">_xlfn.IFS(C2883&lt;=15,"Children and Young Adolescents", C2883&gt;64, "Seniors", TRUE, "Working Age")</f>
        <v>Working Age</v>
      </c>
      <c r="J2883" s="6">
        <f>VLOOKUP(F2883,Analysis!$F$1:$G$5,2,FALSE)</f>
        <v>2440.2966694490838</v>
      </c>
      <c r="K2883">
        <f t="shared" ref="K2883:K2946" si="180">ROUNDDOWN(H2883*1.1,2)</f>
        <v>1196.67</v>
      </c>
      <c r="L2883">
        <f t="shared" ref="L2883:L2946" si="181">ROUNDUP(H2883*1.1,2)</f>
        <v>1196.68</v>
      </c>
      <c r="M2883">
        <f t="shared" ref="M2883:M2946" si="182">ROUND(H2883*1.1,2)</f>
        <v>1196.68</v>
      </c>
      <c r="N2883" s="5" t="str">
        <f t="shared" ref="N2883:N2946" si="183">TEXT(A2883,"mmmm yyyy")</f>
        <v>February 2023</v>
      </c>
    </row>
    <row r="2884" spans="1:14" x14ac:dyDescent="0.25">
      <c r="A2884" s="1">
        <v>44981</v>
      </c>
      <c r="B2884" t="s">
        <v>4520</v>
      </c>
      <c r="C2884">
        <v>88</v>
      </c>
      <c r="D2884" t="s">
        <v>21</v>
      </c>
      <c r="E2884" t="s">
        <v>34</v>
      </c>
      <c r="F2884" t="s">
        <v>23</v>
      </c>
      <c r="G2884" t="s">
        <v>27</v>
      </c>
      <c r="H2884">
        <v>2307.21</v>
      </c>
      <c r="I2884" s="8" t="str" cm="1">
        <f t="array" ref="I2884">_xlfn.IFS(C2884&lt;=15,"Children and Young Adolescents", C2884&gt;64, "Seniors", TRUE, "Working Age")</f>
        <v>Seniors</v>
      </c>
      <c r="J2884" s="6">
        <f>VLOOKUP(F2884,Analysis!$F$1:$G$5,2,FALSE)</f>
        <v>2440.2966694490838</v>
      </c>
      <c r="K2884">
        <f t="shared" si="180"/>
        <v>2537.9299999999998</v>
      </c>
      <c r="L2884">
        <f t="shared" si="181"/>
        <v>2537.94</v>
      </c>
      <c r="M2884">
        <f t="shared" si="182"/>
        <v>2537.9299999999998</v>
      </c>
      <c r="N2884" s="5" t="str">
        <f t="shared" si="183"/>
        <v>February 2023</v>
      </c>
    </row>
    <row r="2885" spans="1:14" x14ac:dyDescent="0.25">
      <c r="A2885" s="1">
        <v>44981</v>
      </c>
      <c r="B2885" t="s">
        <v>1642</v>
      </c>
      <c r="C2885">
        <v>93</v>
      </c>
      <c r="D2885" t="s">
        <v>21</v>
      </c>
      <c r="E2885" t="s">
        <v>34</v>
      </c>
      <c r="F2885" t="s">
        <v>23</v>
      </c>
      <c r="G2885" t="s">
        <v>12</v>
      </c>
      <c r="H2885">
        <v>667.63</v>
      </c>
      <c r="I2885" s="8" t="str" cm="1">
        <f t="array" ref="I2885">_xlfn.IFS(C2885&lt;=15,"Children and Young Adolescents", C2885&gt;64, "Seniors", TRUE, "Working Age")</f>
        <v>Seniors</v>
      </c>
      <c r="J2885" s="6">
        <f>VLOOKUP(F2885,Analysis!$F$1:$G$5,2,FALSE)</f>
        <v>2440.2966694490838</v>
      </c>
      <c r="K2885">
        <f t="shared" si="180"/>
        <v>734.39</v>
      </c>
      <c r="L2885">
        <f t="shared" si="181"/>
        <v>734.4</v>
      </c>
      <c r="M2885">
        <f t="shared" si="182"/>
        <v>734.39</v>
      </c>
      <c r="N2885" s="5" t="str">
        <f t="shared" si="183"/>
        <v>February 2023</v>
      </c>
    </row>
    <row r="2886" spans="1:14" x14ac:dyDescent="0.25">
      <c r="A2886" s="1">
        <v>44981</v>
      </c>
      <c r="B2886" t="s">
        <v>264</v>
      </c>
      <c r="C2886">
        <v>54</v>
      </c>
      <c r="D2886" t="s">
        <v>21</v>
      </c>
      <c r="E2886" t="s">
        <v>15</v>
      </c>
      <c r="F2886" t="s">
        <v>11</v>
      </c>
      <c r="G2886" t="s">
        <v>27</v>
      </c>
      <c r="H2886">
        <v>2246.29</v>
      </c>
      <c r="I2886" s="8" t="str" cm="1">
        <f t="array" ref="I2886">_xlfn.IFS(C2886&lt;=15,"Children and Young Adolescents", C2886&gt;64, "Seniors", TRUE, "Working Age")</f>
        <v>Working Age</v>
      </c>
      <c r="J2886" s="6">
        <f>VLOOKUP(F2886,Analysis!$F$1:$G$5,2,FALSE)</f>
        <v>2503.6022787783854</v>
      </c>
      <c r="K2886">
        <f t="shared" si="180"/>
        <v>2470.91</v>
      </c>
      <c r="L2886">
        <f t="shared" si="181"/>
        <v>2470.92</v>
      </c>
      <c r="M2886">
        <f t="shared" si="182"/>
        <v>2470.92</v>
      </c>
      <c r="N2886" s="5" t="str">
        <f t="shared" si="183"/>
        <v>February 2023</v>
      </c>
    </row>
    <row r="2887" spans="1:14" x14ac:dyDescent="0.25">
      <c r="A2887" s="1">
        <v>44981</v>
      </c>
      <c r="B2887" t="s">
        <v>2461</v>
      </c>
      <c r="C2887">
        <v>11</v>
      </c>
      <c r="D2887" t="s">
        <v>21</v>
      </c>
      <c r="E2887" t="s">
        <v>32</v>
      </c>
      <c r="F2887" t="s">
        <v>23</v>
      </c>
      <c r="G2887" t="s">
        <v>12</v>
      </c>
      <c r="H2887">
        <v>1240.3699999999999</v>
      </c>
      <c r="I2887" s="8" t="str" cm="1">
        <f t="array" ref="I2887">_xlfn.IFS(C2887&lt;=15,"Children and Young Adolescents", C2887&gt;64, "Seniors", TRUE, "Working Age")</f>
        <v>Children and Young Adolescents</v>
      </c>
      <c r="J2887" s="6">
        <f>VLOOKUP(F2887,Analysis!$F$1:$G$5,2,FALSE)</f>
        <v>2440.2966694490838</v>
      </c>
      <c r="K2887">
        <f t="shared" si="180"/>
        <v>1364.4</v>
      </c>
      <c r="L2887">
        <f t="shared" si="181"/>
        <v>1364.41</v>
      </c>
      <c r="M2887">
        <f t="shared" si="182"/>
        <v>1364.41</v>
      </c>
      <c r="N2887" s="5" t="str">
        <f t="shared" si="183"/>
        <v>February 2023</v>
      </c>
    </row>
    <row r="2888" spans="1:14" x14ac:dyDescent="0.25">
      <c r="A2888" s="1">
        <v>44981</v>
      </c>
      <c r="B2888" t="s">
        <v>1875</v>
      </c>
      <c r="C2888">
        <v>64</v>
      </c>
      <c r="D2888" t="s">
        <v>21</v>
      </c>
      <c r="E2888" t="s">
        <v>22</v>
      </c>
      <c r="F2888" t="s">
        <v>16</v>
      </c>
      <c r="G2888" t="s">
        <v>12</v>
      </c>
      <c r="H2888">
        <v>1191.93</v>
      </c>
      <c r="I2888" s="8" t="str" cm="1">
        <f t="array" ref="I2888">_xlfn.IFS(C2888&lt;=15,"Children and Young Adolescents", C2888&gt;64, "Seniors", TRUE, "Working Age")</f>
        <v>Working Age</v>
      </c>
      <c r="J2888" s="6">
        <f>VLOOKUP(F2888,Analysis!$F$1:$G$5,2,FALSE)</f>
        <v>2509.1716796874912</v>
      </c>
      <c r="K2888">
        <f t="shared" si="180"/>
        <v>1311.12</v>
      </c>
      <c r="L2888">
        <f t="shared" si="181"/>
        <v>1311.1299999999999</v>
      </c>
      <c r="M2888">
        <f t="shared" si="182"/>
        <v>1311.12</v>
      </c>
      <c r="N2888" s="5" t="str">
        <f t="shared" si="183"/>
        <v>February 2023</v>
      </c>
    </row>
    <row r="2889" spans="1:14" x14ac:dyDescent="0.25">
      <c r="A2889" s="1">
        <v>44981</v>
      </c>
      <c r="B2889" t="s">
        <v>2502</v>
      </c>
      <c r="C2889">
        <v>11</v>
      </c>
      <c r="D2889" t="s">
        <v>9</v>
      </c>
      <c r="E2889" t="s">
        <v>34</v>
      </c>
      <c r="F2889" t="s">
        <v>11</v>
      </c>
      <c r="G2889" t="s">
        <v>27</v>
      </c>
      <c r="H2889">
        <v>296.11</v>
      </c>
      <c r="I2889" s="8" t="str" cm="1">
        <f t="array" ref="I2889">_xlfn.IFS(C2889&lt;=15,"Children and Young Adolescents", C2889&gt;64, "Seniors", TRUE, "Working Age")</f>
        <v>Children and Young Adolescents</v>
      </c>
      <c r="J2889" s="6">
        <f>VLOOKUP(F2889,Analysis!$F$1:$G$5,2,FALSE)</f>
        <v>2503.6022787783854</v>
      </c>
      <c r="K2889">
        <f t="shared" si="180"/>
        <v>325.72000000000003</v>
      </c>
      <c r="L2889">
        <f t="shared" si="181"/>
        <v>325.73</v>
      </c>
      <c r="M2889">
        <f t="shared" si="182"/>
        <v>325.72000000000003</v>
      </c>
      <c r="N2889" s="5" t="str">
        <f t="shared" si="183"/>
        <v>February 2023</v>
      </c>
    </row>
    <row r="2890" spans="1:14" x14ac:dyDescent="0.25">
      <c r="A2890" s="1">
        <v>44982</v>
      </c>
      <c r="B2890" t="s">
        <v>2708</v>
      </c>
      <c r="C2890">
        <v>39</v>
      </c>
      <c r="D2890" t="s">
        <v>9</v>
      </c>
      <c r="E2890" t="s">
        <v>22</v>
      </c>
      <c r="F2890" t="s">
        <v>23</v>
      </c>
      <c r="G2890" t="s">
        <v>36</v>
      </c>
      <c r="H2890">
        <v>1516.73</v>
      </c>
      <c r="I2890" s="8" t="str" cm="1">
        <f t="array" ref="I2890">_xlfn.IFS(C2890&lt;=15,"Children and Young Adolescents", C2890&gt;64, "Seniors", TRUE, "Working Age")</f>
        <v>Working Age</v>
      </c>
      <c r="J2890" s="6">
        <f>VLOOKUP(F2890,Analysis!$F$1:$G$5,2,FALSE)</f>
        <v>2440.2966694490838</v>
      </c>
      <c r="K2890">
        <f t="shared" si="180"/>
        <v>1668.4</v>
      </c>
      <c r="L2890">
        <f t="shared" si="181"/>
        <v>1668.41</v>
      </c>
      <c r="M2890">
        <f t="shared" si="182"/>
        <v>1668.4</v>
      </c>
      <c r="N2890" s="5" t="str">
        <f t="shared" si="183"/>
        <v>February 2023</v>
      </c>
    </row>
    <row r="2891" spans="1:14" x14ac:dyDescent="0.25">
      <c r="A2891" s="1">
        <v>44982</v>
      </c>
      <c r="B2891" t="s">
        <v>495</v>
      </c>
      <c r="C2891">
        <v>38</v>
      </c>
      <c r="D2891" t="s">
        <v>14</v>
      </c>
      <c r="E2891" t="s">
        <v>25</v>
      </c>
      <c r="F2891" t="s">
        <v>16</v>
      </c>
      <c r="G2891" t="s">
        <v>36</v>
      </c>
      <c r="H2891">
        <v>1577.15</v>
      </c>
      <c r="I2891" s="8" t="str" cm="1">
        <f t="array" ref="I2891">_xlfn.IFS(C2891&lt;=15,"Children and Young Adolescents", C2891&gt;64, "Seniors", TRUE, "Working Age")</f>
        <v>Working Age</v>
      </c>
      <c r="J2891" s="6">
        <f>VLOOKUP(F2891,Analysis!$F$1:$G$5,2,FALSE)</f>
        <v>2509.1716796874912</v>
      </c>
      <c r="K2891">
        <f t="shared" si="180"/>
        <v>1734.86</v>
      </c>
      <c r="L2891">
        <f t="shared" si="181"/>
        <v>1734.87</v>
      </c>
      <c r="M2891">
        <f t="shared" si="182"/>
        <v>1734.87</v>
      </c>
      <c r="N2891" s="5" t="str">
        <f t="shared" si="183"/>
        <v>February 2023</v>
      </c>
    </row>
    <row r="2892" spans="1:14" x14ac:dyDescent="0.25">
      <c r="A2892" s="1">
        <v>44982</v>
      </c>
      <c r="B2892" t="s">
        <v>1764</v>
      </c>
      <c r="C2892">
        <v>40</v>
      </c>
      <c r="D2892" t="s">
        <v>14</v>
      </c>
      <c r="E2892" t="s">
        <v>19</v>
      </c>
      <c r="F2892" t="s">
        <v>16</v>
      </c>
      <c r="G2892" t="s">
        <v>36</v>
      </c>
      <c r="H2892">
        <v>4667.1899999999996</v>
      </c>
      <c r="I2892" s="8" t="str" cm="1">
        <f t="array" ref="I2892">_xlfn.IFS(C2892&lt;=15,"Children and Young Adolescents", C2892&gt;64, "Seniors", TRUE, "Working Age")</f>
        <v>Working Age</v>
      </c>
      <c r="J2892" s="6">
        <f>VLOOKUP(F2892,Analysis!$F$1:$G$5,2,FALSE)</f>
        <v>2509.1716796874912</v>
      </c>
      <c r="K2892">
        <f t="shared" si="180"/>
        <v>5133.8999999999996</v>
      </c>
      <c r="L2892">
        <f t="shared" si="181"/>
        <v>5133.91</v>
      </c>
      <c r="M2892">
        <f t="shared" si="182"/>
        <v>5133.91</v>
      </c>
      <c r="N2892" s="5" t="str">
        <f t="shared" si="183"/>
        <v>February 2023</v>
      </c>
    </row>
    <row r="2893" spans="1:14" x14ac:dyDescent="0.25">
      <c r="A2893" s="1">
        <v>44982</v>
      </c>
      <c r="B2893" t="s">
        <v>4921</v>
      </c>
      <c r="C2893">
        <v>18</v>
      </c>
      <c r="D2893" t="s">
        <v>9</v>
      </c>
      <c r="E2893" t="s">
        <v>22</v>
      </c>
      <c r="F2893" t="s">
        <v>11</v>
      </c>
      <c r="G2893" t="s">
        <v>12</v>
      </c>
      <c r="H2893">
        <v>2665.88</v>
      </c>
      <c r="I2893" s="8" t="str" cm="1">
        <f t="array" ref="I2893">_xlfn.IFS(C2893&lt;=15,"Children and Young Adolescents", C2893&gt;64, "Seniors", TRUE, "Working Age")</f>
        <v>Working Age</v>
      </c>
      <c r="J2893" s="6">
        <f>VLOOKUP(F2893,Analysis!$F$1:$G$5,2,FALSE)</f>
        <v>2503.6022787783854</v>
      </c>
      <c r="K2893">
        <f t="shared" si="180"/>
        <v>2932.46</v>
      </c>
      <c r="L2893">
        <f t="shared" si="181"/>
        <v>2932.4700000000003</v>
      </c>
      <c r="M2893">
        <f t="shared" si="182"/>
        <v>2932.47</v>
      </c>
      <c r="N2893" s="5" t="str">
        <f t="shared" si="183"/>
        <v>February 2023</v>
      </c>
    </row>
    <row r="2894" spans="1:14" x14ac:dyDescent="0.25">
      <c r="A2894" s="1">
        <v>44982</v>
      </c>
      <c r="B2894" t="s">
        <v>2303</v>
      </c>
      <c r="C2894">
        <v>98</v>
      </c>
      <c r="D2894" t="s">
        <v>9</v>
      </c>
      <c r="E2894" t="s">
        <v>19</v>
      </c>
      <c r="F2894" t="s">
        <v>16</v>
      </c>
      <c r="G2894" t="s">
        <v>36</v>
      </c>
      <c r="H2894">
        <v>1111.6600000000001</v>
      </c>
      <c r="I2894" s="8" t="str" cm="1">
        <f t="array" ref="I2894">_xlfn.IFS(C2894&lt;=15,"Children and Young Adolescents", C2894&gt;64, "Seniors", TRUE, "Working Age")</f>
        <v>Seniors</v>
      </c>
      <c r="J2894" s="6">
        <f>VLOOKUP(F2894,Analysis!$F$1:$G$5,2,FALSE)</f>
        <v>2509.1716796874912</v>
      </c>
      <c r="K2894">
        <f t="shared" si="180"/>
        <v>1222.82</v>
      </c>
      <c r="L2894">
        <f t="shared" si="181"/>
        <v>1222.83</v>
      </c>
      <c r="M2894">
        <f t="shared" si="182"/>
        <v>1222.83</v>
      </c>
      <c r="N2894" s="5" t="str">
        <f t="shared" si="183"/>
        <v>February 2023</v>
      </c>
    </row>
    <row r="2895" spans="1:14" x14ac:dyDescent="0.25">
      <c r="A2895" s="1">
        <v>44982</v>
      </c>
      <c r="B2895" t="s">
        <v>674</v>
      </c>
      <c r="C2895">
        <v>9</v>
      </c>
      <c r="D2895" t="s">
        <v>9</v>
      </c>
      <c r="E2895" t="s">
        <v>5032</v>
      </c>
      <c r="F2895" t="s">
        <v>23</v>
      </c>
      <c r="G2895" t="s">
        <v>12</v>
      </c>
      <c r="H2895">
        <v>941.28</v>
      </c>
      <c r="I2895" s="8" t="str" cm="1">
        <f t="array" ref="I2895">_xlfn.IFS(C2895&lt;=15,"Children and Young Adolescents", C2895&gt;64, "Seniors", TRUE, "Working Age")</f>
        <v>Children and Young Adolescents</v>
      </c>
      <c r="J2895" s="6">
        <f>VLOOKUP(F2895,Analysis!$F$1:$G$5,2,FALSE)</f>
        <v>2440.2966694490838</v>
      </c>
      <c r="K2895">
        <f t="shared" si="180"/>
        <v>1035.4000000000001</v>
      </c>
      <c r="L2895">
        <f t="shared" si="181"/>
        <v>1035.4100000000001</v>
      </c>
      <c r="M2895">
        <f t="shared" si="182"/>
        <v>1035.4100000000001</v>
      </c>
      <c r="N2895" s="5" t="str">
        <f t="shared" si="183"/>
        <v>February 2023</v>
      </c>
    </row>
    <row r="2896" spans="1:14" x14ac:dyDescent="0.25">
      <c r="A2896" s="1">
        <v>44982</v>
      </c>
      <c r="B2896" t="s">
        <v>832</v>
      </c>
      <c r="C2896">
        <v>11</v>
      </c>
      <c r="D2896" t="s">
        <v>9</v>
      </c>
      <c r="E2896" t="s">
        <v>19</v>
      </c>
      <c r="F2896" t="s">
        <v>29</v>
      </c>
      <c r="G2896" t="s">
        <v>12</v>
      </c>
      <c r="H2896">
        <v>408.38</v>
      </c>
      <c r="I2896" s="8" t="str" cm="1">
        <f t="array" ref="I2896">_xlfn.IFS(C2896&lt;=15,"Children and Young Adolescents", C2896&gt;64, "Seniors", TRUE, "Working Age")</f>
        <v>Children and Young Adolescents</v>
      </c>
      <c r="J2896" s="6">
        <f>VLOOKUP(F2896,Analysis!$F$1:$G$5,2,FALSE)</f>
        <v>2496.7676064256989</v>
      </c>
      <c r="K2896">
        <f t="shared" si="180"/>
        <v>449.21</v>
      </c>
      <c r="L2896">
        <f t="shared" si="181"/>
        <v>449.21999999999997</v>
      </c>
      <c r="M2896">
        <f t="shared" si="182"/>
        <v>449.22</v>
      </c>
      <c r="N2896" s="5" t="str">
        <f t="shared" si="183"/>
        <v>February 2023</v>
      </c>
    </row>
    <row r="2897" spans="1:14" x14ac:dyDescent="0.25">
      <c r="A2897" s="1">
        <v>44982</v>
      </c>
      <c r="B2897" t="s">
        <v>1592</v>
      </c>
      <c r="C2897">
        <v>77</v>
      </c>
      <c r="D2897" t="s">
        <v>14</v>
      </c>
      <c r="E2897" t="s">
        <v>10</v>
      </c>
      <c r="F2897" t="s">
        <v>23</v>
      </c>
      <c r="G2897" t="s">
        <v>12</v>
      </c>
      <c r="H2897">
        <v>2845.61</v>
      </c>
      <c r="I2897" s="8" t="str" cm="1">
        <f t="array" ref="I2897">_xlfn.IFS(C2897&lt;=15,"Children and Young Adolescents", C2897&gt;64, "Seniors", TRUE, "Working Age")</f>
        <v>Seniors</v>
      </c>
      <c r="J2897" s="6">
        <f>VLOOKUP(F2897,Analysis!$F$1:$G$5,2,FALSE)</f>
        <v>2440.2966694490838</v>
      </c>
      <c r="K2897">
        <f t="shared" si="180"/>
        <v>3130.17</v>
      </c>
      <c r="L2897">
        <f t="shared" si="181"/>
        <v>3130.1800000000003</v>
      </c>
      <c r="M2897">
        <f t="shared" si="182"/>
        <v>3130.17</v>
      </c>
      <c r="N2897" s="5" t="str">
        <f t="shared" si="183"/>
        <v>February 2023</v>
      </c>
    </row>
    <row r="2898" spans="1:14" x14ac:dyDescent="0.25">
      <c r="A2898" s="1">
        <v>44983</v>
      </c>
      <c r="B2898" t="s">
        <v>2779</v>
      </c>
      <c r="C2898">
        <v>49</v>
      </c>
      <c r="D2898" t="s">
        <v>14</v>
      </c>
      <c r="E2898" t="s">
        <v>19</v>
      </c>
      <c r="F2898" t="s">
        <v>11</v>
      </c>
      <c r="G2898" t="s">
        <v>17</v>
      </c>
      <c r="H2898">
        <v>647.74</v>
      </c>
      <c r="I2898" s="8" t="str" cm="1">
        <f t="array" ref="I2898">_xlfn.IFS(C2898&lt;=15,"Children and Young Adolescents", C2898&gt;64, "Seniors", TRUE, "Working Age")</f>
        <v>Working Age</v>
      </c>
      <c r="J2898" s="6">
        <f>VLOOKUP(F2898,Analysis!$F$1:$G$5,2,FALSE)</f>
        <v>2503.6022787783854</v>
      </c>
      <c r="K2898">
        <f t="shared" si="180"/>
        <v>712.51</v>
      </c>
      <c r="L2898">
        <f t="shared" si="181"/>
        <v>712.52</v>
      </c>
      <c r="M2898">
        <f t="shared" si="182"/>
        <v>712.51</v>
      </c>
      <c r="N2898" s="5" t="str">
        <f t="shared" si="183"/>
        <v>February 2023</v>
      </c>
    </row>
    <row r="2899" spans="1:14" x14ac:dyDescent="0.25">
      <c r="A2899" s="1">
        <v>44983</v>
      </c>
      <c r="B2899" t="s">
        <v>2943</v>
      </c>
      <c r="C2899">
        <v>69</v>
      </c>
      <c r="D2899" t="s">
        <v>14</v>
      </c>
      <c r="E2899" t="s">
        <v>32</v>
      </c>
      <c r="F2899" t="s">
        <v>11</v>
      </c>
      <c r="G2899" t="s">
        <v>12</v>
      </c>
      <c r="H2899">
        <v>3783.16</v>
      </c>
      <c r="I2899" s="8" t="str" cm="1">
        <f t="array" ref="I2899">_xlfn.IFS(C2899&lt;=15,"Children and Young Adolescents", C2899&gt;64, "Seniors", TRUE, "Working Age")</f>
        <v>Seniors</v>
      </c>
      <c r="J2899" s="6">
        <f>VLOOKUP(F2899,Analysis!$F$1:$G$5,2,FALSE)</f>
        <v>2503.6022787783854</v>
      </c>
      <c r="K2899">
        <f t="shared" si="180"/>
        <v>4161.47</v>
      </c>
      <c r="L2899">
        <f t="shared" si="181"/>
        <v>4161.4800000000005</v>
      </c>
      <c r="M2899">
        <f t="shared" si="182"/>
        <v>4161.4799999999996</v>
      </c>
      <c r="N2899" s="5" t="str">
        <f t="shared" si="183"/>
        <v>February 2023</v>
      </c>
    </row>
    <row r="2900" spans="1:14" x14ac:dyDescent="0.25">
      <c r="A2900" s="1">
        <v>44983</v>
      </c>
      <c r="B2900" t="s">
        <v>997</v>
      </c>
      <c r="C2900">
        <v>27</v>
      </c>
      <c r="D2900" t="s">
        <v>21</v>
      </c>
      <c r="E2900" t="s">
        <v>10</v>
      </c>
      <c r="F2900" t="s">
        <v>23</v>
      </c>
      <c r="G2900" t="s">
        <v>36</v>
      </c>
      <c r="H2900">
        <v>823.95</v>
      </c>
      <c r="I2900" s="8" t="str" cm="1">
        <f t="array" ref="I2900">_xlfn.IFS(C2900&lt;=15,"Children and Young Adolescents", C2900&gt;64, "Seniors", TRUE, "Working Age")</f>
        <v>Working Age</v>
      </c>
      <c r="J2900" s="6">
        <f>VLOOKUP(F2900,Analysis!$F$1:$G$5,2,FALSE)</f>
        <v>2440.2966694490838</v>
      </c>
      <c r="K2900">
        <f t="shared" si="180"/>
        <v>906.34</v>
      </c>
      <c r="L2900">
        <f t="shared" si="181"/>
        <v>906.35</v>
      </c>
      <c r="M2900">
        <f t="shared" si="182"/>
        <v>906.35</v>
      </c>
      <c r="N2900" s="5" t="str">
        <f t="shared" si="183"/>
        <v>February 2023</v>
      </c>
    </row>
    <row r="2901" spans="1:14" x14ac:dyDescent="0.25">
      <c r="A2901" s="1">
        <v>44983</v>
      </c>
      <c r="B2901" t="s">
        <v>4322</v>
      </c>
      <c r="C2901">
        <v>26</v>
      </c>
      <c r="D2901" t="s">
        <v>9</v>
      </c>
      <c r="E2901" t="s">
        <v>10</v>
      </c>
      <c r="F2901" t="s">
        <v>29</v>
      </c>
      <c r="G2901" t="s">
        <v>17</v>
      </c>
      <c r="H2901">
        <v>2135.7600000000002</v>
      </c>
      <c r="I2901" s="8" t="str" cm="1">
        <f t="array" ref="I2901">_xlfn.IFS(C2901&lt;=15,"Children and Young Adolescents", C2901&gt;64, "Seniors", TRUE, "Working Age")</f>
        <v>Working Age</v>
      </c>
      <c r="J2901" s="6">
        <f>VLOOKUP(F2901,Analysis!$F$1:$G$5,2,FALSE)</f>
        <v>2496.7676064256989</v>
      </c>
      <c r="K2901">
        <f t="shared" si="180"/>
        <v>2349.33</v>
      </c>
      <c r="L2901">
        <f t="shared" si="181"/>
        <v>2349.34</v>
      </c>
      <c r="M2901">
        <f t="shared" si="182"/>
        <v>2349.34</v>
      </c>
      <c r="N2901" s="5" t="str">
        <f t="shared" si="183"/>
        <v>February 2023</v>
      </c>
    </row>
    <row r="2902" spans="1:14" x14ac:dyDescent="0.25">
      <c r="A2902" s="1">
        <v>44983</v>
      </c>
      <c r="B2902" t="s">
        <v>4240</v>
      </c>
      <c r="C2902">
        <v>48</v>
      </c>
      <c r="D2902" t="s">
        <v>21</v>
      </c>
      <c r="E2902" t="s">
        <v>34</v>
      </c>
      <c r="F2902" t="s">
        <v>29</v>
      </c>
      <c r="G2902" t="s">
        <v>27</v>
      </c>
      <c r="H2902">
        <v>4282.7299999999996</v>
      </c>
      <c r="I2902" s="8" t="str" cm="1">
        <f t="array" ref="I2902">_xlfn.IFS(C2902&lt;=15,"Children and Young Adolescents", C2902&gt;64, "Seniors", TRUE, "Working Age")</f>
        <v>Working Age</v>
      </c>
      <c r="J2902" s="6">
        <f>VLOOKUP(F2902,Analysis!$F$1:$G$5,2,FALSE)</f>
        <v>2496.7676064256989</v>
      </c>
      <c r="K2902">
        <f t="shared" si="180"/>
        <v>4711</v>
      </c>
      <c r="L2902">
        <f t="shared" si="181"/>
        <v>4711.01</v>
      </c>
      <c r="M2902">
        <f t="shared" si="182"/>
        <v>4711</v>
      </c>
      <c r="N2902" s="5" t="str">
        <f t="shared" si="183"/>
        <v>February 2023</v>
      </c>
    </row>
    <row r="2903" spans="1:14" x14ac:dyDescent="0.25">
      <c r="A2903" s="1">
        <v>44983</v>
      </c>
      <c r="B2903" t="s">
        <v>2944</v>
      </c>
      <c r="C2903">
        <v>90</v>
      </c>
      <c r="D2903" t="s">
        <v>14</v>
      </c>
      <c r="E2903" t="s">
        <v>19</v>
      </c>
      <c r="F2903" t="s">
        <v>16</v>
      </c>
      <c r="G2903" t="s">
        <v>36</v>
      </c>
      <c r="H2903">
        <v>2667.37</v>
      </c>
      <c r="I2903" s="8" t="str" cm="1">
        <f t="array" ref="I2903">_xlfn.IFS(C2903&lt;=15,"Children and Young Adolescents", C2903&gt;64, "Seniors", TRUE, "Working Age")</f>
        <v>Seniors</v>
      </c>
      <c r="J2903" s="6">
        <f>VLOOKUP(F2903,Analysis!$F$1:$G$5,2,FALSE)</f>
        <v>2509.1716796874912</v>
      </c>
      <c r="K2903">
        <f t="shared" si="180"/>
        <v>2934.1</v>
      </c>
      <c r="L2903">
        <f t="shared" si="181"/>
        <v>2934.11</v>
      </c>
      <c r="M2903">
        <f t="shared" si="182"/>
        <v>2934.11</v>
      </c>
      <c r="N2903" s="5" t="str">
        <f t="shared" si="183"/>
        <v>February 2023</v>
      </c>
    </row>
    <row r="2904" spans="1:14" x14ac:dyDescent="0.25">
      <c r="A2904" s="1">
        <v>44983</v>
      </c>
      <c r="B2904" t="s">
        <v>4568</v>
      </c>
      <c r="C2904">
        <v>17</v>
      </c>
      <c r="D2904" t="s">
        <v>21</v>
      </c>
      <c r="E2904" t="s">
        <v>25</v>
      </c>
      <c r="F2904" t="s">
        <v>11</v>
      </c>
      <c r="G2904" t="s">
        <v>36</v>
      </c>
      <c r="H2904">
        <v>3306.19</v>
      </c>
      <c r="I2904" s="8" t="str" cm="1">
        <f t="array" ref="I2904">_xlfn.IFS(C2904&lt;=15,"Children and Young Adolescents", C2904&gt;64, "Seniors", TRUE, "Working Age")</f>
        <v>Working Age</v>
      </c>
      <c r="J2904" s="6">
        <f>VLOOKUP(F2904,Analysis!$F$1:$G$5,2,FALSE)</f>
        <v>2503.6022787783854</v>
      </c>
      <c r="K2904">
        <f t="shared" si="180"/>
        <v>3636.8</v>
      </c>
      <c r="L2904">
        <f t="shared" si="181"/>
        <v>3636.8100000000004</v>
      </c>
      <c r="M2904">
        <f t="shared" si="182"/>
        <v>3636.81</v>
      </c>
      <c r="N2904" s="5" t="str">
        <f t="shared" si="183"/>
        <v>February 2023</v>
      </c>
    </row>
    <row r="2905" spans="1:14" x14ac:dyDescent="0.25">
      <c r="A2905" s="1">
        <v>44984</v>
      </c>
      <c r="B2905" t="s">
        <v>3340</v>
      </c>
      <c r="C2905">
        <v>88</v>
      </c>
      <c r="D2905" t="s">
        <v>14</v>
      </c>
      <c r="E2905" t="s">
        <v>19</v>
      </c>
      <c r="F2905" t="s">
        <v>16</v>
      </c>
      <c r="G2905" t="s">
        <v>39</v>
      </c>
      <c r="H2905">
        <v>3439.56</v>
      </c>
      <c r="I2905" s="8" t="str" cm="1">
        <f t="array" ref="I2905">_xlfn.IFS(C2905&lt;=15,"Children and Young Adolescents", C2905&gt;64, "Seniors", TRUE, "Working Age")</f>
        <v>Seniors</v>
      </c>
      <c r="J2905" s="6">
        <f>VLOOKUP(F2905,Analysis!$F$1:$G$5,2,FALSE)</f>
        <v>2509.1716796874912</v>
      </c>
      <c r="K2905">
        <f t="shared" si="180"/>
        <v>3783.51</v>
      </c>
      <c r="L2905">
        <f t="shared" si="181"/>
        <v>3783.5200000000004</v>
      </c>
      <c r="M2905">
        <f t="shared" si="182"/>
        <v>3783.52</v>
      </c>
      <c r="N2905" s="5" t="str">
        <f t="shared" si="183"/>
        <v>February 2023</v>
      </c>
    </row>
    <row r="2906" spans="1:14" x14ac:dyDescent="0.25">
      <c r="A2906" s="1">
        <v>44984</v>
      </c>
      <c r="B2906" t="s">
        <v>4381</v>
      </c>
      <c r="C2906">
        <v>53</v>
      </c>
      <c r="D2906" t="s">
        <v>21</v>
      </c>
      <c r="E2906" t="s">
        <v>22</v>
      </c>
      <c r="F2906" t="s">
        <v>16</v>
      </c>
      <c r="G2906" t="s">
        <v>27</v>
      </c>
      <c r="H2906">
        <v>1543.89</v>
      </c>
      <c r="I2906" s="8" t="str" cm="1">
        <f t="array" ref="I2906">_xlfn.IFS(C2906&lt;=15,"Children and Young Adolescents", C2906&gt;64, "Seniors", TRUE, "Working Age")</f>
        <v>Working Age</v>
      </c>
      <c r="J2906" s="6">
        <f>VLOOKUP(F2906,Analysis!$F$1:$G$5,2,FALSE)</f>
        <v>2509.1716796874912</v>
      </c>
      <c r="K2906">
        <f t="shared" si="180"/>
        <v>1698.27</v>
      </c>
      <c r="L2906">
        <f t="shared" si="181"/>
        <v>1698.28</v>
      </c>
      <c r="M2906">
        <f t="shared" si="182"/>
        <v>1698.28</v>
      </c>
      <c r="N2906" s="5" t="str">
        <f t="shared" si="183"/>
        <v>February 2023</v>
      </c>
    </row>
    <row r="2907" spans="1:14" x14ac:dyDescent="0.25">
      <c r="A2907" s="1">
        <v>44984</v>
      </c>
      <c r="B2907" t="s">
        <v>2155</v>
      </c>
      <c r="C2907">
        <v>87</v>
      </c>
      <c r="D2907" t="s">
        <v>9</v>
      </c>
      <c r="E2907" t="s">
        <v>22</v>
      </c>
      <c r="F2907" t="s">
        <v>16</v>
      </c>
      <c r="G2907" t="s">
        <v>12</v>
      </c>
      <c r="H2907">
        <v>1642.82</v>
      </c>
      <c r="I2907" s="8" t="str" cm="1">
        <f t="array" ref="I2907">_xlfn.IFS(C2907&lt;=15,"Children and Young Adolescents", C2907&gt;64, "Seniors", TRUE, "Working Age")</f>
        <v>Seniors</v>
      </c>
      <c r="J2907" s="6">
        <f>VLOOKUP(F2907,Analysis!$F$1:$G$5,2,FALSE)</f>
        <v>2509.1716796874912</v>
      </c>
      <c r="K2907">
        <f t="shared" si="180"/>
        <v>1807.1</v>
      </c>
      <c r="L2907">
        <f t="shared" si="181"/>
        <v>1807.11</v>
      </c>
      <c r="M2907">
        <f t="shared" si="182"/>
        <v>1807.1</v>
      </c>
      <c r="N2907" s="5" t="str">
        <f t="shared" si="183"/>
        <v>February 2023</v>
      </c>
    </row>
    <row r="2908" spans="1:14" x14ac:dyDescent="0.25">
      <c r="A2908" s="1">
        <v>44984</v>
      </c>
      <c r="B2908" t="s">
        <v>951</v>
      </c>
      <c r="C2908">
        <v>23</v>
      </c>
      <c r="D2908" t="s">
        <v>21</v>
      </c>
      <c r="E2908" t="s">
        <v>34</v>
      </c>
      <c r="F2908" t="s">
        <v>16</v>
      </c>
      <c r="G2908" t="s">
        <v>39</v>
      </c>
      <c r="H2908">
        <v>3150.44</v>
      </c>
      <c r="I2908" s="8" t="str" cm="1">
        <f t="array" ref="I2908">_xlfn.IFS(C2908&lt;=15,"Children and Young Adolescents", C2908&gt;64, "Seniors", TRUE, "Working Age")</f>
        <v>Working Age</v>
      </c>
      <c r="J2908" s="6">
        <f>VLOOKUP(F2908,Analysis!$F$1:$G$5,2,FALSE)</f>
        <v>2509.1716796874912</v>
      </c>
      <c r="K2908">
        <f t="shared" si="180"/>
        <v>3465.48</v>
      </c>
      <c r="L2908">
        <f t="shared" si="181"/>
        <v>3465.4900000000002</v>
      </c>
      <c r="M2908">
        <f t="shared" si="182"/>
        <v>3465.48</v>
      </c>
      <c r="N2908" s="5" t="str">
        <f t="shared" si="183"/>
        <v>February 2023</v>
      </c>
    </row>
    <row r="2909" spans="1:14" x14ac:dyDescent="0.25">
      <c r="A2909" s="1">
        <v>44984</v>
      </c>
      <c r="B2909" t="s">
        <v>1941</v>
      </c>
      <c r="C2909">
        <v>81</v>
      </c>
      <c r="D2909" t="s">
        <v>9</v>
      </c>
      <c r="E2909" t="s">
        <v>19</v>
      </c>
      <c r="F2909" t="s">
        <v>16</v>
      </c>
      <c r="G2909" t="s">
        <v>36</v>
      </c>
      <c r="H2909">
        <v>2597.6</v>
      </c>
      <c r="I2909" s="8" t="str" cm="1">
        <f t="array" ref="I2909">_xlfn.IFS(C2909&lt;=15,"Children and Young Adolescents", C2909&gt;64, "Seniors", TRUE, "Working Age")</f>
        <v>Seniors</v>
      </c>
      <c r="J2909" s="6">
        <f>VLOOKUP(F2909,Analysis!$F$1:$G$5,2,FALSE)</f>
        <v>2509.1716796874912</v>
      </c>
      <c r="K2909">
        <f t="shared" si="180"/>
        <v>2857.36</v>
      </c>
      <c r="L2909">
        <f t="shared" si="181"/>
        <v>2857.36</v>
      </c>
      <c r="M2909">
        <f t="shared" si="182"/>
        <v>2857.36</v>
      </c>
      <c r="N2909" s="5" t="str">
        <f t="shared" si="183"/>
        <v>February 2023</v>
      </c>
    </row>
    <row r="2910" spans="1:14" x14ac:dyDescent="0.25">
      <c r="A2910" s="1">
        <v>44984</v>
      </c>
      <c r="B2910" t="s">
        <v>2861</v>
      </c>
      <c r="C2910">
        <v>79</v>
      </c>
      <c r="D2910" t="s">
        <v>14</v>
      </c>
      <c r="E2910" t="s">
        <v>22</v>
      </c>
      <c r="F2910" t="s">
        <v>23</v>
      </c>
      <c r="G2910" t="s">
        <v>17</v>
      </c>
      <c r="H2910">
        <v>1637.27</v>
      </c>
      <c r="I2910" s="8" t="str" cm="1">
        <f t="array" ref="I2910">_xlfn.IFS(C2910&lt;=15,"Children and Young Adolescents", C2910&gt;64, "Seniors", TRUE, "Working Age")</f>
        <v>Seniors</v>
      </c>
      <c r="J2910" s="6">
        <f>VLOOKUP(F2910,Analysis!$F$1:$G$5,2,FALSE)</f>
        <v>2440.2966694490838</v>
      </c>
      <c r="K2910">
        <f t="shared" si="180"/>
        <v>1800.99</v>
      </c>
      <c r="L2910">
        <f t="shared" si="181"/>
        <v>1801</v>
      </c>
      <c r="M2910">
        <f t="shared" si="182"/>
        <v>1801</v>
      </c>
      <c r="N2910" s="5" t="str">
        <f t="shared" si="183"/>
        <v>February 2023</v>
      </c>
    </row>
    <row r="2911" spans="1:14" x14ac:dyDescent="0.25">
      <c r="A2911" s="1">
        <v>44984</v>
      </c>
      <c r="B2911" t="s">
        <v>1359</v>
      </c>
      <c r="C2911">
        <v>93</v>
      </c>
      <c r="D2911" t="s">
        <v>9</v>
      </c>
      <c r="E2911" t="s">
        <v>34</v>
      </c>
      <c r="F2911" t="s">
        <v>16</v>
      </c>
      <c r="G2911" t="s">
        <v>39</v>
      </c>
      <c r="H2911">
        <v>4101.79</v>
      </c>
      <c r="I2911" s="8" t="str" cm="1">
        <f t="array" ref="I2911">_xlfn.IFS(C2911&lt;=15,"Children and Young Adolescents", C2911&gt;64, "Seniors", TRUE, "Working Age")</f>
        <v>Seniors</v>
      </c>
      <c r="J2911" s="6">
        <f>VLOOKUP(F2911,Analysis!$F$1:$G$5,2,FALSE)</f>
        <v>2509.1716796874912</v>
      </c>
      <c r="K2911">
        <f t="shared" si="180"/>
        <v>4511.96</v>
      </c>
      <c r="L2911">
        <f t="shared" si="181"/>
        <v>4511.97</v>
      </c>
      <c r="M2911">
        <f t="shared" si="182"/>
        <v>4511.97</v>
      </c>
      <c r="N2911" s="5" t="str">
        <f t="shared" si="183"/>
        <v>February 2023</v>
      </c>
    </row>
    <row r="2912" spans="1:14" x14ac:dyDescent="0.25">
      <c r="A2912" s="1">
        <v>44984</v>
      </c>
      <c r="B2912" t="s">
        <v>3132</v>
      </c>
      <c r="C2912">
        <v>26</v>
      </c>
      <c r="D2912" t="s">
        <v>9</v>
      </c>
      <c r="E2912" t="s">
        <v>10</v>
      </c>
      <c r="F2912" t="s">
        <v>16</v>
      </c>
      <c r="G2912" t="s">
        <v>5033</v>
      </c>
      <c r="H2912">
        <v>1578.99</v>
      </c>
      <c r="I2912" s="8" t="str" cm="1">
        <f t="array" ref="I2912">_xlfn.IFS(C2912&lt;=15,"Children and Young Adolescents", C2912&gt;64, "Seniors", TRUE, "Working Age")</f>
        <v>Working Age</v>
      </c>
      <c r="J2912" s="6">
        <f>VLOOKUP(F2912,Analysis!$F$1:$G$5,2,FALSE)</f>
        <v>2509.1716796874912</v>
      </c>
      <c r="K2912">
        <f t="shared" si="180"/>
        <v>1736.88</v>
      </c>
      <c r="L2912">
        <f t="shared" si="181"/>
        <v>1736.89</v>
      </c>
      <c r="M2912">
        <f t="shared" si="182"/>
        <v>1736.89</v>
      </c>
      <c r="N2912" s="5" t="str">
        <f t="shared" si="183"/>
        <v>February 2023</v>
      </c>
    </row>
    <row r="2913" spans="1:14" x14ac:dyDescent="0.25">
      <c r="A2913" s="1">
        <v>44984</v>
      </c>
      <c r="B2913" t="s">
        <v>4908</v>
      </c>
      <c r="C2913">
        <v>9</v>
      </c>
      <c r="D2913" t="s">
        <v>14</v>
      </c>
      <c r="E2913" t="s">
        <v>32</v>
      </c>
      <c r="F2913" t="s">
        <v>23</v>
      </c>
      <c r="G2913" t="s">
        <v>17</v>
      </c>
      <c r="H2913">
        <v>4111.3100000000004</v>
      </c>
      <c r="I2913" s="8" t="str" cm="1">
        <f t="array" ref="I2913">_xlfn.IFS(C2913&lt;=15,"Children and Young Adolescents", C2913&gt;64, "Seniors", TRUE, "Working Age")</f>
        <v>Children and Young Adolescents</v>
      </c>
      <c r="J2913" s="6">
        <f>VLOOKUP(F2913,Analysis!$F$1:$G$5,2,FALSE)</f>
        <v>2440.2966694490838</v>
      </c>
      <c r="K2913">
        <f t="shared" si="180"/>
        <v>4522.4399999999996</v>
      </c>
      <c r="L2913">
        <f t="shared" si="181"/>
        <v>4522.45</v>
      </c>
      <c r="M2913">
        <f t="shared" si="182"/>
        <v>4522.4399999999996</v>
      </c>
      <c r="N2913" s="5" t="str">
        <f t="shared" si="183"/>
        <v>February 2023</v>
      </c>
    </row>
    <row r="2914" spans="1:14" x14ac:dyDescent="0.25">
      <c r="A2914" s="1">
        <v>44984</v>
      </c>
      <c r="B2914" t="s">
        <v>989</v>
      </c>
      <c r="C2914">
        <v>52</v>
      </c>
      <c r="D2914" t="s">
        <v>21</v>
      </c>
      <c r="E2914" t="s">
        <v>15</v>
      </c>
      <c r="F2914" t="s">
        <v>23</v>
      </c>
      <c r="G2914" t="s">
        <v>12</v>
      </c>
      <c r="H2914">
        <v>3451.8</v>
      </c>
      <c r="I2914" s="8" t="str" cm="1">
        <f t="array" ref="I2914">_xlfn.IFS(C2914&lt;=15,"Children and Young Adolescents", C2914&gt;64, "Seniors", TRUE, "Working Age")</f>
        <v>Working Age</v>
      </c>
      <c r="J2914" s="6">
        <f>VLOOKUP(F2914,Analysis!$F$1:$G$5,2,FALSE)</f>
        <v>2440.2966694490838</v>
      </c>
      <c r="K2914">
        <f t="shared" si="180"/>
        <v>3796.98</v>
      </c>
      <c r="L2914">
        <f t="shared" si="181"/>
        <v>3796.98</v>
      </c>
      <c r="M2914">
        <f t="shared" si="182"/>
        <v>3796.98</v>
      </c>
      <c r="N2914" s="5" t="str">
        <f t="shared" si="183"/>
        <v>February 2023</v>
      </c>
    </row>
    <row r="2915" spans="1:14" x14ac:dyDescent="0.25">
      <c r="A2915" s="1">
        <v>44985</v>
      </c>
      <c r="B2915" t="s">
        <v>1461</v>
      </c>
      <c r="C2915">
        <v>9</v>
      </c>
      <c r="D2915" t="s">
        <v>14</v>
      </c>
      <c r="E2915" t="s">
        <v>5032</v>
      </c>
      <c r="F2915" t="s">
        <v>11</v>
      </c>
      <c r="G2915" t="s">
        <v>12</v>
      </c>
      <c r="H2915">
        <v>1223.3499999999999</v>
      </c>
      <c r="I2915" s="8" t="str" cm="1">
        <f t="array" ref="I2915">_xlfn.IFS(C2915&lt;=15,"Children and Young Adolescents", C2915&gt;64, "Seniors", TRUE, "Working Age")</f>
        <v>Children and Young Adolescents</v>
      </c>
      <c r="J2915" s="6">
        <f>VLOOKUP(F2915,Analysis!$F$1:$G$5,2,FALSE)</f>
        <v>2503.6022787783854</v>
      </c>
      <c r="K2915">
        <f t="shared" si="180"/>
        <v>1345.68</v>
      </c>
      <c r="L2915">
        <f t="shared" si="181"/>
        <v>1345.69</v>
      </c>
      <c r="M2915">
        <f t="shared" si="182"/>
        <v>1345.69</v>
      </c>
      <c r="N2915" s="5" t="str">
        <f t="shared" si="183"/>
        <v>February 2023</v>
      </c>
    </row>
    <row r="2916" spans="1:14" x14ac:dyDescent="0.25">
      <c r="A2916" s="1">
        <v>44985</v>
      </c>
      <c r="B2916" t="s">
        <v>291</v>
      </c>
      <c r="C2916">
        <v>7</v>
      </c>
      <c r="D2916" t="s">
        <v>14</v>
      </c>
      <c r="E2916" t="s">
        <v>19</v>
      </c>
      <c r="F2916" t="s">
        <v>16</v>
      </c>
      <c r="G2916" t="s">
        <v>5033</v>
      </c>
      <c r="H2916">
        <v>2978.61</v>
      </c>
      <c r="I2916" s="8" t="str" cm="1">
        <f t="array" ref="I2916">_xlfn.IFS(C2916&lt;=15,"Children and Young Adolescents", C2916&gt;64, "Seniors", TRUE, "Working Age")</f>
        <v>Children and Young Adolescents</v>
      </c>
      <c r="J2916" s="6">
        <f>VLOOKUP(F2916,Analysis!$F$1:$G$5,2,FALSE)</f>
        <v>2509.1716796874912</v>
      </c>
      <c r="K2916">
        <f t="shared" si="180"/>
        <v>3276.47</v>
      </c>
      <c r="L2916">
        <f t="shared" si="181"/>
        <v>3276.48</v>
      </c>
      <c r="M2916">
        <f t="shared" si="182"/>
        <v>3276.47</v>
      </c>
      <c r="N2916" s="5" t="str">
        <f t="shared" si="183"/>
        <v>February 2023</v>
      </c>
    </row>
    <row r="2917" spans="1:14" x14ac:dyDescent="0.25">
      <c r="A2917" s="1">
        <v>44985</v>
      </c>
      <c r="B2917" t="s">
        <v>2129</v>
      </c>
      <c r="C2917">
        <v>12</v>
      </c>
      <c r="D2917" t="s">
        <v>14</v>
      </c>
      <c r="E2917" t="s">
        <v>22</v>
      </c>
      <c r="F2917" t="s">
        <v>16</v>
      </c>
      <c r="G2917" t="s">
        <v>36</v>
      </c>
      <c r="H2917">
        <v>2096.5300000000002</v>
      </c>
      <c r="I2917" s="8" t="str" cm="1">
        <f t="array" ref="I2917">_xlfn.IFS(C2917&lt;=15,"Children and Young Adolescents", C2917&gt;64, "Seniors", TRUE, "Working Age")</f>
        <v>Children and Young Adolescents</v>
      </c>
      <c r="J2917" s="6">
        <f>VLOOKUP(F2917,Analysis!$F$1:$G$5,2,FALSE)</f>
        <v>2509.1716796874912</v>
      </c>
      <c r="K2917">
        <f t="shared" si="180"/>
        <v>2306.1799999999998</v>
      </c>
      <c r="L2917">
        <f t="shared" si="181"/>
        <v>2306.19</v>
      </c>
      <c r="M2917">
        <f t="shared" si="182"/>
        <v>2306.1799999999998</v>
      </c>
      <c r="N2917" s="5" t="str">
        <f t="shared" si="183"/>
        <v>February 2023</v>
      </c>
    </row>
    <row r="2918" spans="1:14" x14ac:dyDescent="0.25">
      <c r="A2918" s="1">
        <v>44985</v>
      </c>
      <c r="B2918" t="s">
        <v>1643</v>
      </c>
      <c r="C2918">
        <v>81</v>
      </c>
      <c r="D2918" t="s">
        <v>21</v>
      </c>
      <c r="E2918" t="s">
        <v>10</v>
      </c>
      <c r="F2918" t="s">
        <v>29</v>
      </c>
      <c r="G2918" t="s">
        <v>12</v>
      </c>
      <c r="H2918">
        <v>4151.58</v>
      </c>
      <c r="I2918" s="8" t="str" cm="1">
        <f t="array" ref="I2918">_xlfn.IFS(C2918&lt;=15,"Children and Young Adolescents", C2918&gt;64, "Seniors", TRUE, "Working Age")</f>
        <v>Seniors</v>
      </c>
      <c r="J2918" s="6">
        <f>VLOOKUP(F2918,Analysis!$F$1:$G$5,2,FALSE)</f>
        <v>2496.7676064256989</v>
      </c>
      <c r="K2918">
        <f t="shared" si="180"/>
        <v>4566.7299999999996</v>
      </c>
      <c r="L2918">
        <f t="shared" si="181"/>
        <v>4566.74</v>
      </c>
      <c r="M2918">
        <f t="shared" si="182"/>
        <v>4566.74</v>
      </c>
      <c r="N2918" s="5" t="str">
        <f t="shared" si="183"/>
        <v>February 2023</v>
      </c>
    </row>
    <row r="2919" spans="1:14" x14ac:dyDescent="0.25">
      <c r="A2919" s="1">
        <v>44985</v>
      </c>
      <c r="B2919" t="s">
        <v>1357</v>
      </c>
      <c r="C2919">
        <v>78</v>
      </c>
      <c r="D2919" t="s">
        <v>21</v>
      </c>
      <c r="E2919" t="s">
        <v>25</v>
      </c>
      <c r="F2919" t="s">
        <v>11</v>
      </c>
      <c r="G2919" t="s">
        <v>36</v>
      </c>
      <c r="H2919">
        <v>1765.31</v>
      </c>
      <c r="I2919" s="8" t="str" cm="1">
        <f t="array" ref="I2919">_xlfn.IFS(C2919&lt;=15,"Children and Young Adolescents", C2919&gt;64, "Seniors", TRUE, "Working Age")</f>
        <v>Seniors</v>
      </c>
      <c r="J2919" s="6">
        <f>VLOOKUP(F2919,Analysis!$F$1:$G$5,2,FALSE)</f>
        <v>2503.6022787783854</v>
      </c>
      <c r="K2919">
        <f t="shared" si="180"/>
        <v>1941.84</v>
      </c>
      <c r="L2919">
        <f t="shared" si="181"/>
        <v>1941.85</v>
      </c>
      <c r="M2919">
        <f t="shared" si="182"/>
        <v>1941.84</v>
      </c>
      <c r="N2919" s="5" t="str">
        <f t="shared" si="183"/>
        <v>February 2023</v>
      </c>
    </row>
    <row r="2920" spans="1:14" x14ac:dyDescent="0.25">
      <c r="A2920" s="1">
        <v>44985</v>
      </c>
      <c r="B2920" t="s">
        <v>2301</v>
      </c>
      <c r="C2920">
        <v>71</v>
      </c>
      <c r="D2920" t="s">
        <v>9</v>
      </c>
      <c r="E2920" t="s">
        <v>25</v>
      </c>
      <c r="F2920" t="s">
        <v>16</v>
      </c>
      <c r="G2920" t="s">
        <v>36</v>
      </c>
      <c r="H2920">
        <v>4981.17</v>
      </c>
      <c r="I2920" s="8" t="str" cm="1">
        <f t="array" ref="I2920">_xlfn.IFS(C2920&lt;=15,"Children and Young Adolescents", C2920&gt;64, "Seniors", TRUE, "Working Age")</f>
        <v>Seniors</v>
      </c>
      <c r="J2920" s="6">
        <f>VLOOKUP(F2920,Analysis!$F$1:$G$5,2,FALSE)</f>
        <v>2509.1716796874912</v>
      </c>
      <c r="K2920">
        <f t="shared" si="180"/>
        <v>5479.28</v>
      </c>
      <c r="L2920">
        <f t="shared" si="181"/>
        <v>5479.29</v>
      </c>
      <c r="M2920">
        <f t="shared" si="182"/>
        <v>5479.29</v>
      </c>
      <c r="N2920" s="5" t="str">
        <f t="shared" si="183"/>
        <v>February 2023</v>
      </c>
    </row>
    <row r="2921" spans="1:14" x14ac:dyDescent="0.25">
      <c r="A2921" s="1">
        <v>44985</v>
      </c>
      <c r="B2921" t="s">
        <v>826</v>
      </c>
      <c r="C2921">
        <v>33</v>
      </c>
      <c r="D2921" t="s">
        <v>14</v>
      </c>
      <c r="E2921" t="s">
        <v>32</v>
      </c>
      <c r="F2921" t="s">
        <v>11</v>
      </c>
      <c r="G2921" t="s">
        <v>39</v>
      </c>
      <c r="H2921">
        <v>2168.91</v>
      </c>
      <c r="I2921" s="8" t="str" cm="1">
        <f t="array" ref="I2921">_xlfn.IFS(C2921&lt;=15,"Children and Young Adolescents", C2921&gt;64, "Seniors", TRUE, "Working Age")</f>
        <v>Working Age</v>
      </c>
      <c r="J2921" s="6">
        <f>VLOOKUP(F2921,Analysis!$F$1:$G$5,2,FALSE)</f>
        <v>2503.6022787783854</v>
      </c>
      <c r="K2921">
        <f t="shared" si="180"/>
        <v>2385.8000000000002</v>
      </c>
      <c r="L2921">
        <f t="shared" si="181"/>
        <v>2385.8100000000004</v>
      </c>
      <c r="M2921">
        <f t="shared" si="182"/>
        <v>2385.8000000000002</v>
      </c>
      <c r="N2921" s="5" t="str">
        <f t="shared" si="183"/>
        <v>February 2023</v>
      </c>
    </row>
    <row r="2922" spans="1:14" x14ac:dyDescent="0.25">
      <c r="A2922" s="1">
        <v>44986</v>
      </c>
      <c r="B2922" t="s">
        <v>4632</v>
      </c>
      <c r="C2922">
        <v>47</v>
      </c>
      <c r="D2922" t="s">
        <v>14</v>
      </c>
      <c r="E2922" t="s">
        <v>34</v>
      </c>
      <c r="F2922" t="s">
        <v>16</v>
      </c>
      <c r="G2922" t="s">
        <v>17</v>
      </c>
      <c r="H2922">
        <v>1360.32</v>
      </c>
      <c r="I2922" s="8" t="str" cm="1">
        <f t="array" ref="I2922">_xlfn.IFS(C2922&lt;=15,"Children and Young Adolescents", C2922&gt;64, "Seniors", TRUE, "Working Age")</f>
        <v>Working Age</v>
      </c>
      <c r="J2922" s="6">
        <f>VLOOKUP(F2922,Analysis!$F$1:$G$5,2,FALSE)</f>
        <v>2509.1716796874912</v>
      </c>
      <c r="K2922">
        <f t="shared" si="180"/>
        <v>1496.35</v>
      </c>
      <c r="L2922">
        <f t="shared" si="181"/>
        <v>1496.36</v>
      </c>
      <c r="M2922">
        <f t="shared" si="182"/>
        <v>1496.35</v>
      </c>
      <c r="N2922" s="5" t="str">
        <f t="shared" si="183"/>
        <v>March 2023</v>
      </c>
    </row>
    <row r="2923" spans="1:14" x14ac:dyDescent="0.25">
      <c r="A2923" s="1">
        <v>44986</v>
      </c>
      <c r="B2923" t="s">
        <v>3573</v>
      </c>
      <c r="C2923">
        <v>99</v>
      </c>
      <c r="D2923" t="s">
        <v>9</v>
      </c>
      <c r="E2923" t="s">
        <v>2990</v>
      </c>
      <c r="F2923" t="s">
        <v>23</v>
      </c>
      <c r="G2923" t="s">
        <v>5033</v>
      </c>
      <c r="H2923">
        <v>1575.77</v>
      </c>
      <c r="I2923" s="8" t="str" cm="1">
        <f t="array" ref="I2923">_xlfn.IFS(C2923&lt;=15,"Children and Young Adolescents", C2923&gt;64, "Seniors", TRUE, "Working Age")</f>
        <v>Seniors</v>
      </c>
      <c r="J2923" s="6">
        <f>VLOOKUP(F2923,Analysis!$F$1:$G$5,2,FALSE)</f>
        <v>2440.2966694490838</v>
      </c>
      <c r="K2923">
        <f t="shared" si="180"/>
        <v>1733.34</v>
      </c>
      <c r="L2923">
        <f t="shared" si="181"/>
        <v>1733.35</v>
      </c>
      <c r="M2923">
        <f t="shared" si="182"/>
        <v>1733.35</v>
      </c>
      <c r="N2923" s="5" t="str">
        <f t="shared" si="183"/>
        <v>March 2023</v>
      </c>
    </row>
    <row r="2924" spans="1:14" x14ac:dyDescent="0.25">
      <c r="A2924" s="1">
        <v>44986</v>
      </c>
      <c r="B2924" t="s">
        <v>4451</v>
      </c>
      <c r="C2924">
        <v>81</v>
      </c>
      <c r="D2924" t="s">
        <v>14</v>
      </c>
      <c r="E2924" t="s">
        <v>19</v>
      </c>
      <c r="F2924" t="s">
        <v>23</v>
      </c>
      <c r="G2924" t="s">
        <v>27</v>
      </c>
      <c r="H2924">
        <v>2978.18</v>
      </c>
      <c r="I2924" s="8" t="str" cm="1">
        <f t="array" ref="I2924">_xlfn.IFS(C2924&lt;=15,"Children and Young Adolescents", C2924&gt;64, "Seniors", TRUE, "Working Age")</f>
        <v>Seniors</v>
      </c>
      <c r="J2924" s="6">
        <f>VLOOKUP(F2924,Analysis!$F$1:$G$5,2,FALSE)</f>
        <v>2440.2966694490838</v>
      </c>
      <c r="K2924">
        <f t="shared" si="180"/>
        <v>3275.99</v>
      </c>
      <c r="L2924">
        <f t="shared" si="181"/>
        <v>3276</v>
      </c>
      <c r="M2924">
        <f t="shared" si="182"/>
        <v>3276</v>
      </c>
      <c r="N2924" s="5" t="str">
        <f t="shared" si="183"/>
        <v>March 2023</v>
      </c>
    </row>
    <row r="2925" spans="1:14" x14ac:dyDescent="0.25">
      <c r="A2925" s="1">
        <v>44986</v>
      </c>
      <c r="B2925" t="s">
        <v>597</v>
      </c>
      <c r="C2925">
        <v>56</v>
      </c>
      <c r="D2925" t="s">
        <v>21</v>
      </c>
      <c r="E2925" t="s">
        <v>19</v>
      </c>
      <c r="F2925" t="s">
        <v>23</v>
      </c>
      <c r="G2925" t="s">
        <v>17</v>
      </c>
      <c r="H2925">
        <v>821.24</v>
      </c>
      <c r="I2925" s="8" t="str" cm="1">
        <f t="array" ref="I2925">_xlfn.IFS(C2925&lt;=15,"Children and Young Adolescents", C2925&gt;64, "Seniors", TRUE, "Working Age")</f>
        <v>Working Age</v>
      </c>
      <c r="J2925" s="6">
        <f>VLOOKUP(F2925,Analysis!$F$1:$G$5,2,FALSE)</f>
        <v>2440.2966694490838</v>
      </c>
      <c r="K2925">
        <f t="shared" si="180"/>
        <v>903.36</v>
      </c>
      <c r="L2925">
        <f t="shared" si="181"/>
        <v>903.37</v>
      </c>
      <c r="M2925">
        <f t="shared" si="182"/>
        <v>903.36</v>
      </c>
      <c r="N2925" s="5" t="str">
        <f t="shared" si="183"/>
        <v>March 2023</v>
      </c>
    </row>
    <row r="2926" spans="1:14" x14ac:dyDescent="0.25">
      <c r="A2926" s="1">
        <v>44987</v>
      </c>
      <c r="B2926" t="s">
        <v>1545</v>
      </c>
      <c r="C2926">
        <v>6</v>
      </c>
      <c r="D2926" t="s">
        <v>14</v>
      </c>
      <c r="E2926" t="s">
        <v>32</v>
      </c>
      <c r="F2926" t="s">
        <v>16</v>
      </c>
      <c r="G2926" t="s">
        <v>36</v>
      </c>
      <c r="H2926">
        <v>832.14</v>
      </c>
      <c r="I2926" s="8" t="str" cm="1">
        <f t="array" ref="I2926">_xlfn.IFS(C2926&lt;=15,"Children and Young Adolescents", C2926&gt;64, "Seniors", TRUE, "Working Age")</f>
        <v>Children and Young Adolescents</v>
      </c>
      <c r="J2926" s="6">
        <f>VLOOKUP(F2926,Analysis!$F$1:$G$5,2,FALSE)</f>
        <v>2509.1716796874912</v>
      </c>
      <c r="K2926">
        <f t="shared" si="180"/>
        <v>915.35</v>
      </c>
      <c r="L2926">
        <f t="shared" si="181"/>
        <v>915.36</v>
      </c>
      <c r="M2926">
        <f t="shared" si="182"/>
        <v>915.35</v>
      </c>
      <c r="N2926" s="5" t="str">
        <f t="shared" si="183"/>
        <v>March 2023</v>
      </c>
    </row>
    <row r="2927" spans="1:14" x14ac:dyDescent="0.25">
      <c r="A2927" s="1">
        <v>44987</v>
      </c>
      <c r="B2927" t="s">
        <v>569</v>
      </c>
      <c r="C2927">
        <v>47</v>
      </c>
      <c r="D2927" t="s">
        <v>14</v>
      </c>
      <c r="E2927" t="s">
        <v>25</v>
      </c>
      <c r="F2927" t="s">
        <v>11</v>
      </c>
      <c r="G2927" t="s">
        <v>36</v>
      </c>
      <c r="H2927">
        <v>112.52</v>
      </c>
      <c r="I2927" s="8" t="str" cm="1">
        <f t="array" ref="I2927">_xlfn.IFS(C2927&lt;=15,"Children and Young Adolescents", C2927&gt;64, "Seniors", TRUE, "Working Age")</f>
        <v>Working Age</v>
      </c>
      <c r="J2927" s="6">
        <f>VLOOKUP(F2927,Analysis!$F$1:$G$5,2,FALSE)</f>
        <v>2503.6022787783854</v>
      </c>
      <c r="K2927">
        <f t="shared" si="180"/>
        <v>123.77</v>
      </c>
      <c r="L2927">
        <f t="shared" si="181"/>
        <v>123.78</v>
      </c>
      <c r="M2927">
        <f t="shared" si="182"/>
        <v>123.77</v>
      </c>
      <c r="N2927" s="5" t="str">
        <f t="shared" si="183"/>
        <v>March 2023</v>
      </c>
    </row>
    <row r="2928" spans="1:14" x14ac:dyDescent="0.25">
      <c r="A2928" s="1">
        <v>44987</v>
      </c>
      <c r="B2928" t="s">
        <v>4490</v>
      </c>
      <c r="C2928">
        <v>52</v>
      </c>
      <c r="D2928" t="s">
        <v>9</v>
      </c>
      <c r="E2928" t="s">
        <v>15</v>
      </c>
      <c r="F2928" t="s">
        <v>29</v>
      </c>
      <c r="G2928" t="s">
        <v>27</v>
      </c>
      <c r="H2928">
        <v>3432.05</v>
      </c>
      <c r="I2928" s="8" t="str" cm="1">
        <f t="array" ref="I2928">_xlfn.IFS(C2928&lt;=15,"Children and Young Adolescents", C2928&gt;64, "Seniors", TRUE, "Working Age")</f>
        <v>Working Age</v>
      </c>
      <c r="J2928" s="6">
        <f>VLOOKUP(F2928,Analysis!$F$1:$G$5,2,FALSE)</f>
        <v>2496.7676064256989</v>
      </c>
      <c r="K2928">
        <f t="shared" si="180"/>
        <v>3775.25</v>
      </c>
      <c r="L2928">
        <f t="shared" si="181"/>
        <v>3775.26</v>
      </c>
      <c r="M2928">
        <f t="shared" si="182"/>
        <v>3775.26</v>
      </c>
      <c r="N2928" s="5" t="str">
        <f t="shared" si="183"/>
        <v>March 2023</v>
      </c>
    </row>
    <row r="2929" spans="1:14" x14ac:dyDescent="0.25">
      <c r="A2929" s="1">
        <v>44987</v>
      </c>
      <c r="B2929" t="s">
        <v>2565</v>
      </c>
      <c r="C2929">
        <v>69</v>
      </c>
      <c r="D2929" t="s">
        <v>14</v>
      </c>
      <c r="E2929" t="s">
        <v>25</v>
      </c>
      <c r="F2929" t="s">
        <v>11</v>
      </c>
      <c r="G2929" t="s">
        <v>27</v>
      </c>
      <c r="H2929">
        <v>3175.4</v>
      </c>
      <c r="I2929" s="8" t="str" cm="1">
        <f t="array" ref="I2929">_xlfn.IFS(C2929&lt;=15,"Children and Young Adolescents", C2929&gt;64, "Seniors", TRUE, "Working Age")</f>
        <v>Seniors</v>
      </c>
      <c r="J2929" s="6">
        <f>VLOOKUP(F2929,Analysis!$F$1:$G$5,2,FALSE)</f>
        <v>2503.6022787783854</v>
      </c>
      <c r="K2929">
        <f t="shared" si="180"/>
        <v>3492.94</v>
      </c>
      <c r="L2929">
        <f t="shared" si="181"/>
        <v>3492.94</v>
      </c>
      <c r="M2929">
        <f t="shared" si="182"/>
        <v>3492.94</v>
      </c>
      <c r="N2929" s="5" t="str">
        <f t="shared" si="183"/>
        <v>March 2023</v>
      </c>
    </row>
    <row r="2930" spans="1:14" x14ac:dyDescent="0.25">
      <c r="A2930" s="1">
        <v>44988</v>
      </c>
      <c r="B2930" t="s">
        <v>2948</v>
      </c>
      <c r="C2930">
        <v>37</v>
      </c>
      <c r="D2930" t="s">
        <v>9</v>
      </c>
      <c r="E2930" t="s">
        <v>32</v>
      </c>
      <c r="F2930" t="s">
        <v>16</v>
      </c>
      <c r="G2930" t="s">
        <v>12</v>
      </c>
      <c r="H2930">
        <v>4392.07</v>
      </c>
      <c r="I2930" s="8" t="str" cm="1">
        <f t="array" ref="I2930">_xlfn.IFS(C2930&lt;=15,"Children and Young Adolescents", C2930&gt;64, "Seniors", TRUE, "Working Age")</f>
        <v>Working Age</v>
      </c>
      <c r="J2930" s="6">
        <f>VLOOKUP(F2930,Analysis!$F$1:$G$5,2,FALSE)</f>
        <v>2509.1716796874912</v>
      </c>
      <c r="K2930">
        <f t="shared" si="180"/>
        <v>4831.2700000000004</v>
      </c>
      <c r="L2930">
        <f t="shared" si="181"/>
        <v>4831.2800000000007</v>
      </c>
      <c r="M2930">
        <f t="shared" si="182"/>
        <v>4831.28</v>
      </c>
      <c r="N2930" s="5" t="str">
        <f t="shared" si="183"/>
        <v>March 2023</v>
      </c>
    </row>
    <row r="2931" spans="1:14" x14ac:dyDescent="0.25">
      <c r="A2931" s="1">
        <v>44988</v>
      </c>
      <c r="B2931" t="s">
        <v>1201</v>
      </c>
      <c r="C2931">
        <v>18</v>
      </c>
      <c r="D2931" t="s">
        <v>9</v>
      </c>
      <c r="E2931" t="s">
        <v>19</v>
      </c>
      <c r="F2931" t="s">
        <v>11</v>
      </c>
      <c r="G2931" t="s">
        <v>27</v>
      </c>
      <c r="H2931">
        <v>2539.79</v>
      </c>
      <c r="I2931" s="8" t="str" cm="1">
        <f t="array" ref="I2931">_xlfn.IFS(C2931&lt;=15,"Children and Young Adolescents", C2931&gt;64, "Seniors", TRUE, "Working Age")</f>
        <v>Working Age</v>
      </c>
      <c r="J2931" s="6">
        <f>VLOOKUP(F2931,Analysis!$F$1:$G$5,2,FALSE)</f>
        <v>2503.6022787783854</v>
      </c>
      <c r="K2931">
        <f t="shared" si="180"/>
        <v>2793.76</v>
      </c>
      <c r="L2931">
        <f t="shared" si="181"/>
        <v>2793.7700000000004</v>
      </c>
      <c r="M2931">
        <f t="shared" si="182"/>
        <v>2793.77</v>
      </c>
      <c r="N2931" s="5" t="str">
        <f t="shared" si="183"/>
        <v>March 2023</v>
      </c>
    </row>
    <row r="2932" spans="1:14" x14ac:dyDescent="0.25">
      <c r="A2932" s="1">
        <v>44988</v>
      </c>
      <c r="B2932" t="s">
        <v>3388</v>
      </c>
      <c r="C2932">
        <v>80</v>
      </c>
      <c r="D2932" t="s">
        <v>14</v>
      </c>
      <c r="E2932" t="s">
        <v>34</v>
      </c>
      <c r="F2932" t="s">
        <v>23</v>
      </c>
      <c r="G2932" t="s">
        <v>12</v>
      </c>
      <c r="H2932">
        <v>3685.18</v>
      </c>
      <c r="I2932" s="8" t="str" cm="1">
        <f t="array" ref="I2932">_xlfn.IFS(C2932&lt;=15,"Children and Young Adolescents", C2932&gt;64, "Seniors", TRUE, "Working Age")</f>
        <v>Seniors</v>
      </c>
      <c r="J2932" s="6">
        <f>VLOOKUP(F2932,Analysis!$F$1:$G$5,2,FALSE)</f>
        <v>2440.2966694490838</v>
      </c>
      <c r="K2932">
        <f t="shared" si="180"/>
        <v>4053.69</v>
      </c>
      <c r="L2932">
        <f t="shared" si="181"/>
        <v>4053.7000000000003</v>
      </c>
      <c r="M2932">
        <f t="shared" si="182"/>
        <v>4053.7</v>
      </c>
      <c r="N2932" s="5" t="str">
        <f t="shared" si="183"/>
        <v>March 2023</v>
      </c>
    </row>
    <row r="2933" spans="1:14" x14ac:dyDescent="0.25">
      <c r="A2933" s="1">
        <v>44988</v>
      </c>
      <c r="B2933" t="s">
        <v>297</v>
      </c>
      <c r="C2933">
        <v>96</v>
      </c>
      <c r="D2933" t="s">
        <v>14</v>
      </c>
      <c r="E2933" t="s">
        <v>10</v>
      </c>
      <c r="F2933" t="s">
        <v>16</v>
      </c>
      <c r="G2933" t="s">
        <v>17</v>
      </c>
      <c r="H2933">
        <v>2585.6799999999998</v>
      </c>
      <c r="I2933" s="8" t="str" cm="1">
        <f t="array" ref="I2933">_xlfn.IFS(C2933&lt;=15,"Children and Young Adolescents", C2933&gt;64, "Seniors", TRUE, "Working Age")</f>
        <v>Seniors</v>
      </c>
      <c r="J2933" s="6">
        <f>VLOOKUP(F2933,Analysis!$F$1:$G$5,2,FALSE)</f>
        <v>2509.1716796874912</v>
      </c>
      <c r="K2933">
        <f t="shared" si="180"/>
        <v>2844.24</v>
      </c>
      <c r="L2933">
        <f t="shared" si="181"/>
        <v>2844.25</v>
      </c>
      <c r="M2933">
        <f t="shared" si="182"/>
        <v>2844.25</v>
      </c>
      <c r="N2933" s="5" t="str">
        <f t="shared" si="183"/>
        <v>March 2023</v>
      </c>
    </row>
    <row r="2934" spans="1:14" x14ac:dyDescent="0.25">
      <c r="A2934" s="1">
        <v>44988</v>
      </c>
      <c r="B2934" t="s">
        <v>28</v>
      </c>
      <c r="C2934">
        <v>20</v>
      </c>
      <c r="D2934" t="s">
        <v>21</v>
      </c>
      <c r="E2934" t="s">
        <v>15</v>
      </c>
      <c r="F2934" t="s">
        <v>29</v>
      </c>
      <c r="G2934" t="s">
        <v>12</v>
      </c>
      <c r="H2934">
        <v>1079.46</v>
      </c>
      <c r="I2934" s="8" t="str" cm="1">
        <f t="array" ref="I2934">_xlfn.IFS(C2934&lt;=15,"Children and Young Adolescents", C2934&gt;64, "Seniors", TRUE, "Working Age")</f>
        <v>Working Age</v>
      </c>
      <c r="J2934" s="6">
        <f>VLOOKUP(F2934,Analysis!$F$1:$G$5,2,FALSE)</f>
        <v>2496.7676064256989</v>
      </c>
      <c r="K2934">
        <f t="shared" si="180"/>
        <v>1187.4000000000001</v>
      </c>
      <c r="L2934">
        <f t="shared" si="181"/>
        <v>1187.4100000000001</v>
      </c>
      <c r="M2934">
        <f t="shared" si="182"/>
        <v>1187.4100000000001</v>
      </c>
      <c r="N2934" s="5" t="str">
        <f t="shared" si="183"/>
        <v>March 2023</v>
      </c>
    </row>
    <row r="2935" spans="1:14" x14ac:dyDescent="0.25">
      <c r="A2935" s="1">
        <v>44989</v>
      </c>
      <c r="B2935" t="s">
        <v>2014</v>
      </c>
      <c r="C2935">
        <v>43</v>
      </c>
      <c r="D2935" t="s">
        <v>14</v>
      </c>
      <c r="E2935" t="s">
        <v>19</v>
      </c>
      <c r="F2935" t="s">
        <v>29</v>
      </c>
      <c r="G2935" t="s">
        <v>12</v>
      </c>
      <c r="H2935">
        <v>4362.6899999999996</v>
      </c>
      <c r="I2935" s="8" t="str" cm="1">
        <f t="array" ref="I2935">_xlfn.IFS(C2935&lt;=15,"Children and Young Adolescents", C2935&gt;64, "Seniors", TRUE, "Working Age")</f>
        <v>Working Age</v>
      </c>
      <c r="J2935" s="6">
        <f>VLOOKUP(F2935,Analysis!$F$1:$G$5,2,FALSE)</f>
        <v>2496.7676064256989</v>
      </c>
      <c r="K2935">
        <f t="shared" si="180"/>
        <v>4798.95</v>
      </c>
      <c r="L2935">
        <f t="shared" si="181"/>
        <v>4798.96</v>
      </c>
      <c r="M2935">
        <f t="shared" si="182"/>
        <v>4798.96</v>
      </c>
      <c r="N2935" s="5" t="str">
        <f t="shared" si="183"/>
        <v>March 2023</v>
      </c>
    </row>
    <row r="2936" spans="1:14" x14ac:dyDescent="0.25">
      <c r="A2936" s="1">
        <v>44989</v>
      </c>
      <c r="B2936" t="s">
        <v>3404</v>
      </c>
      <c r="C2936">
        <v>32</v>
      </c>
      <c r="D2936" t="s">
        <v>9</v>
      </c>
      <c r="E2936" t="s">
        <v>34</v>
      </c>
      <c r="F2936" t="s">
        <v>29</v>
      </c>
      <c r="G2936" t="s">
        <v>17</v>
      </c>
      <c r="H2936">
        <v>1358.52</v>
      </c>
      <c r="I2936" s="8" t="str" cm="1">
        <f t="array" ref="I2936">_xlfn.IFS(C2936&lt;=15,"Children and Young Adolescents", C2936&gt;64, "Seniors", TRUE, "Working Age")</f>
        <v>Working Age</v>
      </c>
      <c r="J2936" s="6">
        <f>VLOOKUP(F2936,Analysis!$F$1:$G$5,2,FALSE)</f>
        <v>2496.7676064256989</v>
      </c>
      <c r="K2936">
        <f t="shared" si="180"/>
        <v>1494.37</v>
      </c>
      <c r="L2936">
        <f t="shared" si="181"/>
        <v>1494.3799999999999</v>
      </c>
      <c r="M2936">
        <f t="shared" si="182"/>
        <v>1494.37</v>
      </c>
      <c r="N2936" s="5" t="str">
        <f t="shared" si="183"/>
        <v>March 2023</v>
      </c>
    </row>
    <row r="2937" spans="1:14" x14ac:dyDescent="0.25">
      <c r="A2937" s="1">
        <v>44989</v>
      </c>
      <c r="B2937" t="s">
        <v>4278</v>
      </c>
      <c r="C2937">
        <v>11</v>
      </c>
      <c r="D2937" t="s">
        <v>9</v>
      </c>
      <c r="E2937" t="s">
        <v>5032</v>
      </c>
      <c r="F2937" t="s">
        <v>23</v>
      </c>
      <c r="G2937" t="s">
        <v>36</v>
      </c>
      <c r="H2937">
        <v>2808.84</v>
      </c>
      <c r="I2937" s="8" t="str" cm="1">
        <f t="array" ref="I2937">_xlfn.IFS(C2937&lt;=15,"Children and Young Adolescents", C2937&gt;64, "Seniors", TRUE, "Working Age")</f>
        <v>Children and Young Adolescents</v>
      </c>
      <c r="J2937" s="6">
        <f>VLOOKUP(F2937,Analysis!$F$1:$G$5,2,FALSE)</f>
        <v>2440.2966694490838</v>
      </c>
      <c r="K2937">
        <f t="shared" si="180"/>
        <v>3089.72</v>
      </c>
      <c r="L2937">
        <f t="shared" si="181"/>
        <v>3089.73</v>
      </c>
      <c r="M2937">
        <f t="shared" si="182"/>
        <v>3089.72</v>
      </c>
      <c r="N2937" s="5" t="str">
        <f t="shared" si="183"/>
        <v>March 2023</v>
      </c>
    </row>
    <row r="2938" spans="1:14" x14ac:dyDescent="0.25">
      <c r="A2938" s="1">
        <v>44989</v>
      </c>
      <c r="B2938" t="s">
        <v>3164</v>
      </c>
      <c r="C2938">
        <v>90</v>
      </c>
      <c r="D2938" t="s">
        <v>21</v>
      </c>
      <c r="E2938" t="s">
        <v>15</v>
      </c>
      <c r="F2938" t="s">
        <v>23</v>
      </c>
      <c r="G2938" t="s">
        <v>27</v>
      </c>
      <c r="H2938">
        <v>4870.18</v>
      </c>
      <c r="I2938" s="8" t="str" cm="1">
        <f t="array" ref="I2938">_xlfn.IFS(C2938&lt;=15,"Children and Young Adolescents", C2938&gt;64, "Seniors", TRUE, "Working Age")</f>
        <v>Seniors</v>
      </c>
      <c r="J2938" s="6">
        <f>VLOOKUP(F2938,Analysis!$F$1:$G$5,2,FALSE)</f>
        <v>2440.2966694490838</v>
      </c>
      <c r="K2938">
        <f t="shared" si="180"/>
        <v>5357.19</v>
      </c>
      <c r="L2938">
        <f t="shared" si="181"/>
        <v>5357.2</v>
      </c>
      <c r="M2938">
        <f t="shared" si="182"/>
        <v>5357.2</v>
      </c>
      <c r="N2938" s="5" t="str">
        <f t="shared" si="183"/>
        <v>March 2023</v>
      </c>
    </row>
    <row r="2939" spans="1:14" x14ac:dyDescent="0.25">
      <c r="A2939" s="1">
        <v>44989</v>
      </c>
      <c r="B2939" t="s">
        <v>2278</v>
      </c>
      <c r="C2939">
        <v>37</v>
      </c>
      <c r="D2939" t="s">
        <v>14</v>
      </c>
      <c r="E2939" t="s">
        <v>10</v>
      </c>
      <c r="F2939" t="s">
        <v>11</v>
      </c>
      <c r="G2939" t="s">
        <v>12</v>
      </c>
      <c r="H2939">
        <v>4300.7</v>
      </c>
      <c r="I2939" s="8" t="str" cm="1">
        <f t="array" ref="I2939">_xlfn.IFS(C2939&lt;=15,"Children and Young Adolescents", C2939&gt;64, "Seniors", TRUE, "Working Age")</f>
        <v>Working Age</v>
      </c>
      <c r="J2939" s="6">
        <f>VLOOKUP(F2939,Analysis!$F$1:$G$5,2,FALSE)</f>
        <v>2503.6022787783854</v>
      </c>
      <c r="K2939">
        <f t="shared" si="180"/>
        <v>4730.7700000000004</v>
      </c>
      <c r="L2939">
        <f t="shared" si="181"/>
        <v>4730.7700000000004</v>
      </c>
      <c r="M2939">
        <f t="shared" si="182"/>
        <v>4730.7700000000004</v>
      </c>
      <c r="N2939" s="5" t="str">
        <f t="shared" si="183"/>
        <v>March 2023</v>
      </c>
    </row>
    <row r="2940" spans="1:14" x14ac:dyDescent="0.25">
      <c r="A2940" s="1">
        <v>44989</v>
      </c>
      <c r="B2940" t="s">
        <v>2299</v>
      </c>
      <c r="C2940">
        <v>44</v>
      </c>
      <c r="D2940" t="s">
        <v>9</v>
      </c>
      <c r="E2940" t="s">
        <v>25</v>
      </c>
      <c r="F2940" t="s">
        <v>23</v>
      </c>
      <c r="G2940" t="s">
        <v>27</v>
      </c>
      <c r="H2940">
        <v>4841.49</v>
      </c>
      <c r="I2940" s="8" t="str" cm="1">
        <f t="array" ref="I2940">_xlfn.IFS(C2940&lt;=15,"Children and Young Adolescents", C2940&gt;64, "Seniors", TRUE, "Working Age")</f>
        <v>Working Age</v>
      </c>
      <c r="J2940" s="6">
        <f>VLOOKUP(F2940,Analysis!$F$1:$G$5,2,FALSE)</f>
        <v>2440.2966694490838</v>
      </c>
      <c r="K2940">
        <f t="shared" si="180"/>
        <v>5325.63</v>
      </c>
      <c r="L2940">
        <f t="shared" si="181"/>
        <v>5325.64</v>
      </c>
      <c r="M2940">
        <f t="shared" si="182"/>
        <v>5325.64</v>
      </c>
      <c r="N2940" s="5" t="str">
        <f t="shared" si="183"/>
        <v>March 2023</v>
      </c>
    </row>
    <row r="2941" spans="1:14" x14ac:dyDescent="0.25">
      <c r="A2941" s="1">
        <v>44990</v>
      </c>
      <c r="B2941" t="s">
        <v>730</v>
      </c>
      <c r="C2941">
        <v>98</v>
      </c>
      <c r="D2941" t="s">
        <v>21</v>
      </c>
      <c r="E2941" t="s">
        <v>25</v>
      </c>
      <c r="F2941" t="s">
        <v>29</v>
      </c>
      <c r="G2941" t="s">
        <v>39</v>
      </c>
      <c r="H2941">
        <v>291.17</v>
      </c>
      <c r="I2941" s="8" t="str" cm="1">
        <f t="array" ref="I2941">_xlfn.IFS(C2941&lt;=15,"Children and Young Adolescents", C2941&gt;64, "Seniors", TRUE, "Working Age")</f>
        <v>Seniors</v>
      </c>
      <c r="J2941" s="6">
        <f>VLOOKUP(F2941,Analysis!$F$1:$G$5,2,FALSE)</f>
        <v>2496.7676064256989</v>
      </c>
      <c r="K2941">
        <f t="shared" si="180"/>
        <v>320.27999999999997</v>
      </c>
      <c r="L2941">
        <f t="shared" si="181"/>
        <v>320.28999999999996</v>
      </c>
      <c r="M2941">
        <f t="shared" si="182"/>
        <v>320.29000000000002</v>
      </c>
      <c r="N2941" s="5" t="str">
        <f t="shared" si="183"/>
        <v>March 2023</v>
      </c>
    </row>
    <row r="2942" spans="1:14" x14ac:dyDescent="0.25">
      <c r="A2942" s="1">
        <v>44990</v>
      </c>
      <c r="B2942" t="s">
        <v>2394</v>
      </c>
      <c r="C2942">
        <v>29</v>
      </c>
      <c r="D2942" t="s">
        <v>14</v>
      </c>
      <c r="E2942" t="s">
        <v>22</v>
      </c>
      <c r="F2942" t="s">
        <v>29</v>
      </c>
      <c r="G2942" t="s">
        <v>12</v>
      </c>
      <c r="H2942">
        <v>3376.39</v>
      </c>
      <c r="I2942" s="8" t="str" cm="1">
        <f t="array" ref="I2942">_xlfn.IFS(C2942&lt;=15,"Children and Young Adolescents", C2942&gt;64, "Seniors", TRUE, "Working Age")</f>
        <v>Working Age</v>
      </c>
      <c r="J2942" s="6">
        <f>VLOOKUP(F2942,Analysis!$F$1:$G$5,2,FALSE)</f>
        <v>2496.7676064256989</v>
      </c>
      <c r="K2942">
        <f t="shared" si="180"/>
        <v>3714.02</v>
      </c>
      <c r="L2942">
        <f t="shared" si="181"/>
        <v>3714.03</v>
      </c>
      <c r="M2942">
        <f t="shared" si="182"/>
        <v>3714.03</v>
      </c>
      <c r="N2942" s="5" t="str">
        <f t="shared" si="183"/>
        <v>March 2023</v>
      </c>
    </row>
    <row r="2943" spans="1:14" x14ac:dyDescent="0.25">
      <c r="A2943" s="1">
        <v>44990</v>
      </c>
      <c r="B2943" t="s">
        <v>656</v>
      </c>
      <c r="C2943">
        <v>24</v>
      </c>
      <c r="D2943" t="s">
        <v>9</v>
      </c>
      <c r="E2943" t="s">
        <v>10</v>
      </c>
      <c r="F2943" t="s">
        <v>23</v>
      </c>
      <c r="G2943" t="s">
        <v>12</v>
      </c>
      <c r="H2943">
        <v>3740.55</v>
      </c>
      <c r="I2943" s="8" t="str" cm="1">
        <f t="array" ref="I2943">_xlfn.IFS(C2943&lt;=15,"Children and Young Adolescents", C2943&gt;64, "Seniors", TRUE, "Working Age")</f>
        <v>Working Age</v>
      </c>
      <c r="J2943" s="6">
        <f>VLOOKUP(F2943,Analysis!$F$1:$G$5,2,FALSE)</f>
        <v>2440.2966694490838</v>
      </c>
      <c r="K2943">
        <f t="shared" si="180"/>
        <v>4114.6000000000004</v>
      </c>
      <c r="L2943">
        <f t="shared" si="181"/>
        <v>4114.6100000000006</v>
      </c>
      <c r="M2943">
        <f t="shared" si="182"/>
        <v>4114.6099999999997</v>
      </c>
      <c r="N2943" s="5" t="str">
        <f t="shared" si="183"/>
        <v>March 2023</v>
      </c>
    </row>
    <row r="2944" spans="1:14" x14ac:dyDescent="0.25">
      <c r="A2944" s="1">
        <v>44990</v>
      </c>
      <c r="B2944" t="s">
        <v>412</v>
      </c>
      <c r="C2944">
        <v>12</v>
      </c>
      <c r="D2944" t="s">
        <v>14</v>
      </c>
      <c r="E2944" t="s">
        <v>22</v>
      </c>
      <c r="F2944" t="s">
        <v>16</v>
      </c>
      <c r="G2944" t="s">
        <v>39</v>
      </c>
      <c r="H2944">
        <v>724.84</v>
      </c>
      <c r="I2944" s="8" t="str" cm="1">
        <f t="array" ref="I2944">_xlfn.IFS(C2944&lt;=15,"Children and Young Adolescents", C2944&gt;64, "Seniors", TRUE, "Working Age")</f>
        <v>Children and Young Adolescents</v>
      </c>
      <c r="J2944" s="6">
        <f>VLOOKUP(F2944,Analysis!$F$1:$G$5,2,FALSE)</f>
        <v>2509.1716796874912</v>
      </c>
      <c r="K2944">
        <f t="shared" si="180"/>
        <v>797.32</v>
      </c>
      <c r="L2944">
        <f t="shared" si="181"/>
        <v>797.33</v>
      </c>
      <c r="M2944">
        <f t="shared" si="182"/>
        <v>797.32</v>
      </c>
      <c r="N2944" s="5" t="str">
        <f t="shared" si="183"/>
        <v>March 2023</v>
      </c>
    </row>
    <row r="2945" spans="1:14" x14ac:dyDescent="0.25">
      <c r="A2945" s="1">
        <v>44990</v>
      </c>
      <c r="B2945" t="s">
        <v>958</v>
      </c>
      <c r="C2945">
        <v>72</v>
      </c>
      <c r="D2945" t="s">
        <v>14</v>
      </c>
      <c r="E2945" t="s">
        <v>19</v>
      </c>
      <c r="F2945" t="s">
        <v>11</v>
      </c>
      <c r="G2945" t="s">
        <v>27</v>
      </c>
      <c r="H2945">
        <v>3462.23</v>
      </c>
      <c r="I2945" s="8" t="str" cm="1">
        <f t="array" ref="I2945">_xlfn.IFS(C2945&lt;=15,"Children and Young Adolescents", C2945&gt;64, "Seniors", TRUE, "Working Age")</f>
        <v>Seniors</v>
      </c>
      <c r="J2945" s="6">
        <f>VLOOKUP(F2945,Analysis!$F$1:$G$5,2,FALSE)</f>
        <v>2503.6022787783854</v>
      </c>
      <c r="K2945">
        <f t="shared" si="180"/>
        <v>3808.45</v>
      </c>
      <c r="L2945">
        <f t="shared" si="181"/>
        <v>3808.46</v>
      </c>
      <c r="M2945">
        <f t="shared" si="182"/>
        <v>3808.45</v>
      </c>
      <c r="N2945" s="5" t="str">
        <f t="shared" si="183"/>
        <v>March 2023</v>
      </c>
    </row>
    <row r="2946" spans="1:14" x14ac:dyDescent="0.25">
      <c r="A2946" s="1">
        <v>44990</v>
      </c>
      <c r="B2946" t="s">
        <v>565</v>
      </c>
      <c r="C2946">
        <v>35</v>
      </c>
      <c r="D2946" t="s">
        <v>14</v>
      </c>
      <c r="E2946" t="s">
        <v>19</v>
      </c>
      <c r="F2946" t="s">
        <v>23</v>
      </c>
      <c r="G2946" t="s">
        <v>12</v>
      </c>
      <c r="H2946">
        <v>4273.5</v>
      </c>
      <c r="I2946" s="8" t="str" cm="1">
        <f t="array" ref="I2946">_xlfn.IFS(C2946&lt;=15,"Children and Young Adolescents", C2946&gt;64, "Seniors", TRUE, "Working Age")</f>
        <v>Working Age</v>
      </c>
      <c r="J2946" s="6">
        <f>VLOOKUP(F2946,Analysis!$F$1:$G$5,2,FALSE)</f>
        <v>2440.2966694490838</v>
      </c>
      <c r="K2946">
        <f t="shared" si="180"/>
        <v>4700.8500000000004</v>
      </c>
      <c r="L2946">
        <f t="shared" si="181"/>
        <v>4700.8500000000004</v>
      </c>
      <c r="M2946">
        <f t="shared" si="182"/>
        <v>4700.8500000000004</v>
      </c>
      <c r="N2946" s="5" t="str">
        <f t="shared" si="183"/>
        <v>March 2023</v>
      </c>
    </row>
    <row r="2947" spans="1:14" x14ac:dyDescent="0.25">
      <c r="A2947" s="1">
        <v>44990</v>
      </c>
      <c r="B2947" t="s">
        <v>617</v>
      </c>
      <c r="C2947">
        <v>24</v>
      </c>
      <c r="D2947" t="s">
        <v>9</v>
      </c>
      <c r="E2947" t="s">
        <v>25</v>
      </c>
      <c r="F2947" t="s">
        <v>29</v>
      </c>
      <c r="G2947" t="s">
        <v>12</v>
      </c>
      <c r="H2947">
        <v>3017.16</v>
      </c>
      <c r="I2947" s="8" t="str" cm="1">
        <f t="array" ref="I2947">_xlfn.IFS(C2947&lt;=15,"Children and Young Adolescents", C2947&gt;64, "Seniors", TRUE, "Working Age")</f>
        <v>Working Age</v>
      </c>
      <c r="J2947" s="6">
        <f>VLOOKUP(F2947,Analysis!$F$1:$G$5,2,FALSE)</f>
        <v>2496.7676064256989</v>
      </c>
      <c r="K2947">
        <f t="shared" ref="K2947:K3010" si="184">ROUNDDOWN(H2947*1.1,2)</f>
        <v>3318.87</v>
      </c>
      <c r="L2947">
        <f t="shared" ref="L2947:L3010" si="185">ROUNDUP(H2947*1.1,2)</f>
        <v>3318.88</v>
      </c>
      <c r="M2947">
        <f t="shared" ref="M2947:M3010" si="186">ROUND(H2947*1.1,2)</f>
        <v>3318.88</v>
      </c>
      <c r="N2947" s="5" t="str">
        <f t="shared" ref="N2947:N3010" si="187">TEXT(A2947,"mmmm yyyy")</f>
        <v>March 2023</v>
      </c>
    </row>
    <row r="2948" spans="1:14" x14ac:dyDescent="0.25">
      <c r="A2948" s="1">
        <v>44990</v>
      </c>
      <c r="B2948" t="s">
        <v>4403</v>
      </c>
      <c r="C2948">
        <v>86</v>
      </c>
      <c r="D2948" t="s">
        <v>21</v>
      </c>
      <c r="E2948" t="s">
        <v>15</v>
      </c>
      <c r="F2948" t="s">
        <v>23</v>
      </c>
      <c r="G2948" t="s">
        <v>36</v>
      </c>
      <c r="H2948">
        <v>3735.86</v>
      </c>
      <c r="I2948" s="8" t="str" cm="1">
        <f t="array" ref="I2948">_xlfn.IFS(C2948&lt;=15,"Children and Young Adolescents", C2948&gt;64, "Seniors", TRUE, "Working Age")</f>
        <v>Seniors</v>
      </c>
      <c r="J2948" s="6">
        <f>VLOOKUP(F2948,Analysis!$F$1:$G$5,2,FALSE)</f>
        <v>2440.2966694490838</v>
      </c>
      <c r="K2948">
        <f t="shared" si="184"/>
        <v>4109.4399999999996</v>
      </c>
      <c r="L2948">
        <f t="shared" si="185"/>
        <v>4109.45</v>
      </c>
      <c r="M2948">
        <f t="shared" si="186"/>
        <v>4109.45</v>
      </c>
      <c r="N2948" s="5" t="str">
        <f t="shared" si="187"/>
        <v>March 2023</v>
      </c>
    </row>
    <row r="2949" spans="1:14" x14ac:dyDescent="0.25">
      <c r="A2949" s="1">
        <v>44990</v>
      </c>
      <c r="B2949" t="s">
        <v>497</v>
      </c>
      <c r="C2949">
        <v>65</v>
      </c>
      <c r="D2949" t="s">
        <v>21</v>
      </c>
      <c r="E2949" t="s">
        <v>32</v>
      </c>
      <c r="F2949" t="s">
        <v>29</v>
      </c>
      <c r="G2949" t="s">
        <v>12</v>
      </c>
      <c r="H2949">
        <v>3251.6</v>
      </c>
      <c r="I2949" s="8" t="str" cm="1">
        <f t="array" ref="I2949">_xlfn.IFS(C2949&lt;=15,"Children and Young Adolescents", C2949&gt;64, "Seniors", TRUE, "Working Age")</f>
        <v>Seniors</v>
      </c>
      <c r="J2949" s="6">
        <f>VLOOKUP(F2949,Analysis!$F$1:$G$5,2,FALSE)</f>
        <v>2496.7676064256989</v>
      </c>
      <c r="K2949">
        <f t="shared" si="184"/>
        <v>3576.76</v>
      </c>
      <c r="L2949">
        <f t="shared" si="185"/>
        <v>3576.76</v>
      </c>
      <c r="M2949">
        <f t="shared" si="186"/>
        <v>3576.76</v>
      </c>
      <c r="N2949" s="5" t="str">
        <f t="shared" si="187"/>
        <v>March 2023</v>
      </c>
    </row>
    <row r="2950" spans="1:14" x14ac:dyDescent="0.25">
      <c r="A2950" s="1">
        <v>44990</v>
      </c>
      <c r="B2950" t="s">
        <v>4523</v>
      </c>
      <c r="C2950">
        <v>31</v>
      </c>
      <c r="D2950" t="s">
        <v>14</v>
      </c>
      <c r="E2950" t="s">
        <v>34</v>
      </c>
      <c r="F2950" t="s">
        <v>29</v>
      </c>
      <c r="G2950" t="s">
        <v>27</v>
      </c>
      <c r="H2950">
        <v>1647.7</v>
      </c>
      <c r="I2950" s="8" t="str" cm="1">
        <f t="array" ref="I2950">_xlfn.IFS(C2950&lt;=15,"Children and Young Adolescents", C2950&gt;64, "Seniors", TRUE, "Working Age")</f>
        <v>Working Age</v>
      </c>
      <c r="J2950" s="6">
        <f>VLOOKUP(F2950,Analysis!$F$1:$G$5,2,FALSE)</f>
        <v>2496.7676064256989</v>
      </c>
      <c r="K2950">
        <f t="shared" si="184"/>
        <v>1812.47</v>
      </c>
      <c r="L2950">
        <f t="shared" si="185"/>
        <v>1812.47</v>
      </c>
      <c r="M2950">
        <f t="shared" si="186"/>
        <v>1812.47</v>
      </c>
      <c r="N2950" s="5" t="str">
        <f t="shared" si="187"/>
        <v>March 2023</v>
      </c>
    </row>
    <row r="2951" spans="1:14" x14ac:dyDescent="0.25">
      <c r="A2951" s="1">
        <v>44990</v>
      </c>
      <c r="B2951" t="s">
        <v>3154</v>
      </c>
      <c r="C2951">
        <v>44</v>
      </c>
      <c r="D2951" t="s">
        <v>21</v>
      </c>
      <c r="E2951" t="s">
        <v>15</v>
      </c>
      <c r="F2951" t="s">
        <v>16</v>
      </c>
      <c r="G2951" t="s">
        <v>39</v>
      </c>
      <c r="H2951">
        <v>3898.19</v>
      </c>
      <c r="I2951" s="8" t="str" cm="1">
        <f t="array" ref="I2951">_xlfn.IFS(C2951&lt;=15,"Children and Young Adolescents", C2951&gt;64, "Seniors", TRUE, "Working Age")</f>
        <v>Working Age</v>
      </c>
      <c r="J2951" s="6">
        <f>VLOOKUP(F2951,Analysis!$F$1:$G$5,2,FALSE)</f>
        <v>2509.1716796874912</v>
      </c>
      <c r="K2951">
        <f t="shared" si="184"/>
        <v>4288</v>
      </c>
      <c r="L2951">
        <f t="shared" si="185"/>
        <v>4288.01</v>
      </c>
      <c r="M2951">
        <f t="shared" si="186"/>
        <v>4288.01</v>
      </c>
      <c r="N2951" s="5" t="str">
        <f t="shared" si="187"/>
        <v>March 2023</v>
      </c>
    </row>
    <row r="2952" spans="1:14" x14ac:dyDescent="0.25">
      <c r="A2952" s="1">
        <v>44991</v>
      </c>
      <c r="B2952" t="s">
        <v>3735</v>
      </c>
      <c r="C2952">
        <v>12</v>
      </c>
      <c r="D2952" t="s">
        <v>21</v>
      </c>
      <c r="E2952" t="s">
        <v>34</v>
      </c>
      <c r="F2952" t="s">
        <v>23</v>
      </c>
      <c r="G2952" t="s">
        <v>39</v>
      </c>
      <c r="H2952">
        <v>3370.29</v>
      </c>
      <c r="I2952" s="8" t="str" cm="1">
        <f t="array" ref="I2952">_xlfn.IFS(C2952&lt;=15,"Children and Young Adolescents", C2952&gt;64, "Seniors", TRUE, "Working Age")</f>
        <v>Children and Young Adolescents</v>
      </c>
      <c r="J2952" s="6">
        <f>VLOOKUP(F2952,Analysis!$F$1:$G$5,2,FALSE)</f>
        <v>2440.2966694490838</v>
      </c>
      <c r="K2952">
        <f t="shared" si="184"/>
        <v>3707.31</v>
      </c>
      <c r="L2952">
        <f t="shared" si="185"/>
        <v>3707.32</v>
      </c>
      <c r="M2952">
        <f t="shared" si="186"/>
        <v>3707.32</v>
      </c>
      <c r="N2952" s="5" t="str">
        <f t="shared" si="187"/>
        <v>March 2023</v>
      </c>
    </row>
    <row r="2953" spans="1:14" x14ac:dyDescent="0.25">
      <c r="A2953" s="1">
        <v>44991</v>
      </c>
      <c r="B2953" t="s">
        <v>394</v>
      </c>
      <c r="C2953">
        <v>8</v>
      </c>
      <c r="D2953" t="s">
        <v>9</v>
      </c>
      <c r="E2953" t="s">
        <v>34</v>
      </c>
      <c r="F2953" t="s">
        <v>23</v>
      </c>
      <c r="G2953" t="s">
        <v>36</v>
      </c>
      <c r="H2953">
        <v>4749.71</v>
      </c>
      <c r="I2953" s="8" t="str" cm="1">
        <f t="array" ref="I2953">_xlfn.IFS(C2953&lt;=15,"Children and Young Adolescents", C2953&gt;64, "Seniors", TRUE, "Working Age")</f>
        <v>Children and Young Adolescents</v>
      </c>
      <c r="J2953" s="6">
        <f>VLOOKUP(F2953,Analysis!$F$1:$G$5,2,FALSE)</f>
        <v>2440.2966694490838</v>
      </c>
      <c r="K2953">
        <f t="shared" si="184"/>
        <v>5224.68</v>
      </c>
      <c r="L2953">
        <f t="shared" si="185"/>
        <v>5224.6900000000005</v>
      </c>
      <c r="M2953">
        <f t="shared" si="186"/>
        <v>5224.68</v>
      </c>
      <c r="N2953" s="5" t="str">
        <f t="shared" si="187"/>
        <v>March 2023</v>
      </c>
    </row>
    <row r="2954" spans="1:14" x14ac:dyDescent="0.25">
      <c r="A2954" s="1">
        <v>44991</v>
      </c>
      <c r="B2954" t="s">
        <v>293</v>
      </c>
      <c r="C2954">
        <v>78</v>
      </c>
      <c r="D2954" t="s">
        <v>9</v>
      </c>
      <c r="E2954" t="s">
        <v>22</v>
      </c>
      <c r="F2954" t="s">
        <v>11</v>
      </c>
      <c r="G2954" t="s">
        <v>27</v>
      </c>
      <c r="H2954">
        <v>4068.15</v>
      </c>
      <c r="I2954" s="8" t="str" cm="1">
        <f t="array" ref="I2954">_xlfn.IFS(C2954&lt;=15,"Children and Young Adolescents", C2954&gt;64, "Seniors", TRUE, "Working Age")</f>
        <v>Seniors</v>
      </c>
      <c r="J2954" s="6">
        <f>VLOOKUP(F2954,Analysis!$F$1:$G$5,2,FALSE)</f>
        <v>2503.6022787783854</v>
      </c>
      <c r="K2954">
        <f t="shared" si="184"/>
        <v>4474.96</v>
      </c>
      <c r="L2954">
        <f t="shared" si="185"/>
        <v>4474.97</v>
      </c>
      <c r="M2954">
        <f t="shared" si="186"/>
        <v>4474.97</v>
      </c>
      <c r="N2954" s="5" t="str">
        <f t="shared" si="187"/>
        <v>March 2023</v>
      </c>
    </row>
    <row r="2955" spans="1:14" x14ac:dyDescent="0.25">
      <c r="A2955" s="1">
        <v>44991</v>
      </c>
      <c r="B2955" t="s">
        <v>1476</v>
      </c>
      <c r="C2955">
        <v>32</v>
      </c>
      <c r="D2955" t="s">
        <v>21</v>
      </c>
      <c r="E2955" t="s">
        <v>19</v>
      </c>
      <c r="F2955" t="s">
        <v>11</v>
      </c>
      <c r="G2955" t="s">
        <v>39</v>
      </c>
      <c r="H2955">
        <v>793.28</v>
      </c>
      <c r="I2955" s="8" t="str" cm="1">
        <f t="array" ref="I2955">_xlfn.IFS(C2955&lt;=15,"Children and Young Adolescents", C2955&gt;64, "Seniors", TRUE, "Working Age")</f>
        <v>Working Age</v>
      </c>
      <c r="J2955" s="6">
        <f>VLOOKUP(F2955,Analysis!$F$1:$G$5,2,FALSE)</f>
        <v>2503.6022787783854</v>
      </c>
      <c r="K2955">
        <f t="shared" si="184"/>
        <v>872.6</v>
      </c>
      <c r="L2955">
        <f t="shared" si="185"/>
        <v>872.61</v>
      </c>
      <c r="M2955">
        <f t="shared" si="186"/>
        <v>872.61</v>
      </c>
      <c r="N2955" s="5" t="str">
        <f t="shared" si="187"/>
        <v>March 2023</v>
      </c>
    </row>
    <row r="2956" spans="1:14" x14ac:dyDescent="0.25">
      <c r="A2956" s="1">
        <v>44991</v>
      </c>
      <c r="B2956" t="s">
        <v>491</v>
      </c>
      <c r="C2956">
        <v>41</v>
      </c>
      <c r="D2956" t="s">
        <v>9</v>
      </c>
      <c r="E2956" t="s">
        <v>15</v>
      </c>
      <c r="F2956" t="s">
        <v>23</v>
      </c>
      <c r="G2956" t="s">
        <v>17</v>
      </c>
      <c r="H2956">
        <v>3764.95</v>
      </c>
      <c r="I2956" s="8" t="str" cm="1">
        <f t="array" ref="I2956">_xlfn.IFS(C2956&lt;=15,"Children and Young Adolescents", C2956&gt;64, "Seniors", TRUE, "Working Age")</f>
        <v>Working Age</v>
      </c>
      <c r="J2956" s="6">
        <f>VLOOKUP(F2956,Analysis!$F$1:$G$5,2,FALSE)</f>
        <v>2440.2966694490838</v>
      </c>
      <c r="K2956">
        <f t="shared" si="184"/>
        <v>4141.4399999999996</v>
      </c>
      <c r="L2956">
        <f t="shared" si="185"/>
        <v>4141.45</v>
      </c>
      <c r="M2956">
        <f t="shared" si="186"/>
        <v>4141.45</v>
      </c>
      <c r="N2956" s="5" t="str">
        <f t="shared" si="187"/>
        <v>March 2023</v>
      </c>
    </row>
    <row r="2957" spans="1:14" x14ac:dyDescent="0.25">
      <c r="A2957" s="1">
        <v>44991</v>
      </c>
      <c r="B2957" t="s">
        <v>167</v>
      </c>
      <c r="C2957">
        <v>71</v>
      </c>
      <c r="D2957" t="s">
        <v>14</v>
      </c>
      <c r="E2957" t="s">
        <v>32</v>
      </c>
      <c r="F2957" t="s">
        <v>16</v>
      </c>
      <c r="G2957" t="s">
        <v>17</v>
      </c>
      <c r="H2957">
        <v>682.39</v>
      </c>
      <c r="I2957" s="8" t="str" cm="1">
        <f t="array" ref="I2957">_xlfn.IFS(C2957&lt;=15,"Children and Young Adolescents", C2957&gt;64, "Seniors", TRUE, "Working Age")</f>
        <v>Seniors</v>
      </c>
      <c r="J2957" s="6">
        <f>VLOOKUP(F2957,Analysis!$F$1:$G$5,2,FALSE)</f>
        <v>2509.1716796874912</v>
      </c>
      <c r="K2957">
        <f t="shared" si="184"/>
        <v>750.62</v>
      </c>
      <c r="L2957">
        <f t="shared" si="185"/>
        <v>750.63</v>
      </c>
      <c r="M2957">
        <f t="shared" si="186"/>
        <v>750.63</v>
      </c>
      <c r="N2957" s="5" t="str">
        <f t="shared" si="187"/>
        <v>March 2023</v>
      </c>
    </row>
    <row r="2958" spans="1:14" x14ac:dyDescent="0.25">
      <c r="A2958" s="1">
        <v>44991</v>
      </c>
      <c r="B2958" t="s">
        <v>1120</v>
      </c>
      <c r="C2958">
        <v>67</v>
      </c>
      <c r="D2958" t="s">
        <v>9</v>
      </c>
      <c r="E2958" t="s">
        <v>15</v>
      </c>
      <c r="F2958" t="s">
        <v>16</v>
      </c>
      <c r="G2958" t="s">
        <v>12</v>
      </c>
      <c r="H2958">
        <v>521.22</v>
      </c>
      <c r="I2958" s="8" t="str" cm="1">
        <f t="array" ref="I2958">_xlfn.IFS(C2958&lt;=15,"Children and Young Adolescents", C2958&gt;64, "Seniors", TRUE, "Working Age")</f>
        <v>Seniors</v>
      </c>
      <c r="J2958" s="6">
        <f>VLOOKUP(F2958,Analysis!$F$1:$G$5,2,FALSE)</f>
        <v>2509.1716796874912</v>
      </c>
      <c r="K2958">
        <f t="shared" si="184"/>
        <v>573.34</v>
      </c>
      <c r="L2958">
        <f t="shared" si="185"/>
        <v>573.35</v>
      </c>
      <c r="M2958">
        <f t="shared" si="186"/>
        <v>573.34</v>
      </c>
      <c r="N2958" s="5" t="str">
        <f t="shared" si="187"/>
        <v>March 2023</v>
      </c>
    </row>
    <row r="2959" spans="1:14" x14ac:dyDescent="0.25">
      <c r="A2959" s="1">
        <v>44991</v>
      </c>
      <c r="B2959" t="s">
        <v>3107</v>
      </c>
      <c r="C2959">
        <v>47</v>
      </c>
      <c r="D2959" t="s">
        <v>9</v>
      </c>
      <c r="E2959" t="s">
        <v>22</v>
      </c>
      <c r="F2959" t="s">
        <v>11</v>
      </c>
      <c r="G2959" t="s">
        <v>27</v>
      </c>
      <c r="H2959">
        <v>1683.04</v>
      </c>
      <c r="I2959" s="8" t="str" cm="1">
        <f t="array" ref="I2959">_xlfn.IFS(C2959&lt;=15,"Children and Young Adolescents", C2959&gt;64, "Seniors", TRUE, "Working Age")</f>
        <v>Working Age</v>
      </c>
      <c r="J2959" s="6">
        <f>VLOOKUP(F2959,Analysis!$F$1:$G$5,2,FALSE)</f>
        <v>2503.6022787783854</v>
      </c>
      <c r="K2959">
        <f t="shared" si="184"/>
        <v>1851.34</v>
      </c>
      <c r="L2959">
        <f t="shared" si="185"/>
        <v>1851.35</v>
      </c>
      <c r="M2959">
        <f t="shared" si="186"/>
        <v>1851.34</v>
      </c>
      <c r="N2959" s="5" t="str">
        <f t="shared" si="187"/>
        <v>March 2023</v>
      </c>
    </row>
    <row r="2960" spans="1:14" x14ac:dyDescent="0.25">
      <c r="A2960" s="1">
        <v>44991</v>
      </c>
      <c r="B2960" t="s">
        <v>4774</v>
      </c>
      <c r="C2960">
        <v>73</v>
      </c>
      <c r="D2960" t="s">
        <v>21</v>
      </c>
      <c r="E2960" t="s">
        <v>10</v>
      </c>
      <c r="F2960" t="s">
        <v>11</v>
      </c>
      <c r="G2960" t="s">
        <v>39</v>
      </c>
      <c r="H2960">
        <v>3895.6</v>
      </c>
      <c r="I2960" s="8" t="str" cm="1">
        <f t="array" ref="I2960">_xlfn.IFS(C2960&lt;=15,"Children and Young Adolescents", C2960&gt;64, "Seniors", TRUE, "Working Age")</f>
        <v>Seniors</v>
      </c>
      <c r="J2960" s="6">
        <f>VLOOKUP(F2960,Analysis!$F$1:$G$5,2,FALSE)</f>
        <v>2503.6022787783854</v>
      </c>
      <c r="K2960">
        <f t="shared" si="184"/>
        <v>4285.16</v>
      </c>
      <c r="L2960">
        <f t="shared" si="185"/>
        <v>4285.16</v>
      </c>
      <c r="M2960">
        <f t="shared" si="186"/>
        <v>4285.16</v>
      </c>
      <c r="N2960" s="5" t="str">
        <f t="shared" si="187"/>
        <v>March 2023</v>
      </c>
    </row>
    <row r="2961" spans="1:14" x14ac:dyDescent="0.25">
      <c r="A2961" s="1">
        <v>44992</v>
      </c>
      <c r="B2961" t="s">
        <v>682</v>
      </c>
      <c r="C2961">
        <v>29</v>
      </c>
      <c r="D2961" t="s">
        <v>14</v>
      </c>
      <c r="E2961" t="s">
        <v>34</v>
      </c>
      <c r="F2961" t="s">
        <v>23</v>
      </c>
      <c r="G2961" t="s">
        <v>17</v>
      </c>
      <c r="H2961">
        <v>963.86</v>
      </c>
      <c r="I2961" s="8" t="str" cm="1">
        <f t="array" ref="I2961">_xlfn.IFS(C2961&lt;=15,"Children and Young Adolescents", C2961&gt;64, "Seniors", TRUE, "Working Age")</f>
        <v>Working Age</v>
      </c>
      <c r="J2961" s="6">
        <f>VLOOKUP(F2961,Analysis!$F$1:$G$5,2,FALSE)</f>
        <v>2440.2966694490838</v>
      </c>
      <c r="K2961">
        <f t="shared" si="184"/>
        <v>1060.24</v>
      </c>
      <c r="L2961">
        <f t="shared" si="185"/>
        <v>1060.25</v>
      </c>
      <c r="M2961">
        <f t="shared" si="186"/>
        <v>1060.25</v>
      </c>
      <c r="N2961" s="5" t="str">
        <f t="shared" si="187"/>
        <v>March 2023</v>
      </c>
    </row>
    <row r="2962" spans="1:14" x14ac:dyDescent="0.25">
      <c r="A2962" s="1">
        <v>44993</v>
      </c>
      <c r="B2962" t="s">
        <v>2164</v>
      </c>
      <c r="C2962">
        <v>27</v>
      </c>
      <c r="D2962" t="s">
        <v>21</v>
      </c>
      <c r="E2962" t="s">
        <v>22</v>
      </c>
      <c r="F2962" t="s">
        <v>23</v>
      </c>
      <c r="G2962" t="s">
        <v>12</v>
      </c>
      <c r="H2962">
        <v>3460.32</v>
      </c>
      <c r="I2962" s="8" t="str" cm="1">
        <f t="array" ref="I2962">_xlfn.IFS(C2962&lt;=15,"Children and Young Adolescents", C2962&gt;64, "Seniors", TRUE, "Working Age")</f>
        <v>Working Age</v>
      </c>
      <c r="J2962" s="6">
        <f>VLOOKUP(F2962,Analysis!$F$1:$G$5,2,FALSE)</f>
        <v>2440.2966694490838</v>
      </c>
      <c r="K2962">
        <f t="shared" si="184"/>
        <v>3806.35</v>
      </c>
      <c r="L2962">
        <f t="shared" si="185"/>
        <v>3806.36</v>
      </c>
      <c r="M2962">
        <f t="shared" si="186"/>
        <v>3806.35</v>
      </c>
      <c r="N2962" s="5" t="str">
        <f t="shared" si="187"/>
        <v>March 2023</v>
      </c>
    </row>
    <row r="2963" spans="1:14" x14ac:dyDescent="0.25">
      <c r="A2963" s="1">
        <v>44993</v>
      </c>
      <c r="B2963" t="s">
        <v>4303</v>
      </c>
      <c r="C2963">
        <v>3</v>
      </c>
      <c r="D2963" t="s">
        <v>14</v>
      </c>
      <c r="E2963" t="s">
        <v>10</v>
      </c>
      <c r="F2963" t="s">
        <v>29</v>
      </c>
      <c r="G2963" t="s">
        <v>39</v>
      </c>
      <c r="H2963">
        <v>4435.43</v>
      </c>
      <c r="I2963" s="8" t="str" cm="1">
        <f t="array" ref="I2963">_xlfn.IFS(C2963&lt;=15,"Children and Young Adolescents", C2963&gt;64, "Seniors", TRUE, "Working Age")</f>
        <v>Children and Young Adolescents</v>
      </c>
      <c r="J2963" s="6">
        <f>VLOOKUP(F2963,Analysis!$F$1:$G$5,2,FALSE)</f>
        <v>2496.7676064256989</v>
      </c>
      <c r="K2963">
        <f t="shared" si="184"/>
        <v>4878.97</v>
      </c>
      <c r="L2963">
        <f t="shared" si="185"/>
        <v>4878.9800000000005</v>
      </c>
      <c r="M2963">
        <f t="shared" si="186"/>
        <v>4878.97</v>
      </c>
      <c r="N2963" s="5" t="str">
        <f t="shared" si="187"/>
        <v>March 2023</v>
      </c>
    </row>
    <row r="2964" spans="1:14" x14ac:dyDescent="0.25">
      <c r="A2964" s="1">
        <v>44993</v>
      </c>
      <c r="B2964" t="s">
        <v>4690</v>
      </c>
      <c r="C2964">
        <v>7</v>
      </c>
      <c r="D2964" t="s">
        <v>21</v>
      </c>
      <c r="E2964" t="s">
        <v>19</v>
      </c>
      <c r="F2964" t="s">
        <v>23</v>
      </c>
      <c r="G2964" t="s">
        <v>36</v>
      </c>
      <c r="H2964">
        <v>640.62</v>
      </c>
      <c r="I2964" s="8" t="str" cm="1">
        <f t="array" ref="I2964">_xlfn.IFS(C2964&lt;=15,"Children and Young Adolescents", C2964&gt;64, "Seniors", TRUE, "Working Age")</f>
        <v>Children and Young Adolescents</v>
      </c>
      <c r="J2964" s="6">
        <f>VLOOKUP(F2964,Analysis!$F$1:$G$5,2,FALSE)</f>
        <v>2440.2966694490838</v>
      </c>
      <c r="K2964">
        <f t="shared" si="184"/>
        <v>704.68</v>
      </c>
      <c r="L2964">
        <f t="shared" si="185"/>
        <v>704.68999999999994</v>
      </c>
      <c r="M2964">
        <f t="shared" si="186"/>
        <v>704.68</v>
      </c>
      <c r="N2964" s="5" t="str">
        <f t="shared" si="187"/>
        <v>March 2023</v>
      </c>
    </row>
    <row r="2965" spans="1:14" x14ac:dyDescent="0.25">
      <c r="A2965" s="1">
        <v>44993</v>
      </c>
      <c r="B2965" t="s">
        <v>869</v>
      </c>
      <c r="C2965">
        <v>94</v>
      </c>
      <c r="D2965" t="s">
        <v>14</v>
      </c>
      <c r="E2965" t="s">
        <v>19</v>
      </c>
      <c r="F2965" t="s">
        <v>16</v>
      </c>
      <c r="G2965" t="s">
        <v>39</v>
      </c>
      <c r="H2965">
        <v>3466.94</v>
      </c>
      <c r="I2965" s="8" t="str" cm="1">
        <f t="array" ref="I2965">_xlfn.IFS(C2965&lt;=15,"Children and Young Adolescents", C2965&gt;64, "Seniors", TRUE, "Working Age")</f>
        <v>Seniors</v>
      </c>
      <c r="J2965" s="6">
        <f>VLOOKUP(F2965,Analysis!$F$1:$G$5,2,FALSE)</f>
        <v>2509.1716796874912</v>
      </c>
      <c r="K2965">
        <f t="shared" si="184"/>
        <v>3813.63</v>
      </c>
      <c r="L2965">
        <f t="shared" si="185"/>
        <v>3813.6400000000003</v>
      </c>
      <c r="M2965">
        <f t="shared" si="186"/>
        <v>3813.63</v>
      </c>
      <c r="N2965" s="5" t="str">
        <f t="shared" si="187"/>
        <v>March 2023</v>
      </c>
    </row>
    <row r="2966" spans="1:14" x14ac:dyDescent="0.25">
      <c r="A2966" s="1">
        <v>44993</v>
      </c>
      <c r="B2966" t="s">
        <v>669</v>
      </c>
      <c r="C2966">
        <v>19</v>
      </c>
      <c r="D2966" t="s">
        <v>21</v>
      </c>
      <c r="E2966" t="s">
        <v>22</v>
      </c>
      <c r="F2966" t="s">
        <v>23</v>
      </c>
      <c r="G2966" t="s">
        <v>17</v>
      </c>
      <c r="H2966">
        <v>4497.34</v>
      </c>
      <c r="I2966" s="8" t="str" cm="1">
        <f t="array" ref="I2966">_xlfn.IFS(C2966&lt;=15,"Children and Young Adolescents", C2966&gt;64, "Seniors", TRUE, "Working Age")</f>
        <v>Working Age</v>
      </c>
      <c r="J2966" s="6">
        <f>VLOOKUP(F2966,Analysis!$F$1:$G$5,2,FALSE)</f>
        <v>2440.2966694490838</v>
      </c>
      <c r="K2966">
        <f t="shared" si="184"/>
        <v>4947.07</v>
      </c>
      <c r="L2966">
        <f t="shared" si="185"/>
        <v>4947.08</v>
      </c>
      <c r="M2966">
        <f t="shared" si="186"/>
        <v>4947.07</v>
      </c>
      <c r="N2966" s="5" t="str">
        <f t="shared" si="187"/>
        <v>March 2023</v>
      </c>
    </row>
    <row r="2967" spans="1:14" x14ac:dyDescent="0.25">
      <c r="A2967" s="1">
        <v>44993</v>
      </c>
      <c r="B2967" t="s">
        <v>2912</v>
      </c>
      <c r="C2967">
        <v>39</v>
      </c>
      <c r="D2967" t="s">
        <v>21</v>
      </c>
      <c r="E2967" t="s">
        <v>22</v>
      </c>
      <c r="F2967" t="s">
        <v>16</v>
      </c>
      <c r="G2967" t="s">
        <v>12</v>
      </c>
      <c r="H2967">
        <v>2126.13</v>
      </c>
      <c r="I2967" s="8" t="str" cm="1">
        <f t="array" ref="I2967">_xlfn.IFS(C2967&lt;=15,"Children and Young Adolescents", C2967&gt;64, "Seniors", TRUE, "Working Age")</f>
        <v>Working Age</v>
      </c>
      <c r="J2967" s="6">
        <f>VLOOKUP(F2967,Analysis!$F$1:$G$5,2,FALSE)</f>
        <v>2509.1716796874912</v>
      </c>
      <c r="K2967">
        <f t="shared" si="184"/>
        <v>2338.7399999999998</v>
      </c>
      <c r="L2967">
        <f t="shared" si="185"/>
        <v>2338.75</v>
      </c>
      <c r="M2967">
        <f t="shared" si="186"/>
        <v>2338.7399999999998</v>
      </c>
      <c r="N2967" s="5" t="str">
        <f t="shared" si="187"/>
        <v>March 2023</v>
      </c>
    </row>
    <row r="2968" spans="1:14" x14ac:dyDescent="0.25">
      <c r="A2968" s="1">
        <v>44993</v>
      </c>
      <c r="B2968" t="s">
        <v>211</v>
      </c>
      <c r="C2968">
        <v>40</v>
      </c>
      <c r="D2968" t="s">
        <v>21</v>
      </c>
      <c r="E2968" t="s">
        <v>25</v>
      </c>
      <c r="F2968" t="s">
        <v>11</v>
      </c>
      <c r="G2968" t="s">
        <v>17</v>
      </c>
      <c r="H2968">
        <v>426.76</v>
      </c>
      <c r="I2968" s="8" t="str" cm="1">
        <f t="array" ref="I2968">_xlfn.IFS(C2968&lt;=15,"Children and Young Adolescents", C2968&gt;64, "Seniors", TRUE, "Working Age")</f>
        <v>Working Age</v>
      </c>
      <c r="J2968" s="6">
        <f>VLOOKUP(F2968,Analysis!$F$1:$G$5,2,FALSE)</f>
        <v>2503.6022787783854</v>
      </c>
      <c r="K2968">
        <f t="shared" si="184"/>
        <v>469.43</v>
      </c>
      <c r="L2968">
        <f t="shared" si="185"/>
        <v>469.44</v>
      </c>
      <c r="M2968">
        <f t="shared" si="186"/>
        <v>469.44</v>
      </c>
      <c r="N2968" s="5" t="str">
        <f t="shared" si="187"/>
        <v>March 2023</v>
      </c>
    </row>
    <row r="2969" spans="1:14" x14ac:dyDescent="0.25">
      <c r="A2969" s="1">
        <v>44993</v>
      </c>
      <c r="B2969" t="s">
        <v>2919</v>
      </c>
      <c r="C2969">
        <v>70</v>
      </c>
      <c r="D2969" t="s">
        <v>21</v>
      </c>
      <c r="E2969" t="s">
        <v>19</v>
      </c>
      <c r="F2969" t="s">
        <v>16</v>
      </c>
      <c r="G2969" t="s">
        <v>36</v>
      </c>
      <c r="H2969">
        <v>4282.2</v>
      </c>
      <c r="I2969" s="8" t="str" cm="1">
        <f t="array" ref="I2969">_xlfn.IFS(C2969&lt;=15,"Children and Young Adolescents", C2969&gt;64, "Seniors", TRUE, "Working Age")</f>
        <v>Seniors</v>
      </c>
      <c r="J2969" s="6">
        <f>VLOOKUP(F2969,Analysis!$F$1:$G$5,2,FALSE)</f>
        <v>2509.1716796874912</v>
      </c>
      <c r="K2969">
        <f t="shared" si="184"/>
        <v>4710.42</v>
      </c>
      <c r="L2969">
        <f t="shared" si="185"/>
        <v>4710.42</v>
      </c>
      <c r="M2969">
        <f t="shared" si="186"/>
        <v>4710.42</v>
      </c>
      <c r="N2969" s="5" t="str">
        <f t="shared" si="187"/>
        <v>March 2023</v>
      </c>
    </row>
    <row r="2970" spans="1:14" x14ac:dyDescent="0.25">
      <c r="A2970" s="1">
        <v>44993</v>
      </c>
      <c r="B2970" t="s">
        <v>3711</v>
      </c>
      <c r="C2970">
        <v>68</v>
      </c>
      <c r="D2970" t="s">
        <v>9</v>
      </c>
      <c r="E2970" t="s">
        <v>5032</v>
      </c>
      <c r="F2970" t="s">
        <v>23</v>
      </c>
      <c r="G2970" t="s">
        <v>12</v>
      </c>
      <c r="H2970">
        <v>3928.29</v>
      </c>
      <c r="I2970" s="8" t="str" cm="1">
        <f t="array" ref="I2970">_xlfn.IFS(C2970&lt;=15,"Children and Young Adolescents", C2970&gt;64, "Seniors", TRUE, "Working Age")</f>
        <v>Seniors</v>
      </c>
      <c r="J2970" s="6">
        <f>VLOOKUP(F2970,Analysis!$F$1:$G$5,2,FALSE)</f>
        <v>2440.2966694490838</v>
      </c>
      <c r="K2970">
        <f t="shared" si="184"/>
        <v>4321.1099999999997</v>
      </c>
      <c r="L2970">
        <f t="shared" si="185"/>
        <v>4321.12</v>
      </c>
      <c r="M2970">
        <f t="shared" si="186"/>
        <v>4321.12</v>
      </c>
      <c r="N2970" s="5" t="str">
        <f t="shared" si="187"/>
        <v>March 2023</v>
      </c>
    </row>
    <row r="2971" spans="1:14" x14ac:dyDescent="0.25">
      <c r="A2971" s="1">
        <v>44994</v>
      </c>
      <c r="B2971" t="s">
        <v>2318</v>
      </c>
      <c r="C2971">
        <v>73</v>
      </c>
      <c r="D2971" t="s">
        <v>9</v>
      </c>
      <c r="E2971" t="s">
        <v>10</v>
      </c>
      <c r="F2971" t="s">
        <v>23</v>
      </c>
      <c r="G2971" t="s">
        <v>12</v>
      </c>
      <c r="H2971">
        <v>3508.24</v>
      </c>
      <c r="I2971" s="8" t="str" cm="1">
        <f t="array" ref="I2971">_xlfn.IFS(C2971&lt;=15,"Children and Young Adolescents", C2971&gt;64, "Seniors", TRUE, "Working Age")</f>
        <v>Seniors</v>
      </c>
      <c r="J2971" s="6">
        <f>VLOOKUP(F2971,Analysis!$F$1:$G$5,2,FALSE)</f>
        <v>2440.2966694490838</v>
      </c>
      <c r="K2971">
        <f t="shared" si="184"/>
        <v>3859.06</v>
      </c>
      <c r="L2971">
        <f t="shared" si="185"/>
        <v>3859.07</v>
      </c>
      <c r="M2971">
        <f t="shared" si="186"/>
        <v>3859.06</v>
      </c>
      <c r="N2971" s="5" t="str">
        <f t="shared" si="187"/>
        <v>March 2023</v>
      </c>
    </row>
    <row r="2972" spans="1:14" x14ac:dyDescent="0.25">
      <c r="A2972" s="1">
        <v>44994</v>
      </c>
      <c r="B2972" t="s">
        <v>1483</v>
      </c>
      <c r="C2972">
        <v>6</v>
      </c>
      <c r="D2972" t="s">
        <v>9</v>
      </c>
      <c r="E2972" t="s">
        <v>15</v>
      </c>
      <c r="F2972" t="s">
        <v>16</v>
      </c>
      <c r="G2972" t="s">
        <v>39</v>
      </c>
      <c r="H2972">
        <v>4454.8599999999997</v>
      </c>
      <c r="I2972" s="8" t="str" cm="1">
        <f t="array" ref="I2972">_xlfn.IFS(C2972&lt;=15,"Children and Young Adolescents", C2972&gt;64, "Seniors", TRUE, "Working Age")</f>
        <v>Children and Young Adolescents</v>
      </c>
      <c r="J2972" s="6">
        <f>VLOOKUP(F2972,Analysis!$F$1:$G$5,2,FALSE)</f>
        <v>2509.1716796874912</v>
      </c>
      <c r="K2972">
        <f t="shared" si="184"/>
        <v>4900.34</v>
      </c>
      <c r="L2972">
        <f t="shared" si="185"/>
        <v>4900.3500000000004</v>
      </c>
      <c r="M2972">
        <f t="shared" si="186"/>
        <v>4900.3500000000004</v>
      </c>
      <c r="N2972" s="5" t="str">
        <f t="shared" si="187"/>
        <v>March 2023</v>
      </c>
    </row>
    <row r="2973" spans="1:14" x14ac:dyDescent="0.25">
      <c r="A2973" s="1">
        <v>44994</v>
      </c>
      <c r="B2973" t="s">
        <v>3604</v>
      </c>
      <c r="C2973">
        <v>19</v>
      </c>
      <c r="D2973" t="s">
        <v>9</v>
      </c>
      <c r="E2973" t="s">
        <v>22</v>
      </c>
      <c r="F2973" t="s">
        <v>16</v>
      </c>
      <c r="G2973" t="s">
        <v>27</v>
      </c>
      <c r="H2973">
        <v>1442.93</v>
      </c>
      <c r="I2973" s="8" t="str" cm="1">
        <f t="array" ref="I2973">_xlfn.IFS(C2973&lt;=15,"Children and Young Adolescents", C2973&gt;64, "Seniors", TRUE, "Working Age")</f>
        <v>Working Age</v>
      </c>
      <c r="J2973" s="6">
        <f>VLOOKUP(F2973,Analysis!$F$1:$G$5,2,FALSE)</f>
        <v>2509.1716796874912</v>
      </c>
      <c r="K2973">
        <f t="shared" si="184"/>
        <v>1587.22</v>
      </c>
      <c r="L2973">
        <f t="shared" si="185"/>
        <v>1587.23</v>
      </c>
      <c r="M2973">
        <f t="shared" si="186"/>
        <v>1587.22</v>
      </c>
      <c r="N2973" s="5" t="str">
        <f t="shared" si="187"/>
        <v>March 2023</v>
      </c>
    </row>
    <row r="2974" spans="1:14" x14ac:dyDescent="0.25">
      <c r="A2974" s="1">
        <v>44994</v>
      </c>
      <c r="B2974" t="s">
        <v>2250</v>
      </c>
      <c r="C2974">
        <v>28</v>
      </c>
      <c r="D2974" t="s">
        <v>14</v>
      </c>
      <c r="E2974" t="s">
        <v>10</v>
      </c>
      <c r="F2974" t="s">
        <v>29</v>
      </c>
      <c r="G2974" t="s">
        <v>39</v>
      </c>
      <c r="H2974">
        <v>4013.76</v>
      </c>
      <c r="I2974" s="8" t="str" cm="1">
        <f t="array" ref="I2974">_xlfn.IFS(C2974&lt;=15,"Children and Young Adolescents", C2974&gt;64, "Seniors", TRUE, "Working Age")</f>
        <v>Working Age</v>
      </c>
      <c r="J2974" s="6">
        <f>VLOOKUP(F2974,Analysis!$F$1:$G$5,2,FALSE)</f>
        <v>2496.7676064256989</v>
      </c>
      <c r="K2974">
        <f t="shared" si="184"/>
        <v>4415.13</v>
      </c>
      <c r="L2974">
        <f t="shared" si="185"/>
        <v>4415.1400000000003</v>
      </c>
      <c r="M2974">
        <f t="shared" si="186"/>
        <v>4415.1400000000003</v>
      </c>
      <c r="N2974" s="5" t="str">
        <f t="shared" si="187"/>
        <v>March 2023</v>
      </c>
    </row>
    <row r="2975" spans="1:14" x14ac:dyDescent="0.25">
      <c r="A2975" s="1">
        <v>44994</v>
      </c>
      <c r="B2975" t="s">
        <v>172</v>
      </c>
      <c r="C2975">
        <v>5</v>
      </c>
      <c r="D2975" t="s">
        <v>14</v>
      </c>
      <c r="E2975" t="s">
        <v>32</v>
      </c>
      <c r="F2975" t="s">
        <v>11</v>
      </c>
      <c r="G2975" t="s">
        <v>17</v>
      </c>
      <c r="H2975">
        <v>4659.74</v>
      </c>
      <c r="I2975" s="8" t="str" cm="1">
        <f t="array" ref="I2975">_xlfn.IFS(C2975&lt;=15,"Children and Young Adolescents", C2975&gt;64, "Seniors", TRUE, "Working Age")</f>
        <v>Children and Young Adolescents</v>
      </c>
      <c r="J2975" s="6">
        <f>VLOOKUP(F2975,Analysis!$F$1:$G$5,2,FALSE)</f>
        <v>2503.6022787783854</v>
      </c>
      <c r="K2975">
        <f t="shared" si="184"/>
        <v>5125.71</v>
      </c>
      <c r="L2975">
        <f t="shared" si="185"/>
        <v>5125.72</v>
      </c>
      <c r="M2975">
        <f t="shared" si="186"/>
        <v>5125.71</v>
      </c>
      <c r="N2975" s="5" t="str">
        <f t="shared" si="187"/>
        <v>March 2023</v>
      </c>
    </row>
    <row r="2976" spans="1:14" x14ac:dyDescent="0.25">
      <c r="A2976" s="1">
        <v>44994</v>
      </c>
      <c r="B2976" t="s">
        <v>4952</v>
      </c>
      <c r="C2976">
        <v>29</v>
      </c>
      <c r="D2976" t="s">
        <v>21</v>
      </c>
      <c r="E2976" t="s">
        <v>22</v>
      </c>
      <c r="F2976" t="s">
        <v>16</v>
      </c>
      <c r="G2976" t="s">
        <v>27</v>
      </c>
      <c r="H2976">
        <v>3513.7</v>
      </c>
      <c r="I2976" s="8" t="str" cm="1">
        <f t="array" ref="I2976">_xlfn.IFS(C2976&lt;=15,"Children and Young Adolescents", C2976&gt;64, "Seniors", TRUE, "Working Age")</f>
        <v>Working Age</v>
      </c>
      <c r="J2976" s="6">
        <f>VLOOKUP(F2976,Analysis!$F$1:$G$5,2,FALSE)</f>
        <v>2509.1716796874912</v>
      </c>
      <c r="K2976">
        <f t="shared" si="184"/>
        <v>3865.07</v>
      </c>
      <c r="L2976">
        <f t="shared" si="185"/>
        <v>3865.07</v>
      </c>
      <c r="M2976">
        <f t="shared" si="186"/>
        <v>3865.07</v>
      </c>
      <c r="N2976" s="5" t="str">
        <f t="shared" si="187"/>
        <v>March 2023</v>
      </c>
    </row>
    <row r="2977" spans="1:14" x14ac:dyDescent="0.25">
      <c r="A2977" s="1">
        <v>44995</v>
      </c>
      <c r="B2977" t="s">
        <v>2489</v>
      </c>
      <c r="C2977">
        <v>1</v>
      </c>
      <c r="D2977" t="s">
        <v>21</v>
      </c>
      <c r="E2977" t="s">
        <v>22</v>
      </c>
      <c r="F2977" t="s">
        <v>23</v>
      </c>
      <c r="G2977" t="s">
        <v>17</v>
      </c>
      <c r="H2977">
        <v>3709.55</v>
      </c>
      <c r="I2977" s="8" t="str" cm="1">
        <f t="array" ref="I2977">_xlfn.IFS(C2977&lt;=15,"Children and Young Adolescents", C2977&gt;64, "Seniors", TRUE, "Working Age")</f>
        <v>Children and Young Adolescents</v>
      </c>
      <c r="J2977" s="6">
        <f>VLOOKUP(F2977,Analysis!$F$1:$G$5,2,FALSE)</f>
        <v>2440.2966694490838</v>
      </c>
      <c r="K2977">
        <f t="shared" si="184"/>
        <v>4080.5</v>
      </c>
      <c r="L2977">
        <f t="shared" si="185"/>
        <v>4080.51</v>
      </c>
      <c r="M2977">
        <f t="shared" si="186"/>
        <v>4080.51</v>
      </c>
      <c r="N2977" s="5" t="str">
        <f t="shared" si="187"/>
        <v>March 2023</v>
      </c>
    </row>
    <row r="2978" spans="1:14" x14ac:dyDescent="0.25">
      <c r="A2978" s="1">
        <v>44995</v>
      </c>
      <c r="B2978" t="s">
        <v>927</v>
      </c>
      <c r="C2978">
        <v>31</v>
      </c>
      <c r="D2978" t="s">
        <v>14</v>
      </c>
      <c r="E2978" t="s">
        <v>32</v>
      </c>
      <c r="F2978" t="s">
        <v>23</v>
      </c>
      <c r="G2978" t="s">
        <v>39</v>
      </c>
      <c r="H2978">
        <v>143.29</v>
      </c>
      <c r="I2978" s="8" t="str" cm="1">
        <f t="array" ref="I2978">_xlfn.IFS(C2978&lt;=15,"Children and Young Adolescents", C2978&gt;64, "Seniors", TRUE, "Working Age")</f>
        <v>Working Age</v>
      </c>
      <c r="J2978" s="6">
        <f>VLOOKUP(F2978,Analysis!$F$1:$G$5,2,FALSE)</f>
        <v>2440.2966694490838</v>
      </c>
      <c r="K2978">
        <f t="shared" si="184"/>
        <v>157.61000000000001</v>
      </c>
      <c r="L2978">
        <f t="shared" si="185"/>
        <v>157.62</v>
      </c>
      <c r="M2978">
        <f t="shared" si="186"/>
        <v>157.62</v>
      </c>
      <c r="N2978" s="5" t="str">
        <f t="shared" si="187"/>
        <v>March 2023</v>
      </c>
    </row>
    <row r="2979" spans="1:14" x14ac:dyDescent="0.25">
      <c r="A2979" s="1">
        <v>44996</v>
      </c>
      <c r="B2979" t="s">
        <v>346</v>
      </c>
      <c r="C2979">
        <v>4</v>
      </c>
      <c r="D2979" t="s">
        <v>9</v>
      </c>
      <c r="E2979" t="s">
        <v>32</v>
      </c>
      <c r="F2979" t="s">
        <v>23</v>
      </c>
      <c r="G2979" t="s">
        <v>39</v>
      </c>
      <c r="H2979">
        <v>701.91</v>
      </c>
      <c r="I2979" s="8" t="str" cm="1">
        <f t="array" ref="I2979">_xlfn.IFS(C2979&lt;=15,"Children and Young Adolescents", C2979&gt;64, "Seniors", TRUE, "Working Age")</f>
        <v>Children and Young Adolescents</v>
      </c>
      <c r="J2979" s="6">
        <f>VLOOKUP(F2979,Analysis!$F$1:$G$5,2,FALSE)</f>
        <v>2440.2966694490838</v>
      </c>
      <c r="K2979">
        <f t="shared" si="184"/>
        <v>772.1</v>
      </c>
      <c r="L2979">
        <f t="shared" si="185"/>
        <v>772.11</v>
      </c>
      <c r="M2979">
        <f t="shared" si="186"/>
        <v>772.1</v>
      </c>
      <c r="N2979" s="5" t="str">
        <f t="shared" si="187"/>
        <v>March 2023</v>
      </c>
    </row>
    <row r="2980" spans="1:14" x14ac:dyDescent="0.25">
      <c r="A2980" s="1">
        <v>44996</v>
      </c>
      <c r="B2980" t="s">
        <v>2219</v>
      </c>
      <c r="C2980">
        <v>58</v>
      </c>
      <c r="D2980" t="s">
        <v>14</v>
      </c>
      <c r="E2980" t="s">
        <v>10</v>
      </c>
      <c r="F2980" t="s">
        <v>11</v>
      </c>
      <c r="G2980" t="s">
        <v>27</v>
      </c>
      <c r="H2980">
        <v>3752.98</v>
      </c>
      <c r="I2980" s="8" t="str" cm="1">
        <f t="array" ref="I2980">_xlfn.IFS(C2980&lt;=15,"Children and Young Adolescents", C2980&gt;64, "Seniors", TRUE, "Working Age")</f>
        <v>Working Age</v>
      </c>
      <c r="J2980" s="6">
        <f>VLOOKUP(F2980,Analysis!$F$1:$G$5,2,FALSE)</f>
        <v>2503.6022787783854</v>
      </c>
      <c r="K2980">
        <f t="shared" si="184"/>
        <v>4128.2700000000004</v>
      </c>
      <c r="L2980">
        <f t="shared" si="185"/>
        <v>4128.2800000000007</v>
      </c>
      <c r="M2980">
        <f t="shared" si="186"/>
        <v>4128.28</v>
      </c>
      <c r="N2980" s="5" t="str">
        <f t="shared" si="187"/>
        <v>March 2023</v>
      </c>
    </row>
    <row r="2981" spans="1:14" x14ac:dyDescent="0.25">
      <c r="A2981" s="1">
        <v>44996</v>
      </c>
      <c r="B2981" t="s">
        <v>3222</v>
      </c>
      <c r="C2981">
        <v>28</v>
      </c>
      <c r="D2981" t="s">
        <v>21</v>
      </c>
      <c r="E2981" t="s">
        <v>32</v>
      </c>
      <c r="F2981" t="s">
        <v>29</v>
      </c>
      <c r="G2981" t="s">
        <v>12</v>
      </c>
      <c r="H2981">
        <v>3669.12</v>
      </c>
      <c r="I2981" s="8" t="str" cm="1">
        <f t="array" ref="I2981">_xlfn.IFS(C2981&lt;=15,"Children and Young Adolescents", C2981&gt;64, "Seniors", TRUE, "Working Age")</f>
        <v>Working Age</v>
      </c>
      <c r="J2981" s="6">
        <f>VLOOKUP(F2981,Analysis!$F$1:$G$5,2,FALSE)</f>
        <v>2496.7676064256989</v>
      </c>
      <c r="K2981">
        <f t="shared" si="184"/>
        <v>4036.03</v>
      </c>
      <c r="L2981">
        <f t="shared" si="185"/>
        <v>4036.0400000000004</v>
      </c>
      <c r="M2981">
        <f t="shared" si="186"/>
        <v>4036.03</v>
      </c>
      <c r="N2981" s="5" t="str">
        <f t="shared" si="187"/>
        <v>March 2023</v>
      </c>
    </row>
    <row r="2982" spans="1:14" x14ac:dyDescent="0.25">
      <c r="A2982" s="1">
        <v>44996</v>
      </c>
      <c r="B2982" t="s">
        <v>1527</v>
      </c>
      <c r="C2982">
        <v>77</v>
      </c>
      <c r="D2982" t="s">
        <v>21</v>
      </c>
      <c r="E2982" t="s">
        <v>22</v>
      </c>
      <c r="F2982" t="s">
        <v>29</v>
      </c>
      <c r="G2982" t="s">
        <v>17</v>
      </c>
      <c r="H2982">
        <v>4004.75</v>
      </c>
      <c r="I2982" s="8" t="str" cm="1">
        <f t="array" ref="I2982">_xlfn.IFS(C2982&lt;=15,"Children and Young Adolescents", C2982&gt;64, "Seniors", TRUE, "Working Age")</f>
        <v>Seniors</v>
      </c>
      <c r="J2982" s="6">
        <f>VLOOKUP(F2982,Analysis!$F$1:$G$5,2,FALSE)</f>
        <v>2496.7676064256989</v>
      </c>
      <c r="K2982">
        <f t="shared" si="184"/>
        <v>4405.22</v>
      </c>
      <c r="L2982">
        <f t="shared" si="185"/>
        <v>4405.2300000000005</v>
      </c>
      <c r="M2982">
        <f t="shared" si="186"/>
        <v>4405.2299999999996</v>
      </c>
      <c r="N2982" s="5" t="str">
        <f t="shared" si="187"/>
        <v>March 2023</v>
      </c>
    </row>
    <row r="2983" spans="1:14" x14ac:dyDescent="0.25">
      <c r="A2983" s="1">
        <v>44996</v>
      </c>
      <c r="B2983" t="s">
        <v>4994</v>
      </c>
      <c r="C2983">
        <v>94</v>
      </c>
      <c r="D2983" t="s">
        <v>14</v>
      </c>
      <c r="E2983" t="s">
        <v>15</v>
      </c>
      <c r="F2983" t="s">
        <v>16</v>
      </c>
      <c r="G2983" t="s">
        <v>17</v>
      </c>
      <c r="H2983">
        <v>2460.59</v>
      </c>
      <c r="I2983" s="8" t="str" cm="1">
        <f t="array" ref="I2983">_xlfn.IFS(C2983&lt;=15,"Children and Young Adolescents", C2983&gt;64, "Seniors", TRUE, "Working Age")</f>
        <v>Seniors</v>
      </c>
      <c r="J2983" s="6">
        <f>VLOOKUP(F2983,Analysis!$F$1:$G$5,2,FALSE)</f>
        <v>2509.1716796874912</v>
      </c>
      <c r="K2983">
        <f t="shared" si="184"/>
        <v>2706.64</v>
      </c>
      <c r="L2983">
        <f t="shared" si="185"/>
        <v>2706.65</v>
      </c>
      <c r="M2983">
        <f t="shared" si="186"/>
        <v>2706.65</v>
      </c>
      <c r="N2983" s="5" t="str">
        <f t="shared" si="187"/>
        <v>March 2023</v>
      </c>
    </row>
    <row r="2984" spans="1:14" x14ac:dyDescent="0.25">
      <c r="A2984" s="1">
        <v>44997</v>
      </c>
      <c r="B2984" t="s">
        <v>1884</v>
      </c>
      <c r="C2984">
        <v>86</v>
      </c>
      <c r="D2984" t="s">
        <v>21</v>
      </c>
      <c r="E2984" t="s">
        <v>32</v>
      </c>
      <c r="F2984" t="s">
        <v>23</v>
      </c>
      <c r="G2984" t="s">
        <v>27</v>
      </c>
      <c r="H2984">
        <v>2599.17</v>
      </c>
      <c r="I2984" s="8" t="str" cm="1">
        <f t="array" ref="I2984">_xlfn.IFS(C2984&lt;=15,"Children and Young Adolescents", C2984&gt;64, "Seniors", TRUE, "Working Age")</f>
        <v>Seniors</v>
      </c>
      <c r="J2984" s="6">
        <f>VLOOKUP(F2984,Analysis!$F$1:$G$5,2,FALSE)</f>
        <v>2440.2966694490838</v>
      </c>
      <c r="K2984">
        <f t="shared" si="184"/>
        <v>2859.08</v>
      </c>
      <c r="L2984">
        <f t="shared" si="185"/>
        <v>2859.09</v>
      </c>
      <c r="M2984">
        <f t="shared" si="186"/>
        <v>2859.09</v>
      </c>
      <c r="N2984" s="5" t="str">
        <f t="shared" si="187"/>
        <v>March 2023</v>
      </c>
    </row>
    <row r="2985" spans="1:14" x14ac:dyDescent="0.25">
      <c r="A2985" s="1">
        <v>44997</v>
      </c>
      <c r="B2985" t="s">
        <v>3959</v>
      </c>
      <c r="C2985">
        <v>27</v>
      </c>
      <c r="D2985" t="s">
        <v>9</v>
      </c>
      <c r="E2985" t="s">
        <v>32</v>
      </c>
      <c r="F2985" t="s">
        <v>23</v>
      </c>
      <c r="G2985" t="s">
        <v>12</v>
      </c>
      <c r="H2985">
        <v>1129</v>
      </c>
      <c r="I2985" s="8" t="str" cm="1">
        <f t="array" ref="I2985">_xlfn.IFS(C2985&lt;=15,"Children and Young Adolescents", C2985&gt;64, "Seniors", TRUE, "Working Age")</f>
        <v>Working Age</v>
      </c>
      <c r="J2985" s="6">
        <f>VLOOKUP(F2985,Analysis!$F$1:$G$5,2,FALSE)</f>
        <v>2440.2966694490838</v>
      </c>
      <c r="K2985">
        <f t="shared" si="184"/>
        <v>1241.9000000000001</v>
      </c>
      <c r="L2985">
        <f t="shared" si="185"/>
        <v>1241.9000000000001</v>
      </c>
      <c r="M2985">
        <f t="shared" si="186"/>
        <v>1241.9000000000001</v>
      </c>
      <c r="N2985" s="5" t="str">
        <f t="shared" si="187"/>
        <v>March 2023</v>
      </c>
    </row>
    <row r="2986" spans="1:14" x14ac:dyDescent="0.25">
      <c r="A2986" s="1">
        <v>44997</v>
      </c>
      <c r="B2986" t="s">
        <v>3989</v>
      </c>
      <c r="C2986">
        <v>61</v>
      </c>
      <c r="D2986" t="s">
        <v>21</v>
      </c>
      <c r="E2986" t="s">
        <v>22</v>
      </c>
      <c r="F2986" t="s">
        <v>23</v>
      </c>
      <c r="G2986" t="s">
        <v>12</v>
      </c>
      <c r="H2986">
        <v>42.85</v>
      </c>
      <c r="I2986" s="8" t="str" cm="1">
        <f t="array" ref="I2986">_xlfn.IFS(C2986&lt;=15,"Children and Young Adolescents", C2986&gt;64, "Seniors", TRUE, "Working Age")</f>
        <v>Working Age</v>
      </c>
      <c r="J2986" s="6">
        <f>VLOOKUP(F2986,Analysis!$F$1:$G$5,2,FALSE)</f>
        <v>2440.2966694490838</v>
      </c>
      <c r="K2986">
        <f t="shared" si="184"/>
        <v>47.13</v>
      </c>
      <c r="L2986">
        <f t="shared" si="185"/>
        <v>47.14</v>
      </c>
      <c r="M2986">
        <f t="shared" si="186"/>
        <v>47.14</v>
      </c>
      <c r="N2986" s="5" t="str">
        <f t="shared" si="187"/>
        <v>March 2023</v>
      </c>
    </row>
    <row r="2987" spans="1:14" x14ac:dyDescent="0.25">
      <c r="A2987" s="1">
        <v>44997</v>
      </c>
      <c r="B2987" t="s">
        <v>4768</v>
      </c>
      <c r="C2987">
        <v>65</v>
      </c>
      <c r="D2987" t="s">
        <v>9</v>
      </c>
      <c r="E2987" t="s">
        <v>10</v>
      </c>
      <c r="F2987" t="s">
        <v>29</v>
      </c>
      <c r="G2987" t="s">
        <v>27</v>
      </c>
      <c r="H2987">
        <v>2827.44</v>
      </c>
      <c r="I2987" s="8" t="str" cm="1">
        <f t="array" ref="I2987">_xlfn.IFS(C2987&lt;=15,"Children and Young Adolescents", C2987&gt;64, "Seniors", TRUE, "Working Age")</f>
        <v>Seniors</v>
      </c>
      <c r="J2987" s="6">
        <f>VLOOKUP(F2987,Analysis!$F$1:$G$5,2,FALSE)</f>
        <v>2496.7676064256989</v>
      </c>
      <c r="K2987">
        <f t="shared" si="184"/>
        <v>3110.18</v>
      </c>
      <c r="L2987">
        <f t="shared" si="185"/>
        <v>3110.19</v>
      </c>
      <c r="M2987">
        <f t="shared" si="186"/>
        <v>3110.18</v>
      </c>
      <c r="N2987" s="5" t="str">
        <f t="shared" si="187"/>
        <v>March 2023</v>
      </c>
    </row>
    <row r="2988" spans="1:14" x14ac:dyDescent="0.25">
      <c r="A2988" s="1">
        <v>44997</v>
      </c>
      <c r="B2988" t="s">
        <v>3611</v>
      </c>
      <c r="C2988">
        <v>24</v>
      </c>
      <c r="D2988" t="s">
        <v>21</v>
      </c>
      <c r="E2988" t="s">
        <v>34</v>
      </c>
      <c r="F2988" t="s">
        <v>29</v>
      </c>
      <c r="G2988" t="s">
        <v>17</v>
      </c>
      <c r="H2988">
        <v>2997.09</v>
      </c>
      <c r="I2988" s="8" t="str" cm="1">
        <f t="array" ref="I2988">_xlfn.IFS(C2988&lt;=15,"Children and Young Adolescents", C2988&gt;64, "Seniors", TRUE, "Working Age")</f>
        <v>Working Age</v>
      </c>
      <c r="J2988" s="6">
        <f>VLOOKUP(F2988,Analysis!$F$1:$G$5,2,FALSE)</f>
        <v>2496.7676064256989</v>
      </c>
      <c r="K2988">
        <f t="shared" si="184"/>
        <v>3296.79</v>
      </c>
      <c r="L2988">
        <f t="shared" si="185"/>
        <v>3296.8</v>
      </c>
      <c r="M2988">
        <f t="shared" si="186"/>
        <v>3296.8</v>
      </c>
      <c r="N2988" s="5" t="str">
        <f t="shared" si="187"/>
        <v>March 2023</v>
      </c>
    </row>
    <row r="2989" spans="1:14" x14ac:dyDescent="0.25">
      <c r="A2989" s="1">
        <v>44997</v>
      </c>
      <c r="B2989" t="s">
        <v>1885</v>
      </c>
      <c r="C2989">
        <v>56</v>
      </c>
      <c r="D2989" t="s">
        <v>9</v>
      </c>
      <c r="E2989" t="s">
        <v>19</v>
      </c>
      <c r="F2989" t="s">
        <v>23</v>
      </c>
      <c r="G2989" t="s">
        <v>17</v>
      </c>
      <c r="H2989">
        <v>2080.0100000000002</v>
      </c>
      <c r="I2989" s="8" t="str" cm="1">
        <f t="array" ref="I2989">_xlfn.IFS(C2989&lt;=15,"Children and Young Adolescents", C2989&gt;64, "Seniors", TRUE, "Working Age")</f>
        <v>Working Age</v>
      </c>
      <c r="J2989" s="6">
        <f>VLOOKUP(F2989,Analysis!$F$1:$G$5,2,FALSE)</f>
        <v>2440.2966694490838</v>
      </c>
      <c r="K2989">
        <f t="shared" si="184"/>
        <v>2288.0100000000002</v>
      </c>
      <c r="L2989">
        <f t="shared" si="185"/>
        <v>2288.0200000000004</v>
      </c>
      <c r="M2989">
        <f t="shared" si="186"/>
        <v>2288.0100000000002</v>
      </c>
      <c r="N2989" s="5" t="str">
        <f t="shared" si="187"/>
        <v>March 2023</v>
      </c>
    </row>
    <row r="2990" spans="1:14" x14ac:dyDescent="0.25">
      <c r="A2990" s="1">
        <v>44998</v>
      </c>
      <c r="B2990" t="s">
        <v>2280</v>
      </c>
      <c r="C2990">
        <v>89</v>
      </c>
      <c r="D2990" t="s">
        <v>21</v>
      </c>
      <c r="E2990" t="s">
        <v>25</v>
      </c>
      <c r="F2990" t="s">
        <v>23</v>
      </c>
      <c r="G2990" t="s">
        <v>12</v>
      </c>
      <c r="H2990">
        <v>3004.57</v>
      </c>
      <c r="I2990" s="8" t="str" cm="1">
        <f t="array" ref="I2990">_xlfn.IFS(C2990&lt;=15,"Children and Young Adolescents", C2990&gt;64, "Seniors", TRUE, "Working Age")</f>
        <v>Seniors</v>
      </c>
      <c r="J2990" s="6">
        <f>VLOOKUP(F2990,Analysis!$F$1:$G$5,2,FALSE)</f>
        <v>2440.2966694490838</v>
      </c>
      <c r="K2990">
        <f t="shared" si="184"/>
        <v>3305.02</v>
      </c>
      <c r="L2990">
        <f t="shared" si="185"/>
        <v>3305.03</v>
      </c>
      <c r="M2990">
        <f t="shared" si="186"/>
        <v>3305.03</v>
      </c>
      <c r="N2990" s="5" t="str">
        <f t="shared" si="187"/>
        <v>March 2023</v>
      </c>
    </row>
    <row r="2991" spans="1:14" x14ac:dyDescent="0.25">
      <c r="A2991" s="1">
        <v>44999</v>
      </c>
      <c r="B2991" t="s">
        <v>1164</v>
      </c>
      <c r="C2991">
        <v>79</v>
      </c>
      <c r="D2991" t="s">
        <v>14</v>
      </c>
      <c r="E2991" t="s">
        <v>32</v>
      </c>
      <c r="F2991" t="s">
        <v>16</v>
      </c>
      <c r="G2991" t="s">
        <v>12</v>
      </c>
      <c r="H2991">
        <v>646.41999999999996</v>
      </c>
      <c r="I2991" s="8" t="str" cm="1">
        <f t="array" ref="I2991">_xlfn.IFS(C2991&lt;=15,"Children and Young Adolescents", C2991&gt;64, "Seniors", TRUE, "Working Age")</f>
        <v>Seniors</v>
      </c>
      <c r="J2991" s="6">
        <f>VLOOKUP(F2991,Analysis!$F$1:$G$5,2,FALSE)</f>
        <v>2509.1716796874912</v>
      </c>
      <c r="K2991">
        <f t="shared" si="184"/>
        <v>711.06</v>
      </c>
      <c r="L2991">
        <f t="shared" si="185"/>
        <v>711.06999999999994</v>
      </c>
      <c r="M2991">
        <f t="shared" si="186"/>
        <v>711.06</v>
      </c>
      <c r="N2991" s="5" t="str">
        <f t="shared" si="187"/>
        <v>March 2023</v>
      </c>
    </row>
    <row r="2992" spans="1:14" x14ac:dyDescent="0.25">
      <c r="A2992" s="1">
        <v>44999</v>
      </c>
      <c r="B2992" t="s">
        <v>1673</v>
      </c>
      <c r="C2992">
        <v>49</v>
      </c>
      <c r="D2992" t="s">
        <v>21</v>
      </c>
      <c r="E2992" t="s">
        <v>15</v>
      </c>
      <c r="F2992" t="s">
        <v>23</v>
      </c>
      <c r="G2992" t="s">
        <v>39</v>
      </c>
      <c r="H2992">
        <v>896.41</v>
      </c>
      <c r="I2992" s="8" t="str" cm="1">
        <f t="array" ref="I2992">_xlfn.IFS(C2992&lt;=15,"Children and Young Adolescents", C2992&gt;64, "Seniors", TRUE, "Working Age")</f>
        <v>Working Age</v>
      </c>
      <c r="J2992" s="6">
        <f>VLOOKUP(F2992,Analysis!$F$1:$G$5,2,FALSE)</f>
        <v>2440.2966694490838</v>
      </c>
      <c r="K2992">
        <f t="shared" si="184"/>
        <v>986.05</v>
      </c>
      <c r="L2992">
        <f t="shared" si="185"/>
        <v>986.06</v>
      </c>
      <c r="M2992">
        <f t="shared" si="186"/>
        <v>986.05</v>
      </c>
      <c r="N2992" s="5" t="str">
        <f t="shared" si="187"/>
        <v>March 2023</v>
      </c>
    </row>
    <row r="2993" spans="1:14" x14ac:dyDescent="0.25">
      <c r="A2993" s="1">
        <v>44999</v>
      </c>
      <c r="B2993" t="s">
        <v>1867</v>
      </c>
      <c r="C2993">
        <v>21</v>
      </c>
      <c r="D2993" t="s">
        <v>9</v>
      </c>
      <c r="E2993" t="s">
        <v>10</v>
      </c>
      <c r="F2993" t="s">
        <v>16</v>
      </c>
      <c r="G2993" t="s">
        <v>36</v>
      </c>
      <c r="H2993">
        <v>818.87</v>
      </c>
      <c r="I2993" s="8" t="str" cm="1">
        <f t="array" ref="I2993">_xlfn.IFS(C2993&lt;=15,"Children and Young Adolescents", C2993&gt;64, "Seniors", TRUE, "Working Age")</f>
        <v>Working Age</v>
      </c>
      <c r="J2993" s="6">
        <f>VLOOKUP(F2993,Analysis!$F$1:$G$5,2,FALSE)</f>
        <v>2509.1716796874912</v>
      </c>
      <c r="K2993">
        <f t="shared" si="184"/>
        <v>900.75</v>
      </c>
      <c r="L2993">
        <f t="shared" si="185"/>
        <v>900.76</v>
      </c>
      <c r="M2993">
        <f t="shared" si="186"/>
        <v>900.76</v>
      </c>
      <c r="N2993" s="5" t="str">
        <f t="shared" si="187"/>
        <v>March 2023</v>
      </c>
    </row>
    <row r="2994" spans="1:14" x14ac:dyDescent="0.25">
      <c r="A2994" s="1">
        <v>44999</v>
      </c>
      <c r="B2994" t="s">
        <v>2246</v>
      </c>
      <c r="C2994">
        <v>81</v>
      </c>
      <c r="D2994" t="s">
        <v>21</v>
      </c>
      <c r="E2994" t="s">
        <v>10</v>
      </c>
      <c r="F2994" t="s">
        <v>29</v>
      </c>
      <c r="G2994" t="s">
        <v>27</v>
      </c>
      <c r="H2994">
        <v>3377.44</v>
      </c>
      <c r="I2994" s="8" t="str" cm="1">
        <f t="array" ref="I2994">_xlfn.IFS(C2994&lt;=15,"Children and Young Adolescents", C2994&gt;64, "Seniors", TRUE, "Working Age")</f>
        <v>Seniors</v>
      </c>
      <c r="J2994" s="6">
        <f>VLOOKUP(F2994,Analysis!$F$1:$G$5,2,FALSE)</f>
        <v>2496.7676064256989</v>
      </c>
      <c r="K2994">
        <f t="shared" si="184"/>
        <v>3715.18</v>
      </c>
      <c r="L2994">
        <f t="shared" si="185"/>
        <v>3715.19</v>
      </c>
      <c r="M2994">
        <f t="shared" si="186"/>
        <v>3715.18</v>
      </c>
      <c r="N2994" s="5" t="str">
        <f t="shared" si="187"/>
        <v>March 2023</v>
      </c>
    </row>
    <row r="2995" spans="1:14" x14ac:dyDescent="0.25">
      <c r="A2995" s="1">
        <v>44999</v>
      </c>
      <c r="B2995" t="s">
        <v>797</v>
      </c>
      <c r="C2995">
        <v>97</v>
      </c>
      <c r="D2995" t="s">
        <v>14</v>
      </c>
      <c r="E2995" t="s">
        <v>25</v>
      </c>
      <c r="F2995" t="s">
        <v>29</v>
      </c>
      <c r="G2995" t="s">
        <v>36</v>
      </c>
      <c r="H2995">
        <v>1404.3</v>
      </c>
      <c r="I2995" s="8" t="str" cm="1">
        <f t="array" ref="I2995">_xlfn.IFS(C2995&lt;=15,"Children and Young Adolescents", C2995&gt;64, "Seniors", TRUE, "Working Age")</f>
        <v>Seniors</v>
      </c>
      <c r="J2995" s="6">
        <f>VLOOKUP(F2995,Analysis!$F$1:$G$5,2,FALSE)</f>
        <v>2496.7676064256989</v>
      </c>
      <c r="K2995">
        <f t="shared" si="184"/>
        <v>1544.73</v>
      </c>
      <c r="L2995">
        <f t="shared" si="185"/>
        <v>1544.73</v>
      </c>
      <c r="M2995">
        <f t="shared" si="186"/>
        <v>1544.73</v>
      </c>
      <c r="N2995" s="5" t="str">
        <f t="shared" si="187"/>
        <v>March 2023</v>
      </c>
    </row>
    <row r="2996" spans="1:14" x14ac:dyDescent="0.25">
      <c r="A2996" s="1">
        <v>44999</v>
      </c>
      <c r="B2996" t="s">
        <v>316</v>
      </c>
      <c r="C2996">
        <v>90</v>
      </c>
      <c r="D2996" t="s">
        <v>9</v>
      </c>
      <c r="E2996" t="s">
        <v>10</v>
      </c>
      <c r="F2996" t="s">
        <v>16</v>
      </c>
      <c r="G2996" t="s">
        <v>17</v>
      </c>
      <c r="H2996">
        <v>99.47</v>
      </c>
      <c r="I2996" s="8" t="str" cm="1">
        <f t="array" ref="I2996">_xlfn.IFS(C2996&lt;=15,"Children and Young Adolescents", C2996&gt;64, "Seniors", TRUE, "Working Age")</f>
        <v>Seniors</v>
      </c>
      <c r="J2996" s="6">
        <f>VLOOKUP(F2996,Analysis!$F$1:$G$5,2,FALSE)</f>
        <v>2509.1716796874912</v>
      </c>
      <c r="K2996">
        <f t="shared" si="184"/>
        <v>109.41</v>
      </c>
      <c r="L2996">
        <f t="shared" si="185"/>
        <v>109.42</v>
      </c>
      <c r="M2996">
        <f t="shared" si="186"/>
        <v>109.42</v>
      </c>
      <c r="N2996" s="5" t="str">
        <f t="shared" si="187"/>
        <v>March 2023</v>
      </c>
    </row>
    <row r="2997" spans="1:14" x14ac:dyDescent="0.25">
      <c r="A2997" s="1">
        <v>44999</v>
      </c>
      <c r="B2997" t="s">
        <v>1596</v>
      </c>
      <c r="C2997">
        <v>82</v>
      </c>
      <c r="D2997" t="s">
        <v>9</v>
      </c>
      <c r="E2997" t="s">
        <v>10</v>
      </c>
      <c r="F2997" t="s">
        <v>11</v>
      </c>
      <c r="G2997" t="s">
        <v>27</v>
      </c>
      <c r="H2997">
        <v>1103.26</v>
      </c>
      <c r="I2997" s="8" t="str" cm="1">
        <f t="array" ref="I2997">_xlfn.IFS(C2997&lt;=15,"Children and Young Adolescents", C2997&gt;64, "Seniors", TRUE, "Working Age")</f>
        <v>Seniors</v>
      </c>
      <c r="J2997" s="6">
        <f>VLOOKUP(F2997,Analysis!$F$1:$G$5,2,FALSE)</f>
        <v>2503.6022787783854</v>
      </c>
      <c r="K2997">
        <f t="shared" si="184"/>
        <v>1213.58</v>
      </c>
      <c r="L2997">
        <f t="shared" si="185"/>
        <v>1213.5899999999999</v>
      </c>
      <c r="M2997">
        <f t="shared" si="186"/>
        <v>1213.5899999999999</v>
      </c>
      <c r="N2997" s="5" t="str">
        <f t="shared" si="187"/>
        <v>March 2023</v>
      </c>
    </row>
    <row r="2998" spans="1:14" x14ac:dyDescent="0.25">
      <c r="A2998" s="1">
        <v>45000</v>
      </c>
      <c r="B2998" t="s">
        <v>816</v>
      </c>
      <c r="C2998">
        <v>84</v>
      </c>
      <c r="D2998" t="s">
        <v>14</v>
      </c>
      <c r="E2998" t="s">
        <v>22</v>
      </c>
      <c r="F2998" t="s">
        <v>23</v>
      </c>
      <c r="G2998" t="s">
        <v>39</v>
      </c>
      <c r="H2998">
        <v>2845.28</v>
      </c>
      <c r="I2998" s="8" t="str" cm="1">
        <f t="array" ref="I2998">_xlfn.IFS(C2998&lt;=15,"Children and Young Adolescents", C2998&gt;64, "Seniors", TRUE, "Working Age")</f>
        <v>Seniors</v>
      </c>
      <c r="J2998" s="6">
        <f>VLOOKUP(F2998,Analysis!$F$1:$G$5,2,FALSE)</f>
        <v>2440.2966694490838</v>
      </c>
      <c r="K2998">
        <f t="shared" si="184"/>
        <v>3129.8</v>
      </c>
      <c r="L2998">
        <f t="shared" si="185"/>
        <v>3129.8100000000004</v>
      </c>
      <c r="M2998">
        <f t="shared" si="186"/>
        <v>3129.81</v>
      </c>
      <c r="N2998" s="5" t="str">
        <f t="shared" si="187"/>
        <v>March 2023</v>
      </c>
    </row>
    <row r="2999" spans="1:14" x14ac:dyDescent="0.25">
      <c r="A2999" s="1">
        <v>45000</v>
      </c>
      <c r="B2999" t="s">
        <v>2976</v>
      </c>
      <c r="C2999">
        <v>81</v>
      </c>
      <c r="D2999" t="s">
        <v>21</v>
      </c>
      <c r="E2999" t="s">
        <v>19</v>
      </c>
      <c r="F2999" t="s">
        <v>16</v>
      </c>
      <c r="G2999" t="s">
        <v>12</v>
      </c>
      <c r="H2999">
        <v>4668.9799999999996</v>
      </c>
      <c r="I2999" s="8" t="str" cm="1">
        <f t="array" ref="I2999">_xlfn.IFS(C2999&lt;=15,"Children and Young Adolescents", C2999&gt;64, "Seniors", TRUE, "Working Age")</f>
        <v>Seniors</v>
      </c>
      <c r="J2999" s="6">
        <f>VLOOKUP(F2999,Analysis!$F$1:$G$5,2,FALSE)</f>
        <v>2509.1716796874912</v>
      </c>
      <c r="K2999">
        <f t="shared" si="184"/>
        <v>5135.87</v>
      </c>
      <c r="L2999">
        <f t="shared" si="185"/>
        <v>5135.88</v>
      </c>
      <c r="M2999">
        <f t="shared" si="186"/>
        <v>5135.88</v>
      </c>
      <c r="N2999" s="5" t="str">
        <f t="shared" si="187"/>
        <v>March 2023</v>
      </c>
    </row>
    <row r="3000" spans="1:14" x14ac:dyDescent="0.25">
      <c r="A3000" s="1">
        <v>45000</v>
      </c>
      <c r="B3000" t="s">
        <v>1619</v>
      </c>
      <c r="C3000">
        <v>50</v>
      </c>
      <c r="D3000" t="s">
        <v>21</v>
      </c>
      <c r="E3000" t="s">
        <v>5032</v>
      </c>
      <c r="F3000" t="s">
        <v>23</v>
      </c>
      <c r="G3000" t="s">
        <v>27</v>
      </c>
      <c r="H3000">
        <v>649.34</v>
      </c>
      <c r="I3000" s="8" t="str" cm="1">
        <f t="array" ref="I3000">_xlfn.IFS(C3000&lt;=15,"Children and Young Adolescents", C3000&gt;64, "Seniors", TRUE, "Working Age")</f>
        <v>Working Age</v>
      </c>
      <c r="J3000" s="6">
        <f>VLOOKUP(F3000,Analysis!$F$1:$G$5,2,FALSE)</f>
        <v>2440.2966694490838</v>
      </c>
      <c r="K3000">
        <f t="shared" si="184"/>
        <v>714.27</v>
      </c>
      <c r="L3000">
        <f t="shared" si="185"/>
        <v>714.28</v>
      </c>
      <c r="M3000">
        <f t="shared" si="186"/>
        <v>714.27</v>
      </c>
      <c r="N3000" s="5" t="str">
        <f t="shared" si="187"/>
        <v>March 2023</v>
      </c>
    </row>
    <row r="3001" spans="1:14" x14ac:dyDescent="0.25">
      <c r="A3001" s="1">
        <v>45000</v>
      </c>
      <c r="B3001" t="s">
        <v>1735</v>
      </c>
      <c r="C3001">
        <v>6</v>
      </c>
      <c r="D3001" t="s">
        <v>14</v>
      </c>
      <c r="E3001" t="s">
        <v>32</v>
      </c>
      <c r="F3001" t="s">
        <v>16</v>
      </c>
      <c r="G3001" t="s">
        <v>17</v>
      </c>
      <c r="H3001">
        <v>3090.37</v>
      </c>
      <c r="I3001" s="8" t="str" cm="1">
        <f t="array" ref="I3001">_xlfn.IFS(C3001&lt;=15,"Children and Young Adolescents", C3001&gt;64, "Seniors", TRUE, "Working Age")</f>
        <v>Children and Young Adolescents</v>
      </c>
      <c r="J3001" s="6">
        <f>VLOOKUP(F3001,Analysis!$F$1:$G$5,2,FALSE)</f>
        <v>2509.1716796874912</v>
      </c>
      <c r="K3001">
        <f t="shared" si="184"/>
        <v>3399.4</v>
      </c>
      <c r="L3001">
        <f t="shared" si="185"/>
        <v>3399.4100000000003</v>
      </c>
      <c r="M3001">
        <f t="shared" si="186"/>
        <v>3399.41</v>
      </c>
      <c r="N3001" s="5" t="str">
        <f t="shared" si="187"/>
        <v>March 2023</v>
      </c>
    </row>
    <row r="3002" spans="1:14" x14ac:dyDescent="0.25">
      <c r="A3002" s="1">
        <v>45000</v>
      </c>
      <c r="B3002" t="s">
        <v>2973</v>
      </c>
      <c r="C3002">
        <v>91</v>
      </c>
      <c r="D3002" t="s">
        <v>21</v>
      </c>
      <c r="E3002" t="s">
        <v>32</v>
      </c>
      <c r="F3002" t="s">
        <v>29</v>
      </c>
      <c r="G3002" t="s">
        <v>12</v>
      </c>
      <c r="H3002">
        <v>2298.06</v>
      </c>
      <c r="I3002" s="8" t="str" cm="1">
        <f t="array" ref="I3002">_xlfn.IFS(C3002&lt;=15,"Children and Young Adolescents", C3002&gt;64, "Seniors", TRUE, "Working Age")</f>
        <v>Seniors</v>
      </c>
      <c r="J3002" s="6">
        <f>VLOOKUP(F3002,Analysis!$F$1:$G$5,2,FALSE)</f>
        <v>2496.7676064256989</v>
      </c>
      <c r="K3002">
        <f t="shared" si="184"/>
        <v>2527.86</v>
      </c>
      <c r="L3002">
        <f t="shared" si="185"/>
        <v>2527.8700000000003</v>
      </c>
      <c r="M3002">
        <f t="shared" si="186"/>
        <v>2527.87</v>
      </c>
      <c r="N3002" s="5" t="str">
        <f t="shared" si="187"/>
        <v>March 2023</v>
      </c>
    </row>
    <row r="3003" spans="1:14" x14ac:dyDescent="0.25">
      <c r="A3003" s="1">
        <v>45000</v>
      </c>
      <c r="B3003" t="s">
        <v>4128</v>
      </c>
      <c r="C3003">
        <v>34</v>
      </c>
      <c r="D3003" t="s">
        <v>21</v>
      </c>
      <c r="E3003" t="s">
        <v>32</v>
      </c>
      <c r="F3003" t="s">
        <v>23</v>
      </c>
      <c r="G3003" t="s">
        <v>27</v>
      </c>
      <c r="H3003">
        <v>3751.81</v>
      </c>
      <c r="I3003" s="8" t="str" cm="1">
        <f t="array" ref="I3003">_xlfn.IFS(C3003&lt;=15,"Children and Young Adolescents", C3003&gt;64, "Seniors", TRUE, "Working Age")</f>
        <v>Working Age</v>
      </c>
      <c r="J3003" s="6">
        <f>VLOOKUP(F3003,Analysis!$F$1:$G$5,2,FALSE)</f>
        <v>2440.2966694490838</v>
      </c>
      <c r="K3003">
        <f t="shared" si="184"/>
        <v>4126.99</v>
      </c>
      <c r="L3003">
        <f t="shared" si="185"/>
        <v>4127</v>
      </c>
      <c r="M3003">
        <f t="shared" si="186"/>
        <v>4126.99</v>
      </c>
      <c r="N3003" s="5" t="str">
        <f t="shared" si="187"/>
        <v>March 2023</v>
      </c>
    </row>
    <row r="3004" spans="1:14" x14ac:dyDescent="0.25">
      <c r="A3004" s="1">
        <v>45000</v>
      </c>
      <c r="B3004" t="s">
        <v>4541</v>
      </c>
      <c r="C3004">
        <v>47</v>
      </c>
      <c r="D3004" t="s">
        <v>9</v>
      </c>
      <c r="E3004" t="s">
        <v>25</v>
      </c>
      <c r="F3004" t="s">
        <v>16</v>
      </c>
      <c r="G3004" t="s">
        <v>27</v>
      </c>
      <c r="H3004">
        <v>2752.3</v>
      </c>
      <c r="I3004" s="8" t="str" cm="1">
        <f t="array" ref="I3004">_xlfn.IFS(C3004&lt;=15,"Children and Young Adolescents", C3004&gt;64, "Seniors", TRUE, "Working Age")</f>
        <v>Working Age</v>
      </c>
      <c r="J3004" s="6">
        <f>VLOOKUP(F3004,Analysis!$F$1:$G$5,2,FALSE)</f>
        <v>2509.1716796874912</v>
      </c>
      <c r="K3004">
        <f t="shared" si="184"/>
        <v>3027.53</v>
      </c>
      <c r="L3004">
        <f t="shared" si="185"/>
        <v>3027.53</v>
      </c>
      <c r="M3004">
        <f t="shared" si="186"/>
        <v>3027.53</v>
      </c>
      <c r="N3004" s="5" t="str">
        <f t="shared" si="187"/>
        <v>March 2023</v>
      </c>
    </row>
    <row r="3005" spans="1:14" x14ac:dyDescent="0.25">
      <c r="A3005" s="1">
        <v>45000</v>
      </c>
      <c r="B3005" t="s">
        <v>666</v>
      </c>
      <c r="C3005">
        <v>30</v>
      </c>
      <c r="D3005" t="s">
        <v>14</v>
      </c>
      <c r="E3005" t="s">
        <v>19</v>
      </c>
      <c r="F3005" t="s">
        <v>11</v>
      </c>
      <c r="G3005" t="s">
        <v>12</v>
      </c>
      <c r="H3005">
        <v>1792.91</v>
      </c>
      <c r="I3005" s="8" t="str" cm="1">
        <f t="array" ref="I3005">_xlfn.IFS(C3005&lt;=15,"Children and Young Adolescents", C3005&gt;64, "Seniors", TRUE, "Working Age")</f>
        <v>Working Age</v>
      </c>
      <c r="J3005" s="6">
        <f>VLOOKUP(F3005,Analysis!$F$1:$G$5,2,FALSE)</f>
        <v>2503.6022787783854</v>
      </c>
      <c r="K3005">
        <f t="shared" si="184"/>
        <v>1972.2</v>
      </c>
      <c r="L3005">
        <f t="shared" si="185"/>
        <v>1972.21</v>
      </c>
      <c r="M3005">
        <f t="shared" si="186"/>
        <v>1972.2</v>
      </c>
      <c r="N3005" s="5" t="str">
        <f t="shared" si="187"/>
        <v>March 2023</v>
      </c>
    </row>
    <row r="3006" spans="1:14" x14ac:dyDescent="0.25">
      <c r="A3006" s="1">
        <v>45000</v>
      </c>
      <c r="B3006" t="s">
        <v>912</v>
      </c>
      <c r="C3006">
        <v>66</v>
      </c>
      <c r="D3006" t="s">
        <v>14</v>
      </c>
      <c r="E3006" t="s">
        <v>22</v>
      </c>
      <c r="F3006" t="s">
        <v>16</v>
      </c>
      <c r="G3006" t="s">
        <v>39</v>
      </c>
      <c r="H3006">
        <v>4233.41</v>
      </c>
      <c r="I3006" s="8" t="str" cm="1">
        <f t="array" ref="I3006">_xlfn.IFS(C3006&lt;=15,"Children and Young Adolescents", C3006&gt;64, "Seniors", TRUE, "Working Age")</f>
        <v>Seniors</v>
      </c>
      <c r="J3006" s="6">
        <f>VLOOKUP(F3006,Analysis!$F$1:$G$5,2,FALSE)</f>
        <v>2509.1716796874912</v>
      </c>
      <c r="K3006">
        <f t="shared" si="184"/>
        <v>4656.75</v>
      </c>
      <c r="L3006">
        <f t="shared" si="185"/>
        <v>4656.76</v>
      </c>
      <c r="M3006">
        <f t="shared" si="186"/>
        <v>4656.75</v>
      </c>
      <c r="N3006" s="5" t="str">
        <f t="shared" si="187"/>
        <v>March 2023</v>
      </c>
    </row>
    <row r="3007" spans="1:14" x14ac:dyDescent="0.25">
      <c r="A3007" s="1">
        <v>45000</v>
      </c>
      <c r="B3007" t="s">
        <v>2571</v>
      </c>
      <c r="C3007">
        <v>69</v>
      </c>
      <c r="D3007" t="s">
        <v>14</v>
      </c>
      <c r="E3007" t="s">
        <v>10</v>
      </c>
      <c r="F3007" t="s">
        <v>16</v>
      </c>
      <c r="G3007" t="s">
        <v>36</v>
      </c>
      <c r="H3007">
        <v>4545.96</v>
      </c>
      <c r="I3007" s="8" t="str" cm="1">
        <f t="array" ref="I3007">_xlfn.IFS(C3007&lt;=15,"Children and Young Adolescents", C3007&gt;64, "Seniors", TRUE, "Working Age")</f>
        <v>Seniors</v>
      </c>
      <c r="J3007" s="6">
        <f>VLOOKUP(F3007,Analysis!$F$1:$G$5,2,FALSE)</f>
        <v>2509.1716796874912</v>
      </c>
      <c r="K3007">
        <f t="shared" si="184"/>
        <v>5000.55</v>
      </c>
      <c r="L3007">
        <f t="shared" si="185"/>
        <v>5000.5600000000004</v>
      </c>
      <c r="M3007">
        <f t="shared" si="186"/>
        <v>5000.5600000000004</v>
      </c>
      <c r="N3007" s="5" t="str">
        <f t="shared" si="187"/>
        <v>March 2023</v>
      </c>
    </row>
    <row r="3008" spans="1:14" x14ac:dyDescent="0.25">
      <c r="A3008" s="1">
        <v>45000</v>
      </c>
      <c r="B3008" t="s">
        <v>2086</v>
      </c>
      <c r="C3008">
        <v>75</v>
      </c>
      <c r="D3008" t="s">
        <v>14</v>
      </c>
      <c r="E3008" t="s">
        <v>15</v>
      </c>
      <c r="F3008" t="s">
        <v>29</v>
      </c>
      <c r="G3008" t="s">
        <v>36</v>
      </c>
      <c r="H3008">
        <v>2144.85</v>
      </c>
      <c r="I3008" s="8" t="str" cm="1">
        <f t="array" ref="I3008">_xlfn.IFS(C3008&lt;=15,"Children and Young Adolescents", C3008&gt;64, "Seniors", TRUE, "Working Age")</f>
        <v>Seniors</v>
      </c>
      <c r="J3008" s="6">
        <f>VLOOKUP(F3008,Analysis!$F$1:$G$5,2,FALSE)</f>
        <v>2496.7676064256989</v>
      </c>
      <c r="K3008">
        <f t="shared" si="184"/>
        <v>2359.33</v>
      </c>
      <c r="L3008">
        <f t="shared" si="185"/>
        <v>2359.34</v>
      </c>
      <c r="M3008">
        <f t="shared" si="186"/>
        <v>2359.34</v>
      </c>
      <c r="N3008" s="5" t="str">
        <f t="shared" si="187"/>
        <v>March 2023</v>
      </c>
    </row>
    <row r="3009" spans="1:14" x14ac:dyDescent="0.25">
      <c r="A3009" s="1">
        <v>45000</v>
      </c>
      <c r="B3009" t="s">
        <v>449</v>
      </c>
      <c r="C3009">
        <v>38</v>
      </c>
      <c r="D3009" t="s">
        <v>21</v>
      </c>
      <c r="E3009" t="s">
        <v>5032</v>
      </c>
      <c r="F3009" t="s">
        <v>23</v>
      </c>
      <c r="G3009" t="s">
        <v>17</v>
      </c>
      <c r="H3009">
        <v>2067.91</v>
      </c>
      <c r="I3009" s="8" t="str" cm="1">
        <f t="array" ref="I3009">_xlfn.IFS(C3009&lt;=15,"Children and Young Adolescents", C3009&gt;64, "Seniors", TRUE, "Working Age")</f>
        <v>Working Age</v>
      </c>
      <c r="J3009" s="6">
        <f>VLOOKUP(F3009,Analysis!$F$1:$G$5,2,FALSE)</f>
        <v>2440.2966694490838</v>
      </c>
      <c r="K3009">
        <f t="shared" si="184"/>
        <v>2274.6999999999998</v>
      </c>
      <c r="L3009">
        <f t="shared" si="185"/>
        <v>2274.71</v>
      </c>
      <c r="M3009">
        <f t="shared" si="186"/>
        <v>2274.6999999999998</v>
      </c>
      <c r="N3009" s="5" t="str">
        <f t="shared" si="187"/>
        <v>March 2023</v>
      </c>
    </row>
    <row r="3010" spans="1:14" x14ac:dyDescent="0.25">
      <c r="A3010" s="1">
        <v>45000</v>
      </c>
      <c r="B3010" t="s">
        <v>2735</v>
      </c>
      <c r="C3010">
        <v>31</v>
      </c>
      <c r="D3010" t="s">
        <v>14</v>
      </c>
      <c r="E3010" t="s">
        <v>22</v>
      </c>
      <c r="F3010" t="s">
        <v>11</v>
      </c>
      <c r="G3010" t="s">
        <v>27</v>
      </c>
      <c r="H3010">
        <v>3901.62</v>
      </c>
      <c r="I3010" s="8" t="str" cm="1">
        <f t="array" ref="I3010">_xlfn.IFS(C3010&lt;=15,"Children and Young Adolescents", C3010&gt;64, "Seniors", TRUE, "Working Age")</f>
        <v>Working Age</v>
      </c>
      <c r="J3010" s="6">
        <f>VLOOKUP(F3010,Analysis!$F$1:$G$5,2,FALSE)</f>
        <v>2503.6022787783854</v>
      </c>
      <c r="K3010">
        <f t="shared" si="184"/>
        <v>4291.78</v>
      </c>
      <c r="L3010">
        <f t="shared" si="185"/>
        <v>4291.79</v>
      </c>
      <c r="M3010">
        <f t="shared" si="186"/>
        <v>4291.78</v>
      </c>
      <c r="N3010" s="5" t="str">
        <f t="shared" si="187"/>
        <v>March 2023</v>
      </c>
    </row>
    <row r="3011" spans="1:14" x14ac:dyDescent="0.25">
      <c r="A3011" s="1">
        <v>45000</v>
      </c>
      <c r="B3011" t="s">
        <v>1438</v>
      </c>
      <c r="C3011">
        <v>95</v>
      </c>
      <c r="D3011" t="s">
        <v>21</v>
      </c>
      <c r="E3011" t="s">
        <v>10</v>
      </c>
      <c r="F3011" t="s">
        <v>11</v>
      </c>
      <c r="G3011" t="s">
        <v>27</v>
      </c>
      <c r="H3011">
        <v>3338.61</v>
      </c>
      <c r="I3011" s="8" t="str" cm="1">
        <f t="array" ref="I3011">_xlfn.IFS(C3011&lt;=15,"Children and Young Adolescents", C3011&gt;64, "Seniors", TRUE, "Working Age")</f>
        <v>Seniors</v>
      </c>
      <c r="J3011" s="6">
        <f>VLOOKUP(F3011,Analysis!$F$1:$G$5,2,FALSE)</f>
        <v>2503.6022787783854</v>
      </c>
      <c r="K3011">
        <f t="shared" ref="K3011:K3074" si="188">ROUNDDOWN(H3011*1.1,2)</f>
        <v>3672.47</v>
      </c>
      <c r="L3011">
        <f t="shared" ref="L3011:L3074" si="189">ROUNDUP(H3011*1.1,2)</f>
        <v>3672.48</v>
      </c>
      <c r="M3011">
        <f t="shared" ref="M3011:M3074" si="190">ROUND(H3011*1.1,2)</f>
        <v>3672.47</v>
      </c>
      <c r="N3011" s="5" t="str">
        <f t="shared" ref="N3011:N3074" si="191">TEXT(A3011,"mmmm yyyy")</f>
        <v>March 2023</v>
      </c>
    </row>
    <row r="3012" spans="1:14" x14ac:dyDescent="0.25">
      <c r="A3012" s="1">
        <v>45001</v>
      </c>
      <c r="B3012" t="s">
        <v>2995</v>
      </c>
      <c r="C3012">
        <v>7</v>
      </c>
      <c r="D3012" t="s">
        <v>14</v>
      </c>
      <c r="E3012" t="s">
        <v>34</v>
      </c>
      <c r="F3012" t="s">
        <v>23</v>
      </c>
      <c r="G3012" t="s">
        <v>12</v>
      </c>
      <c r="H3012">
        <v>1991.34</v>
      </c>
      <c r="I3012" s="8" t="str" cm="1">
        <f t="array" ref="I3012">_xlfn.IFS(C3012&lt;=15,"Children and Young Adolescents", C3012&gt;64, "Seniors", TRUE, "Working Age")</f>
        <v>Children and Young Adolescents</v>
      </c>
      <c r="J3012" s="6">
        <f>VLOOKUP(F3012,Analysis!$F$1:$G$5,2,FALSE)</f>
        <v>2440.2966694490838</v>
      </c>
      <c r="K3012">
        <f t="shared" si="188"/>
        <v>2190.4699999999998</v>
      </c>
      <c r="L3012">
        <f t="shared" si="189"/>
        <v>2190.48</v>
      </c>
      <c r="M3012">
        <f t="shared" si="190"/>
        <v>2190.4699999999998</v>
      </c>
      <c r="N3012" s="5" t="str">
        <f t="shared" si="191"/>
        <v>March 2023</v>
      </c>
    </row>
    <row r="3013" spans="1:14" x14ac:dyDescent="0.25">
      <c r="A3013" s="1">
        <v>45001</v>
      </c>
      <c r="B3013" t="s">
        <v>4852</v>
      </c>
      <c r="C3013">
        <v>8</v>
      </c>
      <c r="D3013" t="s">
        <v>9</v>
      </c>
      <c r="E3013" t="s">
        <v>25</v>
      </c>
      <c r="F3013" t="s">
        <v>16</v>
      </c>
      <c r="G3013" t="s">
        <v>36</v>
      </c>
      <c r="H3013">
        <v>1104.8900000000001</v>
      </c>
      <c r="I3013" s="8" t="str" cm="1">
        <f t="array" ref="I3013">_xlfn.IFS(C3013&lt;=15,"Children and Young Adolescents", C3013&gt;64, "Seniors", TRUE, "Working Age")</f>
        <v>Children and Young Adolescents</v>
      </c>
      <c r="J3013" s="6">
        <f>VLOOKUP(F3013,Analysis!$F$1:$G$5,2,FALSE)</f>
        <v>2509.1716796874912</v>
      </c>
      <c r="K3013">
        <f t="shared" si="188"/>
        <v>1215.3699999999999</v>
      </c>
      <c r="L3013">
        <f t="shared" si="189"/>
        <v>1215.3799999999999</v>
      </c>
      <c r="M3013">
        <f t="shared" si="190"/>
        <v>1215.3800000000001</v>
      </c>
      <c r="N3013" s="5" t="str">
        <f t="shared" si="191"/>
        <v>March 2023</v>
      </c>
    </row>
    <row r="3014" spans="1:14" x14ac:dyDescent="0.25">
      <c r="A3014" s="1">
        <v>45001</v>
      </c>
      <c r="B3014" t="s">
        <v>1313</v>
      </c>
      <c r="C3014">
        <v>65</v>
      </c>
      <c r="D3014" t="s">
        <v>14</v>
      </c>
      <c r="E3014" t="s">
        <v>15</v>
      </c>
      <c r="F3014" t="s">
        <v>16</v>
      </c>
      <c r="G3014" t="s">
        <v>12</v>
      </c>
      <c r="H3014">
        <v>2246.7600000000002</v>
      </c>
      <c r="I3014" s="8" t="str" cm="1">
        <f t="array" ref="I3014">_xlfn.IFS(C3014&lt;=15,"Children and Young Adolescents", C3014&gt;64, "Seniors", TRUE, "Working Age")</f>
        <v>Seniors</v>
      </c>
      <c r="J3014" s="6">
        <f>VLOOKUP(F3014,Analysis!$F$1:$G$5,2,FALSE)</f>
        <v>2509.1716796874912</v>
      </c>
      <c r="K3014">
        <f t="shared" si="188"/>
        <v>2471.4299999999998</v>
      </c>
      <c r="L3014">
        <f t="shared" si="189"/>
        <v>2471.44</v>
      </c>
      <c r="M3014">
        <f t="shared" si="190"/>
        <v>2471.44</v>
      </c>
      <c r="N3014" s="5" t="str">
        <f t="shared" si="191"/>
        <v>March 2023</v>
      </c>
    </row>
    <row r="3015" spans="1:14" x14ac:dyDescent="0.25">
      <c r="A3015" s="1">
        <v>45001</v>
      </c>
      <c r="B3015" t="s">
        <v>2077</v>
      </c>
      <c r="C3015">
        <v>27</v>
      </c>
      <c r="D3015" t="s">
        <v>9</v>
      </c>
      <c r="E3015" t="s">
        <v>32</v>
      </c>
      <c r="F3015" t="s">
        <v>11</v>
      </c>
      <c r="G3015" t="s">
        <v>36</v>
      </c>
      <c r="H3015">
        <v>2784.14</v>
      </c>
      <c r="I3015" s="8" t="str" cm="1">
        <f t="array" ref="I3015">_xlfn.IFS(C3015&lt;=15,"Children and Young Adolescents", C3015&gt;64, "Seniors", TRUE, "Working Age")</f>
        <v>Working Age</v>
      </c>
      <c r="J3015" s="6">
        <f>VLOOKUP(F3015,Analysis!$F$1:$G$5,2,FALSE)</f>
        <v>2503.6022787783854</v>
      </c>
      <c r="K3015">
        <f t="shared" si="188"/>
        <v>3062.55</v>
      </c>
      <c r="L3015">
        <f t="shared" si="189"/>
        <v>3062.5600000000004</v>
      </c>
      <c r="M3015">
        <f t="shared" si="190"/>
        <v>3062.55</v>
      </c>
      <c r="N3015" s="5" t="str">
        <f t="shared" si="191"/>
        <v>March 2023</v>
      </c>
    </row>
    <row r="3016" spans="1:14" x14ac:dyDescent="0.25">
      <c r="A3016" s="1">
        <v>45001</v>
      </c>
      <c r="B3016" t="s">
        <v>4883</v>
      </c>
      <c r="C3016">
        <v>27</v>
      </c>
      <c r="D3016" t="s">
        <v>9</v>
      </c>
      <c r="E3016" t="s">
        <v>25</v>
      </c>
      <c r="F3016" t="s">
        <v>23</v>
      </c>
      <c r="G3016" t="s">
        <v>12</v>
      </c>
      <c r="H3016">
        <v>3500.82</v>
      </c>
      <c r="I3016" s="8" t="str" cm="1">
        <f t="array" ref="I3016">_xlfn.IFS(C3016&lt;=15,"Children and Young Adolescents", C3016&gt;64, "Seniors", TRUE, "Working Age")</f>
        <v>Working Age</v>
      </c>
      <c r="J3016" s="6">
        <f>VLOOKUP(F3016,Analysis!$F$1:$G$5,2,FALSE)</f>
        <v>2440.2966694490838</v>
      </c>
      <c r="K3016">
        <f t="shared" si="188"/>
        <v>3850.9</v>
      </c>
      <c r="L3016">
        <f t="shared" si="189"/>
        <v>3850.9100000000003</v>
      </c>
      <c r="M3016">
        <f t="shared" si="190"/>
        <v>3850.9</v>
      </c>
      <c r="N3016" s="5" t="str">
        <f t="shared" si="191"/>
        <v>March 2023</v>
      </c>
    </row>
    <row r="3017" spans="1:14" x14ac:dyDescent="0.25">
      <c r="A3017" s="1">
        <v>45001</v>
      </c>
      <c r="B3017" t="s">
        <v>533</v>
      </c>
      <c r="C3017">
        <v>51</v>
      </c>
      <c r="D3017" t="s">
        <v>14</v>
      </c>
      <c r="E3017" t="s">
        <v>15</v>
      </c>
      <c r="F3017" t="s">
        <v>23</v>
      </c>
      <c r="G3017" t="s">
        <v>36</v>
      </c>
      <c r="H3017">
        <v>2341</v>
      </c>
      <c r="I3017" s="8" t="str" cm="1">
        <f t="array" ref="I3017">_xlfn.IFS(C3017&lt;=15,"Children and Young Adolescents", C3017&gt;64, "Seniors", TRUE, "Working Age")</f>
        <v>Working Age</v>
      </c>
      <c r="J3017" s="6">
        <f>VLOOKUP(F3017,Analysis!$F$1:$G$5,2,FALSE)</f>
        <v>2440.2966694490838</v>
      </c>
      <c r="K3017">
        <f t="shared" si="188"/>
        <v>2575.1</v>
      </c>
      <c r="L3017">
        <f t="shared" si="189"/>
        <v>2575.1</v>
      </c>
      <c r="M3017">
        <f t="shared" si="190"/>
        <v>2575.1</v>
      </c>
      <c r="N3017" s="5" t="str">
        <f t="shared" si="191"/>
        <v>March 2023</v>
      </c>
    </row>
    <row r="3018" spans="1:14" x14ac:dyDescent="0.25">
      <c r="A3018" s="1">
        <v>45001</v>
      </c>
      <c r="B3018" t="s">
        <v>945</v>
      </c>
      <c r="C3018">
        <v>66</v>
      </c>
      <c r="D3018" t="s">
        <v>21</v>
      </c>
      <c r="E3018" t="s">
        <v>25</v>
      </c>
      <c r="F3018" t="s">
        <v>11</v>
      </c>
      <c r="G3018" t="s">
        <v>27</v>
      </c>
      <c r="H3018">
        <v>224</v>
      </c>
      <c r="I3018" s="8" t="str" cm="1">
        <f t="array" ref="I3018">_xlfn.IFS(C3018&lt;=15,"Children and Young Adolescents", C3018&gt;64, "Seniors", TRUE, "Working Age")</f>
        <v>Seniors</v>
      </c>
      <c r="J3018" s="6">
        <f>VLOOKUP(F3018,Analysis!$F$1:$G$5,2,FALSE)</f>
        <v>2503.6022787783854</v>
      </c>
      <c r="K3018">
        <f t="shared" si="188"/>
        <v>246.4</v>
      </c>
      <c r="L3018">
        <f t="shared" si="189"/>
        <v>246.4</v>
      </c>
      <c r="M3018">
        <f t="shared" si="190"/>
        <v>246.4</v>
      </c>
      <c r="N3018" s="5" t="str">
        <f t="shared" si="191"/>
        <v>March 2023</v>
      </c>
    </row>
    <row r="3019" spans="1:14" x14ac:dyDescent="0.25">
      <c r="A3019" s="1">
        <v>45002</v>
      </c>
      <c r="B3019" t="s">
        <v>3363</v>
      </c>
      <c r="C3019">
        <v>53</v>
      </c>
      <c r="D3019" t="s">
        <v>21</v>
      </c>
      <c r="E3019" t="s">
        <v>25</v>
      </c>
      <c r="F3019" t="s">
        <v>11</v>
      </c>
      <c r="G3019" t="s">
        <v>39</v>
      </c>
      <c r="H3019">
        <v>819.47</v>
      </c>
      <c r="I3019" s="8" t="str" cm="1">
        <f t="array" ref="I3019">_xlfn.IFS(C3019&lt;=15,"Children and Young Adolescents", C3019&gt;64, "Seniors", TRUE, "Working Age")</f>
        <v>Working Age</v>
      </c>
      <c r="J3019" s="6">
        <f>VLOOKUP(F3019,Analysis!$F$1:$G$5,2,FALSE)</f>
        <v>2503.6022787783854</v>
      </c>
      <c r="K3019">
        <f t="shared" si="188"/>
        <v>901.41</v>
      </c>
      <c r="L3019">
        <f t="shared" si="189"/>
        <v>901.42</v>
      </c>
      <c r="M3019">
        <f t="shared" si="190"/>
        <v>901.42</v>
      </c>
      <c r="N3019" s="5" t="str">
        <f t="shared" si="191"/>
        <v>March 2023</v>
      </c>
    </row>
    <row r="3020" spans="1:14" x14ac:dyDescent="0.25">
      <c r="A3020" s="1">
        <v>45002</v>
      </c>
      <c r="B3020" t="s">
        <v>980</v>
      </c>
      <c r="C3020">
        <v>16</v>
      </c>
      <c r="D3020" t="s">
        <v>21</v>
      </c>
      <c r="E3020" t="s">
        <v>22</v>
      </c>
      <c r="F3020" t="s">
        <v>23</v>
      </c>
      <c r="G3020" t="s">
        <v>17</v>
      </c>
      <c r="H3020">
        <v>4886.87</v>
      </c>
      <c r="I3020" s="8" t="str" cm="1">
        <f t="array" ref="I3020">_xlfn.IFS(C3020&lt;=15,"Children and Young Adolescents", C3020&gt;64, "Seniors", TRUE, "Working Age")</f>
        <v>Working Age</v>
      </c>
      <c r="J3020" s="6">
        <f>VLOOKUP(F3020,Analysis!$F$1:$G$5,2,FALSE)</f>
        <v>2440.2966694490838</v>
      </c>
      <c r="K3020">
        <f t="shared" si="188"/>
        <v>5375.55</v>
      </c>
      <c r="L3020">
        <f t="shared" si="189"/>
        <v>5375.56</v>
      </c>
      <c r="M3020">
        <f t="shared" si="190"/>
        <v>5375.56</v>
      </c>
      <c r="N3020" s="5" t="str">
        <f t="shared" si="191"/>
        <v>March 2023</v>
      </c>
    </row>
    <row r="3021" spans="1:14" x14ac:dyDescent="0.25">
      <c r="A3021" s="1">
        <v>45002</v>
      </c>
      <c r="B3021" t="s">
        <v>3441</v>
      </c>
      <c r="C3021">
        <v>7</v>
      </c>
      <c r="D3021" t="s">
        <v>9</v>
      </c>
      <c r="E3021" t="s">
        <v>34</v>
      </c>
      <c r="F3021" t="s">
        <v>16</v>
      </c>
      <c r="G3021" t="s">
        <v>17</v>
      </c>
      <c r="H3021">
        <v>3364.54</v>
      </c>
      <c r="I3021" s="8" t="str" cm="1">
        <f t="array" ref="I3021">_xlfn.IFS(C3021&lt;=15,"Children and Young Adolescents", C3021&gt;64, "Seniors", TRUE, "Working Age")</f>
        <v>Children and Young Adolescents</v>
      </c>
      <c r="J3021" s="6">
        <f>VLOOKUP(F3021,Analysis!$F$1:$G$5,2,FALSE)</f>
        <v>2509.1716796874912</v>
      </c>
      <c r="K3021">
        <f t="shared" si="188"/>
        <v>3700.99</v>
      </c>
      <c r="L3021">
        <f t="shared" si="189"/>
        <v>3701</v>
      </c>
      <c r="M3021">
        <f t="shared" si="190"/>
        <v>3700.99</v>
      </c>
      <c r="N3021" s="5" t="str">
        <f t="shared" si="191"/>
        <v>March 2023</v>
      </c>
    </row>
    <row r="3022" spans="1:14" x14ac:dyDescent="0.25">
      <c r="A3022" s="1">
        <v>45002</v>
      </c>
      <c r="B3022" t="s">
        <v>71</v>
      </c>
      <c r="C3022">
        <v>51</v>
      </c>
      <c r="D3022" t="s">
        <v>14</v>
      </c>
      <c r="E3022" t="s">
        <v>10</v>
      </c>
      <c r="F3022" t="s">
        <v>29</v>
      </c>
      <c r="G3022" t="s">
        <v>39</v>
      </c>
      <c r="H3022">
        <v>2355.88</v>
      </c>
      <c r="I3022" s="8" t="str" cm="1">
        <f t="array" ref="I3022">_xlfn.IFS(C3022&lt;=15,"Children and Young Adolescents", C3022&gt;64, "Seniors", TRUE, "Working Age")</f>
        <v>Working Age</v>
      </c>
      <c r="J3022" s="6">
        <f>VLOOKUP(F3022,Analysis!$F$1:$G$5,2,FALSE)</f>
        <v>2496.7676064256989</v>
      </c>
      <c r="K3022">
        <f t="shared" si="188"/>
        <v>2591.46</v>
      </c>
      <c r="L3022">
        <f t="shared" si="189"/>
        <v>2591.4700000000003</v>
      </c>
      <c r="M3022">
        <f t="shared" si="190"/>
        <v>2591.4699999999998</v>
      </c>
      <c r="N3022" s="5" t="str">
        <f t="shared" si="191"/>
        <v>March 2023</v>
      </c>
    </row>
    <row r="3023" spans="1:14" x14ac:dyDescent="0.25">
      <c r="A3023" s="1">
        <v>45002</v>
      </c>
      <c r="B3023" t="s">
        <v>4528</v>
      </c>
      <c r="C3023">
        <v>0</v>
      </c>
      <c r="D3023" t="s">
        <v>21</v>
      </c>
      <c r="E3023" t="s">
        <v>22</v>
      </c>
      <c r="F3023" t="s">
        <v>16</v>
      </c>
      <c r="G3023" t="s">
        <v>27</v>
      </c>
      <c r="H3023">
        <v>1498.15</v>
      </c>
      <c r="I3023" s="8" t="str" cm="1">
        <f t="array" ref="I3023">_xlfn.IFS(C3023&lt;=15,"Children and Young Adolescents", C3023&gt;64, "Seniors", TRUE, "Working Age")</f>
        <v>Children and Young Adolescents</v>
      </c>
      <c r="J3023" s="6">
        <f>VLOOKUP(F3023,Analysis!$F$1:$G$5,2,FALSE)</f>
        <v>2509.1716796874912</v>
      </c>
      <c r="K3023">
        <f t="shared" si="188"/>
        <v>1647.96</v>
      </c>
      <c r="L3023">
        <f t="shared" si="189"/>
        <v>1647.97</v>
      </c>
      <c r="M3023">
        <f t="shared" si="190"/>
        <v>1647.97</v>
      </c>
      <c r="N3023" s="5" t="str">
        <f t="shared" si="191"/>
        <v>March 2023</v>
      </c>
    </row>
    <row r="3024" spans="1:14" x14ac:dyDescent="0.25">
      <c r="A3024" s="1">
        <v>45002</v>
      </c>
      <c r="B3024" t="s">
        <v>3029</v>
      </c>
      <c r="C3024">
        <v>61</v>
      </c>
      <c r="D3024" t="s">
        <v>9</v>
      </c>
      <c r="E3024" t="s">
        <v>10</v>
      </c>
      <c r="F3024" t="s">
        <v>29</v>
      </c>
      <c r="G3024" t="s">
        <v>12</v>
      </c>
      <c r="H3024">
        <v>4409.2700000000004</v>
      </c>
      <c r="I3024" s="8" t="str" cm="1">
        <f t="array" ref="I3024">_xlfn.IFS(C3024&lt;=15,"Children and Young Adolescents", C3024&gt;64, "Seniors", TRUE, "Working Age")</f>
        <v>Working Age</v>
      </c>
      <c r="J3024" s="6">
        <f>VLOOKUP(F3024,Analysis!$F$1:$G$5,2,FALSE)</f>
        <v>2496.7676064256989</v>
      </c>
      <c r="K3024">
        <f t="shared" si="188"/>
        <v>4850.1899999999996</v>
      </c>
      <c r="L3024">
        <f t="shared" si="189"/>
        <v>4850.2</v>
      </c>
      <c r="M3024">
        <f t="shared" si="190"/>
        <v>4850.2</v>
      </c>
      <c r="N3024" s="5" t="str">
        <f t="shared" si="191"/>
        <v>March 2023</v>
      </c>
    </row>
    <row r="3025" spans="1:14" x14ac:dyDescent="0.25">
      <c r="A3025" s="1">
        <v>45002</v>
      </c>
      <c r="B3025" t="s">
        <v>1923</v>
      </c>
      <c r="C3025">
        <v>70</v>
      </c>
      <c r="D3025" t="s">
        <v>14</v>
      </c>
      <c r="E3025" t="s">
        <v>10</v>
      </c>
      <c r="F3025" t="s">
        <v>16</v>
      </c>
      <c r="G3025" t="s">
        <v>17</v>
      </c>
      <c r="H3025">
        <v>4521.29</v>
      </c>
      <c r="I3025" s="8" t="str" cm="1">
        <f t="array" ref="I3025">_xlfn.IFS(C3025&lt;=15,"Children and Young Adolescents", C3025&gt;64, "Seniors", TRUE, "Working Age")</f>
        <v>Seniors</v>
      </c>
      <c r="J3025" s="6">
        <f>VLOOKUP(F3025,Analysis!$F$1:$G$5,2,FALSE)</f>
        <v>2509.1716796874912</v>
      </c>
      <c r="K3025">
        <f t="shared" si="188"/>
        <v>4973.41</v>
      </c>
      <c r="L3025">
        <f t="shared" si="189"/>
        <v>4973.42</v>
      </c>
      <c r="M3025">
        <f t="shared" si="190"/>
        <v>4973.42</v>
      </c>
      <c r="N3025" s="5" t="str">
        <f t="shared" si="191"/>
        <v>March 2023</v>
      </c>
    </row>
    <row r="3026" spans="1:14" x14ac:dyDescent="0.25">
      <c r="A3026" s="1">
        <v>45002</v>
      </c>
      <c r="B3026" t="s">
        <v>4365</v>
      </c>
      <c r="C3026">
        <v>98</v>
      </c>
      <c r="D3026" t="s">
        <v>14</v>
      </c>
      <c r="E3026" t="s">
        <v>25</v>
      </c>
      <c r="F3026" t="s">
        <v>29</v>
      </c>
      <c r="G3026" t="s">
        <v>12</v>
      </c>
      <c r="H3026">
        <v>4329.1400000000003</v>
      </c>
      <c r="I3026" s="8" t="str" cm="1">
        <f t="array" ref="I3026">_xlfn.IFS(C3026&lt;=15,"Children and Young Adolescents", C3026&gt;64, "Seniors", TRUE, "Working Age")</f>
        <v>Seniors</v>
      </c>
      <c r="J3026" s="6">
        <f>VLOOKUP(F3026,Analysis!$F$1:$G$5,2,FALSE)</f>
        <v>2496.7676064256989</v>
      </c>
      <c r="K3026">
        <f t="shared" si="188"/>
        <v>4762.05</v>
      </c>
      <c r="L3026">
        <f t="shared" si="189"/>
        <v>4762.0600000000004</v>
      </c>
      <c r="M3026">
        <f t="shared" si="190"/>
        <v>4762.05</v>
      </c>
      <c r="N3026" s="5" t="str">
        <f t="shared" si="191"/>
        <v>March 2023</v>
      </c>
    </row>
    <row r="3027" spans="1:14" x14ac:dyDescent="0.25">
      <c r="A3027" s="1">
        <v>45002</v>
      </c>
      <c r="B3027" t="s">
        <v>2851</v>
      </c>
      <c r="C3027">
        <v>24</v>
      </c>
      <c r="D3027" t="s">
        <v>14</v>
      </c>
      <c r="E3027" t="s">
        <v>32</v>
      </c>
      <c r="F3027" t="s">
        <v>23</v>
      </c>
      <c r="G3027" t="s">
        <v>17</v>
      </c>
      <c r="H3027">
        <v>2095.83</v>
      </c>
      <c r="I3027" s="8" t="str" cm="1">
        <f t="array" ref="I3027">_xlfn.IFS(C3027&lt;=15,"Children and Young Adolescents", C3027&gt;64, "Seniors", TRUE, "Working Age")</f>
        <v>Working Age</v>
      </c>
      <c r="J3027" s="6">
        <f>VLOOKUP(F3027,Analysis!$F$1:$G$5,2,FALSE)</f>
        <v>2440.2966694490838</v>
      </c>
      <c r="K3027">
        <f t="shared" si="188"/>
        <v>2305.41</v>
      </c>
      <c r="L3027">
        <f t="shared" si="189"/>
        <v>2305.42</v>
      </c>
      <c r="M3027">
        <f t="shared" si="190"/>
        <v>2305.41</v>
      </c>
      <c r="N3027" s="5" t="str">
        <f t="shared" si="191"/>
        <v>March 2023</v>
      </c>
    </row>
    <row r="3028" spans="1:14" x14ac:dyDescent="0.25">
      <c r="A3028" s="1">
        <v>45003</v>
      </c>
      <c r="B3028" t="s">
        <v>3272</v>
      </c>
      <c r="C3028">
        <v>4</v>
      </c>
      <c r="D3028" t="s">
        <v>9</v>
      </c>
      <c r="E3028" t="s">
        <v>32</v>
      </c>
      <c r="F3028" t="s">
        <v>16</v>
      </c>
      <c r="G3028" t="s">
        <v>27</v>
      </c>
      <c r="H3028">
        <v>2389.5500000000002</v>
      </c>
      <c r="I3028" s="8" t="str" cm="1">
        <f t="array" ref="I3028">_xlfn.IFS(C3028&lt;=15,"Children and Young Adolescents", C3028&gt;64, "Seniors", TRUE, "Working Age")</f>
        <v>Children and Young Adolescents</v>
      </c>
      <c r="J3028" s="6">
        <f>VLOOKUP(F3028,Analysis!$F$1:$G$5,2,FALSE)</f>
        <v>2509.1716796874912</v>
      </c>
      <c r="K3028">
        <f t="shared" si="188"/>
        <v>2628.5</v>
      </c>
      <c r="L3028">
        <f t="shared" si="189"/>
        <v>2628.51</v>
      </c>
      <c r="M3028">
        <f t="shared" si="190"/>
        <v>2628.51</v>
      </c>
      <c r="N3028" s="5" t="str">
        <f t="shared" si="191"/>
        <v>March 2023</v>
      </c>
    </row>
    <row r="3029" spans="1:14" x14ac:dyDescent="0.25">
      <c r="A3029" s="1">
        <v>45003</v>
      </c>
      <c r="B3029" t="s">
        <v>3645</v>
      </c>
      <c r="C3029">
        <v>93</v>
      </c>
      <c r="D3029" t="s">
        <v>9</v>
      </c>
      <c r="E3029" t="s">
        <v>5032</v>
      </c>
      <c r="F3029" t="s">
        <v>11</v>
      </c>
      <c r="G3029" t="s">
        <v>39</v>
      </c>
      <c r="H3029">
        <v>4897.3100000000004</v>
      </c>
      <c r="I3029" s="8" t="str" cm="1">
        <f t="array" ref="I3029">_xlfn.IFS(C3029&lt;=15,"Children and Young Adolescents", C3029&gt;64, "Seniors", TRUE, "Working Age")</f>
        <v>Seniors</v>
      </c>
      <c r="J3029" s="6">
        <f>VLOOKUP(F3029,Analysis!$F$1:$G$5,2,FALSE)</f>
        <v>2503.6022787783854</v>
      </c>
      <c r="K3029">
        <f t="shared" si="188"/>
        <v>5387.04</v>
      </c>
      <c r="L3029">
        <f t="shared" si="189"/>
        <v>5387.05</v>
      </c>
      <c r="M3029">
        <f t="shared" si="190"/>
        <v>5387.04</v>
      </c>
      <c r="N3029" s="5" t="str">
        <f t="shared" si="191"/>
        <v>March 2023</v>
      </c>
    </row>
    <row r="3030" spans="1:14" x14ac:dyDescent="0.25">
      <c r="A3030" s="1">
        <v>45003</v>
      </c>
      <c r="B3030" t="s">
        <v>4344</v>
      </c>
      <c r="C3030">
        <v>90</v>
      </c>
      <c r="D3030" t="s">
        <v>9</v>
      </c>
      <c r="E3030" t="s">
        <v>34</v>
      </c>
      <c r="F3030" t="s">
        <v>16</v>
      </c>
      <c r="G3030" t="s">
        <v>27</v>
      </c>
      <c r="H3030">
        <v>1764.58</v>
      </c>
      <c r="I3030" s="8" t="str" cm="1">
        <f t="array" ref="I3030">_xlfn.IFS(C3030&lt;=15,"Children and Young Adolescents", C3030&gt;64, "Seniors", TRUE, "Working Age")</f>
        <v>Seniors</v>
      </c>
      <c r="J3030" s="6">
        <f>VLOOKUP(F3030,Analysis!$F$1:$G$5,2,FALSE)</f>
        <v>2509.1716796874912</v>
      </c>
      <c r="K3030">
        <f t="shared" si="188"/>
        <v>1941.03</v>
      </c>
      <c r="L3030">
        <f t="shared" si="189"/>
        <v>1941.04</v>
      </c>
      <c r="M3030">
        <f t="shared" si="190"/>
        <v>1941.04</v>
      </c>
      <c r="N3030" s="5" t="str">
        <f t="shared" si="191"/>
        <v>March 2023</v>
      </c>
    </row>
    <row r="3031" spans="1:14" x14ac:dyDescent="0.25">
      <c r="A3031" s="1">
        <v>45003</v>
      </c>
      <c r="B3031" t="s">
        <v>423</v>
      </c>
      <c r="C3031">
        <v>45</v>
      </c>
      <c r="D3031" t="s">
        <v>21</v>
      </c>
      <c r="E3031" t="s">
        <v>10</v>
      </c>
      <c r="F3031" t="s">
        <v>16</v>
      </c>
      <c r="G3031" t="s">
        <v>39</v>
      </c>
      <c r="H3031">
        <v>4769.4399999999996</v>
      </c>
      <c r="I3031" s="8" t="str" cm="1">
        <f t="array" ref="I3031">_xlfn.IFS(C3031&lt;=15,"Children and Young Adolescents", C3031&gt;64, "Seniors", TRUE, "Working Age")</f>
        <v>Working Age</v>
      </c>
      <c r="J3031" s="6">
        <f>VLOOKUP(F3031,Analysis!$F$1:$G$5,2,FALSE)</f>
        <v>2509.1716796874912</v>
      </c>
      <c r="K3031">
        <f t="shared" si="188"/>
        <v>5246.38</v>
      </c>
      <c r="L3031">
        <f t="shared" si="189"/>
        <v>5246.39</v>
      </c>
      <c r="M3031">
        <f t="shared" si="190"/>
        <v>5246.38</v>
      </c>
      <c r="N3031" s="5" t="str">
        <f t="shared" si="191"/>
        <v>March 2023</v>
      </c>
    </row>
    <row r="3032" spans="1:14" x14ac:dyDescent="0.25">
      <c r="A3032" s="1">
        <v>45003</v>
      </c>
      <c r="B3032" t="s">
        <v>3018</v>
      </c>
      <c r="C3032">
        <v>17</v>
      </c>
      <c r="D3032" t="s">
        <v>21</v>
      </c>
      <c r="E3032" t="s">
        <v>5032</v>
      </c>
      <c r="F3032" t="s">
        <v>23</v>
      </c>
      <c r="G3032" t="s">
        <v>39</v>
      </c>
      <c r="H3032">
        <v>1386.67</v>
      </c>
      <c r="I3032" s="8" t="str" cm="1">
        <f t="array" ref="I3032">_xlfn.IFS(C3032&lt;=15,"Children and Young Adolescents", C3032&gt;64, "Seniors", TRUE, "Working Age")</f>
        <v>Working Age</v>
      </c>
      <c r="J3032" s="6">
        <f>VLOOKUP(F3032,Analysis!$F$1:$G$5,2,FALSE)</f>
        <v>2440.2966694490838</v>
      </c>
      <c r="K3032">
        <f t="shared" si="188"/>
        <v>1525.33</v>
      </c>
      <c r="L3032">
        <f t="shared" si="189"/>
        <v>1525.34</v>
      </c>
      <c r="M3032">
        <f t="shared" si="190"/>
        <v>1525.34</v>
      </c>
      <c r="N3032" s="5" t="str">
        <f t="shared" si="191"/>
        <v>March 2023</v>
      </c>
    </row>
    <row r="3033" spans="1:14" x14ac:dyDescent="0.25">
      <c r="A3033" s="1">
        <v>45003</v>
      </c>
      <c r="B3033" t="s">
        <v>4163</v>
      </c>
      <c r="C3033">
        <v>16</v>
      </c>
      <c r="D3033" t="s">
        <v>9</v>
      </c>
      <c r="E3033" t="s">
        <v>34</v>
      </c>
      <c r="F3033" t="s">
        <v>11</v>
      </c>
      <c r="G3033" t="s">
        <v>39</v>
      </c>
      <c r="H3033">
        <v>4905.68</v>
      </c>
      <c r="I3033" s="8" t="str" cm="1">
        <f t="array" ref="I3033">_xlfn.IFS(C3033&lt;=15,"Children and Young Adolescents", C3033&gt;64, "Seniors", TRUE, "Working Age")</f>
        <v>Working Age</v>
      </c>
      <c r="J3033" s="6">
        <f>VLOOKUP(F3033,Analysis!$F$1:$G$5,2,FALSE)</f>
        <v>2503.6022787783854</v>
      </c>
      <c r="K3033">
        <f t="shared" si="188"/>
        <v>5396.24</v>
      </c>
      <c r="L3033">
        <f t="shared" si="189"/>
        <v>5396.25</v>
      </c>
      <c r="M3033">
        <f t="shared" si="190"/>
        <v>5396.25</v>
      </c>
      <c r="N3033" s="5" t="str">
        <f t="shared" si="191"/>
        <v>March 2023</v>
      </c>
    </row>
    <row r="3034" spans="1:14" x14ac:dyDescent="0.25">
      <c r="A3034" s="1">
        <v>45004</v>
      </c>
      <c r="B3034" t="s">
        <v>2654</v>
      </c>
      <c r="C3034">
        <v>70</v>
      </c>
      <c r="D3034" t="s">
        <v>21</v>
      </c>
      <c r="E3034" t="s">
        <v>32</v>
      </c>
      <c r="F3034" t="s">
        <v>29</v>
      </c>
      <c r="G3034" t="s">
        <v>17</v>
      </c>
      <c r="H3034">
        <v>3144.1</v>
      </c>
      <c r="I3034" s="8" t="str" cm="1">
        <f t="array" ref="I3034">_xlfn.IFS(C3034&lt;=15,"Children and Young Adolescents", C3034&gt;64, "Seniors", TRUE, "Working Age")</f>
        <v>Seniors</v>
      </c>
      <c r="J3034" s="6">
        <f>VLOOKUP(F3034,Analysis!$F$1:$G$5,2,FALSE)</f>
        <v>2496.7676064256989</v>
      </c>
      <c r="K3034">
        <f t="shared" si="188"/>
        <v>3458.51</v>
      </c>
      <c r="L3034">
        <f t="shared" si="189"/>
        <v>3458.51</v>
      </c>
      <c r="M3034">
        <f t="shared" si="190"/>
        <v>3458.51</v>
      </c>
      <c r="N3034" s="5" t="str">
        <f t="shared" si="191"/>
        <v>March 2023</v>
      </c>
    </row>
    <row r="3035" spans="1:14" x14ac:dyDescent="0.25">
      <c r="A3035" s="1">
        <v>45004</v>
      </c>
      <c r="B3035" t="s">
        <v>4790</v>
      </c>
      <c r="C3035">
        <v>65</v>
      </c>
      <c r="D3035" t="s">
        <v>9</v>
      </c>
      <c r="E3035" t="s">
        <v>32</v>
      </c>
      <c r="F3035" t="s">
        <v>16</v>
      </c>
      <c r="G3035" t="s">
        <v>17</v>
      </c>
      <c r="H3035">
        <v>1659.83</v>
      </c>
      <c r="I3035" s="8" t="str" cm="1">
        <f t="array" ref="I3035">_xlfn.IFS(C3035&lt;=15,"Children and Young Adolescents", C3035&gt;64, "Seniors", TRUE, "Working Age")</f>
        <v>Seniors</v>
      </c>
      <c r="J3035" s="6">
        <f>VLOOKUP(F3035,Analysis!$F$1:$G$5,2,FALSE)</f>
        <v>2509.1716796874912</v>
      </c>
      <c r="K3035">
        <f t="shared" si="188"/>
        <v>1825.81</v>
      </c>
      <c r="L3035">
        <f t="shared" si="189"/>
        <v>1825.82</v>
      </c>
      <c r="M3035">
        <f t="shared" si="190"/>
        <v>1825.81</v>
      </c>
      <c r="N3035" s="5" t="str">
        <f t="shared" si="191"/>
        <v>March 2023</v>
      </c>
    </row>
    <row r="3036" spans="1:14" x14ac:dyDescent="0.25">
      <c r="A3036" s="1">
        <v>45004</v>
      </c>
      <c r="B3036" t="s">
        <v>4907</v>
      </c>
      <c r="C3036">
        <v>10</v>
      </c>
      <c r="D3036" t="s">
        <v>9</v>
      </c>
      <c r="E3036" t="s">
        <v>15</v>
      </c>
      <c r="F3036" t="s">
        <v>16</v>
      </c>
      <c r="G3036" t="s">
        <v>36</v>
      </c>
      <c r="H3036">
        <v>698.05</v>
      </c>
      <c r="I3036" s="8" t="str" cm="1">
        <f t="array" ref="I3036">_xlfn.IFS(C3036&lt;=15,"Children and Young Adolescents", C3036&gt;64, "Seniors", TRUE, "Working Age")</f>
        <v>Children and Young Adolescents</v>
      </c>
      <c r="J3036" s="6">
        <f>VLOOKUP(F3036,Analysis!$F$1:$G$5,2,FALSE)</f>
        <v>2509.1716796874912</v>
      </c>
      <c r="K3036">
        <f t="shared" si="188"/>
        <v>767.85</v>
      </c>
      <c r="L3036">
        <f t="shared" si="189"/>
        <v>767.86</v>
      </c>
      <c r="M3036">
        <f t="shared" si="190"/>
        <v>767.86</v>
      </c>
      <c r="N3036" s="5" t="str">
        <f t="shared" si="191"/>
        <v>March 2023</v>
      </c>
    </row>
    <row r="3037" spans="1:14" x14ac:dyDescent="0.25">
      <c r="A3037" s="1">
        <v>45004</v>
      </c>
      <c r="B3037" t="s">
        <v>5013</v>
      </c>
      <c r="C3037">
        <v>32</v>
      </c>
      <c r="D3037" t="s">
        <v>9</v>
      </c>
      <c r="E3037" t="s">
        <v>15</v>
      </c>
      <c r="F3037" t="s">
        <v>16</v>
      </c>
      <c r="G3037" t="s">
        <v>27</v>
      </c>
      <c r="H3037">
        <v>1547.13</v>
      </c>
      <c r="I3037" s="8" t="str" cm="1">
        <f t="array" ref="I3037">_xlfn.IFS(C3037&lt;=15,"Children and Young Adolescents", C3037&gt;64, "Seniors", TRUE, "Working Age")</f>
        <v>Working Age</v>
      </c>
      <c r="J3037" s="6">
        <f>VLOOKUP(F3037,Analysis!$F$1:$G$5,2,FALSE)</f>
        <v>2509.1716796874912</v>
      </c>
      <c r="K3037">
        <f t="shared" si="188"/>
        <v>1701.84</v>
      </c>
      <c r="L3037">
        <f t="shared" si="189"/>
        <v>1701.85</v>
      </c>
      <c r="M3037">
        <f t="shared" si="190"/>
        <v>1701.84</v>
      </c>
      <c r="N3037" s="5" t="str">
        <f t="shared" si="191"/>
        <v>March 2023</v>
      </c>
    </row>
    <row r="3038" spans="1:14" x14ac:dyDescent="0.25">
      <c r="A3038" s="1">
        <v>45004</v>
      </c>
      <c r="B3038" t="s">
        <v>460</v>
      </c>
      <c r="C3038">
        <v>41</v>
      </c>
      <c r="D3038" t="s">
        <v>9</v>
      </c>
      <c r="E3038" t="s">
        <v>25</v>
      </c>
      <c r="F3038" t="s">
        <v>16</v>
      </c>
      <c r="G3038" t="s">
        <v>17</v>
      </c>
      <c r="H3038">
        <v>4437.87</v>
      </c>
      <c r="I3038" s="8" t="str" cm="1">
        <f t="array" ref="I3038">_xlfn.IFS(C3038&lt;=15,"Children and Young Adolescents", C3038&gt;64, "Seniors", TRUE, "Working Age")</f>
        <v>Working Age</v>
      </c>
      <c r="J3038" s="6">
        <f>VLOOKUP(F3038,Analysis!$F$1:$G$5,2,FALSE)</f>
        <v>2509.1716796874912</v>
      </c>
      <c r="K3038">
        <f t="shared" si="188"/>
        <v>4881.6499999999996</v>
      </c>
      <c r="L3038">
        <f t="shared" si="189"/>
        <v>4881.66</v>
      </c>
      <c r="M3038">
        <f t="shared" si="190"/>
        <v>4881.66</v>
      </c>
      <c r="N3038" s="5" t="str">
        <f t="shared" si="191"/>
        <v>March 2023</v>
      </c>
    </row>
    <row r="3039" spans="1:14" x14ac:dyDescent="0.25">
      <c r="A3039" s="1">
        <v>45004</v>
      </c>
      <c r="B3039" t="s">
        <v>1195</v>
      </c>
      <c r="C3039">
        <v>81</v>
      </c>
      <c r="D3039" t="s">
        <v>21</v>
      </c>
      <c r="E3039" t="s">
        <v>32</v>
      </c>
      <c r="F3039" t="s">
        <v>23</v>
      </c>
      <c r="G3039" t="s">
        <v>12</v>
      </c>
      <c r="H3039">
        <v>4841.1400000000003</v>
      </c>
      <c r="I3039" s="8" t="str" cm="1">
        <f t="array" ref="I3039">_xlfn.IFS(C3039&lt;=15,"Children and Young Adolescents", C3039&gt;64, "Seniors", TRUE, "Working Age")</f>
        <v>Seniors</v>
      </c>
      <c r="J3039" s="6">
        <f>VLOOKUP(F3039,Analysis!$F$1:$G$5,2,FALSE)</f>
        <v>2440.2966694490838</v>
      </c>
      <c r="K3039">
        <f t="shared" si="188"/>
        <v>5325.25</v>
      </c>
      <c r="L3039">
        <f t="shared" si="189"/>
        <v>5325.26</v>
      </c>
      <c r="M3039">
        <f t="shared" si="190"/>
        <v>5325.25</v>
      </c>
      <c r="N3039" s="5" t="str">
        <f t="shared" si="191"/>
        <v>March 2023</v>
      </c>
    </row>
    <row r="3040" spans="1:14" x14ac:dyDescent="0.25">
      <c r="A3040" s="1">
        <v>45005</v>
      </c>
      <c r="B3040" t="s">
        <v>2319</v>
      </c>
      <c r="C3040">
        <v>44</v>
      </c>
      <c r="D3040" t="s">
        <v>21</v>
      </c>
      <c r="E3040" t="s">
        <v>32</v>
      </c>
      <c r="F3040" t="s">
        <v>29</v>
      </c>
      <c r="G3040" t="s">
        <v>39</v>
      </c>
      <c r="H3040">
        <v>4713.7299999999996</v>
      </c>
      <c r="I3040" s="8" t="str" cm="1">
        <f t="array" ref="I3040">_xlfn.IFS(C3040&lt;=15,"Children and Young Adolescents", C3040&gt;64, "Seniors", TRUE, "Working Age")</f>
        <v>Working Age</v>
      </c>
      <c r="J3040" s="6">
        <f>VLOOKUP(F3040,Analysis!$F$1:$G$5,2,FALSE)</f>
        <v>2496.7676064256989</v>
      </c>
      <c r="K3040">
        <f t="shared" si="188"/>
        <v>5185.1000000000004</v>
      </c>
      <c r="L3040">
        <f t="shared" si="189"/>
        <v>5185.1100000000006</v>
      </c>
      <c r="M3040">
        <f t="shared" si="190"/>
        <v>5185.1000000000004</v>
      </c>
      <c r="N3040" s="5" t="str">
        <f t="shared" si="191"/>
        <v>March 2023</v>
      </c>
    </row>
    <row r="3041" spans="1:14" x14ac:dyDescent="0.25">
      <c r="A3041" s="1">
        <v>45005</v>
      </c>
      <c r="B3041" t="s">
        <v>3864</v>
      </c>
      <c r="C3041">
        <v>50</v>
      </c>
      <c r="D3041" t="s">
        <v>14</v>
      </c>
      <c r="E3041" t="s">
        <v>22</v>
      </c>
      <c r="F3041" t="s">
        <v>16</v>
      </c>
      <c r="G3041" t="s">
        <v>12</v>
      </c>
      <c r="H3041">
        <v>2331.19</v>
      </c>
      <c r="I3041" s="8" t="str" cm="1">
        <f t="array" ref="I3041">_xlfn.IFS(C3041&lt;=15,"Children and Young Adolescents", C3041&gt;64, "Seniors", TRUE, "Working Age")</f>
        <v>Working Age</v>
      </c>
      <c r="J3041" s="6">
        <f>VLOOKUP(F3041,Analysis!$F$1:$G$5,2,FALSE)</f>
        <v>2509.1716796874912</v>
      </c>
      <c r="K3041">
        <f t="shared" si="188"/>
        <v>2564.3000000000002</v>
      </c>
      <c r="L3041">
        <f t="shared" si="189"/>
        <v>2564.3100000000004</v>
      </c>
      <c r="M3041">
        <f t="shared" si="190"/>
        <v>2564.31</v>
      </c>
      <c r="N3041" s="5" t="str">
        <f t="shared" si="191"/>
        <v>March 2023</v>
      </c>
    </row>
    <row r="3042" spans="1:14" x14ac:dyDescent="0.25">
      <c r="A3042" s="1">
        <v>45005</v>
      </c>
      <c r="B3042" t="s">
        <v>4659</v>
      </c>
      <c r="C3042">
        <v>85</v>
      </c>
      <c r="D3042" t="s">
        <v>9</v>
      </c>
      <c r="E3042" t="s">
        <v>22</v>
      </c>
      <c r="F3042" t="s">
        <v>11</v>
      </c>
      <c r="G3042" t="s">
        <v>27</v>
      </c>
      <c r="H3042">
        <v>209.75</v>
      </c>
      <c r="I3042" s="8" t="str" cm="1">
        <f t="array" ref="I3042">_xlfn.IFS(C3042&lt;=15,"Children and Young Adolescents", C3042&gt;64, "Seniors", TRUE, "Working Age")</f>
        <v>Seniors</v>
      </c>
      <c r="J3042" s="6">
        <f>VLOOKUP(F3042,Analysis!$F$1:$G$5,2,FALSE)</f>
        <v>2503.6022787783854</v>
      </c>
      <c r="K3042">
        <f t="shared" si="188"/>
        <v>230.72</v>
      </c>
      <c r="L3042">
        <f t="shared" si="189"/>
        <v>230.73</v>
      </c>
      <c r="M3042">
        <f t="shared" si="190"/>
        <v>230.73</v>
      </c>
      <c r="N3042" s="5" t="str">
        <f t="shared" si="191"/>
        <v>March 2023</v>
      </c>
    </row>
    <row r="3043" spans="1:14" x14ac:dyDescent="0.25">
      <c r="A3043" s="1">
        <v>45005</v>
      </c>
      <c r="B3043" t="s">
        <v>4212</v>
      </c>
      <c r="C3043">
        <v>67</v>
      </c>
      <c r="D3043" t="s">
        <v>21</v>
      </c>
      <c r="E3043" t="s">
        <v>32</v>
      </c>
      <c r="F3043" t="s">
        <v>11</v>
      </c>
      <c r="G3043" t="s">
        <v>39</v>
      </c>
      <c r="H3043">
        <v>1436.2</v>
      </c>
      <c r="I3043" s="8" t="str" cm="1">
        <f t="array" ref="I3043">_xlfn.IFS(C3043&lt;=15,"Children and Young Adolescents", C3043&gt;64, "Seniors", TRUE, "Working Age")</f>
        <v>Seniors</v>
      </c>
      <c r="J3043" s="6">
        <f>VLOOKUP(F3043,Analysis!$F$1:$G$5,2,FALSE)</f>
        <v>2503.6022787783854</v>
      </c>
      <c r="K3043">
        <f t="shared" si="188"/>
        <v>1579.82</v>
      </c>
      <c r="L3043">
        <f t="shared" si="189"/>
        <v>1579.82</v>
      </c>
      <c r="M3043">
        <f t="shared" si="190"/>
        <v>1579.82</v>
      </c>
      <c r="N3043" s="5" t="str">
        <f t="shared" si="191"/>
        <v>March 2023</v>
      </c>
    </row>
    <row r="3044" spans="1:14" x14ac:dyDescent="0.25">
      <c r="A3044" s="1">
        <v>45006</v>
      </c>
      <c r="B3044" t="s">
        <v>4366</v>
      </c>
      <c r="C3044">
        <v>8</v>
      </c>
      <c r="D3044" t="s">
        <v>14</v>
      </c>
      <c r="E3044" t="s">
        <v>34</v>
      </c>
      <c r="F3044" t="s">
        <v>29</v>
      </c>
      <c r="G3044" t="s">
        <v>12</v>
      </c>
      <c r="H3044">
        <v>1459.87</v>
      </c>
      <c r="I3044" s="8" t="str" cm="1">
        <f t="array" ref="I3044">_xlfn.IFS(C3044&lt;=15,"Children and Young Adolescents", C3044&gt;64, "Seniors", TRUE, "Working Age")</f>
        <v>Children and Young Adolescents</v>
      </c>
      <c r="J3044" s="6">
        <f>VLOOKUP(F3044,Analysis!$F$1:$G$5,2,FALSE)</f>
        <v>2496.7676064256989</v>
      </c>
      <c r="K3044">
        <f t="shared" si="188"/>
        <v>1605.85</v>
      </c>
      <c r="L3044">
        <f t="shared" si="189"/>
        <v>1605.86</v>
      </c>
      <c r="M3044">
        <f t="shared" si="190"/>
        <v>1605.86</v>
      </c>
      <c r="N3044" s="5" t="str">
        <f t="shared" si="191"/>
        <v>March 2023</v>
      </c>
    </row>
    <row r="3045" spans="1:14" x14ac:dyDescent="0.25">
      <c r="A3045" s="1">
        <v>45006</v>
      </c>
      <c r="B3045" t="s">
        <v>2056</v>
      </c>
      <c r="C3045">
        <v>34</v>
      </c>
      <c r="D3045" t="s">
        <v>21</v>
      </c>
      <c r="E3045" t="s">
        <v>19</v>
      </c>
      <c r="F3045" t="s">
        <v>29</v>
      </c>
      <c r="G3045" t="s">
        <v>17</v>
      </c>
      <c r="H3045">
        <v>4807.87</v>
      </c>
      <c r="I3045" s="8" t="str" cm="1">
        <f t="array" ref="I3045">_xlfn.IFS(C3045&lt;=15,"Children and Young Adolescents", C3045&gt;64, "Seniors", TRUE, "Working Age")</f>
        <v>Working Age</v>
      </c>
      <c r="J3045" s="6">
        <f>VLOOKUP(F3045,Analysis!$F$1:$G$5,2,FALSE)</f>
        <v>2496.7676064256989</v>
      </c>
      <c r="K3045">
        <f t="shared" si="188"/>
        <v>5288.65</v>
      </c>
      <c r="L3045">
        <f t="shared" si="189"/>
        <v>5288.66</v>
      </c>
      <c r="M3045">
        <f t="shared" si="190"/>
        <v>5288.66</v>
      </c>
      <c r="N3045" s="5" t="str">
        <f t="shared" si="191"/>
        <v>March 2023</v>
      </c>
    </row>
    <row r="3046" spans="1:14" x14ac:dyDescent="0.25">
      <c r="A3046" s="1">
        <v>45006</v>
      </c>
      <c r="B3046" t="s">
        <v>3187</v>
      </c>
      <c r="C3046">
        <v>77</v>
      </c>
      <c r="D3046" t="s">
        <v>14</v>
      </c>
      <c r="E3046" t="s">
        <v>25</v>
      </c>
      <c r="F3046" t="s">
        <v>11</v>
      </c>
      <c r="G3046" t="s">
        <v>27</v>
      </c>
      <c r="H3046">
        <v>637.61</v>
      </c>
      <c r="I3046" s="8" t="str" cm="1">
        <f t="array" ref="I3046">_xlfn.IFS(C3046&lt;=15,"Children and Young Adolescents", C3046&gt;64, "Seniors", TRUE, "Working Age")</f>
        <v>Seniors</v>
      </c>
      <c r="J3046" s="6">
        <f>VLOOKUP(F3046,Analysis!$F$1:$G$5,2,FALSE)</f>
        <v>2503.6022787783854</v>
      </c>
      <c r="K3046">
        <f t="shared" si="188"/>
        <v>701.37</v>
      </c>
      <c r="L3046">
        <f t="shared" si="189"/>
        <v>701.38</v>
      </c>
      <c r="M3046">
        <f t="shared" si="190"/>
        <v>701.37</v>
      </c>
      <c r="N3046" s="5" t="str">
        <f t="shared" si="191"/>
        <v>March 2023</v>
      </c>
    </row>
    <row r="3047" spans="1:14" x14ac:dyDescent="0.25">
      <c r="A3047" s="1">
        <v>45006</v>
      </c>
      <c r="B3047" t="s">
        <v>3650</v>
      </c>
      <c r="C3047">
        <v>52</v>
      </c>
      <c r="D3047" t="s">
        <v>14</v>
      </c>
      <c r="E3047" t="s">
        <v>15</v>
      </c>
      <c r="F3047" t="s">
        <v>11</v>
      </c>
      <c r="G3047" t="s">
        <v>17</v>
      </c>
      <c r="H3047">
        <v>2682.91</v>
      </c>
      <c r="I3047" s="8" t="str" cm="1">
        <f t="array" ref="I3047">_xlfn.IFS(C3047&lt;=15,"Children and Young Adolescents", C3047&gt;64, "Seniors", TRUE, "Working Age")</f>
        <v>Working Age</v>
      </c>
      <c r="J3047" s="6">
        <f>VLOOKUP(F3047,Analysis!$F$1:$G$5,2,FALSE)</f>
        <v>2503.6022787783854</v>
      </c>
      <c r="K3047">
        <f t="shared" si="188"/>
        <v>2951.2</v>
      </c>
      <c r="L3047">
        <f t="shared" si="189"/>
        <v>2951.21</v>
      </c>
      <c r="M3047">
        <f t="shared" si="190"/>
        <v>2951.2</v>
      </c>
      <c r="N3047" s="5" t="str">
        <f t="shared" si="191"/>
        <v>March 2023</v>
      </c>
    </row>
    <row r="3048" spans="1:14" x14ac:dyDescent="0.25">
      <c r="A3048" s="1">
        <v>45006</v>
      </c>
      <c r="B3048" t="s">
        <v>532</v>
      </c>
      <c r="C3048">
        <v>66</v>
      </c>
      <c r="D3048" t="s">
        <v>14</v>
      </c>
      <c r="E3048" t="s">
        <v>32</v>
      </c>
      <c r="F3048" t="s">
        <v>29</v>
      </c>
      <c r="G3048" t="s">
        <v>17</v>
      </c>
      <c r="H3048">
        <v>407.01</v>
      </c>
      <c r="I3048" s="8" t="str" cm="1">
        <f t="array" ref="I3048">_xlfn.IFS(C3048&lt;=15,"Children and Young Adolescents", C3048&gt;64, "Seniors", TRUE, "Working Age")</f>
        <v>Seniors</v>
      </c>
      <c r="J3048" s="6">
        <f>VLOOKUP(F3048,Analysis!$F$1:$G$5,2,FALSE)</f>
        <v>2496.7676064256989</v>
      </c>
      <c r="K3048">
        <f t="shared" si="188"/>
        <v>447.71</v>
      </c>
      <c r="L3048">
        <f t="shared" si="189"/>
        <v>447.71999999999997</v>
      </c>
      <c r="M3048">
        <f t="shared" si="190"/>
        <v>447.71</v>
      </c>
      <c r="N3048" s="5" t="str">
        <f t="shared" si="191"/>
        <v>March 2023</v>
      </c>
    </row>
    <row r="3049" spans="1:14" x14ac:dyDescent="0.25">
      <c r="A3049" s="1">
        <v>45006</v>
      </c>
      <c r="B3049" t="s">
        <v>3182</v>
      </c>
      <c r="C3049">
        <v>53</v>
      </c>
      <c r="D3049" t="s">
        <v>9</v>
      </c>
      <c r="E3049" t="s">
        <v>5032</v>
      </c>
      <c r="F3049" t="s">
        <v>29</v>
      </c>
      <c r="G3049" t="s">
        <v>17</v>
      </c>
      <c r="H3049">
        <v>2245.15</v>
      </c>
      <c r="I3049" s="8" t="str" cm="1">
        <f t="array" ref="I3049">_xlfn.IFS(C3049&lt;=15,"Children and Young Adolescents", C3049&gt;64, "Seniors", TRUE, "Working Age")</f>
        <v>Working Age</v>
      </c>
      <c r="J3049" s="6">
        <f>VLOOKUP(F3049,Analysis!$F$1:$G$5,2,FALSE)</f>
        <v>2496.7676064256989</v>
      </c>
      <c r="K3049">
        <f t="shared" si="188"/>
        <v>2469.66</v>
      </c>
      <c r="L3049">
        <f t="shared" si="189"/>
        <v>2469.67</v>
      </c>
      <c r="M3049">
        <f t="shared" si="190"/>
        <v>2469.67</v>
      </c>
      <c r="N3049" s="5" t="str">
        <f t="shared" si="191"/>
        <v>March 2023</v>
      </c>
    </row>
    <row r="3050" spans="1:14" x14ac:dyDescent="0.25">
      <c r="A3050" s="1">
        <v>45006</v>
      </c>
      <c r="B3050" t="s">
        <v>1981</v>
      </c>
      <c r="C3050">
        <v>88</v>
      </c>
      <c r="D3050" t="s">
        <v>14</v>
      </c>
      <c r="E3050" t="s">
        <v>15</v>
      </c>
      <c r="F3050" t="s">
        <v>29</v>
      </c>
      <c r="G3050" t="s">
        <v>27</v>
      </c>
      <c r="H3050">
        <v>2193.4499999999998</v>
      </c>
      <c r="I3050" s="8" t="str" cm="1">
        <f t="array" ref="I3050">_xlfn.IFS(C3050&lt;=15,"Children and Young Adolescents", C3050&gt;64, "Seniors", TRUE, "Working Age")</f>
        <v>Seniors</v>
      </c>
      <c r="J3050" s="6">
        <f>VLOOKUP(F3050,Analysis!$F$1:$G$5,2,FALSE)</f>
        <v>2496.7676064256989</v>
      </c>
      <c r="K3050">
        <f t="shared" si="188"/>
        <v>2412.79</v>
      </c>
      <c r="L3050">
        <f t="shared" si="189"/>
        <v>2412.8000000000002</v>
      </c>
      <c r="M3050">
        <f t="shared" si="190"/>
        <v>2412.8000000000002</v>
      </c>
      <c r="N3050" s="5" t="str">
        <f t="shared" si="191"/>
        <v>March 2023</v>
      </c>
    </row>
    <row r="3051" spans="1:14" x14ac:dyDescent="0.25">
      <c r="A3051" s="1">
        <v>45007</v>
      </c>
      <c r="B3051" t="s">
        <v>2272</v>
      </c>
      <c r="C3051">
        <v>98</v>
      </c>
      <c r="D3051" t="s">
        <v>9</v>
      </c>
      <c r="E3051" t="s">
        <v>32</v>
      </c>
      <c r="F3051" t="s">
        <v>11</v>
      </c>
      <c r="G3051" t="s">
        <v>39</v>
      </c>
      <c r="H3051">
        <v>3336.13</v>
      </c>
      <c r="I3051" s="8" t="str" cm="1">
        <f t="array" ref="I3051">_xlfn.IFS(C3051&lt;=15,"Children and Young Adolescents", C3051&gt;64, "Seniors", TRUE, "Working Age")</f>
        <v>Seniors</v>
      </c>
      <c r="J3051" s="6">
        <f>VLOOKUP(F3051,Analysis!$F$1:$G$5,2,FALSE)</f>
        <v>2503.6022787783854</v>
      </c>
      <c r="K3051">
        <f t="shared" si="188"/>
        <v>3669.74</v>
      </c>
      <c r="L3051">
        <f t="shared" si="189"/>
        <v>3669.75</v>
      </c>
      <c r="M3051">
        <f t="shared" si="190"/>
        <v>3669.74</v>
      </c>
      <c r="N3051" s="5" t="str">
        <f t="shared" si="191"/>
        <v>March 2023</v>
      </c>
    </row>
    <row r="3052" spans="1:14" x14ac:dyDescent="0.25">
      <c r="A3052" s="1">
        <v>45007</v>
      </c>
      <c r="B3052" t="s">
        <v>5018</v>
      </c>
      <c r="C3052">
        <v>59</v>
      </c>
      <c r="D3052" t="s">
        <v>9</v>
      </c>
      <c r="E3052" t="s">
        <v>19</v>
      </c>
      <c r="F3052" t="s">
        <v>16</v>
      </c>
      <c r="G3052" t="s">
        <v>27</v>
      </c>
      <c r="H3052">
        <v>4585.2700000000004</v>
      </c>
      <c r="I3052" s="8" t="str" cm="1">
        <f t="array" ref="I3052">_xlfn.IFS(C3052&lt;=15,"Children and Young Adolescents", C3052&gt;64, "Seniors", TRUE, "Working Age")</f>
        <v>Working Age</v>
      </c>
      <c r="J3052" s="6">
        <f>VLOOKUP(F3052,Analysis!$F$1:$G$5,2,FALSE)</f>
        <v>2509.1716796874912</v>
      </c>
      <c r="K3052">
        <f t="shared" si="188"/>
        <v>5043.79</v>
      </c>
      <c r="L3052">
        <f t="shared" si="189"/>
        <v>5043.8</v>
      </c>
      <c r="M3052">
        <f t="shared" si="190"/>
        <v>5043.8</v>
      </c>
      <c r="N3052" s="5" t="str">
        <f t="shared" si="191"/>
        <v>March 2023</v>
      </c>
    </row>
    <row r="3053" spans="1:14" x14ac:dyDescent="0.25">
      <c r="A3053" s="1">
        <v>45007</v>
      </c>
      <c r="B3053" t="s">
        <v>468</v>
      </c>
      <c r="C3053">
        <v>30</v>
      </c>
      <c r="D3053" t="s">
        <v>14</v>
      </c>
      <c r="E3053" t="s">
        <v>25</v>
      </c>
      <c r="F3053" t="s">
        <v>16</v>
      </c>
      <c r="G3053" t="s">
        <v>27</v>
      </c>
      <c r="H3053">
        <v>867.06</v>
      </c>
      <c r="I3053" s="8" t="str" cm="1">
        <f t="array" ref="I3053">_xlfn.IFS(C3053&lt;=15,"Children and Young Adolescents", C3053&gt;64, "Seniors", TRUE, "Working Age")</f>
        <v>Working Age</v>
      </c>
      <c r="J3053" s="6">
        <f>VLOOKUP(F3053,Analysis!$F$1:$G$5,2,FALSE)</f>
        <v>2509.1716796874912</v>
      </c>
      <c r="K3053">
        <f t="shared" si="188"/>
        <v>953.76</v>
      </c>
      <c r="L3053">
        <f t="shared" si="189"/>
        <v>953.77</v>
      </c>
      <c r="M3053">
        <f t="shared" si="190"/>
        <v>953.77</v>
      </c>
      <c r="N3053" s="5" t="str">
        <f t="shared" si="191"/>
        <v>March 2023</v>
      </c>
    </row>
    <row r="3054" spans="1:14" x14ac:dyDescent="0.25">
      <c r="A3054" s="1">
        <v>45007</v>
      </c>
      <c r="B3054" t="s">
        <v>1369</v>
      </c>
      <c r="C3054">
        <v>50</v>
      </c>
      <c r="D3054" t="s">
        <v>21</v>
      </c>
      <c r="E3054" t="s">
        <v>5032</v>
      </c>
      <c r="F3054" t="s">
        <v>23</v>
      </c>
      <c r="G3054" t="s">
        <v>39</v>
      </c>
      <c r="H3054">
        <v>487.9</v>
      </c>
      <c r="I3054" s="8" t="str" cm="1">
        <f t="array" ref="I3054">_xlfn.IFS(C3054&lt;=15,"Children and Young Adolescents", C3054&gt;64, "Seniors", TRUE, "Working Age")</f>
        <v>Working Age</v>
      </c>
      <c r="J3054" s="6">
        <f>VLOOKUP(F3054,Analysis!$F$1:$G$5,2,FALSE)</f>
        <v>2440.2966694490838</v>
      </c>
      <c r="K3054">
        <f t="shared" si="188"/>
        <v>536.69000000000005</v>
      </c>
      <c r="L3054">
        <f t="shared" si="189"/>
        <v>536.69000000000005</v>
      </c>
      <c r="M3054">
        <f t="shared" si="190"/>
        <v>536.69000000000005</v>
      </c>
      <c r="N3054" s="5" t="str">
        <f t="shared" si="191"/>
        <v>March 2023</v>
      </c>
    </row>
    <row r="3055" spans="1:14" x14ac:dyDescent="0.25">
      <c r="A3055" s="1">
        <v>45007</v>
      </c>
      <c r="B3055" t="s">
        <v>667</v>
      </c>
      <c r="C3055">
        <v>43</v>
      </c>
      <c r="D3055" t="s">
        <v>14</v>
      </c>
      <c r="E3055" t="s">
        <v>19</v>
      </c>
      <c r="F3055" t="s">
        <v>29</v>
      </c>
      <c r="G3055" t="s">
        <v>39</v>
      </c>
      <c r="H3055">
        <v>3395.06</v>
      </c>
      <c r="I3055" s="8" t="str" cm="1">
        <f t="array" ref="I3055">_xlfn.IFS(C3055&lt;=15,"Children and Young Adolescents", C3055&gt;64, "Seniors", TRUE, "Working Age")</f>
        <v>Working Age</v>
      </c>
      <c r="J3055" s="6">
        <f>VLOOKUP(F3055,Analysis!$F$1:$G$5,2,FALSE)</f>
        <v>2496.7676064256989</v>
      </c>
      <c r="K3055">
        <f t="shared" si="188"/>
        <v>3734.56</v>
      </c>
      <c r="L3055">
        <f t="shared" si="189"/>
        <v>3734.57</v>
      </c>
      <c r="M3055">
        <f t="shared" si="190"/>
        <v>3734.57</v>
      </c>
      <c r="N3055" s="5" t="str">
        <f t="shared" si="191"/>
        <v>March 2023</v>
      </c>
    </row>
    <row r="3056" spans="1:14" x14ac:dyDescent="0.25">
      <c r="A3056" s="1">
        <v>45007</v>
      </c>
      <c r="B3056" t="s">
        <v>4660</v>
      </c>
      <c r="C3056">
        <v>59</v>
      </c>
      <c r="D3056" t="s">
        <v>9</v>
      </c>
      <c r="E3056" t="s">
        <v>19</v>
      </c>
      <c r="F3056" t="s">
        <v>11</v>
      </c>
      <c r="G3056" t="s">
        <v>17</v>
      </c>
      <c r="H3056">
        <v>960.31</v>
      </c>
      <c r="I3056" s="8" t="str" cm="1">
        <f t="array" ref="I3056">_xlfn.IFS(C3056&lt;=15,"Children and Young Adolescents", C3056&gt;64, "Seniors", TRUE, "Working Age")</f>
        <v>Working Age</v>
      </c>
      <c r="J3056" s="6">
        <f>VLOOKUP(F3056,Analysis!$F$1:$G$5,2,FALSE)</f>
        <v>2503.6022787783854</v>
      </c>
      <c r="K3056">
        <f t="shared" si="188"/>
        <v>1056.3399999999999</v>
      </c>
      <c r="L3056">
        <f t="shared" si="189"/>
        <v>1056.3499999999999</v>
      </c>
      <c r="M3056">
        <f t="shared" si="190"/>
        <v>1056.3399999999999</v>
      </c>
      <c r="N3056" s="5" t="str">
        <f t="shared" si="191"/>
        <v>March 2023</v>
      </c>
    </row>
    <row r="3057" spans="1:14" x14ac:dyDescent="0.25">
      <c r="A3057" s="1">
        <v>45007</v>
      </c>
      <c r="B3057" t="s">
        <v>4390</v>
      </c>
      <c r="C3057">
        <v>74</v>
      </c>
      <c r="D3057" t="s">
        <v>21</v>
      </c>
      <c r="E3057" t="s">
        <v>25</v>
      </c>
      <c r="F3057" t="s">
        <v>11</v>
      </c>
      <c r="G3057" t="s">
        <v>12</v>
      </c>
      <c r="H3057">
        <v>2696.36</v>
      </c>
      <c r="I3057" s="8" t="str" cm="1">
        <f t="array" ref="I3057">_xlfn.IFS(C3057&lt;=15,"Children and Young Adolescents", C3057&gt;64, "Seniors", TRUE, "Working Age")</f>
        <v>Seniors</v>
      </c>
      <c r="J3057" s="6">
        <f>VLOOKUP(F3057,Analysis!$F$1:$G$5,2,FALSE)</f>
        <v>2503.6022787783854</v>
      </c>
      <c r="K3057">
        <f t="shared" si="188"/>
        <v>2965.99</v>
      </c>
      <c r="L3057">
        <f t="shared" si="189"/>
        <v>2966</v>
      </c>
      <c r="M3057">
        <f t="shared" si="190"/>
        <v>2966</v>
      </c>
      <c r="N3057" s="5" t="str">
        <f t="shared" si="191"/>
        <v>March 2023</v>
      </c>
    </row>
    <row r="3058" spans="1:14" x14ac:dyDescent="0.25">
      <c r="A3058" s="1">
        <v>45007</v>
      </c>
      <c r="B3058" t="s">
        <v>4797</v>
      </c>
      <c r="C3058">
        <v>75</v>
      </c>
      <c r="D3058" t="s">
        <v>14</v>
      </c>
      <c r="E3058" t="s">
        <v>25</v>
      </c>
      <c r="F3058" t="s">
        <v>29</v>
      </c>
      <c r="G3058" t="s">
        <v>17</v>
      </c>
      <c r="H3058">
        <v>2988.89</v>
      </c>
      <c r="I3058" s="8" t="str" cm="1">
        <f t="array" ref="I3058">_xlfn.IFS(C3058&lt;=15,"Children and Young Adolescents", C3058&gt;64, "Seniors", TRUE, "Working Age")</f>
        <v>Seniors</v>
      </c>
      <c r="J3058" s="6">
        <f>VLOOKUP(F3058,Analysis!$F$1:$G$5,2,FALSE)</f>
        <v>2496.7676064256989</v>
      </c>
      <c r="K3058">
        <f t="shared" si="188"/>
        <v>3287.77</v>
      </c>
      <c r="L3058">
        <f t="shared" si="189"/>
        <v>3287.78</v>
      </c>
      <c r="M3058">
        <f t="shared" si="190"/>
        <v>3287.78</v>
      </c>
      <c r="N3058" s="5" t="str">
        <f t="shared" si="191"/>
        <v>March 2023</v>
      </c>
    </row>
    <row r="3059" spans="1:14" x14ac:dyDescent="0.25">
      <c r="A3059" s="1">
        <v>45007</v>
      </c>
      <c r="B3059" t="s">
        <v>1512</v>
      </c>
      <c r="C3059">
        <v>89</v>
      </c>
      <c r="D3059" t="s">
        <v>14</v>
      </c>
      <c r="E3059" t="s">
        <v>15</v>
      </c>
      <c r="F3059" t="s">
        <v>16</v>
      </c>
      <c r="G3059" t="s">
        <v>27</v>
      </c>
      <c r="H3059">
        <v>630.66999999999996</v>
      </c>
      <c r="I3059" s="8" t="str" cm="1">
        <f t="array" ref="I3059">_xlfn.IFS(C3059&lt;=15,"Children and Young Adolescents", C3059&gt;64, "Seniors", TRUE, "Working Age")</f>
        <v>Seniors</v>
      </c>
      <c r="J3059" s="6">
        <f>VLOOKUP(F3059,Analysis!$F$1:$G$5,2,FALSE)</f>
        <v>2509.1716796874912</v>
      </c>
      <c r="K3059">
        <f t="shared" si="188"/>
        <v>693.73</v>
      </c>
      <c r="L3059">
        <f t="shared" si="189"/>
        <v>693.74</v>
      </c>
      <c r="M3059">
        <f t="shared" si="190"/>
        <v>693.74</v>
      </c>
      <c r="N3059" s="5" t="str">
        <f t="shared" si="191"/>
        <v>March 2023</v>
      </c>
    </row>
    <row r="3060" spans="1:14" x14ac:dyDescent="0.25">
      <c r="A3060" s="1">
        <v>45007</v>
      </c>
      <c r="B3060" t="s">
        <v>348</v>
      </c>
      <c r="C3060">
        <v>95</v>
      </c>
      <c r="D3060" t="s">
        <v>9</v>
      </c>
      <c r="E3060" t="s">
        <v>22</v>
      </c>
      <c r="F3060" t="s">
        <v>16</v>
      </c>
      <c r="G3060" t="s">
        <v>17</v>
      </c>
      <c r="H3060">
        <v>3024.53</v>
      </c>
      <c r="I3060" s="8" t="str" cm="1">
        <f t="array" ref="I3060">_xlfn.IFS(C3060&lt;=15,"Children and Young Adolescents", C3060&gt;64, "Seniors", TRUE, "Working Age")</f>
        <v>Seniors</v>
      </c>
      <c r="J3060" s="6">
        <f>VLOOKUP(F3060,Analysis!$F$1:$G$5,2,FALSE)</f>
        <v>2509.1716796874912</v>
      </c>
      <c r="K3060">
        <f t="shared" si="188"/>
        <v>3326.98</v>
      </c>
      <c r="L3060">
        <f t="shared" si="189"/>
        <v>3326.9900000000002</v>
      </c>
      <c r="M3060">
        <f t="shared" si="190"/>
        <v>3326.98</v>
      </c>
      <c r="N3060" s="5" t="str">
        <f t="shared" si="191"/>
        <v>March 2023</v>
      </c>
    </row>
    <row r="3061" spans="1:14" x14ac:dyDescent="0.25">
      <c r="A3061" s="1">
        <v>45008</v>
      </c>
      <c r="B3061" t="s">
        <v>4689</v>
      </c>
      <c r="C3061">
        <v>52</v>
      </c>
      <c r="D3061" t="s">
        <v>21</v>
      </c>
      <c r="E3061" t="s">
        <v>15</v>
      </c>
      <c r="F3061" t="s">
        <v>16</v>
      </c>
      <c r="G3061" t="s">
        <v>12</v>
      </c>
      <c r="H3061">
        <v>1561.55</v>
      </c>
      <c r="I3061" s="8" t="str" cm="1">
        <f t="array" ref="I3061">_xlfn.IFS(C3061&lt;=15,"Children and Young Adolescents", C3061&gt;64, "Seniors", TRUE, "Working Age")</f>
        <v>Working Age</v>
      </c>
      <c r="J3061" s="6">
        <f>VLOOKUP(F3061,Analysis!$F$1:$G$5,2,FALSE)</f>
        <v>2509.1716796874912</v>
      </c>
      <c r="K3061">
        <f t="shared" si="188"/>
        <v>1717.7</v>
      </c>
      <c r="L3061">
        <f t="shared" si="189"/>
        <v>1717.71</v>
      </c>
      <c r="M3061">
        <f t="shared" si="190"/>
        <v>1717.71</v>
      </c>
      <c r="N3061" s="5" t="str">
        <f t="shared" si="191"/>
        <v>March 2023</v>
      </c>
    </row>
    <row r="3062" spans="1:14" x14ac:dyDescent="0.25">
      <c r="A3062" s="1">
        <v>45008</v>
      </c>
      <c r="B3062" t="s">
        <v>1149</v>
      </c>
      <c r="C3062">
        <v>62</v>
      </c>
      <c r="D3062" t="s">
        <v>14</v>
      </c>
      <c r="E3062" t="s">
        <v>22</v>
      </c>
      <c r="F3062" t="s">
        <v>16</v>
      </c>
      <c r="G3062" t="s">
        <v>36</v>
      </c>
      <c r="H3062">
        <v>741.86</v>
      </c>
      <c r="I3062" s="8" t="str" cm="1">
        <f t="array" ref="I3062">_xlfn.IFS(C3062&lt;=15,"Children and Young Adolescents", C3062&gt;64, "Seniors", TRUE, "Working Age")</f>
        <v>Working Age</v>
      </c>
      <c r="J3062" s="6">
        <f>VLOOKUP(F3062,Analysis!$F$1:$G$5,2,FALSE)</f>
        <v>2509.1716796874912</v>
      </c>
      <c r="K3062">
        <f t="shared" si="188"/>
        <v>816.04</v>
      </c>
      <c r="L3062">
        <f t="shared" si="189"/>
        <v>816.05</v>
      </c>
      <c r="M3062">
        <f t="shared" si="190"/>
        <v>816.05</v>
      </c>
      <c r="N3062" s="5" t="str">
        <f t="shared" si="191"/>
        <v>March 2023</v>
      </c>
    </row>
    <row r="3063" spans="1:14" x14ac:dyDescent="0.25">
      <c r="A3063" s="1">
        <v>45008</v>
      </c>
      <c r="B3063" t="s">
        <v>67</v>
      </c>
      <c r="C3063">
        <v>68</v>
      </c>
      <c r="D3063" t="s">
        <v>21</v>
      </c>
      <c r="E3063" t="s">
        <v>32</v>
      </c>
      <c r="F3063" t="s">
        <v>11</v>
      </c>
      <c r="G3063" t="s">
        <v>17</v>
      </c>
      <c r="H3063">
        <v>1384.54</v>
      </c>
      <c r="I3063" s="8" t="str" cm="1">
        <f t="array" ref="I3063">_xlfn.IFS(C3063&lt;=15,"Children and Young Adolescents", C3063&gt;64, "Seniors", TRUE, "Working Age")</f>
        <v>Seniors</v>
      </c>
      <c r="J3063" s="6">
        <f>VLOOKUP(F3063,Analysis!$F$1:$G$5,2,FALSE)</f>
        <v>2503.6022787783854</v>
      </c>
      <c r="K3063">
        <f t="shared" si="188"/>
        <v>1522.99</v>
      </c>
      <c r="L3063">
        <f t="shared" si="189"/>
        <v>1523</v>
      </c>
      <c r="M3063">
        <f t="shared" si="190"/>
        <v>1522.99</v>
      </c>
      <c r="N3063" s="5" t="str">
        <f t="shared" si="191"/>
        <v>March 2023</v>
      </c>
    </row>
    <row r="3064" spans="1:14" x14ac:dyDescent="0.25">
      <c r="A3064" s="1">
        <v>45008</v>
      </c>
      <c r="B3064" t="s">
        <v>3802</v>
      </c>
      <c r="C3064">
        <v>83</v>
      </c>
      <c r="D3064" t="s">
        <v>9</v>
      </c>
      <c r="E3064" t="s">
        <v>22</v>
      </c>
      <c r="F3064" t="s">
        <v>29</v>
      </c>
      <c r="G3064" t="s">
        <v>12</v>
      </c>
      <c r="H3064">
        <v>3567.16</v>
      </c>
      <c r="I3064" s="8" t="str" cm="1">
        <f t="array" ref="I3064">_xlfn.IFS(C3064&lt;=15,"Children and Young Adolescents", C3064&gt;64, "Seniors", TRUE, "Working Age")</f>
        <v>Seniors</v>
      </c>
      <c r="J3064" s="6">
        <f>VLOOKUP(F3064,Analysis!$F$1:$G$5,2,FALSE)</f>
        <v>2496.7676064256989</v>
      </c>
      <c r="K3064">
        <f t="shared" si="188"/>
        <v>3923.87</v>
      </c>
      <c r="L3064">
        <f t="shared" si="189"/>
        <v>3923.88</v>
      </c>
      <c r="M3064">
        <f t="shared" si="190"/>
        <v>3923.88</v>
      </c>
      <c r="N3064" s="5" t="str">
        <f t="shared" si="191"/>
        <v>March 2023</v>
      </c>
    </row>
    <row r="3065" spans="1:14" x14ac:dyDescent="0.25">
      <c r="A3065" s="1">
        <v>45008</v>
      </c>
      <c r="B3065" t="s">
        <v>1350</v>
      </c>
      <c r="C3065">
        <v>79</v>
      </c>
      <c r="D3065" t="s">
        <v>9</v>
      </c>
      <c r="E3065" t="s">
        <v>10</v>
      </c>
      <c r="F3065" t="s">
        <v>11</v>
      </c>
      <c r="G3065" t="s">
        <v>12</v>
      </c>
      <c r="H3065">
        <v>1249.93</v>
      </c>
      <c r="I3065" s="8" t="str" cm="1">
        <f t="array" ref="I3065">_xlfn.IFS(C3065&lt;=15,"Children and Young Adolescents", C3065&gt;64, "Seniors", TRUE, "Working Age")</f>
        <v>Seniors</v>
      </c>
      <c r="J3065" s="6">
        <f>VLOOKUP(F3065,Analysis!$F$1:$G$5,2,FALSE)</f>
        <v>2503.6022787783854</v>
      </c>
      <c r="K3065">
        <f t="shared" si="188"/>
        <v>1374.92</v>
      </c>
      <c r="L3065">
        <f t="shared" si="189"/>
        <v>1374.93</v>
      </c>
      <c r="M3065">
        <f t="shared" si="190"/>
        <v>1374.92</v>
      </c>
      <c r="N3065" s="5" t="str">
        <f t="shared" si="191"/>
        <v>March 2023</v>
      </c>
    </row>
    <row r="3066" spans="1:14" x14ac:dyDescent="0.25">
      <c r="A3066" s="1">
        <v>45008</v>
      </c>
      <c r="B3066" t="s">
        <v>2383</v>
      </c>
      <c r="C3066">
        <v>43</v>
      </c>
      <c r="D3066" t="s">
        <v>14</v>
      </c>
      <c r="E3066" t="s">
        <v>32</v>
      </c>
      <c r="F3066" t="s">
        <v>11</v>
      </c>
      <c r="G3066" t="s">
        <v>36</v>
      </c>
      <c r="H3066">
        <v>3153.33</v>
      </c>
      <c r="I3066" s="8" t="str" cm="1">
        <f t="array" ref="I3066">_xlfn.IFS(C3066&lt;=15,"Children and Young Adolescents", C3066&gt;64, "Seniors", TRUE, "Working Age")</f>
        <v>Working Age</v>
      </c>
      <c r="J3066" s="6">
        <f>VLOOKUP(F3066,Analysis!$F$1:$G$5,2,FALSE)</f>
        <v>2503.6022787783854</v>
      </c>
      <c r="K3066">
        <f t="shared" si="188"/>
        <v>3468.66</v>
      </c>
      <c r="L3066">
        <f t="shared" si="189"/>
        <v>3468.67</v>
      </c>
      <c r="M3066">
        <f t="shared" si="190"/>
        <v>3468.66</v>
      </c>
      <c r="N3066" s="5" t="str">
        <f t="shared" si="191"/>
        <v>March 2023</v>
      </c>
    </row>
    <row r="3067" spans="1:14" x14ac:dyDescent="0.25">
      <c r="A3067" s="1">
        <v>45008</v>
      </c>
      <c r="B3067" t="s">
        <v>2525</v>
      </c>
      <c r="C3067">
        <v>20</v>
      </c>
      <c r="D3067" t="s">
        <v>14</v>
      </c>
      <c r="E3067" t="s">
        <v>10</v>
      </c>
      <c r="F3067" t="s">
        <v>23</v>
      </c>
      <c r="G3067" t="s">
        <v>27</v>
      </c>
      <c r="H3067">
        <v>845.78</v>
      </c>
      <c r="I3067" s="8" t="str" cm="1">
        <f t="array" ref="I3067">_xlfn.IFS(C3067&lt;=15,"Children and Young Adolescents", C3067&gt;64, "Seniors", TRUE, "Working Age")</f>
        <v>Working Age</v>
      </c>
      <c r="J3067" s="6">
        <f>VLOOKUP(F3067,Analysis!$F$1:$G$5,2,FALSE)</f>
        <v>2440.2966694490838</v>
      </c>
      <c r="K3067">
        <f t="shared" si="188"/>
        <v>930.35</v>
      </c>
      <c r="L3067">
        <f t="shared" si="189"/>
        <v>930.36</v>
      </c>
      <c r="M3067">
        <f t="shared" si="190"/>
        <v>930.36</v>
      </c>
      <c r="N3067" s="5" t="str">
        <f t="shared" si="191"/>
        <v>March 2023</v>
      </c>
    </row>
    <row r="3068" spans="1:14" x14ac:dyDescent="0.25">
      <c r="A3068" s="1">
        <v>45008</v>
      </c>
      <c r="B3068" t="s">
        <v>4223</v>
      </c>
      <c r="C3068">
        <v>22</v>
      </c>
      <c r="D3068" t="s">
        <v>14</v>
      </c>
      <c r="E3068" t="s">
        <v>32</v>
      </c>
      <c r="F3068" t="s">
        <v>29</v>
      </c>
      <c r="G3068" t="s">
        <v>36</v>
      </c>
      <c r="H3068">
        <v>4607.9799999999996</v>
      </c>
      <c r="I3068" s="8" t="str" cm="1">
        <f t="array" ref="I3068">_xlfn.IFS(C3068&lt;=15,"Children and Young Adolescents", C3068&gt;64, "Seniors", TRUE, "Working Age")</f>
        <v>Working Age</v>
      </c>
      <c r="J3068" s="6">
        <f>VLOOKUP(F3068,Analysis!$F$1:$G$5,2,FALSE)</f>
        <v>2496.7676064256989</v>
      </c>
      <c r="K3068">
        <f t="shared" si="188"/>
        <v>5068.7700000000004</v>
      </c>
      <c r="L3068">
        <f t="shared" si="189"/>
        <v>5068.7800000000007</v>
      </c>
      <c r="M3068">
        <f t="shared" si="190"/>
        <v>5068.78</v>
      </c>
      <c r="N3068" s="5" t="str">
        <f t="shared" si="191"/>
        <v>March 2023</v>
      </c>
    </row>
    <row r="3069" spans="1:14" x14ac:dyDescent="0.25">
      <c r="A3069" s="1">
        <v>45009</v>
      </c>
      <c r="B3069" t="s">
        <v>4825</v>
      </c>
      <c r="C3069">
        <v>62</v>
      </c>
      <c r="D3069" t="s">
        <v>9</v>
      </c>
      <c r="E3069" t="s">
        <v>15</v>
      </c>
      <c r="F3069" t="s">
        <v>11</v>
      </c>
      <c r="G3069" t="s">
        <v>39</v>
      </c>
      <c r="H3069">
        <v>205.85</v>
      </c>
      <c r="I3069" s="8" t="str" cm="1">
        <f t="array" ref="I3069">_xlfn.IFS(C3069&lt;=15,"Children and Young Adolescents", C3069&gt;64, "Seniors", TRUE, "Working Age")</f>
        <v>Working Age</v>
      </c>
      <c r="J3069" s="6">
        <f>VLOOKUP(F3069,Analysis!$F$1:$G$5,2,FALSE)</f>
        <v>2503.6022787783854</v>
      </c>
      <c r="K3069">
        <f t="shared" si="188"/>
        <v>226.43</v>
      </c>
      <c r="L3069">
        <f t="shared" si="189"/>
        <v>226.44</v>
      </c>
      <c r="M3069">
        <f t="shared" si="190"/>
        <v>226.44</v>
      </c>
      <c r="N3069" s="5" t="str">
        <f t="shared" si="191"/>
        <v>March 2023</v>
      </c>
    </row>
    <row r="3070" spans="1:14" x14ac:dyDescent="0.25">
      <c r="A3070" s="1">
        <v>45009</v>
      </c>
      <c r="B3070" t="s">
        <v>4477</v>
      </c>
      <c r="C3070">
        <v>14</v>
      </c>
      <c r="D3070" t="s">
        <v>21</v>
      </c>
      <c r="E3070" t="s">
        <v>25</v>
      </c>
      <c r="F3070" t="s">
        <v>23</v>
      </c>
      <c r="G3070" t="s">
        <v>27</v>
      </c>
      <c r="H3070">
        <v>3411.42</v>
      </c>
      <c r="I3070" s="8" t="str" cm="1">
        <f t="array" ref="I3070">_xlfn.IFS(C3070&lt;=15,"Children and Young Adolescents", C3070&gt;64, "Seniors", TRUE, "Working Age")</f>
        <v>Children and Young Adolescents</v>
      </c>
      <c r="J3070" s="6">
        <f>VLOOKUP(F3070,Analysis!$F$1:$G$5,2,FALSE)</f>
        <v>2440.2966694490838</v>
      </c>
      <c r="K3070">
        <f t="shared" si="188"/>
        <v>3752.56</v>
      </c>
      <c r="L3070">
        <f t="shared" si="189"/>
        <v>3752.57</v>
      </c>
      <c r="M3070">
        <f t="shared" si="190"/>
        <v>3752.56</v>
      </c>
      <c r="N3070" s="5" t="str">
        <f t="shared" si="191"/>
        <v>March 2023</v>
      </c>
    </row>
    <row r="3071" spans="1:14" x14ac:dyDescent="0.25">
      <c r="A3071" s="1">
        <v>45009</v>
      </c>
      <c r="B3071" t="s">
        <v>243</v>
      </c>
      <c r="C3071">
        <v>44</v>
      </c>
      <c r="D3071" t="s">
        <v>21</v>
      </c>
      <c r="E3071" t="s">
        <v>25</v>
      </c>
      <c r="F3071" t="s">
        <v>16</v>
      </c>
      <c r="G3071" t="s">
        <v>27</v>
      </c>
      <c r="H3071">
        <v>964.28</v>
      </c>
      <c r="I3071" s="8" t="str" cm="1">
        <f t="array" ref="I3071">_xlfn.IFS(C3071&lt;=15,"Children and Young Adolescents", C3071&gt;64, "Seniors", TRUE, "Working Age")</f>
        <v>Working Age</v>
      </c>
      <c r="J3071" s="6">
        <f>VLOOKUP(F3071,Analysis!$F$1:$G$5,2,FALSE)</f>
        <v>2509.1716796874912</v>
      </c>
      <c r="K3071">
        <f t="shared" si="188"/>
        <v>1060.7</v>
      </c>
      <c r="L3071">
        <f t="shared" si="189"/>
        <v>1060.71</v>
      </c>
      <c r="M3071">
        <f t="shared" si="190"/>
        <v>1060.71</v>
      </c>
      <c r="N3071" s="5" t="str">
        <f t="shared" si="191"/>
        <v>March 2023</v>
      </c>
    </row>
    <row r="3072" spans="1:14" x14ac:dyDescent="0.25">
      <c r="A3072" s="1">
        <v>45009</v>
      </c>
      <c r="B3072" t="s">
        <v>2905</v>
      </c>
      <c r="C3072">
        <v>67</v>
      </c>
      <c r="D3072" t="s">
        <v>21</v>
      </c>
      <c r="E3072" t="s">
        <v>5032</v>
      </c>
      <c r="F3072" t="s">
        <v>11</v>
      </c>
      <c r="G3072" t="s">
        <v>36</v>
      </c>
      <c r="H3072">
        <v>861.54</v>
      </c>
      <c r="I3072" s="8" t="str" cm="1">
        <f t="array" ref="I3072">_xlfn.IFS(C3072&lt;=15,"Children and Young Adolescents", C3072&gt;64, "Seniors", TRUE, "Working Age")</f>
        <v>Seniors</v>
      </c>
      <c r="J3072" s="6">
        <f>VLOOKUP(F3072,Analysis!$F$1:$G$5,2,FALSE)</f>
        <v>2503.6022787783854</v>
      </c>
      <c r="K3072">
        <f t="shared" si="188"/>
        <v>947.69</v>
      </c>
      <c r="L3072">
        <f t="shared" si="189"/>
        <v>947.7</v>
      </c>
      <c r="M3072">
        <f t="shared" si="190"/>
        <v>947.69</v>
      </c>
      <c r="N3072" s="5" t="str">
        <f t="shared" si="191"/>
        <v>March 2023</v>
      </c>
    </row>
    <row r="3073" spans="1:14" x14ac:dyDescent="0.25">
      <c r="A3073" s="1">
        <v>45009</v>
      </c>
      <c r="B3073" t="s">
        <v>3402</v>
      </c>
      <c r="C3073">
        <v>26</v>
      </c>
      <c r="D3073" t="s">
        <v>21</v>
      </c>
      <c r="E3073" t="s">
        <v>32</v>
      </c>
      <c r="F3073" t="s">
        <v>29</v>
      </c>
      <c r="G3073" t="s">
        <v>17</v>
      </c>
      <c r="H3073">
        <v>1086.6500000000001</v>
      </c>
      <c r="I3073" s="8" t="str" cm="1">
        <f t="array" ref="I3073">_xlfn.IFS(C3073&lt;=15,"Children and Young Adolescents", C3073&gt;64, "Seniors", TRUE, "Working Age")</f>
        <v>Working Age</v>
      </c>
      <c r="J3073" s="6">
        <f>VLOOKUP(F3073,Analysis!$F$1:$G$5,2,FALSE)</f>
        <v>2496.7676064256989</v>
      </c>
      <c r="K3073">
        <f t="shared" si="188"/>
        <v>1195.31</v>
      </c>
      <c r="L3073">
        <f t="shared" si="189"/>
        <v>1195.32</v>
      </c>
      <c r="M3073">
        <f t="shared" si="190"/>
        <v>1195.32</v>
      </c>
      <c r="N3073" s="5" t="str">
        <f t="shared" si="191"/>
        <v>March 2023</v>
      </c>
    </row>
    <row r="3074" spans="1:14" x14ac:dyDescent="0.25">
      <c r="A3074" s="1">
        <v>45009</v>
      </c>
      <c r="B3074" t="s">
        <v>4487</v>
      </c>
      <c r="C3074">
        <v>47</v>
      </c>
      <c r="D3074" t="s">
        <v>14</v>
      </c>
      <c r="E3074" t="s">
        <v>32</v>
      </c>
      <c r="F3074" t="s">
        <v>11</v>
      </c>
      <c r="G3074" t="s">
        <v>27</v>
      </c>
      <c r="H3074">
        <v>111.95</v>
      </c>
      <c r="I3074" s="8" t="str" cm="1">
        <f t="array" ref="I3074">_xlfn.IFS(C3074&lt;=15,"Children and Young Adolescents", C3074&gt;64, "Seniors", TRUE, "Working Age")</f>
        <v>Working Age</v>
      </c>
      <c r="J3074" s="6">
        <f>VLOOKUP(F3074,Analysis!$F$1:$G$5,2,FALSE)</f>
        <v>2503.6022787783854</v>
      </c>
      <c r="K3074">
        <f t="shared" si="188"/>
        <v>123.14</v>
      </c>
      <c r="L3074">
        <f t="shared" si="189"/>
        <v>123.15</v>
      </c>
      <c r="M3074">
        <f t="shared" si="190"/>
        <v>123.15</v>
      </c>
      <c r="N3074" s="5" t="str">
        <f t="shared" si="191"/>
        <v>March 2023</v>
      </c>
    </row>
    <row r="3075" spans="1:14" x14ac:dyDescent="0.25">
      <c r="A3075" s="1">
        <v>45009</v>
      </c>
      <c r="B3075" t="s">
        <v>2840</v>
      </c>
      <c r="C3075">
        <v>3</v>
      </c>
      <c r="D3075" t="s">
        <v>21</v>
      </c>
      <c r="E3075" t="s">
        <v>34</v>
      </c>
      <c r="F3075" t="s">
        <v>16</v>
      </c>
      <c r="G3075" t="s">
        <v>12</v>
      </c>
      <c r="H3075">
        <v>3428.84</v>
      </c>
      <c r="I3075" s="8" t="str" cm="1">
        <f t="array" ref="I3075">_xlfn.IFS(C3075&lt;=15,"Children and Young Adolescents", C3075&gt;64, "Seniors", TRUE, "Working Age")</f>
        <v>Children and Young Adolescents</v>
      </c>
      <c r="J3075" s="6">
        <f>VLOOKUP(F3075,Analysis!$F$1:$G$5,2,FALSE)</f>
        <v>2509.1716796874912</v>
      </c>
      <c r="K3075">
        <f t="shared" ref="K3075:K3138" si="192">ROUNDDOWN(H3075*1.1,2)</f>
        <v>3771.72</v>
      </c>
      <c r="L3075">
        <f t="shared" ref="L3075:L3138" si="193">ROUNDUP(H3075*1.1,2)</f>
        <v>3771.73</v>
      </c>
      <c r="M3075">
        <f t="shared" ref="M3075:M3138" si="194">ROUND(H3075*1.1,2)</f>
        <v>3771.72</v>
      </c>
      <c r="N3075" s="5" t="str">
        <f t="shared" ref="N3075:N3138" si="195">TEXT(A3075,"mmmm yyyy")</f>
        <v>March 2023</v>
      </c>
    </row>
    <row r="3076" spans="1:14" x14ac:dyDescent="0.25">
      <c r="A3076" s="1">
        <v>45010</v>
      </c>
      <c r="B3076" t="s">
        <v>3582</v>
      </c>
      <c r="C3076">
        <v>70</v>
      </c>
      <c r="D3076" t="s">
        <v>9</v>
      </c>
      <c r="E3076" t="s">
        <v>15</v>
      </c>
      <c r="F3076" t="s">
        <v>29</v>
      </c>
      <c r="G3076" t="s">
        <v>12</v>
      </c>
      <c r="H3076">
        <v>934.7</v>
      </c>
      <c r="I3076" s="8" t="str" cm="1">
        <f t="array" ref="I3076">_xlfn.IFS(C3076&lt;=15,"Children and Young Adolescents", C3076&gt;64, "Seniors", TRUE, "Working Age")</f>
        <v>Seniors</v>
      </c>
      <c r="J3076" s="6">
        <f>VLOOKUP(F3076,Analysis!$F$1:$G$5,2,FALSE)</f>
        <v>2496.7676064256989</v>
      </c>
      <c r="K3076">
        <f t="shared" si="192"/>
        <v>1028.17</v>
      </c>
      <c r="L3076">
        <f t="shared" si="193"/>
        <v>1028.17</v>
      </c>
      <c r="M3076">
        <f t="shared" si="194"/>
        <v>1028.17</v>
      </c>
      <c r="N3076" s="5" t="str">
        <f t="shared" si="195"/>
        <v>March 2023</v>
      </c>
    </row>
    <row r="3077" spans="1:14" x14ac:dyDescent="0.25">
      <c r="A3077" s="1">
        <v>45010</v>
      </c>
      <c r="B3077" t="s">
        <v>3904</v>
      </c>
      <c r="C3077">
        <v>42</v>
      </c>
      <c r="D3077" t="s">
        <v>21</v>
      </c>
      <c r="E3077" t="s">
        <v>22</v>
      </c>
      <c r="F3077" t="s">
        <v>23</v>
      </c>
      <c r="G3077" t="s">
        <v>36</v>
      </c>
      <c r="H3077">
        <v>3231.74</v>
      </c>
      <c r="I3077" s="8" t="str" cm="1">
        <f t="array" ref="I3077">_xlfn.IFS(C3077&lt;=15,"Children and Young Adolescents", C3077&gt;64, "Seniors", TRUE, "Working Age")</f>
        <v>Working Age</v>
      </c>
      <c r="J3077" s="6">
        <f>VLOOKUP(F3077,Analysis!$F$1:$G$5,2,FALSE)</f>
        <v>2440.2966694490838</v>
      </c>
      <c r="K3077">
        <f t="shared" si="192"/>
        <v>3554.91</v>
      </c>
      <c r="L3077">
        <f t="shared" si="193"/>
        <v>3554.92</v>
      </c>
      <c r="M3077">
        <f t="shared" si="194"/>
        <v>3554.91</v>
      </c>
      <c r="N3077" s="5" t="str">
        <f t="shared" si="195"/>
        <v>March 2023</v>
      </c>
    </row>
    <row r="3078" spans="1:14" x14ac:dyDescent="0.25">
      <c r="A3078" s="1">
        <v>45010</v>
      </c>
      <c r="B3078" t="s">
        <v>4544</v>
      </c>
      <c r="C3078">
        <v>63</v>
      </c>
      <c r="D3078" t="s">
        <v>21</v>
      </c>
      <c r="E3078" t="s">
        <v>19</v>
      </c>
      <c r="F3078" t="s">
        <v>29</v>
      </c>
      <c r="G3078" t="s">
        <v>36</v>
      </c>
      <c r="H3078">
        <v>2068.65</v>
      </c>
      <c r="I3078" s="8" t="str" cm="1">
        <f t="array" ref="I3078">_xlfn.IFS(C3078&lt;=15,"Children and Young Adolescents", C3078&gt;64, "Seniors", TRUE, "Working Age")</f>
        <v>Working Age</v>
      </c>
      <c r="J3078" s="6">
        <f>VLOOKUP(F3078,Analysis!$F$1:$G$5,2,FALSE)</f>
        <v>2496.7676064256989</v>
      </c>
      <c r="K3078">
        <f t="shared" si="192"/>
        <v>2275.5100000000002</v>
      </c>
      <c r="L3078">
        <f t="shared" si="193"/>
        <v>2275.5200000000004</v>
      </c>
      <c r="M3078">
        <f t="shared" si="194"/>
        <v>2275.52</v>
      </c>
      <c r="N3078" s="5" t="str">
        <f t="shared" si="195"/>
        <v>March 2023</v>
      </c>
    </row>
    <row r="3079" spans="1:14" x14ac:dyDescent="0.25">
      <c r="A3079" s="1">
        <v>45010</v>
      </c>
      <c r="B3079" t="s">
        <v>3589</v>
      </c>
      <c r="C3079">
        <v>18</v>
      </c>
      <c r="D3079" t="s">
        <v>21</v>
      </c>
      <c r="E3079" t="s">
        <v>19</v>
      </c>
      <c r="F3079" t="s">
        <v>16</v>
      </c>
      <c r="G3079" t="s">
        <v>39</v>
      </c>
      <c r="H3079">
        <v>2920.79</v>
      </c>
      <c r="I3079" s="8" t="str" cm="1">
        <f t="array" ref="I3079">_xlfn.IFS(C3079&lt;=15,"Children and Young Adolescents", C3079&gt;64, "Seniors", TRUE, "Working Age")</f>
        <v>Working Age</v>
      </c>
      <c r="J3079" s="6">
        <f>VLOOKUP(F3079,Analysis!$F$1:$G$5,2,FALSE)</f>
        <v>2509.1716796874912</v>
      </c>
      <c r="K3079">
        <f t="shared" si="192"/>
        <v>3212.86</v>
      </c>
      <c r="L3079">
        <f t="shared" si="193"/>
        <v>3212.8700000000003</v>
      </c>
      <c r="M3079">
        <f t="shared" si="194"/>
        <v>3212.87</v>
      </c>
      <c r="N3079" s="5" t="str">
        <f t="shared" si="195"/>
        <v>March 2023</v>
      </c>
    </row>
    <row r="3080" spans="1:14" x14ac:dyDescent="0.25">
      <c r="A3080" s="1">
        <v>45010</v>
      </c>
      <c r="B3080" t="s">
        <v>235</v>
      </c>
      <c r="C3080">
        <v>18</v>
      </c>
      <c r="D3080" t="s">
        <v>9</v>
      </c>
      <c r="E3080" t="s">
        <v>19</v>
      </c>
      <c r="F3080" t="s">
        <v>29</v>
      </c>
      <c r="G3080" t="s">
        <v>36</v>
      </c>
      <c r="H3080">
        <v>761.25</v>
      </c>
      <c r="I3080" s="8" t="str" cm="1">
        <f t="array" ref="I3080">_xlfn.IFS(C3080&lt;=15,"Children and Young Adolescents", C3080&gt;64, "Seniors", TRUE, "Working Age")</f>
        <v>Working Age</v>
      </c>
      <c r="J3080" s="6">
        <f>VLOOKUP(F3080,Analysis!$F$1:$G$5,2,FALSE)</f>
        <v>2496.7676064256989</v>
      </c>
      <c r="K3080">
        <f t="shared" si="192"/>
        <v>837.37</v>
      </c>
      <c r="L3080">
        <f t="shared" si="193"/>
        <v>837.38</v>
      </c>
      <c r="M3080">
        <f t="shared" si="194"/>
        <v>837.38</v>
      </c>
      <c r="N3080" s="5" t="str">
        <f t="shared" si="195"/>
        <v>March 2023</v>
      </c>
    </row>
    <row r="3081" spans="1:14" x14ac:dyDescent="0.25">
      <c r="A3081" s="1">
        <v>45010</v>
      </c>
      <c r="B3081" t="s">
        <v>2508</v>
      </c>
      <c r="C3081">
        <v>70</v>
      </c>
      <c r="D3081" t="s">
        <v>9</v>
      </c>
      <c r="E3081" t="s">
        <v>10</v>
      </c>
      <c r="F3081" t="s">
        <v>11</v>
      </c>
      <c r="G3081" t="s">
        <v>27</v>
      </c>
      <c r="H3081">
        <v>1206.96</v>
      </c>
      <c r="I3081" s="8" t="str" cm="1">
        <f t="array" ref="I3081">_xlfn.IFS(C3081&lt;=15,"Children and Young Adolescents", C3081&gt;64, "Seniors", TRUE, "Working Age")</f>
        <v>Seniors</v>
      </c>
      <c r="J3081" s="6">
        <f>VLOOKUP(F3081,Analysis!$F$1:$G$5,2,FALSE)</f>
        <v>2503.6022787783854</v>
      </c>
      <c r="K3081">
        <f t="shared" si="192"/>
        <v>1327.65</v>
      </c>
      <c r="L3081">
        <f t="shared" si="193"/>
        <v>1327.66</v>
      </c>
      <c r="M3081">
        <f t="shared" si="194"/>
        <v>1327.66</v>
      </c>
      <c r="N3081" s="5" t="str">
        <f t="shared" si="195"/>
        <v>March 2023</v>
      </c>
    </row>
    <row r="3082" spans="1:14" x14ac:dyDescent="0.25">
      <c r="A3082" s="1">
        <v>45010</v>
      </c>
      <c r="B3082" t="s">
        <v>1286</v>
      </c>
      <c r="C3082">
        <v>11</v>
      </c>
      <c r="D3082" t="s">
        <v>14</v>
      </c>
      <c r="E3082" t="s">
        <v>22</v>
      </c>
      <c r="F3082" t="s">
        <v>29</v>
      </c>
      <c r="G3082" t="s">
        <v>39</v>
      </c>
      <c r="H3082">
        <v>2050.88</v>
      </c>
      <c r="I3082" s="8" t="str" cm="1">
        <f t="array" ref="I3082">_xlfn.IFS(C3082&lt;=15,"Children and Young Adolescents", C3082&gt;64, "Seniors", TRUE, "Working Age")</f>
        <v>Children and Young Adolescents</v>
      </c>
      <c r="J3082" s="6">
        <f>VLOOKUP(F3082,Analysis!$F$1:$G$5,2,FALSE)</f>
        <v>2496.7676064256989</v>
      </c>
      <c r="K3082">
        <f t="shared" si="192"/>
        <v>2255.96</v>
      </c>
      <c r="L3082">
        <f t="shared" si="193"/>
        <v>2255.9700000000003</v>
      </c>
      <c r="M3082">
        <f t="shared" si="194"/>
        <v>2255.9699999999998</v>
      </c>
      <c r="N3082" s="5" t="str">
        <f t="shared" si="195"/>
        <v>March 2023</v>
      </c>
    </row>
    <row r="3083" spans="1:14" x14ac:dyDescent="0.25">
      <c r="A3083" s="1">
        <v>45010</v>
      </c>
      <c r="B3083" t="s">
        <v>3922</v>
      </c>
      <c r="C3083">
        <v>18</v>
      </c>
      <c r="D3083" t="s">
        <v>21</v>
      </c>
      <c r="E3083" t="s">
        <v>10</v>
      </c>
      <c r="F3083" t="s">
        <v>11</v>
      </c>
      <c r="G3083" t="s">
        <v>39</v>
      </c>
      <c r="H3083">
        <v>1624.96</v>
      </c>
      <c r="I3083" s="8" t="str" cm="1">
        <f t="array" ref="I3083">_xlfn.IFS(C3083&lt;=15,"Children and Young Adolescents", C3083&gt;64, "Seniors", TRUE, "Working Age")</f>
        <v>Working Age</v>
      </c>
      <c r="J3083" s="6">
        <f>VLOOKUP(F3083,Analysis!$F$1:$G$5,2,FALSE)</f>
        <v>2503.6022787783854</v>
      </c>
      <c r="K3083">
        <f t="shared" si="192"/>
        <v>1787.45</v>
      </c>
      <c r="L3083">
        <f t="shared" si="193"/>
        <v>1787.46</v>
      </c>
      <c r="M3083">
        <f t="shared" si="194"/>
        <v>1787.46</v>
      </c>
      <c r="N3083" s="5" t="str">
        <f t="shared" si="195"/>
        <v>March 2023</v>
      </c>
    </row>
    <row r="3084" spans="1:14" x14ac:dyDescent="0.25">
      <c r="A3084" s="1">
        <v>45010</v>
      </c>
      <c r="B3084" t="s">
        <v>2094</v>
      </c>
      <c r="C3084">
        <v>69</v>
      </c>
      <c r="D3084" t="s">
        <v>9</v>
      </c>
      <c r="E3084" t="s">
        <v>10</v>
      </c>
      <c r="F3084" t="s">
        <v>23</v>
      </c>
      <c r="G3084" t="s">
        <v>39</v>
      </c>
      <c r="H3084">
        <v>3516.48</v>
      </c>
      <c r="I3084" s="8" t="str" cm="1">
        <f t="array" ref="I3084">_xlfn.IFS(C3084&lt;=15,"Children and Young Adolescents", C3084&gt;64, "Seniors", TRUE, "Working Age")</f>
        <v>Seniors</v>
      </c>
      <c r="J3084" s="6">
        <f>VLOOKUP(F3084,Analysis!$F$1:$G$5,2,FALSE)</f>
        <v>2440.2966694490838</v>
      </c>
      <c r="K3084">
        <f t="shared" si="192"/>
        <v>3868.12</v>
      </c>
      <c r="L3084">
        <f t="shared" si="193"/>
        <v>3868.13</v>
      </c>
      <c r="M3084">
        <f t="shared" si="194"/>
        <v>3868.13</v>
      </c>
      <c r="N3084" s="5" t="str">
        <f t="shared" si="195"/>
        <v>March 2023</v>
      </c>
    </row>
    <row r="3085" spans="1:14" x14ac:dyDescent="0.25">
      <c r="A3085" s="1">
        <v>45010</v>
      </c>
      <c r="B3085" t="s">
        <v>1315</v>
      </c>
      <c r="C3085">
        <v>37</v>
      </c>
      <c r="D3085" t="s">
        <v>9</v>
      </c>
      <c r="E3085" t="s">
        <v>10</v>
      </c>
      <c r="F3085" t="s">
        <v>29</v>
      </c>
      <c r="G3085" t="s">
        <v>27</v>
      </c>
      <c r="H3085">
        <v>2035.82</v>
      </c>
      <c r="I3085" s="8" t="str" cm="1">
        <f t="array" ref="I3085">_xlfn.IFS(C3085&lt;=15,"Children and Young Adolescents", C3085&gt;64, "Seniors", TRUE, "Working Age")</f>
        <v>Working Age</v>
      </c>
      <c r="J3085" s="6">
        <f>VLOOKUP(F3085,Analysis!$F$1:$G$5,2,FALSE)</f>
        <v>2496.7676064256989</v>
      </c>
      <c r="K3085">
        <f t="shared" si="192"/>
        <v>2239.4</v>
      </c>
      <c r="L3085">
        <f t="shared" si="193"/>
        <v>2239.4100000000003</v>
      </c>
      <c r="M3085">
        <f t="shared" si="194"/>
        <v>2239.4</v>
      </c>
      <c r="N3085" s="5" t="str">
        <f t="shared" si="195"/>
        <v>March 2023</v>
      </c>
    </row>
    <row r="3086" spans="1:14" x14ac:dyDescent="0.25">
      <c r="A3086" s="1">
        <v>45010</v>
      </c>
      <c r="B3086" t="s">
        <v>3929</v>
      </c>
      <c r="C3086">
        <v>53</v>
      </c>
      <c r="D3086" t="s">
        <v>21</v>
      </c>
      <c r="E3086" t="s">
        <v>34</v>
      </c>
      <c r="F3086" t="s">
        <v>16</v>
      </c>
      <c r="G3086" t="s">
        <v>27</v>
      </c>
      <c r="H3086">
        <v>4387.96</v>
      </c>
      <c r="I3086" s="8" t="str" cm="1">
        <f t="array" ref="I3086">_xlfn.IFS(C3086&lt;=15,"Children and Young Adolescents", C3086&gt;64, "Seniors", TRUE, "Working Age")</f>
        <v>Working Age</v>
      </c>
      <c r="J3086" s="6">
        <f>VLOOKUP(F3086,Analysis!$F$1:$G$5,2,FALSE)</f>
        <v>2509.1716796874912</v>
      </c>
      <c r="K3086">
        <f t="shared" si="192"/>
        <v>4826.75</v>
      </c>
      <c r="L3086">
        <f t="shared" si="193"/>
        <v>4826.76</v>
      </c>
      <c r="M3086">
        <f t="shared" si="194"/>
        <v>4826.76</v>
      </c>
      <c r="N3086" s="5" t="str">
        <f t="shared" si="195"/>
        <v>March 2023</v>
      </c>
    </row>
    <row r="3087" spans="1:14" x14ac:dyDescent="0.25">
      <c r="A3087" s="1">
        <v>45010</v>
      </c>
      <c r="B3087" t="s">
        <v>2695</v>
      </c>
      <c r="C3087">
        <v>12</v>
      </c>
      <c r="D3087" t="s">
        <v>9</v>
      </c>
      <c r="E3087" t="s">
        <v>19</v>
      </c>
      <c r="F3087" t="s">
        <v>16</v>
      </c>
      <c r="G3087" t="s">
        <v>17</v>
      </c>
      <c r="H3087">
        <v>2255.4499999999998</v>
      </c>
      <c r="I3087" s="8" t="str" cm="1">
        <f t="array" ref="I3087">_xlfn.IFS(C3087&lt;=15,"Children and Young Adolescents", C3087&gt;64, "Seniors", TRUE, "Working Age")</f>
        <v>Children and Young Adolescents</v>
      </c>
      <c r="J3087" s="6">
        <f>VLOOKUP(F3087,Analysis!$F$1:$G$5,2,FALSE)</f>
        <v>2509.1716796874912</v>
      </c>
      <c r="K3087">
        <f t="shared" si="192"/>
        <v>2480.9899999999998</v>
      </c>
      <c r="L3087">
        <f t="shared" si="193"/>
        <v>2481</v>
      </c>
      <c r="M3087">
        <f t="shared" si="194"/>
        <v>2481</v>
      </c>
      <c r="N3087" s="5" t="str">
        <f t="shared" si="195"/>
        <v>March 2023</v>
      </c>
    </row>
    <row r="3088" spans="1:14" x14ac:dyDescent="0.25">
      <c r="A3088" s="1">
        <v>45011</v>
      </c>
      <c r="B3088" t="s">
        <v>1733</v>
      </c>
      <c r="C3088">
        <v>7</v>
      </c>
      <c r="D3088" t="s">
        <v>14</v>
      </c>
      <c r="E3088" t="s">
        <v>19</v>
      </c>
      <c r="F3088" t="s">
        <v>11</v>
      </c>
      <c r="G3088" t="s">
        <v>39</v>
      </c>
      <c r="H3088">
        <v>410.92</v>
      </c>
      <c r="I3088" s="8" t="str" cm="1">
        <f t="array" ref="I3088">_xlfn.IFS(C3088&lt;=15,"Children and Young Adolescents", C3088&gt;64, "Seniors", TRUE, "Working Age")</f>
        <v>Children and Young Adolescents</v>
      </c>
      <c r="J3088" s="6">
        <f>VLOOKUP(F3088,Analysis!$F$1:$G$5,2,FALSE)</f>
        <v>2503.6022787783854</v>
      </c>
      <c r="K3088">
        <f t="shared" si="192"/>
        <v>452.01</v>
      </c>
      <c r="L3088">
        <f t="shared" si="193"/>
        <v>452.02</v>
      </c>
      <c r="M3088">
        <f t="shared" si="194"/>
        <v>452.01</v>
      </c>
      <c r="N3088" s="5" t="str">
        <f t="shared" si="195"/>
        <v>March 2023</v>
      </c>
    </row>
    <row r="3089" spans="1:14" x14ac:dyDescent="0.25">
      <c r="A3089" s="1">
        <v>45011</v>
      </c>
      <c r="B3089" t="s">
        <v>1770</v>
      </c>
      <c r="C3089">
        <v>52</v>
      </c>
      <c r="D3089" t="s">
        <v>21</v>
      </c>
      <c r="E3089" t="s">
        <v>32</v>
      </c>
      <c r="F3089" t="s">
        <v>23</v>
      </c>
      <c r="G3089" t="s">
        <v>12</v>
      </c>
      <c r="H3089">
        <v>4629.12</v>
      </c>
      <c r="I3089" s="8" t="str" cm="1">
        <f t="array" ref="I3089">_xlfn.IFS(C3089&lt;=15,"Children and Young Adolescents", C3089&gt;64, "Seniors", TRUE, "Working Age")</f>
        <v>Working Age</v>
      </c>
      <c r="J3089" s="6">
        <f>VLOOKUP(F3089,Analysis!$F$1:$G$5,2,FALSE)</f>
        <v>2440.2966694490838</v>
      </c>
      <c r="K3089">
        <f t="shared" si="192"/>
        <v>5092.03</v>
      </c>
      <c r="L3089">
        <f t="shared" si="193"/>
        <v>5092.04</v>
      </c>
      <c r="M3089">
        <f t="shared" si="194"/>
        <v>5092.03</v>
      </c>
      <c r="N3089" s="5" t="str">
        <f t="shared" si="195"/>
        <v>March 2023</v>
      </c>
    </row>
    <row r="3090" spans="1:14" x14ac:dyDescent="0.25">
      <c r="A3090" s="1">
        <v>45011</v>
      </c>
      <c r="B3090" t="s">
        <v>794</v>
      </c>
      <c r="C3090">
        <v>77</v>
      </c>
      <c r="D3090" t="s">
        <v>14</v>
      </c>
      <c r="E3090" t="s">
        <v>34</v>
      </c>
      <c r="F3090" t="s">
        <v>23</v>
      </c>
      <c r="G3090" t="s">
        <v>12</v>
      </c>
      <c r="H3090">
        <v>2641.41</v>
      </c>
      <c r="I3090" s="8" t="str" cm="1">
        <f t="array" ref="I3090">_xlfn.IFS(C3090&lt;=15,"Children and Young Adolescents", C3090&gt;64, "Seniors", TRUE, "Working Age")</f>
        <v>Seniors</v>
      </c>
      <c r="J3090" s="6">
        <f>VLOOKUP(F3090,Analysis!$F$1:$G$5,2,FALSE)</f>
        <v>2440.2966694490838</v>
      </c>
      <c r="K3090">
        <f t="shared" si="192"/>
        <v>2905.55</v>
      </c>
      <c r="L3090">
        <f t="shared" si="193"/>
        <v>2905.5600000000004</v>
      </c>
      <c r="M3090">
        <f t="shared" si="194"/>
        <v>2905.55</v>
      </c>
      <c r="N3090" s="5" t="str">
        <f t="shared" si="195"/>
        <v>March 2023</v>
      </c>
    </row>
    <row r="3091" spans="1:14" x14ac:dyDescent="0.25">
      <c r="A3091" s="1">
        <v>45011</v>
      </c>
      <c r="B3091" t="s">
        <v>762</v>
      </c>
      <c r="C3091">
        <v>4</v>
      </c>
      <c r="D3091" t="s">
        <v>21</v>
      </c>
      <c r="E3091" t="s">
        <v>10</v>
      </c>
      <c r="F3091" t="s">
        <v>11</v>
      </c>
      <c r="G3091" t="s">
        <v>36</v>
      </c>
      <c r="H3091">
        <v>2291.29</v>
      </c>
      <c r="I3091" s="8" t="str" cm="1">
        <f t="array" ref="I3091">_xlfn.IFS(C3091&lt;=15,"Children and Young Adolescents", C3091&gt;64, "Seniors", TRUE, "Working Age")</f>
        <v>Children and Young Adolescents</v>
      </c>
      <c r="J3091" s="6">
        <f>VLOOKUP(F3091,Analysis!$F$1:$G$5,2,FALSE)</f>
        <v>2503.6022787783854</v>
      </c>
      <c r="K3091">
        <f t="shared" si="192"/>
        <v>2520.41</v>
      </c>
      <c r="L3091">
        <f t="shared" si="193"/>
        <v>2520.42</v>
      </c>
      <c r="M3091">
        <f t="shared" si="194"/>
        <v>2520.42</v>
      </c>
      <c r="N3091" s="5" t="str">
        <f t="shared" si="195"/>
        <v>March 2023</v>
      </c>
    </row>
    <row r="3092" spans="1:14" x14ac:dyDescent="0.25">
      <c r="A3092" s="1">
        <v>45011</v>
      </c>
      <c r="B3092" t="s">
        <v>4045</v>
      </c>
      <c r="C3092">
        <v>29</v>
      </c>
      <c r="D3092" t="s">
        <v>14</v>
      </c>
      <c r="E3092" t="s">
        <v>5032</v>
      </c>
      <c r="F3092" t="s">
        <v>23</v>
      </c>
      <c r="G3092" t="s">
        <v>12</v>
      </c>
      <c r="H3092">
        <v>4885.29</v>
      </c>
      <c r="I3092" s="8" t="str" cm="1">
        <f t="array" ref="I3092">_xlfn.IFS(C3092&lt;=15,"Children and Young Adolescents", C3092&gt;64, "Seniors", TRUE, "Working Age")</f>
        <v>Working Age</v>
      </c>
      <c r="J3092" s="6">
        <f>VLOOKUP(F3092,Analysis!$F$1:$G$5,2,FALSE)</f>
        <v>2440.2966694490838</v>
      </c>
      <c r="K3092">
        <f t="shared" si="192"/>
        <v>5373.81</v>
      </c>
      <c r="L3092">
        <f t="shared" si="193"/>
        <v>5373.8200000000006</v>
      </c>
      <c r="M3092">
        <f t="shared" si="194"/>
        <v>5373.82</v>
      </c>
      <c r="N3092" s="5" t="str">
        <f t="shared" si="195"/>
        <v>March 2023</v>
      </c>
    </row>
    <row r="3093" spans="1:14" x14ac:dyDescent="0.25">
      <c r="A3093" s="1">
        <v>45011</v>
      </c>
      <c r="B3093" t="s">
        <v>2885</v>
      </c>
      <c r="C3093">
        <v>13</v>
      </c>
      <c r="D3093" t="s">
        <v>21</v>
      </c>
      <c r="E3093" t="s">
        <v>19</v>
      </c>
      <c r="F3093" t="s">
        <v>23</v>
      </c>
      <c r="G3093" t="s">
        <v>27</v>
      </c>
      <c r="H3093">
        <v>4024.12</v>
      </c>
      <c r="I3093" s="8" t="str" cm="1">
        <f t="array" ref="I3093">_xlfn.IFS(C3093&lt;=15,"Children and Young Adolescents", C3093&gt;64, "Seniors", TRUE, "Working Age")</f>
        <v>Children and Young Adolescents</v>
      </c>
      <c r="J3093" s="6">
        <f>VLOOKUP(F3093,Analysis!$F$1:$G$5,2,FALSE)</f>
        <v>2440.2966694490838</v>
      </c>
      <c r="K3093">
        <f t="shared" si="192"/>
        <v>4426.53</v>
      </c>
      <c r="L3093">
        <f t="shared" si="193"/>
        <v>4426.54</v>
      </c>
      <c r="M3093">
        <f t="shared" si="194"/>
        <v>4426.53</v>
      </c>
      <c r="N3093" s="5" t="str">
        <f t="shared" si="195"/>
        <v>March 2023</v>
      </c>
    </row>
    <row r="3094" spans="1:14" x14ac:dyDescent="0.25">
      <c r="A3094" s="1">
        <v>45011</v>
      </c>
      <c r="B3094" t="s">
        <v>836</v>
      </c>
      <c r="C3094">
        <v>26</v>
      </c>
      <c r="D3094" t="s">
        <v>21</v>
      </c>
      <c r="E3094" t="s">
        <v>19</v>
      </c>
      <c r="F3094" t="s">
        <v>29</v>
      </c>
      <c r="G3094" t="s">
        <v>17</v>
      </c>
      <c r="H3094">
        <v>4054.74</v>
      </c>
      <c r="I3094" s="8" t="str" cm="1">
        <f t="array" ref="I3094">_xlfn.IFS(C3094&lt;=15,"Children and Young Adolescents", C3094&gt;64, "Seniors", TRUE, "Working Age")</f>
        <v>Working Age</v>
      </c>
      <c r="J3094" s="6">
        <f>VLOOKUP(F3094,Analysis!$F$1:$G$5,2,FALSE)</f>
        <v>2496.7676064256989</v>
      </c>
      <c r="K3094">
        <f t="shared" si="192"/>
        <v>4460.21</v>
      </c>
      <c r="L3094">
        <f t="shared" si="193"/>
        <v>4460.22</v>
      </c>
      <c r="M3094">
        <f t="shared" si="194"/>
        <v>4460.21</v>
      </c>
      <c r="N3094" s="5" t="str">
        <f t="shared" si="195"/>
        <v>March 2023</v>
      </c>
    </row>
    <row r="3095" spans="1:14" x14ac:dyDescent="0.25">
      <c r="A3095" s="1">
        <v>45011</v>
      </c>
      <c r="B3095" t="s">
        <v>2972</v>
      </c>
      <c r="C3095">
        <v>62</v>
      </c>
      <c r="D3095" t="s">
        <v>9</v>
      </c>
      <c r="E3095" t="s">
        <v>19</v>
      </c>
      <c r="F3095" t="s">
        <v>16</v>
      </c>
      <c r="G3095" t="s">
        <v>36</v>
      </c>
      <c r="H3095">
        <v>3703.87</v>
      </c>
      <c r="I3095" s="8" t="str" cm="1">
        <f t="array" ref="I3095">_xlfn.IFS(C3095&lt;=15,"Children and Young Adolescents", C3095&gt;64, "Seniors", TRUE, "Working Age")</f>
        <v>Working Age</v>
      </c>
      <c r="J3095" s="6">
        <f>VLOOKUP(F3095,Analysis!$F$1:$G$5,2,FALSE)</f>
        <v>2509.1716796874912</v>
      </c>
      <c r="K3095">
        <f t="shared" si="192"/>
        <v>4074.25</v>
      </c>
      <c r="L3095">
        <f t="shared" si="193"/>
        <v>4074.26</v>
      </c>
      <c r="M3095">
        <f t="shared" si="194"/>
        <v>4074.26</v>
      </c>
      <c r="N3095" s="5" t="str">
        <f t="shared" si="195"/>
        <v>March 2023</v>
      </c>
    </row>
    <row r="3096" spans="1:14" x14ac:dyDescent="0.25">
      <c r="A3096" s="1">
        <v>45011</v>
      </c>
      <c r="B3096" t="s">
        <v>1015</v>
      </c>
      <c r="C3096">
        <v>84</v>
      </c>
      <c r="D3096" t="s">
        <v>14</v>
      </c>
      <c r="E3096" t="s">
        <v>10</v>
      </c>
      <c r="F3096" t="s">
        <v>23</v>
      </c>
      <c r="G3096" t="s">
        <v>12</v>
      </c>
      <c r="H3096">
        <v>960.3</v>
      </c>
      <c r="I3096" s="8" t="str" cm="1">
        <f t="array" ref="I3096">_xlfn.IFS(C3096&lt;=15,"Children and Young Adolescents", C3096&gt;64, "Seniors", TRUE, "Working Age")</f>
        <v>Seniors</v>
      </c>
      <c r="J3096" s="6">
        <f>VLOOKUP(F3096,Analysis!$F$1:$G$5,2,FALSE)</f>
        <v>2440.2966694490838</v>
      </c>
      <c r="K3096">
        <f t="shared" si="192"/>
        <v>1056.33</v>
      </c>
      <c r="L3096">
        <f t="shared" si="193"/>
        <v>1056.33</v>
      </c>
      <c r="M3096">
        <f t="shared" si="194"/>
        <v>1056.33</v>
      </c>
      <c r="N3096" s="5" t="str">
        <f t="shared" si="195"/>
        <v>March 2023</v>
      </c>
    </row>
    <row r="3097" spans="1:14" x14ac:dyDescent="0.25">
      <c r="A3097" s="1">
        <v>45011</v>
      </c>
      <c r="B3097" t="s">
        <v>4191</v>
      </c>
      <c r="C3097">
        <v>55</v>
      </c>
      <c r="D3097" t="s">
        <v>9</v>
      </c>
      <c r="E3097" t="s">
        <v>15</v>
      </c>
      <c r="F3097" t="s">
        <v>16</v>
      </c>
      <c r="G3097" t="s">
        <v>17</v>
      </c>
      <c r="H3097">
        <v>531.54</v>
      </c>
      <c r="I3097" s="8" t="str" cm="1">
        <f t="array" ref="I3097">_xlfn.IFS(C3097&lt;=15,"Children and Young Adolescents", C3097&gt;64, "Seniors", TRUE, "Working Age")</f>
        <v>Working Age</v>
      </c>
      <c r="J3097" s="6">
        <f>VLOOKUP(F3097,Analysis!$F$1:$G$5,2,FALSE)</f>
        <v>2509.1716796874912</v>
      </c>
      <c r="K3097">
        <f t="shared" si="192"/>
        <v>584.69000000000005</v>
      </c>
      <c r="L3097">
        <f t="shared" si="193"/>
        <v>584.70000000000005</v>
      </c>
      <c r="M3097">
        <f t="shared" si="194"/>
        <v>584.69000000000005</v>
      </c>
      <c r="N3097" s="5" t="str">
        <f t="shared" si="195"/>
        <v>March 2023</v>
      </c>
    </row>
    <row r="3098" spans="1:14" x14ac:dyDescent="0.25">
      <c r="A3098" s="1">
        <v>45011</v>
      </c>
      <c r="B3098" t="s">
        <v>3256</v>
      </c>
      <c r="C3098">
        <v>92</v>
      </c>
      <c r="D3098" t="s">
        <v>21</v>
      </c>
      <c r="E3098" t="s">
        <v>25</v>
      </c>
      <c r="F3098" t="s">
        <v>16</v>
      </c>
      <c r="G3098" t="s">
        <v>17</v>
      </c>
      <c r="H3098">
        <v>3716.01</v>
      </c>
      <c r="I3098" s="8" t="str" cm="1">
        <f t="array" ref="I3098">_xlfn.IFS(C3098&lt;=15,"Children and Young Adolescents", C3098&gt;64, "Seniors", TRUE, "Working Age")</f>
        <v>Seniors</v>
      </c>
      <c r="J3098" s="6">
        <f>VLOOKUP(F3098,Analysis!$F$1:$G$5,2,FALSE)</f>
        <v>2509.1716796874912</v>
      </c>
      <c r="K3098">
        <f t="shared" si="192"/>
        <v>4087.61</v>
      </c>
      <c r="L3098">
        <f t="shared" si="193"/>
        <v>4087.6200000000003</v>
      </c>
      <c r="M3098">
        <f t="shared" si="194"/>
        <v>4087.61</v>
      </c>
      <c r="N3098" s="5" t="str">
        <f t="shared" si="195"/>
        <v>March 2023</v>
      </c>
    </row>
    <row r="3099" spans="1:14" x14ac:dyDescent="0.25">
      <c r="A3099" s="1">
        <v>45011</v>
      </c>
      <c r="B3099" t="s">
        <v>3651</v>
      </c>
      <c r="C3099">
        <v>22</v>
      </c>
      <c r="D3099" t="s">
        <v>14</v>
      </c>
      <c r="E3099" t="s">
        <v>5032</v>
      </c>
      <c r="F3099" t="s">
        <v>11</v>
      </c>
      <c r="G3099" t="s">
        <v>39</v>
      </c>
      <c r="H3099">
        <v>432.84</v>
      </c>
      <c r="I3099" s="8" t="str" cm="1">
        <f t="array" ref="I3099">_xlfn.IFS(C3099&lt;=15,"Children and Young Adolescents", C3099&gt;64, "Seniors", TRUE, "Working Age")</f>
        <v>Working Age</v>
      </c>
      <c r="J3099" s="6">
        <f>VLOOKUP(F3099,Analysis!$F$1:$G$5,2,FALSE)</f>
        <v>2503.6022787783854</v>
      </c>
      <c r="K3099">
        <f t="shared" si="192"/>
        <v>476.12</v>
      </c>
      <c r="L3099">
        <f t="shared" si="193"/>
        <v>476.13</v>
      </c>
      <c r="M3099">
        <f t="shared" si="194"/>
        <v>476.12</v>
      </c>
      <c r="N3099" s="5" t="str">
        <f t="shared" si="195"/>
        <v>March 2023</v>
      </c>
    </row>
    <row r="3100" spans="1:14" x14ac:dyDescent="0.25">
      <c r="A3100" s="1">
        <v>45011</v>
      </c>
      <c r="B3100" t="s">
        <v>3949</v>
      </c>
      <c r="C3100">
        <v>49</v>
      </c>
      <c r="D3100" t="s">
        <v>14</v>
      </c>
      <c r="E3100" t="s">
        <v>22</v>
      </c>
      <c r="F3100" t="s">
        <v>29</v>
      </c>
      <c r="G3100" t="s">
        <v>36</v>
      </c>
      <c r="H3100">
        <v>1598.37</v>
      </c>
      <c r="I3100" s="8" t="str" cm="1">
        <f t="array" ref="I3100">_xlfn.IFS(C3100&lt;=15,"Children and Young Adolescents", C3100&gt;64, "Seniors", TRUE, "Working Age")</f>
        <v>Working Age</v>
      </c>
      <c r="J3100" s="6">
        <f>VLOOKUP(F3100,Analysis!$F$1:$G$5,2,FALSE)</f>
        <v>2496.7676064256989</v>
      </c>
      <c r="K3100">
        <f t="shared" si="192"/>
        <v>1758.2</v>
      </c>
      <c r="L3100">
        <f t="shared" si="193"/>
        <v>1758.21</v>
      </c>
      <c r="M3100">
        <f t="shared" si="194"/>
        <v>1758.21</v>
      </c>
      <c r="N3100" s="5" t="str">
        <f t="shared" si="195"/>
        <v>March 2023</v>
      </c>
    </row>
    <row r="3101" spans="1:14" x14ac:dyDescent="0.25">
      <c r="A3101" s="1">
        <v>45012</v>
      </c>
      <c r="B3101" t="s">
        <v>3979</v>
      </c>
      <c r="C3101">
        <v>55</v>
      </c>
      <c r="D3101" t="s">
        <v>14</v>
      </c>
      <c r="E3101" t="s">
        <v>32</v>
      </c>
      <c r="F3101" t="s">
        <v>23</v>
      </c>
      <c r="G3101" t="s">
        <v>17</v>
      </c>
      <c r="H3101">
        <v>4459.95</v>
      </c>
      <c r="I3101" s="8" t="str" cm="1">
        <f t="array" ref="I3101">_xlfn.IFS(C3101&lt;=15,"Children and Young Adolescents", C3101&gt;64, "Seniors", TRUE, "Working Age")</f>
        <v>Working Age</v>
      </c>
      <c r="J3101" s="6">
        <f>VLOOKUP(F3101,Analysis!$F$1:$G$5,2,FALSE)</f>
        <v>2440.2966694490838</v>
      </c>
      <c r="K3101">
        <f t="shared" si="192"/>
        <v>4905.9399999999996</v>
      </c>
      <c r="L3101">
        <f t="shared" si="193"/>
        <v>4905.95</v>
      </c>
      <c r="M3101">
        <f t="shared" si="194"/>
        <v>4905.95</v>
      </c>
      <c r="N3101" s="5" t="str">
        <f t="shared" si="195"/>
        <v>March 2023</v>
      </c>
    </row>
    <row r="3102" spans="1:14" x14ac:dyDescent="0.25">
      <c r="A3102" s="1">
        <v>45012</v>
      </c>
      <c r="B3102" t="s">
        <v>350</v>
      </c>
      <c r="C3102">
        <v>80</v>
      </c>
      <c r="D3102" t="s">
        <v>14</v>
      </c>
      <c r="E3102" t="s">
        <v>25</v>
      </c>
      <c r="F3102" t="s">
        <v>29</v>
      </c>
      <c r="G3102" t="s">
        <v>12</v>
      </c>
      <c r="H3102">
        <v>49.35</v>
      </c>
      <c r="I3102" s="8" t="str" cm="1">
        <f t="array" ref="I3102">_xlfn.IFS(C3102&lt;=15,"Children and Young Adolescents", C3102&gt;64, "Seniors", TRUE, "Working Age")</f>
        <v>Seniors</v>
      </c>
      <c r="J3102" s="6">
        <f>VLOOKUP(F3102,Analysis!$F$1:$G$5,2,FALSE)</f>
        <v>2496.7676064256989</v>
      </c>
      <c r="K3102">
        <f t="shared" si="192"/>
        <v>54.28</v>
      </c>
      <c r="L3102">
        <f t="shared" si="193"/>
        <v>54.29</v>
      </c>
      <c r="M3102">
        <f t="shared" si="194"/>
        <v>54.29</v>
      </c>
      <c r="N3102" s="5" t="str">
        <f t="shared" si="195"/>
        <v>March 2023</v>
      </c>
    </row>
    <row r="3103" spans="1:14" x14ac:dyDescent="0.25">
      <c r="A3103" s="1">
        <v>45012</v>
      </c>
      <c r="B3103" t="s">
        <v>2660</v>
      </c>
      <c r="C3103">
        <v>80</v>
      </c>
      <c r="D3103" t="s">
        <v>21</v>
      </c>
      <c r="E3103" t="s">
        <v>32</v>
      </c>
      <c r="F3103" t="s">
        <v>29</v>
      </c>
      <c r="G3103" t="s">
        <v>39</v>
      </c>
      <c r="H3103">
        <v>2260.9</v>
      </c>
      <c r="I3103" s="8" t="str" cm="1">
        <f t="array" ref="I3103">_xlfn.IFS(C3103&lt;=15,"Children and Young Adolescents", C3103&gt;64, "Seniors", TRUE, "Working Age")</f>
        <v>Seniors</v>
      </c>
      <c r="J3103" s="6">
        <f>VLOOKUP(F3103,Analysis!$F$1:$G$5,2,FALSE)</f>
        <v>2496.7676064256989</v>
      </c>
      <c r="K3103">
        <f t="shared" si="192"/>
        <v>2486.9899999999998</v>
      </c>
      <c r="L3103">
        <f t="shared" si="193"/>
        <v>2486.9899999999998</v>
      </c>
      <c r="M3103">
        <f t="shared" si="194"/>
        <v>2486.9899999999998</v>
      </c>
      <c r="N3103" s="5" t="str">
        <f t="shared" si="195"/>
        <v>March 2023</v>
      </c>
    </row>
    <row r="3104" spans="1:14" x14ac:dyDescent="0.25">
      <c r="A3104" s="1">
        <v>45012</v>
      </c>
      <c r="B3104" t="s">
        <v>3079</v>
      </c>
      <c r="C3104">
        <v>35</v>
      </c>
      <c r="D3104" t="s">
        <v>21</v>
      </c>
      <c r="E3104" t="s">
        <v>5032</v>
      </c>
      <c r="F3104" t="s">
        <v>11</v>
      </c>
      <c r="G3104" t="s">
        <v>36</v>
      </c>
      <c r="H3104">
        <v>2430.44</v>
      </c>
      <c r="I3104" s="8" t="str" cm="1">
        <f t="array" ref="I3104">_xlfn.IFS(C3104&lt;=15,"Children and Young Adolescents", C3104&gt;64, "Seniors", TRUE, "Working Age")</f>
        <v>Working Age</v>
      </c>
      <c r="J3104" s="6">
        <f>VLOOKUP(F3104,Analysis!$F$1:$G$5,2,FALSE)</f>
        <v>2503.6022787783854</v>
      </c>
      <c r="K3104">
        <f t="shared" si="192"/>
        <v>2673.48</v>
      </c>
      <c r="L3104">
        <f t="shared" si="193"/>
        <v>2673.4900000000002</v>
      </c>
      <c r="M3104">
        <f t="shared" si="194"/>
        <v>2673.48</v>
      </c>
      <c r="N3104" s="5" t="str">
        <f t="shared" si="195"/>
        <v>March 2023</v>
      </c>
    </row>
    <row r="3105" spans="1:14" x14ac:dyDescent="0.25">
      <c r="A3105" s="1">
        <v>45012</v>
      </c>
      <c r="B3105" t="s">
        <v>3772</v>
      </c>
      <c r="C3105">
        <v>92</v>
      </c>
      <c r="D3105" t="s">
        <v>9</v>
      </c>
      <c r="E3105" t="s">
        <v>25</v>
      </c>
      <c r="F3105" t="s">
        <v>29</v>
      </c>
      <c r="G3105" t="s">
        <v>39</v>
      </c>
      <c r="H3105">
        <v>3850.74</v>
      </c>
      <c r="I3105" s="8" t="str" cm="1">
        <f t="array" ref="I3105">_xlfn.IFS(C3105&lt;=15,"Children and Young Adolescents", C3105&gt;64, "Seniors", TRUE, "Working Age")</f>
        <v>Seniors</v>
      </c>
      <c r="J3105" s="6">
        <f>VLOOKUP(F3105,Analysis!$F$1:$G$5,2,FALSE)</f>
        <v>2496.7676064256989</v>
      </c>
      <c r="K3105">
        <f t="shared" si="192"/>
        <v>4235.8100000000004</v>
      </c>
      <c r="L3105">
        <f t="shared" si="193"/>
        <v>4235.8200000000006</v>
      </c>
      <c r="M3105">
        <f t="shared" si="194"/>
        <v>4235.8100000000004</v>
      </c>
      <c r="N3105" s="5" t="str">
        <f t="shared" si="195"/>
        <v>March 2023</v>
      </c>
    </row>
    <row r="3106" spans="1:14" x14ac:dyDescent="0.25">
      <c r="A3106" s="1">
        <v>45013</v>
      </c>
      <c r="B3106" t="s">
        <v>2370</v>
      </c>
      <c r="C3106">
        <v>10</v>
      </c>
      <c r="D3106" t="s">
        <v>9</v>
      </c>
      <c r="E3106" t="s">
        <v>22</v>
      </c>
      <c r="F3106" t="s">
        <v>23</v>
      </c>
      <c r="G3106" t="s">
        <v>36</v>
      </c>
      <c r="H3106">
        <v>1644.39</v>
      </c>
      <c r="I3106" s="8" t="str" cm="1">
        <f t="array" ref="I3106">_xlfn.IFS(C3106&lt;=15,"Children and Young Adolescents", C3106&gt;64, "Seniors", TRUE, "Working Age")</f>
        <v>Children and Young Adolescents</v>
      </c>
      <c r="J3106" s="6">
        <f>VLOOKUP(F3106,Analysis!$F$1:$G$5,2,FALSE)</f>
        <v>2440.2966694490838</v>
      </c>
      <c r="K3106">
        <f t="shared" si="192"/>
        <v>1808.82</v>
      </c>
      <c r="L3106">
        <f t="shared" si="193"/>
        <v>1808.83</v>
      </c>
      <c r="M3106">
        <f t="shared" si="194"/>
        <v>1808.83</v>
      </c>
      <c r="N3106" s="5" t="str">
        <f t="shared" si="195"/>
        <v>March 2023</v>
      </c>
    </row>
    <row r="3107" spans="1:14" x14ac:dyDescent="0.25">
      <c r="A3107" s="1">
        <v>45013</v>
      </c>
      <c r="B3107" t="s">
        <v>3945</v>
      </c>
      <c r="C3107">
        <v>60</v>
      </c>
      <c r="D3107" t="s">
        <v>21</v>
      </c>
      <c r="E3107" t="s">
        <v>25</v>
      </c>
      <c r="F3107" t="s">
        <v>16</v>
      </c>
      <c r="G3107" t="s">
        <v>39</v>
      </c>
      <c r="H3107">
        <v>1614.42</v>
      </c>
      <c r="I3107" s="8" t="str" cm="1">
        <f t="array" ref="I3107">_xlfn.IFS(C3107&lt;=15,"Children and Young Adolescents", C3107&gt;64, "Seniors", TRUE, "Working Age")</f>
        <v>Working Age</v>
      </c>
      <c r="J3107" s="6">
        <f>VLOOKUP(F3107,Analysis!$F$1:$G$5,2,FALSE)</f>
        <v>2509.1716796874912</v>
      </c>
      <c r="K3107">
        <f t="shared" si="192"/>
        <v>1775.86</v>
      </c>
      <c r="L3107">
        <f t="shared" si="193"/>
        <v>1775.87</v>
      </c>
      <c r="M3107">
        <f t="shared" si="194"/>
        <v>1775.86</v>
      </c>
      <c r="N3107" s="5" t="str">
        <f t="shared" si="195"/>
        <v>March 2023</v>
      </c>
    </row>
    <row r="3108" spans="1:14" x14ac:dyDescent="0.25">
      <c r="A3108" s="1">
        <v>45013</v>
      </c>
      <c r="B3108" t="s">
        <v>2945</v>
      </c>
      <c r="C3108">
        <v>67</v>
      </c>
      <c r="D3108" t="s">
        <v>14</v>
      </c>
      <c r="E3108" t="s">
        <v>34</v>
      </c>
      <c r="F3108" t="s">
        <v>23</v>
      </c>
      <c r="G3108" t="s">
        <v>12</v>
      </c>
      <c r="H3108">
        <v>3908.43</v>
      </c>
      <c r="I3108" s="8" t="str" cm="1">
        <f t="array" ref="I3108">_xlfn.IFS(C3108&lt;=15,"Children and Young Adolescents", C3108&gt;64, "Seniors", TRUE, "Working Age")</f>
        <v>Seniors</v>
      </c>
      <c r="J3108" s="6">
        <f>VLOOKUP(F3108,Analysis!$F$1:$G$5,2,FALSE)</f>
        <v>2440.2966694490838</v>
      </c>
      <c r="K3108">
        <f t="shared" si="192"/>
        <v>4299.2700000000004</v>
      </c>
      <c r="L3108">
        <f t="shared" si="193"/>
        <v>4299.2800000000007</v>
      </c>
      <c r="M3108">
        <f t="shared" si="194"/>
        <v>4299.2700000000004</v>
      </c>
      <c r="N3108" s="5" t="str">
        <f t="shared" si="195"/>
        <v>March 2023</v>
      </c>
    </row>
    <row r="3109" spans="1:14" x14ac:dyDescent="0.25">
      <c r="A3109" s="1">
        <v>45013</v>
      </c>
      <c r="B3109" t="s">
        <v>3224</v>
      </c>
      <c r="C3109">
        <v>32</v>
      </c>
      <c r="D3109" t="s">
        <v>14</v>
      </c>
      <c r="E3109" t="s">
        <v>10</v>
      </c>
      <c r="F3109" t="s">
        <v>23</v>
      </c>
      <c r="G3109" t="s">
        <v>36</v>
      </c>
      <c r="H3109">
        <v>3856.04</v>
      </c>
      <c r="I3109" s="8" t="str" cm="1">
        <f t="array" ref="I3109">_xlfn.IFS(C3109&lt;=15,"Children and Young Adolescents", C3109&gt;64, "Seniors", TRUE, "Working Age")</f>
        <v>Working Age</v>
      </c>
      <c r="J3109" s="6">
        <f>VLOOKUP(F3109,Analysis!$F$1:$G$5,2,FALSE)</f>
        <v>2440.2966694490838</v>
      </c>
      <c r="K3109">
        <f t="shared" si="192"/>
        <v>4241.6400000000003</v>
      </c>
      <c r="L3109">
        <f t="shared" si="193"/>
        <v>4241.6500000000005</v>
      </c>
      <c r="M3109">
        <f t="shared" si="194"/>
        <v>4241.6400000000003</v>
      </c>
      <c r="N3109" s="5" t="str">
        <f t="shared" si="195"/>
        <v>March 2023</v>
      </c>
    </row>
    <row r="3110" spans="1:14" x14ac:dyDescent="0.25">
      <c r="A3110" s="1">
        <v>45013</v>
      </c>
      <c r="B3110" t="s">
        <v>4954</v>
      </c>
      <c r="C3110">
        <v>10</v>
      </c>
      <c r="D3110" t="s">
        <v>9</v>
      </c>
      <c r="E3110" t="s">
        <v>32</v>
      </c>
      <c r="F3110" t="s">
        <v>29</v>
      </c>
      <c r="G3110" t="s">
        <v>17</v>
      </c>
      <c r="H3110">
        <v>1043.6600000000001</v>
      </c>
      <c r="I3110" s="8" t="str" cm="1">
        <f t="array" ref="I3110">_xlfn.IFS(C3110&lt;=15,"Children and Young Adolescents", C3110&gt;64, "Seniors", TRUE, "Working Age")</f>
        <v>Children and Young Adolescents</v>
      </c>
      <c r="J3110" s="6">
        <f>VLOOKUP(F3110,Analysis!$F$1:$G$5,2,FALSE)</f>
        <v>2496.7676064256989</v>
      </c>
      <c r="K3110">
        <f t="shared" si="192"/>
        <v>1148.02</v>
      </c>
      <c r="L3110">
        <f t="shared" si="193"/>
        <v>1148.03</v>
      </c>
      <c r="M3110">
        <f t="shared" si="194"/>
        <v>1148.03</v>
      </c>
      <c r="N3110" s="5" t="str">
        <f t="shared" si="195"/>
        <v>March 2023</v>
      </c>
    </row>
    <row r="3111" spans="1:14" x14ac:dyDescent="0.25">
      <c r="A3111" s="1">
        <v>45013</v>
      </c>
      <c r="B3111" t="s">
        <v>4658</v>
      </c>
      <c r="C3111">
        <v>69</v>
      </c>
      <c r="D3111" t="s">
        <v>9</v>
      </c>
      <c r="E3111" t="s">
        <v>34</v>
      </c>
      <c r="F3111" t="s">
        <v>23</v>
      </c>
      <c r="G3111" t="s">
        <v>27</v>
      </c>
      <c r="H3111">
        <v>4108.12</v>
      </c>
      <c r="I3111" s="8" t="str" cm="1">
        <f t="array" ref="I3111">_xlfn.IFS(C3111&lt;=15,"Children and Young Adolescents", C3111&gt;64, "Seniors", TRUE, "Working Age")</f>
        <v>Seniors</v>
      </c>
      <c r="J3111" s="6">
        <f>VLOOKUP(F3111,Analysis!$F$1:$G$5,2,FALSE)</f>
        <v>2440.2966694490838</v>
      </c>
      <c r="K3111">
        <f t="shared" si="192"/>
        <v>4518.93</v>
      </c>
      <c r="L3111">
        <f t="shared" si="193"/>
        <v>4518.9400000000005</v>
      </c>
      <c r="M3111">
        <f t="shared" si="194"/>
        <v>4518.93</v>
      </c>
      <c r="N3111" s="5" t="str">
        <f t="shared" si="195"/>
        <v>March 2023</v>
      </c>
    </row>
    <row r="3112" spans="1:14" x14ac:dyDescent="0.25">
      <c r="A3112" s="1">
        <v>45013</v>
      </c>
      <c r="B3112" t="s">
        <v>3434</v>
      </c>
      <c r="C3112">
        <v>16</v>
      </c>
      <c r="D3112" t="s">
        <v>9</v>
      </c>
      <c r="E3112" t="s">
        <v>10</v>
      </c>
      <c r="F3112" t="s">
        <v>29</v>
      </c>
      <c r="G3112" t="s">
        <v>39</v>
      </c>
      <c r="H3112">
        <v>3702.16</v>
      </c>
      <c r="I3112" s="8" t="str" cm="1">
        <f t="array" ref="I3112">_xlfn.IFS(C3112&lt;=15,"Children and Young Adolescents", C3112&gt;64, "Seniors", TRUE, "Working Age")</f>
        <v>Working Age</v>
      </c>
      <c r="J3112" s="6">
        <f>VLOOKUP(F3112,Analysis!$F$1:$G$5,2,FALSE)</f>
        <v>2496.7676064256989</v>
      </c>
      <c r="K3112">
        <f t="shared" si="192"/>
        <v>4072.37</v>
      </c>
      <c r="L3112">
        <f t="shared" si="193"/>
        <v>4072.38</v>
      </c>
      <c r="M3112">
        <f t="shared" si="194"/>
        <v>4072.38</v>
      </c>
      <c r="N3112" s="5" t="str">
        <f t="shared" si="195"/>
        <v>March 2023</v>
      </c>
    </row>
    <row r="3113" spans="1:14" x14ac:dyDescent="0.25">
      <c r="A3113" s="1">
        <v>45013</v>
      </c>
      <c r="B3113" t="s">
        <v>917</v>
      </c>
      <c r="C3113">
        <v>13</v>
      </c>
      <c r="D3113" t="s">
        <v>21</v>
      </c>
      <c r="E3113" t="s">
        <v>15</v>
      </c>
      <c r="F3113" t="s">
        <v>23</v>
      </c>
      <c r="G3113" t="s">
        <v>36</v>
      </c>
      <c r="H3113">
        <v>4740.08</v>
      </c>
      <c r="I3113" s="8" t="str" cm="1">
        <f t="array" ref="I3113">_xlfn.IFS(C3113&lt;=15,"Children and Young Adolescents", C3113&gt;64, "Seniors", TRUE, "Working Age")</f>
        <v>Children and Young Adolescents</v>
      </c>
      <c r="J3113" s="6">
        <f>VLOOKUP(F3113,Analysis!$F$1:$G$5,2,FALSE)</f>
        <v>2440.2966694490838</v>
      </c>
      <c r="K3113">
        <f t="shared" si="192"/>
        <v>5214.08</v>
      </c>
      <c r="L3113">
        <f t="shared" si="193"/>
        <v>5214.09</v>
      </c>
      <c r="M3113">
        <f t="shared" si="194"/>
        <v>5214.09</v>
      </c>
      <c r="N3113" s="5" t="str">
        <f t="shared" si="195"/>
        <v>March 2023</v>
      </c>
    </row>
    <row r="3114" spans="1:14" x14ac:dyDescent="0.25">
      <c r="A3114" s="1">
        <v>45013</v>
      </c>
      <c r="B3114" t="s">
        <v>181</v>
      </c>
      <c r="C3114">
        <v>71</v>
      </c>
      <c r="D3114" t="s">
        <v>21</v>
      </c>
      <c r="E3114" t="s">
        <v>25</v>
      </c>
      <c r="F3114" t="s">
        <v>16</v>
      </c>
      <c r="G3114" t="s">
        <v>12</v>
      </c>
      <c r="H3114">
        <v>1118.45</v>
      </c>
      <c r="I3114" s="8" t="str" cm="1">
        <f t="array" ref="I3114">_xlfn.IFS(C3114&lt;=15,"Children and Young Adolescents", C3114&gt;64, "Seniors", TRUE, "Working Age")</f>
        <v>Seniors</v>
      </c>
      <c r="J3114" s="6">
        <f>VLOOKUP(F3114,Analysis!$F$1:$G$5,2,FALSE)</f>
        <v>2509.1716796874912</v>
      </c>
      <c r="K3114">
        <f t="shared" si="192"/>
        <v>1230.29</v>
      </c>
      <c r="L3114">
        <f t="shared" si="193"/>
        <v>1230.3</v>
      </c>
      <c r="M3114">
        <f t="shared" si="194"/>
        <v>1230.3</v>
      </c>
      <c r="N3114" s="5" t="str">
        <f t="shared" si="195"/>
        <v>March 2023</v>
      </c>
    </row>
    <row r="3115" spans="1:14" x14ac:dyDescent="0.25">
      <c r="A3115" s="1">
        <v>45013</v>
      </c>
      <c r="B3115" t="s">
        <v>2731</v>
      </c>
      <c r="C3115">
        <v>13</v>
      </c>
      <c r="D3115" t="s">
        <v>14</v>
      </c>
      <c r="E3115" t="s">
        <v>22</v>
      </c>
      <c r="F3115" t="s">
        <v>16</v>
      </c>
      <c r="G3115" t="s">
        <v>27</v>
      </c>
      <c r="H3115">
        <v>786.78</v>
      </c>
      <c r="I3115" s="8" t="str" cm="1">
        <f t="array" ref="I3115">_xlfn.IFS(C3115&lt;=15,"Children and Young Adolescents", C3115&gt;64, "Seniors", TRUE, "Working Age")</f>
        <v>Children and Young Adolescents</v>
      </c>
      <c r="J3115" s="6">
        <f>VLOOKUP(F3115,Analysis!$F$1:$G$5,2,FALSE)</f>
        <v>2509.1716796874912</v>
      </c>
      <c r="K3115">
        <f t="shared" si="192"/>
        <v>865.45</v>
      </c>
      <c r="L3115">
        <f t="shared" si="193"/>
        <v>865.46</v>
      </c>
      <c r="M3115">
        <f t="shared" si="194"/>
        <v>865.46</v>
      </c>
      <c r="N3115" s="5" t="str">
        <f t="shared" si="195"/>
        <v>March 2023</v>
      </c>
    </row>
    <row r="3116" spans="1:14" x14ac:dyDescent="0.25">
      <c r="A3116" s="1">
        <v>45014</v>
      </c>
      <c r="B3116" t="s">
        <v>386</v>
      </c>
      <c r="C3116">
        <v>21</v>
      </c>
      <c r="D3116" t="s">
        <v>9</v>
      </c>
      <c r="E3116" t="s">
        <v>22</v>
      </c>
      <c r="F3116" t="s">
        <v>29</v>
      </c>
      <c r="G3116" t="s">
        <v>27</v>
      </c>
      <c r="H3116">
        <v>844.55</v>
      </c>
      <c r="I3116" s="8" t="str" cm="1">
        <f t="array" ref="I3116">_xlfn.IFS(C3116&lt;=15,"Children and Young Adolescents", C3116&gt;64, "Seniors", TRUE, "Working Age")</f>
        <v>Working Age</v>
      </c>
      <c r="J3116" s="6">
        <f>VLOOKUP(F3116,Analysis!$F$1:$G$5,2,FALSE)</f>
        <v>2496.7676064256989</v>
      </c>
      <c r="K3116">
        <f t="shared" si="192"/>
        <v>929</v>
      </c>
      <c r="L3116">
        <f t="shared" si="193"/>
        <v>929.01</v>
      </c>
      <c r="M3116">
        <f t="shared" si="194"/>
        <v>929.01</v>
      </c>
      <c r="N3116" s="5" t="str">
        <f t="shared" si="195"/>
        <v>March 2023</v>
      </c>
    </row>
    <row r="3117" spans="1:14" x14ac:dyDescent="0.25">
      <c r="A3117" s="1">
        <v>45014</v>
      </c>
      <c r="B3117" t="s">
        <v>4142</v>
      </c>
      <c r="C3117">
        <v>70</v>
      </c>
      <c r="D3117" t="s">
        <v>21</v>
      </c>
      <c r="E3117" t="s">
        <v>5032</v>
      </c>
      <c r="F3117" t="s">
        <v>23</v>
      </c>
      <c r="G3117" t="s">
        <v>17</v>
      </c>
      <c r="H3117">
        <v>66.510000000000005</v>
      </c>
      <c r="I3117" s="8" t="str" cm="1">
        <f t="array" ref="I3117">_xlfn.IFS(C3117&lt;=15,"Children and Young Adolescents", C3117&gt;64, "Seniors", TRUE, "Working Age")</f>
        <v>Seniors</v>
      </c>
      <c r="J3117" s="6">
        <f>VLOOKUP(F3117,Analysis!$F$1:$G$5,2,FALSE)</f>
        <v>2440.2966694490838</v>
      </c>
      <c r="K3117">
        <f t="shared" si="192"/>
        <v>73.16</v>
      </c>
      <c r="L3117">
        <f t="shared" si="193"/>
        <v>73.17</v>
      </c>
      <c r="M3117">
        <f t="shared" si="194"/>
        <v>73.16</v>
      </c>
      <c r="N3117" s="5" t="str">
        <f t="shared" si="195"/>
        <v>March 2023</v>
      </c>
    </row>
    <row r="3118" spans="1:14" x14ac:dyDescent="0.25">
      <c r="A3118" s="1">
        <v>45014</v>
      </c>
      <c r="B3118" t="s">
        <v>4652</v>
      </c>
      <c r="C3118">
        <v>68</v>
      </c>
      <c r="D3118" t="s">
        <v>14</v>
      </c>
      <c r="E3118" t="s">
        <v>32</v>
      </c>
      <c r="F3118" t="s">
        <v>16</v>
      </c>
      <c r="G3118" t="s">
        <v>39</v>
      </c>
      <c r="H3118">
        <v>2291.94</v>
      </c>
      <c r="I3118" s="8" t="str" cm="1">
        <f t="array" ref="I3118">_xlfn.IFS(C3118&lt;=15,"Children and Young Adolescents", C3118&gt;64, "Seniors", TRUE, "Working Age")</f>
        <v>Seniors</v>
      </c>
      <c r="J3118" s="6">
        <f>VLOOKUP(F3118,Analysis!$F$1:$G$5,2,FALSE)</f>
        <v>2509.1716796874912</v>
      </c>
      <c r="K3118">
        <f t="shared" si="192"/>
        <v>2521.13</v>
      </c>
      <c r="L3118">
        <f t="shared" si="193"/>
        <v>2521.1400000000003</v>
      </c>
      <c r="M3118">
        <f t="shared" si="194"/>
        <v>2521.13</v>
      </c>
      <c r="N3118" s="5" t="str">
        <f t="shared" si="195"/>
        <v>March 2023</v>
      </c>
    </row>
    <row r="3119" spans="1:14" x14ac:dyDescent="0.25">
      <c r="A3119" s="1">
        <v>45014</v>
      </c>
      <c r="B3119" t="s">
        <v>1011</v>
      </c>
      <c r="C3119">
        <v>80</v>
      </c>
      <c r="D3119" t="s">
        <v>21</v>
      </c>
      <c r="E3119" t="s">
        <v>22</v>
      </c>
      <c r="F3119" t="s">
        <v>16</v>
      </c>
      <c r="G3119" t="s">
        <v>39</v>
      </c>
      <c r="H3119">
        <v>3182.64</v>
      </c>
      <c r="I3119" s="8" t="str" cm="1">
        <f t="array" ref="I3119">_xlfn.IFS(C3119&lt;=15,"Children and Young Adolescents", C3119&gt;64, "Seniors", TRUE, "Working Age")</f>
        <v>Seniors</v>
      </c>
      <c r="J3119" s="6">
        <f>VLOOKUP(F3119,Analysis!$F$1:$G$5,2,FALSE)</f>
        <v>2509.1716796874912</v>
      </c>
      <c r="K3119">
        <f t="shared" si="192"/>
        <v>3500.9</v>
      </c>
      <c r="L3119">
        <f t="shared" si="193"/>
        <v>3500.9100000000003</v>
      </c>
      <c r="M3119">
        <f t="shared" si="194"/>
        <v>3500.9</v>
      </c>
      <c r="N3119" s="5" t="str">
        <f t="shared" si="195"/>
        <v>March 2023</v>
      </c>
    </row>
    <row r="3120" spans="1:14" x14ac:dyDescent="0.25">
      <c r="A3120" s="1">
        <v>45014</v>
      </c>
      <c r="B3120" t="s">
        <v>4861</v>
      </c>
      <c r="C3120">
        <v>49</v>
      </c>
      <c r="D3120" t="s">
        <v>9</v>
      </c>
      <c r="E3120" t="s">
        <v>19</v>
      </c>
      <c r="F3120" t="s">
        <v>29</v>
      </c>
      <c r="G3120" t="s">
        <v>17</v>
      </c>
      <c r="H3120">
        <v>3605.89</v>
      </c>
      <c r="I3120" s="8" t="str" cm="1">
        <f t="array" ref="I3120">_xlfn.IFS(C3120&lt;=15,"Children and Young Adolescents", C3120&gt;64, "Seniors", TRUE, "Working Age")</f>
        <v>Working Age</v>
      </c>
      <c r="J3120" s="6">
        <f>VLOOKUP(F3120,Analysis!$F$1:$G$5,2,FALSE)</f>
        <v>2496.7676064256989</v>
      </c>
      <c r="K3120">
        <f t="shared" si="192"/>
        <v>3966.47</v>
      </c>
      <c r="L3120">
        <f t="shared" si="193"/>
        <v>3966.48</v>
      </c>
      <c r="M3120">
        <f t="shared" si="194"/>
        <v>3966.48</v>
      </c>
      <c r="N3120" s="5" t="str">
        <f t="shared" si="195"/>
        <v>March 2023</v>
      </c>
    </row>
    <row r="3121" spans="1:14" x14ac:dyDescent="0.25">
      <c r="A3121" s="1">
        <v>45014</v>
      </c>
      <c r="B3121" t="s">
        <v>1341</v>
      </c>
      <c r="C3121">
        <v>50</v>
      </c>
      <c r="D3121" t="s">
        <v>9</v>
      </c>
      <c r="E3121" t="s">
        <v>25</v>
      </c>
      <c r="F3121" t="s">
        <v>29</v>
      </c>
      <c r="G3121" t="s">
        <v>36</v>
      </c>
      <c r="H3121">
        <v>745.26</v>
      </c>
      <c r="I3121" s="8" t="str" cm="1">
        <f t="array" ref="I3121">_xlfn.IFS(C3121&lt;=15,"Children and Young Adolescents", C3121&gt;64, "Seniors", TRUE, "Working Age")</f>
        <v>Working Age</v>
      </c>
      <c r="J3121" s="6">
        <f>VLOOKUP(F3121,Analysis!$F$1:$G$5,2,FALSE)</f>
        <v>2496.7676064256989</v>
      </c>
      <c r="K3121">
        <f t="shared" si="192"/>
        <v>819.78</v>
      </c>
      <c r="L3121">
        <f t="shared" si="193"/>
        <v>819.79</v>
      </c>
      <c r="M3121">
        <f t="shared" si="194"/>
        <v>819.79</v>
      </c>
      <c r="N3121" s="5" t="str">
        <f t="shared" si="195"/>
        <v>March 2023</v>
      </c>
    </row>
    <row r="3122" spans="1:14" x14ac:dyDescent="0.25">
      <c r="A3122" s="1">
        <v>45014</v>
      </c>
      <c r="B3122" t="s">
        <v>1863</v>
      </c>
      <c r="C3122">
        <v>13</v>
      </c>
      <c r="D3122" t="s">
        <v>21</v>
      </c>
      <c r="E3122" t="s">
        <v>15</v>
      </c>
      <c r="F3122" t="s">
        <v>16</v>
      </c>
      <c r="G3122" t="s">
        <v>17</v>
      </c>
      <c r="H3122">
        <v>2448.69</v>
      </c>
      <c r="I3122" s="8" t="str" cm="1">
        <f t="array" ref="I3122">_xlfn.IFS(C3122&lt;=15,"Children and Young Adolescents", C3122&gt;64, "Seniors", TRUE, "Working Age")</f>
        <v>Children and Young Adolescents</v>
      </c>
      <c r="J3122" s="6">
        <f>VLOOKUP(F3122,Analysis!$F$1:$G$5,2,FALSE)</f>
        <v>2509.1716796874912</v>
      </c>
      <c r="K3122">
        <f t="shared" si="192"/>
        <v>2693.55</v>
      </c>
      <c r="L3122">
        <f t="shared" si="193"/>
        <v>2693.5600000000004</v>
      </c>
      <c r="M3122">
        <f t="shared" si="194"/>
        <v>2693.56</v>
      </c>
      <c r="N3122" s="5" t="str">
        <f t="shared" si="195"/>
        <v>March 2023</v>
      </c>
    </row>
    <row r="3123" spans="1:14" x14ac:dyDescent="0.25">
      <c r="A3123" s="1">
        <v>45014</v>
      </c>
      <c r="B3123" t="s">
        <v>1530</v>
      </c>
      <c r="C3123">
        <v>31</v>
      </c>
      <c r="D3123" t="s">
        <v>21</v>
      </c>
      <c r="E3123" t="s">
        <v>10</v>
      </c>
      <c r="F3123" t="s">
        <v>16</v>
      </c>
      <c r="G3123" t="s">
        <v>27</v>
      </c>
      <c r="H3123">
        <v>3743.3</v>
      </c>
      <c r="I3123" s="8" t="str" cm="1">
        <f t="array" ref="I3123">_xlfn.IFS(C3123&lt;=15,"Children and Young Adolescents", C3123&gt;64, "Seniors", TRUE, "Working Age")</f>
        <v>Working Age</v>
      </c>
      <c r="J3123" s="6">
        <f>VLOOKUP(F3123,Analysis!$F$1:$G$5,2,FALSE)</f>
        <v>2509.1716796874912</v>
      </c>
      <c r="K3123">
        <f t="shared" si="192"/>
        <v>4117.63</v>
      </c>
      <c r="L3123">
        <f t="shared" si="193"/>
        <v>4117.63</v>
      </c>
      <c r="M3123">
        <f t="shared" si="194"/>
        <v>4117.63</v>
      </c>
      <c r="N3123" s="5" t="str">
        <f t="shared" si="195"/>
        <v>March 2023</v>
      </c>
    </row>
    <row r="3124" spans="1:14" x14ac:dyDescent="0.25">
      <c r="A3124" s="1">
        <v>45015</v>
      </c>
      <c r="B3124" t="s">
        <v>780</v>
      </c>
      <c r="C3124">
        <v>61</v>
      </c>
      <c r="D3124" t="s">
        <v>14</v>
      </c>
      <c r="E3124" t="s">
        <v>5032</v>
      </c>
      <c r="F3124" t="s">
        <v>29</v>
      </c>
      <c r="G3124" t="s">
        <v>17</v>
      </c>
      <c r="H3124">
        <v>986.9</v>
      </c>
      <c r="I3124" s="8" t="str" cm="1">
        <f t="array" ref="I3124">_xlfn.IFS(C3124&lt;=15,"Children and Young Adolescents", C3124&gt;64, "Seniors", TRUE, "Working Age")</f>
        <v>Working Age</v>
      </c>
      <c r="J3124" s="6">
        <f>VLOOKUP(F3124,Analysis!$F$1:$G$5,2,FALSE)</f>
        <v>2496.7676064256989</v>
      </c>
      <c r="K3124">
        <f t="shared" si="192"/>
        <v>1085.5899999999999</v>
      </c>
      <c r="L3124">
        <f t="shared" si="193"/>
        <v>1085.5899999999999</v>
      </c>
      <c r="M3124">
        <f t="shared" si="194"/>
        <v>1085.5899999999999</v>
      </c>
      <c r="N3124" s="5" t="str">
        <f t="shared" si="195"/>
        <v>March 2023</v>
      </c>
    </row>
    <row r="3125" spans="1:14" x14ac:dyDescent="0.25">
      <c r="A3125" s="1">
        <v>45015</v>
      </c>
      <c r="B3125" t="s">
        <v>820</v>
      </c>
      <c r="C3125">
        <v>60</v>
      </c>
      <c r="D3125" t="s">
        <v>14</v>
      </c>
      <c r="E3125" t="s">
        <v>32</v>
      </c>
      <c r="F3125" t="s">
        <v>23</v>
      </c>
      <c r="G3125" t="s">
        <v>27</v>
      </c>
      <c r="H3125">
        <v>4481.78</v>
      </c>
      <c r="I3125" s="8" t="str" cm="1">
        <f t="array" ref="I3125">_xlfn.IFS(C3125&lt;=15,"Children and Young Adolescents", C3125&gt;64, "Seniors", TRUE, "Working Age")</f>
        <v>Working Age</v>
      </c>
      <c r="J3125" s="6">
        <f>VLOOKUP(F3125,Analysis!$F$1:$G$5,2,FALSE)</f>
        <v>2440.2966694490838</v>
      </c>
      <c r="K3125">
        <f t="shared" si="192"/>
        <v>4929.95</v>
      </c>
      <c r="L3125">
        <f t="shared" si="193"/>
        <v>4929.96</v>
      </c>
      <c r="M3125">
        <f t="shared" si="194"/>
        <v>4929.96</v>
      </c>
      <c r="N3125" s="5" t="str">
        <f t="shared" si="195"/>
        <v>March 2023</v>
      </c>
    </row>
    <row r="3126" spans="1:14" x14ac:dyDescent="0.25">
      <c r="A3126" s="1">
        <v>45015</v>
      </c>
      <c r="B3126" t="s">
        <v>4213</v>
      </c>
      <c r="C3126">
        <v>20</v>
      </c>
      <c r="D3126" t="s">
        <v>14</v>
      </c>
      <c r="E3126" t="s">
        <v>25</v>
      </c>
      <c r="F3126" t="s">
        <v>29</v>
      </c>
      <c r="G3126" t="s">
        <v>36</v>
      </c>
      <c r="H3126">
        <v>1452.61</v>
      </c>
      <c r="I3126" s="8" t="str" cm="1">
        <f t="array" ref="I3126">_xlfn.IFS(C3126&lt;=15,"Children and Young Adolescents", C3126&gt;64, "Seniors", TRUE, "Working Age")</f>
        <v>Working Age</v>
      </c>
      <c r="J3126" s="6">
        <f>VLOOKUP(F3126,Analysis!$F$1:$G$5,2,FALSE)</f>
        <v>2496.7676064256989</v>
      </c>
      <c r="K3126">
        <f t="shared" si="192"/>
        <v>1597.87</v>
      </c>
      <c r="L3126">
        <f t="shared" si="193"/>
        <v>1597.8799999999999</v>
      </c>
      <c r="M3126">
        <f t="shared" si="194"/>
        <v>1597.87</v>
      </c>
      <c r="N3126" s="5" t="str">
        <f t="shared" si="195"/>
        <v>March 2023</v>
      </c>
    </row>
    <row r="3127" spans="1:14" x14ac:dyDescent="0.25">
      <c r="A3127" s="1">
        <v>45015</v>
      </c>
      <c r="B3127" t="s">
        <v>199</v>
      </c>
      <c r="C3127">
        <v>11</v>
      </c>
      <c r="D3127" t="s">
        <v>14</v>
      </c>
      <c r="E3127" t="s">
        <v>15</v>
      </c>
      <c r="F3127" t="s">
        <v>29</v>
      </c>
      <c r="G3127" t="s">
        <v>36</v>
      </c>
      <c r="H3127">
        <v>4906.13</v>
      </c>
      <c r="I3127" s="8" t="str" cm="1">
        <f t="array" ref="I3127">_xlfn.IFS(C3127&lt;=15,"Children and Young Adolescents", C3127&gt;64, "Seniors", TRUE, "Working Age")</f>
        <v>Children and Young Adolescents</v>
      </c>
      <c r="J3127" s="6">
        <f>VLOOKUP(F3127,Analysis!$F$1:$G$5,2,FALSE)</f>
        <v>2496.7676064256989</v>
      </c>
      <c r="K3127">
        <f t="shared" si="192"/>
        <v>5396.74</v>
      </c>
      <c r="L3127">
        <f t="shared" si="193"/>
        <v>5396.75</v>
      </c>
      <c r="M3127">
        <f t="shared" si="194"/>
        <v>5396.74</v>
      </c>
      <c r="N3127" s="5" t="str">
        <f t="shared" si="195"/>
        <v>March 2023</v>
      </c>
    </row>
    <row r="3128" spans="1:14" x14ac:dyDescent="0.25">
      <c r="A3128" s="1">
        <v>45016</v>
      </c>
      <c r="B3128" t="s">
        <v>3737</v>
      </c>
      <c r="C3128">
        <v>98</v>
      </c>
      <c r="D3128" t="s">
        <v>21</v>
      </c>
      <c r="E3128" t="s">
        <v>32</v>
      </c>
      <c r="F3128" t="s">
        <v>11</v>
      </c>
      <c r="G3128" t="s">
        <v>12</v>
      </c>
      <c r="H3128">
        <v>3856.7</v>
      </c>
      <c r="I3128" s="8" t="str" cm="1">
        <f t="array" ref="I3128">_xlfn.IFS(C3128&lt;=15,"Children and Young Adolescents", C3128&gt;64, "Seniors", TRUE, "Working Age")</f>
        <v>Seniors</v>
      </c>
      <c r="J3128" s="6">
        <f>VLOOKUP(F3128,Analysis!$F$1:$G$5,2,FALSE)</f>
        <v>2503.6022787783854</v>
      </c>
      <c r="K3128">
        <f t="shared" si="192"/>
        <v>4242.37</v>
      </c>
      <c r="L3128">
        <f t="shared" si="193"/>
        <v>4242.37</v>
      </c>
      <c r="M3128">
        <f t="shared" si="194"/>
        <v>4242.37</v>
      </c>
      <c r="N3128" s="5" t="str">
        <f t="shared" si="195"/>
        <v>March 2023</v>
      </c>
    </row>
    <row r="3129" spans="1:14" x14ac:dyDescent="0.25">
      <c r="A3129" s="1">
        <v>45016</v>
      </c>
      <c r="B3129" t="s">
        <v>3429</v>
      </c>
      <c r="C3129">
        <v>97</v>
      </c>
      <c r="D3129" t="s">
        <v>21</v>
      </c>
      <c r="E3129" t="s">
        <v>15</v>
      </c>
      <c r="F3129" t="s">
        <v>11</v>
      </c>
      <c r="G3129" t="s">
        <v>27</v>
      </c>
      <c r="H3129">
        <v>1941.12</v>
      </c>
      <c r="I3129" s="8" t="str" cm="1">
        <f t="array" ref="I3129">_xlfn.IFS(C3129&lt;=15,"Children and Young Adolescents", C3129&gt;64, "Seniors", TRUE, "Working Age")</f>
        <v>Seniors</v>
      </c>
      <c r="J3129" s="6">
        <f>VLOOKUP(F3129,Analysis!$F$1:$G$5,2,FALSE)</f>
        <v>2503.6022787783854</v>
      </c>
      <c r="K3129">
        <f t="shared" si="192"/>
        <v>2135.23</v>
      </c>
      <c r="L3129">
        <f t="shared" si="193"/>
        <v>2135.2400000000002</v>
      </c>
      <c r="M3129">
        <f t="shared" si="194"/>
        <v>2135.23</v>
      </c>
      <c r="N3129" s="5" t="str">
        <f t="shared" si="195"/>
        <v>March 2023</v>
      </c>
    </row>
    <row r="3130" spans="1:14" x14ac:dyDescent="0.25">
      <c r="A3130" s="1">
        <v>45016</v>
      </c>
      <c r="B3130" t="s">
        <v>2786</v>
      </c>
      <c r="C3130">
        <v>51</v>
      </c>
      <c r="D3130" t="s">
        <v>14</v>
      </c>
      <c r="E3130" t="s">
        <v>15</v>
      </c>
      <c r="F3130" t="s">
        <v>11</v>
      </c>
      <c r="G3130" t="s">
        <v>39</v>
      </c>
      <c r="H3130">
        <v>333.45</v>
      </c>
      <c r="I3130" s="8" t="str" cm="1">
        <f t="array" ref="I3130">_xlfn.IFS(C3130&lt;=15,"Children and Young Adolescents", C3130&gt;64, "Seniors", TRUE, "Working Age")</f>
        <v>Working Age</v>
      </c>
      <c r="J3130" s="6">
        <f>VLOOKUP(F3130,Analysis!$F$1:$G$5,2,FALSE)</f>
        <v>2503.6022787783854</v>
      </c>
      <c r="K3130">
        <f t="shared" si="192"/>
        <v>366.79</v>
      </c>
      <c r="L3130">
        <f t="shared" si="193"/>
        <v>366.8</v>
      </c>
      <c r="M3130">
        <f t="shared" si="194"/>
        <v>366.8</v>
      </c>
      <c r="N3130" s="5" t="str">
        <f t="shared" si="195"/>
        <v>March 2023</v>
      </c>
    </row>
    <row r="3131" spans="1:14" x14ac:dyDescent="0.25">
      <c r="A3131" s="1">
        <v>45016</v>
      </c>
      <c r="B3131" t="s">
        <v>2974</v>
      </c>
      <c r="C3131">
        <v>81</v>
      </c>
      <c r="D3131" t="s">
        <v>9</v>
      </c>
      <c r="E3131" t="s">
        <v>19</v>
      </c>
      <c r="F3131" t="s">
        <v>11</v>
      </c>
      <c r="G3131" t="s">
        <v>39</v>
      </c>
      <c r="H3131">
        <v>2244.77</v>
      </c>
      <c r="I3131" s="8" t="str" cm="1">
        <f t="array" ref="I3131">_xlfn.IFS(C3131&lt;=15,"Children and Young Adolescents", C3131&gt;64, "Seniors", TRUE, "Working Age")</f>
        <v>Seniors</v>
      </c>
      <c r="J3131" s="6">
        <f>VLOOKUP(F3131,Analysis!$F$1:$G$5,2,FALSE)</f>
        <v>2503.6022787783854</v>
      </c>
      <c r="K3131">
        <f t="shared" si="192"/>
        <v>2469.2399999999998</v>
      </c>
      <c r="L3131">
        <f t="shared" si="193"/>
        <v>2469.25</v>
      </c>
      <c r="M3131">
        <f t="shared" si="194"/>
        <v>2469.25</v>
      </c>
      <c r="N3131" s="5" t="str">
        <f t="shared" si="195"/>
        <v>March 2023</v>
      </c>
    </row>
    <row r="3132" spans="1:14" x14ac:dyDescent="0.25">
      <c r="A3132" s="1">
        <v>45017</v>
      </c>
      <c r="B3132" t="s">
        <v>2233</v>
      </c>
      <c r="C3132">
        <v>91</v>
      </c>
      <c r="D3132" t="s">
        <v>14</v>
      </c>
      <c r="E3132" t="s">
        <v>5032</v>
      </c>
      <c r="F3132" t="s">
        <v>29</v>
      </c>
      <c r="G3132" t="s">
        <v>39</v>
      </c>
      <c r="H3132">
        <v>1697.61</v>
      </c>
      <c r="I3132" s="8" t="str" cm="1">
        <f t="array" ref="I3132">_xlfn.IFS(C3132&lt;=15,"Children and Young Adolescents", C3132&gt;64, "Seniors", TRUE, "Working Age")</f>
        <v>Seniors</v>
      </c>
      <c r="J3132" s="6">
        <f>VLOOKUP(F3132,Analysis!$F$1:$G$5,2,FALSE)</f>
        <v>2496.7676064256989</v>
      </c>
      <c r="K3132">
        <f t="shared" si="192"/>
        <v>1867.37</v>
      </c>
      <c r="L3132">
        <f t="shared" si="193"/>
        <v>1867.3799999999999</v>
      </c>
      <c r="M3132">
        <f t="shared" si="194"/>
        <v>1867.37</v>
      </c>
      <c r="N3132" s="5" t="str">
        <f t="shared" si="195"/>
        <v>April 2023</v>
      </c>
    </row>
    <row r="3133" spans="1:14" x14ac:dyDescent="0.25">
      <c r="A3133" s="1">
        <v>45017</v>
      </c>
      <c r="B3133" t="s">
        <v>1499</v>
      </c>
      <c r="C3133">
        <v>84</v>
      </c>
      <c r="D3133" t="s">
        <v>14</v>
      </c>
      <c r="E3133" t="s">
        <v>15</v>
      </c>
      <c r="F3133" t="s">
        <v>11</v>
      </c>
      <c r="G3133" t="s">
        <v>12</v>
      </c>
      <c r="H3133">
        <v>4586.92</v>
      </c>
      <c r="I3133" s="8" t="str" cm="1">
        <f t="array" ref="I3133">_xlfn.IFS(C3133&lt;=15,"Children and Young Adolescents", C3133&gt;64, "Seniors", TRUE, "Working Age")</f>
        <v>Seniors</v>
      </c>
      <c r="J3133" s="6">
        <f>VLOOKUP(F3133,Analysis!$F$1:$G$5,2,FALSE)</f>
        <v>2503.6022787783854</v>
      </c>
      <c r="K3133">
        <f t="shared" si="192"/>
        <v>5045.6099999999997</v>
      </c>
      <c r="L3133">
        <f t="shared" si="193"/>
        <v>5045.62</v>
      </c>
      <c r="M3133">
        <f t="shared" si="194"/>
        <v>5045.6099999999997</v>
      </c>
      <c r="N3133" s="5" t="str">
        <f t="shared" si="195"/>
        <v>April 2023</v>
      </c>
    </row>
    <row r="3134" spans="1:14" x14ac:dyDescent="0.25">
      <c r="A3134" s="1">
        <v>45017</v>
      </c>
      <c r="B3134" t="s">
        <v>3433</v>
      </c>
      <c r="C3134">
        <v>84</v>
      </c>
      <c r="D3134" t="s">
        <v>9</v>
      </c>
      <c r="E3134" t="s">
        <v>32</v>
      </c>
      <c r="F3134" t="s">
        <v>23</v>
      </c>
      <c r="G3134" t="s">
        <v>27</v>
      </c>
      <c r="H3134">
        <v>659.07</v>
      </c>
      <c r="I3134" s="8" t="str" cm="1">
        <f t="array" ref="I3134">_xlfn.IFS(C3134&lt;=15,"Children and Young Adolescents", C3134&gt;64, "Seniors", TRUE, "Working Age")</f>
        <v>Seniors</v>
      </c>
      <c r="J3134" s="6">
        <f>VLOOKUP(F3134,Analysis!$F$1:$G$5,2,FALSE)</f>
        <v>2440.2966694490838</v>
      </c>
      <c r="K3134">
        <f t="shared" si="192"/>
        <v>724.97</v>
      </c>
      <c r="L3134">
        <f t="shared" si="193"/>
        <v>724.98</v>
      </c>
      <c r="M3134">
        <f t="shared" si="194"/>
        <v>724.98</v>
      </c>
      <c r="N3134" s="5" t="str">
        <f t="shared" si="195"/>
        <v>April 2023</v>
      </c>
    </row>
    <row r="3135" spans="1:14" x14ac:dyDescent="0.25">
      <c r="A3135" s="1">
        <v>45017</v>
      </c>
      <c r="B3135" t="s">
        <v>464</v>
      </c>
      <c r="C3135">
        <v>5</v>
      </c>
      <c r="D3135" t="s">
        <v>9</v>
      </c>
      <c r="E3135" t="s">
        <v>10</v>
      </c>
      <c r="F3135" t="s">
        <v>29</v>
      </c>
      <c r="G3135" t="s">
        <v>39</v>
      </c>
      <c r="H3135">
        <v>1104.71</v>
      </c>
      <c r="I3135" s="8" t="str" cm="1">
        <f t="array" ref="I3135">_xlfn.IFS(C3135&lt;=15,"Children and Young Adolescents", C3135&gt;64, "Seniors", TRUE, "Working Age")</f>
        <v>Children and Young Adolescents</v>
      </c>
      <c r="J3135" s="6">
        <f>VLOOKUP(F3135,Analysis!$F$1:$G$5,2,FALSE)</f>
        <v>2496.7676064256989</v>
      </c>
      <c r="K3135">
        <f t="shared" si="192"/>
        <v>1215.18</v>
      </c>
      <c r="L3135">
        <f t="shared" si="193"/>
        <v>1215.19</v>
      </c>
      <c r="M3135">
        <f t="shared" si="194"/>
        <v>1215.18</v>
      </c>
      <c r="N3135" s="5" t="str">
        <f t="shared" si="195"/>
        <v>April 2023</v>
      </c>
    </row>
    <row r="3136" spans="1:14" x14ac:dyDescent="0.25">
      <c r="A3136" s="1">
        <v>45017</v>
      </c>
      <c r="B3136" t="s">
        <v>3243</v>
      </c>
      <c r="C3136">
        <v>32</v>
      </c>
      <c r="D3136" t="s">
        <v>21</v>
      </c>
      <c r="E3136" t="s">
        <v>34</v>
      </c>
      <c r="F3136" t="s">
        <v>16</v>
      </c>
      <c r="G3136" t="s">
        <v>39</v>
      </c>
      <c r="H3136">
        <v>733.43</v>
      </c>
      <c r="I3136" s="8" t="str" cm="1">
        <f t="array" ref="I3136">_xlfn.IFS(C3136&lt;=15,"Children and Young Adolescents", C3136&gt;64, "Seniors", TRUE, "Working Age")</f>
        <v>Working Age</v>
      </c>
      <c r="J3136" s="6">
        <f>VLOOKUP(F3136,Analysis!$F$1:$G$5,2,FALSE)</f>
        <v>2509.1716796874912</v>
      </c>
      <c r="K3136">
        <f t="shared" si="192"/>
        <v>806.77</v>
      </c>
      <c r="L3136">
        <f t="shared" si="193"/>
        <v>806.78</v>
      </c>
      <c r="M3136">
        <f t="shared" si="194"/>
        <v>806.77</v>
      </c>
      <c r="N3136" s="5" t="str">
        <f t="shared" si="195"/>
        <v>April 2023</v>
      </c>
    </row>
    <row r="3137" spans="1:14" x14ac:dyDescent="0.25">
      <c r="A3137" s="1">
        <v>45017</v>
      </c>
      <c r="B3137" t="s">
        <v>3372</v>
      </c>
      <c r="C3137">
        <v>8</v>
      </c>
      <c r="D3137" t="s">
        <v>14</v>
      </c>
      <c r="E3137" t="s">
        <v>10</v>
      </c>
      <c r="F3137" t="s">
        <v>29</v>
      </c>
      <c r="G3137" t="s">
        <v>36</v>
      </c>
      <c r="H3137">
        <v>3492.45</v>
      </c>
      <c r="I3137" s="8" t="str" cm="1">
        <f t="array" ref="I3137">_xlfn.IFS(C3137&lt;=15,"Children and Young Adolescents", C3137&gt;64, "Seniors", TRUE, "Working Age")</f>
        <v>Children and Young Adolescents</v>
      </c>
      <c r="J3137" s="6">
        <f>VLOOKUP(F3137,Analysis!$F$1:$G$5,2,FALSE)</f>
        <v>2496.7676064256989</v>
      </c>
      <c r="K3137">
        <f t="shared" si="192"/>
        <v>3841.69</v>
      </c>
      <c r="L3137">
        <f t="shared" si="193"/>
        <v>3841.7000000000003</v>
      </c>
      <c r="M3137">
        <f t="shared" si="194"/>
        <v>3841.7</v>
      </c>
      <c r="N3137" s="5" t="str">
        <f t="shared" si="195"/>
        <v>April 2023</v>
      </c>
    </row>
    <row r="3138" spans="1:14" x14ac:dyDescent="0.25">
      <c r="A3138" s="1">
        <v>45018</v>
      </c>
      <c r="B3138" t="s">
        <v>3954</v>
      </c>
      <c r="C3138">
        <v>56</v>
      </c>
      <c r="D3138" t="s">
        <v>14</v>
      </c>
      <c r="E3138" t="s">
        <v>22</v>
      </c>
      <c r="F3138" t="s">
        <v>11</v>
      </c>
      <c r="G3138" t="s">
        <v>36</v>
      </c>
      <c r="H3138">
        <v>2419.86</v>
      </c>
      <c r="I3138" s="8" t="str" cm="1">
        <f t="array" ref="I3138">_xlfn.IFS(C3138&lt;=15,"Children and Young Adolescents", C3138&gt;64, "Seniors", TRUE, "Working Age")</f>
        <v>Working Age</v>
      </c>
      <c r="J3138" s="6">
        <f>VLOOKUP(F3138,Analysis!$F$1:$G$5,2,FALSE)</f>
        <v>2503.6022787783854</v>
      </c>
      <c r="K3138">
        <f t="shared" si="192"/>
        <v>2661.84</v>
      </c>
      <c r="L3138">
        <f t="shared" si="193"/>
        <v>2661.8500000000004</v>
      </c>
      <c r="M3138">
        <f t="shared" si="194"/>
        <v>2661.85</v>
      </c>
      <c r="N3138" s="5" t="str">
        <f t="shared" si="195"/>
        <v>April 2023</v>
      </c>
    </row>
    <row r="3139" spans="1:14" x14ac:dyDescent="0.25">
      <c r="A3139" s="1">
        <v>45018</v>
      </c>
      <c r="B3139" t="s">
        <v>4484</v>
      </c>
      <c r="C3139">
        <v>61</v>
      </c>
      <c r="D3139" t="s">
        <v>14</v>
      </c>
      <c r="E3139" t="s">
        <v>10</v>
      </c>
      <c r="F3139" t="s">
        <v>11</v>
      </c>
      <c r="G3139" t="s">
        <v>39</v>
      </c>
      <c r="H3139">
        <v>4565.8</v>
      </c>
      <c r="I3139" s="8" t="str" cm="1">
        <f t="array" ref="I3139">_xlfn.IFS(C3139&lt;=15,"Children and Young Adolescents", C3139&gt;64, "Seniors", TRUE, "Working Age")</f>
        <v>Working Age</v>
      </c>
      <c r="J3139" s="6">
        <f>VLOOKUP(F3139,Analysis!$F$1:$G$5,2,FALSE)</f>
        <v>2503.6022787783854</v>
      </c>
      <c r="K3139">
        <f t="shared" ref="K3139:K3202" si="196">ROUNDDOWN(H3139*1.1,2)</f>
        <v>5022.38</v>
      </c>
      <c r="L3139">
        <f t="shared" ref="L3139:L3202" si="197">ROUNDUP(H3139*1.1,2)</f>
        <v>5022.38</v>
      </c>
      <c r="M3139">
        <f t="shared" ref="M3139:M3202" si="198">ROUND(H3139*1.1,2)</f>
        <v>5022.38</v>
      </c>
      <c r="N3139" s="5" t="str">
        <f t="shared" ref="N3139:N3202" si="199">TEXT(A3139,"mmmm yyyy")</f>
        <v>April 2023</v>
      </c>
    </row>
    <row r="3140" spans="1:14" x14ac:dyDescent="0.25">
      <c r="A3140" s="1">
        <v>45018</v>
      </c>
      <c r="B3140" t="s">
        <v>2777</v>
      </c>
      <c r="C3140">
        <v>40</v>
      </c>
      <c r="D3140" t="s">
        <v>21</v>
      </c>
      <c r="E3140" t="s">
        <v>15</v>
      </c>
      <c r="F3140" t="s">
        <v>16</v>
      </c>
      <c r="G3140" t="s">
        <v>39</v>
      </c>
      <c r="H3140">
        <v>1123.8599999999999</v>
      </c>
      <c r="I3140" s="8" t="str" cm="1">
        <f t="array" ref="I3140">_xlfn.IFS(C3140&lt;=15,"Children and Young Adolescents", C3140&gt;64, "Seniors", TRUE, "Working Age")</f>
        <v>Working Age</v>
      </c>
      <c r="J3140" s="6">
        <f>VLOOKUP(F3140,Analysis!$F$1:$G$5,2,FALSE)</f>
        <v>2509.1716796874912</v>
      </c>
      <c r="K3140">
        <f t="shared" si="196"/>
        <v>1236.24</v>
      </c>
      <c r="L3140">
        <f t="shared" si="197"/>
        <v>1236.25</v>
      </c>
      <c r="M3140">
        <f t="shared" si="198"/>
        <v>1236.25</v>
      </c>
      <c r="N3140" s="5" t="str">
        <f t="shared" si="199"/>
        <v>April 2023</v>
      </c>
    </row>
    <row r="3141" spans="1:14" x14ac:dyDescent="0.25">
      <c r="A3141" s="1">
        <v>45018</v>
      </c>
      <c r="B3141" t="s">
        <v>4288</v>
      </c>
      <c r="C3141">
        <v>34</v>
      </c>
      <c r="D3141" t="s">
        <v>21</v>
      </c>
      <c r="E3141" t="s">
        <v>22</v>
      </c>
      <c r="F3141" t="s">
        <v>16</v>
      </c>
      <c r="G3141" t="s">
        <v>39</v>
      </c>
      <c r="H3141">
        <v>1189.3399999999999</v>
      </c>
      <c r="I3141" s="8" t="str" cm="1">
        <f t="array" ref="I3141">_xlfn.IFS(C3141&lt;=15,"Children and Young Adolescents", C3141&gt;64, "Seniors", TRUE, "Working Age")</f>
        <v>Working Age</v>
      </c>
      <c r="J3141" s="6">
        <f>VLOOKUP(F3141,Analysis!$F$1:$G$5,2,FALSE)</f>
        <v>2509.1716796874912</v>
      </c>
      <c r="K3141">
        <f t="shared" si="196"/>
        <v>1308.27</v>
      </c>
      <c r="L3141">
        <f t="shared" si="197"/>
        <v>1308.28</v>
      </c>
      <c r="M3141">
        <f t="shared" si="198"/>
        <v>1308.27</v>
      </c>
      <c r="N3141" s="5" t="str">
        <f t="shared" si="199"/>
        <v>April 2023</v>
      </c>
    </row>
    <row r="3142" spans="1:14" x14ac:dyDescent="0.25">
      <c r="A3142" s="1">
        <v>45018</v>
      </c>
      <c r="B3142" t="s">
        <v>1260</v>
      </c>
      <c r="C3142">
        <v>42</v>
      </c>
      <c r="D3142" t="s">
        <v>21</v>
      </c>
      <c r="E3142" t="s">
        <v>10</v>
      </c>
      <c r="F3142" t="s">
        <v>16</v>
      </c>
      <c r="G3142" t="s">
        <v>12</v>
      </c>
      <c r="H3142">
        <v>4262.6000000000004</v>
      </c>
      <c r="I3142" s="8" t="str" cm="1">
        <f t="array" ref="I3142">_xlfn.IFS(C3142&lt;=15,"Children and Young Adolescents", C3142&gt;64, "Seniors", TRUE, "Working Age")</f>
        <v>Working Age</v>
      </c>
      <c r="J3142" s="6">
        <f>VLOOKUP(F3142,Analysis!$F$1:$G$5,2,FALSE)</f>
        <v>2509.1716796874912</v>
      </c>
      <c r="K3142">
        <f t="shared" si="196"/>
        <v>4688.8599999999997</v>
      </c>
      <c r="L3142">
        <f t="shared" si="197"/>
        <v>4688.8599999999997</v>
      </c>
      <c r="M3142">
        <f t="shared" si="198"/>
        <v>4688.8599999999997</v>
      </c>
      <c r="N3142" s="5" t="str">
        <f t="shared" si="199"/>
        <v>April 2023</v>
      </c>
    </row>
    <row r="3143" spans="1:14" x14ac:dyDescent="0.25">
      <c r="A3143" s="1">
        <v>45018</v>
      </c>
      <c r="B3143" t="s">
        <v>20</v>
      </c>
      <c r="C3143">
        <v>50</v>
      </c>
      <c r="D3143" t="s">
        <v>21</v>
      </c>
      <c r="E3143" t="s">
        <v>22</v>
      </c>
      <c r="F3143" t="s">
        <v>23</v>
      </c>
      <c r="G3143" t="s">
        <v>12</v>
      </c>
      <c r="H3143">
        <v>748.7</v>
      </c>
      <c r="I3143" s="8" t="str" cm="1">
        <f t="array" ref="I3143">_xlfn.IFS(C3143&lt;=15,"Children and Young Adolescents", C3143&gt;64, "Seniors", TRUE, "Working Age")</f>
        <v>Working Age</v>
      </c>
      <c r="J3143" s="6">
        <f>VLOOKUP(F3143,Analysis!$F$1:$G$5,2,FALSE)</f>
        <v>2440.2966694490838</v>
      </c>
      <c r="K3143">
        <f t="shared" si="196"/>
        <v>823.57</v>
      </c>
      <c r="L3143">
        <f t="shared" si="197"/>
        <v>823.57</v>
      </c>
      <c r="M3143">
        <f t="shared" si="198"/>
        <v>823.57</v>
      </c>
      <c r="N3143" s="5" t="str">
        <f t="shared" si="199"/>
        <v>April 2023</v>
      </c>
    </row>
    <row r="3144" spans="1:14" x14ac:dyDescent="0.25">
      <c r="A3144" s="1">
        <v>45018</v>
      </c>
      <c r="B3144" t="s">
        <v>442</v>
      </c>
      <c r="C3144">
        <v>17</v>
      </c>
      <c r="D3144" t="s">
        <v>14</v>
      </c>
      <c r="E3144" t="s">
        <v>15</v>
      </c>
      <c r="F3144" t="s">
        <v>16</v>
      </c>
      <c r="G3144" t="s">
        <v>17</v>
      </c>
      <c r="H3144">
        <v>1531.72</v>
      </c>
      <c r="I3144" s="8" t="str" cm="1">
        <f t="array" ref="I3144">_xlfn.IFS(C3144&lt;=15,"Children and Young Adolescents", C3144&gt;64, "Seniors", TRUE, "Working Age")</f>
        <v>Working Age</v>
      </c>
      <c r="J3144" s="6">
        <f>VLOOKUP(F3144,Analysis!$F$1:$G$5,2,FALSE)</f>
        <v>2509.1716796874912</v>
      </c>
      <c r="K3144">
        <f t="shared" si="196"/>
        <v>1684.89</v>
      </c>
      <c r="L3144">
        <f t="shared" si="197"/>
        <v>1684.9</v>
      </c>
      <c r="M3144">
        <f t="shared" si="198"/>
        <v>1684.89</v>
      </c>
      <c r="N3144" s="5" t="str">
        <f t="shared" si="199"/>
        <v>April 2023</v>
      </c>
    </row>
    <row r="3145" spans="1:14" x14ac:dyDescent="0.25">
      <c r="A3145" s="1">
        <v>45019</v>
      </c>
      <c r="B3145" t="s">
        <v>2046</v>
      </c>
      <c r="C3145">
        <v>68</v>
      </c>
      <c r="D3145" t="s">
        <v>14</v>
      </c>
      <c r="E3145" t="s">
        <v>15</v>
      </c>
      <c r="F3145" t="s">
        <v>29</v>
      </c>
      <c r="G3145" t="s">
        <v>17</v>
      </c>
      <c r="H3145">
        <v>578.22</v>
      </c>
      <c r="I3145" s="8" t="str" cm="1">
        <f t="array" ref="I3145">_xlfn.IFS(C3145&lt;=15,"Children and Young Adolescents", C3145&gt;64, "Seniors", TRUE, "Working Age")</f>
        <v>Seniors</v>
      </c>
      <c r="J3145" s="6">
        <f>VLOOKUP(F3145,Analysis!$F$1:$G$5,2,FALSE)</f>
        <v>2496.7676064256989</v>
      </c>
      <c r="K3145">
        <f t="shared" si="196"/>
        <v>636.04</v>
      </c>
      <c r="L3145">
        <f t="shared" si="197"/>
        <v>636.04999999999995</v>
      </c>
      <c r="M3145">
        <f t="shared" si="198"/>
        <v>636.04</v>
      </c>
      <c r="N3145" s="5" t="str">
        <f t="shared" si="199"/>
        <v>April 2023</v>
      </c>
    </row>
    <row r="3146" spans="1:14" x14ac:dyDescent="0.25">
      <c r="A3146" s="1">
        <v>45019</v>
      </c>
      <c r="B3146" t="s">
        <v>229</v>
      </c>
      <c r="C3146">
        <v>89</v>
      </c>
      <c r="D3146" t="s">
        <v>21</v>
      </c>
      <c r="E3146" t="s">
        <v>10</v>
      </c>
      <c r="F3146" t="s">
        <v>29</v>
      </c>
      <c r="G3146" t="s">
        <v>12</v>
      </c>
      <c r="H3146">
        <v>4744.74</v>
      </c>
      <c r="I3146" s="8" t="str" cm="1">
        <f t="array" ref="I3146">_xlfn.IFS(C3146&lt;=15,"Children and Young Adolescents", C3146&gt;64, "Seniors", TRUE, "Working Age")</f>
        <v>Seniors</v>
      </c>
      <c r="J3146" s="6">
        <f>VLOOKUP(F3146,Analysis!$F$1:$G$5,2,FALSE)</f>
        <v>2496.7676064256989</v>
      </c>
      <c r="K3146">
        <f t="shared" si="196"/>
        <v>5219.21</v>
      </c>
      <c r="L3146">
        <f t="shared" si="197"/>
        <v>5219.22</v>
      </c>
      <c r="M3146">
        <f t="shared" si="198"/>
        <v>5219.21</v>
      </c>
      <c r="N3146" s="5" t="str">
        <f t="shared" si="199"/>
        <v>April 2023</v>
      </c>
    </row>
    <row r="3147" spans="1:14" x14ac:dyDescent="0.25">
      <c r="A3147" s="1">
        <v>45019</v>
      </c>
      <c r="B3147" t="s">
        <v>455</v>
      </c>
      <c r="C3147">
        <v>46</v>
      </c>
      <c r="D3147" t="s">
        <v>9</v>
      </c>
      <c r="E3147" t="s">
        <v>22</v>
      </c>
      <c r="F3147" t="s">
        <v>11</v>
      </c>
      <c r="G3147" t="s">
        <v>36</v>
      </c>
      <c r="H3147">
        <v>4453.66</v>
      </c>
      <c r="I3147" s="8" t="str" cm="1">
        <f t="array" ref="I3147">_xlfn.IFS(C3147&lt;=15,"Children and Young Adolescents", C3147&gt;64, "Seniors", TRUE, "Working Age")</f>
        <v>Working Age</v>
      </c>
      <c r="J3147" s="6">
        <f>VLOOKUP(F3147,Analysis!$F$1:$G$5,2,FALSE)</f>
        <v>2503.6022787783854</v>
      </c>
      <c r="K3147">
        <f t="shared" si="196"/>
        <v>4899.0200000000004</v>
      </c>
      <c r="L3147">
        <f t="shared" si="197"/>
        <v>4899.0300000000007</v>
      </c>
      <c r="M3147">
        <f t="shared" si="198"/>
        <v>4899.03</v>
      </c>
      <c r="N3147" s="5" t="str">
        <f t="shared" si="199"/>
        <v>April 2023</v>
      </c>
    </row>
    <row r="3148" spans="1:14" x14ac:dyDescent="0.25">
      <c r="A3148" s="1">
        <v>45019</v>
      </c>
      <c r="B3148" t="s">
        <v>4407</v>
      </c>
      <c r="C3148">
        <v>29</v>
      </c>
      <c r="D3148" t="s">
        <v>9</v>
      </c>
      <c r="E3148" t="s">
        <v>25</v>
      </c>
      <c r="F3148" t="s">
        <v>11</v>
      </c>
      <c r="G3148" t="s">
        <v>17</v>
      </c>
      <c r="H3148">
        <v>117.55</v>
      </c>
      <c r="I3148" s="8" t="str" cm="1">
        <f t="array" ref="I3148">_xlfn.IFS(C3148&lt;=15,"Children and Young Adolescents", C3148&gt;64, "Seniors", TRUE, "Working Age")</f>
        <v>Working Age</v>
      </c>
      <c r="J3148" s="6">
        <f>VLOOKUP(F3148,Analysis!$F$1:$G$5,2,FALSE)</f>
        <v>2503.6022787783854</v>
      </c>
      <c r="K3148">
        <f t="shared" si="196"/>
        <v>129.30000000000001</v>
      </c>
      <c r="L3148">
        <f t="shared" si="197"/>
        <v>129.31</v>
      </c>
      <c r="M3148">
        <f t="shared" si="198"/>
        <v>129.31</v>
      </c>
      <c r="N3148" s="5" t="str">
        <f t="shared" si="199"/>
        <v>April 2023</v>
      </c>
    </row>
    <row r="3149" spans="1:14" x14ac:dyDescent="0.25">
      <c r="A3149" s="1">
        <v>45019</v>
      </c>
      <c r="B3149" t="s">
        <v>1960</v>
      </c>
      <c r="C3149">
        <v>50</v>
      </c>
      <c r="D3149" t="s">
        <v>9</v>
      </c>
      <c r="E3149" t="s">
        <v>15</v>
      </c>
      <c r="F3149" t="s">
        <v>29</v>
      </c>
      <c r="G3149" t="s">
        <v>17</v>
      </c>
      <c r="H3149">
        <v>4167.1400000000003</v>
      </c>
      <c r="I3149" s="8" t="str" cm="1">
        <f t="array" ref="I3149">_xlfn.IFS(C3149&lt;=15,"Children and Young Adolescents", C3149&gt;64, "Seniors", TRUE, "Working Age")</f>
        <v>Working Age</v>
      </c>
      <c r="J3149" s="6">
        <f>VLOOKUP(F3149,Analysis!$F$1:$G$5,2,FALSE)</f>
        <v>2496.7676064256989</v>
      </c>
      <c r="K3149">
        <f t="shared" si="196"/>
        <v>4583.8500000000004</v>
      </c>
      <c r="L3149">
        <f t="shared" si="197"/>
        <v>4583.8600000000006</v>
      </c>
      <c r="M3149">
        <f t="shared" si="198"/>
        <v>4583.8500000000004</v>
      </c>
      <c r="N3149" s="5" t="str">
        <f t="shared" si="199"/>
        <v>April 2023</v>
      </c>
    </row>
    <row r="3150" spans="1:14" x14ac:dyDescent="0.25">
      <c r="A3150" s="1">
        <v>45019</v>
      </c>
      <c r="B3150" t="s">
        <v>1656</v>
      </c>
      <c r="C3150">
        <v>1</v>
      </c>
      <c r="D3150" t="s">
        <v>9</v>
      </c>
      <c r="E3150" t="s">
        <v>34</v>
      </c>
      <c r="F3150" t="s">
        <v>23</v>
      </c>
      <c r="G3150" t="s">
        <v>12</v>
      </c>
      <c r="H3150">
        <v>3353.68</v>
      </c>
      <c r="I3150" s="8" t="str" cm="1">
        <f t="array" ref="I3150">_xlfn.IFS(C3150&lt;=15,"Children and Young Adolescents", C3150&gt;64, "Seniors", TRUE, "Working Age")</f>
        <v>Children and Young Adolescents</v>
      </c>
      <c r="J3150" s="6">
        <f>VLOOKUP(F3150,Analysis!$F$1:$G$5,2,FALSE)</f>
        <v>2440.2966694490838</v>
      </c>
      <c r="K3150">
        <f t="shared" si="196"/>
        <v>3689.04</v>
      </c>
      <c r="L3150">
        <f t="shared" si="197"/>
        <v>3689.05</v>
      </c>
      <c r="M3150">
        <f t="shared" si="198"/>
        <v>3689.05</v>
      </c>
      <c r="N3150" s="5" t="str">
        <f t="shared" si="199"/>
        <v>April 2023</v>
      </c>
    </row>
    <row r="3151" spans="1:14" x14ac:dyDescent="0.25">
      <c r="A3151" s="1">
        <v>45019</v>
      </c>
      <c r="B3151" t="s">
        <v>2249</v>
      </c>
      <c r="C3151">
        <v>78</v>
      </c>
      <c r="D3151" t="s">
        <v>9</v>
      </c>
      <c r="E3151" t="s">
        <v>34</v>
      </c>
      <c r="F3151" t="s">
        <v>11</v>
      </c>
      <c r="G3151" t="s">
        <v>12</v>
      </c>
      <c r="H3151">
        <v>3298.24</v>
      </c>
      <c r="I3151" s="8" t="str" cm="1">
        <f t="array" ref="I3151">_xlfn.IFS(C3151&lt;=15,"Children and Young Adolescents", C3151&gt;64, "Seniors", TRUE, "Working Age")</f>
        <v>Seniors</v>
      </c>
      <c r="J3151" s="6">
        <f>VLOOKUP(F3151,Analysis!$F$1:$G$5,2,FALSE)</f>
        <v>2503.6022787783854</v>
      </c>
      <c r="K3151">
        <f t="shared" si="196"/>
        <v>3628.06</v>
      </c>
      <c r="L3151">
        <f t="shared" si="197"/>
        <v>3628.07</v>
      </c>
      <c r="M3151">
        <f t="shared" si="198"/>
        <v>3628.06</v>
      </c>
      <c r="N3151" s="5" t="str">
        <f t="shared" si="199"/>
        <v>April 2023</v>
      </c>
    </row>
    <row r="3152" spans="1:14" x14ac:dyDescent="0.25">
      <c r="A3152" s="1">
        <v>45019</v>
      </c>
      <c r="B3152" t="s">
        <v>426</v>
      </c>
      <c r="C3152">
        <v>34</v>
      </c>
      <c r="D3152" t="s">
        <v>21</v>
      </c>
      <c r="E3152" t="s">
        <v>5032</v>
      </c>
      <c r="F3152" t="s">
        <v>11</v>
      </c>
      <c r="G3152" t="s">
        <v>36</v>
      </c>
      <c r="H3152">
        <v>2338.5700000000002</v>
      </c>
      <c r="I3152" s="8" t="str" cm="1">
        <f t="array" ref="I3152">_xlfn.IFS(C3152&lt;=15,"Children and Young Adolescents", C3152&gt;64, "Seniors", TRUE, "Working Age")</f>
        <v>Working Age</v>
      </c>
      <c r="J3152" s="6">
        <f>VLOOKUP(F3152,Analysis!$F$1:$G$5,2,FALSE)</f>
        <v>2503.6022787783854</v>
      </c>
      <c r="K3152">
        <f t="shared" si="196"/>
        <v>2572.42</v>
      </c>
      <c r="L3152">
        <f t="shared" si="197"/>
        <v>2572.4300000000003</v>
      </c>
      <c r="M3152">
        <f t="shared" si="198"/>
        <v>2572.4299999999998</v>
      </c>
      <c r="N3152" s="5" t="str">
        <f t="shared" si="199"/>
        <v>April 2023</v>
      </c>
    </row>
    <row r="3153" spans="1:14" x14ac:dyDescent="0.25">
      <c r="A3153" s="1">
        <v>45019</v>
      </c>
      <c r="B3153" t="s">
        <v>4428</v>
      </c>
      <c r="C3153">
        <v>69</v>
      </c>
      <c r="D3153" t="s">
        <v>9</v>
      </c>
      <c r="E3153" t="s">
        <v>25</v>
      </c>
      <c r="F3153" t="s">
        <v>11</v>
      </c>
      <c r="G3153" t="s">
        <v>36</v>
      </c>
      <c r="H3153">
        <v>3356.17</v>
      </c>
      <c r="I3153" s="8" t="str" cm="1">
        <f t="array" ref="I3153">_xlfn.IFS(C3153&lt;=15,"Children and Young Adolescents", C3153&gt;64, "Seniors", TRUE, "Working Age")</f>
        <v>Seniors</v>
      </c>
      <c r="J3153" s="6">
        <f>VLOOKUP(F3153,Analysis!$F$1:$G$5,2,FALSE)</f>
        <v>2503.6022787783854</v>
      </c>
      <c r="K3153">
        <f t="shared" si="196"/>
        <v>3691.78</v>
      </c>
      <c r="L3153">
        <f t="shared" si="197"/>
        <v>3691.7900000000004</v>
      </c>
      <c r="M3153">
        <f t="shared" si="198"/>
        <v>3691.79</v>
      </c>
      <c r="N3153" s="5" t="str">
        <f t="shared" si="199"/>
        <v>April 2023</v>
      </c>
    </row>
    <row r="3154" spans="1:14" x14ac:dyDescent="0.25">
      <c r="A3154" s="1">
        <v>45020</v>
      </c>
      <c r="B3154" t="s">
        <v>2961</v>
      </c>
      <c r="C3154">
        <v>57</v>
      </c>
      <c r="D3154" t="s">
        <v>21</v>
      </c>
      <c r="E3154" t="s">
        <v>19</v>
      </c>
      <c r="F3154" t="s">
        <v>11</v>
      </c>
      <c r="G3154" t="s">
        <v>12</v>
      </c>
      <c r="H3154">
        <v>2804.78</v>
      </c>
      <c r="I3154" s="8" t="str" cm="1">
        <f t="array" ref="I3154">_xlfn.IFS(C3154&lt;=15,"Children and Young Adolescents", C3154&gt;64, "Seniors", TRUE, "Working Age")</f>
        <v>Working Age</v>
      </c>
      <c r="J3154" s="6">
        <f>VLOOKUP(F3154,Analysis!$F$1:$G$5,2,FALSE)</f>
        <v>2503.6022787783854</v>
      </c>
      <c r="K3154">
        <f t="shared" si="196"/>
        <v>3085.25</v>
      </c>
      <c r="L3154">
        <f t="shared" si="197"/>
        <v>3085.26</v>
      </c>
      <c r="M3154">
        <f t="shared" si="198"/>
        <v>3085.26</v>
      </c>
      <c r="N3154" s="5" t="str">
        <f t="shared" si="199"/>
        <v>April 2023</v>
      </c>
    </row>
    <row r="3155" spans="1:14" x14ac:dyDescent="0.25">
      <c r="A3155" s="1">
        <v>45020</v>
      </c>
      <c r="B3155" t="s">
        <v>2806</v>
      </c>
      <c r="C3155">
        <v>58</v>
      </c>
      <c r="D3155" t="s">
        <v>21</v>
      </c>
      <c r="E3155" t="s">
        <v>22</v>
      </c>
      <c r="F3155" t="s">
        <v>23</v>
      </c>
      <c r="G3155" t="s">
        <v>39</v>
      </c>
      <c r="H3155">
        <v>4667.76</v>
      </c>
      <c r="I3155" s="8" t="str" cm="1">
        <f t="array" ref="I3155">_xlfn.IFS(C3155&lt;=15,"Children and Young Adolescents", C3155&gt;64, "Seniors", TRUE, "Working Age")</f>
        <v>Working Age</v>
      </c>
      <c r="J3155" s="6">
        <f>VLOOKUP(F3155,Analysis!$F$1:$G$5,2,FALSE)</f>
        <v>2440.2966694490838</v>
      </c>
      <c r="K3155">
        <f t="shared" si="196"/>
        <v>5134.53</v>
      </c>
      <c r="L3155">
        <f t="shared" si="197"/>
        <v>5134.54</v>
      </c>
      <c r="M3155">
        <f t="shared" si="198"/>
        <v>5134.54</v>
      </c>
      <c r="N3155" s="5" t="str">
        <f t="shared" si="199"/>
        <v>April 2023</v>
      </c>
    </row>
    <row r="3156" spans="1:14" x14ac:dyDescent="0.25">
      <c r="A3156" s="1">
        <v>45020</v>
      </c>
      <c r="B3156" t="s">
        <v>825</v>
      </c>
      <c r="C3156">
        <v>95</v>
      </c>
      <c r="D3156" t="s">
        <v>9</v>
      </c>
      <c r="E3156" t="s">
        <v>32</v>
      </c>
      <c r="F3156" t="s">
        <v>11</v>
      </c>
      <c r="G3156" t="s">
        <v>12</v>
      </c>
      <c r="H3156">
        <v>2953.22</v>
      </c>
      <c r="I3156" s="8" t="str" cm="1">
        <f t="array" ref="I3156">_xlfn.IFS(C3156&lt;=15,"Children and Young Adolescents", C3156&gt;64, "Seniors", TRUE, "Working Age")</f>
        <v>Seniors</v>
      </c>
      <c r="J3156" s="6">
        <f>VLOOKUP(F3156,Analysis!$F$1:$G$5,2,FALSE)</f>
        <v>2503.6022787783854</v>
      </c>
      <c r="K3156">
        <f t="shared" si="196"/>
        <v>3248.54</v>
      </c>
      <c r="L3156">
        <f t="shared" si="197"/>
        <v>3248.55</v>
      </c>
      <c r="M3156">
        <f t="shared" si="198"/>
        <v>3248.54</v>
      </c>
      <c r="N3156" s="5" t="str">
        <f t="shared" si="199"/>
        <v>April 2023</v>
      </c>
    </row>
    <row r="3157" spans="1:14" x14ac:dyDescent="0.25">
      <c r="A3157" s="1">
        <v>45020</v>
      </c>
      <c r="B3157" t="s">
        <v>692</v>
      </c>
      <c r="C3157">
        <v>24</v>
      </c>
      <c r="D3157" t="s">
        <v>21</v>
      </c>
      <c r="E3157" t="s">
        <v>19</v>
      </c>
      <c r="F3157" t="s">
        <v>29</v>
      </c>
      <c r="G3157" t="s">
        <v>17</v>
      </c>
      <c r="H3157">
        <v>2834.53</v>
      </c>
      <c r="I3157" s="8" t="str" cm="1">
        <f t="array" ref="I3157">_xlfn.IFS(C3157&lt;=15,"Children and Young Adolescents", C3157&gt;64, "Seniors", TRUE, "Working Age")</f>
        <v>Working Age</v>
      </c>
      <c r="J3157" s="6">
        <f>VLOOKUP(F3157,Analysis!$F$1:$G$5,2,FALSE)</f>
        <v>2496.7676064256989</v>
      </c>
      <c r="K3157">
        <f t="shared" si="196"/>
        <v>3117.98</v>
      </c>
      <c r="L3157">
        <f t="shared" si="197"/>
        <v>3117.9900000000002</v>
      </c>
      <c r="M3157">
        <f t="shared" si="198"/>
        <v>3117.98</v>
      </c>
      <c r="N3157" s="5" t="str">
        <f t="shared" si="199"/>
        <v>April 2023</v>
      </c>
    </row>
    <row r="3158" spans="1:14" x14ac:dyDescent="0.25">
      <c r="A3158" s="1">
        <v>45020</v>
      </c>
      <c r="B3158" t="s">
        <v>1406</v>
      </c>
      <c r="C3158">
        <v>54</v>
      </c>
      <c r="D3158" t="s">
        <v>21</v>
      </c>
      <c r="E3158" t="s">
        <v>19</v>
      </c>
      <c r="F3158" t="s">
        <v>11</v>
      </c>
      <c r="G3158" t="s">
        <v>12</v>
      </c>
      <c r="H3158">
        <v>2787</v>
      </c>
      <c r="I3158" s="8" t="str" cm="1">
        <f t="array" ref="I3158">_xlfn.IFS(C3158&lt;=15,"Children and Young Adolescents", C3158&gt;64, "Seniors", TRUE, "Working Age")</f>
        <v>Working Age</v>
      </c>
      <c r="J3158" s="6">
        <f>VLOOKUP(F3158,Analysis!$F$1:$G$5,2,FALSE)</f>
        <v>2503.6022787783854</v>
      </c>
      <c r="K3158">
        <f t="shared" si="196"/>
        <v>3065.7</v>
      </c>
      <c r="L3158">
        <f t="shared" si="197"/>
        <v>3065.7</v>
      </c>
      <c r="M3158">
        <f t="shared" si="198"/>
        <v>3065.7</v>
      </c>
      <c r="N3158" s="5" t="str">
        <f t="shared" si="199"/>
        <v>April 2023</v>
      </c>
    </row>
    <row r="3159" spans="1:14" x14ac:dyDescent="0.25">
      <c r="A3159" s="1">
        <v>45020</v>
      </c>
      <c r="B3159" t="s">
        <v>4649</v>
      </c>
      <c r="C3159">
        <v>15</v>
      </c>
      <c r="D3159" t="s">
        <v>14</v>
      </c>
      <c r="E3159" t="s">
        <v>22</v>
      </c>
      <c r="F3159" t="s">
        <v>23</v>
      </c>
      <c r="G3159" t="s">
        <v>36</v>
      </c>
      <c r="H3159">
        <v>3958.63</v>
      </c>
      <c r="I3159" s="8" t="str" cm="1">
        <f t="array" ref="I3159">_xlfn.IFS(C3159&lt;=15,"Children and Young Adolescents", C3159&gt;64, "Seniors", TRUE, "Working Age")</f>
        <v>Children and Young Adolescents</v>
      </c>
      <c r="J3159" s="6">
        <f>VLOOKUP(F3159,Analysis!$F$1:$G$5,2,FALSE)</f>
        <v>2440.2966694490838</v>
      </c>
      <c r="K3159">
        <f t="shared" si="196"/>
        <v>4354.49</v>
      </c>
      <c r="L3159">
        <f t="shared" si="197"/>
        <v>4354.5</v>
      </c>
      <c r="M3159">
        <f t="shared" si="198"/>
        <v>4354.49</v>
      </c>
      <c r="N3159" s="5" t="str">
        <f t="shared" si="199"/>
        <v>April 2023</v>
      </c>
    </row>
    <row r="3160" spans="1:14" x14ac:dyDescent="0.25">
      <c r="A3160" s="1">
        <v>45020</v>
      </c>
      <c r="B3160" t="s">
        <v>592</v>
      </c>
      <c r="C3160">
        <v>60</v>
      </c>
      <c r="D3160" t="s">
        <v>14</v>
      </c>
      <c r="E3160" t="s">
        <v>15</v>
      </c>
      <c r="F3160" t="s">
        <v>11</v>
      </c>
      <c r="G3160" t="s">
        <v>36</v>
      </c>
      <c r="H3160">
        <v>3576.57</v>
      </c>
      <c r="I3160" s="8" t="str" cm="1">
        <f t="array" ref="I3160">_xlfn.IFS(C3160&lt;=15,"Children and Young Adolescents", C3160&gt;64, "Seniors", TRUE, "Working Age")</f>
        <v>Working Age</v>
      </c>
      <c r="J3160" s="6">
        <f>VLOOKUP(F3160,Analysis!$F$1:$G$5,2,FALSE)</f>
        <v>2503.6022787783854</v>
      </c>
      <c r="K3160">
        <f t="shared" si="196"/>
        <v>3934.22</v>
      </c>
      <c r="L3160">
        <f t="shared" si="197"/>
        <v>3934.23</v>
      </c>
      <c r="M3160">
        <f t="shared" si="198"/>
        <v>3934.23</v>
      </c>
      <c r="N3160" s="5" t="str">
        <f t="shared" si="199"/>
        <v>April 2023</v>
      </c>
    </row>
    <row r="3161" spans="1:14" x14ac:dyDescent="0.25">
      <c r="A3161" s="1">
        <v>45020</v>
      </c>
      <c r="B3161" t="s">
        <v>2577</v>
      </c>
      <c r="C3161">
        <v>53</v>
      </c>
      <c r="D3161" t="s">
        <v>14</v>
      </c>
      <c r="E3161" t="s">
        <v>22</v>
      </c>
      <c r="F3161" t="s">
        <v>29</v>
      </c>
      <c r="G3161" t="s">
        <v>27</v>
      </c>
      <c r="H3161">
        <v>795.27</v>
      </c>
      <c r="I3161" s="8" t="str" cm="1">
        <f t="array" ref="I3161">_xlfn.IFS(C3161&lt;=15,"Children and Young Adolescents", C3161&gt;64, "Seniors", TRUE, "Working Age")</f>
        <v>Working Age</v>
      </c>
      <c r="J3161" s="6">
        <f>VLOOKUP(F3161,Analysis!$F$1:$G$5,2,FALSE)</f>
        <v>2496.7676064256989</v>
      </c>
      <c r="K3161">
        <f t="shared" si="196"/>
        <v>874.79</v>
      </c>
      <c r="L3161">
        <f t="shared" si="197"/>
        <v>874.8</v>
      </c>
      <c r="M3161">
        <f t="shared" si="198"/>
        <v>874.8</v>
      </c>
      <c r="N3161" s="5" t="str">
        <f t="shared" si="199"/>
        <v>April 2023</v>
      </c>
    </row>
    <row r="3162" spans="1:14" x14ac:dyDescent="0.25">
      <c r="A3162" s="1">
        <v>45021</v>
      </c>
      <c r="B3162" t="s">
        <v>1859</v>
      </c>
      <c r="C3162">
        <v>50</v>
      </c>
      <c r="D3162" t="s">
        <v>14</v>
      </c>
      <c r="E3162" t="s">
        <v>22</v>
      </c>
      <c r="F3162" t="s">
        <v>16</v>
      </c>
      <c r="G3162" t="s">
        <v>12</v>
      </c>
      <c r="H3162">
        <v>1527.78</v>
      </c>
      <c r="I3162" s="8" t="str" cm="1">
        <f t="array" ref="I3162">_xlfn.IFS(C3162&lt;=15,"Children and Young Adolescents", C3162&gt;64, "Seniors", TRUE, "Working Age")</f>
        <v>Working Age</v>
      </c>
      <c r="J3162" s="6">
        <f>VLOOKUP(F3162,Analysis!$F$1:$G$5,2,FALSE)</f>
        <v>2509.1716796874912</v>
      </c>
      <c r="K3162">
        <f t="shared" si="196"/>
        <v>1680.55</v>
      </c>
      <c r="L3162">
        <f t="shared" si="197"/>
        <v>1680.56</v>
      </c>
      <c r="M3162">
        <f t="shared" si="198"/>
        <v>1680.56</v>
      </c>
      <c r="N3162" s="5" t="str">
        <f t="shared" si="199"/>
        <v>April 2023</v>
      </c>
    </row>
    <row r="3163" spans="1:14" x14ac:dyDescent="0.25">
      <c r="A3163" s="1">
        <v>45021</v>
      </c>
      <c r="B3163" t="s">
        <v>3346</v>
      </c>
      <c r="C3163">
        <v>77</v>
      </c>
      <c r="D3163" t="s">
        <v>9</v>
      </c>
      <c r="E3163" t="s">
        <v>32</v>
      </c>
      <c r="F3163" t="s">
        <v>16</v>
      </c>
      <c r="G3163" t="s">
        <v>17</v>
      </c>
      <c r="H3163">
        <v>4942.53</v>
      </c>
      <c r="I3163" s="8" t="str" cm="1">
        <f t="array" ref="I3163">_xlfn.IFS(C3163&lt;=15,"Children and Young Adolescents", C3163&gt;64, "Seniors", TRUE, "Working Age")</f>
        <v>Seniors</v>
      </c>
      <c r="J3163" s="6">
        <f>VLOOKUP(F3163,Analysis!$F$1:$G$5,2,FALSE)</f>
        <v>2509.1716796874912</v>
      </c>
      <c r="K3163">
        <f t="shared" si="196"/>
        <v>5436.78</v>
      </c>
      <c r="L3163">
        <f t="shared" si="197"/>
        <v>5436.79</v>
      </c>
      <c r="M3163">
        <f t="shared" si="198"/>
        <v>5436.78</v>
      </c>
      <c r="N3163" s="5" t="str">
        <f t="shared" si="199"/>
        <v>April 2023</v>
      </c>
    </row>
    <row r="3164" spans="1:14" x14ac:dyDescent="0.25">
      <c r="A3164" s="1">
        <v>45022</v>
      </c>
      <c r="B3164" t="s">
        <v>3179</v>
      </c>
      <c r="C3164">
        <v>84</v>
      </c>
      <c r="D3164" t="s">
        <v>21</v>
      </c>
      <c r="E3164" t="s">
        <v>34</v>
      </c>
      <c r="F3164" t="s">
        <v>16</v>
      </c>
      <c r="G3164" t="s">
        <v>39</v>
      </c>
      <c r="H3164">
        <v>1061.75</v>
      </c>
      <c r="I3164" s="8" t="str" cm="1">
        <f t="array" ref="I3164">_xlfn.IFS(C3164&lt;=15,"Children and Young Adolescents", C3164&gt;64, "Seniors", TRUE, "Working Age")</f>
        <v>Seniors</v>
      </c>
      <c r="J3164" s="6">
        <f>VLOOKUP(F3164,Analysis!$F$1:$G$5,2,FALSE)</f>
        <v>2509.1716796874912</v>
      </c>
      <c r="K3164">
        <f t="shared" si="196"/>
        <v>1167.92</v>
      </c>
      <c r="L3164">
        <f t="shared" si="197"/>
        <v>1167.93</v>
      </c>
      <c r="M3164">
        <f t="shared" si="198"/>
        <v>1167.93</v>
      </c>
      <c r="N3164" s="5" t="str">
        <f t="shared" si="199"/>
        <v>April 2023</v>
      </c>
    </row>
    <row r="3165" spans="1:14" x14ac:dyDescent="0.25">
      <c r="A3165" s="1">
        <v>45022</v>
      </c>
      <c r="B3165" t="s">
        <v>2354</v>
      </c>
      <c r="C3165">
        <v>49</v>
      </c>
      <c r="D3165" t="s">
        <v>21</v>
      </c>
      <c r="E3165" t="s">
        <v>10</v>
      </c>
      <c r="F3165" t="s">
        <v>29</v>
      </c>
      <c r="G3165" t="s">
        <v>17</v>
      </c>
      <c r="H3165">
        <v>1437.38</v>
      </c>
      <c r="I3165" s="8" t="str" cm="1">
        <f t="array" ref="I3165">_xlfn.IFS(C3165&lt;=15,"Children and Young Adolescents", C3165&gt;64, "Seniors", TRUE, "Working Age")</f>
        <v>Working Age</v>
      </c>
      <c r="J3165" s="6">
        <f>VLOOKUP(F3165,Analysis!$F$1:$G$5,2,FALSE)</f>
        <v>2496.7676064256989</v>
      </c>
      <c r="K3165">
        <f t="shared" si="196"/>
        <v>1581.11</v>
      </c>
      <c r="L3165">
        <f t="shared" si="197"/>
        <v>1581.12</v>
      </c>
      <c r="M3165">
        <f t="shared" si="198"/>
        <v>1581.12</v>
      </c>
      <c r="N3165" s="5" t="str">
        <f t="shared" si="199"/>
        <v>April 2023</v>
      </c>
    </row>
    <row r="3166" spans="1:14" x14ac:dyDescent="0.25">
      <c r="A3166" s="1">
        <v>45022</v>
      </c>
      <c r="B3166" t="s">
        <v>703</v>
      </c>
      <c r="C3166">
        <v>89</v>
      </c>
      <c r="D3166" t="s">
        <v>9</v>
      </c>
      <c r="E3166" t="s">
        <v>5032</v>
      </c>
      <c r="F3166" t="s">
        <v>29</v>
      </c>
      <c r="G3166" t="s">
        <v>27</v>
      </c>
      <c r="H3166">
        <v>2843.89</v>
      </c>
      <c r="I3166" s="8" t="str" cm="1">
        <f t="array" ref="I3166">_xlfn.IFS(C3166&lt;=15,"Children and Young Adolescents", C3166&gt;64, "Seniors", TRUE, "Working Age")</f>
        <v>Seniors</v>
      </c>
      <c r="J3166" s="6">
        <f>VLOOKUP(F3166,Analysis!$F$1:$G$5,2,FALSE)</f>
        <v>2496.7676064256989</v>
      </c>
      <c r="K3166">
        <f t="shared" si="196"/>
        <v>3128.27</v>
      </c>
      <c r="L3166">
        <f t="shared" si="197"/>
        <v>3128.28</v>
      </c>
      <c r="M3166">
        <f t="shared" si="198"/>
        <v>3128.28</v>
      </c>
      <c r="N3166" s="5" t="str">
        <f t="shared" si="199"/>
        <v>April 2023</v>
      </c>
    </row>
    <row r="3167" spans="1:14" x14ac:dyDescent="0.25">
      <c r="A3167" s="1">
        <v>45022</v>
      </c>
      <c r="B3167" t="s">
        <v>1609</v>
      </c>
      <c r="C3167">
        <v>21</v>
      </c>
      <c r="D3167" t="s">
        <v>21</v>
      </c>
      <c r="E3167" t="s">
        <v>25</v>
      </c>
      <c r="F3167" t="s">
        <v>16</v>
      </c>
      <c r="G3167" t="s">
        <v>17</v>
      </c>
      <c r="H3167">
        <v>4517.07</v>
      </c>
      <c r="I3167" s="8" t="str" cm="1">
        <f t="array" ref="I3167">_xlfn.IFS(C3167&lt;=15,"Children and Young Adolescents", C3167&gt;64, "Seniors", TRUE, "Working Age")</f>
        <v>Working Age</v>
      </c>
      <c r="J3167" s="6">
        <f>VLOOKUP(F3167,Analysis!$F$1:$G$5,2,FALSE)</f>
        <v>2509.1716796874912</v>
      </c>
      <c r="K3167">
        <f t="shared" si="196"/>
        <v>4968.7700000000004</v>
      </c>
      <c r="L3167">
        <f t="shared" si="197"/>
        <v>4968.7800000000007</v>
      </c>
      <c r="M3167">
        <f t="shared" si="198"/>
        <v>4968.78</v>
      </c>
      <c r="N3167" s="5" t="str">
        <f t="shared" si="199"/>
        <v>April 2023</v>
      </c>
    </row>
    <row r="3168" spans="1:14" x14ac:dyDescent="0.25">
      <c r="A3168" s="1">
        <v>45022</v>
      </c>
      <c r="B3168" t="s">
        <v>1012</v>
      </c>
      <c r="C3168">
        <v>71</v>
      </c>
      <c r="D3168" t="s">
        <v>14</v>
      </c>
      <c r="E3168" t="s">
        <v>34</v>
      </c>
      <c r="F3168" t="s">
        <v>16</v>
      </c>
      <c r="G3168" t="s">
        <v>12</v>
      </c>
      <c r="H3168">
        <v>763.91</v>
      </c>
      <c r="I3168" s="8" t="str" cm="1">
        <f t="array" ref="I3168">_xlfn.IFS(C3168&lt;=15,"Children and Young Adolescents", C3168&gt;64, "Seniors", TRUE, "Working Age")</f>
        <v>Seniors</v>
      </c>
      <c r="J3168" s="6">
        <f>VLOOKUP(F3168,Analysis!$F$1:$G$5,2,FALSE)</f>
        <v>2509.1716796874912</v>
      </c>
      <c r="K3168">
        <f t="shared" si="196"/>
        <v>840.3</v>
      </c>
      <c r="L3168">
        <f t="shared" si="197"/>
        <v>840.31</v>
      </c>
      <c r="M3168">
        <f t="shared" si="198"/>
        <v>840.3</v>
      </c>
      <c r="N3168" s="5" t="str">
        <f t="shared" si="199"/>
        <v>April 2023</v>
      </c>
    </row>
    <row r="3169" spans="1:14" x14ac:dyDescent="0.25">
      <c r="A3169" s="1">
        <v>45023</v>
      </c>
      <c r="B3169" t="s">
        <v>1301</v>
      </c>
      <c r="C3169">
        <v>45</v>
      </c>
      <c r="D3169" t="s">
        <v>14</v>
      </c>
      <c r="E3169" t="s">
        <v>10</v>
      </c>
      <c r="F3169" t="s">
        <v>23</v>
      </c>
      <c r="G3169" t="s">
        <v>36</v>
      </c>
      <c r="H3169">
        <v>3266.23</v>
      </c>
      <c r="I3169" s="8" t="str" cm="1">
        <f t="array" ref="I3169">_xlfn.IFS(C3169&lt;=15,"Children and Young Adolescents", C3169&gt;64, "Seniors", TRUE, "Working Age")</f>
        <v>Working Age</v>
      </c>
      <c r="J3169" s="6">
        <f>VLOOKUP(F3169,Analysis!$F$1:$G$5,2,FALSE)</f>
        <v>2440.2966694490838</v>
      </c>
      <c r="K3169">
        <f t="shared" si="196"/>
        <v>3592.85</v>
      </c>
      <c r="L3169">
        <f t="shared" si="197"/>
        <v>3592.86</v>
      </c>
      <c r="M3169">
        <f t="shared" si="198"/>
        <v>3592.85</v>
      </c>
      <c r="N3169" s="5" t="str">
        <f t="shared" si="199"/>
        <v>April 2023</v>
      </c>
    </row>
    <row r="3170" spans="1:14" x14ac:dyDescent="0.25">
      <c r="A3170" s="1">
        <v>45023</v>
      </c>
      <c r="B3170" t="s">
        <v>2509</v>
      </c>
      <c r="C3170">
        <v>13</v>
      </c>
      <c r="D3170" t="s">
        <v>14</v>
      </c>
      <c r="E3170" t="s">
        <v>5032</v>
      </c>
      <c r="F3170" t="s">
        <v>11</v>
      </c>
      <c r="G3170" t="s">
        <v>12</v>
      </c>
      <c r="H3170">
        <v>1402.38</v>
      </c>
      <c r="I3170" s="8" t="str" cm="1">
        <f t="array" ref="I3170">_xlfn.IFS(C3170&lt;=15,"Children and Young Adolescents", C3170&gt;64, "Seniors", TRUE, "Working Age")</f>
        <v>Children and Young Adolescents</v>
      </c>
      <c r="J3170" s="6">
        <f>VLOOKUP(F3170,Analysis!$F$1:$G$5,2,FALSE)</f>
        <v>2503.6022787783854</v>
      </c>
      <c r="K3170">
        <f t="shared" si="196"/>
        <v>1542.61</v>
      </c>
      <c r="L3170">
        <f t="shared" si="197"/>
        <v>1542.62</v>
      </c>
      <c r="M3170">
        <f t="shared" si="198"/>
        <v>1542.62</v>
      </c>
      <c r="N3170" s="5" t="str">
        <f t="shared" si="199"/>
        <v>April 2023</v>
      </c>
    </row>
    <row r="3171" spans="1:14" x14ac:dyDescent="0.25">
      <c r="A3171" s="1">
        <v>45023</v>
      </c>
      <c r="B3171" t="s">
        <v>4766</v>
      </c>
      <c r="C3171">
        <v>40</v>
      </c>
      <c r="D3171" t="s">
        <v>21</v>
      </c>
      <c r="E3171" t="s">
        <v>15</v>
      </c>
      <c r="F3171" t="s">
        <v>11</v>
      </c>
      <c r="G3171" t="s">
        <v>17</v>
      </c>
      <c r="H3171">
        <v>1089.29</v>
      </c>
      <c r="I3171" s="8" t="str" cm="1">
        <f t="array" ref="I3171">_xlfn.IFS(C3171&lt;=15,"Children and Young Adolescents", C3171&gt;64, "Seniors", TRUE, "Working Age")</f>
        <v>Working Age</v>
      </c>
      <c r="J3171" s="6">
        <f>VLOOKUP(F3171,Analysis!$F$1:$G$5,2,FALSE)</f>
        <v>2503.6022787783854</v>
      </c>
      <c r="K3171">
        <f t="shared" si="196"/>
        <v>1198.21</v>
      </c>
      <c r="L3171">
        <f t="shared" si="197"/>
        <v>1198.22</v>
      </c>
      <c r="M3171">
        <f t="shared" si="198"/>
        <v>1198.22</v>
      </c>
      <c r="N3171" s="5" t="str">
        <f t="shared" si="199"/>
        <v>April 2023</v>
      </c>
    </row>
    <row r="3172" spans="1:14" x14ac:dyDescent="0.25">
      <c r="A3172" s="1">
        <v>45023</v>
      </c>
      <c r="B3172" t="s">
        <v>1179</v>
      </c>
      <c r="C3172">
        <v>34</v>
      </c>
      <c r="D3172" t="s">
        <v>14</v>
      </c>
      <c r="E3172" t="s">
        <v>32</v>
      </c>
      <c r="F3172" t="s">
        <v>29</v>
      </c>
      <c r="G3172" t="s">
        <v>27</v>
      </c>
      <c r="H3172">
        <v>2910.49</v>
      </c>
      <c r="I3172" s="8" t="str" cm="1">
        <f t="array" ref="I3172">_xlfn.IFS(C3172&lt;=15,"Children and Young Adolescents", C3172&gt;64, "Seniors", TRUE, "Working Age")</f>
        <v>Working Age</v>
      </c>
      <c r="J3172" s="6">
        <f>VLOOKUP(F3172,Analysis!$F$1:$G$5,2,FALSE)</f>
        <v>2496.7676064256989</v>
      </c>
      <c r="K3172">
        <f t="shared" si="196"/>
        <v>3201.53</v>
      </c>
      <c r="L3172">
        <f t="shared" si="197"/>
        <v>3201.5400000000004</v>
      </c>
      <c r="M3172">
        <f t="shared" si="198"/>
        <v>3201.54</v>
      </c>
      <c r="N3172" s="5" t="str">
        <f t="shared" si="199"/>
        <v>April 2023</v>
      </c>
    </row>
    <row r="3173" spans="1:14" x14ac:dyDescent="0.25">
      <c r="A3173" s="1">
        <v>45023</v>
      </c>
      <c r="B3173" t="s">
        <v>4146</v>
      </c>
      <c r="C3173">
        <v>55</v>
      </c>
      <c r="D3173" t="s">
        <v>14</v>
      </c>
      <c r="E3173" t="s">
        <v>25</v>
      </c>
      <c r="F3173" t="s">
        <v>23</v>
      </c>
      <c r="G3173" t="s">
        <v>27</v>
      </c>
      <c r="H3173">
        <v>986.69</v>
      </c>
      <c r="I3173" s="8" t="str" cm="1">
        <f t="array" ref="I3173">_xlfn.IFS(C3173&lt;=15,"Children and Young Adolescents", C3173&gt;64, "Seniors", TRUE, "Working Age")</f>
        <v>Working Age</v>
      </c>
      <c r="J3173" s="6">
        <f>VLOOKUP(F3173,Analysis!$F$1:$G$5,2,FALSE)</f>
        <v>2440.2966694490838</v>
      </c>
      <c r="K3173">
        <f t="shared" si="196"/>
        <v>1085.3499999999999</v>
      </c>
      <c r="L3173">
        <f t="shared" si="197"/>
        <v>1085.3599999999999</v>
      </c>
      <c r="M3173">
        <f t="shared" si="198"/>
        <v>1085.3599999999999</v>
      </c>
      <c r="N3173" s="5" t="str">
        <f t="shared" si="199"/>
        <v>April 2023</v>
      </c>
    </row>
    <row r="3174" spans="1:14" x14ac:dyDescent="0.25">
      <c r="A3174" s="1">
        <v>45023</v>
      </c>
      <c r="B3174" t="s">
        <v>1935</v>
      </c>
      <c r="C3174">
        <v>48</v>
      </c>
      <c r="D3174" t="s">
        <v>21</v>
      </c>
      <c r="E3174" t="s">
        <v>22</v>
      </c>
      <c r="F3174" t="s">
        <v>11</v>
      </c>
      <c r="G3174" t="s">
        <v>17</v>
      </c>
      <c r="H3174">
        <v>104.57</v>
      </c>
      <c r="I3174" s="8" t="str" cm="1">
        <f t="array" ref="I3174">_xlfn.IFS(C3174&lt;=15,"Children and Young Adolescents", C3174&gt;64, "Seniors", TRUE, "Working Age")</f>
        <v>Working Age</v>
      </c>
      <c r="J3174" s="6">
        <f>VLOOKUP(F3174,Analysis!$F$1:$G$5,2,FALSE)</f>
        <v>2503.6022787783854</v>
      </c>
      <c r="K3174">
        <f t="shared" si="196"/>
        <v>115.02</v>
      </c>
      <c r="L3174">
        <f t="shared" si="197"/>
        <v>115.03</v>
      </c>
      <c r="M3174">
        <f t="shared" si="198"/>
        <v>115.03</v>
      </c>
      <c r="N3174" s="5" t="str">
        <f t="shared" si="199"/>
        <v>April 2023</v>
      </c>
    </row>
    <row r="3175" spans="1:14" x14ac:dyDescent="0.25">
      <c r="A3175" s="1">
        <v>45024</v>
      </c>
      <c r="B3175" t="s">
        <v>2062</v>
      </c>
      <c r="C3175">
        <v>71</v>
      </c>
      <c r="D3175" t="s">
        <v>14</v>
      </c>
      <c r="E3175" t="s">
        <v>19</v>
      </c>
      <c r="F3175" t="s">
        <v>16</v>
      </c>
      <c r="G3175" t="s">
        <v>17</v>
      </c>
      <c r="H3175">
        <v>4933.1400000000003</v>
      </c>
      <c r="I3175" s="8" t="str" cm="1">
        <f t="array" ref="I3175">_xlfn.IFS(C3175&lt;=15,"Children and Young Adolescents", C3175&gt;64, "Seniors", TRUE, "Working Age")</f>
        <v>Seniors</v>
      </c>
      <c r="J3175" s="6">
        <f>VLOOKUP(F3175,Analysis!$F$1:$G$5,2,FALSE)</f>
        <v>2509.1716796874912</v>
      </c>
      <c r="K3175">
        <f t="shared" si="196"/>
        <v>5426.45</v>
      </c>
      <c r="L3175">
        <f t="shared" si="197"/>
        <v>5426.46</v>
      </c>
      <c r="M3175">
        <f t="shared" si="198"/>
        <v>5426.45</v>
      </c>
      <c r="N3175" s="5" t="str">
        <f t="shared" si="199"/>
        <v>April 2023</v>
      </c>
    </row>
    <row r="3176" spans="1:14" x14ac:dyDescent="0.25">
      <c r="A3176" s="1">
        <v>45024</v>
      </c>
      <c r="B3176" t="s">
        <v>3076</v>
      </c>
      <c r="C3176">
        <v>15</v>
      </c>
      <c r="D3176" t="s">
        <v>14</v>
      </c>
      <c r="E3176" t="s">
        <v>10</v>
      </c>
      <c r="F3176" t="s">
        <v>16</v>
      </c>
      <c r="G3176" t="s">
        <v>39</v>
      </c>
      <c r="H3176">
        <v>1143.47</v>
      </c>
      <c r="I3176" s="8" t="str" cm="1">
        <f t="array" ref="I3176">_xlfn.IFS(C3176&lt;=15,"Children and Young Adolescents", C3176&gt;64, "Seniors", TRUE, "Working Age")</f>
        <v>Children and Young Adolescents</v>
      </c>
      <c r="J3176" s="6">
        <f>VLOOKUP(F3176,Analysis!$F$1:$G$5,2,FALSE)</f>
        <v>2509.1716796874912</v>
      </c>
      <c r="K3176">
        <f t="shared" si="196"/>
        <v>1257.81</v>
      </c>
      <c r="L3176">
        <f t="shared" si="197"/>
        <v>1257.82</v>
      </c>
      <c r="M3176">
        <f t="shared" si="198"/>
        <v>1257.82</v>
      </c>
      <c r="N3176" s="5" t="str">
        <f t="shared" si="199"/>
        <v>April 2023</v>
      </c>
    </row>
    <row r="3177" spans="1:14" x14ac:dyDescent="0.25">
      <c r="A3177" s="1">
        <v>45024</v>
      </c>
      <c r="B3177" t="s">
        <v>1556</v>
      </c>
      <c r="C3177">
        <v>64</v>
      </c>
      <c r="D3177" t="s">
        <v>14</v>
      </c>
      <c r="E3177" t="s">
        <v>25</v>
      </c>
      <c r="F3177" t="s">
        <v>29</v>
      </c>
      <c r="G3177" t="s">
        <v>36</v>
      </c>
      <c r="H3177">
        <v>1188.56</v>
      </c>
      <c r="I3177" s="8" t="str" cm="1">
        <f t="array" ref="I3177">_xlfn.IFS(C3177&lt;=15,"Children and Young Adolescents", C3177&gt;64, "Seniors", TRUE, "Working Age")</f>
        <v>Working Age</v>
      </c>
      <c r="J3177" s="6">
        <f>VLOOKUP(F3177,Analysis!$F$1:$G$5,2,FALSE)</f>
        <v>2496.7676064256989</v>
      </c>
      <c r="K3177">
        <f t="shared" si="196"/>
        <v>1307.4100000000001</v>
      </c>
      <c r="L3177">
        <f t="shared" si="197"/>
        <v>1307.42</v>
      </c>
      <c r="M3177">
        <f t="shared" si="198"/>
        <v>1307.42</v>
      </c>
      <c r="N3177" s="5" t="str">
        <f t="shared" si="199"/>
        <v>April 2023</v>
      </c>
    </row>
    <row r="3178" spans="1:14" x14ac:dyDescent="0.25">
      <c r="A3178" s="1">
        <v>45024</v>
      </c>
      <c r="B3178" t="s">
        <v>693</v>
      </c>
      <c r="C3178">
        <v>33</v>
      </c>
      <c r="D3178" t="s">
        <v>14</v>
      </c>
      <c r="E3178" t="s">
        <v>10</v>
      </c>
      <c r="F3178" t="s">
        <v>11</v>
      </c>
      <c r="G3178" t="s">
        <v>39</v>
      </c>
      <c r="H3178">
        <v>3892.27</v>
      </c>
      <c r="I3178" s="8" t="str" cm="1">
        <f t="array" ref="I3178">_xlfn.IFS(C3178&lt;=15,"Children and Young Adolescents", C3178&gt;64, "Seniors", TRUE, "Working Age")</f>
        <v>Working Age</v>
      </c>
      <c r="J3178" s="6">
        <f>VLOOKUP(F3178,Analysis!$F$1:$G$5,2,FALSE)</f>
        <v>2503.6022787783854</v>
      </c>
      <c r="K3178">
        <f t="shared" si="196"/>
        <v>4281.49</v>
      </c>
      <c r="L3178">
        <f t="shared" si="197"/>
        <v>4281.5</v>
      </c>
      <c r="M3178">
        <f t="shared" si="198"/>
        <v>4281.5</v>
      </c>
      <c r="N3178" s="5" t="str">
        <f t="shared" si="199"/>
        <v>April 2023</v>
      </c>
    </row>
    <row r="3179" spans="1:14" x14ac:dyDescent="0.25">
      <c r="A3179" s="1">
        <v>45024</v>
      </c>
      <c r="B3179" t="s">
        <v>3832</v>
      </c>
      <c r="C3179">
        <v>2</v>
      </c>
      <c r="D3179" t="s">
        <v>21</v>
      </c>
      <c r="E3179" t="s">
        <v>22</v>
      </c>
      <c r="F3179" t="s">
        <v>11</v>
      </c>
      <c r="G3179" t="s">
        <v>17</v>
      </c>
      <c r="H3179">
        <v>2968.95</v>
      </c>
      <c r="I3179" s="8" t="str" cm="1">
        <f t="array" ref="I3179">_xlfn.IFS(C3179&lt;=15,"Children and Young Adolescents", C3179&gt;64, "Seniors", TRUE, "Working Age")</f>
        <v>Children and Young Adolescents</v>
      </c>
      <c r="J3179" s="6">
        <f>VLOOKUP(F3179,Analysis!$F$1:$G$5,2,FALSE)</f>
        <v>2503.6022787783854</v>
      </c>
      <c r="K3179">
        <f t="shared" si="196"/>
        <v>3265.84</v>
      </c>
      <c r="L3179">
        <f t="shared" si="197"/>
        <v>3265.8500000000004</v>
      </c>
      <c r="M3179">
        <f t="shared" si="198"/>
        <v>3265.85</v>
      </c>
      <c r="N3179" s="5" t="str">
        <f t="shared" si="199"/>
        <v>April 2023</v>
      </c>
    </row>
    <row r="3180" spans="1:14" x14ac:dyDescent="0.25">
      <c r="A3180" s="1">
        <v>45024</v>
      </c>
      <c r="B3180" t="s">
        <v>2745</v>
      </c>
      <c r="C3180">
        <v>41</v>
      </c>
      <c r="D3180" t="s">
        <v>21</v>
      </c>
      <c r="E3180" t="s">
        <v>34</v>
      </c>
      <c r="F3180" t="s">
        <v>11</v>
      </c>
      <c r="G3180" t="s">
        <v>27</v>
      </c>
      <c r="H3180">
        <v>2439.58</v>
      </c>
      <c r="I3180" s="8" t="str" cm="1">
        <f t="array" ref="I3180">_xlfn.IFS(C3180&lt;=15,"Children and Young Adolescents", C3180&gt;64, "Seniors", TRUE, "Working Age")</f>
        <v>Working Age</v>
      </c>
      <c r="J3180" s="6">
        <f>VLOOKUP(F3180,Analysis!$F$1:$G$5,2,FALSE)</f>
        <v>2503.6022787783854</v>
      </c>
      <c r="K3180">
        <f t="shared" si="196"/>
        <v>2683.53</v>
      </c>
      <c r="L3180">
        <f t="shared" si="197"/>
        <v>2683.5400000000004</v>
      </c>
      <c r="M3180">
        <f t="shared" si="198"/>
        <v>2683.54</v>
      </c>
      <c r="N3180" s="5" t="str">
        <f t="shared" si="199"/>
        <v>April 2023</v>
      </c>
    </row>
    <row r="3181" spans="1:14" x14ac:dyDescent="0.25">
      <c r="A3181" s="1">
        <v>45024</v>
      </c>
      <c r="B3181" t="s">
        <v>2801</v>
      </c>
      <c r="C3181">
        <v>45</v>
      </c>
      <c r="D3181" t="s">
        <v>14</v>
      </c>
      <c r="E3181" t="s">
        <v>25</v>
      </c>
      <c r="F3181" t="s">
        <v>16</v>
      </c>
      <c r="G3181" t="s">
        <v>39</v>
      </c>
      <c r="H3181">
        <v>879.7</v>
      </c>
      <c r="I3181" s="8" t="str" cm="1">
        <f t="array" ref="I3181">_xlfn.IFS(C3181&lt;=15,"Children and Young Adolescents", C3181&gt;64, "Seniors", TRUE, "Working Age")</f>
        <v>Working Age</v>
      </c>
      <c r="J3181" s="6">
        <f>VLOOKUP(F3181,Analysis!$F$1:$G$5,2,FALSE)</f>
        <v>2509.1716796874912</v>
      </c>
      <c r="K3181">
        <f t="shared" si="196"/>
        <v>967.67</v>
      </c>
      <c r="L3181">
        <f t="shared" si="197"/>
        <v>967.67</v>
      </c>
      <c r="M3181">
        <f t="shared" si="198"/>
        <v>967.67</v>
      </c>
      <c r="N3181" s="5" t="str">
        <f t="shared" si="199"/>
        <v>April 2023</v>
      </c>
    </row>
    <row r="3182" spans="1:14" x14ac:dyDescent="0.25">
      <c r="A3182" s="1">
        <v>45024</v>
      </c>
      <c r="B3182" t="s">
        <v>2221</v>
      </c>
      <c r="C3182">
        <v>62</v>
      </c>
      <c r="D3182" t="s">
        <v>21</v>
      </c>
      <c r="E3182" t="s">
        <v>25</v>
      </c>
      <c r="F3182" t="s">
        <v>11</v>
      </c>
      <c r="G3182" t="s">
        <v>17</v>
      </c>
      <c r="H3182">
        <v>913.23</v>
      </c>
      <c r="I3182" s="8" t="str" cm="1">
        <f t="array" ref="I3182">_xlfn.IFS(C3182&lt;=15,"Children and Young Adolescents", C3182&gt;64, "Seniors", TRUE, "Working Age")</f>
        <v>Working Age</v>
      </c>
      <c r="J3182" s="6">
        <f>VLOOKUP(F3182,Analysis!$F$1:$G$5,2,FALSE)</f>
        <v>2503.6022787783854</v>
      </c>
      <c r="K3182">
        <f t="shared" si="196"/>
        <v>1004.55</v>
      </c>
      <c r="L3182">
        <f t="shared" si="197"/>
        <v>1004.56</v>
      </c>
      <c r="M3182">
        <f t="shared" si="198"/>
        <v>1004.55</v>
      </c>
      <c r="N3182" s="5" t="str">
        <f t="shared" si="199"/>
        <v>April 2023</v>
      </c>
    </row>
    <row r="3183" spans="1:14" x14ac:dyDescent="0.25">
      <c r="A3183" s="1">
        <v>45024</v>
      </c>
      <c r="B3183" t="s">
        <v>277</v>
      </c>
      <c r="C3183">
        <v>61</v>
      </c>
      <c r="D3183" t="s">
        <v>21</v>
      </c>
      <c r="E3183" t="s">
        <v>19</v>
      </c>
      <c r="F3183" t="s">
        <v>16</v>
      </c>
      <c r="G3183" t="s">
        <v>27</v>
      </c>
      <c r="H3183">
        <v>3356.01</v>
      </c>
      <c r="I3183" s="8" t="str" cm="1">
        <f t="array" ref="I3183">_xlfn.IFS(C3183&lt;=15,"Children and Young Adolescents", C3183&gt;64, "Seniors", TRUE, "Working Age")</f>
        <v>Working Age</v>
      </c>
      <c r="J3183" s="6">
        <f>VLOOKUP(F3183,Analysis!$F$1:$G$5,2,FALSE)</f>
        <v>2509.1716796874912</v>
      </c>
      <c r="K3183">
        <f t="shared" si="196"/>
        <v>3691.61</v>
      </c>
      <c r="L3183">
        <f t="shared" si="197"/>
        <v>3691.6200000000003</v>
      </c>
      <c r="M3183">
        <f t="shared" si="198"/>
        <v>3691.61</v>
      </c>
      <c r="N3183" s="5" t="str">
        <f t="shared" si="199"/>
        <v>April 2023</v>
      </c>
    </row>
    <row r="3184" spans="1:14" x14ac:dyDescent="0.25">
      <c r="A3184" s="1">
        <v>45024</v>
      </c>
      <c r="B3184" t="s">
        <v>1163</v>
      </c>
      <c r="C3184">
        <v>44</v>
      </c>
      <c r="D3184" t="s">
        <v>21</v>
      </c>
      <c r="E3184" t="s">
        <v>15</v>
      </c>
      <c r="F3184" t="s">
        <v>23</v>
      </c>
      <c r="G3184" t="s">
        <v>27</v>
      </c>
      <c r="H3184">
        <v>3315.78</v>
      </c>
      <c r="I3184" s="8" t="str" cm="1">
        <f t="array" ref="I3184">_xlfn.IFS(C3184&lt;=15,"Children and Young Adolescents", C3184&gt;64, "Seniors", TRUE, "Working Age")</f>
        <v>Working Age</v>
      </c>
      <c r="J3184" s="6">
        <f>VLOOKUP(F3184,Analysis!$F$1:$G$5,2,FALSE)</f>
        <v>2440.2966694490838</v>
      </c>
      <c r="K3184">
        <f t="shared" si="196"/>
        <v>3647.35</v>
      </c>
      <c r="L3184">
        <f t="shared" si="197"/>
        <v>3647.36</v>
      </c>
      <c r="M3184">
        <f t="shared" si="198"/>
        <v>3647.36</v>
      </c>
      <c r="N3184" s="5" t="str">
        <f t="shared" si="199"/>
        <v>April 2023</v>
      </c>
    </row>
    <row r="3185" spans="1:14" x14ac:dyDescent="0.25">
      <c r="A3185" s="1">
        <v>45024</v>
      </c>
      <c r="B3185" t="s">
        <v>3927</v>
      </c>
      <c r="C3185">
        <v>39</v>
      </c>
      <c r="D3185" t="s">
        <v>14</v>
      </c>
      <c r="E3185" t="s">
        <v>32</v>
      </c>
      <c r="F3185" t="s">
        <v>11</v>
      </c>
      <c r="G3185" t="s">
        <v>17</v>
      </c>
      <c r="H3185">
        <v>666.9</v>
      </c>
      <c r="I3185" s="8" t="str" cm="1">
        <f t="array" ref="I3185">_xlfn.IFS(C3185&lt;=15,"Children and Young Adolescents", C3185&gt;64, "Seniors", TRUE, "Working Age")</f>
        <v>Working Age</v>
      </c>
      <c r="J3185" s="6">
        <f>VLOOKUP(F3185,Analysis!$F$1:$G$5,2,FALSE)</f>
        <v>2503.6022787783854</v>
      </c>
      <c r="K3185">
        <f t="shared" si="196"/>
        <v>733.59</v>
      </c>
      <c r="L3185">
        <f t="shared" si="197"/>
        <v>733.59</v>
      </c>
      <c r="M3185">
        <f t="shared" si="198"/>
        <v>733.59</v>
      </c>
      <c r="N3185" s="5" t="str">
        <f t="shared" si="199"/>
        <v>April 2023</v>
      </c>
    </row>
    <row r="3186" spans="1:14" x14ac:dyDescent="0.25">
      <c r="A3186" s="1">
        <v>45024</v>
      </c>
      <c r="B3186" t="s">
        <v>4051</v>
      </c>
      <c r="C3186">
        <v>46</v>
      </c>
      <c r="D3186" t="s">
        <v>9</v>
      </c>
      <c r="E3186" t="s">
        <v>10</v>
      </c>
      <c r="F3186" t="s">
        <v>11</v>
      </c>
      <c r="G3186" t="s">
        <v>27</v>
      </c>
      <c r="H3186">
        <v>310.81</v>
      </c>
      <c r="I3186" s="8" t="str" cm="1">
        <f t="array" ref="I3186">_xlfn.IFS(C3186&lt;=15,"Children and Young Adolescents", C3186&gt;64, "Seniors", TRUE, "Working Age")</f>
        <v>Working Age</v>
      </c>
      <c r="J3186" s="6">
        <f>VLOOKUP(F3186,Analysis!$F$1:$G$5,2,FALSE)</f>
        <v>2503.6022787783854</v>
      </c>
      <c r="K3186">
        <f t="shared" si="196"/>
        <v>341.89</v>
      </c>
      <c r="L3186">
        <f t="shared" si="197"/>
        <v>341.9</v>
      </c>
      <c r="M3186">
        <f t="shared" si="198"/>
        <v>341.89</v>
      </c>
      <c r="N3186" s="5" t="str">
        <f t="shared" si="199"/>
        <v>April 2023</v>
      </c>
    </row>
    <row r="3187" spans="1:14" x14ac:dyDescent="0.25">
      <c r="A3187" s="1">
        <v>45025</v>
      </c>
      <c r="B3187" t="s">
        <v>786</v>
      </c>
      <c r="C3187">
        <v>65</v>
      </c>
      <c r="D3187" t="s">
        <v>9</v>
      </c>
      <c r="E3187" t="s">
        <v>10</v>
      </c>
      <c r="F3187" t="s">
        <v>23</v>
      </c>
      <c r="G3187" t="s">
        <v>39</v>
      </c>
      <c r="H3187">
        <v>423.76</v>
      </c>
      <c r="I3187" s="8" t="str" cm="1">
        <f t="array" ref="I3187">_xlfn.IFS(C3187&lt;=15,"Children and Young Adolescents", C3187&gt;64, "Seniors", TRUE, "Working Age")</f>
        <v>Seniors</v>
      </c>
      <c r="J3187" s="6">
        <f>VLOOKUP(F3187,Analysis!$F$1:$G$5,2,FALSE)</f>
        <v>2440.2966694490838</v>
      </c>
      <c r="K3187">
        <f t="shared" si="196"/>
        <v>466.13</v>
      </c>
      <c r="L3187">
        <f t="shared" si="197"/>
        <v>466.14</v>
      </c>
      <c r="M3187">
        <f t="shared" si="198"/>
        <v>466.14</v>
      </c>
      <c r="N3187" s="5" t="str">
        <f t="shared" si="199"/>
        <v>April 2023</v>
      </c>
    </row>
    <row r="3188" spans="1:14" x14ac:dyDescent="0.25">
      <c r="A3188" s="1">
        <v>45025</v>
      </c>
      <c r="B3188" t="s">
        <v>4193</v>
      </c>
      <c r="C3188">
        <v>35</v>
      </c>
      <c r="D3188" t="s">
        <v>21</v>
      </c>
      <c r="E3188" t="s">
        <v>22</v>
      </c>
      <c r="F3188" t="s">
        <v>23</v>
      </c>
      <c r="G3188" t="s">
        <v>27</v>
      </c>
      <c r="H3188">
        <v>3126.53</v>
      </c>
      <c r="I3188" s="8" t="str" cm="1">
        <f t="array" ref="I3188">_xlfn.IFS(C3188&lt;=15,"Children and Young Adolescents", C3188&gt;64, "Seniors", TRUE, "Working Age")</f>
        <v>Working Age</v>
      </c>
      <c r="J3188" s="6">
        <f>VLOOKUP(F3188,Analysis!$F$1:$G$5,2,FALSE)</f>
        <v>2440.2966694490838</v>
      </c>
      <c r="K3188">
        <f t="shared" si="196"/>
        <v>3439.18</v>
      </c>
      <c r="L3188">
        <f t="shared" si="197"/>
        <v>3439.19</v>
      </c>
      <c r="M3188">
        <f t="shared" si="198"/>
        <v>3439.18</v>
      </c>
      <c r="N3188" s="5" t="str">
        <f t="shared" si="199"/>
        <v>April 2023</v>
      </c>
    </row>
    <row r="3189" spans="1:14" x14ac:dyDescent="0.25">
      <c r="A3189" s="1">
        <v>45025</v>
      </c>
      <c r="B3189" t="s">
        <v>4612</v>
      </c>
      <c r="C3189">
        <v>72</v>
      </c>
      <c r="D3189" t="s">
        <v>9</v>
      </c>
      <c r="E3189" t="s">
        <v>15</v>
      </c>
      <c r="F3189" t="s">
        <v>29</v>
      </c>
      <c r="G3189" t="s">
        <v>17</v>
      </c>
      <c r="H3189">
        <v>2477.91</v>
      </c>
      <c r="I3189" s="8" t="str" cm="1">
        <f t="array" ref="I3189">_xlfn.IFS(C3189&lt;=15,"Children and Young Adolescents", C3189&gt;64, "Seniors", TRUE, "Working Age")</f>
        <v>Seniors</v>
      </c>
      <c r="J3189" s="6">
        <f>VLOOKUP(F3189,Analysis!$F$1:$G$5,2,FALSE)</f>
        <v>2496.7676064256989</v>
      </c>
      <c r="K3189">
        <f t="shared" si="196"/>
        <v>2725.7</v>
      </c>
      <c r="L3189">
        <f t="shared" si="197"/>
        <v>2725.71</v>
      </c>
      <c r="M3189">
        <f t="shared" si="198"/>
        <v>2725.7</v>
      </c>
      <c r="N3189" s="5" t="str">
        <f t="shared" si="199"/>
        <v>April 2023</v>
      </c>
    </row>
    <row r="3190" spans="1:14" x14ac:dyDescent="0.25">
      <c r="A3190" s="1">
        <v>45025</v>
      </c>
      <c r="B3190" t="s">
        <v>1928</v>
      </c>
      <c r="C3190">
        <v>34</v>
      </c>
      <c r="D3190" t="s">
        <v>21</v>
      </c>
      <c r="E3190" t="s">
        <v>15</v>
      </c>
      <c r="F3190" t="s">
        <v>23</v>
      </c>
      <c r="G3190" t="s">
        <v>27</v>
      </c>
      <c r="H3190">
        <v>1682.31</v>
      </c>
      <c r="I3190" s="8" t="str" cm="1">
        <f t="array" ref="I3190">_xlfn.IFS(C3190&lt;=15,"Children and Young Adolescents", C3190&gt;64, "Seniors", TRUE, "Working Age")</f>
        <v>Working Age</v>
      </c>
      <c r="J3190" s="6">
        <f>VLOOKUP(F3190,Analysis!$F$1:$G$5,2,FALSE)</f>
        <v>2440.2966694490838</v>
      </c>
      <c r="K3190">
        <f t="shared" si="196"/>
        <v>1850.54</v>
      </c>
      <c r="L3190">
        <f t="shared" si="197"/>
        <v>1850.55</v>
      </c>
      <c r="M3190">
        <f t="shared" si="198"/>
        <v>1850.54</v>
      </c>
      <c r="N3190" s="5" t="str">
        <f t="shared" si="199"/>
        <v>April 2023</v>
      </c>
    </row>
    <row r="3191" spans="1:14" x14ac:dyDescent="0.25">
      <c r="A3191" s="1">
        <v>45025</v>
      </c>
      <c r="B3191" t="s">
        <v>1378</v>
      </c>
      <c r="C3191">
        <v>90</v>
      </c>
      <c r="D3191" t="s">
        <v>21</v>
      </c>
      <c r="E3191" t="s">
        <v>32</v>
      </c>
      <c r="F3191" t="s">
        <v>29</v>
      </c>
      <c r="G3191" t="s">
        <v>12</v>
      </c>
      <c r="H3191">
        <v>2401.89</v>
      </c>
      <c r="I3191" s="8" t="str" cm="1">
        <f t="array" ref="I3191">_xlfn.IFS(C3191&lt;=15,"Children and Young Adolescents", C3191&gt;64, "Seniors", TRUE, "Working Age")</f>
        <v>Seniors</v>
      </c>
      <c r="J3191" s="6">
        <f>VLOOKUP(F3191,Analysis!$F$1:$G$5,2,FALSE)</f>
        <v>2496.7676064256989</v>
      </c>
      <c r="K3191">
        <f t="shared" si="196"/>
        <v>2642.07</v>
      </c>
      <c r="L3191">
        <f t="shared" si="197"/>
        <v>2642.0800000000004</v>
      </c>
      <c r="M3191">
        <f t="shared" si="198"/>
        <v>2642.08</v>
      </c>
      <c r="N3191" s="5" t="str">
        <f t="shared" si="199"/>
        <v>April 2023</v>
      </c>
    </row>
    <row r="3192" spans="1:14" x14ac:dyDescent="0.25">
      <c r="A3192" s="1">
        <v>45025</v>
      </c>
      <c r="B3192" t="s">
        <v>3928</v>
      </c>
      <c r="C3192">
        <v>26</v>
      </c>
      <c r="D3192" t="s">
        <v>9</v>
      </c>
      <c r="E3192" t="s">
        <v>25</v>
      </c>
      <c r="F3192" t="s">
        <v>29</v>
      </c>
      <c r="G3192" t="s">
        <v>27</v>
      </c>
      <c r="H3192">
        <v>4021.2</v>
      </c>
      <c r="I3192" s="8" t="str" cm="1">
        <f t="array" ref="I3192">_xlfn.IFS(C3192&lt;=15,"Children and Young Adolescents", C3192&gt;64, "Seniors", TRUE, "Working Age")</f>
        <v>Working Age</v>
      </c>
      <c r="J3192" s="6">
        <f>VLOOKUP(F3192,Analysis!$F$1:$G$5,2,FALSE)</f>
        <v>2496.7676064256989</v>
      </c>
      <c r="K3192">
        <f t="shared" si="196"/>
        <v>4423.32</v>
      </c>
      <c r="L3192">
        <f t="shared" si="197"/>
        <v>4423.32</v>
      </c>
      <c r="M3192">
        <f t="shared" si="198"/>
        <v>4423.32</v>
      </c>
      <c r="N3192" s="5" t="str">
        <f t="shared" si="199"/>
        <v>April 2023</v>
      </c>
    </row>
    <row r="3193" spans="1:14" x14ac:dyDescent="0.25">
      <c r="A3193" s="1">
        <v>45025</v>
      </c>
      <c r="B3193" t="s">
        <v>4595</v>
      </c>
      <c r="C3193">
        <v>86</v>
      </c>
      <c r="D3193" t="s">
        <v>9</v>
      </c>
      <c r="E3193" t="s">
        <v>22</v>
      </c>
      <c r="F3193" t="s">
        <v>23</v>
      </c>
      <c r="G3193" t="s">
        <v>39</v>
      </c>
      <c r="H3193">
        <v>3271.45</v>
      </c>
      <c r="I3193" s="8" t="str" cm="1">
        <f t="array" ref="I3193">_xlfn.IFS(C3193&lt;=15,"Children and Young Adolescents", C3193&gt;64, "Seniors", TRUE, "Working Age")</f>
        <v>Seniors</v>
      </c>
      <c r="J3193" s="6">
        <f>VLOOKUP(F3193,Analysis!$F$1:$G$5,2,FALSE)</f>
        <v>2440.2966694490838</v>
      </c>
      <c r="K3193">
        <f t="shared" si="196"/>
        <v>3598.59</v>
      </c>
      <c r="L3193">
        <f t="shared" si="197"/>
        <v>3598.6000000000004</v>
      </c>
      <c r="M3193">
        <f t="shared" si="198"/>
        <v>3598.6</v>
      </c>
      <c r="N3193" s="5" t="str">
        <f t="shared" si="199"/>
        <v>April 2023</v>
      </c>
    </row>
    <row r="3194" spans="1:14" x14ac:dyDescent="0.25">
      <c r="A3194" s="1">
        <v>45025</v>
      </c>
      <c r="B3194" t="s">
        <v>1781</v>
      </c>
      <c r="C3194">
        <v>38</v>
      </c>
      <c r="D3194" t="s">
        <v>21</v>
      </c>
      <c r="E3194" t="s">
        <v>32</v>
      </c>
      <c r="F3194" t="s">
        <v>16</v>
      </c>
      <c r="G3194" t="s">
        <v>27</v>
      </c>
      <c r="H3194">
        <v>4377</v>
      </c>
      <c r="I3194" s="8" t="str" cm="1">
        <f t="array" ref="I3194">_xlfn.IFS(C3194&lt;=15,"Children and Young Adolescents", C3194&gt;64, "Seniors", TRUE, "Working Age")</f>
        <v>Working Age</v>
      </c>
      <c r="J3194" s="6">
        <f>VLOOKUP(F3194,Analysis!$F$1:$G$5,2,FALSE)</f>
        <v>2509.1716796874912</v>
      </c>
      <c r="K3194">
        <f t="shared" si="196"/>
        <v>4814.7</v>
      </c>
      <c r="L3194">
        <f t="shared" si="197"/>
        <v>4814.7</v>
      </c>
      <c r="M3194">
        <f t="shared" si="198"/>
        <v>4814.7</v>
      </c>
      <c r="N3194" s="5" t="str">
        <f t="shared" si="199"/>
        <v>April 2023</v>
      </c>
    </row>
    <row r="3195" spans="1:14" x14ac:dyDescent="0.25">
      <c r="A3195" s="1">
        <v>45026</v>
      </c>
      <c r="B3195" t="s">
        <v>4521</v>
      </c>
      <c r="C3195">
        <v>7</v>
      </c>
      <c r="D3195" t="s">
        <v>21</v>
      </c>
      <c r="E3195" t="s">
        <v>34</v>
      </c>
      <c r="F3195" t="s">
        <v>11</v>
      </c>
      <c r="G3195" t="s">
        <v>36</v>
      </c>
      <c r="H3195">
        <v>4200.58</v>
      </c>
      <c r="I3195" s="8" t="str" cm="1">
        <f t="array" ref="I3195">_xlfn.IFS(C3195&lt;=15,"Children and Young Adolescents", C3195&gt;64, "Seniors", TRUE, "Working Age")</f>
        <v>Children and Young Adolescents</v>
      </c>
      <c r="J3195" s="6">
        <f>VLOOKUP(F3195,Analysis!$F$1:$G$5,2,FALSE)</f>
        <v>2503.6022787783854</v>
      </c>
      <c r="K3195">
        <f t="shared" si="196"/>
        <v>4620.63</v>
      </c>
      <c r="L3195">
        <f t="shared" si="197"/>
        <v>4620.6400000000003</v>
      </c>
      <c r="M3195">
        <f t="shared" si="198"/>
        <v>4620.6400000000003</v>
      </c>
      <c r="N3195" s="5" t="str">
        <f t="shared" si="199"/>
        <v>April 2023</v>
      </c>
    </row>
    <row r="3196" spans="1:14" x14ac:dyDescent="0.25">
      <c r="A3196" s="1">
        <v>45026</v>
      </c>
      <c r="B3196" t="s">
        <v>684</v>
      </c>
      <c r="C3196">
        <v>31</v>
      </c>
      <c r="D3196" t="s">
        <v>14</v>
      </c>
      <c r="E3196" t="s">
        <v>32</v>
      </c>
      <c r="F3196" t="s">
        <v>16</v>
      </c>
      <c r="G3196" t="s">
        <v>12</v>
      </c>
      <c r="H3196">
        <v>4516.26</v>
      </c>
      <c r="I3196" s="8" t="str" cm="1">
        <f t="array" ref="I3196">_xlfn.IFS(C3196&lt;=15,"Children and Young Adolescents", C3196&gt;64, "Seniors", TRUE, "Working Age")</f>
        <v>Working Age</v>
      </c>
      <c r="J3196" s="6">
        <f>VLOOKUP(F3196,Analysis!$F$1:$G$5,2,FALSE)</f>
        <v>2509.1716796874912</v>
      </c>
      <c r="K3196">
        <f t="shared" si="196"/>
        <v>4967.88</v>
      </c>
      <c r="L3196">
        <f t="shared" si="197"/>
        <v>4967.8900000000003</v>
      </c>
      <c r="M3196">
        <f t="shared" si="198"/>
        <v>4967.8900000000003</v>
      </c>
      <c r="N3196" s="5" t="str">
        <f t="shared" si="199"/>
        <v>April 2023</v>
      </c>
    </row>
    <row r="3197" spans="1:14" x14ac:dyDescent="0.25">
      <c r="A3197" s="1">
        <v>45026</v>
      </c>
      <c r="B3197" t="s">
        <v>1258</v>
      </c>
      <c r="C3197">
        <v>19</v>
      </c>
      <c r="D3197" t="s">
        <v>9</v>
      </c>
      <c r="E3197" t="s">
        <v>32</v>
      </c>
      <c r="F3197" t="s">
        <v>11</v>
      </c>
      <c r="G3197" t="s">
        <v>17</v>
      </c>
      <c r="H3197">
        <v>3452.81</v>
      </c>
      <c r="I3197" s="8" t="str" cm="1">
        <f t="array" ref="I3197">_xlfn.IFS(C3197&lt;=15,"Children and Young Adolescents", C3197&gt;64, "Seniors", TRUE, "Working Age")</f>
        <v>Working Age</v>
      </c>
      <c r="J3197" s="6">
        <f>VLOOKUP(F3197,Analysis!$F$1:$G$5,2,FALSE)</f>
        <v>2503.6022787783854</v>
      </c>
      <c r="K3197">
        <f t="shared" si="196"/>
        <v>3798.09</v>
      </c>
      <c r="L3197">
        <f t="shared" si="197"/>
        <v>3798.1000000000004</v>
      </c>
      <c r="M3197">
        <f t="shared" si="198"/>
        <v>3798.09</v>
      </c>
      <c r="N3197" s="5" t="str">
        <f t="shared" si="199"/>
        <v>April 2023</v>
      </c>
    </row>
    <row r="3198" spans="1:14" x14ac:dyDescent="0.25">
      <c r="A3198" s="1">
        <v>45026</v>
      </c>
      <c r="B3198" t="s">
        <v>860</v>
      </c>
      <c r="C3198">
        <v>31</v>
      </c>
      <c r="D3198" t="s">
        <v>14</v>
      </c>
      <c r="E3198" t="s">
        <v>22</v>
      </c>
      <c r="F3198" t="s">
        <v>29</v>
      </c>
      <c r="G3198" t="s">
        <v>17</v>
      </c>
      <c r="H3198">
        <v>3639.2</v>
      </c>
      <c r="I3198" s="8" t="str" cm="1">
        <f t="array" ref="I3198">_xlfn.IFS(C3198&lt;=15,"Children and Young Adolescents", C3198&gt;64, "Seniors", TRUE, "Working Age")</f>
        <v>Working Age</v>
      </c>
      <c r="J3198" s="6">
        <f>VLOOKUP(F3198,Analysis!$F$1:$G$5,2,FALSE)</f>
        <v>2496.7676064256989</v>
      </c>
      <c r="K3198">
        <f t="shared" si="196"/>
        <v>4003.12</v>
      </c>
      <c r="L3198">
        <f t="shared" si="197"/>
        <v>4003.12</v>
      </c>
      <c r="M3198">
        <f t="shared" si="198"/>
        <v>4003.12</v>
      </c>
      <c r="N3198" s="5" t="str">
        <f t="shared" si="199"/>
        <v>April 2023</v>
      </c>
    </row>
    <row r="3199" spans="1:14" x14ac:dyDescent="0.25">
      <c r="A3199" s="1">
        <v>45027</v>
      </c>
      <c r="B3199" t="s">
        <v>4402</v>
      </c>
      <c r="C3199">
        <v>36</v>
      </c>
      <c r="D3199" t="s">
        <v>14</v>
      </c>
      <c r="E3199" t="s">
        <v>25</v>
      </c>
      <c r="F3199" t="s">
        <v>23</v>
      </c>
      <c r="G3199" t="s">
        <v>36</v>
      </c>
      <c r="H3199">
        <v>1515.66</v>
      </c>
      <c r="I3199" s="8" t="str" cm="1">
        <f t="array" ref="I3199">_xlfn.IFS(C3199&lt;=15,"Children and Young Adolescents", C3199&gt;64, "Seniors", TRUE, "Working Age")</f>
        <v>Working Age</v>
      </c>
      <c r="J3199" s="6">
        <f>VLOOKUP(F3199,Analysis!$F$1:$G$5,2,FALSE)</f>
        <v>2440.2966694490838</v>
      </c>
      <c r="K3199">
        <f t="shared" si="196"/>
        <v>1667.22</v>
      </c>
      <c r="L3199">
        <f t="shared" si="197"/>
        <v>1667.23</v>
      </c>
      <c r="M3199">
        <f t="shared" si="198"/>
        <v>1667.23</v>
      </c>
      <c r="N3199" s="5" t="str">
        <f t="shared" si="199"/>
        <v>April 2023</v>
      </c>
    </row>
    <row r="3200" spans="1:14" x14ac:dyDescent="0.25">
      <c r="A3200" s="1">
        <v>45027</v>
      </c>
      <c r="B3200" t="s">
        <v>3258</v>
      </c>
      <c r="C3200">
        <v>78</v>
      </c>
      <c r="D3200" t="s">
        <v>9</v>
      </c>
      <c r="E3200" t="s">
        <v>25</v>
      </c>
      <c r="F3200" t="s">
        <v>29</v>
      </c>
      <c r="G3200" t="s">
        <v>36</v>
      </c>
      <c r="H3200">
        <v>2278.54</v>
      </c>
      <c r="I3200" s="8" t="str" cm="1">
        <f t="array" ref="I3200">_xlfn.IFS(C3200&lt;=15,"Children and Young Adolescents", C3200&gt;64, "Seniors", TRUE, "Working Age")</f>
        <v>Seniors</v>
      </c>
      <c r="J3200" s="6">
        <f>VLOOKUP(F3200,Analysis!$F$1:$G$5,2,FALSE)</f>
        <v>2496.7676064256989</v>
      </c>
      <c r="K3200">
        <f t="shared" si="196"/>
        <v>2506.39</v>
      </c>
      <c r="L3200">
        <f t="shared" si="197"/>
        <v>2506.4</v>
      </c>
      <c r="M3200">
        <f t="shared" si="198"/>
        <v>2506.39</v>
      </c>
      <c r="N3200" s="5" t="str">
        <f t="shared" si="199"/>
        <v>April 2023</v>
      </c>
    </row>
    <row r="3201" spans="1:14" x14ac:dyDescent="0.25">
      <c r="A3201" s="1">
        <v>45027</v>
      </c>
      <c r="B3201" t="s">
        <v>2091</v>
      </c>
      <c r="C3201">
        <v>62</v>
      </c>
      <c r="D3201" t="s">
        <v>9</v>
      </c>
      <c r="E3201" t="s">
        <v>32</v>
      </c>
      <c r="F3201" t="s">
        <v>23</v>
      </c>
      <c r="G3201" t="s">
        <v>17</v>
      </c>
      <c r="H3201">
        <v>3738.94</v>
      </c>
      <c r="I3201" s="8" t="str" cm="1">
        <f t="array" ref="I3201">_xlfn.IFS(C3201&lt;=15,"Children and Young Adolescents", C3201&gt;64, "Seniors", TRUE, "Working Age")</f>
        <v>Working Age</v>
      </c>
      <c r="J3201" s="6">
        <f>VLOOKUP(F3201,Analysis!$F$1:$G$5,2,FALSE)</f>
        <v>2440.2966694490838</v>
      </c>
      <c r="K3201">
        <f t="shared" si="196"/>
        <v>4112.83</v>
      </c>
      <c r="L3201">
        <f t="shared" si="197"/>
        <v>4112.84</v>
      </c>
      <c r="M3201">
        <f t="shared" si="198"/>
        <v>4112.83</v>
      </c>
      <c r="N3201" s="5" t="str">
        <f t="shared" si="199"/>
        <v>April 2023</v>
      </c>
    </row>
    <row r="3202" spans="1:14" x14ac:dyDescent="0.25">
      <c r="A3202" s="1">
        <v>45027</v>
      </c>
      <c r="B3202" t="s">
        <v>3768</v>
      </c>
      <c r="C3202">
        <v>76</v>
      </c>
      <c r="D3202" t="s">
        <v>21</v>
      </c>
      <c r="E3202" t="s">
        <v>19</v>
      </c>
      <c r="F3202" t="s">
        <v>23</v>
      </c>
      <c r="G3202" t="s">
        <v>17</v>
      </c>
      <c r="H3202">
        <v>3373.53</v>
      </c>
      <c r="I3202" s="8" t="str" cm="1">
        <f t="array" ref="I3202">_xlfn.IFS(C3202&lt;=15,"Children and Young Adolescents", C3202&gt;64, "Seniors", TRUE, "Working Age")</f>
        <v>Seniors</v>
      </c>
      <c r="J3202" s="6">
        <f>VLOOKUP(F3202,Analysis!$F$1:$G$5,2,FALSE)</f>
        <v>2440.2966694490838</v>
      </c>
      <c r="K3202">
        <f t="shared" si="196"/>
        <v>3710.88</v>
      </c>
      <c r="L3202">
        <f t="shared" si="197"/>
        <v>3710.8900000000003</v>
      </c>
      <c r="M3202">
        <f t="shared" si="198"/>
        <v>3710.88</v>
      </c>
      <c r="N3202" s="5" t="str">
        <f t="shared" si="199"/>
        <v>April 2023</v>
      </c>
    </row>
    <row r="3203" spans="1:14" x14ac:dyDescent="0.25">
      <c r="A3203" s="1">
        <v>45027</v>
      </c>
      <c r="B3203" t="s">
        <v>2306</v>
      </c>
      <c r="C3203">
        <v>26</v>
      </c>
      <c r="D3203" t="s">
        <v>9</v>
      </c>
      <c r="E3203" t="s">
        <v>34</v>
      </c>
      <c r="F3203" t="s">
        <v>11</v>
      </c>
      <c r="G3203" t="s">
        <v>39</v>
      </c>
      <c r="H3203">
        <v>783.79</v>
      </c>
      <c r="I3203" s="8" t="str" cm="1">
        <f t="array" ref="I3203">_xlfn.IFS(C3203&lt;=15,"Children and Young Adolescents", C3203&gt;64, "Seniors", TRUE, "Working Age")</f>
        <v>Working Age</v>
      </c>
      <c r="J3203" s="6">
        <f>VLOOKUP(F3203,Analysis!$F$1:$G$5,2,FALSE)</f>
        <v>2503.6022787783854</v>
      </c>
      <c r="K3203">
        <f t="shared" ref="K3203:K3266" si="200">ROUNDDOWN(H3203*1.1,2)</f>
        <v>862.16</v>
      </c>
      <c r="L3203">
        <f t="shared" ref="L3203:L3266" si="201">ROUNDUP(H3203*1.1,2)</f>
        <v>862.17</v>
      </c>
      <c r="M3203">
        <f t="shared" ref="M3203:M3266" si="202">ROUND(H3203*1.1,2)</f>
        <v>862.17</v>
      </c>
      <c r="N3203" s="5" t="str">
        <f t="shared" ref="N3203:N3266" si="203">TEXT(A3203,"mmmm yyyy")</f>
        <v>April 2023</v>
      </c>
    </row>
    <row r="3204" spans="1:14" x14ac:dyDescent="0.25">
      <c r="A3204" s="1">
        <v>45027</v>
      </c>
      <c r="B3204" t="s">
        <v>1827</v>
      </c>
      <c r="C3204">
        <v>67</v>
      </c>
      <c r="D3204" t="s">
        <v>14</v>
      </c>
      <c r="E3204" t="s">
        <v>34</v>
      </c>
      <c r="F3204" t="s">
        <v>16</v>
      </c>
      <c r="G3204" t="s">
        <v>27</v>
      </c>
      <c r="H3204">
        <v>4346.63</v>
      </c>
      <c r="I3204" s="8" t="str" cm="1">
        <f t="array" ref="I3204">_xlfn.IFS(C3204&lt;=15,"Children and Young Adolescents", C3204&gt;64, "Seniors", TRUE, "Working Age")</f>
        <v>Seniors</v>
      </c>
      <c r="J3204" s="6">
        <f>VLOOKUP(F3204,Analysis!$F$1:$G$5,2,FALSE)</f>
        <v>2509.1716796874912</v>
      </c>
      <c r="K3204">
        <f t="shared" si="200"/>
        <v>4781.29</v>
      </c>
      <c r="L3204">
        <f t="shared" si="201"/>
        <v>4781.3</v>
      </c>
      <c r="M3204">
        <f t="shared" si="202"/>
        <v>4781.29</v>
      </c>
      <c r="N3204" s="5" t="str">
        <f t="shared" si="203"/>
        <v>April 2023</v>
      </c>
    </row>
    <row r="3205" spans="1:14" x14ac:dyDescent="0.25">
      <c r="A3205" s="1">
        <v>45028</v>
      </c>
      <c r="B3205" t="s">
        <v>2340</v>
      </c>
      <c r="C3205">
        <v>30</v>
      </c>
      <c r="D3205" t="s">
        <v>9</v>
      </c>
      <c r="E3205" t="s">
        <v>34</v>
      </c>
      <c r="F3205" t="s">
        <v>11</v>
      </c>
      <c r="G3205" t="s">
        <v>27</v>
      </c>
      <c r="H3205">
        <v>751.54</v>
      </c>
      <c r="I3205" s="8" t="str" cm="1">
        <f t="array" ref="I3205">_xlfn.IFS(C3205&lt;=15,"Children and Young Adolescents", C3205&gt;64, "Seniors", TRUE, "Working Age")</f>
        <v>Working Age</v>
      </c>
      <c r="J3205" s="6">
        <f>VLOOKUP(F3205,Analysis!$F$1:$G$5,2,FALSE)</f>
        <v>2503.6022787783854</v>
      </c>
      <c r="K3205">
        <f t="shared" si="200"/>
        <v>826.69</v>
      </c>
      <c r="L3205">
        <f t="shared" si="201"/>
        <v>826.7</v>
      </c>
      <c r="M3205">
        <f t="shared" si="202"/>
        <v>826.69</v>
      </c>
      <c r="N3205" s="5" t="str">
        <f t="shared" si="203"/>
        <v>April 2023</v>
      </c>
    </row>
    <row r="3206" spans="1:14" x14ac:dyDescent="0.25">
      <c r="A3206" s="1">
        <v>45028</v>
      </c>
      <c r="B3206" t="s">
        <v>607</v>
      </c>
      <c r="C3206">
        <v>66</v>
      </c>
      <c r="D3206" t="s">
        <v>9</v>
      </c>
      <c r="E3206" t="s">
        <v>22</v>
      </c>
      <c r="F3206" t="s">
        <v>16</v>
      </c>
      <c r="G3206" t="s">
        <v>12</v>
      </c>
      <c r="H3206">
        <v>1586.66</v>
      </c>
      <c r="I3206" s="8" t="str" cm="1">
        <f t="array" ref="I3206">_xlfn.IFS(C3206&lt;=15,"Children and Young Adolescents", C3206&gt;64, "Seniors", TRUE, "Working Age")</f>
        <v>Seniors</v>
      </c>
      <c r="J3206" s="6">
        <f>VLOOKUP(F3206,Analysis!$F$1:$G$5,2,FALSE)</f>
        <v>2509.1716796874912</v>
      </c>
      <c r="K3206">
        <f t="shared" si="200"/>
        <v>1745.32</v>
      </c>
      <c r="L3206">
        <f t="shared" si="201"/>
        <v>1745.33</v>
      </c>
      <c r="M3206">
        <f t="shared" si="202"/>
        <v>1745.33</v>
      </c>
      <c r="N3206" s="5" t="str">
        <f t="shared" si="203"/>
        <v>April 2023</v>
      </c>
    </row>
    <row r="3207" spans="1:14" x14ac:dyDescent="0.25">
      <c r="A3207" s="1">
        <v>45028</v>
      </c>
      <c r="B3207" t="s">
        <v>4218</v>
      </c>
      <c r="C3207">
        <v>93</v>
      </c>
      <c r="D3207" t="s">
        <v>14</v>
      </c>
      <c r="E3207" t="s">
        <v>22</v>
      </c>
      <c r="F3207" t="s">
        <v>16</v>
      </c>
      <c r="G3207" t="s">
        <v>39</v>
      </c>
      <c r="H3207">
        <v>4115.92</v>
      </c>
      <c r="I3207" s="8" t="str" cm="1">
        <f t="array" ref="I3207">_xlfn.IFS(C3207&lt;=15,"Children and Young Adolescents", C3207&gt;64, "Seniors", TRUE, "Working Age")</f>
        <v>Seniors</v>
      </c>
      <c r="J3207" s="6">
        <f>VLOOKUP(F3207,Analysis!$F$1:$G$5,2,FALSE)</f>
        <v>2509.1716796874912</v>
      </c>
      <c r="K3207">
        <f t="shared" si="200"/>
        <v>4527.51</v>
      </c>
      <c r="L3207">
        <f t="shared" si="201"/>
        <v>4527.5200000000004</v>
      </c>
      <c r="M3207">
        <f t="shared" si="202"/>
        <v>4527.51</v>
      </c>
      <c r="N3207" s="5" t="str">
        <f t="shared" si="203"/>
        <v>April 2023</v>
      </c>
    </row>
    <row r="3208" spans="1:14" x14ac:dyDescent="0.25">
      <c r="A3208" s="1">
        <v>45028</v>
      </c>
      <c r="B3208" t="s">
        <v>4010</v>
      </c>
      <c r="C3208">
        <v>40</v>
      </c>
      <c r="D3208" t="s">
        <v>21</v>
      </c>
      <c r="E3208" t="s">
        <v>34</v>
      </c>
      <c r="F3208" t="s">
        <v>29</v>
      </c>
      <c r="G3208" t="s">
        <v>12</v>
      </c>
      <c r="H3208">
        <v>4849.7700000000004</v>
      </c>
      <c r="I3208" s="8" t="str" cm="1">
        <f t="array" ref="I3208">_xlfn.IFS(C3208&lt;=15,"Children and Young Adolescents", C3208&gt;64, "Seniors", TRUE, "Working Age")</f>
        <v>Working Age</v>
      </c>
      <c r="J3208" s="6">
        <f>VLOOKUP(F3208,Analysis!$F$1:$G$5,2,FALSE)</f>
        <v>2496.7676064256989</v>
      </c>
      <c r="K3208">
        <f t="shared" si="200"/>
        <v>5334.74</v>
      </c>
      <c r="L3208">
        <f t="shared" si="201"/>
        <v>5334.75</v>
      </c>
      <c r="M3208">
        <f t="shared" si="202"/>
        <v>5334.75</v>
      </c>
      <c r="N3208" s="5" t="str">
        <f t="shared" si="203"/>
        <v>April 2023</v>
      </c>
    </row>
    <row r="3209" spans="1:14" x14ac:dyDescent="0.25">
      <c r="A3209" s="1">
        <v>45028</v>
      </c>
      <c r="B3209" t="s">
        <v>114</v>
      </c>
      <c r="C3209">
        <v>63</v>
      </c>
      <c r="D3209" t="s">
        <v>14</v>
      </c>
      <c r="E3209" t="s">
        <v>25</v>
      </c>
      <c r="F3209" t="s">
        <v>29</v>
      </c>
      <c r="G3209" t="s">
        <v>12</v>
      </c>
      <c r="H3209">
        <v>4048.03</v>
      </c>
      <c r="I3209" s="8" t="str" cm="1">
        <f t="array" ref="I3209">_xlfn.IFS(C3209&lt;=15,"Children and Young Adolescents", C3209&gt;64, "Seniors", TRUE, "Working Age")</f>
        <v>Working Age</v>
      </c>
      <c r="J3209" s="6">
        <f>VLOOKUP(F3209,Analysis!$F$1:$G$5,2,FALSE)</f>
        <v>2496.7676064256989</v>
      </c>
      <c r="K3209">
        <f t="shared" si="200"/>
        <v>4452.83</v>
      </c>
      <c r="L3209">
        <f t="shared" si="201"/>
        <v>4452.84</v>
      </c>
      <c r="M3209">
        <f t="shared" si="202"/>
        <v>4452.83</v>
      </c>
      <c r="N3209" s="5" t="str">
        <f t="shared" si="203"/>
        <v>April 2023</v>
      </c>
    </row>
    <row r="3210" spans="1:14" x14ac:dyDescent="0.25">
      <c r="A3210" s="1">
        <v>45028</v>
      </c>
      <c r="B3210" t="s">
        <v>3908</v>
      </c>
      <c r="C3210">
        <v>24</v>
      </c>
      <c r="D3210" t="s">
        <v>9</v>
      </c>
      <c r="E3210" t="s">
        <v>10</v>
      </c>
      <c r="F3210" t="s">
        <v>11</v>
      </c>
      <c r="G3210" t="s">
        <v>36</v>
      </c>
      <c r="H3210">
        <v>2045.51</v>
      </c>
      <c r="I3210" s="8" t="str" cm="1">
        <f t="array" ref="I3210">_xlfn.IFS(C3210&lt;=15,"Children and Young Adolescents", C3210&gt;64, "Seniors", TRUE, "Working Age")</f>
        <v>Working Age</v>
      </c>
      <c r="J3210" s="6">
        <f>VLOOKUP(F3210,Analysis!$F$1:$G$5,2,FALSE)</f>
        <v>2503.6022787783854</v>
      </c>
      <c r="K3210">
        <f t="shared" si="200"/>
        <v>2250.06</v>
      </c>
      <c r="L3210">
        <f t="shared" si="201"/>
        <v>2250.0700000000002</v>
      </c>
      <c r="M3210">
        <f t="shared" si="202"/>
        <v>2250.06</v>
      </c>
      <c r="N3210" s="5" t="str">
        <f t="shared" si="203"/>
        <v>April 2023</v>
      </c>
    </row>
    <row r="3211" spans="1:14" x14ac:dyDescent="0.25">
      <c r="A3211" s="1">
        <v>45028</v>
      </c>
      <c r="B3211" t="s">
        <v>3788</v>
      </c>
      <c r="C3211">
        <v>79</v>
      </c>
      <c r="D3211" t="s">
        <v>21</v>
      </c>
      <c r="E3211" t="s">
        <v>22</v>
      </c>
      <c r="F3211" t="s">
        <v>16</v>
      </c>
      <c r="G3211" t="s">
        <v>17</v>
      </c>
      <c r="H3211">
        <v>2475.62</v>
      </c>
      <c r="I3211" s="8" t="str" cm="1">
        <f t="array" ref="I3211">_xlfn.IFS(C3211&lt;=15,"Children and Young Adolescents", C3211&gt;64, "Seniors", TRUE, "Working Age")</f>
        <v>Seniors</v>
      </c>
      <c r="J3211" s="6">
        <f>VLOOKUP(F3211,Analysis!$F$1:$G$5,2,FALSE)</f>
        <v>2509.1716796874912</v>
      </c>
      <c r="K3211">
        <f t="shared" si="200"/>
        <v>2723.18</v>
      </c>
      <c r="L3211">
        <f t="shared" si="201"/>
        <v>2723.19</v>
      </c>
      <c r="M3211">
        <f t="shared" si="202"/>
        <v>2723.18</v>
      </c>
      <c r="N3211" s="5" t="str">
        <f t="shared" si="203"/>
        <v>April 2023</v>
      </c>
    </row>
    <row r="3212" spans="1:14" x14ac:dyDescent="0.25">
      <c r="A3212" s="1">
        <v>45028</v>
      </c>
      <c r="B3212" t="s">
        <v>4807</v>
      </c>
      <c r="C3212">
        <v>46</v>
      </c>
      <c r="D3212" t="s">
        <v>21</v>
      </c>
      <c r="E3212" t="s">
        <v>25</v>
      </c>
      <c r="F3212" t="s">
        <v>23</v>
      </c>
      <c r="G3212" t="s">
        <v>27</v>
      </c>
      <c r="H3212">
        <v>2140</v>
      </c>
      <c r="I3212" s="8" t="str" cm="1">
        <f t="array" ref="I3212">_xlfn.IFS(C3212&lt;=15,"Children and Young Adolescents", C3212&gt;64, "Seniors", TRUE, "Working Age")</f>
        <v>Working Age</v>
      </c>
      <c r="J3212" s="6">
        <f>VLOOKUP(F3212,Analysis!$F$1:$G$5,2,FALSE)</f>
        <v>2440.2966694490838</v>
      </c>
      <c r="K3212">
        <f t="shared" si="200"/>
        <v>2354</v>
      </c>
      <c r="L3212">
        <f t="shared" si="201"/>
        <v>2354</v>
      </c>
      <c r="M3212">
        <f t="shared" si="202"/>
        <v>2354</v>
      </c>
      <c r="N3212" s="5" t="str">
        <f t="shared" si="203"/>
        <v>April 2023</v>
      </c>
    </row>
    <row r="3213" spans="1:14" x14ac:dyDescent="0.25">
      <c r="A3213" s="1">
        <v>45029</v>
      </c>
      <c r="B3213" t="s">
        <v>85</v>
      </c>
      <c r="C3213">
        <v>30</v>
      </c>
      <c r="D3213" t="s">
        <v>9</v>
      </c>
      <c r="E3213" t="s">
        <v>19</v>
      </c>
      <c r="F3213" t="s">
        <v>16</v>
      </c>
      <c r="G3213" t="s">
        <v>39</v>
      </c>
      <c r="H3213">
        <v>1328.79</v>
      </c>
      <c r="I3213" s="8" t="str" cm="1">
        <f t="array" ref="I3213">_xlfn.IFS(C3213&lt;=15,"Children and Young Adolescents", C3213&gt;64, "Seniors", TRUE, "Working Age")</f>
        <v>Working Age</v>
      </c>
      <c r="J3213" s="6">
        <f>VLOOKUP(F3213,Analysis!$F$1:$G$5,2,FALSE)</f>
        <v>2509.1716796874912</v>
      </c>
      <c r="K3213">
        <f t="shared" si="200"/>
        <v>1461.66</v>
      </c>
      <c r="L3213">
        <f t="shared" si="201"/>
        <v>1461.67</v>
      </c>
      <c r="M3213">
        <f t="shared" si="202"/>
        <v>1461.67</v>
      </c>
      <c r="N3213" s="5" t="str">
        <f t="shared" si="203"/>
        <v>April 2023</v>
      </c>
    </row>
    <row r="3214" spans="1:14" x14ac:dyDescent="0.25">
      <c r="A3214" s="1">
        <v>45029</v>
      </c>
      <c r="B3214" t="s">
        <v>4773</v>
      </c>
      <c r="C3214">
        <v>47</v>
      </c>
      <c r="D3214" t="s">
        <v>9</v>
      </c>
      <c r="E3214" t="s">
        <v>22</v>
      </c>
      <c r="F3214" t="s">
        <v>29</v>
      </c>
      <c r="G3214" t="s">
        <v>17</v>
      </c>
      <c r="H3214">
        <v>4371.8100000000004</v>
      </c>
      <c r="I3214" s="8" t="str" cm="1">
        <f t="array" ref="I3214">_xlfn.IFS(C3214&lt;=15,"Children and Young Adolescents", C3214&gt;64, "Seniors", TRUE, "Working Age")</f>
        <v>Working Age</v>
      </c>
      <c r="J3214" s="6">
        <f>VLOOKUP(F3214,Analysis!$F$1:$G$5,2,FALSE)</f>
        <v>2496.7676064256989</v>
      </c>
      <c r="K3214">
        <f t="shared" si="200"/>
        <v>4808.99</v>
      </c>
      <c r="L3214">
        <f t="shared" si="201"/>
        <v>4809</v>
      </c>
      <c r="M3214">
        <f t="shared" si="202"/>
        <v>4808.99</v>
      </c>
      <c r="N3214" s="5" t="str">
        <f t="shared" si="203"/>
        <v>April 2023</v>
      </c>
    </row>
    <row r="3215" spans="1:14" x14ac:dyDescent="0.25">
      <c r="A3215" s="1">
        <v>45029</v>
      </c>
      <c r="B3215" t="s">
        <v>1112</v>
      </c>
      <c r="C3215">
        <v>49</v>
      </c>
      <c r="D3215" t="s">
        <v>14</v>
      </c>
      <c r="E3215" t="s">
        <v>15</v>
      </c>
      <c r="F3215" t="s">
        <v>29</v>
      </c>
      <c r="G3215" t="s">
        <v>17</v>
      </c>
      <c r="H3215">
        <v>1359.35</v>
      </c>
      <c r="I3215" s="8" t="str" cm="1">
        <f t="array" ref="I3215">_xlfn.IFS(C3215&lt;=15,"Children and Young Adolescents", C3215&gt;64, "Seniors", TRUE, "Working Age")</f>
        <v>Working Age</v>
      </c>
      <c r="J3215" s="6">
        <f>VLOOKUP(F3215,Analysis!$F$1:$G$5,2,FALSE)</f>
        <v>2496.7676064256989</v>
      </c>
      <c r="K3215">
        <f t="shared" si="200"/>
        <v>1495.28</v>
      </c>
      <c r="L3215">
        <f t="shared" si="201"/>
        <v>1495.29</v>
      </c>
      <c r="M3215">
        <f t="shared" si="202"/>
        <v>1495.29</v>
      </c>
      <c r="N3215" s="5" t="str">
        <f t="shared" si="203"/>
        <v>April 2023</v>
      </c>
    </row>
    <row r="3216" spans="1:14" x14ac:dyDescent="0.25">
      <c r="A3216" s="1">
        <v>45029</v>
      </c>
      <c r="B3216" t="s">
        <v>1251</v>
      </c>
      <c r="C3216">
        <v>86</v>
      </c>
      <c r="D3216" t="s">
        <v>14</v>
      </c>
      <c r="E3216" t="s">
        <v>22</v>
      </c>
      <c r="F3216" t="s">
        <v>11</v>
      </c>
      <c r="G3216" t="s">
        <v>27</v>
      </c>
      <c r="H3216">
        <v>375.29</v>
      </c>
      <c r="I3216" s="8" t="str" cm="1">
        <f t="array" ref="I3216">_xlfn.IFS(C3216&lt;=15,"Children and Young Adolescents", C3216&gt;64, "Seniors", TRUE, "Working Age")</f>
        <v>Seniors</v>
      </c>
      <c r="J3216" s="6">
        <f>VLOOKUP(F3216,Analysis!$F$1:$G$5,2,FALSE)</f>
        <v>2503.6022787783854</v>
      </c>
      <c r="K3216">
        <f t="shared" si="200"/>
        <v>412.81</v>
      </c>
      <c r="L3216">
        <f t="shared" si="201"/>
        <v>412.82</v>
      </c>
      <c r="M3216">
        <f t="shared" si="202"/>
        <v>412.82</v>
      </c>
      <c r="N3216" s="5" t="str">
        <f t="shared" si="203"/>
        <v>April 2023</v>
      </c>
    </row>
    <row r="3217" spans="1:14" x14ac:dyDescent="0.25">
      <c r="A3217" s="1">
        <v>45029</v>
      </c>
      <c r="B3217" t="s">
        <v>1407</v>
      </c>
      <c r="C3217">
        <v>9</v>
      </c>
      <c r="D3217" t="s">
        <v>14</v>
      </c>
      <c r="E3217" t="s">
        <v>32</v>
      </c>
      <c r="F3217" t="s">
        <v>29</v>
      </c>
      <c r="G3217" t="s">
        <v>12</v>
      </c>
      <c r="H3217">
        <v>2298.69</v>
      </c>
      <c r="I3217" s="8" t="str" cm="1">
        <f t="array" ref="I3217">_xlfn.IFS(C3217&lt;=15,"Children and Young Adolescents", C3217&gt;64, "Seniors", TRUE, "Working Age")</f>
        <v>Children and Young Adolescents</v>
      </c>
      <c r="J3217" s="6">
        <f>VLOOKUP(F3217,Analysis!$F$1:$G$5,2,FALSE)</f>
        <v>2496.7676064256989</v>
      </c>
      <c r="K3217">
        <f t="shared" si="200"/>
        <v>2528.5500000000002</v>
      </c>
      <c r="L3217">
        <f t="shared" si="201"/>
        <v>2528.5600000000004</v>
      </c>
      <c r="M3217">
        <f t="shared" si="202"/>
        <v>2528.56</v>
      </c>
      <c r="N3217" s="5" t="str">
        <f t="shared" si="203"/>
        <v>April 2023</v>
      </c>
    </row>
    <row r="3218" spans="1:14" x14ac:dyDescent="0.25">
      <c r="A3218" s="1">
        <v>45029</v>
      </c>
      <c r="B3218" t="s">
        <v>3571</v>
      </c>
      <c r="C3218">
        <v>12</v>
      </c>
      <c r="D3218" t="s">
        <v>14</v>
      </c>
      <c r="E3218" t="s">
        <v>32</v>
      </c>
      <c r="F3218" t="s">
        <v>23</v>
      </c>
      <c r="G3218" t="s">
        <v>27</v>
      </c>
      <c r="H3218">
        <v>2853.22</v>
      </c>
      <c r="I3218" s="8" t="str" cm="1">
        <f t="array" ref="I3218">_xlfn.IFS(C3218&lt;=15,"Children and Young Adolescents", C3218&gt;64, "Seniors", TRUE, "Working Age")</f>
        <v>Children and Young Adolescents</v>
      </c>
      <c r="J3218" s="6">
        <f>VLOOKUP(F3218,Analysis!$F$1:$G$5,2,FALSE)</f>
        <v>2440.2966694490838</v>
      </c>
      <c r="K3218">
        <f t="shared" si="200"/>
        <v>3138.54</v>
      </c>
      <c r="L3218">
        <f t="shared" si="201"/>
        <v>3138.55</v>
      </c>
      <c r="M3218">
        <f t="shared" si="202"/>
        <v>3138.54</v>
      </c>
      <c r="N3218" s="5" t="str">
        <f t="shared" si="203"/>
        <v>April 2023</v>
      </c>
    </row>
    <row r="3219" spans="1:14" x14ac:dyDescent="0.25">
      <c r="A3219" s="1">
        <v>45029</v>
      </c>
      <c r="B3219" t="s">
        <v>3860</v>
      </c>
      <c r="C3219">
        <v>59</v>
      </c>
      <c r="D3219" t="s">
        <v>14</v>
      </c>
      <c r="E3219" t="s">
        <v>34</v>
      </c>
      <c r="F3219" t="s">
        <v>29</v>
      </c>
      <c r="G3219" t="s">
        <v>17</v>
      </c>
      <c r="H3219">
        <v>1509.81</v>
      </c>
      <c r="I3219" s="8" t="str" cm="1">
        <f t="array" ref="I3219">_xlfn.IFS(C3219&lt;=15,"Children and Young Adolescents", C3219&gt;64, "Seniors", TRUE, "Working Age")</f>
        <v>Working Age</v>
      </c>
      <c r="J3219" s="6">
        <f>VLOOKUP(F3219,Analysis!$F$1:$G$5,2,FALSE)</f>
        <v>2496.7676064256989</v>
      </c>
      <c r="K3219">
        <f t="shared" si="200"/>
        <v>1660.79</v>
      </c>
      <c r="L3219">
        <f t="shared" si="201"/>
        <v>1660.8</v>
      </c>
      <c r="M3219">
        <f t="shared" si="202"/>
        <v>1660.79</v>
      </c>
      <c r="N3219" s="5" t="str">
        <f t="shared" si="203"/>
        <v>April 2023</v>
      </c>
    </row>
    <row r="3220" spans="1:14" x14ac:dyDescent="0.25">
      <c r="A3220" s="1">
        <v>45029</v>
      </c>
      <c r="B3220" t="s">
        <v>1115</v>
      </c>
      <c r="C3220">
        <v>98</v>
      </c>
      <c r="D3220" t="s">
        <v>14</v>
      </c>
      <c r="E3220" t="s">
        <v>34</v>
      </c>
      <c r="F3220" t="s">
        <v>23</v>
      </c>
      <c r="G3220" t="s">
        <v>39</v>
      </c>
      <c r="H3220">
        <v>4017.1</v>
      </c>
      <c r="I3220" s="8" t="str" cm="1">
        <f t="array" ref="I3220">_xlfn.IFS(C3220&lt;=15,"Children and Young Adolescents", C3220&gt;64, "Seniors", TRUE, "Working Age")</f>
        <v>Seniors</v>
      </c>
      <c r="J3220" s="6">
        <f>VLOOKUP(F3220,Analysis!$F$1:$G$5,2,FALSE)</f>
        <v>2440.2966694490838</v>
      </c>
      <c r="K3220">
        <f t="shared" si="200"/>
        <v>4418.8100000000004</v>
      </c>
      <c r="L3220">
        <f t="shared" si="201"/>
        <v>4418.8100000000004</v>
      </c>
      <c r="M3220">
        <f t="shared" si="202"/>
        <v>4418.8100000000004</v>
      </c>
      <c r="N3220" s="5" t="str">
        <f t="shared" si="203"/>
        <v>April 2023</v>
      </c>
    </row>
    <row r="3221" spans="1:14" x14ac:dyDescent="0.25">
      <c r="A3221" s="1">
        <v>45030</v>
      </c>
      <c r="B3221" t="s">
        <v>954</v>
      </c>
      <c r="C3221">
        <v>61</v>
      </c>
      <c r="D3221" t="s">
        <v>21</v>
      </c>
      <c r="E3221" t="s">
        <v>22</v>
      </c>
      <c r="F3221" t="s">
        <v>11</v>
      </c>
      <c r="G3221" t="s">
        <v>36</v>
      </c>
      <c r="H3221">
        <v>966.05</v>
      </c>
      <c r="I3221" s="8" t="str" cm="1">
        <f t="array" ref="I3221">_xlfn.IFS(C3221&lt;=15,"Children and Young Adolescents", C3221&gt;64, "Seniors", TRUE, "Working Age")</f>
        <v>Working Age</v>
      </c>
      <c r="J3221" s="6">
        <f>VLOOKUP(F3221,Analysis!$F$1:$G$5,2,FALSE)</f>
        <v>2503.6022787783854</v>
      </c>
      <c r="K3221">
        <f t="shared" si="200"/>
        <v>1062.6500000000001</v>
      </c>
      <c r="L3221">
        <f t="shared" si="201"/>
        <v>1062.6600000000001</v>
      </c>
      <c r="M3221">
        <f t="shared" si="202"/>
        <v>1062.6600000000001</v>
      </c>
      <c r="N3221" s="5" t="str">
        <f t="shared" si="203"/>
        <v>April 2023</v>
      </c>
    </row>
    <row r="3222" spans="1:14" x14ac:dyDescent="0.25">
      <c r="A3222" s="1">
        <v>45030</v>
      </c>
      <c r="B3222" t="s">
        <v>2763</v>
      </c>
      <c r="C3222">
        <v>54</v>
      </c>
      <c r="D3222" t="s">
        <v>9</v>
      </c>
      <c r="E3222" t="s">
        <v>34</v>
      </c>
      <c r="F3222" t="s">
        <v>29</v>
      </c>
      <c r="G3222" t="s">
        <v>39</v>
      </c>
      <c r="H3222">
        <v>132.54</v>
      </c>
      <c r="I3222" s="8" t="str" cm="1">
        <f t="array" ref="I3222">_xlfn.IFS(C3222&lt;=15,"Children and Young Adolescents", C3222&gt;64, "Seniors", TRUE, "Working Age")</f>
        <v>Working Age</v>
      </c>
      <c r="J3222" s="6">
        <f>VLOOKUP(F3222,Analysis!$F$1:$G$5,2,FALSE)</f>
        <v>2496.7676064256989</v>
      </c>
      <c r="K3222">
        <f t="shared" si="200"/>
        <v>145.79</v>
      </c>
      <c r="L3222">
        <f t="shared" si="201"/>
        <v>145.79999999999998</v>
      </c>
      <c r="M3222">
        <f t="shared" si="202"/>
        <v>145.79</v>
      </c>
      <c r="N3222" s="5" t="str">
        <f t="shared" si="203"/>
        <v>April 2023</v>
      </c>
    </row>
    <row r="3223" spans="1:14" x14ac:dyDescent="0.25">
      <c r="A3223" s="1">
        <v>45030</v>
      </c>
      <c r="B3223" t="s">
        <v>3545</v>
      </c>
      <c r="C3223">
        <v>93</v>
      </c>
      <c r="D3223" t="s">
        <v>21</v>
      </c>
      <c r="E3223" t="s">
        <v>32</v>
      </c>
      <c r="F3223" t="s">
        <v>16</v>
      </c>
      <c r="G3223" t="s">
        <v>39</v>
      </c>
      <c r="H3223">
        <v>1974.7</v>
      </c>
      <c r="I3223" s="8" t="str" cm="1">
        <f t="array" ref="I3223">_xlfn.IFS(C3223&lt;=15,"Children and Young Adolescents", C3223&gt;64, "Seniors", TRUE, "Working Age")</f>
        <v>Seniors</v>
      </c>
      <c r="J3223" s="6">
        <f>VLOOKUP(F3223,Analysis!$F$1:$G$5,2,FALSE)</f>
        <v>2509.1716796874912</v>
      </c>
      <c r="K3223">
        <f t="shared" si="200"/>
        <v>2172.17</v>
      </c>
      <c r="L3223">
        <f t="shared" si="201"/>
        <v>2172.17</v>
      </c>
      <c r="M3223">
        <f t="shared" si="202"/>
        <v>2172.17</v>
      </c>
      <c r="N3223" s="5" t="str">
        <f t="shared" si="203"/>
        <v>April 2023</v>
      </c>
    </row>
    <row r="3224" spans="1:14" x14ac:dyDescent="0.25">
      <c r="A3224" s="1">
        <v>45030</v>
      </c>
      <c r="B3224" t="s">
        <v>4157</v>
      </c>
      <c r="C3224">
        <v>58</v>
      </c>
      <c r="D3224" t="s">
        <v>9</v>
      </c>
      <c r="E3224" t="s">
        <v>22</v>
      </c>
      <c r="F3224" t="s">
        <v>23</v>
      </c>
      <c r="G3224" t="s">
        <v>17</v>
      </c>
      <c r="H3224">
        <v>1883.38</v>
      </c>
      <c r="I3224" s="8" t="str" cm="1">
        <f t="array" ref="I3224">_xlfn.IFS(C3224&lt;=15,"Children and Young Adolescents", C3224&gt;64, "Seniors", TRUE, "Working Age")</f>
        <v>Working Age</v>
      </c>
      <c r="J3224" s="6">
        <f>VLOOKUP(F3224,Analysis!$F$1:$G$5,2,FALSE)</f>
        <v>2440.2966694490838</v>
      </c>
      <c r="K3224">
        <f t="shared" si="200"/>
        <v>2071.71</v>
      </c>
      <c r="L3224">
        <f t="shared" si="201"/>
        <v>2071.7200000000003</v>
      </c>
      <c r="M3224">
        <f t="shared" si="202"/>
        <v>2071.7199999999998</v>
      </c>
      <c r="N3224" s="5" t="str">
        <f t="shared" si="203"/>
        <v>April 2023</v>
      </c>
    </row>
    <row r="3225" spans="1:14" x14ac:dyDescent="0.25">
      <c r="A3225" s="1">
        <v>45030</v>
      </c>
      <c r="B3225" t="s">
        <v>3849</v>
      </c>
      <c r="C3225">
        <v>49</v>
      </c>
      <c r="D3225" t="s">
        <v>9</v>
      </c>
      <c r="E3225" t="s">
        <v>32</v>
      </c>
      <c r="F3225" t="s">
        <v>29</v>
      </c>
      <c r="G3225" t="s">
        <v>27</v>
      </c>
      <c r="H3225">
        <v>1599.02</v>
      </c>
      <c r="I3225" s="8" t="str" cm="1">
        <f t="array" ref="I3225">_xlfn.IFS(C3225&lt;=15,"Children and Young Adolescents", C3225&gt;64, "Seniors", TRUE, "Working Age")</f>
        <v>Working Age</v>
      </c>
      <c r="J3225" s="6">
        <f>VLOOKUP(F3225,Analysis!$F$1:$G$5,2,FALSE)</f>
        <v>2496.7676064256989</v>
      </c>
      <c r="K3225">
        <f t="shared" si="200"/>
        <v>1758.92</v>
      </c>
      <c r="L3225">
        <f t="shared" si="201"/>
        <v>1758.93</v>
      </c>
      <c r="M3225">
        <f t="shared" si="202"/>
        <v>1758.92</v>
      </c>
      <c r="N3225" s="5" t="str">
        <f t="shared" si="203"/>
        <v>April 2023</v>
      </c>
    </row>
    <row r="3226" spans="1:14" x14ac:dyDescent="0.25">
      <c r="A3226" s="1">
        <v>45030</v>
      </c>
      <c r="B3226" t="s">
        <v>1374</v>
      </c>
      <c r="C3226">
        <v>15</v>
      </c>
      <c r="D3226" t="s">
        <v>21</v>
      </c>
      <c r="E3226" t="s">
        <v>34</v>
      </c>
      <c r="F3226" t="s">
        <v>23</v>
      </c>
      <c r="G3226" t="s">
        <v>17</v>
      </c>
      <c r="H3226">
        <v>2756.32</v>
      </c>
      <c r="I3226" s="8" t="str" cm="1">
        <f t="array" ref="I3226">_xlfn.IFS(C3226&lt;=15,"Children and Young Adolescents", C3226&gt;64, "Seniors", TRUE, "Working Age")</f>
        <v>Children and Young Adolescents</v>
      </c>
      <c r="J3226" s="6">
        <f>VLOOKUP(F3226,Analysis!$F$1:$G$5,2,FALSE)</f>
        <v>2440.2966694490838</v>
      </c>
      <c r="K3226">
        <f t="shared" si="200"/>
        <v>3031.95</v>
      </c>
      <c r="L3226">
        <f t="shared" si="201"/>
        <v>3031.96</v>
      </c>
      <c r="M3226">
        <f t="shared" si="202"/>
        <v>3031.95</v>
      </c>
      <c r="N3226" s="5" t="str">
        <f t="shared" si="203"/>
        <v>April 2023</v>
      </c>
    </row>
    <row r="3227" spans="1:14" x14ac:dyDescent="0.25">
      <c r="A3227" s="1">
        <v>45030</v>
      </c>
      <c r="B3227" t="s">
        <v>2466</v>
      </c>
      <c r="C3227">
        <v>81</v>
      </c>
      <c r="D3227" t="s">
        <v>21</v>
      </c>
      <c r="E3227" t="s">
        <v>25</v>
      </c>
      <c r="F3227" t="s">
        <v>11</v>
      </c>
      <c r="G3227" t="s">
        <v>17</v>
      </c>
      <c r="H3227">
        <v>905.64</v>
      </c>
      <c r="I3227" s="8" t="str" cm="1">
        <f t="array" ref="I3227">_xlfn.IFS(C3227&lt;=15,"Children and Young Adolescents", C3227&gt;64, "Seniors", TRUE, "Working Age")</f>
        <v>Seniors</v>
      </c>
      <c r="J3227" s="6">
        <f>VLOOKUP(F3227,Analysis!$F$1:$G$5,2,FALSE)</f>
        <v>2503.6022787783854</v>
      </c>
      <c r="K3227">
        <f t="shared" si="200"/>
        <v>996.2</v>
      </c>
      <c r="L3227">
        <f t="shared" si="201"/>
        <v>996.21</v>
      </c>
      <c r="M3227">
        <f t="shared" si="202"/>
        <v>996.2</v>
      </c>
      <c r="N3227" s="5" t="str">
        <f t="shared" si="203"/>
        <v>April 2023</v>
      </c>
    </row>
    <row r="3228" spans="1:14" x14ac:dyDescent="0.25">
      <c r="A3228" s="1">
        <v>45030</v>
      </c>
      <c r="B3228" t="s">
        <v>3642</v>
      </c>
      <c r="C3228">
        <v>51</v>
      </c>
      <c r="D3228" t="s">
        <v>21</v>
      </c>
      <c r="E3228" t="s">
        <v>19</v>
      </c>
      <c r="F3228" t="s">
        <v>16</v>
      </c>
      <c r="G3228" t="s">
        <v>12</v>
      </c>
      <c r="H3228">
        <v>3148.45</v>
      </c>
      <c r="I3228" s="8" t="str" cm="1">
        <f t="array" ref="I3228">_xlfn.IFS(C3228&lt;=15,"Children and Young Adolescents", C3228&gt;64, "Seniors", TRUE, "Working Age")</f>
        <v>Working Age</v>
      </c>
      <c r="J3228" s="6">
        <f>VLOOKUP(F3228,Analysis!$F$1:$G$5,2,FALSE)</f>
        <v>2509.1716796874912</v>
      </c>
      <c r="K3228">
        <f t="shared" si="200"/>
        <v>3463.29</v>
      </c>
      <c r="L3228">
        <f t="shared" si="201"/>
        <v>3463.3</v>
      </c>
      <c r="M3228">
        <f t="shared" si="202"/>
        <v>3463.3</v>
      </c>
      <c r="N3228" s="5" t="str">
        <f t="shared" si="203"/>
        <v>April 2023</v>
      </c>
    </row>
    <row r="3229" spans="1:14" x14ac:dyDescent="0.25">
      <c r="A3229" s="1">
        <v>45030</v>
      </c>
      <c r="B3229" t="s">
        <v>64</v>
      </c>
      <c r="C3229">
        <v>35</v>
      </c>
      <c r="D3229" t="s">
        <v>21</v>
      </c>
      <c r="E3229" t="s">
        <v>19</v>
      </c>
      <c r="F3229" t="s">
        <v>16</v>
      </c>
      <c r="G3229" t="s">
        <v>36</v>
      </c>
      <c r="H3229">
        <v>4275.91</v>
      </c>
      <c r="I3229" s="8" t="str" cm="1">
        <f t="array" ref="I3229">_xlfn.IFS(C3229&lt;=15,"Children and Young Adolescents", C3229&gt;64, "Seniors", TRUE, "Working Age")</f>
        <v>Working Age</v>
      </c>
      <c r="J3229" s="6">
        <f>VLOOKUP(F3229,Analysis!$F$1:$G$5,2,FALSE)</f>
        <v>2509.1716796874912</v>
      </c>
      <c r="K3229">
        <f t="shared" si="200"/>
        <v>4703.5</v>
      </c>
      <c r="L3229">
        <f t="shared" si="201"/>
        <v>4703.51</v>
      </c>
      <c r="M3229">
        <f t="shared" si="202"/>
        <v>4703.5</v>
      </c>
      <c r="N3229" s="5" t="str">
        <f t="shared" si="203"/>
        <v>April 2023</v>
      </c>
    </row>
    <row r="3230" spans="1:14" x14ac:dyDescent="0.25">
      <c r="A3230" s="1">
        <v>45030</v>
      </c>
      <c r="B3230" t="s">
        <v>4426</v>
      </c>
      <c r="C3230">
        <v>49</v>
      </c>
      <c r="D3230" t="s">
        <v>14</v>
      </c>
      <c r="E3230" t="s">
        <v>25</v>
      </c>
      <c r="F3230" t="s">
        <v>11</v>
      </c>
      <c r="G3230" t="s">
        <v>39</v>
      </c>
      <c r="H3230">
        <v>2878.6</v>
      </c>
      <c r="I3230" s="8" t="str" cm="1">
        <f t="array" ref="I3230">_xlfn.IFS(C3230&lt;=15,"Children and Young Adolescents", C3230&gt;64, "Seniors", TRUE, "Working Age")</f>
        <v>Working Age</v>
      </c>
      <c r="J3230" s="6">
        <f>VLOOKUP(F3230,Analysis!$F$1:$G$5,2,FALSE)</f>
        <v>2503.6022787783854</v>
      </c>
      <c r="K3230">
        <f t="shared" si="200"/>
        <v>3166.46</v>
      </c>
      <c r="L3230">
        <f t="shared" si="201"/>
        <v>3166.46</v>
      </c>
      <c r="M3230">
        <f t="shared" si="202"/>
        <v>3166.46</v>
      </c>
      <c r="N3230" s="5" t="str">
        <f t="shared" si="203"/>
        <v>April 2023</v>
      </c>
    </row>
    <row r="3231" spans="1:14" x14ac:dyDescent="0.25">
      <c r="A3231" s="1">
        <v>45031</v>
      </c>
      <c r="B3231" t="s">
        <v>411</v>
      </c>
      <c r="C3231">
        <v>19</v>
      </c>
      <c r="D3231" t="s">
        <v>9</v>
      </c>
      <c r="E3231" t="s">
        <v>32</v>
      </c>
      <c r="F3231" t="s">
        <v>16</v>
      </c>
      <c r="G3231" t="s">
        <v>36</v>
      </c>
      <c r="H3231">
        <v>4169.68</v>
      </c>
      <c r="I3231" s="8" t="str" cm="1">
        <f t="array" ref="I3231">_xlfn.IFS(C3231&lt;=15,"Children and Young Adolescents", C3231&gt;64, "Seniors", TRUE, "Working Age")</f>
        <v>Working Age</v>
      </c>
      <c r="J3231" s="6">
        <f>VLOOKUP(F3231,Analysis!$F$1:$G$5,2,FALSE)</f>
        <v>2509.1716796874912</v>
      </c>
      <c r="K3231">
        <f t="shared" si="200"/>
        <v>4586.6400000000003</v>
      </c>
      <c r="L3231">
        <f t="shared" si="201"/>
        <v>4586.6500000000005</v>
      </c>
      <c r="M3231">
        <f t="shared" si="202"/>
        <v>4586.6499999999996</v>
      </c>
      <c r="N3231" s="5" t="str">
        <f t="shared" si="203"/>
        <v>April 2023</v>
      </c>
    </row>
    <row r="3232" spans="1:14" x14ac:dyDescent="0.25">
      <c r="A3232" s="1">
        <v>45031</v>
      </c>
      <c r="B3232" t="s">
        <v>1857</v>
      </c>
      <c r="C3232">
        <v>51</v>
      </c>
      <c r="D3232" t="s">
        <v>14</v>
      </c>
      <c r="E3232" t="s">
        <v>25</v>
      </c>
      <c r="F3232" t="s">
        <v>29</v>
      </c>
      <c r="G3232" t="s">
        <v>17</v>
      </c>
      <c r="H3232">
        <v>722.76</v>
      </c>
      <c r="I3232" s="8" t="str" cm="1">
        <f t="array" ref="I3232">_xlfn.IFS(C3232&lt;=15,"Children and Young Adolescents", C3232&gt;64, "Seniors", TRUE, "Working Age")</f>
        <v>Working Age</v>
      </c>
      <c r="J3232" s="6">
        <f>VLOOKUP(F3232,Analysis!$F$1:$G$5,2,FALSE)</f>
        <v>2496.7676064256989</v>
      </c>
      <c r="K3232">
        <f t="shared" si="200"/>
        <v>795.03</v>
      </c>
      <c r="L3232">
        <f t="shared" si="201"/>
        <v>795.04</v>
      </c>
      <c r="M3232">
        <f t="shared" si="202"/>
        <v>795.04</v>
      </c>
      <c r="N3232" s="5" t="str">
        <f t="shared" si="203"/>
        <v>April 2023</v>
      </c>
    </row>
    <row r="3233" spans="1:14" x14ac:dyDescent="0.25">
      <c r="A3233" s="1">
        <v>45031</v>
      </c>
      <c r="B3233" t="s">
        <v>929</v>
      </c>
      <c r="C3233">
        <v>50</v>
      </c>
      <c r="D3233" t="s">
        <v>9</v>
      </c>
      <c r="E3233" t="s">
        <v>22</v>
      </c>
      <c r="F3233" t="s">
        <v>29</v>
      </c>
      <c r="G3233" t="s">
        <v>17</v>
      </c>
      <c r="H3233">
        <v>3132.58</v>
      </c>
      <c r="I3233" s="8" t="str" cm="1">
        <f t="array" ref="I3233">_xlfn.IFS(C3233&lt;=15,"Children and Young Adolescents", C3233&gt;64, "Seniors", TRUE, "Working Age")</f>
        <v>Working Age</v>
      </c>
      <c r="J3233" s="6">
        <f>VLOOKUP(F3233,Analysis!$F$1:$G$5,2,FALSE)</f>
        <v>2496.7676064256989</v>
      </c>
      <c r="K3233">
        <f t="shared" si="200"/>
        <v>3445.83</v>
      </c>
      <c r="L3233">
        <f t="shared" si="201"/>
        <v>3445.84</v>
      </c>
      <c r="M3233">
        <f t="shared" si="202"/>
        <v>3445.84</v>
      </c>
      <c r="N3233" s="5" t="str">
        <f t="shared" si="203"/>
        <v>April 2023</v>
      </c>
    </row>
    <row r="3234" spans="1:14" x14ac:dyDescent="0.25">
      <c r="A3234" s="1">
        <v>45031</v>
      </c>
      <c r="B3234" t="s">
        <v>281</v>
      </c>
      <c r="C3234">
        <v>36</v>
      </c>
      <c r="D3234" t="s">
        <v>21</v>
      </c>
      <c r="E3234" t="s">
        <v>25</v>
      </c>
      <c r="F3234" t="s">
        <v>29</v>
      </c>
      <c r="G3234" t="s">
        <v>17</v>
      </c>
      <c r="H3234">
        <v>4556.1499999999996</v>
      </c>
      <c r="I3234" s="8" t="str" cm="1">
        <f t="array" ref="I3234">_xlfn.IFS(C3234&lt;=15,"Children and Young Adolescents", C3234&gt;64, "Seniors", TRUE, "Working Age")</f>
        <v>Working Age</v>
      </c>
      <c r="J3234" s="6">
        <f>VLOOKUP(F3234,Analysis!$F$1:$G$5,2,FALSE)</f>
        <v>2496.7676064256989</v>
      </c>
      <c r="K3234">
        <f t="shared" si="200"/>
        <v>5011.76</v>
      </c>
      <c r="L3234">
        <f t="shared" si="201"/>
        <v>5011.7700000000004</v>
      </c>
      <c r="M3234">
        <f t="shared" si="202"/>
        <v>5011.7700000000004</v>
      </c>
      <c r="N3234" s="5" t="str">
        <f t="shared" si="203"/>
        <v>April 2023</v>
      </c>
    </row>
    <row r="3235" spans="1:14" x14ac:dyDescent="0.25">
      <c r="A3235" s="1">
        <v>45031</v>
      </c>
      <c r="B3235" t="s">
        <v>3570</v>
      </c>
      <c r="C3235">
        <v>97</v>
      </c>
      <c r="D3235" t="s">
        <v>14</v>
      </c>
      <c r="E3235" t="s">
        <v>10</v>
      </c>
      <c r="F3235" t="s">
        <v>29</v>
      </c>
      <c r="G3235" t="s">
        <v>27</v>
      </c>
      <c r="H3235">
        <v>1808.82</v>
      </c>
      <c r="I3235" s="8" t="str" cm="1">
        <f t="array" ref="I3235">_xlfn.IFS(C3235&lt;=15,"Children and Young Adolescents", C3235&gt;64, "Seniors", TRUE, "Working Age")</f>
        <v>Seniors</v>
      </c>
      <c r="J3235" s="6">
        <f>VLOOKUP(F3235,Analysis!$F$1:$G$5,2,FALSE)</f>
        <v>2496.7676064256989</v>
      </c>
      <c r="K3235">
        <f t="shared" si="200"/>
        <v>1989.7</v>
      </c>
      <c r="L3235">
        <f t="shared" si="201"/>
        <v>1989.71</v>
      </c>
      <c r="M3235">
        <f t="shared" si="202"/>
        <v>1989.7</v>
      </c>
      <c r="N3235" s="5" t="str">
        <f t="shared" si="203"/>
        <v>April 2023</v>
      </c>
    </row>
    <row r="3236" spans="1:14" x14ac:dyDescent="0.25">
      <c r="A3236" s="1">
        <v>45031</v>
      </c>
      <c r="B3236" t="s">
        <v>803</v>
      </c>
      <c r="C3236">
        <v>29</v>
      </c>
      <c r="D3236" t="s">
        <v>9</v>
      </c>
      <c r="E3236" t="s">
        <v>32</v>
      </c>
      <c r="F3236" t="s">
        <v>16</v>
      </c>
      <c r="G3236" t="s">
        <v>12</v>
      </c>
      <c r="H3236">
        <v>3837.54</v>
      </c>
      <c r="I3236" s="8" t="str" cm="1">
        <f t="array" ref="I3236">_xlfn.IFS(C3236&lt;=15,"Children and Young Adolescents", C3236&gt;64, "Seniors", TRUE, "Working Age")</f>
        <v>Working Age</v>
      </c>
      <c r="J3236" s="6">
        <f>VLOOKUP(F3236,Analysis!$F$1:$G$5,2,FALSE)</f>
        <v>2509.1716796874912</v>
      </c>
      <c r="K3236">
        <f t="shared" si="200"/>
        <v>4221.29</v>
      </c>
      <c r="L3236">
        <f t="shared" si="201"/>
        <v>4221.3</v>
      </c>
      <c r="M3236">
        <f t="shared" si="202"/>
        <v>4221.29</v>
      </c>
      <c r="N3236" s="5" t="str">
        <f t="shared" si="203"/>
        <v>April 2023</v>
      </c>
    </row>
    <row r="3237" spans="1:14" x14ac:dyDescent="0.25">
      <c r="A3237" s="1">
        <v>45031</v>
      </c>
      <c r="B3237" t="s">
        <v>1181</v>
      </c>
      <c r="C3237">
        <v>45</v>
      </c>
      <c r="D3237" t="s">
        <v>9</v>
      </c>
      <c r="E3237" t="s">
        <v>34</v>
      </c>
      <c r="F3237" t="s">
        <v>29</v>
      </c>
      <c r="G3237" t="s">
        <v>39</v>
      </c>
      <c r="H3237">
        <v>3472.24</v>
      </c>
      <c r="I3237" s="8" t="str" cm="1">
        <f t="array" ref="I3237">_xlfn.IFS(C3237&lt;=15,"Children and Young Adolescents", C3237&gt;64, "Seniors", TRUE, "Working Age")</f>
        <v>Working Age</v>
      </c>
      <c r="J3237" s="6">
        <f>VLOOKUP(F3237,Analysis!$F$1:$G$5,2,FALSE)</f>
        <v>2496.7676064256989</v>
      </c>
      <c r="K3237">
        <f t="shared" si="200"/>
        <v>3819.46</v>
      </c>
      <c r="L3237">
        <f t="shared" si="201"/>
        <v>3819.4700000000003</v>
      </c>
      <c r="M3237">
        <f t="shared" si="202"/>
        <v>3819.46</v>
      </c>
      <c r="N3237" s="5" t="str">
        <f t="shared" si="203"/>
        <v>April 2023</v>
      </c>
    </row>
    <row r="3238" spans="1:14" x14ac:dyDescent="0.25">
      <c r="A3238" s="1">
        <v>45032</v>
      </c>
      <c r="B3238" t="s">
        <v>909</v>
      </c>
      <c r="C3238">
        <v>77</v>
      </c>
      <c r="D3238" t="s">
        <v>9</v>
      </c>
      <c r="E3238" t="s">
        <v>5032</v>
      </c>
      <c r="F3238" t="s">
        <v>11</v>
      </c>
      <c r="G3238" t="s">
        <v>12</v>
      </c>
      <c r="H3238">
        <v>2284.79</v>
      </c>
      <c r="I3238" s="8" t="str" cm="1">
        <f t="array" ref="I3238">_xlfn.IFS(C3238&lt;=15,"Children and Young Adolescents", C3238&gt;64, "Seniors", TRUE, "Working Age")</f>
        <v>Seniors</v>
      </c>
      <c r="J3238" s="6">
        <f>VLOOKUP(F3238,Analysis!$F$1:$G$5,2,FALSE)</f>
        <v>2503.6022787783854</v>
      </c>
      <c r="K3238">
        <f t="shared" si="200"/>
        <v>2513.2600000000002</v>
      </c>
      <c r="L3238">
        <f t="shared" si="201"/>
        <v>2513.2700000000004</v>
      </c>
      <c r="M3238">
        <f t="shared" si="202"/>
        <v>2513.27</v>
      </c>
      <c r="N3238" s="5" t="str">
        <f t="shared" si="203"/>
        <v>April 2023</v>
      </c>
    </row>
    <row r="3239" spans="1:14" x14ac:dyDescent="0.25">
      <c r="A3239" s="1">
        <v>45032</v>
      </c>
      <c r="B3239" t="s">
        <v>1853</v>
      </c>
      <c r="C3239">
        <v>8</v>
      </c>
      <c r="D3239" t="s">
        <v>21</v>
      </c>
      <c r="E3239" t="s">
        <v>34</v>
      </c>
      <c r="F3239" t="s">
        <v>16</v>
      </c>
      <c r="G3239" t="s">
        <v>36</v>
      </c>
      <c r="H3239">
        <v>1714.36</v>
      </c>
      <c r="I3239" s="8" t="str" cm="1">
        <f t="array" ref="I3239">_xlfn.IFS(C3239&lt;=15,"Children and Young Adolescents", C3239&gt;64, "Seniors", TRUE, "Working Age")</f>
        <v>Children and Young Adolescents</v>
      </c>
      <c r="J3239" s="6">
        <f>VLOOKUP(F3239,Analysis!$F$1:$G$5,2,FALSE)</f>
        <v>2509.1716796874912</v>
      </c>
      <c r="K3239">
        <f t="shared" si="200"/>
        <v>1885.79</v>
      </c>
      <c r="L3239">
        <f t="shared" si="201"/>
        <v>1885.8</v>
      </c>
      <c r="M3239">
        <f t="shared" si="202"/>
        <v>1885.8</v>
      </c>
      <c r="N3239" s="5" t="str">
        <f t="shared" si="203"/>
        <v>April 2023</v>
      </c>
    </row>
    <row r="3240" spans="1:14" x14ac:dyDescent="0.25">
      <c r="A3240" s="1">
        <v>45032</v>
      </c>
      <c r="B3240" t="s">
        <v>4543</v>
      </c>
      <c r="C3240">
        <v>71</v>
      </c>
      <c r="D3240" t="s">
        <v>14</v>
      </c>
      <c r="E3240" t="s">
        <v>15</v>
      </c>
      <c r="F3240" t="s">
        <v>11</v>
      </c>
      <c r="G3240" t="s">
        <v>39</v>
      </c>
      <c r="H3240">
        <v>3078.07</v>
      </c>
      <c r="I3240" s="8" t="str" cm="1">
        <f t="array" ref="I3240">_xlfn.IFS(C3240&lt;=15,"Children and Young Adolescents", C3240&gt;64, "Seniors", TRUE, "Working Age")</f>
        <v>Seniors</v>
      </c>
      <c r="J3240" s="6">
        <f>VLOOKUP(F3240,Analysis!$F$1:$G$5,2,FALSE)</f>
        <v>2503.6022787783854</v>
      </c>
      <c r="K3240">
        <f t="shared" si="200"/>
        <v>3385.87</v>
      </c>
      <c r="L3240">
        <f t="shared" si="201"/>
        <v>3385.88</v>
      </c>
      <c r="M3240">
        <f t="shared" si="202"/>
        <v>3385.88</v>
      </c>
      <c r="N3240" s="5" t="str">
        <f t="shared" si="203"/>
        <v>April 2023</v>
      </c>
    </row>
    <row r="3241" spans="1:14" x14ac:dyDescent="0.25">
      <c r="A3241" s="1">
        <v>45032</v>
      </c>
      <c r="B3241" t="s">
        <v>3912</v>
      </c>
      <c r="C3241">
        <v>52</v>
      </c>
      <c r="D3241" t="s">
        <v>9</v>
      </c>
      <c r="E3241" t="s">
        <v>22</v>
      </c>
      <c r="F3241" t="s">
        <v>23</v>
      </c>
      <c r="G3241" t="s">
        <v>12</v>
      </c>
      <c r="H3241">
        <v>1645.85</v>
      </c>
      <c r="I3241" s="8" t="str" cm="1">
        <f t="array" ref="I3241">_xlfn.IFS(C3241&lt;=15,"Children and Young Adolescents", C3241&gt;64, "Seniors", TRUE, "Working Age")</f>
        <v>Working Age</v>
      </c>
      <c r="J3241" s="6">
        <f>VLOOKUP(F3241,Analysis!$F$1:$G$5,2,FALSE)</f>
        <v>2440.2966694490838</v>
      </c>
      <c r="K3241">
        <f t="shared" si="200"/>
        <v>1810.43</v>
      </c>
      <c r="L3241">
        <f t="shared" si="201"/>
        <v>1810.44</v>
      </c>
      <c r="M3241">
        <f t="shared" si="202"/>
        <v>1810.44</v>
      </c>
      <c r="N3241" s="5" t="str">
        <f t="shared" si="203"/>
        <v>April 2023</v>
      </c>
    </row>
    <row r="3242" spans="1:14" x14ac:dyDescent="0.25">
      <c r="A3242" s="1">
        <v>45032</v>
      </c>
      <c r="B3242" t="s">
        <v>3170</v>
      </c>
      <c r="C3242">
        <v>2</v>
      </c>
      <c r="D3242" t="s">
        <v>21</v>
      </c>
      <c r="E3242" t="s">
        <v>15</v>
      </c>
      <c r="F3242" t="s">
        <v>23</v>
      </c>
      <c r="G3242" t="s">
        <v>39</v>
      </c>
      <c r="H3242">
        <v>4434.43</v>
      </c>
      <c r="I3242" s="8" t="str" cm="1">
        <f t="array" ref="I3242">_xlfn.IFS(C3242&lt;=15,"Children and Young Adolescents", C3242&gt;64, "Seniors", TRUE, "Working Age")</f>
        <v>Children and Young Adolescents</v>
      </c>
      <c r="J3242" s="6">
        <f>VLOOKUP(F3242,Analysis!$F$1:$G$5,2,FALSE)</f>
        <v>2440.2966694490838</v>
      </c>
      <c r="K3242">
        <f t="shared" si="200"/>
        <v>4877.87</v>
      </c>
      <c r="L3242">
        <f t="shared" si="201"/>
        <v>4877.88</v>
      </c>
      <c r="M3242">
        <f t="shared" si="202"/>
        <v>4877.87</v>
      </c>
      <c r="N3242" s="5" t="str">
        <f t="shared" si="203"/>
        <v>April 2023</v>
      </c>
    </row>
    <row r="3243" spans="1:14" x14ac:dyDescent="0.25">
      <c r="A3243" s="1">
        <v>45033</v>
      </c>
      <c r="B3243" t="s">
        <v>3676</v>
      </c>
      <c r="C3243">
        <v>78</v>
      </c>
      <c r="D3243" t="s">
        <v>21</v>
      </c>
      <c r="E3243" t="s">
        <v>32</v>
      </c>
      <c r="F3243" t="s">
        <v>29</v>
      </c>
      <c r="G3243" t="s">
        <v>36</v>
      </c>
      <c r="H3243">
        <v>740.93</v>
      </c>
      <c r="I3243" s="8" t="str" cm="1">
        <f t="array" ref="I3243">_xlfn.IFS(C3243&lt;=15,"Children and Young Adolescents", C3243&gt;64, "Seniors", TRUE, "Working Age")</f>
        <v>Seniors</v>
      </c>
      <c r="J3243" s="6">
        <f>VLOOKUP(F3243,Analysis!$F$1:$G$5,2,FALSE)</f>
        <v>2496.7676064256989</v>
      </c>
      <c r="K3243">
        <f t="shared" si="200"/>
        <v>815.02</v>
      </c>
      <c r="L3243">
        <f t="shared" si="201"/>
        <v>815.03</v>
      </c>
      <c r="M3243">
        <f t="shared" si="202"/>
        <v>815.02</v>
      </c>
      <c r="N3243" s="5" t="str">
        <f t="shared" si="203"/>
        <v>April 2023</v>
      </c>
    </row>
    <row r="3244" spans="1:14" x14ac:dyDescent="0.25">
      <c r="A3244" s="1">
        <v>45033</v>
      </c>
      <c r="B3244" t="s">
        <v>3820</v>
      </c>
      <c r="C3244">
        <v>95</v>
      </c>
      <c r="D3244" t="s">
        <v>14</v>
      </c>
      <c r="E3244" t="s">
        <v>15</v>
      </c>
      <c r="F3244" t="s">
        <v>16</v>
      </c>
      <c r="G3244" t="s">
        <v>12</v>
      </c>
      <c r="H3244">
        <v>3988.42</v>
      </c>
      <c r="I3244" s="8" t="str" cm="1">
        <f t="array" ref="I3244">_xlfn.IFS(C3244&lt;=15,"Children and Young Adolescents", C3244&gt;64, "Seniors", TRUE, "Working Age")</f>
        <v>Seniors</v>
      </c>
      <c r="J3244" s="6">
        <f>VLOOKUP(F3244,Analysis!$F$1:$G$5,2,FALSE)</f>
        <v>2509.1716796874912</v>
      </c>
      <c r="K3244">
        <f t="shared" si="200"/>
        <v>4387.26</v>
      </c>
      <c r="L3244">
        <f t="shared" si="201"/>
        <v>4387.2700000000004</v>
      </c>
      <c r="M3244">
        <f t="shared" si="202"/>
        <v>4387.26</v>
      </c>
      <c r="N3244" s="5" t="str">
        <f t="shared" si="203"/>
        <v>April 2023</v>
      </c>
    </row>
    <row r="3245" spans="1:14" x14ac:dyDescent="0.25">
      <c r="A3245" s="1">
        <v>45033</v>
      </c>
      <c r="B3245" t="s">
        <v>467</v>
      </c>
      <c r="C3245">
        <v>7</v>
      </c>
      <c r="D3245" t="s">
        <v>21</v>
      </c>
      <c r="E3245" t="s">
        <v>34</v>
      </c>
      <c r="F3245" t="s">
        <v>23</v>
      </c>
      <c r="G3245" t="s">
        <v>17</v>
      </c>
      <c r="H3245">
        <v>1466.97</v>
      </c>
      <c r="I3245" s="8" t="str" cm="1">
        <f t="array" ref="I3245">_xlfn.IFS(C3245&lt;=15,"Children and Young Adolescents", C3245&gt;64, "Seniors", TRUE, "Working Age")</f>
        <v>Children and Young Adolescents</v>
      </c>
      <c r="J3245" s="6">
        <f>VLOOKUP(F3245,Analysis!$F$1:$G$5,2,FALSE)</f>
        <v>2440.2966694490838</v>
      </c>
      <c r="K3245">
        <f t="shared" si="200"/>
        <v>1613.66</v>
      </c>
      <c r="L3245">
        <f t="shared" si="201"/>
        <v>1613.67</v>
      </c>
      <c r="M3245">
        <f t="shared" si="202"/>
        <v>1613.67</v>
      </c>
      <c r="N3245" s="5" t="str">
        <f t="shared" si="203"/>
        <v>April 2023</v>
      </c>
    </row>
    <row r="3246" spans="1:14" x14ac:dyDescent="0.25">
      <c r="A3246" s="1">
        <v>45033</v>
      </c>
      <c r="B3246" t="s">
        <v>4309</v>
      </c>
      <c r="C3246">
        <v>90</v>
      </c>
      <c r="D3246" t="s">
        <v>14</v>
      </c>
      <c r="E3246" t="s">
        <v>34</v>
      </c>
      <c r="F3246" t="s">
        <v>29</v>
      </c>
      <c r="G3246" t="s">
        <v>12</v>
      </c>
      <c r="H3246">
        <v>4565.53</v>
      </c>
      <c r="I3246" s="8" t="str" cm="1">
        <f t="array" ref="I3246">_xlfn.IFS(C3246&lt;=15,"Children and Young Adolescents", C3246&gt;64, "Seniors", TRUE, "Working Age")</f>
        <v>Seniors</v>
      </c>
      <c r="J3246" s="6">
        <f>VLOOKUP(F3246,Analysis!$F$1:$G$5,2,FALSE)</f>
        <v>2496.7676064256989</v>
      </c>
      <c r="K3246">
        <f t="shared" si="200"/>
        <v>5022.08</v>
      </c>
      <c r="L3246">
        <f t="shared" si="201"/>
        <v>5022.09</v>
      </c>
      <c r="M3246">
        <f t="shared" si="202"/>
        <v>5022.08</v>
      </c>
      <c r="N3246" s="5" t="str">
        <f t="shared" si="203"/>
        <v>April 2023</v>
      </c>
    </row>
    <row r="3247" spans="1:14" x14ac:dyDescent="0.25">
      <c r="A3247" s="1">
        <v>45033</v>
      </c>
      <c r="B3247" t="s">
        <v>2274</v>
      </c>
      <c r="C3247">
        <v>43</v>
      </c>
      <c r="D3247" t="s">
        <v>9</v>
      </c>
      <c r="E3247" t="s">
        <v>5032</v>
      </c>
      <c r="F3247" t="s">
        <v>11</v>
      </c>
      <c r="G3247" t="s">
        <v>27</v>
      </c>
      <c r="H3247">
        <v>2467.5</v>
      </c>
      <c r="I3247" s="8" t="str" cm="1">
        <f t="array" ref="I3247">_xlfn.IFS(C3247&lt;=15,"Children and Young Adolescents", C3247&gt;64, "Seniors", TRUE, "Working Age")</f>
        <v>Working Age</v>
      </c>
      <c r="J3247" s="6">
        <f>VLOOKUP(F3247,Analysis!$F$1:$G$5,2,FALSE)</f>
        <v>2503.6022787783854</v>
      </c>
      <c r="K3247">
        <f t="shared" si="200"/>
        <v>2714.25</v>
      </c>
      <c r="L3247">
        <f t="shared" si="201"/>
        <v>2714.25</v>
      </c>
      <c r="M3247">
        <f t="shared" si="202"/>
        <v>2714.25</v>
      </c>
      <c r="N3247" s="5" t="str">
        <f t="shared" si="203"/>
        <v>April 2023</v>
      </c>
    </row>
    <row r="3248" spans="1:14" x14ac:dyDescent="0.25">
      <c r="A3248" s="1">
        <v>45033</v>
      </c>
      <c r="B3248" t="s">
        <v>1974</v>
      </c>
      <c r="C3248">
        <v>78</v>
      </c>
      <c r="D3248" t="s">
        <v>9</v>
      </c>
      <c r="E3248" t="s">
        <v>34</v>
      </c>
      <c r="F3248" t="s">
        <v>29</v>
      </c>
      <c r="G3248" t="s">
        <v>12</v>
      </c>
      <c r="H3248">
        <v>197.78</v>
      </c>
      <c r="I3248" s="8" t="str" cm="1">
        <f t="array" ref="I3248">_xlfn.IFS(C3248&lt;=15,"Children and Young Adolescents", C3248&gt;64, "Seniors", TRUE, "Working Age")</f>
        <v>Seniors</v>
      </c>
      <c r="J3248" s="6">
        <f>VLOOKUP(F3248,Analysis!$F$1:$G$5,2,FALSE)</f>
        <v>2496.7676064256989</v>
      </c>
      <c r="K3248">
        <f t="shared" si="200"/>
        <v>217.55</v>
      </c>
      <c r="L3248">
        <f t="shared" si="201"/>
        <v>217.56</v>
      </c>
      <c r="M3248">
        <f t="shared" si="202"/>
        <v>217.56</v>
      </c>
      <c r="N3248" s="5" t="str">
        <f t="shared" si="203"/>
        <v>April 2023</v>
      </c>
    </row>
    <row r="3249" spans="1:14" x14ac:dyDescent="0.25">
      <c r="A3249" s="1">
        <v>45033</v>
      </c>
      <c r="B3249" t="s">
        <v>359</v>
      </c>
      <c r="C3249">
        <v>15</v>
      </c>
      <c r="D3249" t="s">
        <v>21</v>
      </c>
      <c r="E3249" t="s">
        <v>10</v>
      </c>
      <c r="F3249" t="s">
        <v>11</v>
      </c>
      <c r="G3249" t="s">
        <v>27</v>
      </c>
      <c r="H3249">
        <v>4975.72</v>
      </c>
      <c r="I3249" s="8" t="str" cm="1">
        <f t="array" ref="I3249">_xlfn.IFS(C3249&lt;=15,"Children and Young Adolescents", C3249&gt;64, "Seniors", TRUE, "Working Age")</f>
        <v>Children and Young Adolescents</v>
      </c>
      <c r="J3249" s="6">
        <f>VLOOKUP(F3249,Analysis!$F$1:$G$5,2,FALSE)</f>
        <v>2503.6022787783854</v>
      </c>
      <c r="K3249">
        <f t="shared" si="200"/>
        <v>5473.29</v>
      </c>
      <c r="L3249">
        <f t="shared" si="201"/>
        <v>5473.3</v>
      </c>
      <c r="M3249">
        <f t="shared" si="202"/>
        <v>5473.29</v>
      </c>
      <c r="N3249" s="5" t="str">
        <f t="shared" si="203"/>
        <v>April 2023</v>
      </c>
    </row>
    <row r="3250" spans="1:14" x14ac:dyDescent="0.25">
      <c r="A3250" s="1">
        <v>45034</v>
      </c>
      <c r="B3250" t="s">
        <v>968</v>
      </c>
      <c r="C3250">
        <v>32</v>
      </c>
      <c r="D3250" t="s">
        <v>14</v>
      </c>
      <c r="E3250" t="s">
        <v>32</v>
      </c>
      <c r="F3250" t="s">
        <v>11</v>
      </c>
      <c r="G3250" t="s">
        <v>36</v>
      </c>
      <c r="H3250">
        <v>4857.08</v>
      </c>
      <c r="I3250" s="8" t="str" cm="1">
        <f t="array" ref="I3250">_xlfn.IFS(C3250&lt;=15,"Children and Young Adolescents", C3250&gt;64, "Seniors", TRUE, "Working Age")</f>
        <v>Working Age</v>
      </c>
      <c r="J3250" s="6">
        <f>VLOOKUP(F3250,Analysis!$F$1:$G$5,2,FALSE)</f>
        <v>2503.6022787783854</v>
      </c>
      <c r="K3250">
        <f t="shared" si="200"/>
        <v>5342.78</v>
      </c>
      <c r="L3250">
        <f t="shared" si="201"/>
        <v>5342.79</v>
      </c>
      <c r="M3250">
        <f t="shared" si="202"/>
        <v>5342.79</v>
      </c>
      <c r="N3250" s="5" t="str">
        <f t="shared" si="203"/>
        <v>April 2023</v>
      </c>
    </row>
    <row r="3251" spans="1:14" x14ac:dyDescent="0.25">
      <c r="A3251" s="1">
        <v>45034</v>
      </c>
      <c r="B3251" t="s">
        <v>819</v>
      </c>
      <c r="C3251">
        <v>21</v>
      </c>
      <c r="D3251" t="s">
        <v>21</v>
      </c>
      <c r="E3251" t="s">
        <v>34</v>
      </c>
      <c r="F3251" t="s">
        <v>29</v>
      </c>
      <c r="G3251" t="s">
        <v>39</v>
      </c>
      <c r="H3251">
        <v>28.9</v>
      </c>
      <c r="I3251" s="8" t="str" cm="1">
        <f t="array" ref="I3251">_xlfn.IFS(C3251&lt;=15,"Children and Young Adolescents", C3251&gt;64, "Seniors", TRUE, "Working Age")</f>
        <v>Working Age</v>
      </c>
      <c r="J3251" s="6">
        <f>VLOOKUP(F3251,Analysis!$F$1:$G$5,2,FALSE)</f>
        <v>2496.7676064256989</v>
      </c>
      <c r="K3251">
        <f t="shared" si="200"/>
        <v>31.79</v>
      </c>
      <c r="L3251">
        <f t="shared" si="201"/>
        <v>31.79</v>
      </c>
      <c r="M3251">
        <f t="shared" si="202"/>
        <v>31.79</v>
      </c>
      <c r="N3251" s="5" t="str">
        <f t="shared" si="203"/>
        <v>April 2023</v>
      </c>
    </row>
    <row r="3252" spans="1:14" x14ac:dyDescent="0.25">
      <c r="A3252" s="1">
        <v>45034</v>
      </c>
      <c r="B3252" t="s">
        <v>3323</v>
      </c>
      <c r="C3252">
        <v>12</v>
      </c>
      <c r="D3252" t="s">
        <v>14</v>
      </c>
      <c r="E3252" t="s">
        <v>22</v>
      </c>
      <c r="F3252" t="s">
        <v>11</v>
      </c>
      <c r="G3252" t="s">
        <v>36</v>
      </c>
      <c r="H3252">
        <v>2757.45</v>
      </c>
      <c r="I3252" s="8" t="str" cm="1">
        <f t="array" ref="I3252">_xlfn.IFS(C3252&lt;=15,"Children and Young Adolescents", C3252&gt;64, "Seniors", TRUE, "Working Age")</f>
        <v>Children and Young Adolescents</v>
      </c>
      <c r="J3252" s="6">
        <f>VLOOKUP(F3252,Analysis!$F$1:$G$5,2,FALSE)</f>
        <v>2503.6022787783854</v>
      </c>
      <c r="K3252">
        <f t="shared" si="200"/>
        <v>3033.19</v>
      </c>
      <c r="L3252">
        <f t="shared" si="201"/>
        <v>3033.2000000000003</v>
      </c>
      <c r="M3252">
        <f t="shared" si="202"/>
        <v>3033.2</v>
      </c>
      <c r="N3252" s="5" t="str">
        <f t="shared" si="203"/>
        <v>April 2023</v>
      </c>
    </row>
    <row r="3253" spans="1:14" x14ac:dyDescent="0.25">
      <c r="A3253" s="1">
        <v>45034</v>
      </c>
      <c r="B3253" t="s">
        <v>1828</v>
      </c>
      <c r="C3253">
        <v>40</v>
      </c>
      <c r="D3253" t="s">
        <v>14</v>
      </c>
      <c r="E3253" t="s">
        <v>34</v>
      </c>
      <c r="F3253" t="s">
        <v>11</v>
      </c>
      <c r="G3253" t="s">
        <v>27</v>
      </c>
      <c r="H3253">
        <v>2175.7600000000002</v>
      </c>
      <c r="I3253" s="8" t="str" cm="1">
        <f t="array" ref="I3253">_xlfn.IFS(C3253&lt;=15,"Children and Young Adolescents", C3253&gt;64, "Seniors", TRUE, "Working Age")</f>
        <v>Working Age</v>
      </c>
      <c r="J3253" s="6">
        <f>VLOOKUP(F3253,Analysis!$F$1:$G$5,2,FALSE)</f>
        <v>2503.6022787783854</v>
      </c>
      <c r="K3253">
        <f t="shared" si="200"/>
        <v>2393.33</v>
      </c>
      <c r="L3253">
        <f t="shared" si="201"/>
        <v>2393.34</v>
      </c>
      <c r="M3253">
        <f t="shared" si="202"/>
        <v>2393.34</v>
      </c>
      <c r="N3253" s="5" t="str">
        <f t="shared" si="203"/>
        <v>April 2023</v>
      </c>
    </row>
    <row r="3254" spans="1:14" x14ac:dyDescent="0.25">
      <c r="A3254" s="1">
        <v>45034</v>
      </c>
      <c r="B3254" t="s">
        <v>3151</v>
      </c>
      <c r="C3254">
        <v>12</v>
      </c>
      <c r="D3254" t="s">
        <v>14</v>
      </c>
      <c r="E3254" t="s">
        <v>10</v>
      </c>
      <c r="F3254" t="s">
        <v>23</v>
      </c>
      <c r="G3254" t="s">
        <v>39</v>
      </c>
      <c r="H3254">
        <v>2142.5100000000002</v>
      </c>
      <c r="I3254" s="8" t="str" cm="1">
        <f t="array" ref="I3254">_xlfn.IFS(C3254&lt;=15,"Children and Young Adolescents", C3254&gt;64, "Seniors", TRUE, "Working Age")</f>
        <v>Children and Young Adolescents</v>
      </c>
      <c r="J3254" s="6">
        <f>VLOOKUP(F3254,Analysis!$F$1:$G$5,2,FALSE)</f>
        <v>2440.2966694490838</v>
      </c>
      <c r="K3254">
        <f t="shared" si="200"/>
        <v>2356.7600000000002</v>
      </c>
      <c r="L3254">
        <f t="shared" si="201"/>
        <v>2356.7700000000004</v>
      </c>
      <c r="M3254">
        <f t="shared" si="202"/>
        <v>2356.7600000000002</v>
      </c>
      <c r="N3254" s="5" t="str">
        <f t="shared" si="203"/>
        <v>April 2023</v>
      </c>
    </row>
    <row r="3255" spans="1:14" x14ac:dyDescent="0.25">
      <c r="A3255" s="1">
        <v>45034</v>
      </c>
      <c r="B3255" t="s">
        <v>4254</v>
      </c>
      <c r="C3255">
        <v>85</v>
      </c>
      <c r="D3255" t="s">
        <v>9</v>
      </c>
      <c r="E3255" t="s">
        <v>34</v>
      </c>
      <c r="F3255" t="s">
        <v>23</v>
      </c>
      <c r="G3255" t="s">
        <v>17</v>
      </c>
      <c r="H3255">
        <v>1027.93</v>
      </c>
      <c r="I3255" s="8" t="str" cm="1">
        <f t="array" ref="I3255">_xlfn.IFS(C3255&lt;=15,"Children and Young Adolescents", C3255&gt;64, "Seniors", TRUE, "Working Age")</f>
        <v>Seniors</v>
      </c>
      <c r="J3255" s="6">
        <f>VLOOKUP(F3255,Analysis!$F$1:$G$5,2,FALSE)</f>
        <v>2440.2966694490838</v>
      </c>
      <c r="K3255">
        <f t="shared" si="200"/>
        <v>1130.72</v>
      </c>
      <c r="L3255">
        <f t="shared" si="201"/>
        <v>1130.73</v>
      </c>
      <c r="M3255">
        <f t="shared" si="202"/>
        <v>1130.72</v>
      </c>
      <c r="N3255" s="5" t="str">
        <f t="shared" si="203"/>
        <v>April 2023</v>
      </c>
    </row>
    <row r="3256" spans="1:14" x14ac:dyDescent="0.25">
      <c r="A3256" s="1">
        <v>45034</v>
      </c>
      <c r="B3256" t="s">
        <v>1796</v>
      </c>
      <c r="C3256">
        <v>34</v>
      </c>
      <c r="D3256" t="s">
        <v>21</v>
      </c>
      <c r="E3256" t="s">
        <v>34</v>
      </c>
      <c r="F3256" t="s">
        <v>16</v>
      </c>
      <c r="G3256" t="s">
        <v>17</v>
      </c>
      <c r="H3256">
        <v>3603.7</v>
      </c>
      <c r="I3256" s="8" t="str" cm="1">
        <f t="array" ref="I3256">_xlfn.IFS(C3256&lt;=15,"Children and Young Adolescents", C3256&gt;64, "Seniors", TRUE, "Working Age")</f>
        <v>Working Age</v>
      </c>
      <c r="J3256" s="6">
        <f>VLOOKUP(F3256,Analysis!$F$1:$G$5,2,FALSE)</f>
        <v>2509.1716796874912</v>
      </c>
      <c r="K3256">
        <f t="shared" si="200"/>
        <v>3964.07</v>
      </c>
      <c r="L3256">
        <f t="shared" si="201"/>
        <v>3964.07</v>
      </c>
      <c r="M3256">
        <f t="shared" si="202"/>
        <v>3964.07</v>
      </c>
      <c r="N3256" s="5" t="str">
        <f t="shared" si="203"/>
        <v>April 2023</v>
      </c>
    </row>
    <row r="3257" spans="1:14" x14ac:dyDescent="0.25">
      <c r="A3257" s="1">
        <v>45034</v>
      </c>
      <c r="B3257" t="s">
        <v>902</v>
      </c>
      <c r="C3257">
        <v>78</v>
      </c>
      <c r="D3257" t="s">
        <v>21</v>
      </c>
      <c r="E3257" t="s">
        <v>15</v>
      </c>
      <c r="F3257" t="s">
        <v>11</v>
      </c>
      <c r="G3257" t="s">
        <v>12</v>
      </c>
      <c r="H3257">
        <v>4982.91</v>
      </c>
      <c r="I3257" s="8" t="str" cm="1">
        <f t="array" ref="I3257">_xlfn.IFS(C3257&lt;=15,"Children and Young Adolescents", C3257&gt;64, "Seniors", TRUE, "Working Age")</f>
        <v>Seniors</v>
      </c>
      <c r="J3257" s="6">
        <f>VLOOKUP(F3257,Analysis!$F$1:$G$5,2,FALSE)</f>
        <v>2503.6022787783854</v>
      </c>
      <c r="K3257">
        <f t="shared" si="200"/>
        <v>5481.2</v>
      </c>
      <c r="L3257">
        <f t="shared" si="201"/>
        <v>5481.21</v>
      </c>
      <c r="M3257">
        <f t="shared" si="202"/>
        <v>5481.2</v>
      </c>
      <c r="N3257" s="5" t="str">
        <f t="shared" si="203"/>
        <v>April 2023</v>
      </c>
    </row>
    <row r="3258" spans="1:14" x14ac:dyDescent="0.25">
      <c r="A3258" s="1">
        <v>45035</v>
      </c>
      <c r="B3258" t="s">
        <v>4616</v>
      </c>
      <c r="C3258">
        <v>52</v>
      </c>
      <c r="D3258" t="s">
        <v>21</v>
      </c>
      <c r="E3258" t="s">
        <v>34</v>
      </c>
      <c r="F3258" t="s">
        <v>29</v>
      </c>
      <c r="G3258" t="s">
        <v>17</v>
      </c>
      <c r="H3258">
        <v>4444.7299999999996</v>
      </c>
      <c r="I3258" s="8" t="str" cm="1">
        <f t="array" ref="I3258">_xlfn.IFS(C3258&lt;=15,"Children and Young Adolescents", C3258&gt;64, "Seniors", TRUE, "Working Age")</f>
        <v>Working Age</v>
      </c>
      <c r="J3258" s="6">
        <f>VLOOKUP(F3258,Analysis!$F$1:$G$5,2,FALSE)</f>
        <v>2496.7676064256989</v>
      </c>
      <c r="K3258">
        <f t="shared" si="200"/>
        <v>4889.2</v>
      </c>
      <c r="L3258">
        <f t="shared" si="201"/>
        <v>4889.21</v>
      </c>
      <c r="M3258">
        <f t="shared" si="202"/>
        <v>4889.2</v>
      </c>
      <c r="N3258" s="5" t="str">
        <f t="shared" si="203"/>
        <v>April 2023</v>
      </c>
    </row>
    <row r="3259" spans="1:14" x14ac:dyDescent="0.25">
      <c r="A3259" s="1">
        <v>45035</v>
      </c>
      <c r="B3259" t="s">
        <v>1938</v>
      </c>
      <c r="C3259">
        <v>92</v>
      </c>
      <c r="D3259" t="s">
        <v>9</v>
      </c>
      <c r="E3259" t="s">
        <v>10</v>
      </c>
      <c r="F3259" t="s">
        <v>11</v>
      </c>
      <c r="G3259" t="s">
        <v>27</v>
      </c>
      <c r="H3259">
        <v>4677.8500000000004</v>
      </c>
      <c r="I3259" s="8" t="str" cm="1">
        <f t="array" ref="I3259">_xlfn.IFS(C3259&lt;=15,"Children and Young Adolescents", C3259&gt;64, "Seniors", TRUE, "Working Age")</f>
        <v>Seniors</v>
      </c>
      <c r="J3259" s="6">
        <f>VLOOKUP(F3259,Analysis!$F$1:$G$5,2,FALSE)</f>
        <v>2503.6022787783854</v>
      </c>
      <c r="K3259">
        <f t="shared" si="200"/>
        <v>5145.63</v>
      </c>
      <c r="L3259">
        <f t="shared" si="201"/>
        <v>5145.6400000000003</v>
      </c>
      <c r="M3259">
        <f t="shared" si="202"/>
        <v>5145.6400000000003</v>
      </c>
      <c r="N3259" s="5" t="str">
        <f t="shared" si="203"/>
        <v>April 2023</v>
      </c>
    </row>
    <row r="3260" spans="1:14" x14ac:dyDescent="0.25">
      <c r="A3260" s="1">
        <v>45035</v>
      </c>
      <c r="B3260" t="s">
        <v>4325</v>
      </c>
      <c r="C3260">
        <v>17</v>
      </c>
      <c r="D3260" t="s">
        <v>21</v>
      </c>
      <c r="E3260" t="s">
        <v>25</v>
      </c>
      <c r="F3260" t="s">
        <v>29</v>
      </c>
      <c r="G3260" t="s">
        <v>12</v>
      </c>
      <c r="H3260">
        <v>938.79</v>
      </c>
      <c r="I3260" s="8" t="str" cm="1">
        <f t="array" ref="I3260">_xlfn.IFS(C3260&lt;=15,"Children and Young Adolescents", C3260&gt;64, "Seniors", TRUE, "Working Age")</f>
        <v>Working Age</v>
      </c>
      <c r="J3260" s="6">
        <f>VLOOKUP(F3260,Analysis!$F$1:$G$5,2,FALSE)</f>
        <v>2496.7676064256989</v>
      </c>
      <c r="K3260">
        <f t="shared" si="200"/>
        <v>1032.6600000000001</v>
      </c>
      <c r="L3260">
        <f t="shared" si="201"/>
        <v>1032.67</v>
      </c>
      <c r="M3260">
        <f t="shared" si="202"/>
        <v>1032.67</v>
      </c>
      <c r="N3260" s="5" t="str">
        <f t="shared" si="203"/>
        <v>April 2023</v>
      </c>
    </row>
    <row r="3261" spans="1:14" x14ac:dyDescent="0.25">
      <c r="A3261" s="1">
        <v>45035</v>
      </c>
      <c r="B3261" t="s">
        <v>1276</v>
      </c>
      <c r="C3261">
        <v>48</v>
      </c>
      <c r="D3261" t="s">
        <v>9</v>
      </c>
      <c r="E3261" t="s">
        <v>22</v>
      </c>
      <c r="F3261" t="s">
        <v>23</v>
      </c>
      <c r="G3261" t="s">
        <v>12</v>
      </c>
      <c r="H3261">
        <v>3907.46</v>
      </c>
      <c r="I3261" s="8" t="str" cm="1">
        <f t="array" ref="I3261">_xlfn.IFS(C3261&lt;=15,"Children and Young Adolescents", C3261&gt;64, "Seniors", TRUE, "Working Age")</f>
        <v>Working Age</v>
      </c>
      <c r="J3261" s="6">
        <f>VLOOKUP(F3261,Analysis!$F$1:$G$5,2,FALSE)</f>
        <v>2440.2966694490838</v>
      </c>
      <c r="K3261">
        <f t="shared" si="200"/>
        <v>4298.2</v>
      </c>
      <c r="L3261">
        <f t="shared" si="201"/>
        <v>4298.21</v>
      </c>
      <c r="M3261">
        <f t="shared" si="202"/>
        <v>4298.21</v>
      </c>
      <c r="N3261" s="5" t="str">
        <f t="shared" si="203"/>
        <v>April 2023</v>
      </c>
    </row>
    <row r="3262" spans="1:14" x14ac:dyDescent="0.25">
      <c r="A3262" s="1">
        <v>45035</v>
      </c>
      <c r="B3262" t="s">
        <v>2868</v>
      </c>
      <c r="C3262">
        <v>98</v>
      </c>
      <c r="D3262" t="s">
        <v>9</v>
      </c>
      <c r="E3262" t="s">
        <v>34</v>
      </c>
      <c r="F3262" t="s">
        <v>23</v>
      </c>
      <c r="G3262" t="s">
        <v>27</v>
      </c>
      <c r="H3262">
        <v>3137.32</v>
      </c>
      <c r="I3262" s="8" t="str" cm="1">
        <f t="array" ref="I3262">_xlfn.IFS(C3262&lt;=15,"Children and Young Adolescents", C3262&gt;64, "Seniors", TRUE, "Working Age")</f>
        <v>Seniors</v>
      </c>
      <c r="J3262" s="6">
        <f>VLOOKUP(F3262,Analysis!$F$1:$G$5,2,FALSE)</f>
        <v>2440.2966694490838</v>
      </c>
      <c r="K3262">
        <f t="shared" si="200"/>
        <v>3451.05</v>
      </c>
      <c r="L3262">
        <f t="shared" si="201"/>
        <v>3451.0600000000004</v>
      </c>
      <c r="M3262">
        <f t="shared" si="202"/>
        <v>3451.05</v>
      </c>
      <c r="N3262" s="5" t="str">
        <f t="shared" si="203"/>
        <v>April 2023</v>
      </c>
    </row>
    <row r="3263" spans="1:14" x14ac:dyDescent="0.25">
      <c r="A3263" s="1">
        <v>45035</v>
      </c>
      <c r="B3263" t="s">
        <v>391</v>
      </c>
      <c r="C3263">
        <v>42</v>
      </c>
      <c r="D3263" t="s">
        <v>9</v>
      </c>
      <c r="E3263" t="s">
        <v>5032</v>
      </c>
      <c r="F3263" t="s">
        <v>16</v>
      </c>
      <c r="G3263" t="s">
        <v>12</v>
      </c>
      <c r="H3263">
        <v>3676.33</v>
      </c>
      <c r="I3263" s="8" t="str" cm="1">
        <f t="array" ref="I3263">_xlfn.IFS(C3263&lt;=15,"Children and Young Adolescents", C3263&gt;64, "Seniors", TRUE, "Working Age")</f>
        <v>Working Age</v>
      </c>
      <c r="J3263" s="6">
        <f>VLOOKUP(F3263,Analysis!$F$1:$G$5,2,FALSE)</f>
        <v>2509.1716796874912</v>
      </c>
      <c r="K3263">
        <f t="shared" si="200"/>
        <v>4043.96</v>
      </c>
      <c r="L3263">
        <f t="shared" si="201"/>
        <v>4043.9700000000003</v>
      </c>
      <c r="M3263">
        <f t="shared" si="202"/>
        <v>4043.96</v>
      </c>
      <c r="N3263" s="5" t="str">
        <f t="shared" si="203"/>
        <v>April 2023</v>
      </c>
    </row>
    <row r="3264" spans="1:14" x14ac:dyDescent="0.25">
      <c r="A3264" s="1">
        <v>45035</v>
      </c>
      <c r="B3264" t="s">
        <v>904</v>
      </c>
      <c r="C3264">
        <v>58</v>
      </c>
      <c r="D3264" t="s">
        <v>21</v>
      </c>
      <c r="E3264" t="s">
        <v>10</v>
      </c>
      <c r="F3264" t="s">
        <v>16</v>
      </c>
      <c r="G3264" t="s">
        <v>12</v>
      </c>
      <c r="H3264">
        <v>2582.1</v>
      </c>
      <c r="I3264" s="8" t="str" cm="1">
        <f t="array" ref="I3264">_xlfn.IFS(C3264&lt;=15,"Children and Young Adolescents", C3264&gt;64, "Seniors", TRUE, "Working Age")</f>
        <v>Working Age</v>
      </c>
      <c r="J3264" s="6">
        <f>VLOOKUP(F3264,Analysis!$F$1:$G$5,2,FALSE)</f>
        <v>2509.1716796874912</v>
      </c>
      <c r="K3264">
        <f t="shared" si="200"/>
        <v>2840.31</v>
      </c>
      <c r="L3264">
        <f t="shared" si="201"/>
        <v>2840.31</v>
      </c>
      <c r="M3264">
        <f t="shared" si="202"/>
        <v>2840.31</v>
      </c>
      <c r="N3264" s="5" t="str">
        <f t="shared" si="203"/>
        <v>April 2023</v>
      </c>
    </row>
    <row r="3265" spans="1:14" x14ac:dyDescent="0.25">
      <c r="A3265" s="1">
        <v>45036</v>
      </c>
      <c r="B3265" t="s">
        <v>164</v>
      </c>
      <c r="C3265">
        <v>66</v>
      </c>
      <c r="D3265" t="s">
        <v>14</v>
      </c>
      <c r="E3265" t="s">
        <v>15</v>
      </c>
      <c r="F3265" t="s">
        <v>11</v>
      </c>
      <c r="G3265" t="s">
        <v>36</v>
      </c>
      <c r="H3265">
        <v>3467.09</v>
      </c>
      <c r="I3265" s="8" t="str" cm="1">
        <f t="array" ref="I3265">_xlfn.IFS(C3265&lt;=15,"Children and Young Adolescents", C3265&gt;64, "Seniors", TRUE, "Working Age")</f>
        <v>Seniors</v>
      </c>
      <c r="J3265" s="6">
        <f>VLOOKUP(F3265,Analysis!$F$1:$G$5,2,FALSE)</f>
        <v>2503.6022787783854</v>
      </c>
      <c r="K3265">
        <f t="shared" si="200"/>
        <v>3813.79</v>
      </c>
      <c r="L3265">
        <f t="shared" si="201"/>
        <v>3813.8</v>
      </c>
      <c r="M3265">
        <f t="shared" si="202"/>
        <v>3813.8</v>
      </c>
      <c r="N3265" s="5" t="str">
        <f t="shared" si="203"/>
        <v>April 2023</v>
      </c>
    </row>
    <row r="3266" spans="1:14" x14ac:dyDescent="0.25">
      <c r="A3266" s="1">
        <v>45036</v>
      </c>
      <c r="B3266" t="s">
        <v>3423</v>
      </c>
      <c r="C3266">
        <v>13</v>
      </c>
      <c r="D3266" t="s">
        <v>9</v>
      </c>
      <c r="E3266" t="s">
        <v>32</v>
      </c>
      <c r="F3266" t="s">
        <v>29</v>
      </c>
      <c r="G3266" t="s">
        <v>17</v>
      </c>
      <c r="H3266">
        <v>2572.0700000000002</v>
      </c>
      <c r="I3266" s="8" t="str" cm="1">
        <f t="array" ref="I3266">_xlfn.IFS(C3266&lt;=15,"Children and Young Adolescents", C3266&gt;64, "Seniors", TRUE, "Working Age")</f>
        <v>Children and Young Adolescents</v>
      </c>
      <c r="J3266" s="6">
        <f>VLOOKUP(F3266,Analysis!$F$1:$G$5,2,FALSE)</f>
        <v>2496.7676064256989</v>
      </c>
      <c r="K3266">
        <f t="shared" si="200"/>
        <v>2829.27</v>
      </c>
      <c r="L3266">
        <f t="shared" si="201"/>
        <v>2829.28</v>
      </c>
      <c r="M3266">
        <f t="shared" si="202"/>
        <v>2829.28</v>
      </c>
      <c r="N3266" s="5" t="str">
        <f t="shared" si="203"/>
        <v>April 2023</v>
      </c>
    </row>
    <row r="3267" spans="1:14" x14ac:dyDescent="0.25">
      <c r="A3267" s="1">
        <v>45036</v>
      </c>
      <c r="B3267" t="s">
        <v>877</v>
      </c>
      <c r="C3267">
        <v>82</v>
      </c>
      <c r="D3267" t="s">
        <v>14</v>
      </c>
      <c r="E3267" t="s">
        <v>34</v>
      </c>
      <c r="F3267" t="s">
        <v>11</v>
      </c>
      <c r="G3267" t="s">
        <v>12</v>
      </c>
      <c r="H3267">
        <v>1391.97</v>
      </c>
      <c r="I3267" s="8" t="str" cm="1">
        <f t="array" ref="I3267">_xlfn.IFS(C3267&lt;=15,"Children and Young Adolescents", C3267&gt;64, "Seniors", TRUE, "Working Age")</f>
        <v>Seniors</v>
      </c>
      <c r="J3267" s="6">
        <f>VLOOKUP(F3267,Analysis!$F$1:$G$5,2,FALSE)</f>
        <v>2503.6022787783854</v>
      </c>
      <c r="K3267">
        <f t="shared" ref="K3267:K3330" si="204">ROUNDDOWN(H3267*1.1,2)</f>
        <v>1531.16</v>
      </c>
      <c r="L3267">
        <f t="shared" ref="L3267:L3330" si="205">ROUNDUP(H3267*1.1,2)</f>
        <v>1531.17</v>
      </c>
      <c r="M3267">
        <f t="shared" ref="M3267:M3330" si="206">ROUND(H3267*1.1,2)</f>
        <v>1531.17</v>
      </c>
      <c r="N3267" s="5" t="str">
        <f t="shared" ref="N3267:N3330" si="207">TEXT(A3267,"mmmm yyyy")</f>
        <v>April 2023</v>
      </c>
    </row>
    <row r="3268" spans="1:14" x14ac:dyDescent="0.25">
      <c r="A3268" s="1">
        <v>45036</v>
      </c>
      <c r="B3268" t="s">
        <v>701</v>
      </c>
      <c r="C3268">
        <v>55</v>
      </c>
      <c r="D3268" t="s">
        <v>21</v>
      </c>
      <c r="E3268" t="s">
        <v>25</v>
      </c>
      <c r="F3268" t="s">
        <v>16</v>
      </c>
      <c r="G3268" t="s">
        <v>39</v>
      </c>
      <c r="H3268">
        <v>429.52</v>
      </c>
      <c r="I3268" s="8" t="str" cm="1">
        <f t="array" ref="I3268">_xlfn.IFS(C3268&lt;=15,"Children and Young Adolescents", C3268&gt;64, "Seniors", TRUE, "Working Age")</f>
        <v>Working Age</v>
      </c>
      <c r="J3268" s="6">
        <f>VLOOKUP(F3268,Analysis!$F$1:$G$5,2,FALSE)</f>
        <v>2509.1716796874912</v>
      </c>
      <c r="K3268">
        <f t="shared" si="204"/>
        <v>472.47</v>
      </c>
      <c r="L3268">
        <f t="shared" si="205"/>
        <v>472.48</v>
      </c>
      <c r="M3268">
        <f t="shared" si="206"/>
        <v>472.47</v>
      </c>
      <c r="N3268" s="5" t="str">
        <f t="shared" si="207"/>
        <v>April 2023</v>
      </c>
    </row>
    <row r="3269" spans="1:14" x14ac:dyDescent="0.25">
      <c r="A3269" s="1">
        <v>45036</v>
      </c>
      <c r="B3269" t="s">
        <v>2145</v>
      </c>
      <c r="C3269">
        <v>26</v>
      </c>
      <c r="D3269" t="s">
        <v>14</v>
      </c>
      <c r="E3269" t="s">
        <v>25</v>
      </c>
      <c r="F3269" t="s">
        <v>23</v>
      </c>
      <c r="G3269" t="s">
        <v>39</v>
      </c>
      <c r="H3269">
        <v>1207.8399999999999</v>
      </c>
      <c r="I3269" s="8" t="str" cm="1">
        <f t="array" ref="I3269">_xlfn.IFS(C3269&lt;=15,"Children and Young Adolescents", C3269&gt;64, "Seniors", TRUE, "Working Age")</f>
        <v>Working Age</v>
      </c>
      <c r="J3269" s="6">
        <f>VLOOKUP(F3269,Analysis!$F$1:$G$5,2,FALSE)</f>
        <v>2440.2966694490838</v>
      </c>
      <c r="K3269">
        <f t="shared" si="204"/>
        <v>1328.62</v>
      </c>
      <c r="L3269">
        <f t="shared" si="205"/>
        <v>1328.6299999999999</v>
      </c>
      <c r="M3269">
        <f t="shared" si="206"/>
        <v>1328.62</v>
      </c>
      <c r="N3269" s="5" t="str">
        <f t="shared" si="207"/>
        <v>April 2023</v>
      </c>
    </row>
    <row r="3270" spans="1:14" x14ac:dyDescent="0.25">
      <c r="A3270" s="1">
        <v>45037</v>
      </c>
      <c r="B3270" t="s">
        <v>413</v>
      </c>
      <c r="C3270">
        <v>62</v>
      </c>
      <c r="D3270" t="s">
        <v>21</v>
      </c>
      <c r="E3270" t="s">
        <v>25</v>
      </c>
      <c r="F3270" t="s">
        <v>29</v>
      </c>
      <c r="G3270" t="s">
        <v>36</v>
      </c>
      <c r="H3270">
        <v>2564.67</v>
      </c>
      <c r="I3270" s="8" t="str" cm="1">
        <f t="array" ref="I3270">_xlfn.IFS(C3270&lt;=15,"Children and Young Adolescents", C3270&gt;64, "Seniors", TRUE, "Working Age")</f>
        <v>Working Age</v>
      </c>
      <c r="J3270" s="6">
        <f>VLOOKUP(F3270,Analysis!$F$1:$G$5,2,FALSE)</f>
        <v>2496.7676064256989</v>
      </c>
      <c r="K3270">
        <f t="shared" si="204"/>
        <v>2821.13</v>
      </c>
      <c r="L3270">
        <f t="shared" si="205"/>
        <v>2821.1400000000003</v>
      </c>
      <c r="M3270">
        <f t="shared" si="206"/>
        <v>2821.14</v>
      </c>
      <c r="N3270" s="5" t="str">
        <f t="shared" si="207"/>
        <v>April 2023</v>
      </c>
    </row>
    <row r="3271" spans="1:14" x14ac:dyDescent="0.25">
      <c r="A3271" s="1">
        <v>45037</v>
      </c>
      <c r="B3271" t="s">
        <v>561</v>
      </c>
      <c r="C3271">
        <v>42</v>
      </c>
      <c r="D3271" t="s">
        <v>21</v>
      </c>
      <c r="E3271" t="s">
        <v>5032</v>
      </c>
      <c r="F3271" t="s">
        <v>16</v>
      </c>
      <c r="G3271" t="s">
        <v>39</v>
      </c>
      <c r="H3271">
        <v>2352.2199999999998</v>
      </c>
      <c r="I3271" s="8" t="str" cm="1">
        <f t="array" ref="I3271">_xlfn.IFS(C3271&lt;=15,"Children and Young Adolescents", C3271&gt;64, "Seniors", TRUE, "Working Age")</f>
        <v>Working Age</v>
      </c>
      <c r="J3271" s="6">
        <f>VLOOKUP(F3271,Analysis!$F$1:$G$5,2,FALSE)</f>
        <v>2509.1716796874912</v>
      </c>
      <c r="K3271">
        <f t="shared" si="204"/>
        <v>2587.44</v>
      </c>
      <c r="L3271">
        <f t="shared" si="205"/>
        <v>2587.4500000000003</v>
      </c>
      <c r="M3271">
        <f t="shared" si="206"/>
        <v>2587.44</v>
      </c>
      <c r="N3271" s="5" t="str">
        <f t="shared" si="207"/>
        <v>April 2023</v>
      </c>
    </row>
    <row r="3272" spans="1:14" x14ac:dyDescent="0.25">
      <c r="A3272" s="1">
        <v>45037</v>
      </c>
      <c r="B3272" t="s">
        <v>107</v>
      </c>
      <c r="C3272">
        <v>7</v>
      </c>
      <c r="D3272" t="s">
        <v>14</v>
      </c>
      <c r="E3272" t="s">
        <v>10</v>
      </c>
      <c r="F3272" t="s">
        <v>23</v>
      </c>
      <c r="G3272" t="s">
        <v>36</v>
      </c>
      <c r="H3272">
        <v>480</v>
      </c>
      <c r="I3272" s="8" t="str" cm="1">
        <f t="array" ref="I3272">_xlfn.IFS(C3272&lt;=15,"Children and Young Adolescents", C3272&gt;64, "Seniors", TRUE, "Working Age")</f>
        <v>Children and Young Adolescents</v>
      </c>
      <c r="J3272" s="6">
        <f>VLOOKUP(F3272,Analysis!$F$1:$G$5,2,FALSE)</f>
        <v>2440.2966694490838</v>
      </c>
      <c r="K3272">
        <f t="shared" si="204"/>
        <v>528</v>
      </c>
      <c r="L3272">
        <f t="shared" si="205"/>
        <v>528</v>
      </c>
      <c r="M3272">
        <f t="shared" si="206"/>
        <v>528</v>
      </c>
      <c r="N3272" s="5" t="str">
        <f t="shared" si="207"/>
        <v>April 2023</v>
      </c>
    </row>
    <row r="3273" spans="1:14" x14ac:dyDescent="0.25">
      <c r="A3273" s="1">
        <v>45037</v>
      </c>
      <c r="B3273" t="s">
        <v>4105</v>
      </c>
      <c r="C3273">
        <v>7</v>
      </c>
      <c r="D3273" t="s">
        <v>21</v>
      </c>
      <c r="E3273" t="s">
        <v>15</v>
      </c>
      <c r="F3273" t="s">
        <v>11</v>
      </c>
      <c r="G3273" t="s">
        <v>39</v>
      </c>
      <c r="H3273">
        <v>255.32</v>
      </c>
      <c r="I3273" s="8" t="str" cm="1">
        <f t="array" ref="I3273">_xlfn.IFS(C3273&lt;=15,"Children and Young Adolescents", C3273&gt;64, "Seniors", TRUE, "Working Age")</f>
        <v>Children and Young Adolescents</v>
      </c>
      <c r="J3273" s="6">
        <f>VLOOKUP(F3273,Analysis!$F$1:$G$5,2,FALSE)</f>
        <v>2503.6022787783854</v>
      </c>
      <c r="K3273">
        <f t="shared" si="204"/>
        <v>280.85000000000002</v>
      </c>
      <c r="L3273">
        <f t="shared" si="205"/>
        <v>280.86</v>
      </c>
      <c r="M3273">
        <f t="shared" si="206"/>
        <v>280.85000000000002</v>
      </c>
      <c r="N3273" s="5" t="str">
        <f t="shared" si="207"/>
        <v>April 2023</v>
      </c>
    </row>
    <row r="3274" spans="1:14" x14ac:dyDescent="0.25">
      <c r="A3274" s="1">
        <v>45037</v>
      </c>
      <c r="B3274" t="s">
        <v>4633</v>
      </c>
      <c r="C3274">
        <v>96</v>
      </c>
      <c r="D3274" t="s">
        <v>9</v>
      </c>
      <c r="E3274" t="s">
        <v>34</v>
      </c>
      <c r="F3274" t="s">
        <v>29</v>
      </c>
      <c r="G3274" t="s">
        <v>36</v>
      </c>
      <c r="H3274">
        <v>3256.95</v>
      </c>
      <c r="I3274" s="8" t="str" cm="1">
        <f t="array" ref="I3274">_xlfn.IFS(C3274&lt;=15,"Children and Young Adolescents", C3274&gt;64, "Seniors", TRUE, "Working Age")</f>
        <v>Seniors</v>
      </c>
      <c r="J3274" s="6">
        <f>VLOOKUP(F3274,Analysis!$F$1:$G$5,2,FALSE)</f>
        <v>2496.7676064256989</v>
      </c>
      <c r="K3274">
        <f t="shared" si="204"/>
        <v>3582.64</v>
      </c>
      <c r="L3274">
        <f t="shared" si="205"/>
        <v>3582.65</v>
      </c>
      <c r="M3274">
        <f t="shared" si="206"/>
        <v>3582.65</v>
      </c>
      <c r="N3274" s="5" t="str">
        <f t="shared" si="207"/>
        <v>April 2023</v>
      </c>
    </row>
    <row r="3275" spans="1:14" x14ac:dyDescent="0.25">
      <c r="A3275" s="1">
        <v>45037</v>
      </c>
      <c r="B3275" t="s">
        <v>2707</v>
      </c>
      <c r="C3275">
        <v>20</v>
      </c>
      <c r="D3275" t="s">
        <v>21</v>
      </c>
      <c r="E3275" t="s">
        <v>10</v>
      </c>
      <c r="F3275" t="s">
        <v>11</v>
      </c>
      <c r="G3275" t="s">
        <v>36</v>
      </c>
      <c r="H3275">
        <v>4887.2700000000004</v>
      </c>
      <c r="I3275" s="8" t="str" cm="1">
        <f t="array" ref="I3275">_xlfn.IFS(C3275&lt;=15,"Children and Young Adolescents", C3275&gt;64, "Seniors", TRUE, "Working Age")</f>
        <v>Working Age</v>
      </c>
      <c r="J3275" s="6">
        <f>VLOOKUP(F3275,Analysis!$F$1:$G$5,2,FALSE)</f>
        <v>2503.6022787783854</v>
      </c>
      <c r="K3275">
        <f t="shared" si="204"/>
        <v>5375.99</v>
      </c>
      <c r="L3275">
        <f t="shared" si="205"/>
        <v>5376</v>
      </c>
      <c r="M3275">
        <f t="shared" si="206"/>
        <v>5376</v>
      </c>
      <c r="N3275" s="5" t="str">
        <f t="shared" si="207"/>
        <v>April 2023</v>
      </c>
    </row>
    <row r="3276" spans="1:14" x14ac:dyDescent="0.25">
      <c r="A3276" s="1">
        <v>45037</v>
      </c>
      <c r="B3276" t="s">
        <v>4189</v>
      </c>
      <c r="C3276">
        <v>35</v>
      </c>
      <c r="D3276" t="s">
        <v>14</v>
      </c>
      <c r="E3276" t="s">
        <v>19</v>
      </c>
      <c r="F3276" t="s">
        <v>16</v>
      </c>
      <c r="G3276" t="s">
        <v>17</v>
      </c>
      <c r="H3276">
        <v>2275.1</v>
      </c>
      <c r="I3276" s="8" t="str" cm="1">
        <f t="array" ref="I3276">_xlfn.IFS(C3276&lt;=15,"Children and Young Adolescents", C3276&gt;64, "Seniors", TRUE, "Working Age")</f>
        <v>Working Age</v>
      </c>
      <c r="J3276" s="6">
        <f>VLOOKUP(F3276,Analysis!$F$1:$G$5,2,FALSE)</f>
        <v>2509.1716796874912</v>
      </c>
      <c r="K3276">
        <f t="shared" si="204"/>
        <v>2502.61</v>
      </c>
      <c r="L3276">
        <f t="shared" si="205"/>
        <v>2502.61</v>
      </c>
      <c r="M3276">
        <f t="shared" si="206"/>
        <v>2502.61</v>
      </c>
      <c r="N3276" s="5" t="str">
        <f t="shared" si="207"/>
        <v>April 2023</v>
      </c>
    </row>
    <row r="3277" spans="1:14" x14ac:dyDescent="0.25">
      <c r="A3277" s="1">
        <v>45038</v>
      </c>
      <c r="B3277" t="s">
        <v>2673</v>
      </c>
      <c r="C3277">
        <v>24</v>
      </c>
      <c r="D3277" t="s">
        <v>9</v>
      </c>
      <c r="E3277" t="s">
        <v>5032</v>
      </c>
      <c r="F3277" t="s">
        <v>11</v>
      </c>
      <c r="G3277" t="s">
        <v>12</v>
      </c>
      <c r="H3277">
        <v>4150.1499999999996</v>
      </c>
      <c r="I3277" s="8" t="str" cm="1">
        <f t="array" ref="I3277">_xlfn.IFS(C3277&lt;=15,"Children and Young Adolescents", C3277&gt;64, "Seniors", TRUE, "Working Age")</f>
        <v>Working Age</v>
      </c>
      <c r="J3277" s="6">
        <f>VLOOKUP(F3277,Analysis!$F$1:$G$5,2,FALSE)</f>
        <v>2503.6022787783854</v>
      </c>
      <c r="K3277">
        <f t="shared" si="204"/>
        <v>4565.16</v>
      </c>
      <c r="L3277">
        <f t="shared" si="205"/>
        <v>4565.17</v>
      </c>
      <c r="M3277">
        <f t="shared" si="206"/>
        <v>4565.17</v>
      </c>
      <c r="N3277" s="5" t="str">
        <f t="shared" si="207"/>
        <v>April 2023</v>
      </c>
    </row>
    <row r="3278" spans="1:14" x14ac:dyDescent="0.25">
      <c r="A3278" s="1">
        <v>45038</v>
      </c>
      <c r="B3278" t="s">
        <v>4408</v>
      </c>
      <c r="C3278">
        <v>19</v>
      </c>
      <c r="D3278" t="s">
        <v>21</v>
      </c>
      <c r="E3278" t="s">
        <v>22</v>
      </c>
      <c r="F3278" t="s">
        <v>29</v>
      </c>
      <c r="G3278" t="s">
        <v>12</v>
      </c>
      <c r="H3278">
        <v>3679.21</v>
      </c>
      <c r="I3278" s="8" t="str" cm="1">
        <f t="array" ref="I3278">_xlfn.IFS(C3278&lt;=15,"Children and Young Adolescents", C3278&gt;64, "Seniors", TRUE, "Working Age")</f>
        <v>Working Age</v>
      </c>
      <c r="J3278" s="6">
        <f>VLOOKUP(F3278,Analysis!$F$1:$G$5,2,FALSE)</f>
        <v>2496.7676064256989</v>
      </c>
      <c r="K3278">
        <f t="shared" si="204"/>
        <v>4047.13</v>
      </c>
      <c r="L3278">
        <f t="shared" si="205"/>
        <v>4047.1400000000003</v>
      </c>
      <c r="M3278">
        <f t="shared" si="206"/>
        <v>4047.13</v>
      </c>
      <c r="N3278" s="5" t="str">
        <f t="shared" si="207"/>
        <v>April 2023</v>
      </c>
    </row>
    <row r="3279" spans="1:14" x14ac:dyDescent="0.25">
      <c r="A3279" s="1">
        <v>45038</v>
      </c>
      <c r="B3279" t="s">
        <v>660</v>
      </c>
      <c r="C3279">
        <v>49</v>
      </c>
      <c r="D3279" t="s">
        <v>9</v>
      </c>
      <c r="E3279" t="s">
        <v>19</v>
      </c>
      <c r="F3279" t="s">
        <v>16</v>
      </c>
      <c r="G3279" t="s">
        <v>17</v>
      </c>
      <c r="H3279">
        <v>3092.06</v>
      </c>
      <c r="I3279" s="8" t="str" cm="1">
        <f t="array" ref="I3279">_xlfn.IFS(C3279&lt;=15,"Children and Young Adolescents", C3279&gt;64, "Seniors", TRUE, "Working Age")</f>
        <v>Working Age</v>
      </c>
      <c r="J3279" s="6">
        <f>VLOOKUP(F3279,Analysis!$F$1:$G$5,2,FALSE)</f>
        <v>2509.1716796874912</v>
      </c>
      <c r="K3279">
        <f t="shared" si="204"/>
        <v>3401.26</v>
      </c>
      <c r="L3279">
        <f t="shared" si="205"/>
        <v>3401.2700000000004</v>
      </c>
      <c r="M3279">
        <f t="shared" si="206"/>
        <v>3401.27</v>
      </c>
      <c r="N3279" s="5" t="str">
        <f t="shared" si="207"/>
        <v>April 2023</v>
      </c>
    </row>
    <row r="3280" spans="1:14" x14ac:dyDescent="0.25">
      <c r="A3280" s="1">
        <v>45038</v>
      </c>
      <c r="B3280" t="s">
        <v>782</v>
      </c>
      <c r="C3280">
        <v>24</v>
      </c>
      <c r="D3280" t="s">
        <v>9</v>
      </c>
      <c r="E3280" t="s">
        <v>15</v>
      </c>
      <c r="F3280" t="s">
        <v>23</v>
      </c>
      <c r="G3280" t="s">
        <v>36</v>
      </c>
      <c r="H3280">
        <v>3332.76</v>
      </c>
      <c r="I3280" s="8" t="str" cm="1">
        <f t="array" ref="I3280">_xlfn.IFS(C3280&lt;=15,"Children and Young Adolescents", C3280&gt;64, "Seniors", TRUE, "Working Age")</f>
        <v>Working Age</v>
      </c>
      <c r="J3280" s="6">
        <f>VLOOKUP(F3280,Analysis!$F$1:$G$5,2,FALSE)</f>
        <v>2440.2966694490838</v>
      </c>
      <c r="K3280">
        <f t="shared" si="204"/>
        <v>3666.03</v>
      </c>
      <c r="L3280">
        <f t="shared" si="205"/>
        <v>3666.0400000000004</v>
      </c>
      <c r="M3280">
        <f t="shared" si="206"/>
        <v>3666.04</v>
      </c>
      <c r="N3280" s="5" t="str">
        <f t="shared" si="207"/>
        <v>April 2023</v>
      </c>
    </row>
    <row r="3281" spans="1:14" x14ac:dyDescent="0.25">
      <c r="A3281" s="1">
        <v>45038</v>
      </c>
      <c r="B3281" t="s">
        <v>4345</v>
      </c>
      <c r="C3281">
        <v>45</v>
      </c>
      <c r="D3281" t="s">
        <v>9</v>
      </c>
      <c r="E3281" t="s">
        <v>15</v>
      </c>
      <c r="F3281" t="s">
        <v>11</v>
      </c>
      <c r="G3281" t="s">
        <v>12</v>
      </c>
      <c r="H3281">
        <v>1054.1099999999999</v>
      </c>
      <c r="I3281" s="8" t="str" cm="1">
        <f t="array" ref="I3281">_xlfn.IFS(C3281&lt;=15,"Children and Young Adolescents", C3281&gt;64, "Seniors", TRUE, "Working Age")</f>
        <v>Working Age</v>
      </c>
      <c r="J3281" s="6">
        <f>VLOOKUP(F3281,Analysis!$F$1:$G$5,2,FALSE)</f>
        <v>2503.6022787783854</v>
      </c>
      <c r="K3281">
        <f t="shared" si="204"/>
        <v>1159.52</v>
      </c>
      <c r="L3281">
        <f t="shared" si="205"/>
        <v>1159.53</v>
      </c>
      <c r="M3281">
        <f t="shared" si="206"/>
        <v>1159.52</v>
      </c>
      <c r="N3281" s="5" t="str">
        <f t="shared" si="207"/>
        <v>April 2023</v>
      </c>
    </row>
    <row r="3282" spans="1:14" x14ac:dyDescent="0.25">
      <c r="A3282" s="1">
        <v>45039</v>
      </c>
      <c r="B3282" t="s">
        <v>4471</v>
      </c>
      <c r="C3282">
        <v>36</v>
      </c>
      <c r="D3282" t="s">
        <v>9</v>
      </c>
      <c r="E3282" t="s">
        <v>15</v>
      </c>
      <c r="F3282" t="s">
        <v>16</v>
      </c>
      <c r="G3282" t="s">
        <v>36</v>
      </c>
      <c r="H3282">
        <v>885.87</v>
      </c>
      <c r="I3282" s="8" t="str" cm="1">
        <f t="array" ref="I3282">_xlfn.IFS(C3282&lt;=15,"Children and Young Adolescents", C3282&gt;64, "Seniors", TRUE, "Working Age")</f>
        <v>Working Age</v>
      </c>
      <c r="J3282" s="6">
        <f>VLOOKUP(F3282,Analysis!$F$1:$G$5,2,FALSE)</f>
        <v>2509.1716796874912</v>
      </c>
      <c r="K3282">
        <f t="shared" si="204"/>
        <v>974.45</v>
      </c>
      <c r="L3282">
        <f t="shared" si="205"/>
        <v>974.46</v>
      </c>
      <c r="M3282">
        <f t="shared" si="206"/>
        <v>974.46</v>
      </c>
      <c r="N3282" s="5" t="str">
        <f t="shared" si="207"/>
        <v>April 2023</v>
      </c>
    </row>
    <row r="3283" spans="1:14" x14ac:dyDescent="0.25">
      <c r="A3283" s="1">
        <v>45039</v>
      </c>
      <c r="B3283" t="s">
        <v>1943</v>
      </c>
      <c r="C3283">
        <v>99</v>
      </c>
      <c r="D3283" t="s">
        <v>21</v>
      </c>
      <c r="E3283" t="s">
        <v>19</v>
      </c>
      <c r="F3283" t="s">
        <v>23</v>
      </c>
      <c r="G3283" t="s">
        <v>12</v>
      </c>
      <c r="H3283">
        <v>4312.71</v>
      </c>
      <c r="I3283" s="8" t="str" cm="1">
        <f t="array" ref="I3283">_xlfn.IFS(C3283&lt;=15,"Children and Young Adolescents", C3283&gt;64, "Seniors", TRUE, "Working Age")</f>
        <v>Seniors</v>
      </c>
      <c r="J3283" s="6">
        <f>VLOOKUP(F3283,Analysis!$F$1:$G$5,2,FALSE)</f>
        <v>2440.2966694490838</v>
      </c>
      <c r="K3283">
        <f t="shared" si="204"/>
        <v>4743.9799999999996</v>
      </c>
      <c r="L3283">
        <f t="shared" si="205"/>
        <v>4743.99</v>
      </c>
      <c r="M3283">
        <f t="shared" si="206"/>
        <v>4743.9799999999996</v>
      </c>
      <c r="N3283" s="5" t="str">
        <f t="shared" si="207"/>
        <v>April 2023</v>
      </c>
    </row>
    <row r="3284" spans="1:14" x14ac:dyDescent="0.25">
      <c r="A3284" s="1">
        <v>45039</v>
      </c>
      <c r="B3284" t="s">
        <v>2132</v>
      </c>
      <c r="C3284">
        <v>71</v>
      </c>
      <c r="D3284" t="s">
        <v>21</v>
      </c>
      <c r="E3284" t="s">
        <v>22</v>
      </c>
      <c r="F3284" t="s">
        <v>29</v>
      </c>
      <c r="G3284" t="s">
        <v>36</v>
      </c>
      <c r="H3284">
        <v>4268.51</v>
      </c>
      <c r="I3284" s="8" t="str" cm="1">
        <f t="array" ref="I3284">_xlfn.IFS(C3284&lt;=15,"Children and Young Adolescents", C3284&gt;64, "Seniors", TRUE, "Working Age")</f>
        <v>Seniors</v>
      </c>
      <c r="J3284" s="6">
        <f>VLOOKUP(F3284,Analysis!$F$1:$G$5,2,FALSE)</f>
        <v>2496.7676064256989</v>
      </c>
      <c r="K3284">
        <f t="shared" si="204"/>
        <v>4695.3599999999997</v>
      </c>
      <c r="L3284">
        <f t="shared" si="205"/>
        <v>4695.37</v>
      </c>
      <c r="M3284">
        <f t="shared" si="206"/>
        <v>4695.3599999999997</v>
      </c>
      <c r="N3284" s="5" t="str">
        <f t="shared" si="207"/>
        <v>April 2023</v>
      </c>
    </row>
    <row r="3285" spans="1:14" x14ac:dyDescent="0.25">
      <c r="A3285" s="1">
        <v>45039</v>
      </c>
      <c r="B3285" t="s">
        <v>2541</v>
      </c>
      <c r="C3285">
        <v>56</v>
      </c>
      <c r="D3285" t="s">
        <v>21</v>
      </c>
      <c r="E3285" t="s">
        <v>34</v>
      </c>
      <c r="F3285" t="s">
        <v>16</v>
      </c>
      <c r="G3285" t="s">
        <v>17</v>
      </c>
      <c r="H3285">
        <v>3111.78</v>
      </c>
      <c r="I3285" s="8" t="str" cm="1">
        <f t="array" ref="I3285">_xlfn.IFS(C3285&lt;=15,"Children and Young Adolescents", C3285&gt;64, "Seniors", TRUE, "Working Age")</f>
        <v>Working Age</v>
      </c>
      <c r="J3285" s="6">
        <f>VLOOKUP(F3285,Analysis!$F$1:$G$5,2,FALSE)</f>
        <v>2509.1716796874912</v>
      </c>
      <c r="K3285">
        <f t="shared" si="204"/>
        <v>3422.95</v>
      </c>
      <c r="L3285">
        <f t="shared" si="205"/>
        <v>3422.96</v>
      </c>
      <c r="M3285">
        <f t="shared" si="206"/>
        <v>3422.96</v>
      </c>
      <c r="N3285" s="5" t="str">
        <f t="shared" si="207"/>
        <v>April 2023</v>
      </c>
    </row>
    <row r="3286" spans="1:14" x14ac:dyDescent="0.25">
      <c r="A3286" s="1">
        <v>45039</v>
      </c>
      <c r="B3286" t="s">
        <v>4522</v>
      </c>
      <c r="C3286">
        <v>67</v>
      </c>
      <c r="D3286" t="s">
        <v>21</v>
      </c>
      <c r="E3286" t="s">
        <v>15</v>
      </c>
      <c r="F3286" t="s">
        <v>23</v>
      </c>
      <c r="G3286" t="s">
        <v>36</v>
      </c>
      <c r="H3286">
        <v>4874.72</v>
      </c>
      <c r="I3286" s="8" t="str" cm="1">
        <f t="array" ref="I3286">_xlfn.IFS(C3286&lt;=15,"Children and Young Adolescents", C3286&gt;64, "Seniors", TRUE, "Working Age")</f>
        <v>Seniors</v>
      </c>
      <c r="J3286" s="6">
        <f>VLOOKUP(F3286,Analysis!$F$1:$G$5,2,FALSE)</f>
        <v>2440.2966694490838</v>
      </c>
      <c r="K3286">
        <f t="shared" si="204"/>
        <v>5362.19</v>
      </c>
      <c r="L3286">
        <f t="shared" si="205"/>
        <v>5362.2</v>
      </c>
      <c r="M3286">
        <f t="shared" si="206"/>
        <v>5362.19</v>
      </c>
      <c r="N3286" s="5" t="str">
        <f t="shared" si="207"/>
        <v>April 2023</v>
      </c>
    </row>
    <row r="3287" spans="1:14" x14ac:dyDescent="0.25">
      <c r="A3287" s="1">
        <v>45039</v>
      </c>
      <c r="B3287" t="s">
        <v>183</v>
      </c>
      <c r="C3287">
        <v>81</v>
      </c>
      <c r="D3287" t="s">
        <v>9</v>
      </c>
      <c r="E3287" t="s">
        <v>34</v>
      </c>
      <c r="F3287" t="s">
        <v>11</v>
      </c>
      <c r="G3287" t="s">
        <v>27</v>
      </c>
      <c r="H3287">
        <v>56.45</v>
      </c>
      <c r="I3287" s="8" t="str" cm="1">
        <f t="array" ref="I3287">_xlfn.IFS(C3287&lt;=15,"Children and Young Adolescents", C3287&gt;64, "Seniors", TRUE, "Working Age")</f>
        <v>Seniors</v>
      </c>
      <c r="J3287" s="6">
        <f>VLOOKUP(F3287,Analysis!$F$1:$G$5,2,FALSE)</f>
        <v>2503.6022787783854</v>
      </c>
      <c r="K3287">
        <f t="shared" si="204"/>
        <v>62.09</v>
      </c>
      <c r="L3287">
        <f t="shared" si="205"/>
        <v>62.1</v>
      </c>
      <c r="M3287">
        <f t="shared" si="206"/>
        <v>62.1</v>
      </c>
      <c r="N3287" s="5" t="str">
        <f t="shared" si="207"/>
        <v>April 2023</v>
      </c>
    </row>
    <row r="3288" spans="1:14" x14ac:dyDescent="0.25">
      <c r="A3288" s="1">
        <v>45039</v>
      </c>
      <c r="B3288" t="s">
        <v>2432</v>
      </c>
      <c r="C3288">
        <v>74</v>
      </c>
      <c r="D3288" t="s">
        <v>21</v>
      </c>
      <c r="E3288" t="s">
        <v>22</v>
      </c>
      <c r="F3288" t="s">
        <v>29</v>
      </c>
      <c r="G3288" t="s">
        <v>36</v>
      </c>
      <c r="H3288">
        <v>2468.73</v>
      </c>
      <c r="I3288" s="8" t="str" cm="1">
        <f t="array" ref="I3288">_xlfn.IFS(C3288&lt;=15,"Children and Young Adolescents", C3288&gt;64, "Seniors", TRUE, "Working Age")</f>
        <v>Seniors</v>
      </c>
      <c r="J3288" s="6">
        <f>VLOOKUP(F3288,Analysis!$F$1:$G$5,2,FALSE)</f>
        <v>2496.7676064256989</v>
      </c>
      <c r="K3288">
        <f t="shared" si="204"/>
        <v>2715.6</v>
      </c>
      <c r="L3288">
        <f t="shared" si="205"/>
        <v>2715.61</v>
      </c>
      <c r="M3288">
        <f t="shared" si="206"/>
        <v>2715.6</v>
      </c>
      <c r="N3288" s="5" t="str">
        <f t="shared" si="207"/>
        <v>April 2023</v>
      </c>
    </row>
    <row r="3289" spans="1:14" x14ac:dyDescent="0.25">
      <c r="A3289" s="1">
        <v>45039</v>
      </c>
      <c r="B3289" t="s">
        <v>1478</v>
      </c>
      <c r="C3289">
        <v>64</v>
      </c>
      <c r="D3289" t="s">
        <v>9</v>
      </c>
      <c r="E3289" t="s">
        <v>22</v>
      </c>
      <c r="F3289" t="s">
        <v>11</v>
      </c>
      <c r="G3289" t="s">
        <v>27</v>
      </c>
      <c r="H3289">
        <v>190.43</v>
      </c>
      <c r="I3289" s="8" t="str" cm="1">
        <f t="array" ref="I3289">_xlfn.IFS(C3289&lt;=15,"Children and Young Adolescents", C3289&gt;64, "Seniors", TRUE, "Working Age")</f>
        <v>Working Age</v>
      </c>
      <c r="J3289" s="6">
        <f>VLOOKUP(F3289,Analysis!$F$1:$G$5,2,FALSE)</f>
        <v>2503.6022787783854</v>
      </c>
      <c r="K3289">
        <f t="shared" si="204"/>
        <v>209.47</v>
      </c>
      <c r="L3289">
        <f t="shared" si="205"/>
        <v>209.48</v>
      </c>
      <c r="M3289">
        <f t="shared" si="206"/>
        <v>209.47</v>
      </c>
      <c r="N3289" s="5" t="str">
        <f t="shared" si="207"/>
        <v>April 2023</v>
      </c>
    </row>
    <row r="3290" spans="1:14" x14ac:dyDescent="0.25">
      <c r="A3290" s="1">
        <v>45040</v>
      </c>
      <c r="B3290" t="s">
        <v>2627</v>
      </c>
      <c r="C3290">
        <v>42</v>
      </c>
      <c r="D3290" t="s">
        <v>21</v>
      </c>
      <c r="E3290" t="s">
        <v>10</v>
      </c>
      <c r="F3290" t="s">
        <v>23</v>
      </c>
      <c r="G3290" t="s">
        <v>12</v>
      </c>
      <c r="H3290">
        <v>3697.02</v>
      </c>
      <c r="I3290" s="8" t="str" cm="1">
        <f t="array" ref="I3290">_xlfn.IFS(C3290&lt;=15,"Children and Young Adolescents", C3290&gt;64, "Seniors", TRUE, "Working Age")</f>
        <v>Working Age</v>
      </c>
      <c r="J3290" s="6">
        <f>VLOOKUP(F3290,Analysis!$F$1:$G$5,2,FALSE)</f>
        <v>2440.2966694490838</v>
      </c>
      <c r="K3290">
        <f t="shared" si="204"/>
        <v>4066.72</v>
      </c>
      <c r="L3290">
        <f t="shared" si="205"/>
        <v>4066.73</v>
      </c>
      <c r="M3290">
        <f t="shared" si="206"/>
        <v>4066.72</v>
      </c>
      <c r="N3290" s="5" t="str">
        <f t="shared" si="207"/>
        <v>April 2023</v>
      </c>
    </row>
    <row r="3291" spans="1:14" x14ac:dyDescent="0.25">
      <c r="A3291" s="1">
        <v>45040</v>
      </c>
      <c r="B3291" t="s">
        <v>3770</v>
      </c>
      <c r="C3291">
        <v>47</v>
      </c>
      <c r="D3291" t="s">
        <v>9</v>
      </c>
      <c r="E3291" t="s">
        <v>10</v>
      </c>
      <c r="F3291" t="s">
        <v>16</v>
      </c>
      <c r="G3291" t="s">
        <v>12</v>
      </c>
      <c r="H3291">
        <v>3453.05</v>
      </c>
      <c r="I3291" s="8" t="str" cm="1">
        <f t="array" ref="I3291">_xlfn.IFS(C3291&lt;=15,"Children and Young Adolescents", C3291&gt;64, "Seniors", TRUE, "Working Age")</f>
        <v>Working Age</v>
      </c>
      <c r="J3291" s="6">
        <f>VLOOKUP(F3291,Analysis!$F$1:$G$5,2,FALSE)</f>
        <v>2509.1716796874912</v>
      </c>
      <c r="K3291">
        <f t="shared" si="204"/>
        <v>3798.35</v>
      </c>
      <c r="L3291">
        <f t="shared" si="205"/>
        <v>3798.36</v>
      </c>
      <c r="M3291">
        <f t="shared" si="206"/>
        <v>3798.36</v>
      </c>
      <c r="N3291" s="5" t="str">
        <f t="shared" si="207"/>
        <v>April 2023</v>
      </c>
    </row>
    <row r="3292" spans="1:14" x14ac:dyDescent="0.25">
      <c r="A3292" s="1">
        <v>45040</v>
      </c>
      <c r="B3292" t="s">
        <v>3636</v>
      </c>
      <c r="C3292">
        <v>17</v>
      </c>
      <c r="D3292" t="s">
        <v>9</v>
      </c>
      <c r="E3292" t="s">
        <v>22</v>
      </c>
      <c r="F3292" t="s">
        <v>11</v>
      </c>
      <c r="G3292" t="s">
        <v>39</v>
      </c>
      <c r="H3292">
        <v>1970.54</v>
      </c>
      <c r="I3292" s="8" t="str" cm="1">
        <f t="array" ref="I3292">_xlfn.IFS(C3292&lt;=15,"Children and Young Adolescents", C3292&gt;64, "Seniors", TRUE, "Working Age")</f>
        <v>Working Age</v>
      </c>
      <c r="J3292" s="6">
        <f>VLOOKUP(F3292,Analysis!$F$1:$G$5,2,FALSE)</f>
        <v>2503.6022787783854</v>
      </c>
      <c r="K3292">
        <f t="shared" si="204"/>
        <v>2167.59</v>
      </c>
      <c r="L3292">
        <f t="shared" si="205"/>
        <v>2167.6000000000004</v>
      </c>
      <c r="M3292">
        <f t="shared" si="206"/>
        <v>2167.59</v>
      </c>
      <c r="N3292" s="5" t="str">
        <f t="shared" si="207"/>
        <v>April 2023</v>
      </c>
    </row>
    <row r="3293" spans="1:14" x14ac:dyDescent="0.25">
      <c r="A3293" s="1">
        <v>45040</v>
      </c>
      <c r="B3293" t="s">
        <v>1977</v>
      </c>
      <c r="C3293">
        <v>42</v>
      </c>
      <c r="D3293" t="s">
        <v>9</v>
      </c>
      <c r="E3293" t="s">
        <v>10</v>
      </c>
      <c r="F3293" t="s">
        <v>11</v>
      </c>
      <c r="G3293" t="s">
        <v>39</v>
      </c>
      <c r="H3293">
        <v>4257.28</v>
      </c>
      <c r="I3293" s="8" t="str" cm="1">
        <f t="array" ref="I3293">_xlfn.IFS(C3293&lt;=15,"Children and Young Adolescents", C3293&gt;64, "Seniors", TRUE, "Working Age")</f>
        <v>Working Age</v>
      </c>
      <c r="J3293" s="6">
        <f>VLOOKUP(F3293,Analysis!$F$1:$G$5,2,FALSE)</f>
        <v>2503.6022787783854</v>
      </c>
      <c r="K3293">
        <f t="shared" si="204"/>
        <v>4683</v>
      </c>
      <c r="L3293">
        <f t="shared" si="205"/>
        <v>4683.01</v>
      </c>
      <c r="M3293">
        <f t="shared" si="206"/>
        <v>4683.01</v>
      </c>
      <c r="N3293" s="5" t="str">
        <f t="shared" si="207"/>
        <v>April 2023</v>
      </c>
    </row>
    <row r="3294" spans="1:14" x14ac:dyDescent="0.25">
      <c r="A3294" s="1">
        <v>45041</v>
      </c>
      <c r="B3294" t="s">
        <v>57</v>
      </c>
      <c r="C3294">
        <v>29</v>
      </c>
      <c r="D3294" t="s">
        <v>9</v>
      </c>
      <c r="E3294" t="s">
        <v>25</v>
      </c>
      <c r="F3294" t="s">
        <v>16</v>
      </c>
      <c r="G3294" t="s">
        <v>17</v>
      </c>
      <c r="H3294">
        <v>2124.15</v>
      </c>
      <c r="I3294" s="8" t="str" cm="1">
        <f t="array" ref="I3294">_xlfn.IFS(C3294&lt;=15,"Children and Young Adolescents", C3294&gt;64, "Seniors", TRUE, "Working Age")</f>
        <v>Working Age</v>
      </c>
      <c r="J3294" s="6">
        <f>VLOOKUP(F3294,Analysis!$F$1:$G$5,2,FALSE)</f>
        <v>2509.1716796874912</v>
      </c>
      <c r="K3294">
        <f t="shared" si="204"/>
        <v>2336.56</v>
      </c>
      <c r="L3294">
        <f t="shared" si="205"/>
        <v>2336.5700000000002</v>
      </c>
      <c r="M3294">
        <f t="shared" si="206"/>
        <v>2336.5700000000002</v>
      </c>
      <c r="N3294" s="5" t="str">
        <f t="shared" si="207"/>
        <v>April 2023</v>
      </c>
    </row>
    <row r="3295" spans="1:14" x14ac:dyDescent="0.25">
      <c r="A3295" s="1">
        <v>45041</v>
      </c>
      <c r="B3295" t="s">
        <v>4363</v>
      </c>
      <c r="C3295">
        <v>3</v>
      </c>
      <c r="D3295" t="s">
        <v>21</v>
      </c>
      <c r="E3295" t="s">
        <v>15</v>
      </c>
      <c r="F3295" t="s">
        <v>29</v>
      </c>
      <c r="G3295" t="s">
        <v>39</v>
      </c>
      <c r="H3295">
        <v>623.47</v>
      </c>
      <c r="I3295" s="8" t="str" cm="1">
        <f t="array" ref="I3295">_xlfn.IFS(C3295&lt;=15,"Children and Young Adolescents", C3295&gt;64, "Seniors", TRUE, "Working Age")</f>
        <v>Children and Young Adolescents</v>
      </c>
      <c r="J3295" s="6">
        <f>VLOOKUP(F3295,Analysis!$F$1:$G$5,2,FALSE)</f>
        <v>2496.7676064256989</v>
      </c>
      <c r="K3295">
        <f t="shared" si="204"/>
        <v>685.81</v>
      </c>
      <c r="L3295">
        <f t="shared" si="205"/>
        <v>685.81999999999994</v>
      </c>
      <c r="M3295">
        <f t="shared" si="206"/>
        <v>685.82</v>
      </c>
      <c r="N3295" s="5" t="str">
        <f t="shared" si="207"/>
        <v>April 2023</v>
      </c>
    </row>
    <row r="3296" spans="1:14" x14ac:dyDescent="0.25">
      <c r="A3296" s="1">
        <v>45041</v>
      </c>
      <c r="B3296" t="s">
        <v>770</v>
      </c>
      <c r="C3296">
        <v>56</v>
      </c>
      <c r="D3296" t="s">
        <v>9</v>
      </c>
      <c r="E3296" t="s">
        <v>25</v>
      </c>
      <c r="F3296" t="s">
        <v>16</v>
      </c>
      <c r="G3296" t="s">
        <v>12</v>
      </c>
      <c r="H3296">
        <v>1857.53</v>
      </c>
      <c r="I3296" s="8" t="str" cm="1">
        <f t="array" ref="I3296">_xlfn.IFS(C3296&lt;=15,"Children and Young Adolescents", C3296&gt;64, "Seniors", TRUE, "Working Age")</f>
        <v>Working Age</v>
      </c>
      <c r="J3296" s="6">
        <f>VLOOKUP(F3296,Analysis!$F$1:$G$5,2,FALSE)</f>
        <v>2509.1716796874912</v>
      </c>
      <c r="K3296">
        <f t="shared" si="204"/>
        <v>2043.28</v>
      </c>
      <c r="L3296">
        <f t="shared" si="205"/>
        <v>2043.29</v>
      </c>
      <c r="M3296">
        <f t="shared" si="206"/>
        <v>2043.28</v>
      </c>
      <c r="N3296" s="5" t="str">
        <f t="shared" si="207"/>
        <v>April 2023</v>
      </c>
    </row>
    <row r="3297" spans="1:14" x14ac:dyDescent="0.25">
      <c r="A3297" s="1">
        <v>45041</v>
      </c>
      <c r="B3297" t="s">
        <v>1822</v>
      </c>
      <c r="C3297">
        <v>82</v>
      </c>
      <c r="D3297" t="s">
        <v>14</v>
      </c>
      <c r="E3297" t="s">
        <v>19</v>
      </c>
      <c r="F3297" t="s">
        <v>29</v>
      </c>
      <c r="G3297" t="s">
        <v>12</v>
      </c>
      <c r="H3297">
        <v>4270.3900000000003</v>
      </c>
      <c r="I3297" s="8" t="str" cm="1">
        <f t="array" ref="I3297">_xlfn.IFS(C3297&lt;=15,"Children and Young Adolescents", C3297&gt;64, "Seniors", TRUE, "Working Age")</f>
        <v>Seniors</v>
      </c>
      <c r="J3297" s="6">
        <f>VLOOKUP(F3297,Analysis!$F$1:$G$5,2,FALSE)</f>
        <v>2496.7676064256989</v>
      </c>
      <c r="K3297">
        <f t="shared" si="204"/>
        <v>4697.42</v>
      </c>
      <c r="L3297">
        <f t="shared" si="205"/>
        <v>4697.43</v>
      </c>
      <c r="M3297">
        <f t="shared" si="206"/>
        <v>4697.43</v>
      </c>
      <c r="N3297" s="5" t="str">
        <f t="shared" si="207"/>
        <v>April 2023</v>
      </c>
    </row>
    <row r="3298" spans="1:14" x14ac:dyDescent="0.25">
      <c r="A3298" s="1">
        <v>45041</v>
      </c>
      <c r="B3298" t="s">
        <v>4059</v>
      </c>
      <c r="C3298">
        <v>51</v>
      </c>
      <c r="D3298" t="s">
        <v>21</v>
      </c>
      <c r="E3298" t="s">
        <v>22</v>
      </c>
      <c r="F3298" t="s">
        <v>11</v>
      </c>
      <c r="G3298" t="s">
        <v>36</v>
      </c>
      <c r="H3298">
        <v>2739.13</v>
      </c>
      <c r="I3298" s="8" t="str" cm="1">
        <f t="array" ref="I3298">_xlfn.IFS(C3298&lt;=15,"Children and Young Adolescents", C3298&gt;64, "Seniors", TRUE, "Working Age")</f>
        <v>Working Age</v>
      </c>
      <c r="J3298" s="6">
        <f>VLOOKUP(F3298,Analysis!$F$1:$G$5,2,FALSE)</f>
        <v>2503.6022787783854</v>
      </c>
      <c r="K3298">
        <f t="shared" si="204"/>
        <v>3013.04</v>
      </c>
      <c r="L3298">
        <f t="shared" si="205"/>
        <v>3013.05</v>
      </c>
      <c r="M3298">
        <f t="shared" si="206"/>
        <v>3013.04</v>
      </c>
      <c r="N3298" s="5" t="str">
        <f t="shared" si="207"/>
        <v>April 2023</v>
      </c>
    </row>
    <row r="3299" spans="1:14" x14ac:dyDescent="0.25">
      <c r="A3299" s="1">
        <v>45041</v>
      </c>
      <c r="B3299" t="s">
        <v>1684</v>
      </c>
      <c r="C3299">
        <v>79</v>
      </c>
      <c r="D3299" t="s">
        <v>21</v>
      </c>
      <c r="E3299" t="s">
        <v>19</v>
      </c>
      <c r="F3299" t="s">
        <v>23</v>
      </c>
      <c r="G3299" t="s">
        <v>36</v>
      </c>
      <c r="H3299">
        <v>333.89</v>
      </c>
      <c r="I3299" s="8" t="str" cm="1">
        <f t="array" ref="I3299">_xlfn.IFS(C3299&lt;=15,"Children and Young Adolescents", C3299&gt;64, "Seniors", TRUE, "Working Age")</f>
        <v>Seniors</v>
      </c>
      <c r="J3299" s="6">
        <f>VLOOKUP(F3299,Analysis!$F$1:$G$5,2,FALSE)</f>
        <v>2440.2966694490838</v>
      </c>
      <c r="K3299">
        <f t="shared" si="204"/>
        <v>367.27</v>
      </c>
      <c r="L3299">
        <f t="shared" si="205"/>
        <v>367.28</v>
      </c>
      <c r="M3299">
        <f t="shared" si="206"/>
        <v>367.28</v>
      </c>
      <c r="N3299" s="5" t="str">
        <f t="shared" si="207"/>
        <v>April 2023</v>
      </c>
    </row>
    <row r="3300" spans="1:14" x14ac:dyDescent="0.25">
      <c r="A3300" s="1">
        <v>45041</v>
      </c>
      <c r="B3300" t="s">
        <v>775</v>
      </c>
      <c r="C3300">
        <v>63</v>
      </c>
      <c r="D3300" t="s">
        <v>14</v>
      </c>
      <c r="E3300" t="s">
        <v>22</v>
      </c>
      <c r="F3300" t="s">
        <v>29</v>
      </c>
      <c r="G3300" t="s">
        <v>36</v>
      </c>
      <c r="H3300">
        <v>4255.49</v>
      </c>
      <c r="I3300" s="8" t="str" cm="1">
        <f t="array" ref="I3300">_xlfn.IFS(C3300&lt;=15,"Children and Young Adolescents", C3300&gt;64, "Seniors", TRUE, "Working Age")</f>
        <v>Working Age</v>
      </c>
      <c r="J3300" s="6">
        <f>VLOOKUP(F3300,Analysis!$F$1:$G$5,2,FALSE)</f>
        <v>2496.7676064256989</v>
      </c>
      <c r="K3300">
        <f t="shared" si="204"/>
        <v>4681.03</v>
      </c>
      <c r="L3300">
        <f t="shared" si="205"/>
        <v>4681.04</v>
      </c>
      <c r="M3300">
        <f t="shared" si="206"/>
        <v>4681.04</v>
      </c>
      <c r="N3300" s="5" t="str">
        <f t="shared" si="207"/>
        <v>April 2023</v>
      </c>
    </row>
    <row r="3301" spans="1:14" x14ac:dyDescent="0.25">
      <c r="A3301" s="1">
        <v>45042</v>
      </c>
      <c r="B3301" t="s">
        <v>1232</v>
      </c>
      <c r="C3301">
        <v>18</v>
      </c>
      <c r="D3301" t="s">
        <v>14</v>
      </c>
      <c r="E3301" t="s">
        <v>19</v>
      </c>
      <c r="F3301" t="s">
        <v>29</v>
      </c>
      <c r="G3301" t="s">
        <v>27</v>
      </c>
      <c r="H3301">
        <v>3793.64</v>
      </c>
      <c r="I3301" s="8" t="str" cm="1">
        <f t="array" ref="I3301">_xlfn.IFS(C3301&lt;=15,"Children and Young Adolescents", C3301&gt;64, "Seniors", TRUE, "Working Age")</f>
        <v>Working Age</v>
      </c>
      <c r="J3301" s="6">
        <f>VLOOKUP(F3301,Analysis!$F$1:$G$5,2,FALSE)</f>
        <v>2496.7676064256989</v>
      </c>
      <c r="K3301">
        <f t="shared" si="204"/>
        <v>4173</v>
      </c>
      <c r="L3301">
        <f t="shared" si="205"/>
        <v>4173.01</v>
      </c>
      <c r="M3301">
        <f t="shared" si="206"/>
        <v>4173</v>
      </c>
      <c r="N3301" s="5" t="str">
        <f t="shared" si="207"/>
        <v>April 2023</v>
      </c>
    </row>
    <row r="3302" spans="1:14" x14ac:dyDescent="0.25">
      <c r="A3302" s="1">
        <v>45042</v>
      </c>
      <c r="B3302" t="s">
        <v>1864</v>
      </c>
      <c r="C3302">
        <v>87</v>
      </c>
      <c r="D3302" t="s">
        <v>21</v>
      </c>
      <c r="E3302" t="s">
        <v>22</v>
      </c>
      <c r="F3302" t="s">
        <v>16</v>
      </c>
      <c r="G3302" t="s">
        <v>39</v>
      </c>
      <c r="H3302">
        <v>1390.13</v>
      </c>
      <c r="I3302" s="8" t="str" cm="1">
        <f t="array" ref="I3302">_xlfn.IFS(C3302&lt;=15,"Children and Young Adolescents", C3302&gt;64, "Seniors", TRUE, "Working Age")</f>
        <v>Seniors</v>
      </c>
      <c r="J3302" s="6">
        <f>VLOOKUP(F3302,Analysis!$F$1:$G$5,2,FALSE)</f>
        <v>2509.1716796874912</v>
      </c>
      <c r="K3302">
        <f t="shared" si="204"/>
        <v>1529.14</v>
      </c>
      <c r="L3302">
        <f t="shared" si="205"/>
        <v>1529.15</v>
      </c>
      <c r="M3302">
        <f t="shared" si="206"/>
        <v>1529.14</v>
      </c>
      <c r="N3302" s="5" t="str">
        <f t="shared" si="207"/>
        <v>April 2023</v>
      </c>
    </row>
    <row r="3303" spans="1:14" x14ac:dyDescent="0.25">
      <c r="A3303" s="1">
        <v>45042</v>
      </c>
      <c r="B3303" t="s">
        <v>299</v>
      </c>
      <c r="C3303">
        <v>85</v>
      </c>
      <c r="D3303" t="s">
        <v>14</v>
      </c>
      <c r="E3303" t="s">
        <v>15</v>
      </c>
      <c r="F3303" t="s">
        <v>23</v>
      </c>
      <c r="G3303" t="s">
        <v>17</v>
      </c>
      <c r="H3303">
        <v>1071.49</v>
      </c>
      <c r="I3303" s="8" t="str" cm="1">
        <f t="array" ref="I3303">_xlfn.IFS(C3303&lt;=15,"Children and Young Adolescents", C3303&gt;64, "Seniors", TRUE, "Working Age")</f>
        <v>Seniors</v>
      </c>
      <c r="J3303" s="6">
        <f>VLOOKUP(F3303,Analysis!$F$1:$G$5,2,FALSE)</f>
        <v>2440.2966694490838</v>
      </c>
      <c r="K3303">
        <f t="shared" si="204"/>
        <v>1178.6300000000001</v>
      </c>
      <c r="L3303">
        <f t="shared" si="205"/>
        <v>1178.6400000000001</v>
      </c>
      <c r="M3303">
        <f t="shared" si="206"/>
        <v>1178.6400000000001</v>
      </c>
      <c r="N3303" s="5" t="str">
        <f t="shared" si="207"/>
        <v>April 2023</v>
      </c>
    </row>
    <row r="3304" spans="1:14" x14ac:dyDescent="0.25">
      <c r="A3304" s="1">
        <v>45042</v>
      </c>
      <c r="B3304" t="s">
        <v>4789</v>
      </c>
      <c r="C3304">
        <v>38</v>
      </c>
      <c r="D3304" t="s">
        <v>14</v>
      </c>
      <c r="E3304" t="s">
        <v>19</v>
      </c>
      <c r="F3304" t="s">
        <v>16</v>
      </c>
      <c r="G3304" t="s">
        <v>36</v>
      </c>
      <c r="H3304">
        <v>693.66</v>
      </c>
      <c r="I3304" s="8" t="str" cm="1">
        <f t="array" ref="I3304">_xlfn.IFS(C3304&lt;=15,"Children and Young Adolescents", C3304&gt;64, "Seniors", TRUE, "Working Age")</f>
        <v>Working Age</v>
      </c>
      <c r="J3304" s="6">
        <f>VLOOKUP(F3304,Analysis!$F$1:$G$5,2,FALSE)</f>
        <v>2509.1716796874912</v>
      </c>
      <c r="K3304">
        <f t="shared" si="204"/>
        <v>763.02</v>
      </c>
      <c r="L3304">
        <f t="shared" si="205"/>
        <v>763.03</v>
      </c>
      <c r="M3304">
        <f t="shared" si="206"/>
        <v>763.03</v>
      </c>
      <c r="N3304" s="5" t="str">
        <f t="shared" si="207"/>
        <v>April 2023</v>
      </c>
    </row>
    <row r="3305" spans="1:14" x14ac:dyDescent="0.25">
      <c r="A3305" s="1">
        <v>45042</v>
      </c>
      <c r="B3305" t="s">
        <v>1877</v>
      </c>
      <c r="C3305">
        <v>55</v>
      </c>
      <c r="D3305" t="s">
        <v>21</v>
      </c>
      <c r="E3305" t="s">
        <v>10</v>
      </c>
      <c r="F3305" t="s">
        <v>16</v>
      </c>
      <c r="G3305" t="s">
        <v>39</v>
      </c>
      <c r="H3305">
        <v>556.84</v>
      </c>
      <c r="I3305" s="8" t="str" cm="1">
        <f t="array" ref="I3305">_xlfn.IFS(C3305&lt;=15,"Children and Young Adolescents", C3305&gt;64, "Seniors", TRUE, "Working Age")</f>
        <v>Working Age</v>
      </c>
      <c r="J3305" s="6">
        <f>VLOOKUP(F3305,Analysis!$F$1:$G$5,2,FALSE)</f>
        <v>2509.1716796874912</v>
      </c>
      <c r="K3305">
        <f t="shared" si="204"/>
        <v>612.52</v>
      </c>
      <c r="L3305">
        <f t="shared" si="205"/>
        <v>612.53</v>
      </c>
      <c r="M3305">
        <f t="shared" si="206"/>
        <v>612.52</v>
      </c>
      <c r="N3305" s="5" t="str">
        <f t="shared" si="207"/>
        <v>April 2023</v>
      </c>
    </row>
    <row r="3306" spans="1:14" x14ac:dyDescent="0.25">
      <c r="A3306" s="1">
        <v>45042</v>
      </c>
      <c r="B3306" t="s">
        <v>3722</v>
      </c>
      <c r="C3306">
        <v>73</v>
      </c>
      <c r="D3306" t="s">
        <v>9</v>
      </c>
      <c r="E3306" t="s">
        <v>15</v>
      </c>
      <c r="F3306" t="s">
        <v>29</v>
      </c>
      <c r="G3306" t="s">
        <v>27</v>
      </c>
      <c r="H3306">
        <v>493.64</v>
      </c>
      <c r="I3306" s="8" t="str" cm="1">
        <f t="array" ref="I3306">_xlfn.IFS(C3306&lt;=15,"Children and Young Adolescents", C3306&gt;64, "Seniors", TRUE, "Working Age")</f>
        <v>Seniors</v>
      </c>
      <c r="J3306" s="6">
        <f>VLOOKUP(F3306,Analysis!$F$1:$G$5,2,FALSE)</f>
        <v>2496.7676064256989</v>
      </c>
      <c r="K3306">
        <f t="shared" si="204"/>
        <v>543</v>
      </c>
      <c r="L3306">
        <f t="shared" si="205"/>
        <v>543.01</v>
      </c>
      <c r="M3306">
        <f t="shared" si="206"/>
        <v>543</v>
      </c>
      <c r="N3306" s="5" t="str">
        <f t="shared" si="207"/>
        <v>April 2023</v>
      </c>
    </row>
    <row r="3307" spans="1:14" x14ac:dyDescent="0.25">
      <c r="A3307" s="1">
        <v>45042</v>
      </c>
      <c r="B3307" t="s">
        <v>2190</v>
      </c>
      <c r="C3307">
        <v>78</v>
      </c>
      <c r="D3307" t="s">
        <v>21</v>
      </c>
      <c r="E3307" t="s">
        <v>32</v>
      </c>
      <c r="F3307" t="s">
        <v>29</v>
      </c>
      <c r="G3307" t="s">
        <v>27</v>
      </c>
      <c r="H3307">
        <v>1514.41</v>
      </c>
      <c r="I3307" s="8" t="str" cm="1">
        <f t="array" ref="I3307">_xlfn.IFS(C3307&lt;=15,"Children and Young Adolescents", C3307&gt;64, "Seniors", TRUE, "Working Age")</f>
        <v>Seniors</v>
      </c>
      <c r="J3307" s="6">
        <f>VLOOKUP(F3307,Analysis!$F$1:$G$5,2,FALSE)</f>
        <v>2496.7676064256989</v>
      </c>
      <c r="K3307">
        <f t="shared" si="204"/>
        <v>1665.85</v>
      </c>
      <c r="L3307">
        <f t="shared" si="205"/>
        <v>1665.86</v>
      </c>
      <c r="M3307">
        <f t="shared" si="206"/>
        <v>1665.85</v>
      </c>
      <c r="N3307" s="5" t="str">
        <f t="shared" si="207"/>
        <v>April 2023</v>
      </c>
    </row>
    <row r="3308" spans="1:14" x14ac:dyDescent="0.25">
      <c r="A3308" s="1">
        <v>45043</v>
      </c>
      <c r="B3308" t="s">
        <v>580</v>
      </c>
      <c r="C3308">
        <v>99</v>
      </c>
      <c r="D3308" t="s">
        <v>9</v>
      </c>
      <c r="E3308" t="s">
        <v>10</v>
      </c>
      <c r="F3308" t="s">
        <v>11</v>
      </c>
      <c r="G3308" t="s">
        <v>17</v>
      </c>
      <c r="H3308">
        <v>2652.97</v>
      </c>
      <c r="I3308" s="8" t="str" cm="1">
        <f t="array" ref="I3308">_xlfn.IFS(C3308&lt;=15,"Children and Young Adolescents", C3308&gt;64, "Seniors", TRUE, "Working Age")</f>
        <v>Seniors</v>
      </c>
      <c r="J3308" s="6">
        <f>VLOOKUP(F3308,Analysis!$F$1:$G$5,2,FALSE)</f>
        <v>2503.6022787783854</v>
      </c>
      <c r="K3308">
        <f t="shared" si="204"/>
        <v>2918.26</v>
      </c>
      <c r="L3308">
        <f t="shared" si="205"/>
        <v>2918.2700000000004</v>
      </c>
      <c r="M3308">
        <f t="shared" si="206"/>
        <v>2918.27</v>
      </c>
      <c r="N3308" s="5" t="str">
        <f t="shared" si="207"/>
        <v>April 2023</v>
      </c>
    </row>
    <row r="3309" spans="1:14" x14ac:dyDescent="0.25">
      <c r="A3309" s="1">
        <v>45043</v>
      </c>
      <c r="B3309" t="s">
        <v>2669</v>
      </c>
      <c r="C3309">
        <v>25</v>
      </c>
      <c r="D3309" t="s">
        <v>9</v>
      </c>
      <c r="E3309" t="s">
        <v>15</v>
      </c>
      <c r="F3309" t="s">
        <v>11</v>
      </c>
      <c r="G3309" t="s">
        <v>27</v>
      </c>
      <c r="H3309">
        <v>187.71</v>
      </c>
      <c r="I3309" s="8" t="str" cm="1">
        <f t="array" ref="I3309">_xlfn.IFS(C3309&lt;=15,"Children and Young Adolescents", C3309&gt;64, "Seniors", TRUE, "Working Age")</f>
        <v>Working Age</v>
      </c>
      <c r="J3309" s="6">
        <f>VLOOKUP(F3309,Analysis!$F$1:$G$5,2,FALSE)</f>
        <v>2503.6022787783854</v>
      </c>
      <c r="K3309">
        <f t="shared" si="204"/>
        <v>206.48</v>
      </c>
      <c r="L3309">
        <f t="shared" si="205"/>
        <v>206.48999999999998</v>
      </c>
      <c r="M3309">
        <f t="shared" si="206"/>
        <v>206.48</v>
      </c>
      <c r="N3309" s="5" t="str">
        <f t="shared" si="207"/>
        <v>April 2023</v>
      </c>
    </row>
    <row r="3310" spans="1:14" x14ac:dyDescent="0.25">
      <c r="A3310" s="1">
        <v>45043</v>
      </c>
      <c r="B3310" t="s">
        <v>91</v>
      </c>
      <c r="C3310">
        <v>74</v>
      </c>
      <c r="D3310" t="s">
        <v>9</v>
      </c>
      <c r="E3310" t="s">
        <v>22</v>
      </c>
      <c r="F3310" t="s">
        <v>11</v>
      </c>
      <c r="G3310" t="s">
        <v>27</v>
      </c>
      <c r="H3310">
        <v>528.99</v>
      </c>
      <c r="I3310" s="8" t="str" cm="1">
        <f t="array" ref="I3310">_xlfn.IFS(C3310&lt;=15,"Children and Young Adolescents", C3310&gt;64, "Seniors", TRUE, "Working Age")</f>
        <v>Seniors</v>
      </c>
      <c r="J3310" s="6">
        <f>VLOOKUP(F3310,Analysis!$F$1:$G$5,2,FALSE)</f>
        <v>2503.6022787783854</v>
      </c>
      <c r="K3310">
        <f t="shared" si="204"/>
        <v>581.88</v>
      </c>
      <c r="L3310">
        <f t="shared" si="205"/>
        <v>581.89</v>
      </c>
      <c r="M3310">
        <f t="shared" si="206"/>
        <v>581.89</v>
      </c>
      <c r="N3310" s="5" t="str">
        <f t="shared" si="207"/>
        <v>April 2023</v>
      </c>
    </row>
    <row r="3311" spans="1:14" x14ac:dyDescent="0.25">
      <c r="A3311" s="1">
        <v>45043</v>
      </c>
      <c r="B3311" t="s">
        <v>3714</v>
      </c>
      <c r="C3311">
        <v>31</v>
      </c>
      <c r="D3311" t="s">
        <v>9</v>
      </c>
      <c r="E3311" t="s">
        <v>32</v>
      </c>
      <c r="F3311" t="s">
        <v>23</v>
      </c>
      <c r="G3311" t="s">
        <v>39</v>
      </c>
      <c r="H3311">
        <v>1359.54</v>
      </c>
      <c r="I3311" s="8" t="str" cm="1">
        <f t="array" ref="I3311">_xlfn.IFS(C3311&lt;=15,"Children and Young Adolescents", C3311&gt;64, "Seniors", TRUE, "Working Age")</f>
        <v>Working Age</v>
      </c>
      <c r="J3311" s="6">
        <f>VLOOKUP(F3311,Analysis!$F$1:$G$5,2,FALSE)</f>
        <v>2440.2966694490838</v>
      </c>
      <c r="K3311">
        <f t="shared" si="204"/>
        <v>1495.49</v>
      </c>
      <c r="L3311">
        <f t="shared" si="205"/>
        <v>1495.5</v>
      </c>
      <c r="M3311">
        <f t="shared" si="206"/>
        <v>1495.49</v>
      </c>
      <c r="N3311" s="5" t="str">
        <f t="shared" si="207"/>
        <v>April 2023</v>
      </c>
    </row>
    <row r="3312" spans="1:14" x14ac:dyDescent="0.25">
      <c r="A3312" s="1">
        <v>45043</v>
      </c>
      <c r="B3312" t="s">
        <v>2539</v>
      </c>
      <c r="C3312">
        <v>90</v>
      </c>
      <c r="D3312" t="s">
        <v>21</v>
      </c>
      <c r="E3312" t="s">
        <v>34</v>
      </c>
      <c r="F3312" t="s">
        <v>29</v>
      </c>
      <c r="G3312" t="s">
        <v>5033</v>
      </c>
      <c r="H3312">
        <v>2298.86</v>
      </c>
      <c r="I3312" s="8" t="str" cm="1">
        <f t="array" ref="I3312">_xlfn.IFS(C3312&lt;=15,"Children and Young Adolescents", C3312&gt;64, "Seniors", TRUE, "Working Age")</f>
        <v>Seniors</v>
      </c>
      <c r="J3312" s="6">
        <f>VLOOKUP(F3312,Analysis!$F$1:$G$5,2,FALSE)</f>
        <v>2496.7676064256989</v>
      </c>
      <c r="K3312">
        <f t="shared" si="204"/>
        <v>2528.7399999999998</v>
      </c>
      <c r="L3312">
        <f t="shared" si="205"/>
        <v>2528.75</v>
      </c>
      <c r="M3312">
        <f t="shared" si="206"/>
        <v>2528.75</v>
      </c>
      <c r="N3312" s="5" t="str">
        <f t="shared" si="207"/>
        <v>April 2023</v>
      </c>
    </row>
    <row r="3313" spans="1:14" x14ac:dyDescent="0.25">
      <c r="A3313" s="1">
        <v>45043</v>
      </c>
      <c r="B3313" t="s">
        <v>2593</v>
      </c>
      <c r="C3313">
        <v>79</v>
      </c>
      <c r="D3313" t="s">
        <v>9</v>
      </c>
      <c r="E3313" t="s">
        <v>15</v>
      </c>
      <c r="F3313" t="s">
        <v>23</v>
      </c>
      <c r="G3313" t="s">
        <v>27</v>
      </c>
      <c r="H3313">
        <v>3156.89</v>
      </c>
      <c r="I3313" s="8" t="str" cm="1">
        <f t="array" ref="I3313">_xlfn.IFS(C3313&lt;=15,"Children and Young Adolescents", C3313&gt;64, "Seniors", TRUE, "Working Age")</f>
        <v>Seniors</v>
      </c>
      <c r="J3313" s="6">
        <f>VLOOKUP(F3313,Analysis!$F$1:$G$5,2,FALSE)</f>
        <v>2440.2966694490838</v>
      </c>
      <c r="K3313">
        <f t="shared" si="204"/>
        <v>3472.57</v>
      </c>
      <c r="L3313">
        <f t="shared" si="205"/>
        <v>3472.5800000000004</v>
      </c>
      <c r="M3313">
        <f t="shared" si="206"/>
        <v>3472.58</v>
      </c>
      <c r="N3313" s="5" t="str">
        <f t="shared" si="207"/>
        <v>April 2023</v>
      </c>
    </row>
    <row r="3314" spans="1:14" x14ac:dyDescent="0.25">
      <c r="A3314" s="1">
        <v>45044</v>
      </c>
      <c r="B3314" t="s">
        <v>1809</v>
      </c>
      <c r="C3314">
        <v>17</v>
      </c>
      <c r="D3314" t="s">
        <v>14</v>
      </c>
      <c r="E3314" t="s">
        <v>5032</v>
      </c>
      <c r="F3314" t="s">
        <v>29</v>
      </c>
      <c r="G3314" t="s">
        <v>39</v>
      </c>
      <c r="H3314">
        <v>2548.8200000000002</v>
      </c>
      <c r="I3314" s="8" t="str" cm="1">
        <f t="array" ref="I3314">_xlfn.IFS(C3314&lt;=15,"Children and Young Adolescents", C3314&gt;64, "Seniors", TRUE, "Working Age")</f>
        <v>Working Age</v>
      </c>
      <c r="J3314" s="6">
        <f>VLOOKUP(F3314,Analysis!$F$1:$G$5,2,FALSE)</f>
        <v>2496.7676064256989</v>
      </c>
      <c r="K3314">
        <f t="shared" si="204"/>
        <v>2803.7</v>
      </c>
      <c r="L3314">
        <f t="shared" si="205"/>
        <v>2803.71</v>
      </c>
      <c r="M3314">
        <f t="shared" si="206"/>
        <v>2803.7</v>
      </c>
      <c r="N3314" s="5" t="str">
        <f t="shared" si="207"/>
        <v>April 2023</v>
      </c>
    </row>
    <row r="3315" spans="1:14" x14ac:dyDescent="0.25">
      <c r="A3315" s="1">
        <v>45044</v>
      </c>
      <c r="B3315" t="s">
        <v>5020</v>
      </c>
      <c r="C3315">
        <v>4</v>
      </c>
      <c r="D3315" t="s">
        <v>21</v>
      </c>
      <c r="E3315" t="s">
        <v>25</v>
      </c>
      <c r="F3315" t="s">
        <v>11</v>
      </c>
      <c r="G3315" t="s">
        <v>12</v>
      </c>
      <c r="H3315">
        <v>4419.16</v>
      </c>
      <c r="I3315" s="8" t="str" cm="1">
        <f t="array" ref="I3315">_xlfn.IFS(C3315&lt;=15,"Children and Young Adolescents", C3315&gt;64, "Seniors", TRUE, "Working Age")</f>
        <v>Children and Young Adolescents</v>
      </c>
      <c r="J3315" s="6">
        <f>VLOOKUP(F3315,Analysis!$F$1:$G$5,2,FALSE)</f>
        <v>2503.6022787783854</v>
      </c>
      <c r="K3315">
        <f t="shared" si="204"/>
        <v>4861.07</v>
      </c>
      <c r="L3315">
        <f t="shared" si="205"/>
        <v>4861.08</v>
      </c>
      <c r="M3315">
        <f t="shared" si="206"/>
        <v>4861.08</v>
      </c>
      <c r="N3315" s="5" t="str">
        <f t="shared" si="207"/>
        <v>April 2023</v>
      </c>
    </row>
    <row r="3316" spans="1:14" x14ac:dyDescent="0.25">
      <c r="A3316" s="1">
        <v>45044</v>
      </c>
      <c r="B3316" t="s">
        <v>1720</v>
      </c>
      <c r="C3316">
        <v>60</v>
      </c>
      <c r="D3316" t="s">
        <v>21</v>
      </c>
      <c r="E3316" t="s">
        <v>15</v>
      </c>
      <c r="F3316" t="s">
        <v>29</v>
      </c>
      <c r="G3316" t="s">
        <v>36</v>
      </c>
      <c r="H3316">
        <v>942.76</v>
      </c>
      <c r="I3316" s="8" t="str" cm="1">
        <f t="array" ref="I3316">_xlfn.IFS(C3316&lt;=15,"Children and Young Adolescents", C3316&gt;64, "Seniors", TRUE, "Working Age")</f>
        <v>Working Age</v>
      </c>
      <c r="J3316" s="6">
        <f>VLOOKUP(F3316,Analysis!$F$1:$G$5,2,FALSE)</f>
        <v>2496.7676064256989</v>
      </c>
      <c r="K3316">
        <f t="shared" si="204"/>
        <v>1037.03</v>
      </c>
      <c r="L3316">
        <f t="shared" si="205"/>
        <v>1037.04</v>
      </c>
      <c r="M3316">
        <f t="shared" si="206"/>
        <v>1037.04</v>
      </c>
      <c r="N3316" s="5" t="str">
        <f t="shared" si="207"/>
        <v>April 2023</v>
      </c>
    </row>
    <row r="3317" spans="1:14" x14ac:dyDescent="0.25">
      <c r="A3317" s="1">
        <v>45044</v>
      </c>
      <c r="B3317" t="s">
        <v>3357</v>
      </c>
      <c r="C3317">
        <v>0</v>
      </c>
      <c r="D3317" t="s">
        <v>9</v>
      </c>
      <c r="E3317" t="s">
        <v>5032</v>
      </c>
      <c r="F3317" t="s">
        <v>23</v>
      </c>
      <c r="G3317" t="s">
        <v>36</v>
      </c>
      <c r="H3317">
        <v>1100.52</v>
      </c>
      <c r="I3317" s="8" t="str" cm="1">
        <f t="array" ref="I3317">_xlfn.IFS(C3317&lt;=15,"Children and Young Adolescents", C3317&gt;64, "Seniors", TRUE, "Working Age")</f>
        <v>Children and Young Adolescents</v>
      </c>
      <c r="J3317" s="6">
        <f>VLOOKUP(F3317,Analysis!$F$1:$G$5,2,FALSE)</f>
        <v>2440.2966694490838</v>
      </c>
      <c r="K3317">
        <f t="shared" si="204"/>
        <v>1210.57</v>
      </c>
      <c r="L3317">
        <f t="shared" si="205"/>
        <v>1210.58</v>
      </c>
      <c r="M3317">
        <f t="shared" si="206"/>
        <v>1210.57</v>
      </c>
      <c r="N3317" s="5" t="str">
        <f t="shared" si="207"/>
        <v>April 2023</v>
      </c>
    </row>
    <row r="3318" spans="1:14" x14ac:dyDescent="0.25">
      <c r="A3318" s="1">
        <v>45045</v>
      </c>
      <c r="B3318" t="s">
        <v>209</v>
      </c>
      <c r="C3318">
        <v>38</v>
      </c>
      <c r="D3318" t="s">
        <v>14</v>
      </c>
      <c r="E3318" t="s">
        <v>34</v>
      </c>
      <c r="F3318" t="s">
        <v>16</v>
      </c>
      <c r="G3318" t="s">
        <v>39</v>
      </c>
      <c r="H3318">
        <v>3065.74</v>
      </c>
      <c r="I3318" s="8" t="str" cm="1">
        <f t="array" ref="I3318">_xlfn.IFS(C3318&lt;=15,"Children and Young Adolescents", C3318&gt;64, "Seniors", TRUE, "Working Age")</f>
        <v>Working Age</v>
      </c>
      <c r="J3318" s="6">
        <f>VLOOKUP(F3318,Analysis!$F$1:$G$5,2,FALSE)</f>
        <v>2509.1716796874912</v>
      </c>
      <c r="K3318">
        <f t="shared" si="204"/>
        <v>3372.31</v>
      </c>
      <c r="L3318">
        <f t="shared" si="205"/>
        <v>3372.32</v>
      </c>
      <c r="M3318">
        <f t="shared" si="206"/>
        <v>3372.31</v>
      </c>
      <c r="N3318" s="5" t="str">
        <f t="shared" si="207"/>
        <v>April 2023</v>
      </c>
    </row>
    <row r="3319" spans="1:14" x14ac:dyDescent="0.25">
      <c r="A3319" s="1">
        <v>45045</v>
      </c>
      <c r="B3319" t="s">
        <v>531</v>
      </c>
      <c r="C3319">
        <v>11</v>
      </c>
      <c r="D3319" t="s">
        <v>21</v>
      </c>
      <c r="E3319" t="s">
        <v>15</v>
      </c>
      <c r="F3319" t="s">
        <v>11</v>
      </c>
      <c r="G3319" t="s">
        <v>39</v>
      </c>
      <c r="H3319">
        <v>2194.7399999999998</v>
      </c>
      <c r="I3319" s="8" t="str" cm="1">
        <f t="array" ref="I3319">_xlfn.IFS(C3319&lt;=15,"Children and Young Adolescents", C3319&gt;64, "Seniors", TRUE, "Working Age")</f>
        <v>Children and Young Adolescents</v>
      </c>
      <c r="J3319" s="6">
        <f>VLOOKUP(F3319,Analysis!$F$1:$G$5,2,FALSE)</f>
        <v>2503.6022787783854</v>
      </c>
      <c r="K3319">
        <f t="shared" si="204"/>
        <v>2414.21</v>
      </c>
      <c r="L3319">
        <f t="shared" si="205"/>
        <v>2414.2200000000003</v>
      </c>
      <c r="M3319">
        <f t="shared" si="206"/>
        <v>2414.21</v>
      </c>
      <c r="N3319" s="5" t="str">
        <f t="shared" si="207"/>
        <v>April 2023</v>
      </c>
    </row>
    <row r="3320" spans="1:14" x14ac:dyDescent="0.25">
      <c r="A3320" s="1">
        <v>45045</v>
      </c>
      <c r="B3320" t="s">
        <v>3624</v>
      </c>
      <c r="C3320">
        <v>74</v>
      </c>
      <c r="D3320" t="s">
        <v>9</v>
      </c>
      <c r="E3320" t="s">
        <v>25</v>
      </c>
      <c r="F3320" t="s">
        <v>11</v>
      </c>
      <c r="G3320" t="s">
        <v>36</v>
      </c>
      <c r="H3320">
        <v>1593.03</v>
      </c>
      <c r="I3320" s="8" t="str" cm="1">
        <f t="array" ref="I3320">_xlfn.IFS(C3320&lt;=15,"Children and Young Adolescents", C3320&gt;64, "Seniors", TRUE, "Working Age")</f>
        <v>Seniors</v>
      </c>
      <c r="J3320" s="6">
        <f>VLOOKUP(F3320,Analysis!$F$1:$G$5,2,FALSE)</f>
        <v>2503.6022787783854</v>
      </c>
      <c r="K3320">
        <f t="shared" si="204"/>
        <v>1752.33</v>
      </c>
      <c r="L3320">
        <f t="shared" si="205"/>
        <v>1752.34</v>
      </c>
      <c r="M3320">
        <f t="shared" si="206"/>
        <v>1752.33</v>
      </c>
      <c r="N3320" s="5" t="str">
        <f t="shared" si="207"/>
        <v>April 2023</v>
      </c>
    </row>
    <row r="3321" spans="1:14" x14ac:dyDescent="0.25">
      <c r="A3321" s="1">
        <v>45045</v>
      </c>
      <c r="B3321" t="s">
        <v>3449</v>
      </c>
      <c r="C3321">
        <v>92</v>
      </c>
      <c r="D3321" t="s">
        <v>14</v>
      </c>
      <c r="E3321" t="s">
        <v>25</v>
      </c>
      <c r="F3321" t="s">
        <v>29</v>
      </c>
      <c r="G3321" t="s">
        <v>36</v>
      </c>
      <c r="H3321">
        <v>1189.9100000000001</v>
      </c>
      <c r="I3321" s="8" t="str" cm="1">
        <f t="array" ref="I3321">_xlfn.IFS(C3321&lt;=15,"Children and Young Adolescents", C3321&gt;64, "Seniors", TRUE, "Working Age")</f>
        <v>Seniors</v>
      </c>
      <c r="J3321" s="6">
        <f>VLOOKUP(F3321,Analysis!$F$1:$G$5,2,FALSE)</f>
        <v>2496.7676064256989</v>
      </c>
      <c r="K3321">
        <f t="shared" si="204"/>
        <v>1308.9000000000001</v>
      </c>
      <c r="L3321">
        <f t="shared" si="205"/>
        <v>1308.9100000000001</v>
      </c>
      <c r="M3321">
        <f t="shared" si="206"/>
        <v>1308.9000000000001</v>
      </c>
      <c r="N3321" s="5" t="str">
        <f t="shared" si="207"/>
        <v>April 2023</v>
      </c>
    </row>
    <row r="3322" spans="1:14" x14ac:dyDescent="0.25">
      <c r="A3322" s="1">
        <v>45046</v>
      </c>
      <c r="B3322" t="s">
        <v>3897</v>
      </c>
      <c r="C3322">
        <v>54</v>
      </c>
      <c r="D3322" t="s">
        <v>14</v>
      </c>
      <c r="E3322" t="s">
        <v>25</v>
      </c>
      <c r="F3322" t="s">
        <v>23</v>
      </c>
      <c r="G3322" t="s">
        <v>5033</v>
      </c>
      <c r="H3322">
        <v>3261.31</v>
      </c>
      <c r="I3322" s="8" t="str" cm="1">
        <f t="array" ref="I3322">_xlfn.IFS(C3322&lt;=15,"Children and Young Adolescents", C3322&gt;64, "Seniors", TRUE, "Working Age")</f>
        <v>Working Age</v>
      </c>
      <c r="J3322" s="6">
        <f>VLOOKUP(F3322,Analysis!$F$1:$G$5,2,FALSE)</f>
        <v>2440.2966694490838</v>
      </c>
      <c r="K3322">
        <f t="shared" si="204"/>
        <v>3587.44</v>
      </c>
      <c r="L3322">
        <f t="shared" si="205"/>
        <v>3587.4500000000003</v>
      </c>
      <c r="M3322">
        <f t="shared" si="206"/>
        <v>3587.44</v>
      </c>
      <c r="N3322" s="5" t="str">
        <f t="shared" si="207"/>
        <v>April 2023</v>
      </c>
    </row>
    <row r="3323" spans="1:14" x14ac:dyDescent="0.25">
      <c r="A3323" s="1">
        <v>45046</v>
      </c>
      <c r="B3323" t="s">
        <v>761</v>
      </c>
      <c r="C3323">
        <v>25</v>
      </c>
      <c r="D3323" t="s">
        <v>14</v>
      </c>
      <c r="E3323" t="s">
        <v>15</v>
      </c>
      <c r="F3323" t="s">
        <v>11</v>
      </c>
      <c r="G3323" t="s">
        <v>12</v>
      </c>
      <c r="H3323">
        <v>502.52</v>
      </c>
      <c r="I3323" s="8" t="str" cm="1">
        <f t="array" ref="I3323">_xlfn.IFS(C3323&lt;=15,"Children and Young Adolescents", C3323&gt;64, "Seniors", TRUE, "Working Age")</f>
        <v>Working Age</v>
      </c>
      <c r="J3323" s="6">
        <f>VLOOKUP(F3323,Analysis!$F$1:$G$5,2,FALSE)</f>
        <v>2503.6022787783854</v>
      </c>
      <c r="K3323">
        <f t="shared" si="204"/>
        <v>552.77</v>
      </c>
      <c r="L3323">
        <f t="shared" si="205"/>
        <v>552.78</v>
      </c>
      <c r="M3323">
        <f t="shared" si="206"/>
        <v>552.77</v>
      </c>
      <c r="N3323" s="5" t="str">
        <f t="shared" si="207"/>
        <v>April 2023</v>
      </c>
    </row>
    <row r="3324" spans="1:14" x14ac:dyDescent="0.25">
      <c r="A3324" s="1">
        <v>45046</v>
      </c>
      <c r="B3324" t="s">
        <v>5005</v>
      </c>
      <c r="C3324">
        <v>13</v>
      </c>
      <c r="D3324" t="s">
        <v>9</v>
      </c>
      <c r="E3324" t="s">
        <v>19</v>
      </c>
      <c r="F3324" t="s">
        <v>23</v>
      </c>
      <c r="G3324" t="s">
        <v>17</v>
      </c>
      <c r="H3324">
        <v>3387.6</v>
      </c>
      <c r="I3324" s="8" t="str" cm="1">
        <f t="array" ref="I3324">_xlfn.IFS(C3324&lt;=15,"Children and Young Adolescents", C3324&gt;64, "Seniors", TRUE, "Working Age")</f>
        <v>Children and Young Adolescents</v>
      </c>
      <c r="J3324" s="6">
        <f>VLOOKUP(F3324,Analysis!$F$1:$G$5,2,FALSE)</f>
        <v>2440.2966694490838</v>
      </c>
      <c r="K3324">
        <f t="shared" si="204"/>
        <v>3726.36</v>
      </c>
      <c r="L3324">
        <f t="shared" si="205"/>
        <v>3726.36</v>
      </c>
      <c r="M3324">
        <f t="shared" si="206"/>
        <v>3726.36</v>
      </c>
      <c r="N3324" s="5" t="str">
        <f t="shared" si="207"/>
        <v>April 2023</v>
      </c>
    </row>
    <row r="3325" spans="1:14" x14ac:dyDescent="0.25">
      <c r="A3325" s="1">
        <v>45046</v>
      </c>
      <c r="B3325" t="s">
        <v>4983</v>
      </c>
      <c r="C3325">
        <v>57</v>
      </c>
      <c r="D3325" t="s">
        <v>21</v>
      </c>
      <c r="E3325" t="s">
        <v>22</v>
      </c>
      <c r="F3325" t="s">
        <v>11</v>
      </c>
      <c r="G3325" t="s">
        <v>27</v>
      </c>
      <c r="H3325">
        <v>4175.99</v>
      </c>
      <c r="I3325" s="8" t="str" cm="1">
        <f t="array" ref="I3325">_xlfn.IFS(C3325&lt;=15,"Children and Young Adolescents", C3325&gt;64, "Seniors", TRUE, "Working Age")</f>
        <v>Working Age</v>
      </c>
      <c r="J3325" s="6">
        <f>VLOOKUP(F3325,Analysis!$F$1:$G$5,2,FALSE)</f>
        <v>2503.6022787783854</v>
      </c>
      <c r="K3325">
        <f t="shared" si="204"/>
        <v>4593.58</v>
      </c>
      <c r="L3325">
        <f t="shared" si="205"/>
        <v>4593.59</v>
      </c>
      <c r="M3325">
        <f t="shared" si="206"/>
        <v>4593.59</v>
      </c>
      <c r="N3325" s="5" t="str">
        <f t="shared" si="207"/>
        <v>April 2023</v>
      </c>
    </row>
    <row r="3326" spans="1:14" x14ac:dyDescent="0.25">
      <c r="A3326" s="1">
        <v>45046</v>
      </c>
      <c r="B3326" t="s">
        <v>392</v>
      </c>
      <c r="C3326">
        <v>22</v>
      </c>
      <c r="D3326" t="s">
        <v>9</v>
      </c>
      <c r="E3326" t="s">
        <v>25</v>
      </c>
      <c r="F3326" t="s">
        <v>11</v>
      </c>
      <c r="G3326" t="s">
        <v>36</v>
      </c>
      <c r="H3326">
        <v>955.12</v>
      </c>
      <c r="I3326" s="8" t="str" cm="1">
        <f t="array" ref="I3326">_xlfn.IFS(C3326&lt;=15,"Children and Young Adolescents", C3326&gt;64, "Seniors", TRUE, "Working Age")</f>
        <v>Working Age</v>
      </c>
      <c r="J3326" s="6">
        <f>VLOOKUP(F3326,Analysis!$F$1:$G$5,2,FALSE)</f>
        <v>2503.6022787783854</v>
      </c>
      <c r="K3326">
        <f t="shared" si="204"/>
        <v>1050.6300000000001</v>
      </c>
      <c r="L3326">
        <f t="shared" si="205"/>
        <v>1050.6400000000001</v>
      </c>
      <c r="M3326">
        <f t="shared" si="206"/>
        <v>1050.6300000000001</v>
      </c>
      <c r="N3326" s="5" t="str">
        <f t="shared" si="207"/>
        <v>April 2023</v>
      </c>
    </row>
    <row r="3327" spans="1:14" x14ac:dyDescent="0.25">
      <c r="A3327" s="1">
        <v>45046</v>
      </c>
      <c r="B3327" t="s">
        <v>1840</v>
      </c>
      <c r="C3327">
        <v>3</v>
      </c>
      <c r="D3327" t="s">
        <v>14</v>
      </c>
      <c r="E3327" t="s">
        <v>22</v>
      </c>
      <c r="F3327" t="s">
        <v>16</v>
      </c>
      <c r="G3327" t="s">
        <v>36</v>
      </c>
      <c r="H3327">
        <v>123.97</v>
      </c>
      <c r="I3327" s="8" t="str" cm="1">
        <f t="array" ref="I3327">_xlfn.IFS(C3327&lt;=15,"Children and Young Adolescents", C3327&gt;64, "Seniors", TRUE, "Working Age")</f>
        <v>Children and Young Adolescents</v>
      </c>
      <c r="J3327" s="6">
        <f>VLOOKUP(F3327,Analysis!$F$1:$G$5,2,FALSE)</f>
        <v>2509.1716796874912</v>
      </c>
      <c r="K3327">
        <f t="shared" si="204"/>
        <v>136.36000000000001</v>
      </c>
      <c r="L3327">
        <f t="shared" si="205"/>
        <v>136.37</v>
      </c>
      <c r="M3327">
        <f t="shared" si="206"/>
        <v>136.37</v>
      </c>
      <c r="N3327" s="5" t="str">
        <f t="shared" si="207"/>
        <v>April 2023</v>
      </c>
    </row>
    <row r="3328" spans="1:14" x14ac:dyDescent="0.25">
      <c r="A3328" s="1">
        <v>45046</v>
      </c>
      <c r="B3328" t="s">
        <v>1650</v>
      </c>
      <c r="C3328">
        <v>83</v>
      </c>
      <c r="D3328" t="s">
        <v>9</v>
      </c>
      <c r="E3328" t="s">
        <v>32</v>
      </c>
      <c r="F3328" t="s">
        <v>11</v>
      </c>
      <c r="G3328" t="s">
        <v>27</v>
      </c>
      <c r="H3328">
        <v>1052.93</v>
      </c>
      <c r="I3328" s="8" t="str" cm="1">
        <f t="array" ref="I3328">_xlfn.IFS(C3328&lt;=15,"Children and Young Adolescents", C3328&gt;64, "Seniors", TRUE, "Working Age")</f>
        <v>Seniors</v>
      </c>
      <c r="J3328" s="6">
        <f>VLOOKUP(F3328,Analysis!$F$1:$G$5,2,FALSE)</f>
        <v>2503.6022787783854</v>
      </c>
      <c r="K3328">
        <f t="shared" si="204"/>
        <v>1158.22</v>
      </c>
      <c r="L3328">
        <f t="shared" si="205"/>
        <v>1158.23</v>
      </c>
      <c r="M3328">
        <f t="shared" si="206"/>
        <v>1158.22</v>
      </c>
      <c r="N3328" s="5" t="str">
        <f t="shared" si="207"/>
        <v>April 2023</v>
      </c>
    </row>
    <row r="3329" spans="1:14" x14ac:dyDescent="0.25">
      <c r="A3329" s="1">
        <v>45046</v>
      </c>
      <c r="B3329" t="s">
        <v>4562</v>
      </c>
      <c r="C3329">
        <v>82</v>
      </c>
      <c r="D3329" t="s">
        <v>21</v>
      </c>
      <c r="E3329" t="s">
        <v>32</v>
      </c>
      <c r="F3329" t="s">
        <v>16</v>
      </c>
      <c r="G3329" t="s">
        <v>36</v>
      </c>
      <c r="H3329">
        <v>4710.51</v>
      </c>
      <c r="I3329" s="8" t="str" cm="1">
        <f t="array" ref="I3329">_xlfn.IFS(C3329&lt;=15,"Children and Young Adolescents", C3329&gt;64, "Seniors", TRUE, "Working Age")</f>
        <v>Seniors</v>
      </c>
      <c r="J3329" s="6">
        <f>VLOOKUP(F3329,Analysis!$F$1:$G$5,2,FALSE)</f>
        <v>2509.1716796874912</v>
      </c>
      <c r="K3329">
        <f t="shared" si="204"/>
        <v>5181.5600000000004</v>
      </c>
      <c r="L3329">
        <f t="shared" si="205"/>
        <v>5181.5700000000006</v>
      </c>
      <c r="M3329">
        <f t="shared" si="206"/>
        <v>5181.5600000000004</v>
      </c>
      <c r="N3329" s="5" t="str">
        <f t="shared" si="207"/>
        <v>April 2023</v>
      </c>
    </row>
    <row r="3330" spans="1:14" x14ac:dyDescent="0.25">
      <c r="A3330" s="1">
        <v>45046</v>
      </c>
      <c r="B3330" t="s">
        <v>2942</v>
      </c>
      <c r="C3330">
        <v>76</v>
      </c>
      <c r="D3330" t="s">
        <v>21</v>
      </c>
      <c r="E3330" t="s">
        <v>22</v>
      </c>
      <c r="F3330" t="s">
        <v>16</v>
      </c>
      <c r="G3330" t="s">
        <v>36</v>
      </c>
      <c r="H3330">
        <v>450.44</v>
      </c>
      <c r="I3330" s="8" t="str" cm="1">
        <f t="array" ref="I3330">_xlfn.IFS(C3330&lt;=15,"Children and Young Adolescents", C3330&gt;64, "Seniors", TRUE, "Working Age")</f>
        <v>Seniors</v>
      </c>
      <c r="J3330" s="6">
        <f>VLOOKUP(F3330,Analysis!$F$1:$G$5,2,FALSE)</f>
        <v>2509.1716796874912</v>
      </c>
      <c r="K3330">
        <f t="shared" si="204"/>
        <v>495.48</v>
      </c>
      <c r="L3330">
        <f t="shared" si="205"/>
        <v>495.49</v>
      </c>
      <c r="M3330">
        <f t="shared" si="206"/>
        <v>495.48</v>
      </c>
      <c r="N3330" s="5" t="str">
        <f t="shared" si="207"/>
        <v>April 2023</v>
      </c>
    </row>
    <row r="3331" spans="1:14" x14ac:dyDescent="0.25">
      <c r="A3331" s="1">
        <v>45046</v>
      </c>
      <c r="B3331" t="s">
        <v>1303</v>
      </c>
      <c r="C3331">
        <v>59</v>
      </c>
      <c r="D3331" t="s">
        <v>9</v>
      </c>
      <c r="E3331" t="s">
        <v>19</v>
      </c>
      <c r="F3331" t="s">
        <v>16</v>
      </c>
      <c r="G3331" t="s">
        <v>27</v>
      </c>
      <c r="H3331">
        <v>4891.47</v>
      </c>
      <c r="I3331" s="8" t="str" cm="1">
        <f t="array" ref="I3331">_xlfn.IFS(C3331&lt;=15,"Children and Young Adolescents", C3331&gt;64, "Seniors", TRUE, "Working Age")</f>
        <v>Working Age</v>
      </c>
      <c r="J3331" s="6">
        <f>VLOOKUP(F3331,Analysis!$F$1:$G$5,2,FALSE)</f>
        <v>2509.1716796874912</v>
      </c>
      <c r="K3331">
        <f t="shared" ref="K3331:K3394" si="208">ROUNDDOWN(H3331*1.1,2)</f>
        <v>5380.61</v>
      </c>
      <c r="L3331">
        <f t="shared" ref="L3331:L3394" si="209">ROUNDUP(H3331*1.1,2)</f>
        <v>5380.62</v>
      </c>
      <c r="M3331">
        <f t="shared" ref="M3331:M3394" si="210">ROUND(H3331*1.1,2)</f>
        <v>5380.62</v>
      </c>
      <c r="N3331" s="5" t="str">
        <f t="shared" ref="N3331:N3394" si="211">TEXT(A3331,"mmmm yyyy")</f>
        <v>April 2023</v>
      </c>
    </row>
    <row r="3332" spans="1:14" x14ac:dyDescent="0.25">
      <c r="A3332" s="1">
        <v>45046</v>
      </c>
      <c r="B3332" t="s">
        <v>3467</v>
      </c>
      <c r="C3332">
        <v>70</v>
      </c>
      <c r="D3332" t="s">
        <v>14</v>
      </c>
      <c r="E3332" t="s">
        <v>22</v>
      </c>
      <c r="F3332" t="s">
        <v>16</v>
      </c>
      <c r="G3332" t="s">
        <v>36</v>
      </c>
      <c r="H3332">
        <v>4961.12</v>
      </c>
      <c r="I3332" s="8" t="str" cm="1">
        <f t="array" ref="I3332">_xlfn.IFS(C3332&lt;=15,"Children and Young Adolescents", C3332&gt;64, "Seniors", TRUE, "Working Age")</f>
        <v>Seniors</v>
      </c>
      <c r="J3332" s="6">
        <f>VLOOKUP(F3332,Analysis!$F$1:$G$5,2,FALSE)</f>
        <v>2509.1716796874912</v>
      </c>
      <c r="K3332">
        <f t="shared" si="208"/>
        <v>5457.23</v>
      </c>
      <c r="L3332">
        <f t="shared" si="209"/>
        <v>5457.24</v>
      </c>
      <c r="M3332">
        <f t="shared" si="210"/>
        <v>5457.23</v>
      </c>
      <c r="N3332" s="5" t="str">
        <f t="shared" si="211"/>
        <v>April 2023</v>
      </c>
    </row>
    <row r="3333" spans="1:14" x14ac:dyDescent="0.25">
      <c r="A3333" s="1">
        <v>45047</v>
      </c>
      <c r="B3333" t="s">
        <v>326</v>
      </c>
      <c r="C3333">
        <v>40</v>
      </c>
      <c r="D3333" t="s">
        <v>14</v>
      </c>
      <c r="E3333" t="s">
        <v>34</v>
      </c>
      <c r="F3333" t="s">
        <v>16</v>
      </c>
      <c r="G3333" t="s">
        <v>36</v>
      </c>
      <c r="H3333">
        <v>2286.15</v>
      </c>
      <c r="I3333" s="8" t="str" cm="1">
        <f t="array" ref="I3333">_xlfn.IFS(C3333&lt;=15,"Children and Young Adolescents", C3333&gt;64, "Seniors", TRUE, "Working Age")</f>
        <v>Working Age</v>
      </c>
      <c r="J3333" s="6">
        <f>VLOOKUP(F3333,Analysis!$F$1:$G$5,2,FALSE)</f>
        <v>2509.1716796874912</v>
      </c>
      <c r="K3333">
        <f t="shared" si="208"/>
        <v>2514.7600000000002</v>
      </c>
      <c r="L3333">
        <f t="shared" si="209"/>
        <v>2514.7700000000004</v>
      </c>
      <c r="M3333">
        <f t="shared" si="210"/>
        <v>2514.77</v>
      </c>
      <c r="N3333" s="5" t="str">
        <f t="shared" si="211"/>
        <v>May 2023</v>
      </c>
    </row>
    <row r="3334" spans="1:14" x14ac:dyDescent="0.25">
      <c r="A3334" s="1">
        <v>45047</v>
      </c>
      <c r="B3334" t="s">
        <v>4644</v>
      </c>
      <c r="C3334">
        <v>45</v>
      </c>
      <c r="D3334" t="s">
        <v>21</v>
      </c>
      <c r="E3334" t="s">
        <v>32</v>
      </c>
      <c r="F3334" t="s">
        <v>16</v>
      </c>
      <c r="G3334" t="s">
        <v>39</v>
      </c>
      <c r="H3334">
        <v>3568.19</v>
      </c>
      <c r="I3334" s="8" t="str" cm="1">
        <f t="array" ref="I3334">_xlfn.IFS(C3334&lt;=15,"Children and Young Adolescents", C3334&gt;64, "Seniors", TRUE, "Working Age")</f>
        <v>Working Age</v>
      </c>
      <c r="J3334" s="6">
        <f>VLOOKUP(F3334,Analysis!$F$1:$G$5,2,FALSE)</f>
        <v>2509.1716796874912</v>
      </c>
      <c r="K3334">
        <f t="shared" si="208"/>
        <v>3925</v>
      </c>
      <c r="L3334">
        <f t="shared" si="209"/>
        <v>3925.01</v>
      </c>
      <c r="M3334">
        <f t="shared" si="210"/>
        <v>3925.01</v>
      </c>
      <c r="N3334" s="5" t="str">
        <f t="shared" si="211"/>
        <v>May 2023</v>
      </c>
    </row>
    <row r="3335" spans="1:14" x14ac:dyDescent="0.25">
      <c r="A3335" s="1">
        <v>45047</v>
      </c>
      <c r="B3335" t="s">
        <v>2309</v>
      </c>
      <c r="C3335">
        <v>13</v>
      </c>
      <c r="D3335" t="s">
        <v>9</v>
      </c>
      <c r="E3335" t="s">
        <v>10</v>
      </c>
      <c r="F3335" t="s">
        <v>29</v>
      </c>
      <c r="G3335" t="s">
        <v>39</v>
      </c>
      <c r="H3335">
        <v>4534.84</v>
      </c>
      <c r="I3335" s="8" t="str" cm="1">
        <f t="array" ref="I3335">_xlfn.IFS(C3335&lt;=15,"Children and Young Adolescents", C3335&gt;64, "Seniors", TRUE, "Working Age")</f>
        <v>Children and Young Adolescents</v>
      </c>
      <c r="J3335" s="6">
        <f>VLOOKUP(F3335,Analysis!$F$1:$G$5,2,FALSE)</f>
        <v>2496.7676064256989</v>
      </c>
      <c r="K3335">
        <f t="shared" si="208"/>
        <v>4988.32</v>
      </c>
      <c r="L3335">
        <f t="shared" si="209"/>
        <v>4988.33</v>
      </c>
      <c r="M3335">
        <f t="shared" si="210"/>
        <v>4988.32</v>
      </c>
      <c r="N3335" s="5" t="str">
        <f t="shared" si="211"/>
        <v>May 2023</v>
      </c>
    </row>
    <row r="3336" spans="1:14" x14ac:dyDescent="0.25">
      <c r="A3336" s="1">
        <v>45047</v>
      </c>
      <c r="B3336" t="s">
        <v>4416</v>
      </c>
      <c r="C3336">
        <v>25</v>
      </c>
      <c r="D3336" t="s">
        <v>14</v>
      </c>
      <c r="E3336" t="s">
        <v>15</v>
      </c>
      <c r="F3336" t="s">
        <v>11</v>
      </c>
      <c r="G3336" t="s">
        <v>27</v>
      </c>
      <c r="H3336">
        <v>3107.24</v>
      </c>
      <c r="I3336" s="8" t="str" cm="1">
        <f t="array" ref="I3336">_xlfn.IFS(C3336&lt;=15,"Children and Young Adolescents", C3336&gt;64, "Seniors", TRUE, "Working Age")</f>
        <v>Working Age</v>
      </c>
      <c r="J3336" s="6">
        <f>VLOOKUP(F3336,Analysis!$F$1:$G$5,2,FALSE)</f>
        <v>2503.6022787783854</v>
      </c>
      <c r="K3336">
        <f t="shared" si="208"/>
        <v>3417.96</v>
      </c>
      <c r="L3336">
        <f t="shared" si="209"/>
        <v>3417.9700000000003</v>
      </c>
      <c r="M3336">
        <f t="shared" si="210"/>
        <v>3417.96</v>
      </c>
      <c r="N3336" s="5" t="str">
        <f t="shared" si="211"/>
        <v>May 2023</v>
      </c>
    </row>
    <row r="3337" spans="1:14" x14ac:dyDescent="0.25">
      <c r="A3337" s="1">
        <v>45047</v>
      </c>
      <c r="B3337" t="s">
        <v>528</v>
      </c>
      <c r="C3337">
        <v>66</v>
      </c>
      <c r="D3337" t="s">
        <v>9</v>
      </c>
      <c r="E3337" t="s">
        <v>25</v>
      </c>
      <c r="F3337" t="s">
        <v>23</v>
      </c>
      <c r="G3337" t="s">
        <v>27</v>
      </c>
      <c r="H3337">
        <v>3061.86</v>
      </c>
      <c r="I3337" s="8" t="str" cm="1">
        <f t="array" ref="I3337">_xlfn.IFS(C3337&lt;=15,"Children and Young Adolescents", C3337&gt;64, "Seniors", TRUE, "Working Age")</f>
        <v>Seniors</v>
      </c>
      <c r="J3337" s="6">
        <f>VLOOKUP(F3337,Analysis!$F$1:$G$5,2,FALSE)</f>
        <v>2440.2966694490838</v>
      </c>
      <c r="K3337">
        <f t="shared" si="208"/>
        <v>3368.04</v>
      </c>
      <c r="L3337">
        <f t="shared" si="209"/>
        <v>3368.05</v>
      </c>
      <c r="M3337">
        <f t="shared" si="210"/>
        <v>3368.05</v>
      </c>
      <c r="N3337" s="5" t="str">
        <f t="shared" si="211"/>
        <v>May 2023</v>
      </c>
    </row>
    <row r="3338" spans="1:14" x14ac:dyDescent="0.25">
      <c r="A3338" s="1">
        <v>45047</v>
      </c>
      <c r="B3338" t="s">
        <v>3474</v>
      </c>
      <c r="C3338">
        <v>65</v>
      </c>
      <c r="D3338" t="s">
        <v>21</v>
      </c>
      <c r="E3338" t="s">
        <v>32</v>
      </c>
      <c r="F3338" t="s">
        <v>16</v>
      </c>
      <c r="G3338" t="s">
        <v>17</v>
      </c>
      <c r="H3338">
        <v>2452.89</v>
      </c>
      <c r="I3338" s="8" t="str" cm="1">
        <f t="array" ref="I3338">_xlfn.IFS(C3338&lt;=15,"Children and Young Adolescents", C3338&gt;64, "Seniors", TRUE, "Working Age")</f>
        <v>Seniors</v>
      </c>
      <c r="J3338" s="6">
        <f>VLOOKUP(F3338,Analysis!$F$1:$G$5,2,FALSE)</f>
        <v>2509.1716796874912</v>
      </c>
      <c r="K3338">
        <f t="shared" si="208"/>
        <v>2698.17</v>
      </c>
      <c r="L3338">
        <f t="shared" si="209"/>
        <v>2698.1800000000003</v>
      </c>
      <c r="M3338">
        <f t="shared" si="210"/>
        <v>2698.18</v>
      </c>
      <c r="N3338" s="5" t="str">
        <f t="shared" si="211"/>
        <v>May 2023</v>
      </c>
    </row>
    <row r="3339" spans="1:14" x14ac:dyDescent="0.25">
      <c r="A3339" s="1">
        <v>45047</v>
      </c>
      <c r="B3339" t="s">
        <v>590</v>
      </c>
      <c r="C3339">
        <v>8</v>
      </c>
      <c r="D3339" t="s">
        <v>9</v>
      </c>
      <c r="E3339" t="s">
        <v>19</v>
      </c>
      <c r="F3339" t="s">
        <v>23</v>
      </c>
      <c r="G3339" t="s">
        <v>17</v>
      </c>
      <c r="H3339">
        <v>737.32</v>
      </c>
      <c r="I3339" s="8" t="str" cm="1">
        <f t="array" ref="I3339">_xlfn.IFS(C3339&lt;=15,"Children and Young Adolescents", C3339&gt;64, "Seniors", TRUE, "Working Age")</f>
        <v>Children and Young Adolescents</v>
      </c>
      <c r="J3339" s="6">
        <f>VLOOKUP(F3339,Analysis!$F$1:$G$5,2,FALSE)</f>
        <v>2440.2966694490838</v>
      </c>
      <c r="K3339">
        <f t="shared" si="208"/>
        <v>811.05</v>
      </c>
      <c r="L3339">
        <f t="shared" si="209"/>
        <v>811.06</v>
      </c>
      <c r="M3339">
        <f t="shared" si="210"/>
        <v>811.05</v>
      </c>
      <c r="N3339" s="5" t="str">
        <f t="shared" si="211"/>
        <v>May 2023</v>
      </c>
    </row>
    <row r="3340" spans="1:14" x14ac:dyDescent="0.25">
      <c r="A3340" s="1">
        <v>45048</v>
      </c>
      <c r="B3340" t="s">
        <v>1925</v>
      </c>
      <c r="C3340">
        <v>46</v>
      </c>
      <c r="D3340" t="s">
        <v>14</v>
      </c>
      <c r="E3340" t="s">
        <v>5032</v>
      </c>
      <c r="F3340" t="s">
        <v>11</v>
      </c>
      <c r="G3340" t="s">
        <v>36</v>
      </c>
      <c r="H3340">
        <v>3124.86</v>
      </c>
      <c r="I3340" s="8" t="str" cm="1">
        <f t="array" ref="I3340">_xlfn.IFS(C3340&lt;=15,"Children and Young Adolescents", C3340&gt;64, "Seniors", TRUE, "Working Age")</f>
        <v>Working Age</v>
      </c>
      <c r="J3340" s="6">
        <f>VLOOKUP(F3340,Analysis!$F$1:$G$5,2,FALSE)</f>
        <v>2503.6022787783854</v>
      </c>
      <c r="K3340">
        <f t="shared" si="208"/>
        <v>3437.34</v>
      </c>
      <c r="L3340">
        <f t="shared" si="209"/>
        <v>3437.3500000000004</v>
      </c>
      <c r="M3340">
        <f t="shared" si="210"/>
        <v>3437.35</v>
      </c>
      <c r="N3340" s="5" t="str">
        <f t="shared" si="211"/>
        <v>May 2023</v>
      </c>
    </row>
    <row r="3341" spans="1:14" x14ac:dyDescent="0.25">
      <c r="A3341" s="1">
        <v>45048</v>
      </c>
      <c r="B3341" t="s">
        <v>5011</v>
      </c>
      <c r="C3341">
        <v>56</v>
      </c>
      <c r="D3341" t="s">
        <v>21</v>
      </c>
      <c r="E3341" t="s">
        <v>10</v>
      </c>
      <c r="F3341" t="s">
        <v>11</v>
      </c>
      <c r="G3341" t="s">
        <v>36</v>
      </c>
      <c r="H3341">
        <v>4292.05</v>
      </c>
      <c r="I3341" s="8" t="str" cm="1">
        <f t="array" ref="I3341">_xlfn.IFS(C3341&lt;=15,"Children and Young Adolescents", C3341&gt;64, "Seniors", TRUE, "Working Age")</f>
        <v>Working Age</v>
      </c>
      <c r="J3341" s="6">
        <f>VLOOKUP(F3341,Analysis!$F$1:$G$5,2,FALSE)</f>
        <v>2503.6022787783854</v>
      </c>
      <c r="K3341">
        <f t="shared" si="208"/>
        <v>4721.25</v>
      </c>
      <c r="L3341">
        <f t="shared" si="209"/>
        <v>4721.26</v>
      </c>
      <c r="M3341">
        <f t="shared" si="210"/>
        <v>4721.26</v>
      </c>
      <c r="N3341" s="5" t="str">
        <f t="shared" si="211"/>
        <v>May 2023</v>
      </c>
    </row>
    <row r="3342" spans="1:14" x14ac:dyDescent="0.25">
      <c r="A3342" s="1">
        <v>45048</v>
      </c>
      <c r="B3342" t="s">
        <v>108</v>
      </c>
      <c r="C3342">
        <v>39</v>
      </c>
      <c r="D3342" t="s">
        <v>9</v>
      </c>
      <c r="E3342" t="s">
        <v>22</v>
      </c>
      <c r="F3342" t="s">
        <v>23</v>
      </c>
      <c r="G3342" t="s">
        <v>36</v>
      </c>
      <c r="H3342">
        <v>551.36</v>
      </c>
      <c r="I3342" s="8" t="str" cm="1">
        <f t="array" ref="I3342">_xlfn.IFS(C3342&lt;=15,"Children and Young Adolescents", C3342&gt;64, "Seniors", TRUE, "Working Age")</f>
        <v>Working Age</v>
      </c>
      <c r="J3342" s="6">
        <f>VLOOKUP(F3342,Analysis!$F$1:$G$5,2,FALSE)</f>
        <v>2440.2966694490838</v>
      </c>
      <c r="K3342">
        <f t="shared" si="208"/>
        <v>606.49</v>
      </c>
      <c r="L3342">
        <f t="shared" si="209"/>
        <v>606.5</v>
      </c>
      <c r="M3342">
        <f t="shared" si="210"/>
        <v>606.5</v>
      </c>
      <c r="N3342" s="5" t="str">
        <f t="shared" si="211"/>
        <v>May 2023</v>
      </c>
    </row>
    <row r="3343" spans="1:14" x14ac:dyDescent="0.25">
      <c r="A3343" s="1">
        <v>45048</v>
      </c>
      <c r="B3343" t="s">
        <v>1575</v>
      </c>
      <c r="C3343">
        <v>36</v>
      </c>
      <c r="D3343" t="s">
        <v>14</v>
      </c>
      <c r="E3343" t="s">
        <v>34</v>
      </c>
      <c r="F3343" t="s">
        <v>23</v>
      </c>
      <c r="G3343" t="s">
        <v>12</v>
      </c>
      <c r="H3343">
        <v>2327.11</v>
      </c>
      <c r="I3343" s="8" t="str" cm="1">
        <f t="array" ref="I3343">_xlfn.IFS(C3343&lt;=15,"Children and Young Adolescents", C3343&gt;64, "Seniors", TRUE, "Working Age")</f>
        <v>Working Age</v>
      </c>
      <c r="J3343" s="6">
        <f>VLOOKUP(F3343,Analysis!$F$1:$G$5,2,FALSE)</f>
        <v>2440.2966694490838</v>
      </c>
      <c r="K3343">
        <f t="shared" si="208"/>
        <v>2559.8200000000002</v>
      </c>
      <c r="L3343">
        <f t="shared" si="209"/>
        <v>2559.8300000000004</v>
      </c>
      <c r="M3343">
        <f t="shared" si="210"/>
        <v>2559.8200000000002</v>
      </c>
      <c r="N3343" s="5" t="str">
        <f t="shared" si="211"/>
        <v>May 2023</v>
      </c>
    </row>
    <row r="3344" spans="1:14" x14ac:dyDescent="0.25">
      <c r="A3344" s="1">
        <v>45048</v>
      </c>
      <c r="B3344" t="s">
        <v>2179</v>
      </c>
      <c r="C3344">
        <v>27</v>
      </c>
      <c r="D3344" t="s">
        <v>21</v>
      </c>
      <c r="E3344" t="s">
        <v>19</v>
      </c>
      <c r="F3344" t="s">
        <v>11</v>
      </c>
      <c r="G3344" t="s">
        <v>12</v>
      </c>
      <c r="H3344">
        <v>3766.07</v>
      </c>
      <c r="I3344" s="8" t="str" cm="1">
        <f t="array" ref="I3344">_xlfn.IFS(C3344&lt;=15,"Children and Young Adolescents", C3344&gt;64, "Seniors", TRUE, "Working Age")</f>
        <v>Working Age</v>
      </c>
      <c r="J3344" s="6">
        <f>VLOOKUP(F3344,Analysis!$F$1:$G$5,2,FALSE)</f>
        <v>2503.6022787783854</v>
      </c>
      <c r="K3344">
        <f t="shared" si="208"/>
        <v>4142.67</v>
      </c>
      <c r="L3344">
        <f t="shared" si="209"/>
        <v>4142.68</v>
      </c>
      <c r="M3344">
        <f t="shared" si="210"/>
        <v>4142.68</v>
      </c>
      <c r="N3344" s="5" t="str">
        <f t="shared" si="211"/>
        <v>May 2023</v>
      </c>
    </row>
    <row r="3345" spans="1:14" x14ac:dyDescent="0.25">
      <c r="A3345" s="1">
        <v>45048</v>
      </c>
      <c r="B3345" t="s">
        <v>3416</v>
      </c>
      <c r="C3345">
        <v>1</v>
      </c>
      <c r="D3345" t="s">
        <v>9</v>
      </c>
      <c r="E3345" t="s">
        <v>32</v>
      </c>
      <c r="F3345" t="s">
        <v>16</v>
      </c>
      <c r="G3345" t="s">
        <v>39</v>
      </c>
      <c r="H3345">
        <v>2446.35</v>
      </c>
      <c r="I3345" s="8" t="str" cm="1">
        <f t="array" ref="I3345">_xlfn.IFS(C3345&lt;=15,"Children and Young Adolescents", C3345&gt;64, "Seniors", TRUE, "Working Age")</f>
        <v>Children and Young Adolescents</v>
      </c>
      <c r="J3345" s="6">
        <f>VLOOKUP(F3345,Analysis!$F$1:$G$5,2,FALSE)</f>
        <v>2509.1716796874912</v>
      </c>
      <c r="K3345">
        <f t="shared" si="208"/>
        <v>2690.98</v>
      </c>
      <c r="L3345">
        <f t="shared" si="209"/>
        <v>2690.9900000000002</v>
      </c>
      <c r="M3345">
        <f t="shared" si="210"/>
        <v>2690.99</v>
      </c>
      <c r="N3345" s="5" t="str">
        <f t="shared" si="211"/>
        <v>May 2023</v>
      </c>
    </row>
    <row r="3346" spans="1:14" x14ac:dyDescent="0.25">
      <c r="A3346" s="1">
        <v>45048</v>
      </c>
      <c r="B3346" t="s">
        <v>3110</v>
      </c>
      <c r="C3346">
        <v>2</v>
      </c>
      <c r="D3346" t="s">
        <v>14</v>
      </c>
      <c r="E3346" t="s">
        <v>19</v>
      </c>
      <c r="F3346" t="s">
        <v>11</v>
      </c>
      <c r="G3346" t="s">
        <v>27</v>
      </c>
      <c r="H3346">
        <v>3430.29</v>
      </c>
      <c r="I3346" s="8" t="str" cm="1">
        <f t="array" ref="I3346">_xlfn.IFS(C3346&lt;=15,"Children and Young Adolescents", C3346&gt;64, "Seniors", TRUE, "Working Age")</f>
        <v>Children and Young Adolescents</v>
      </c>
      <c r="J3346" s="6">
        <f>VLOOKUP(F3346,Analysis!$F$1:$G$5,2,FALSE)</f>
        <v>2503.6022787783854</v>
      </c>
      <c r="K3346">
        <f t="shared" si="208"/>
        <v>3773.31</v>
      </c>
      <c r="L3346">
        <f t="shared" si="209"/>
        <v>3773.32</v>
      </c>
      <c r="M3346">
        <f t="shared" si="210"/>
        <v>3773.32</v>
      </c>
      <c r="N3346" s="5" t="str">
        <f t="shared" si="211"/>
        <v>May 2023</v>
      </c>
    </row>
    <row r="3347" spans="1:14" x14ac:dyDescent="0.25">
      <c r="A3347" s="1">
        <v>45048</v>
      </c>
      <c r="B3347" t="s">
        <v>2846</v>
      </c>
      <c r="C3347">
        <v>33</v>
      </c>
      <c r="D3347" t="s">
        <v>9</v>
      </c>
      <c r="E3347" t="s">
        <v>34</v>
      </c>
      <c r="F3347" t="s">
        <v>29</v>
      </c>
      <c r="G3347" t="s">
        <v>36</v>
      </c>
      <c r="H3347">
        <v>2510.98</v>
      </c>
      <c r="I3347" s="8" t="str" cm="1">
        <f t="array" ref="I3347">_xlfn.IFS(C3347&lt;=15,"Children and Young Adolescents", C3347&gt;64, "Seniors", TRUE, "Working Age")</f>
        <v>Working Age</v>
      </c>
      <c r="J3347" s="6">
        <f>VLOOKUP(F3347,Analysis!$F$1:$G$5,2,FALSE)</f>
        <v>2496.7676064256989</v>
      </c>
      <c r="K3347">
        <f t="shared" si="208"/>
        <v>2762.07</v>
      </c>
      <c r="L3347">
        <f t="shared" si="209"/>
        <v>2762.0800000000004</v>
      </c>
      <c r="M3347">
        <f t="shared" si="210"/>
        <v>2762.08</v>
      </c>
      <c r="N3347" s="5" t="str">
        <f t="shared" si="211"/>
        <v>May 2023</v>
      </c>
    </row>
    <row r="3348" spans="1:14" x14ac:dyDescent="0.25">
      <c r="A3348" s="1">
        <v>45049</v>
      </c>
      <c r="B3348" t="s">
        <v>1622</v>
      </c>
      <c r="C3348">
        <v>52</v>
      </c>
      <c r="D3348" t="s">
        <v>21</v>
      </c>
      <c r="E3348" t="s">
        <v>15</v>
      </c>
      <c r="F3348" t="s">
        <v>23</v>
      </c>
      <c r="G3348" t="s">
        <v>36</v>
      </c>
      <c r="H3348">
        <v>144.01</v>
      </c>
      <c r="I3348" s="8" t="str" cm="1">
        <f t="array" ref="I3348">_xlfn.IFS(C3348&lt;=15,"Children and Young Adolescents", C3348&gt;64, "Seniors", TRUE, "Working Age")</f>
        <v>Working Age</v>
      </c>
      <c r="J3348" s="6">
        <f>VLOOKUP(F3348,Analysis!$F$1:$G$5,2,FALSE)</f>
        <v>2440.2966694490838</v>
      </c>
      <c r="K3348">
        <f t="shared" si="208"/>
        <v>158.41</v>
      </c>
      <c r="L3348">
        <f t="shared" si="209"/>
        <v>158.41999999999999</v>
      </c>
      <c r="M3348">
        <f t="shared" si="210"/>
        <v>158.41</v>
      </c>
      <c r="N3348" s="5" t="str">
        <f t="shared" si="211"/>
        <v>May 2023</v>
      </c>
    </row>
    <row r="3349" spans="1:14" x14ac:dyDescent="0.25">
      <c r="A3349" s="1">
        <v>45049</v>
      </c>
      <c r="B3349" t="s">
        <v>3421</v>
      </c>
      <c r="C3349">
        <v>76</v>
      </c>
      <c r="D3349" t="s">
        <v>14</v>
      </c>
      <c r="E3349" t="s">
        <v>5032</v>
      </c>
      <c r="F3349" t="s">
        <v>11</v>
      </c>
      <c r="G3349" t="s">
        <v>36</v>
      </c>
      <c r="H3349">
        <v>707.91</v>
      </c>
      <c r="I3349" s="8" t="str" cm="1">
        <f t="array" ref="I3349">_xlfn.IFS(C3349&lt;=15,"Children and Young Adolescents", C3349&gt;64, "Seniors", TRUE, "Working Age")</f>
        <v>Seniors</v>
      </c>
      <c r="J3349" s="6">
        <f>VLOOKUP(F3349,Analysis!$F$1:$G$5,2,FALSE)</f>
        <v>2503.6022787783854</v>
      </c>
      <c r="K3349">
        <f t="shared" si="208"/>
        <v>778.7</v>
      </c>
      <c r="L3349">
        <f t="shared" si="209"/>
        <v>778.71</v>
      </c>
      <c r="M3349">
        <f t="shared" si="210"/>
        <v>778.7</v>
      </c>
      <c r="N3349" s="5" t="str">
        <f t="shared" si="211"/>
        <v>May 2023</v>
      </c>
    </row>
    <row r="3350" spans="1:14" x14ac:dyDescent="0.25">
      <c r="A3350" s="1">
        <v>45049</v>
      </c>
      <c r="B3350" t="s">
        <v>301</v>
      </c>
      <c r="C3350">
        <v>20</v>
      </c>
      <c r="D3350" t="s">
        <v>9</v>
      </c>
      <c r="E3350" t="s">
        <v>22</v>
      </c>
      <c r="F3350" t="s">
        <v>29</v>
      </c>
      <c r="G3350" t="s">
        <v>36</v>
      </c>
      <c r="H3350">
        <v>723.74</v>
      </c>
      <c r="I3350" s="8" t="str" cm="1">
        <f t="array" ref="I3350">_xlfn.IFS(C3350&lt;=15,"Children and Young Adolescents", C3350&gt;64, "Seniors", TRUE, "Working Age")</f>
        <v>Working Age</v>
      </c>
      <c r="J3350" s="6">
        <f>VLOOKUP(F3350,Analysis!$F$1:$G$5,2,FALSE)</f>
        <v>2496.7676064256989</v>
      </c>
      <c r="K3350">
        <f t="shared" si="208"/>
        <v>796.11</v>
      </c>
      <c r="L3350">
        <f t="shared" si="209"/>
        <v>796.12</v>
      </c>
      <c r="M3350">
        <f t="shared" si="210"/>
        <v>796.11</v>
      </c>
      <c r="N3350" s="5" t="str">
        <f t="shared" si="211"/>
        <v>May 2023</v>
      </c>
    </row>
    <row r="3351" spans="1:14" x14ac:dyDescent="0.25">
      <c r="A3351" s="1">
        <v>45050</v>
      </c>
      <c r="B3351" t="s">
        <v>203</v>
      </c>
      <c r="C3351">
        <v>32</v>
      </c>
      <c r="D3351" t="s">
        <v>14</v>
      </c>
      <c r="E3351" t="s">
        <v>22</v>
      </c>
      <c r="F3351" t="s">
        <v>16</v>
      </c>
      <c r="G3351" t="s">
        <v>36</v>
      </c>
      <c r="H3351">
        <v>1839.59</v>
      </c>
      <c r="I3351" s="8" t="str" cm="1">
        <f t="array" ref="I3351">_xlfn.IFS(C3351&lt;=15,"Children and Young Adolescents", C3351&gt;64, "Seniors", TRUE, "Working Age")</f>
        <v>Working Age</v>
      </c>
      <c r="J3351" s="6">
        <f>VLOOKUP(F3351,Analysis!$F$1:$G$5,2,FALSE)</f>
        <v>2509.1716796874912</v>
      </c>
      <c r="K3351">
        <f t="shared" si="208"/>
        <v>2023.54</v>
      </c>
      <c r="L3351">
        <f t="shared" si="209"/>
        <v>2023.55</v>
      </c>
      <c r="M3351">
        <f t="shared" si="210"/>
        <v>2023.55</v>
      </c>
      <c r="N3351" s="5" t="str">
        <f t="shared" si="211"/>
        <v>May 2023</v>
      </c>
    </row>
    <row r="3352" spans="1:14" x14ac:dyDescent="0.25">
      <c r="A3352" s="1">
        <v>45050</v>
      </c>
      <c r="B3352" t="s">
        <v>1429</v>
      </c>
      <c r="C3352">
        <v>68</v>
      </c>
      <c r="D3352" t="s">
        <v>21</v>
      </c>
      <c r="E3352" t="s">
        <v>34</v>
      </c>
      <c r="F3352" t="s">
        <v>11</v>
      </c>
      <c r="G3352" t="s">
        <v>36</v>
      </c>
      <c r="H3352">
        <v>4632.34</v>
      </c>
      <c r="I3352" s="8" t="str" cm="1">
        <f t="array" ref="I3352">_xlfn.IFS(C3352&lt;=15,"Children and Young Adolescents", C3352&gt;64, "Seniors", TRUE, "Working Age")</f>
        <v>Seniors</v>
      </c>
      <c r="J3352" s="6">
        <f>VLOOKUP(F3352,Analysis!$F$1:$G$5,2,FALSE)</f>
        <v>2503.6022787783854</v>
      </c>
      <c r="K3352">
        <f t="shared" si="208"/>
        <v>5095.57</v>
      </c>
      <c r="L3352">
        <f t="shared" si="209"/>
        <v>5095.58</v>
      </c>
      <c r="M3352">
        <f t="shared" si="210"/>
        <v>5095.57</v>
      </c>
      <c r="N3352" s="5" t="str">
        <f t="shared" si="211"/>
        <v>May 2023</v>
      </c>
    </row>
    <row r="3353" spans="1:14" x14ac:dyDescent="0.25">
      <c r="A3353" s="1">
        <v>45050</v>
      </c>
      <c r="B3353" t="s">
        <v>2447</v>
      </c>
      <c r="C3353">
        <v>24</v>
      </c>
      <c r="D3353" t="s">
        <v>9</v>
      </c>
      <c r="E3353" t="s">
        <v>19</v>
      </c>
      <c r="F3353" t="s">
        <v>11</v>
      </c>
      <c r="G3353" t="s">
        <v>36</v>
      </c>
      <c r="H3353">
        <v>4305.88</v>
      </c>
      <c r="I3353" s="8" t="str" cm="1">
        <f t="array" ref="I3353">_xlfn.IFS(C3353&lt;=15,"Children and Young Adolescents", C3353&gt;64, "Seniors", TRUE, "Working Age")</f>
        <v>Working Age</v>
      </c>
      <c r="J3353" s="6">
        <f>VLOOKUP(F3353,Analysis!$F$1:$G$5,2,FALSE)</f>
        <v>2503.6022787783854</v>
      </c>
      <c r="K3353">
        <f t="shared" si="208"/>
        <v>4736.46</v>
      </c>
      <c r="L3353">
        <f t="shared" si="209"/>
        <v>4736.47</v>
      </c>
      <c r="M3353">
        <f t="shared" si="210"/>
        <v>4736.47</v>
      </c>
      <c r="N3353" s="5" t="str">
        <f t="shared" si="211"/>
        <v>May 2023</v>
      </c>
    </row>
    <row r="3354" spans="1:14" x14ac:dyDescent="0.25">
      <c r="A3354" s="1">
        <v>45050</v>
      </c>
      <c r="B3354" t="s">
        <v>554</v>
      </c>
      <c r="C3354">
        <v>77</v>
      </c>
      <c r="D3354" t="s">
        <v>14</v>
      </c>
      <c r="E3354" t="s">
        <v>22</v>
      </c>
      <c r="F3354" t="s">
        <v>11</v>
      </c>
      <c r="G3354" t="s">
        <v>39</v>
      </c>
      <c r="H3354">
        <v>3853.7</v>
      </c>
      <c r="I3354" s="8" t="str" cm="1">
        <f t="array" ref="I3354">_xlfn.IFS(C3354&lt;=15,"Children and Young Adolescents", C3354&gt;64, "Seniors", TRUE, "Working Age")</f>
        <v>Seniors</v>
      </c>
      <c r="J3354" s="6">
        <f>VLOOKUP(F3354,Analysis!$F$1:$G$5,2,FALSE)</f>
        <v>2503.6022787783854</v>
      </c>
      <c r="K3354">
        <f t="shared" si="208"/>
        <v>4239.07</v>
      </c>
      <c r="L3354">
        <f t="shared" si="209"/>
        <v>4239.07</v>
      </c>
      <c r="M3354">
        <f t="shared" si="210"/>
        <v>4239.07</v>
      </c>
      <c r="N3354" s="5" t="str">
        <f t="shared" si="211"/>
        <v>May 2023</v>
      </c>
    </row>
    <row r="3355" spans="1:14" x14ac:dyDescent="0.25">
      <c r="A3355" s="1">
        <v>45050</v>
      </c>
      <c r="B3355" t="s">
        <v>4000</v>
      </c>
      <c r="C3355">
        <v>52</v>
      </c>
      <c r="D3355" t="s">
        <v>9</v>
      </c>
      <c r="E3355" t="s">
        <v>34</v>
      </c>
      <c r="F3355" t="s">
        <v>29</v>
      </c>
      <c r="G3355" t="s">
        <v>39</v>
      </c>
      <c r="H3355">
        <v>4051.22</v>
      </c>
      <c r="I3355" s="8" t="str" cm="1">
        <f t="array" ref="I3355">_xlfn.IFS(C3355&lt;=15,"Children and Young Adolescents", C3355&gt;64, "Seniors", TRUE, "Working Age")</f>
        <v>Working Age</v>
      </c>
      <c r="J3355" s="6">
        <f>VLOOKUP(F3355,Analysis!$F$1:$G$5,2,FALSE)</f>
        <v>2496.7676064256989</v>
      </c>
      <c r="K3355">
        <f t="shared" si="208"/>
        <v>4456.34</v>
      </c>
      <c r="L3355">
        <f t="shared" si="209"/>
        <v>4456.3500000000004</v>
      </c>
      <c r="M3355">
        <f t="shared" si="210"/>
        <v>4456.34</v>
      </c>
      <c r="N3355" s="5" t="str">
        <f t="shared" si="211"/>
        <v>May 2023</v>
      </c>
    </row>
    <row r="3356" spans="1:14" x14ac:dyDescent="0.25">
      <c r="A3356" s="1">
        <v>45050</v>
      </c>
      <c r="B3356" t="s">
        <v>1246</v>
      </c>
      <c r="C3356">
        <v>18</v>
      </c>
      <c r="D3356" t="s">
        <v>14</v>
      </c>
      <c r="E3356" t="s">
        <v>25</v>
      </c>
      <c r="F3356" t="s">
        <v>16</v>
      </c>
      <c r="G3356" t="s">
        <v>39</v>
      </c>
      <c r="H3356">
        <v>3015.71</v>
      </c>
      <c r="I3356" s="8" t="str" cm="1">
        <f t="array" ref="I3356">_xlfn.IFS(C3356&lt;=15,"Children and Young Adolescents", C3356&gt;64, "Seniors", TRUE, "Working Age")</f>
        <v>Working Age</v>
      </c>
      <c r="J3356" s="6">
        <f>VLOOKUP(F3356,Analysis!$F$1:$G$5,2,FALSE)</f>
        <v>2509.1716796874912</v>
      </c>
      <c r="K3356">
        <f t="shared" si="208"/>
        <v>3317.28</v>
      </c>
      <c r="L3356">
        <f t="shared" si="209"/>
        <v>3317.2900000000004</v>
      </c>
      <c r="M3356">
        <f t="shared" si="210"/>
        <v>3317.28</v>
      </c>
      <c r="N3356" s="5" t="str">
        <f t="shared" si="211"/>
        <v>May 2023</v>
      </c>
    </row>
    <row r="3357" spans="1:14" x14ac:dyDescent="0.25">
      <c r="A3357" s="1">
        <v>45050</v>
      </c>
      <c r="B3357" t="s">
        <v>1549</v>
      </c>
      <c r="C3357">
        <v>24</v>
      </c>
      <c r="D3357" t="s">
        <v>21</v>
      </c>
      <c r="E3357" t="s">
        <v>15</v>
      </c>
      <c r="F3357" t="s">
        <v>29</v>
      </c>
      <c r="G3357" t="s">
        <v>36</v>
      </c>
      <c r="H3357">
        <v>1004.23</v>
      </c>
      <c r="I3357" s="8" t="str" cm="1">
        <f t="array" ref="I3357">_xlfn.IFS(C3357&lt;=15,"Children and Young Adolescents", C3357&gt;64, "Seniors", TRUE, "Working Age")</f>
        <v>Working Age</v>
      </c>
      <c r="J3357" s="6">
        <f>VLOOKUP(F3357,Analysis!$F$1:$G$5,2,FALSE)</f>
        <v>2496.7676064256989</v>
      </c>
      <c r="K3357">
        <f t="shared" si="208"/>
        <v>1104.6500000000001</v>
      </c>
      <c r="L3357">
        <f t="shared" si="209"/>
        <v>1104.6600000000001</v>
      </c>
      <c r="M3357">
        <f t="shared" si="210"/>
        <v>1104.6500000000001</v>
      </c>
      <c r="N3357" s="5" t="str">
        <f t="shared" si="211"/>
        <v>May 2023</v>
      </c>
    </row>
    <row r="3358" spans="1:14" x14ac:dyDescent="0.25">
      <c r="A3358" s="1">
        <v>45050</v>
      </c>
      <c r="B3358" t="s">
        <v>1876</v>
      </c>
      <c r="C3358">
        <v>23</v>
      </c>
      <c r="D3358" t="s">
        <v>14</v>
      </c>
      <c r="E3358" t="s">
        <v>25</v>
      </c>
      <c r="F3358" t="s">
        <v>16</v>
      </c>
      <c r="G3358" t="s">
        <v>17</v>
      </c>
      <c r="H3358">
        <v>4481.66</v>
      </c>
      <c r="I3358" s="8" t="str" cm="1">
        <f t="array" ref="I3358">_xlfn.IFS(C3358&lt;=15,"Children and Young Adolescents", C3358&gt;64, "Seniors", TRUE, "Working Age")</f>
        <v>Working Age</v>
      </c>
      <c r="J3358" s="6">
        <f>VLOOKUP(F3358,Analysis!$F$1:$G$5,2,FALSE)</f>
        <v>2509.1716796874912</v>
      </c>
      <c r="K3358">
        <f t="shared" si="208"/>
        <v>4929.82</v>
      </c>
      <c r="L3358">
        <f t="shared" si="209"/>
        <v>4929.83</v>
      </c>
      <c r="M3358">
        <f t="shared" si="210"/>
        <v>4929.83</v>
      </c>
      <c r="N3358" s="5" t="str">
        <f t="shared" si="211"/>
        <v>May 2023</v>
      </c>
    </row>
    <row r="3359" spans="1:14" x14ac:dyDescent="0.25">
      <c r="A3359" s="1">
        <v>45050</v>
      </c>
      <c r="B3359" t="s">
        <v>2451</v>
      </c>
      <c r="C3359">
        <v>90</v>
      </c>
      <c r="D3359" t="s">
        <v>14</v>
      </c>
      <c r="E3359" t="s">
        <v>25</v>
      </c>
      <c r="F3359" t="s">
        <v>16</v>
      </c>
      <c r="G3359" t="s">
        <v>39</v>
      </c>
      <c r="H3359">
        <v>224.86</v>
      </c>
      <c r="I3359" s="8" t="str" cm="1">
        <f t="array" ref="I3359">_xlfn.IFS(C3359&lt;=15,"Children and Young Adolescents", C3359&gt;64, "Seniors", TRUE, "Working Age")</f>
        <v>Seniors</v>
      </c>
      <c r="J3359" s="6">
        <f>VLOOKUP(F3359,Analysis!$F$1:$G$5,2,FALSE)</f>
        <v>2509.1716796874912</v>
      </c>
      <c r="K3359">
        <f t="shared" si="208"/>
        <v>247.34</v>
      </c>
      <c r="L3359">
        <f t="shared" si="209"/>
        <v>247.35</v>
      </c>
      <c r="M3359">
        <f t="shared" si="210"/>
        <v>247.35</v>
      </c>
      <c r="N3359" s="5" t="str">
        <f t="shared" si="211"/>
        <v>May 2023</v>
      </c>
    </row>
    <row r="3360" spans="1:14" x14ac:dyDescent="0.25">
      <c r="A3360" s="1">
        <v>45051</v>
      </c>
      <c r="B3360" t="s">
        <v>1825</v>
      </c>
      <c r="C3360">
        <v>80</v>
      </c>
      <c r="D3360" t="s">
        <v>21</v>
      </c>
      <c r="E3360" t="s">
        <v>25</v>
      </c>
      <c r="F3360" t="s">
        <v>16</v>
      </c>
      <c r="G3360" t="s">
        <v>39</v>
      </c>
      <c r="H3360">
        <v>3922.38</v>
      </c>
      <c r="I3360" s="8" t="str" cm="1">
        <f t="array" ref="I3360">_xlfn.IFS(C3360&lt;=15,"Children and Young Adolescents", C3360&gt;64, "Seniors", TRUE, "Working Age")</f>
        <v>Seniors</v>
      </c>
      <c r="J3360" s="6">
        <f>VLOOKUP(F3360,Analysis!$F$1:$G$5,2,FALSE)</f>
        <v>2509.1716796874912</v>
      </c>
      <c r="K3360">
        <f t="shared" si="208"/>
        <v>4314.6099999999997</v>
      </c>
      <c r="L3360">
        <f t="shared" si="209"/>
        <v>4314.62</v>
      </c>
      <c r="M3360">
        <f t="shared" si="210"/>
        <v>4314.62</v>
      </c>
      <c r="N3360" s="5" t="str">
        <f t="shared" si="211"/>
        <v>May 2023</v>
      </c>
    </row>
    <row r="3361" spans="1:14" x14ac:dyDescent="0.25">
      <c r="A3361" s="1">
        <v>45051</v>
      </c>
      <c r="B3361" t="s">
        <v>4517</v>
      </c>
      <c r="C3361">
        <v>56</v>
      </c>
      <c r="D3361" t="s">
        <v>9</v>
      </c>
      <c r="E3361" t="s">
        <v>19</v>
      </c>
      <c r="F3361" t="s">
        <v>23</v>
      </c>
      <c r="G3361" t="s">
        <v>5033</v>
      </c>
      <c r="H3361">
        <v>2981.63</v>
      </c>
      <c r="I3361" s="8" t="str" cm="1">
        <f t="array" ref="I3361">_xlfn.IFS(C3361&lt;=15,"Children and Young Adolescents", C3361&gt;64, "Seniors", TRUE, "Working Age")</f>
        <v>Working Age</v>
      </c>
      <c r="J3361" s="6">
        <f>VLOOKUP(F3361,Analysis!$F$1:$G$5,2,FALSE)</f>
        <v>2440.2966694490838</v>
      </c>
      <c r="K3361">
        <f t="shared" si="208"/>
        <v>3279.79</v>
      </c>
      <c r="L3361">
        <f t="shared" si="209"/>
        <v>3279.8</v>
      </c>
      <c r="M3361">
        <f t="shared" si="210"/>
        <v>3279.79</v>
      </c>
      <c r="N3361" s="5" t="str">
        <f t="shared" si="211"/>
        <v>May 2023</v>
      </c>
    </row>
    <row r="3362" spans="1:14" x14ac:dyDescent="0.25">
      <c r="A3362" s="1">
        <v>45051</v>
      </c>
      <c r="B3362" t="s">
        <v>3791</v>
      </c>
      <c r="C3362">
        <v>63</v>
      </c>
      <c r="D3362" t="s">
        <v>21</v>
      </c>
      <c r="E3362" t="s">
        <v>15</v>
      </c>
      <c r="F3362" t="s">
        <v>16</v>
      </c>
      <c r="G3362" t="s">
        <v>39</v>
      </c>
      <c r="H3362">
        <v>4013.35</v>
      </c>
      <c r="I3362" s="8" t="str" cm="1">
        <f t="array" ref="I3362">_xlfn.IFS(C3362&lt;=15,"Children and Young Adolescents", C3362&gt;64, "Seniors", TRUE, "Working Age")</f>
        <v>Working Age</v>
      </c>
      <c r="J3362" s="6">
        <f>VLOOKUP(F3362,Analysis!$F$1:$G$5,2,FALSE)</f>
        <v>2509.1716796874912</v>
      </c>
      <c r="K3362">
        <f t="shared" si="208"/>
        <v>4414.68</v>
      </c>
      <c r="L3362">
        <f t="shared" si="209"/>
        <v>4414.6900000000005</v>
      </c>
      <c r="M3362">
        <f t="shared" si="210"/>
        <v>4414.6899999999996</v>
      </c>
      <c r="N3362" s="5" t="str">
        <f t="shared" si="211"/>
        <v>May 2023</v>
      </c>
    </row>
    <row r="3363" spans="1:14" x14ac:dyDescent="0.25">
      <c r="A3363" s="1">
        <v>45051</v>
      </c>
      <c r="B3363" t="s">
        <v>3742</v>
      </c>
      <c r="C3363">
        <v>12</v>
      </c>
      <c r="D3363" t="s">
        <v>9</v>
      </c>
      <c r="E3363" t="s">
        <v>25</v>
      </c>
      <c r="F3363" t="s">
        <v>23</v>
      </c>
      <c r="G3363" t="s">
        <v>17</v>
      </c>
      <c r="H3363">
        <v>2227.9499999999998</v>
      </c>
      <c r="I3363" s="8" t="str" cm="1">
        <f t="array" ref="I3363">_xlfn.IFS(C3363&lt;=15,"Children and Young Adolescents", C3363&gt;64, "Seniors", TRUE, "Working Age")</f>
        <v>Children and Young Adolescents</v>
      </c>
      <c r="J3363" s="6">
        <f>VLOOKUP(F3363,Analysis!$F$1:$G$5,2,FALSE)</f>
        <v>2440.2966694490838</v>
      </c>
      <c r="K3363">
        <f t="shared" si="208"/>
        <v>2450.7399999999998</v>
      </c>
      <c r="L3363">
        <f t="shared" si="209"/>
        <v>2450.75</v>
      </c>
      <c r="M3363">
        <f t="shared" si="210"/>
        <v>2450.75</v>
      </c>
      <c r="N3363" s="5" t="str">
        <f t="shared" si="211"/>
        <v>May 2023</v>
      </c>
    </row>
    <row r="3364" spans="1:14" x14ac:dyDescent="0.25">
      <c r="A3364" s="1">
        <v>45051</v>
      </c>
      <c r="B3364" t="s">
        <v>2070</v>
      </c>
      <c r="C3364">
        <v>47</v>
      </c>
      <c r="D3364" t="s">
        <v>21</v>
      </c>
      <c r="E3364" t="s">
        <v>25</v>
      </c>
      <c r="F3364" t="s">
        <v>29</v>
      </c>
      <c r="G3364" t="s">
        <v>27</v>
      </c>
      <c r="H3364">
        <v>692.96</v>
      </c>
      <c r="I3364" s="8" t="str" cm="1">
        <f t="array" ref="I3364">_xlfn.IFS(C3364&lt;=15,"Children and Young Adolescents", C3364&gt;64, "Seniors", TRUE, "Working Age")</f>
        <v>Working Age</v>
      </c>
      <c r="J3364" s="6">
        <f>VLOOKUP(F3364,Analysis!$F$1:$G$5,2,FALSE)</f>
        <v>2496.7676064256989</v>
      </c>
      <c r="K3364">
        <f t="shared" si="208"/>
        <v>762.25</v>
      </c>
      <c r="L3364">
        <f t="shared" si="209"/>
        <v>762.26</v>
      </c>
      <c r="M3364">
        <f t="shared" si="210"/>
        <v>762.26</v>
      </c>
      <c r="N3364" s="5" t="str">
        <f t="shared" si="211"/>
        <v>May 2023</v>
      </c>
    </row>
    <row r="3365" spans="1:14" x14ac:dyDescent="0.25">
      <c r="A3365" s="1">
        <v>45051</v>
      </c>
      <c r="B3365" t="s">
        <v>2532</v>
      </c>
      <c r="C3365">
        <v>36</v>
      </c>
      <c r="D3365" t="s">
        <v>21</v>
      </c>
      <c r="E3365" t="s">
        <v>32</v>
      </c>
      <c r="F3365" t="s">
        <v>29</v>
      </c>
      <c r="G3365" t="s">
        <v>27</v>
      </c>
      <c r="H3365">
        <v>3212.96</v>
      </c>
      <c r="I3365" s="8" t="str" cm="1">
        <f t="array" ref="I3365">_xlfn.IFS(C3365&lt;=15,"Children and Young Adolescents", C3365&gt;64, "Seniors", TRUE, "Working Age")</f>
        <v>Working Age</v>
      </c>
      <c r="J3365" s="6">
        <f>VLOOKUP(F3365,Analysis!$F$1:$G$5,2,FALSE)</f>
        <v>2496.7676064256989</v>
      </c>
      <c r="K3365">
        <f t="shared" si="208"/>
        <v>3534.25</v>
      </c>
      <c r="L3365">
        <f t="shared" si="209"/>
        <v>3534.26</v>
      </c>
      <c r="M3365">
        <f t="shared" si="210"/>
        <v>3534.26</v>
      </c>
      <c r="N3365" s="5" t="str">
        <f t="shared" si="211"/>
        <v>May 2023</v>
      </c>
    </row>
    <row r="3366" spans="1:14" x14ac:dyDescent="0.25">
      <c r="A3366" s="1">
        <v>45052</v>
      </c>
      <c r="B3366" t="s">
        <v>2003</v>
      </c>
      <c r="C3366">
        <v>29</v>
      </c>
      <c r="D3366" t="s">
        <v>14</v>
      </c>
      <c r="E3366" t="s">
        <v>34</v>
      </c>
      <c r="F3366" t="s">
        <v>11</v>
      </c>
      <c r="G3366" t="s">
        <v>39</v>
      </c>
      <c r="H3366">
        <v>1344.03</v>
      </c>
      <c r="I3366" s="8" t="str" cm="1">
        <f t="array" ref="I3366">_xlfn.IFS(C3366&lt;=15,"Children and Young Adolescents", C3366&gt;64, "Seniors", TRUE, "Working Age")</f>
        <v>Working Age</v>
      </c>
      <c r="J3366" s="6">
        <f>VLOOKUP(F3366,Analysis!$F$1:$G$5,2,FALSE)</f>
        <v>2503.6022787783854</v>
      </c>
      <c r="K3366">
        <f t="shared" si="208"/>
        <v>1478.43</v>
      </c>
      <c r="L3366">
        <f t="shared" si="209"/>
        <v>1478.44</v>
      </c>
      <c r="M3366">
        <f t="shared" si="210"/>
        <v>1478.43</v>
      </c>
      <c r="N3366" s="5" t="str">
        <f t="shared" si="211"/>
        <v>May 2023</v>
      </c>
    </row>
    <row r="3367" spans="1:14" x14ac:dyDescent="0.25">
      <c r="A3367" s="1">
        <v>45052</v>
      </c>
      <c r="B3367" t="s">
        <v>2207</v>
      </c>
      <c r="C3367">
        <v>73</v>
      </c>
      <c r="D3367" t="s">
        <v>9</v>
      </c>
      <c r="E3367" t="s">
        <v>32</v>
      </c>
      <c r="F3367" t="s">
        <v>11</v>
      </c>
      <c r="G3367" t="s">
        <v>12</v>
      </c>
      <c r="H3367">
        <v>286.22000000000003</v>
      </c>
      <c r="I3367" s="8" t="str" cm="1">
        <f t="array" ref="I3367">_xlfn.IFS(C3367&lt;=15,"Children and Young Adolescents", C3367&gt;64, "Seniors", TRUE, "Working Age")</f>
        <v>Seniors</v>
      </c>
      <c r="J3367" s="6">
        <f>VLOOKUP(F3367,Analysis!$F$1:$G$5,2,FALSE)</f>
        <v>2503.6022787783854</v>
      </c>
      <c r="K3367">
        <f t="shared" si="208"/>
        <v>314.83999999999997</v>
      </c>
      <c r="L3367">
        <f t="shared" si="209"/>
        <v>314.84999999999997</v>
      </c>
      <c r="M3367">
        <f t="shared" si="210"/>
        <v>314.83999999999997</v>
      </c>
      <c r="N3367" s="5" t="str">
        <f t="shared" si="211"/>
        <v>May 2023</v>
      </c>
    </row>
    <row r="3368" spans="1:14" x14ac:dyDescent="0.25">
      <c r="A3368" s="1">
        <v>45052</v>
      </c>
      <c r="B3368" t="s">
        <v>3484</v>
      </c>
      <c r="C3368">
        <v>65</v>
      </c>
      <c r="D3368" t="s">
        <v>14</v>
      </c>
      <c r="E3368" t="s">
        <v>10</v>
      </c>
      <c r="F3368" t="s">
        <v>16</v>
      </c>
      <c r="G3368" t="s">
        <v>12</v>
      </c>
      <c r="H3368">
        <v>4532.67</v>
      </c>
      <c r="I3368" s="8" t="str" cm="1">
        <f t="array" ref="I3368">_xlfn.IFS(C3368&lt;=15,"Children and Young Adolescents", C3368&gt;64, "Seniors", TRUE, "Working Age")</f>
        <v>Seniors</v>
      </c>
      <c r="J3368" s="6">
        <f>VLOOKUP(F3368,Analysis!$F$1:$G$5,2,FALSE)</f>
        <v>2509.1716796874912</v>
      </c>
      <c r="K3368">
        <f t="shared" si="208"/>
        <v>4985.93</v>
      </c>
      <c r="L3368">
        <f t="shared" si="209"/>
        <v>4985.9400000000005</v>
      </c>
      <c r="M3368">
        <f t="shared" si="210"/>
        <v>4985.9399999999996</v>
      </c>
      <c r="N3368" s="5" t="str">
        <f t="shared" si="211"/>
        <v>May 2023</v>
      </c>
    </row>
    <row r="3369" spans="1:14" x14ac:dyDescent="0.25">
      <c r="A3369" s="1">
        <v>45052</v>
      </c>
      <c r="B3369" t="s">
        <v>4553</v>
      </c>
      <c r="C3369">
        <v>67</v>
      </c>
      <c r="D3369" t="s">
        <v>14</v>
      </c>
      <c r="E3369" t="s">
        <v>10</v>
      </c>
      <c r="F3369" t="s">
        <v>23</v>
      </c>
      <c r="G3369" t="s">
        <v>12</v>
      </c>
      <c r="H3369">
        <v>4907.5200000000004</v>
      </c>
      <c r="I3369" s="8" t="str" cm="1">
        <f t="array" ref="I3369">_xlfn.IFS(C3369&lt;=15,"Children and Young Adolescents", C3369&gt;64, "Seniors", TRUE, "Working Age")</f>
        <v>Seniors</v>
      </c>
      <c r="J3369" s="6">
        <f>VLOOKUP(F3369,Analysis!$F$1:$G$5,2,FALSE)</f>
        <v>2440.2966694490838</v>
      </c>
      <c r="K3369">
        <f t="shared" si="208"/>
        <v>5398.27</v>
      </c>
      <c r="L3369">
        <f t="shared" si="209"/>
        <v>5398.2800000000007</v>
      </c>
      <c r="M3369">
        <f t="shared" si="210"/>
        <v>5398.27</v>
      </c>
      <c r="N3369" s="5" t="str">
        <f t="shared" si="211"/>
        <v>May 2023</v>
      </c>
    </row>
    <row r="3370" spans="1:14" x14ac:dyDescent="0.25">
      <c r="A3370" s="1">
        <v>45052</v>
      </c>
      <c r="B3370" t="s">
        <v>3999</v>
      </c>
      <c r="C3370">
        <v>17</v>
      </c>
      <c r="D3370" t="s">
        <v>21</v>
      </c>
      <c r="E3370" t="s">
        <v>25</v>
      </c>
      <c r="F3370" t="s">
        <v>23</v>
      </c>
      <c r="G3370" t="s">
        <v>12</v>
      </c>
      <c r="H3370">
        <v>2039.21</v>
      </c>
      <c r="I3370" s="8" t="str" cm="1">
        <f t="array" ref="I3370">_xlfn.IFS(C3370&lt;=15,"Children and Young Adolescents", C3370&gt;64, "Seniors", TRUE, "Working Age")</f>
        <v>Working Age</v>
      </c>
      <c r="J3370" s="6">
        <f>VLOOKUP(F3370,Analysis!$F$1:$G$5,2,FALSE)</f>
        <v>2440.2966694490838</v>
      </c>
      <c r="K3370">
        <f t="shared" si="208"/>
        <v>2243.13</v>
      </c>
      <c r="L3370">
        <f t="shared" si="209"/>
        <v>2243.1400000000003</v>
      </c>
      <c r="M3370">
        <f t="shared" si="210"/>
        <v>2243.13</v>
      </c>
      <c r="N3370" s="5" t="str">
        <f t="shared" si="211"/>
        <v>May 2023</v>
      </c>
    </row>
    <row r="3371" spans="1:14" x14ac:dyDescent="0.25">
      <c r="A3371" s="1">
        <v>45052</v>
      </c>
      <c r="B3371" t="s">
        <v>4563</v>
      </c>
      <c r="C3371">
        <v>58</v>
      </c>
      <c r="D3371" t="s">
        <v>9</v>
      </c>
      <c r="E3371" t="s">
        <v>5032</v>
      </c>
      <c r="F3371" t="s">
        <v>29</v>
      </c>
      <c r="G3371" t="s">
        <v>36</v>
      </c>
      <c r="H3371">
        <v>1563.58</v>
      </c>
      <c r="I3371" s="8" t="str" cm="1">
        <f t="array" ref="I3371">_xlfn.IFS(C3371&lt;=15,"Children and Young Adolescents", C3371&gt;64, "Seniors", TRUE, "Working Age")</f>
        <v>Working Age</v>
      </c>
      <c r="J3371" s="6">
        <f>VLOOKUP(F3371,Analysis!$F$1:$G$5,2,FALSE)</f>
        <v>2496.7676064256989</v>
      </c>
      <c r="K3371">
        <f t="shared" si="208"/>
        <v>1719.93</v>
      </c>
      <c r="L3371">
        <f t="shared" si="209"/>
        <v>1719.94</v>
      </c>
      <c r="M3371">
        <f t="shared" si="210"/>
        <v>1719.94</v>
      </c>
      <c r="N3371" s="5" t="str">
        <f t="shared" si="211"/>
        <v>May 2023</v>
      </c>
    </row>
    <row r="3372" spans="1:14" x14ac:dyDescent="0.25">
      <c r="A3372" s="1">
        <v>45053</v>
      </c>
      <c r="B3372" t="s">
        <v>915</v>
      </c>
      <c r="C3372">
        <v>65</v>
      </c>
      <c r="D3372" t="s">
        <v>21</v>
      </c>
      <c r="E3372" t="s">
        <v>25</v>
      </c>
      <c r="F3372" t="s">
        <v>11</v>
      </c>
      <c r="G3372" t="s">
        <v>39</v>
      </c>
      <c r="H3372">
        <v>2147.14</v>
      </c>
      <c r="I3372" s="8" t="str" cm="1">
        <f t="array" ref="I3372">_xlfn.IFS(C3372&lt;=15,"Children and Young Adolescents", C3372&gt;64, "Seniors", TRUE, "Working Age")</f>
        <v>Seniors</v>
      </c>
      <c r="J3372" s="6">
        <f>VLOOKUP(F3372,Analysis!$F$1:$G$5,2,FALSE)</f>
        <v>2503.6022787783854</v>
      </c>
      <c r="K3372">
        <f t="shared" si="208"/>
        <v>2361.85</v>
      </c>
      <c r="L3372">
        <f t="shared" si="209"/>
        <v>2361.86</v>
      </c>
      <c r="M3372">
        <f t="shared" si="210"/>
        <v>2361.85</v>
      </c>
      <c r="N3372" s="5" t="str">
        <f t="shared" si="211"/>
        <v>May 2023</v>
      </c>
    </row>
    <row r="3373" spans="1:14" x14ac:dyDescent="0.25">
      <c r="A3373" s="1">
        <v>45053</v>
      </c>
      <c r="B3373" t="s">
        <v>3526</v>
      </c>
      <c r="C3373">
        <v>21</v>
      </c>
      <c r="D3373" t="s">
        <v>9</v>
      </c>
      <c r="E3373" t="s">
        <v>10</v>
      </c>
      <c r="F3373" t="s">
        <v>11</v>
      </c>
      <c r="G3373" t="s">
        <v>39</v>
      </c>
      <c r="H3373">
        <v>3257.84</v>
      </c>
      <c r="I3373" s="8" t="str" cm="1">
        <f t="array" ref="I3373">_xlfn.IFS(C3373&lt;=15,"Children and Young Adolescents", C3373&gt;64, "Seniors", TRUE, "Working Age")</f>
        <v>Working Age</v>
      </c>
      <c r="J3373" s="6">
        <f>VLOOKUP(F3373,Analysis!$F$1:$G$5,2,FALSE)</f>
        <v>2503.6022787783854</v>
      </c>
      <c r="K3373">
        <f t="shared" si="208"/>
        <v>3583.62</v>
      </c>
      <c r="L3373">
        <f t="shared" si="209"/>
        <v>3583.63</v>
      </c>
      <c r="M3373">
        <f t="shared" si="210"/>
        <v>3583.62</v>
      </c>
      <c r="N3373" s="5" t="str">
        <f t="shared" si="211"/>
        <v>May 2023</v>
      </c>
    </row>
    <row r="3374" spans="1:14" x14ac:dyDescent="0.25">
      <c r="A3374" s="1">
        <v>45053</v>
      </c>
      <c r="B3374" t="s">
        <v>3547</v>
      </c>
      <c r="C3374">
        <v>65</v>
      </c>
      <c r="D3374" t="s">
        <v>9</v>
      </c>
      <c r="E3374" t="s">
        <v>10</v>
      </c>
      <c r="F3374" t="s">
        <v>23</v>
      </c>
      <c r="G3374" t="s">
        <v>39</v>
      </c>
      <c r="H3374">
        <v>2076.1</v>
      </c>
      <c r="I3374" s="8" t="str" cm="1">
        <f t="array" ref="I3374">_xlfn.IFS(C3374&lt;=15,"Children and Young Adolescents", C3374&gt;64, "Seniors", TRUE, "Working Age")</f>
        <v>Seniors</v>
      </c>
      <c r="J3374" s="6">
        <f>VLOOKUP(F3374,Analysis!$F$1:$G$5,2,FALSE)</f>
        <v>2440.2966694490838</v>
      </c>
      <c r="K3374">
        <f t="shared" si="208"/>
        <v>2283.71</v>
      </c>
      <c r="L3374">
        <f t="shared" si="209"/>
        <v>2283.71</v>
      </c>
      <c r="M3374">
        <f t="shared" si="210"/>
        <v>2283.71</v>
      </c>
      <c r="N3374" s="5" t="str">
        <f t="shared" si="211"/>
        <v>May 2023</v>
      </c>
    </row>
    <row r="3375" spans="1:14" x14ac:dyDescent="0.25">
      <c r="A3375" s="1">
        <v>45053</v>
      </c>
      <c r="B3375" t="s">
        <v>3987</v>
      </c>
      <c r="C3375">
        <v>92</v>
      </c>
      <c r="D3375" t="s">
        <v>9</v>
      </c>
      <c r="E3375" t="s">
        <v>19</v>
      </c>
      <c r="F3375" t="s">
        <v>11</v>
      </c>
      <c r="G3375" t="s">
        <v>27</v>
      </c>
      <c r="H3375">
        <v>3976.35</v>
      </c>
      <c r="I3375" s="8" t="str" cm="1">
        <f t="array" ref="I3375">_xlfn.IFS(C3375&lt;=15,"Children and Young Adolescents", C3375&gt;64, "Seniors", TRUE, "Working Age")</f>
        <v>Seniors</v>
      </c>
      <c r="J3375" s="6">
        <f>VLOOKUP(F3375,Analysis!$F$1:$G$5,2,FALSE)</f>
        <v>2503.6022787783854</v>
      </c>
      <c r="K3375">
        <f t="shared" si="208"/>
        <v>4373.9799999999996</v>
      </c>
      <c r="L3375">
        <f t="shared" si="209"/>
        <v>4373.99</v>
      </c>
      <c r="M3375">
        <f t="shared" si="210"/>
        <v>4373.99</v>
      </c>
      <c r="N3375" s="5" t="str">
        <f t="shared" si="211"/>
        <v>May 2023</v>
      </c>
    </row>
    <row r="3376" spans="1:14" x14ac:dyDescent="0.25">
      <c r="A3376" s="1">
        <v>45053</v>
      </c>
      <c r="B3376" t="s">
        <v>3764</v>
      </c>
      <c r="C3376">
        <v>42</v>
      </c>
      <c r="D3376" t="s">
        <v>9</v>
      </c>
      <c r="E3376" t="s">
        <v>10</v>
      </c>
      <c r="F3376" t="s">
        <v>29</v>
      </c>
      <c r="G3376" t="s">
        <v>36</v>
      </c>
      <c r="H3376">
        <v>1430.01</v>
      </c>
      <c r="I3376" s="8" t="str" cm="1">
        <f t="array" ref="I3376">_xlfn.IFS(C3376&lt;=15,"Children and Young Adolescents", C3376&gt;64, "Seniors", TRUE, "Working Age")</f>
        <v>Working Age</v>
      </c>
      <c r="J3376" s="6">
        <f>VLOOKUP(F3376,Analysis!$F$1:$G$5,2,FALSE)</f>
        <v>2496.7676064256989</v>
      </c>
      <c r="K3376">
        <f t="shared" si="208"/>
        <v>1573.01</v>
      </c>
      <c r="L3376">
        <f t="shared" si="209"/>
        <v>1573.02</v>
      </c>
      <c r="M3376">
        <f t="shared" si="210"/>
        <v>1573.01</v>
      </c>
      <c r="N3376" s="5" t="str">
        <f t="shared" si="211"/>
        <v>May 2023</v>
      </c>
    </row>
    <row r="3377" spans="1:14" x14ac:dyDescent="0.25">
      <c r="A3377" s="1">
        <v>45053</v>
      </c>
      <c r="B3377" t="s">
        <v>4492</v>
      </c>
      <c r="C3377">
        <v>32</v>
      </c>
      <c r="D3377" t="s">
        <v>14</v>
      </c>
      <c r="E3377" t="s">
        <v>10</v>
      </c>
      <c r="F3377" t="s">
        <v>11</v>
      </c>
      <c r="G3377" t="s">
        <v>12</v>
      </c>
      <c r="H3377">
        <v>2604.13</v>
      </c>
      <c r="I3377" s="8" t="str" cm="1">
        <f t="array" ref="I3377">_xlfn.IFS(C3377&lt;=15,"Children and Young Adolescents", C3377&gt;64, "Seniors", TRUE, "Working Age")</f>
        <v>Working Age</v>
      </c>
      <c r="J3377" s="6">
        <f>VLOOKUP(F3377,Analysis!$F$1:$G$5,2,FALSE)</f>
        <v>2503.6022787783854</v>
      </c>
      <c r="K3377">
        <f t="shared" si="208"/>
        <v>2864.54</v>
      </c>
      <c r="L3377">
        <f t="shared" si="209"/>
        <v>2864.55</v>
      </c>
      <c r="M3377">
        <f t="shared" si="210"/>
        <v>2864.54</v>
      </c>
      <c r="N3377" s="5" t="str">
        <f t="shared" si="211"/>
        <v>May 2023</v>
      </c>
    </row>
    <row r="3378" spans="1:14" x14ac:dyDescent="0.25">
      <c r="A3378" s="1">
        <v>45053</v>
      </c>
      <c r="B3378" t="s">
        <v>581</v>
      </c>
      <c r="C3378">
        <v>86</v>
      </c>
      <c r="D3378" t="s">
        <v>9</v>
      </c>
      <c r="E3378" t="s">
        <v>5032</v>
      </c>
      <c r="F3378" t="s">
        <v>29</v>
      </c>
      <c r="G3378" t="s">
        <v>12</v>
      </c>
      <c r="H3378">
        <v>3742.51</v>
      </c>
      <c r="I3378" s="8" t="str" cm="1">
        <f t="array" ref="I3378">_xlfn.IFS(C3378&lt;=15,"Children and Young Adolescents", C3378&gt;64, "Seniors", TRUE, "Working Age")</f>
        <v>Seniors</v>
      </c>
      <c r="J3378" s="6">
        <f>VLOOKUP(F3378,Analysis!$F$1:$G$5,2,FALSE)</f>
        <v>2496.7676064256989</v>
      </c>
      <c r="K3378">
        <f t="shared" si="208"/>
        <v>4116.76</v>
      </c>
      <c r="L3378">
        <f t="shared" si="209"/>
        <v>4116.7700000000004</v>
      </c>
      <c r="M3378">
        <f t="shared" si="210"/>
        <v>4116.76</v>
      </c>
      <c r="N3378" s="5" t="str">
        <f t="shared" si="211"/>
        <v>May 2023</v>
      </c>
    </row>
    <row r="3379" spans="1:14" x14ac:dyDescent="0.25">
      <c r="A3379" s="1">
        <v>45053</v>
      </c>
      <c r="B3379" t="s">
        <v>1655</v>
      </c>
      <c r="C3379">
        <v>77</v>
      </c>
      <c r="D3379" t="s">
        <v>9</v>
      </c>
      <c r="E3379" t="s">
        <v>19</v>
      </c>
      <c r="F3379" t="s">
        <v>11</v>
      </c>
      <c r="G3379" t="s">
        <v>12</v>
      </c>
      <c r="H3379">
        <v>970.96</v>
      </c>
      <c r="I3379" s="8" t="str" cm="1">
        <f t="array" ref="I3379">_xlfn.IFS(C3379&lt;=15,"Children and Young Adolescents", C3379&gt;64, "Seniors", TRUE, "Working Age")</f>
        <v>Seniors</v>
      </c>
      <c r="J3379" s="6">
        <f>VLOOKUP(F3379,Analysis!$F$1:$G$5,2,FALSE)</f>
        <v>2503.6022787783854</v>
      </c>
      <c r="K3379">
        <f t="shared" si="208"/>
        <v>1068.05</v>
      </c>
      <c r="L3379">
        <f t="shared" si="209"/>
        <v>1068.06</v>
      </c>
      <c r="M3379">
        <f t="shared" si="210"/>
        <v>1068.06</v>
      </c>
      <c r="N3379" s="5" t="str">
        <f t="shared" si="211"/>
        <v>May 2023</v>
      </c>
    </row>
    <row r="3380" spans="1:14" x14ac:dyDescent="0.25">
      <c r="A3380" s="1">
        <v>45053</v>
      </c>
      <c r="B3380" t="s">
        <v>3939</v>
      </c>
      <c r="C3380">
        <v>39</v>
      </c>
      <c r="D3380" t="s">
        <v>9</v>
      </c>
      <c r="E3380" t="s">
        <v>22</v>
      </c>
      <c r="F3380" t="s">
        <v>11</v>
      </c>
      <c r="G3380" t="s">
        <v>17</v>
      </c>
      <c r="H3380">
        <v>4360.5200000000004</v>
      </c>
      <c r="I3380" s="8" t="str" cm="1">
        <f t="array" ref="I3380">_xlfn.IFS(C3380&lt;=15,"Children and Young Adolescents", C3380&gt;64, "Seniors", TRUE, "Working Age")</f>
        <v>Working Age</v>
      </c>
      <c r="J3380" s="6">
        <f>VLOOKUP(F3380,Analysis!$F$1:$G$5,2,FALSE)</f>
        <v>2503.6022787783854</v>
      </c>
      <c r="K3380">
        <f t="shared" si="208"/>
        <v>4796.57</v>
      </c>
      <c r="L3380">
        <f t="shared" si="209"/>
        <v>4796.58</v>
      </c>
      <c r="M3380">
        <f t="shared" si="210"/>
        <v>4796.57</v>
      </c>
      <c r="N3380" s="5" t="str">
        <f t="shared" si="211"/>
        <v>May 2023</v>
      </c>
    </row>
    <row r="3381" spans="1:14" x14ac:dyDescent="0.25">
      <c r="A3381" s="1">
        <v>45054</v>
      </c>
      <c r="B3381" t="s">
        <v>481</v>
      </c>
      <c r="C3381">
        <v>92</v>
      </c>
      <c r="D3381" t="s">
        <v>9</v>
      </c>
      <c r="E3381" t="s">
        <v>5032</v>
      </c>
      <c r="F3381" t="s">
        <v>16</v>
      </c>
      <c r="G3381" t="s">
        <v>12</v>
      </c>
      <c r="H3381">
        <v>437.63</v>
      </c>
      <c r="I3381" s="8" t="str" cm="1">
        <f t="array" ref="I3381">_xlfn.IFS(C3381&lt;=15,"Children and Young Adolescents", C3381&gt;64, "Seniors", TRUE, "Working Age")</f>
        <v>Seniors</v>
      </c>
      <c r="J3381" s="6">
        <f>VLOOKUP(F3381,Analysis!$F$1:$G$5,2,FALSE)</f>
        <v>2509.1716796874912</v>
      </c>
      <c r="K3381">
        <f t="shared" si="208"/>
        <v>481.39</v>
      </c>
      <c r="L3381">
        <f t="shared" si="209"/>
        <v>481.4</v>
      </c>
      <c r="M3381">
        <f t="shared" si="210"/>
        <v>481.39</v>
      </c>
      <c r="N3381" s="5" t="str">
        <f t="shared" si="211"/>
        <v>May 2023</v>
      </c>
    </row>
    <row r="3382" spans="1:14" x14ac:dyDescent="0.25">
      <c r="A3382" s="1">
        <v>45054</v>
      </c>
      <c r="B3382" t="s">
        <v>4507</v>
      </c>
      <c r="C3382">
        <v>66</v>
      </c>
      <c r="D3382" t="s">
        <v>14</v>
      </c>
      <c r="E3382" t="s">
        <v>19</v>
      </c>
      <c r="F3382" t="s">
        <v>11</v>
      </c>
      <c r="G3382" t="s">
        <v>17</v>
      </c>
      <c r="H3382">
        <v>2591.7199999999998</v>
      </c>
      <c r="I3382" s="8" t="str" cm="1">
        <f t="array" ref="I3382">_xlfn.IFS(C3382&lt;=15,"Children and Young Adolescents", C3382&gt;64, "Seniors", TRUE, "Working Age")</f>
        <v>Seniors</v>
      </c>
      <c r="J3382" s="6">
        <f>VLOOKUP(F3382,Analysis!$F$1:$G$5,2,FALSE)</f>
        <v>2503.6022787783854</v>
      </c>
      <c r="K3382">
        <f t="shared" si="208"/>
        <v>2850.89</v>
      </c>
      <c r="L3382">
        <f t="shared" si="209"/>
        <v>2850.9</v>
      </c>
      <c r="M3382">
        <f t="shared" si="210"/>
        <v>2850.89</v>
      </c>
      <c r="N3382" s="5" t="str">
        <f t="shared" si="211"/>
        <v>May 2023</v>
      </c>
    </row>
    <row r="3383" spans="1:14" x14ac:dyDescent="0.25">
      <c r="A3383" s="1">
        <v>45054</v>
      </c>
      <c r="B3383" t="s">
        <v>933</v>
      </c>
      <c r="C3383">
        <v>79</v>
      </c>
      <c r="D3383" t="s">
        <v>14</v>
      </c>
      <c r="E3383" t="s">
        <v>10</v>
      </c>
      <c r="F3383" t="s">
        <v>11</v>
      </c>
      <c r="G3383" t="s">
        <v>27</v>
      </c>
      <c r="H3383">
        <v>4474.63</v>
      </c>
      <c r="I3383" s="8" t="str" cm="1">
        <f t="array" ref="I3383">_xlfn.IFS(C3383&lt;=15,"Children and Young Adolescents", C3383&gt;64, "Seniors", TRUE, "Working Age")</f>
        <v>Seniors</v>
      </c>
      <c r="J3383" s="6">
        <f>VLOOKUP(F3383,Analysis!$F$1:$G$5,2,FALSE)</f>
        <v>2503.6022787783854</v>
      </c>
      <c r="K3383">
        <f t="shared" si="208"/>
        <v>4922.09</v>
      </c>
      <c r="L3383">
        <f t="shared" si="209"/>
        <v>4922.1000000000004</v>
      </c>
      <c r="M3383">
        <f t="shared" si="210"/>
        <v>4922.09</v>
      </c>
      <c r="N3383" s="5" t="str">
        <f t="shared" si="211"/>
        <v>May 2023</v>
      </c>
    </row>
    <row r="3384" spans="1:14" x14ac:dyDescent="0.25">
      <c r="A3384" s="1">
        <v>45054</v>
      </c>
      <c r="B3384" t="s">
        <v>4260</v>
      </c>
      <c r="C3384">
        <v>86</v>
      </c>
      <c r="D3384" t="s">
        <v>21</v>
      </c>
      <c r="E3384" t="s">
        <v>19</v>
      </c>
      <c r="F3384" t="s">
        <v>29</v>
      </c>
      <c r="G3384" t="s">
        <v>36</v>
      </c>
      <c r="H3384">
        <v>4998.22</v>
      </c>
      <c r="I3384" s="8" t="str" cm="1">
        <f t="array" ref="I3384">_xlfn.IFS(C3384&lt;=15,"Children and Young Adolescents", C3384&gt;64, "Seniors", TRUE, "Working Age")</f>
        <v>Seniors</v>
      </c>
      <c r="J3384" s="6">
        <f>VLOOKUP(F3384,Analysis!$F$1:$G$5,2,FALSE)</f>
        <v>2496.7676064256989</v>
      </c>
      <c r="K3384">
        <f t="shared" si="208"/>
        <v>5498.04</v>
      </c>
      <c r="L3384">
        <f t="shared" si="209"/>
        <v>5498.05</v>
      </c>
      <c r="M3384">
        <f t="shared" si="210"/>
        <v>5498.04</v>
      </c>
      <c r="N3384" s="5" t="str">
        <f t="shared" si="211"/>
        <v>May 2023</v>
      </c>
    </row>
    <row r="3385" spans="1:14" x14ac:dyDescent="0.25">
      <c r="A3385" s="1">
        <v>45054</v>
      </c>
      <c r="B3385" t="s">
        <v>1860</v>
      </c>
      <c r="C3385">
        <v>10</v>
      </c>
      <c r="D3385" t="s">
        <v>21</v>
      </c>
      <c r="E3385" t="s">
        <v>10</v>
      </c>
      <c r="F3385" t="s">
        <v>29</v>
      </c>
      <c r="G3385" t="s">
        <v>12</v>
      </c>
      <c r="H3385">
        <v>355.75</v>
      </c>
      <c r="I3385" s="8" t="str" cm="1">
        <f t="array" ref="I3385">_xlfn.IFS(C3385&lt;=15,"Children and Young Adolescents", C3385&gt;64, "Seniors", TRUE, "Working Age")</f>
        <v>Children and Young Adolescents</v>
      </c>
      <c r="J3385" s="6">
        <f>VLOOKUP(F3385,Analysis!$F$1:$G$5,2,FALSE)</f>
        <v>2496.7676064256989</v>
      </c>
      <c r="K3385">
        <f t="shared" si="208"/>
        <v>391.32</v>
      </c>
      <c r="L3385">
        <f t="shared" si="209"/>
        <v>391.33</v>
      </c>
      <c r="M3385">
        <f t="shared" si="210"/>
        <v>391.33</v>
      </c>
      <c r="N3385" s="5" t="str">
        <f t="shared" si="211"/>
        <v>May 2023</v>
      </c>
    </row>
    <row r="3386" spans="1:14" x14ac:dyDescent="0.25">
      <c r="A3386" s="1">
        <v>45055</v>
      </c>
      <c r="B3386" t="s">
        <v>4930</v>
      </c>
      <c r="C3386">
        <v>89</v>
      </c>
      <c r="D3386" t="s">
        <v>21</v>
      </c>
      <c r="E3386" t="s">
        <v>10</v>
      </c>
      <c r="F3386" t="s">
        <v>23</v>
      </c>
      <c r="G3386" t="s">
        <v>36</v>
      </c>
      <c r="H3386">
        <v>1803.49</v>
      </c>
      <c r="I3386" s="8" t="str" cm="1">
        <f t="array" ref="I3386">_xlfn.IFS(C3386&lt;=15,"Children and Young Adolescents", C3386&gt;64, "Seniors", TRUE, "Working Age")</f>
        <v>Seniors</v>
      </c>
      <c r="J3386" s="6">
        <f>VLOOKUP(F3386,Analysis!$F$1:$G$5,2,FALSE)</f>
        <v>2440.2966694490838</v>
      </c>
      <c r="K3386">
        <f t="shared" si="208"/>
        <v>1983.83</v>
      </c>
      <c r="L3386">
        <f t="shared" si="209"/>
        <v>1983.84</v>
      </c>
      <c r="M3386">
        <f t="shared" si="210"/>
        <v>1983.84</v>
      </c>
      <c r="N3386" s="5" t="str">
        <f t="shared" si="211"/>
        <v>May 2023</v>
      </c>
    </row>
    <row r="3387" spans="1:14" x14ac:dyDescent="0.25">
      <c r="A3387" s="1">
        <v>45055</v>
      </c>
      <c r="B3387" t="s">
        <v>1783</v>
      </c>
      <c r="C3387">
        <v>0</v>
      </c>
      <c r="D3387" t="s">
        <v>14</v>
      </c>
      <c r="E3387" t="s">
        <v>25</v>
      </c>
      <c r="F3387" t="s">
        <v>29</v>
      </c>
      <c r="G3387" t="s">
        <v>5033</v>
      </c>
      <c r="H3387">
        <v>4094.31</v>
      </c>
      <c r="I3387" s="8" t="str" cm="1">
        <f t="array" ref="I3387">_xlfn.IFS(C3387&lt;=15,"Children and Young Adolescents", C3387&gt;64, "Seniors", TRUE, "Working Age")</f>
        <v>Children and Young Adolescents</v>
      </c>
      <c r="J3387" s="6">
        <f>VLOOKUP(F3387,Analysis!$F$1:$G$5,2,FALSE)</f>
        <v>2496.7676064256989</v>
      </c>
      <c r="K3387">
        <f t="shared" si="208"/>
        <v>4503.74</v>
      </c>
      <c r="L3387">
        <f t="shared" si="209"/>
        <v>4503.75</v>
      </c>
      <c r="M3387">
        <f t="shared" si="210"/>
        <v>4503.74</v>
      </c>
      <c r="N3387" s="5" t="str">
        <f t="shared" si="211"/>
        <v>May 2023</v>
      </c>
    </row>
    <row r="3388" spans="1:14" x14ac:dyDescent="0.25">
      <c r="A3388" s="1">
        <v>45055</v>
      </c>
      <c r="B3388" t="s">
        <v>3715</v>
      </c>
      <c r="C3388">
        <v>68</v>
      </c>
      <c r="D3388" t="s">
        <v>9</v>
      </c>
      <c r="E3388" t="s">
        <v>25</v>
      </c>
      <c r="F3388" t="s">
        <v>11</v>
      </c>
      <c r="G3388" t="s">
        <v>27</v>
      </c>
      <c r="H3388">
        <v>652.95000000000005</v>
      </c>
      <c r="I3388" s="8" t="str" cm="1">
        <f t="array" ref="I3388">_xlfn.IFS(C3388&lt;=15,"Children and Young Adolescents", C3388&gt;64, "Seniors", TRUE, "Working Age")</f>
        <v>Seniors</v>
      </c>
      <c r="J3388" s="6">
        <f>VLOOKUP(F3388,Analysis!$F$1:$G$5,2,FALSE)</f>
        <v>2503.6022787783854</v>
      </c>
      <c r="K3388">
        <f t="shared" si="208"/>
        <v>718.24</v>
      </c>
      <c r="L3388">
        <f t="shared" si="209"/>
        <v>718.25</v>
      </c>
      <c r="M3388">
        <f t="shared" si="210"/>
        <v>718.25</v>
      </c>
      <c r="N3388" s="5" t="str">
        <f t="shared" si="211"/>
        <v>May 2023</v>
      </c>
    </row>
    <row r="3389" spans="1:14" x14ac:dyDescent="0.25">
      <c r="A3389" s="1">
        <v>45055</v>
      </c>
      <c r="B3389" t="s">
        <v>2127</v>
      </c>
      <c r="C3389">
        <v>37</v>
      </c>
      <c r="D3389" t="s">
        <v>9</v>
      </c>
      <c r="E3389" t="s">
        <v>22</v>
      </c>
      <c r="F3389" t="s">
        <v>11</v>
      </c>
      <c r="G3389" t="s">
        <v>27</v>
      </c>
      <c r="H3389">
        <v>966.01</v>
      </c>
      <c r="I3389" s="8" t="str" cm="1">
        <f t="array" ref="I3389">_xlfn.IFS(C3389&lt;=15,"Children and Young Adolescents", C3389&gt;64, "Seniors", TRUE, "Working Age")</f>
        <v>Working Age</v>
      </c>
      <c r="J3389" s="6">
        <f>VLOOKUP(F3389,Analysis!$F$1:$G$5,2,FALSE)</f>
        <v>2503.6022787783854</v>
      </c>
      <c r="K3389">
        <f t="shared" si="208"/>
        <v>1062.6099999999999</v>
      </c>
      <c r="L3389">
        <f t="shared" si="209"/>
        <v>1062.6199999999999</v>
      </c>
      <c r="M3389">
        <f t="shared" si="210"/>
        <v>1062.6099999999999</v>
      </c>
      <c r="N3389" s="5" t="str">
        <f t="shared" si="211"/>
        <v>May 2023</v>
      </c>
    </row>
    <row r="3390" spans="1:14" x14ac:dyDescent="0.25">
      <c r="A3390" s="1">
        <v>45056</v>
      </c>
      <c r="B3390" t="s">
        <v>1266</v>
      </c>
      <c r="C3390">
        <v>25</v>
      </c>
      <c r="D3390" t="s">
        <v>9</v>
      </c>
      <c r="E3390" t="s">
        <v>22</v>
      </c>
      <c r="F3390" t="s">
        <v>23</v>
      </c>
      <c r="G3390" t="s">
        <v>39</v>
      </c>
      <c r="H3390">
        <v>3985.78</v>
      </c>
      <c r="I3390" s="8" t="str" cm="1">
        <f t="array" ref="I3390">_xlfn.IFS(C3390&lt;=15,"Children and Young Adolescents", C3390&gt;64, "Seniors", TRUE, "Working Age")</f>
        <v>Working Age</v>
      </c>
      <c r="J3390" s="6">
        <f>VLOOKUP(F3390,Analysis!$F$1:$G$5,2,FALSE)</f>
        <v>2440.2966694490838</v>
      </c>
      <c r="K3390">
        <f t="shared" si="208"/>
        <v>4384.3500000000004</v>
      </c>
      <c r="L3390">
        <f t="shared" si="209"/>
        <v>4384.3600000000006</v>
      </c>
      <c r="M3390">
        <f t="shared" si="210"/>
        <v>4384.3599999999997</v>
      </c>
      <c r="N3390" s="5" t="str">
        <f t="shared" si="211"/>
        <v>May 2023</v>
      </c>
    </row>
    <row r="3391" spans="1:14" x14ac:dyDescent="0.25">
      <c r="A3391" s="1">
        <v>45056</v>
      </c>
      <c r="B3391" t="s">
        <v>103</v>
      </c>
      <c r="C3391">
        <v>50</v>
      </c>
      <c r="D3391" t="s">
        <v>14</v>
      </c>
      <c r="E3391" t="s">
        <v>22</v>
      </c>
      <c r="F3391" t="s">
        <v>11</v>
      </c>
      <c r="G3391" t="s">
        <v>17</v>
      </c>
      <c r="H3391">
        <v>2886.8</v>
      </c>
      <c r="I3391" s="8" t="str" cm="1">
        <f t="array" ref="I3391">_xlfn.IFS(C3391&lt;=15,"Children and Young Adolescents", C3391&gt;64, "Seniors", TRUE, "Working Age")</f>
        <v>Working Age</v>
      </c>
      <c r="J3391" s="6">
        <f>VLOOKUP(F3391,Analysis!$F$1:$G$5,2,FALSE)</f>
        <v>2503.6022787783854</v>
      </c>
      <c r="K3391">
        <f t="shared" si="208"/>
        <v>3175.48</v>
      </c>
      <c r="L3391">
        <f t="shared" si="209"/>
        <v>3175.48</v>
      </c>
      <c r="M3391">
        <f t="shared" si="210"/>
        <v>3175.48</v>
      </c>
      <c r="N3391" s="5" t="str">
        <f t="shared" si="211"/>
        <v>May 2023</v>
      </c>
    </row>
    <row r="3392" spans="1:14" x14ac:dyDescent="0.25">
      <c r="A3392" s="1">
        <v>45056</v>
      </c>
      <c r="B3392" t="s">
        <v>511</v>
      </c>
      <c r="C3392">
        <v>4</v>
      </c>
      <c r="D3392" t="s">
        <v>9</v>
      </c>
      <c r="E3392" t="s">
        <v>22</v>
      </c>
      <c r="F3392" t="s">
        <v>23</v>
      </c>
      <c r="G3392" t="s">
        <v>12</v>
      </c>
      <c r="H3392">
        <v>4083.85</v>
      </c>
      <c r="I3392" s="8" t="str" cm="1">
        <f t="array" ref="I3392">_xlfn.IFS(C3392&lt;=15,"Children and Young Adolescents", C3392&gt;64, "Seniors", TRUE, "Working Age")</f>
        <v>Children and Young Adolescents</v>
      </c>
      <c r="J3392" s="6">
        <f>VLOOKUP(F3392,Analysis!$F$1:$G$5,2,FALSE)</f>
        <v>2440.2966694490838</v>
      </c>
      <c r="K3392">
        <f t="shared" si="208"/>
        <v>4492.2299999999996</v>
      </c>
      <c r="L3392">
        <f t="shared" si="209"/>
        <v>4492.24</v>
      </c>
      <c r="M3392">
        <f t="shared" si="210"/>
        <v>4492.24</v>
      </c>
      <c r="N3392" s="5" t="str">
        <f t="shared" si="211"/>
        <v>May 2023</v>
      </c>
    </row>
    <row r="3393" spans="1:14" x14ac:dyDescent="0.25">
      <c r="A3393" s="1">
        <v>45056</v>
      </c>
      <c r="B3393" t="s">
        <v>4084</v>
      </c>
      <c r="C3393">
        <v>42</v>
      </c>
      <c r="D3393" t="s">
        <v>9</v>
      </c>
      <c r="E3393" t="s">
        <v>32</v>
      </c>
      <c r="F3393" t="s">
        <v>11</v>
      </c>
      <c r="G3393" t="s">
        <v>17</v>
      </c>
      <c r="H3393">
        <v>1799.77</v>
      </c>
      <c r="I3393" s="8" t="str" cm="1">
        <f t="array" ref="I3393">_xlfn.IFS(C3393&lt;=15,"Children and Young Adolescents", C3393&gt;64, "Seniors", TRUE, "Working Age")</f>
        <v>Working Age</v>
      </c>
      <c r="J3393" s="6">
        <f>VLOOKUP(F3393,Analysis!$F$1:$G$5,2,FALSE)</f>
        <v>2503.6022787783854</v>
      </c>
      <c r="K3393">
        <f t="shared" si="208"/>
        <v>1979.74</v>
      </c>
      <c r="L3393">
        <f t="shared" si="209"/>
        <v>1979.75</v>
      </c>
      <c r="M3393">
        <f t="shared" si="210"/>
        <v>1979.75</v>
      </c>
      <c r="N3393" s="5" t="str">
        <f t="shared" si="211"/>
        <v>May 2023</v>
      </c>
    </row>
    <row r="3394" spans="1:14" x14ac:dyDescent="0.25">
      <c r="A3394" s="1">
        <v>45056</v>
      </c>
      <c r="B3394" t="s">
        <v>1096</v>
      </c>
      <c r="C3394">
        <v>57</v>
      </c>
      <c r="D3394" t="s">
        <v>14</v>
      </c>
      <c r="E3394" t="s">
        <v>34</v>
      </c>
      <c r="F3394" t="s">
        <v>23</v>
      </c>
      <c r="G3394" t="s">
        <v>17</v>
      </c>
      <c r="H3394">
        <v>119.24</v>
      </c>
      <c r="I3394" s="8" t="str" cm="1">
        <f t="array" ref="I3394">_xlfn.IFS(C3394&lt;=15,"Children and Young Adolescents", C3394&gt;64, "Seniors", TRUE, "Working Age")</f>
        <v>Working Age</v>
      </c>
      <c r="J3394" s="6">
        <f>VLOOKUP(F3394,Analysis!$F$1:$G$5,2,FALSE)</f>
        <v>2440.2966694490838</v>
      </c>
      <c r="K3394">
        <f t="shared" si="208"/>
        <v>131.16</v>
      </c>
      <c r="L3394">
        <f t="shared" si="209"/>
        <v>131.16999999999999</v>
      </c>
      <c r="M3394">
        <f t="shared" si="210"/>
        <v>131.16</v>
      </c>
      <c r="N3394" s="5" t="str">
        <f t="shared" si="211"/>
        <v>May 2023</v>
      </c>
    </row>
    <row r="3395" spans="1:14" x14ac:dyDescent="0.25">
      <c r="A3395" s="1">
        <v>45056</v>
      </c>
      <c r="B3395" t="s">
        <v>971</v>
      </c>
      <c r="C3395">
        <v>86</v>
      </c>
      <c r="D3395" t="s">
        <v>21</v>
      </c>
      <c r="E3395" t="s">
        <v>32</v>
      </c>
      <c r="F3395" t="s">
        <v>11</v>
      </c>
      <c r="G3395" t="s">
        <v>12</v>
      </c>
      <c r="H3395">
        <v>2759.01</v>
      </c>
      <c r="I3395" s="8" t="str" cm="1">
        <f t="array" ref="I3395">_xlfn.IFS(C3395&lt;=15,"Children and Young Adolescents", C3395&gt;64, "Seniors", TRUE, "Working Age")</f>
        <v>Seniors</v>
      </c>
      <c r="J3395" s="6">
        <f>VLOOKUP(F3395,Analysis!$F$1:$G$5,2,FALSE)</f>
        <v>2503.6022787783854</v>
      </c>
      <c r="K3395">
        <f t="shared" ref="K3395:K3458" si="212">ROUNDDOWN(H3395*1.1,2)</f>
        <v>3034.91</v>
      </c>
      <c r="L3395">
        <f t="shared" ref="L3395:L3458" si="213">ROUNDUP(H3395*1.1,2)</f>
        <v>3034.92</v>
      </c>
      <c r="M3395">
        <f t="shared" ref="M3395:M3458" si="214">ROUND(H3395*1.1,2)</f>
        <v>3034.91</v>
      </c>
      <c r="N3395" s="5" t="str">
        <f t="shared" ref="N3395:N3458" si="215">TEXT(A3395,"mmmm yyyy")</f>
        <v>May 2023</v>
      </c>
    </row>
    <row r="3396" spans="1:14" x14ac:dyDescent="0.25">
      <c r="A3396" s="1">
        <v>45057</v>
      </c>
      <c r="B3396" t="s">
        <v>3274</v>
      </c>
      <c r="C3396">
        <v>56</v>
      </c>
      <c r="D3396" t="s">
        <v>21</v>
      </c>
      <c r="E3396" t="s">
        <v>5032</v>
      </c>
      <c r="F3396" t="s">
        <v>11</v>
      </c>
      <c r="G3396" t="s">
        <v>36</v>
      </c>
      <c r="H3396">
        <v>4824.51</v>
      </c>
      <c r="I3396" s="8" t="str" cm="1">
        <f t="array" ref="I3396">_xlfn.IFS(C3396&lt;=15,"Children and Young Adolescents", C3396&gt;64, "Seniors", TRUE, "Working Age")</f>
        <v>Working Age</v>
      </c>
      <c r="J3396" s="6">
        <f>VLOOKUP(F3396,Analysis!$F$1:$G$5,2,FALSE)</f>
        <v>2503.6022787783854</v>
      </c>
      <c r="K3396">
        <f t="shared" si="212"/>
        <v>5306.96</v>
      </c>
      <c r="L3396">
        <f t="shared" si="213"/>
        <v>5306.97</v>
      </c>
      <c r="M3396">
        <f t="shared" si="214"/>
        <v>5306.96</v>
      </c>
      <c r="N3396" s="5" t="str">
        <f t="shared" si="215"/>
        <v>May 2023</v>
      </c>
    </row>
    <row r="3397" spans="1:14" x14ac:dyDescent="0.25">
      <c r="A3397" s="1">
        <v>45057</v>
      </c>
      <c r="B3397" t="s">
        <v>4942</v>
      </c>
      <c r="C3397">
        <v>74</v>
      </c>
      <c r="D3397" t="s">
        <v>14</v>
      </c>
      <c r="E3397" t="s">
        <v>32</v>
      </c>
      <c r="F3397" t="s">
        <v>23</v>
      </c>
      <c r="G3397" t="s">
        <v>17</v>
      </c>
      <c r="H3397">
        <v>4543.5200000000004</v>
      </c>
      <c r="I3397" s="8" t="str" cm="1">
        <f t="array" ref="I3397">_xlfn.IFS(C3397&lt;=15,"Children and Young Adolescents", C3397&gt;64, "Seniors", TRUE, "Working Age")</f>
        <v>Seniors</v>
      </c>
      <c r="J3397" s="6">
        <f>VLOOKUP(F3397,Analysis!$F$1:$G$5,2,FALSE)</f>
        <v>2440.2966694490838</v>
      </c>
      <c r="K3397">
        <f t="shared" si="212"/>
        <v>4997.87</v>
      </c>
      <c r="L3397">
        <f t="shared" si="213"/>
        <v>4997.88</v>
      </c>
      <c r="M3397">
        <f t="shared" si="214"/>
        <v>4997.87</v>
      </c>
      <c r="N3397" s="5" t="str">
        <f t="shared" si="215"/>
        <v>May 2023</v>
      </c>
    </row>
    <row r="3398" spans="1:14" x14ac:dyDescent="0.25">
      <c r="A3398" s="1">
        <v>45057</v>
      </c>
      <c r="B3398" t="s">
        <v>3685</v>
      </c>
      <c r="C3398">
        <v>68</v>
      </c>
      <c r="D3398" t="s">
        <v>21</v>
      </c>
      <c r="E3398" t="s">
        <v>22</v>
      </c>
      <c r="F3398" t="s">
        <v>11</v>
      </c>
      <c r="G3398" t="s">
        <v>39</v>
      </c>
      <c r="H3398">
        <v>1161.2</v>
      </c>
      <c r="I3398" s="8" t="str" cm="1">
        <f t="array" ref="I3398">_xlfn.IFS(C3398&lt;=15,"Children and Young Adolescents", C3398&gt;64, "Seniors", TRUE, "Working Age")</f>
        <v>Seniors</v>
      </c>
      <c r="J3398" s="6">
        <f>VLOOKUP(F3398,Analysis!$F$1:$G$5,2,FALSE)</f>
        <v>2503.6022787783854</v>
      </c>
      <c r="K3398">
        <f t="shared" si="212"/>
        <v>1277.32</v>
      </c>
      <c r="L3398">
        <f t="shared" si="213"/>
        <v>1277.32</v>
      </c>
      <c r="M3398">
        <f t="shared" si="214"/>
        <v>1277.32</v>
      </c>
      <c r="N3398" s="5" t="str">
        <f t="shared" si="215"/>
        <v>May 2023</v>
      </c>
    </row>
    <row r="3399" spans="1:14" x14ac:dyDescent="0.25">
      <c r="A3399" s="1">
        <v>45057</v>
      </c>
      <c r="B3399" t="s">
        <v>1016</v>
      </c>
      <c r="C3399">
        <v>23</v>
      </c>
      <c r="D3399" t="s">
        <v>14</v>
      </c>
      <c r="E3399" t="s">
        <v>25</v>
      </c>
      <c r="F3399" t="s">
        <v>29</v>
      </c>
      <c r="G3399" t="s">
        <v>36</v>
      </c>
      <c r="H3399">
        <v>3878.48</v>
      </c>
      <c r="I3399" s="8" t="str" cm="1">
        <f t="array" ref="I3399">_xlfn.IFS(C3399&lt;=15,"Children and Young Adolescents", C3399&gt;64, "Seniors", TRUE, "Working Age")</f>
        <v>Working Age</v>
      </c>
      <c r="J3399" s="6">
        <f>VLOOKUP(F3399,Analysis!$F$1:$G$5,2,FALSE)</f>
        <v>2496.7676064256989</v>
      </c>
      <c r="K3399">
        <f t="shared" si="212"/>
        <v>4266.32</v>
      </c>
      <c r="L3399">
        <f t="shared" si="213"/>
        <v>4266.33</v>
      </c>
      <c r="M3399">
        <f t="shared" si="214"/>
        <v>4266.33</v>
      </c>
      <c r="N3399" s="5" t="str">
        <f t="shared" si="215"/>
        <v>May 2023</v>
      </c>
    </row>
    <row r="3400" spans="1:14" x14ac:dyDescent="0.25">
      <c r="A3400" s="1">
        <v>45057</v>
      </c>
      <c r="B3400" t="s">
        <v>4938</v>
      </c>
      <c r="C3400">
        <v>21</v>
      </c>
      <c r="D3400" t="s">
        <v>14</v>
      </c>
      <c r="E3400" t="s">
        <v>15</v>
      </c>
      <c r="F3400" t="s">
        <v>11</v>
      </c>
      <c r="G3400" t="s">
        <v>36</v>
      </c>
      <c r="H3400">
        <v>2251.14</v>
      </c>
      <c r="I3400" s="8" t="str" cm="1">
        <f t="array" ref="I3400">_xlfn.IFS(C3400&lt;=15,"Children and Young Adolescents", C3400&gt;64, "Seniors", TRUE, "Working Age")</f>
        <v>Working Age</v>
      </c>
      <c r="J3400" s="6">
        <f>VLOOKUP(F3400,Analysis!$F$1:$G$5,2,FALSE)</f>
        <v>2503.6022787783854</v>
      </c>
      <c r="K3400">
        <f t="shared" si="212"/>
        <v>2476.25</v>
      </c>
      <c r="L3400">
        <f t="shared" si="213"/>
        <v>2476.2600000000002</v>
      </c>
      <c r="M3400">
        <f t="shared" si="214"/>
        <v>2476.25</v>
      </c>
      <c r="N3400" s="5" t="str">
        <f t="shared" si="215"/>
        <v>May 2023</v>
      </c>
    </row>
    <row r="3401" spans="1:14" x14ac:dyDescent="0.25">
      <c r="A3401" s="1">
        <v>45057</v>
      </c>
      <c r="B3401" t="s">
        <v>3917</v>
      </c>
      <c r="C3401">
        <v>40</v>
      </c>
      <c r="D3401" t="s">
        <v>14</v>
      </c>
      <c r="E3401" t="s">
        <v>10</v>
      </c>
      <c r="F3401" t="s">
        <v>23</v>
      </c>
      <c r="G3401" t="s">
        <v>36</v>
      </c>
      <c r="H3401">
        <v>4272.28</v>
      </c>
      <c r="I3401" s="8" t="str" cm="1">
        <f t="array" ref="I3401">_xlfn.IFS(C3401&lt;=15,"Children and Young Adolescents", C3401&gt;64, "Seniors", TRUE, "Working Age")</f>
        <v>Working Age</v>
      </c>
      <c r="J3401" s="6">
        <f>VLOOKUP(F3401,Analysis!$F$1:$G$5,2,FALSE)</f>
        <v>2440.2966694490838</v>
      </c>
      <c r="K3401">
        <f t="shared" si="212"/>
        <v>4699.5</v>
      </c>
      <c r="L3401">
        <f t="shared" si="213"/>
        <v>4699.51</v>
      </c>
      <c r="M3401">
        <f t="shared" si="214"/>
        <v>4699.51</v>
      </c>
      <c r="N3401" s="5" t="str">
        <f t="shared" si="215"/>
        <v>May 2023</v>
      </c>
    </row>
    <row r="3402" spans="1:14" x14ac:dyDescent="0.25">
      <c r="A3402" s="1">
        <v>45057</v>
      </c>
      <c r="B3402" t="s">
        <v>4890</v>
      </c>
      <c r="C3402">
        <v>95</v>
      </c>
      <c r="D3402" t="s">
        <v>21</v>
      </c>
      <c r="E3402" t="s">
        <v>25</v>
      </c>
      <c r="F3402" t="s">
        <v>16</v>
      </c>
      <c r="G3402" t="s">
        <v>39</v>
      </c>
      <c r="H3402">
        <v>455.81</v>
      </c>
      <c r="I3402" s="8" t="str" cm="1">
        <f t="array" ref="I3402">_xlfn.IFS(C3402&lt;=15,"Children and Young Adolescents", C3402&gt;64, "Seniors", TRUE, "Working Age")</f>
        <v>Seniors</v>
      </c>
      <c r="J3402" s="6">
        <f>VLOOKUP(F3402,Analysis!$F$1:$G$5,2,FALSE)</f>
        <v>2509.1716796874912</v>
      </c>
      <c r="K3402">
        <f t="shared" si="212"/>
        <v>501.39</v>
      </c>
      <c r="L3402">
        <f t="shared" si="213"/>
        <v>501.4</v>
      </c>
      <c r="M3402">
        <f t="shared" si="214"/>
        <v>501.39</v>
      </c>
      <c r="N3402" s="5" t="str">
        <f t="shared" si="215"/>
        <v>May 2023</v>
      </c>
    </row>
    <row r="3403" spans="1:14" x14ac:dyDescent="0.25">
      <c r="A3403" s="1">
        <v>45058</v>
      </c>
      <c r="B3403" t="s">
        <v>366</v>
      </c>
      <c r="C3403">
        <v>97</v>
      </c>
      <c r="D3403" t="s">
        <v>21</v>
      </c>
      <c r="E3403" t="s">
        <v>19</v>
      </c>
      <c r="F3403" t="s">
        <v>23</v>
      </c>
      <c r="G3403" t="s">
        <v>17</v>
      </c>
      <c r="H3403">
        <v>2934.58</v>
      </c>
      <c r="I3403" s="8" t="str" cm="1">
        <f t="array" ref="I3403">_xlfn.IFS(C3403&lt;=15,"Children and Young Adolescents", C3403&gt;64, "Seniors", TRUE, "Working Age")</f>
        <v>Seniors</v>
      </c>
      <c r="J3403" s="6">
        <f>VLOOKUP(F3403,Analysis!$F$1:$G$5,2,FALSE)</f>
        <v>2440.2966694490838</v>
      </c>
      <c r="K3403">
        <f t="shared" si="212"/>
        <v>3228.03</v>
      </c>
      <c r="L3403">
        <f t="shared" si="213"/>
        <v>3228.0400000000004</v>
      </c>
      <c r="M3403">
        <f t="shared" si="214"/>
        <v>3228.04</v>
      </c>
      <c r="N3403" s="5" t="str">
        <f t="shared" si="215"/>
        <v>May 2023</v>
      </c>
    </row>
    <row r="3404" spans="1:14" x14ac:dyDescent="0.25">
      <c r="A3404" s="1">
        <v>45058</v>
      </c>
      <c r="B3404" t="s">
        <v>1000</v>
      </c>
      <c r="C3404">
        <v>24</v>
      </c>
      <c r="D3404" t="s">
        <v>9</v>
      </c>
      <c r="E3404" t="s">
        <v>34</v>
      </c>
      <c r="F3404" t="s">
        <v>11</v>
      </c>
      <c r="G3404" t="s">
        <v>39</v>
      </c>
      <c r="H3404">
        <v>1254.32</v>
      </c>
      <c r="I3404" s="8" t="str" cm="1">
        <f t="array" ref="I3404">_xlfn.IFS(C3404&lt;=15,"Children and Young Adolescents", C3404&gt;64, "Seniors", TRUE, "Working Age")</f>
        <v>Working Age</v>
      </c>
      <c r="J3404" s="6">
        <f>VLOOKUP(F3404,Analysis!$F$1:$G$5,2,FALSE)</f>
        <v>2503.6022787783854</v>
      </c>
      <c r="K3404">
        <f t="shared" si="212"/>
        <v>1379.75</v>
      </c>
      <c r="L3404">
        <f t="shared" si="213"/>
        <v>1379.76</v>
      </c>
      <c r="M3404">
        <f t="shared" si="214"/>
        <v>1379.75</v>
      </c>
      <c r="N3404" s="5" t="str">
        <f t="shared" si="215"/>
        <v>May 2023</v>
      </c>
    </row>
    <row r="3405" spans="1:14" x14ac:dyDescent="0.25">
      <c r="A3405" s="1">
        <v>45058</v>
      </c>
      <c r="B3405" t="s">
        <v>3723</v>
      </c>
      <c r="C3405">
        <v>70</v>
      </c>
      <c r="D3405" t="s">
        <v>9</v>
      </c>
      <c r="E3405" t="s">
        <v>32</v>
      </c>
      <c r="F3405" t="s">
        <v>23</v>
      </c>
      <c r="G3405" t="s">
        <v>17</v>
      </c>
      <c r="H3405">
        <v>4793.6000000000004</v>
      </c>
      <c r="I3405" s="8" t="str" cm="1">
        <f t="array" ref="I3405">_xlfn.IFS(C3405&lt;=15,"Children and Young Adolescents", C3405&gt;64, "Seniors", TRUE, "Working Age")</f>
        <v>Seniors</v>
      </c>
      <c r="J3405" s="6">
        <f>VLOOKUP(F3405,Analysis!$F$1:$G$5,2,FALSE)</f>
        <v>2440.2966694490838</v>
      </c>
      <c r="K3405">
        <f t="shared" si="212"/>
        <v>5272.96</v>
      </c>
      <c r="L3405">
        <f t="shared" si="213"/>
        <v>5272.96</v>
      </c>
      <c r="M3405">
        <f t="shared" si="214"/>
        <v>5272.96</v>
      </c>
      <c r="N3405" s="5" t="str">
        <f t="shared" si="215"/>
        <v>May 2023</v>
      </c>
    </row>
    <row r="3406" spans="1:14" x14ac:dyDescent="0.25">
      <c r="A3406" s="1">
        <v>45058</v>
      </c>
      <c r="B3406" t="s">
        <v>399</v>
      </c>
      <c r="C3406">
        <v>93</v>
      </c>
      <c r="D3406" t="s">
        <v>14</v>
      </c>
      <c r="E3406" t="s">
        <v>25</v>
      </c>
      <c r="F3406" t="s">
        <v>11</v>
      </c>
      <c r="G3406" t="s">
        <v>27</v>
      </c>
      <c r="H3406">
        <v>2580.65</v>
      </c>
      <c r="I3406" s="8" t="str" cm="1">
        <f t="array" ref="I3406">_xlfn.IFS(C3406&lt;=15,"Children and Young Adolescents", C3406&gt;64, "Seniors", TRUE, "Working Age")</f>
        <v>Seniors</v>
      </c>
      <c r="J3406" s="6">
        <f>VLOOKUP(F3406,Analysis!$F$1:$G$5,2,FALSE)</f>
        <v>2503.6022787783854</v>
      </c>
      <c r="K3406">
        <f t="shared" si="212"/>
        <v>2838.71</v>
      </c>
      <c r="L3406">
        <f t="shared" si="213"/>
        <v>2838.7200000000003</v>
      </c>
      <c r="M3406">
        <f t="shared" si="214"/>
        <v>2838.72</v>
      </c>
      <c r="N3406" s="5" t="str">
        <f t="shared" si="215"/>
        <v>May 2023</v>
      </c>
    </row>
    <row r="3407" spans="1:14" x14ac:dyDescent="0.25">
      <c r="A3407" s="1">
        <v>45058</v>
      </c>
      <c r="B3407" t="s">
        <v>1927</v>
      </c>
      <c r="C3407">
        <v>47</v>
      </c>
      <c r="D3407" t="s">
        <v>9</v>
      </c>
      <c r="E3407" t="s">
        <v>19</v>
      </c>
      <c r="F3407" t="s">
        <v>11</v>
      </c>
      <c r="G3407" t="s">
        <v>36</v>
      </c>
      <c r="H3407">
        <v>1290.4100000000001</v>
      </c>
      <c r="I3407" s="8" t="str" cm="1">
        <f t="array" ref="I3407">_xlfn.IFS(C3407&lt;=15,"Children and Young Adolescents", C3407&gt;64, "Seniors", TRUE, "Working Age")</f>
        <v>Working Age</v>
      </c>
      <c r="J3407" s="6">
        <f>VLOOKUP(F3407,Analysis!$F$1:$G$5,2,FALSE)</f>
        <v>2503.6022787783854</v>
      </c>
      <c r="K3407">
        <f t="shared" si="212"/>
        <v>1419.45</v>
      </c>
      <c r="L3407">
        <f t="shared" si="213"/>
        <v>1419.46</v>
      </c>
      <c r="M3407">
        <f t="shared" si="214"/>
        <v>1419.45</v>
      </c>
      <c r="N3407" s="5" t="str">
        <f t="shared" si="215"/>
        <v>May 2023</v>
      </c>
    </row>
    <row r="3408" spans="1:14" x14ac:dyDescent="0.25">
      <c r="A3408" s="1">
        <v>45058</v>
      </c>
      <c r="B3408" t="s">
        <v>288</v>
      </c>
      <c r="C3408">
        <v>58</v>
      </c>
      <c r="D3408" t="s">
        <v>21</v>
      </c>
      <c r="E3408" t="s">
        <v>5032</v>
      </c>
      <c r="F3408" t="s">
        <v>29</v>
      </c>
      <c r="G3408" t="s">
        <v>39</v>
      </c>
      <c r="H3408">
        <v>4780.29</v>
      </c>
      <c r="I3408" s="8" t="str" cm="1">
        <f t="array" ref="I3408">_xlfn.IFS(C3408&lt;=15,"Children and Young Adolescents", C3408&gt;64, "Seniors", TRUE, "Working Age")</f>
        <v>Working Age</v>
      </c>
      <c r="J3408" s="6">
        <f>VLOOKUP(F3408,Analysis!$F$1:$G$5,2,FALSE)</f>
        <v>2496.7676064256989</v>
      </c>
      <c r="K3408">
        <f t="shared" si="212"/>
        <v>5258.31</v>
      </c>
      <c r="L3408">
        <f t="shared" si="213"/>
        <v>5258.3200000000006</v>
      </c>
      <c r="M3408">
        <f t="shared" si="214"/>
        <v>5258.32</v>
      </c>
      <c r="N3408" s="5" t="str">
        <f t="shared" si="215"/>
        <v>May 2023</v>
      </c>
    </row>
    <row r="3409" spans="1:14" x14ac:dyDescent="0.25">
      <c r="A3409" s="1">
        <v>45058</v>
      </c>
      <c r="B3409" t="s">
        <v>787</v>
      </c>
      <c r="C3409">
        <v>56</v>
      </c>
      <c r="D3409" t="s">
        <v>14</v>
      </c>
      <c r="E3409" t="s">
        <v>32</v>
      </c>
      <c r="F3409" t="s">
        <v>29</v>
      </c>
      <c r="G3409" t="s">
        <v>17</v>
      </c>
      <c r="H3409">
        <v>715.1</v>
      </c>
      <c r="I3409" s="8" t="str" cm="1">
        <f t="array" ref="I3409">_xlfn.IFS(C3409&lt;=15,"Children and Young Adolescents", C3409&gt;64, "Seniors", TRUE, "Working Age")</f>
        <v>Working Age</v>
      </c>
      <c r="J3409" s="6">
        <f>VLOOKUP(F3409,Analysis!$F$1:$G$5,2,FALSE)</f>
        <v>2496.7676064256989</v>
      </c>
      <c r="K3409">
        <f t="shared" si="212"/>
        <v>786.61</v>
      </c>
      <c r="L3409">
        <f t="shared" si="213"/>
        <v>786.61</v>
      </c>
      <c r="M3409">
        <f t="shared" si="214"/>
        <v>786.61</v>
      </c>
      <c r="N3409" s="5" t="str">
        <f t="shared" si="215"/>
        <v>May 2023</v>
      </c>
    </row>
    <row r="3410" spans="1:14" x14ac:dyDescent="0.25">
      <c r="A3410" s="1">
        <v>45059</v>
      </c>
      <c r="B3410" t="s">
        <v>718</v>
      </c>
      <c r="C3410">
        <v>16</v>
      </c>
      <c r="D3410" t="s">
        <v>9</v>
      </c>
      <c r="E3410" t="s">
        <v>15</v>
      </c>
      <c r="F3410" t="s">
        <v>16</v>
      </c>
      <c r="G3410" t="s">
        <v>17</v>
      </c>
      <c r="H3410">
        <v>760.13</v>
      </c>
      <c r="I3410" s="8" t="str" cm="1">
        <f t="array" ref="I3410">_xlfn.IFS(C3410&lt;=15,"Children and Young Adolescents", C3410&gt;64, "Seniors", TRUE, "Working Age")</f>
        <v>Working Age</v>
      </c>
      <c r="J3410" s="6">
        <f>VLOOKUP(F3410,Analysis!$F$1:$G$5,2,FALSE)</f>
        <v>2509.1716796874912</v>
      </c>
      <c r="K3410">
        <f t="shared" si="212"/>
        <v>836.14</v>
      </c>
      <c r="L3410">
        <f t="shared" si="213"/>
        <v>836.15</v>
      </c>
      <c r="M3410">
        <f t="shared" si="214"/>
        <v>836.14</v>
      </c>
      <c r="N3410" s="5" t="str">
        <f t="shared" si="215"/>
        <v>May 2023</v>
      </c>
    </row>
    <row r="3411" spans="1:14" x14ac:dyDescent="0.25">
      <c r="A3411" s="1">
        <v>45059</v>
      </c>
      <c r="B3411" t="s">
        <v>1730</v>
      </c>
      <c r="C3411">
        <v>34</v>
      </c>
      <c r="D3411" t="s">
        <v>14</v>
      </c>
      <c r="E3411" t="s">
        <v>25</v>
      </c>
      <c r="F3411" t="s">
        <v>29</v>
      </c>
      <c r="G3411" t="s">
        <v>12</v>
      </c>
      <c r="H3411">
        <v>4917.12</v>
      </c>
      <c r="I3411" s="8" t="str" cm="1">
        <f t="array" ref="I3411">_xlfn.IFS(C3411&lt;=15,"Children and Young Adolescents", C3411&gt;64, "Seniors", TRUE, "Working Age")</f>
        <v>Working Age</v>
      </c>
      <c r="J3411" s="6">
        <f>VLOOKUP(F3411,Analysis!$F$1:$G$5,2,FALSE)</f>
        <v>2496.7676064256989</v>
      </c>
      <c r="K3411">
        <f t="shared" si="212"/>
        <v>5408.83</v>
      </c>
      <c r="L3411">
        <f t="shared" si="213"/>
        <v>5408.84</v>
      </c>
      <c r="M3411">
        <f t="shared" si="214"/>
        <v>5408.83</v>
      </c>
      <c r="N3411" s="5" t="str">
        <f t="shared" si="215"/>
        <v>May 2023</v>
      </c>
    </row>
    <row r="3412" spans="1:14" x14ac:dyDescent="0.25">
      <c r="A3412" s="1">
        <v>45059</v>
      </c>
      <c r="B3412" t="s">
        <v>1176</v>
      </c>
      <c r="C3412">
        <v>98</v>
      </c>
      <c r="D3412" t="s">
        <v>14</v>
      </c>
      <c r="E3412" t="s">
        <v>15</v>
      </c>
      <c r="F3412" t="s">
        <v>29</v>
      </c>
      <c r="G3412" t="s">
        <v>36</v>
      </c>
      <c r="H3412">
        <v>679.97</v>
      </c>
      <c r="I3412" s="8" t="str" cm="1">
        <f t="array" ref="I3412">_xlfn.IFS(C3412&lt;=15,"Children and Young Adolescents", C3412&gt;64, "Seniors", TRUE, "Working Age")</f>
        <v>Seniors</v>
      </c>
      <c r="J3412" s="6">
        <f>VLOOKUP(F3412,Analysis!$F$1:$G$5,2,FALSE)</f>
        <v>2496.7676064256989</v>
      </c>
      <c r="K3412">
        <f t="shared" si="212"/>
        <v>747.96</v>
      </c>
      <c r="L3412">
        <f t="shared" si="213"/>
        <v>747.97</v>
      </c>
      <c r="M3412">
        <f t="shared" si="214"/>
        <v>747.97</v>
      </c>
      <c r="N3412" s="5" t="str">
        <f t="shared" si="215"/>
        <v>May 2023</v>
      </c>
    </row>
    <row r="3413" spans="1:14" x14ac:dyDescent="0.25">
      <c r="A3413" s="1">
        <v>45059</v>
      </c>
      <c r="B3413" t="s">
        <v>4913</v>
      </c>
      <c r="C3413">
        <v>73</v>
      </c>
      <c r="D3413" t="s">
        <v>14</v>
      </c>
      <c r="E3413" t="s">
        <v>34</v>
      </c>
      <c r="F3413" t="s">
        <v>29</v>
      </c>
      <c r="G3413" t="s">
        <v>17</v>
      </c>
      <c r="H3413">
        <v>3361.81</v>
      </c>
      <c r="I3413" s="8" t="str" cm="1">
        <f t="array" ref="I3413">_xlfn.IFS(C3413&lt;=15,"Children and Young Adolescents", C3413&gt;64, "Seniors", TRUE, "Working Age")</f>
        <v>Seniors</v>
      </c>
      <c r="J3413" s="6">
        <f>VLOOKUP(F3413,Analysis!$F$1:$G$5,2,FALSE)</f>
        <v>2496.7676064256989</v>
      </c>
      <c r="K3413">
        <f t="shared" si="212"/>
        <v>3697.99</v>
      </c>
      <c r="L3413">
        <f t="shared" si="213"/>
        <v>3698</v>
      </c>
      <c r="M3413">
        <f t="shared" si="214"/>
        <v>3697.99</v>
      </c>
      <c r="N3413" s="5" t="str">
        <f t="shared" si="215"/>
        <v>May 2023</v>
      </c>
    </row>
    <row r="3414" spans="1:14" x14ac:dyDescent="0.25">
      <c r="A3414" s="1">
        <v>45059</v>
      </c>
      <c r="B3414" t="s">
        <v>1383</v>
      </c>
      <c r="C3414">
        <v>85</v>
      </c>
      <c r="D3414" t="s">
        <v>9</v>
      </c>
      <c r="E3414" t="s">
        <v>5032</v>
      </c>
      <c r="F3414" t="s">
        <v>11</v>
      </c>
      <c r="G3414" t="s">
        <v>36</v>
      </c>
      <c r="H3414">
        <v>3207.71</v>
      </c>
      <c r="I3414" s="8" t="str" cm="1">
        <f t="array" ref="I3414">_xlfn.IFS(C3414&lt;=15,"Children and Young Adolescents", C3414&gt;64, "Seniors", TRUE, "Working Age")</f>
        <v>Seniors</v>
      </c>
      <c r="J3414" s="6">
        <f>VLOOKUP(F3414,Analysis!$F$1:$G$5,2,FALSE)</f>
        <v>2503.6022787783854</v>
      </c>
      <c r="K3414">
        <f t="shared" si="212"/>
        <v>3528.48</v>
      </c>
      <c r="L3414">
        <f t="shared" si="213"/>
        <v>3528.4900000000002</v>
      </c>
      <c r="M3414">
        <f t="shared" si="214"/>
        <v>3528.48</v>
      </c>
      <c r="N3414" s="5" t="str">
        <f t="shared" si="215"/>
        <v>May 2023</v>
      </c>
    </row>
    <row r="3415" spans="1:14" x14ac:dyDescent="0.25">
      <c r="A3415" s="1">
        <v>45059</v>
      </c>
      <c r="B3415" t="s">
        <v>2335</v>
      </c>
      <c r="C3415">
        <v>99</v>
      </c>
      <c r="D3415" t="s">
        <v>21</v>
      </c>
      <c r="E3415" t="s">
        <v>22</v>
      </c>
      <c r="F3415" t="s">
        <v>23</v>
      </c>
      <c r="G3415" t="s">
        <v>17</v>
      </c>
      <c r="H3415">
        <v>1555</v>
      </c>
      <c r="I3415" s="8" t="str" cm="1">
        <f t="array" ref="I3415">_xlfn.IFS(C3415&lt;=15,"Children and Young Adolescents", C3415&gt;64, "Seniors", TRUE, "Working Age")</f>
        <v>Seniors</v>
      </c>
      <c r="J3415" s="6">
        <f>VLOOKUP(F3415,Analysis!$F$1:$G$5,2,FALSE)</f>
        <v>2440.2966694490838</v>
      </c>
      <c r="K3415">
        <f t="shared" si="212"/>
        <v>1710.5</v>
      </c>
      <c r="L3415">
        <f t="shared" si="213"/>
        <v>1710.5</v>
      </c>
      <c r="M3415">
        <f t="shared" si="214"/>
        <v>1710.5</v>
      </c>
      <c r="N3415" s="5" t="str">
        <f t="shared" si="215"/>
        <v>May 2023</v>
      </c>
    </row>
    <row r="3416" spans="1:14" x14ac:dyDescent="0.25">
      <c r="A3416" s="1">
        <v>45059</v>
      </c>
      <c r="B3416" t="s">
        <v>548</v>
      </c>
      <c r="C3416">
        <v>13</v>
      </c>
      <c r="D3416" t="s">
        <v>21</v>
      </c>
      <c r="E3416" t="s">
        <v>15</v>
      </c>
      <c r="F3416" t="s">
        <v>16</v>
      </c>
      <c r="G3416" t="s">
        <v>12</v>
      </c>
      <c r="H3416">
        <v>2013.1</v>
      </c>
      <c r="I3416" s="8" t="str" cm="1">
        <f t="array" ref="I3416">_xlfn.IFS(C3416&lt;=15,"Children and Young Adolescents", C3416&gt;64, "Seniors", TRUE, "Working Age")</f>
        <v>Children and Young Adolescents</v>
      </c>
      <c r="J3416" s="6">
        <f>VLOOKUP(F3416,Analysis!$F$1:$G$5,2,FALSE)</f>
        <v>2509.1716796874912</v>
      </c>
      <c r="K3416">
        <f t="shared" si="212"/>
        <v>2214.41</v>
      </c>
      <c r="L3416">
        <f t="shared" si="213"/>
        <v>2214.41</v>
      </c>
      <c r="M3416">
        <f t="shared" si="214"/>
        <v>2214.41</v>
      </c>
      <c r="N3416" s="5" t="str">
        <f t="shared" si="215"/>
        <v>May 2023</v>
      </c>
    </row>
    <row r="3417" spans="1:14" x14ac:dyDescent="0.25">
      <c r="A3417" s="1">
        <v>45059</v>
      </c>
      <c r="B3417" t="s">
        <v>3885</v>
      </c>
      <c r="C3417">
        <v>93</v>
      </c>
      <c r="D3417" t="s">
        <v>21</v>
      </c>
      <c r="E3417" t="s">
        <v>32</v>
      </c>
      <c r="F3417" t="s">
        <v>16</v>
      </c>
      <c r="G3417" t="s">
        <v>12</v>
      </c>
      <c r="H3417">
        <v>1222.19</v>
      </c>
      <c r="I3417" s="8" t="str" cm="1">
        <f t="array" ref="I3417">_xlfn.IFS(C3417&lt;=15,"Children and Young Adolescents", C3417&gt;64, "Seniors", TRUE, "Working Age")</f>
        <v>Seniors</v>
      </c>
      <c r="J3417" s="6">
        <f>VLOOKUP(F3417,Analysis!$F$1:$G$5,2,FALSE)</f>
        <v>2509.1716796874912</v>
      </c>
      <c r="K3417">
        <f t="shared" si="212"/>
        <v>1344.4</v>
      </c>
      <c r="L3417">
        <f t="shared" si="213"/>
        <v>1344.41</v>
      </c>
      <c r="M3417">
        <f t="shared" si="214"/>
        <v>1344.41</v>
      </c>
      <c r="N3417" s="5" t="str">
        <f t="shared" si="215"/>
        <v>May 2023</v>
      </c>
    </row>
    <row r="3418" spans="1:14" x14ac:dyDescent="0.25">
      <c r="A3418" s="1">
        <v>45059</v>
      </c>
      <c r="B3418" t="s">
        <v>2554</v>
      </c>
      <c r="C3418">
        <v>45</v>
      </c>
      <c r="D3418" t="s">
        <v>14</v>
      </c>
      <c r="E3418" t="s">
        <v>22</v>
      </c>
      <c r="F3418" t="s">
        <v>29</v>
      </c>
      <c r="G3418" t="s">
        <v>36</v>
      </c>
      <c r="H3418">
        <v>3285.48</v>
      </c>
      <c r="I3418" s="8" t="str" cm="1">
        <f t="array" ref="I3418">_xlfn.IFS(C3418&lt;=15,"Children and Young Adolescents", C3418&gt;64, "Seniors", TRUE, "Working Age")</f>
        <v>Working Age</v>
      </c>
      <c r="J3418" s="6">
        <f>VLOOKUP(F3418,Analysis!$F$1:$G$5,2,FALSE)</f>
        <v>2496.7676064256989</v>
      </c>
      <c r="K3418">
        <f t="shared" si="212"/>
        <v>3614.02</v>
      </c>
      <c r="L3418">
        <f t="shared" si="213"/>
        <v>3614.03</v>
      </c>
      <c r="M3418">
        <f t="shared" si="214"/>
        <v>3614.03</v>
      </c>
      <c r="N3418" s="5" t="str">
        <f t="shared" si="215"/>
        <v>May 2023</v>
      </c>
    </row>
    <row r="3419" spans="1:14" x14ac:dyDescent="0.25">
      <c r="A3419" s="1">
        <v>45060</v>
      </c>
      <c r="B3419" t="s">
        <v>134</v>
      </c>
      <c r="C3419">
        <v>57</v>
      </c>
      <c r="D3419" t="s">
        <v>14</v>
      </c>
      <c r="E3419" t="s">
        <v>22</v>
      </c>
      <c r="F3419" t="s">
        <v>23</v>
      </c>
      <c r="G3419" t="s">
        <v>27</v>
      </c>
      <c r="H3419">
        <v>2696.78</v>
      </c>
      <c r="I3419" s="8" t="str" cm="1">
        <f t="array" ref="I3419">_xlfn.IFS(C3419&lt;=15,"Children and Young Adolescents", C3419&gt;64, "Seniors", TRUE, "Working Age")</f>
        <v>Working Age</v>
      </c>
      <c r="J3419" s="6">
        <f>VLOOKUP(F3419,Analysis!$F$1:$G$5,2,FALSE)</f>
        <v>2440.2966694490838</v>
      </c>
      <c r="K3419">
        <f t="shared" si="212"/>
        <v>2966.45</v>
      </c>
      <c r="L3419">
        <f t="shared" si="213"/>
        <v>2966.46</v>
      </c>
      <c r="M3419">
        <f t="shared" si="214"/>
        <v>2966.46</v>
      </c>
      <c r="N3419" s="5" t="str">
        <f t="shared" si="215"/>
        <v>May 2023</v>
      </c>
    </row>
    <row r="3420" spans="1:14" x14ac:dyDescent="0.25">
      <c r="A3420" s="1">
        <v>45060</v>
      </c>
      <c r="B3420" t="s">
        <v>2609</v>
      </c>
      <c r="C3420">
        <v>95</v>
      </c>
      <c r="D3420" t="s">
        <v>9</v>
      </c>
      <c r="E3420" t="s">
        <v>15</v>
      </c>
      <c r="F3420" t="s">
        <v>11</v>
      </c>
      <c r="G3420" t="s">
        <v>39</v>
      </c>
      <c r="H3420">
        <v>460.63</v>
      </c>
      <c r="I3420" s="8" t="str" cm="1">
        <f t="array" ref="I3420">_xlfn.IFS(C3420&lt;=15,"Children and Young Adolescents", C3420&gt;64, "Seniors", TRUE, "Working Age")</f>
        <v>Seniors</v>
      </c>
      <c r="J3420" s="6">
        <f>VLOOKUP(F3420,Analysis!$F$1:$G$5,2,FALSE)</f>
        <v>2503.6022787783854</v>
      </c>
      <c r="K3420">
        <f t="shared" si="212"/>
        <v>506.69</v>
      </c>
      <c r="L3420">
        <f t="shared" si="213"/>
        <v>506.7</v>
      </c>
      <c r="M3420">
        <f t="shared" si="214"/>
        <v>506.69</v>
      </c>
      <c r="N3420" s="5" t="str">
        <f t="shared" si="215"/>
        <v>May 2023</v>
      </c>
    </row>
    <row r="3421" spans="1:14" x14ac:dyDescent="0.25">
      <c r="A3421" s="1">
        <v>45060</v>
      </c>
      <c r="B3421" t="s">
        <v>629</v>
      </c>
      <c r="C3421">
        <v>18</v>
      </c>
      <c r="D3421" t="s">
        <v>9</v>
      </c>
      <c r="E3421" t="s">
        <v>32</v>
      </c>
      <c r="F3421" t="s">
        <v>16</v>
      </c>
      <c r="G3421" t="s">
        <v>12</v>
      </c>
      <c r="H3421">
        <v>1450.49</v>
      </c>
      <c r="I3421" s="8" t="str" cm="1">
        <f t="array" ref="I3421">_xlfn.IFS(C3421&lt;=15,"Children and Young Adolescents", C3421&gt;64, "Seniors", TRUE, "Working Age")</f>
        <v>Working Age</v>
      </c>
      <c r="J3421" s="6">
        <f>VLOOKUP(F3421,Analysis!$F$1:$G$5,2,FALSE)</f>
        <v>2509.1716796874912</v>
      </c>
      <c r="K3421">
        <f t="shared" si="212"/>
        <v>1595.53</v>
      </c>
      <c r="L3421">
        <f t="shared" si="213"/>
        <v>1595.54</v>
      </c>
      <c r="M3421">
        <f t="shared" si="214"/>
        <v>1595.54</v>
      </c>
      <c r="N3421" s="5" t="str">
        <f t="shared" si="215"/>
        <v>May 2023</v>
      </c>
    </row>
    <row r="3422" spans="1:14" x14ac:dyDescent="0.25">
      <c r="A3422" s="1">
        <v>45060</v>
      </c>
      <c r="B3422" t="s">
        <v>2619</v>
      </c>
      <c r="C3422">
        <v>93</v>
      </c>
      <c r="D3422" t="s">
        <v>14</v>
      </c>
      <c r="E3422" t="s">
        <v>19</v>
      </c>
      <c r="F3422" t="s">
        <v>16</v>
      </c>
      <c r="G3422" t="s">
        <v>27</v>
      </c>
      <c r="H3422">
        <v>1888.1</v>
      </c>
      <c r="I3422" s="8" t="str" cm="1">
        <f t="array" ref="I3422">_xlfn.IFS(C3422&lt;=15,"Children and Young Adolescents", C3422&gt;64, "Seniors", TRUE, "Working Age")</f>
        <v>Seniors</v>
      </c>
      <c r="J3422" s="6">
        <f>VLOOKUP(F3422,Analysis!$F$1:$G$5,2,FALSE)</f>
        <v>2509.1716796874912</v>
      </c>
      <c r="K3422">
        <f t="shared" si="212"/>
        <v>2076.91</v>
      </c>
      <c r="L3422">
        <f t="shared" si="213"/>
        <v>2076.91</v>
      </c>
      <c r="M3422">
        <f t="shared" si="214"/>
        <v>2076.91</v>
      </c>
      <c r="N3422" s="5" t="str">
        <f t="shared" si="215"/>
        <v>May 2023</v>
      </c>
    </row>
    <row r="3423" spans="1:14" x14ac:dyDescent="0.25">
      <c r="A3423" s="1">
        <v>45061</v>
      </c>
      <c r="B3423" t="s">
        <v>796</v>
      </c>
      <c r="C3423">
        <v>39</v>
      </c>
      <c r="D3423" t="s">
        <v>21</v>
      </c>
      <c r="E3423" t="s">
        <v>34</v>
      </c>
      <c r="F3423" t="s">
        <v>23</v>
      </c>
      <c r="G3423" t="s">
        <v>17</v>
      </c>
      <c r="H3423">
        <v>631.64</v>
      </c>
      <c r="I3423" s="8" t="str" cm="1">
        <f t="array" ref="I3423">_xlfn.IFS(C3423&lt;=15,"Children and Young Adolescents", C3423&gt;64, "Seniors", TRUE, "Working Age")</f>
        <v>Working Age</v>
      </c>
      <c r="J3423" s="6">
        <f>VLOOKUP(F3423,Analysis!$F$1:$G$5,2,FALSE)</f>
        <v>2440.2966694490838</v>
      </c>
      <c r="K3423">
        <f t="shared" si="212"/>
        <v>694.8</v>
      </c>
      <c r="L3423">
        <f t="shared" si="213"/>
        <v>694.81</v>
      </c>
      <c r="M3423">
        <f t="shared" si="214"/>
        <v>694.8</v>
      </c>
      <c r="N3423" s="5" t="str">
        <f t="shared" si="215"/>
        <v>May 2023</v>
      </c>
    </row>
    <row r="3424" spans="1:14" x14ac:dyDescent="0.25">
      <c r="A3424" s="1">
        <v>45061</v>
      </c>
      <c r="B3424" t="s">
        <v>2083</v>
      </c>
      <c r="C3424">
        <v>26</v>
      </c>
      <c r="D3424" t="s">
        <v>9</v>
      </c>
      <c r="E3424" t="s">
        <v>22</v>
      </c>
      <c r="F3424" t="s">
        <v>29</v>
      </c>
      <c r="G3424" t="s">
        <v>12</v>
      </c>
      <c r="H3424">
        <v>853.38</v>
      </c>
      <c r="I3424" s="8" t="str" cm="1">
        <f t="array" ref="I3424">_xlfn.IFS(C3424&lt;=15,"Children and Young Adolescents", C3424&gt;64, "Seniors", TRUE, "Working Age")</f>
        <v>Working Age</v>
      </c>
      <c r="J3424" s="6">
        <f>VLOOKUP(F3424,Analysis!$F$1:$G$5,2,FALSE)</f>
        <v>2496.7676064256989</v>
      </c>
      <c r="K3424">
        <f t="shared" si="212"/>
        <v>938.71</v>
      </c>
      <c r="L3424">
        <f t="shared" si="213"/>
        <v>938.72</v>
      </c>
      <c r="M3424">
        <f t="shared" si="214"/>
        <v>938.72</v>
      </c>
      <c r="N3424" s="5" t="str">
        <f t="shared" si="215"/>
        <v>May 2023</v>
      </c>
    </row>
    <row r="3425" spans="1:14" x14ac:dyDescent="0.25">
      <c r="A3425" s="1">
        <v>45061</v>
      </c>
      <c r="B3425" t="s">
        <v>3831</v>
      </c>
      <c r="C3425">
        <v>9</v>
      </c>
      <c r="D3425" t="s">
        <v>9</v>
      </c>
      <c r="E3425" t="s">
        <v>10</v>
      </c>
      <c r="F3425" t="s">
        <v>11</v>
      </c>
      <c r="G3425" t="s">
        <v>36</v>
      </c>
      <c r="H3425">
        <v>2440.62</v>
      </c>
      <c r="I3425" s="8" t="str" cm="1">
        <f t="array" ref="I3425">_xlfn.IFS(C3425&lt;=15,"Children and Young Adolescents", C3425&gt;64, "Seniors", TRUE, "Working Age")</f>
        <v>Children and Young Adolescents</v>
      </c>
      <c r="J3425" s="6">
        <f>VLOOKUP(F3425,Analysis!$F$1:$G$5,2,FALSE)</f>
        <v>2503.6022787783854</v>
      </c>
      <c r="K3425">
        <f t="shared" si="212"/>
        <v>2684.68</v>
      </c>
      <c r="L3425">
        <f t="shared" si="213"/>
        <v>2684.69</v>
      </c>
      <c r="M3425">
        <f t="shared" si="214"/>
        <v>2684.68</v>
      </c>
      <c r="N3425" s="5" t="str">
        <f t="shared" si="215"/>
        <v>May 2023</v>
      </c>
    </row>
    <row r="3426" spans="1:14" x14ac:dyDescent="0.25">
      <c r="A3426" s="1">
        <v>45061</v>
      </c>
      <c r="B3426" t="s">
        <v>4508</v>
      </c>
      <c r="C3426">
        <v>47</v>
      </c>
      <c r="D3426" t="s">
        <v>21</v>
      </c>
      <c r="E3426" t="s">
        <v>10</v>
      </c>
      <c r="F3426" t="s">
        <v>11</v>
      </c>
      <c r="G3426" t="s">
        <v>36</v>
      </c>
      <c r="H3426">
        <v>3280.46</v>
      </c>
      <c r="I3426" s="8" t="str" cm="1">
        <f t="array" ref="I3426">_xlfn.IFS(C3426&lt;=15,"Children and Young Adolescents", C3426&gt;64, "Seniors", TRUE, "Working Age")</f>
        <v>Working Age</v>
      </c>
      <c r="J3426" s="6">
        <f>VLOOKUP(F3426,Analysis!$F$1:$G$5,2,FALSE)</f>
        <v>2503.6022787783854</v>
      </c>
      <c r="K3426">
        <f t="shared" si="212"/>
        <v>3608.5</v>
      </c>
      <c r="L3426">
        <f t="shared" si="213"/>
        <v>3608.51</v>
      </c>
      <c r="M3426">
        <f t="shared" si="214"/>
        <v>3608.51</v>
      </c>
      <c r="N3426" s="5" t="str">
        <f t="shared" si="215"/>
        <v>May 2023</v>
      </c>
    </row>
    <row r="3427" spans="1:14" x14ac:dyDescent="0.25">
      <c r="A3427" s="1">
        <v>45062</v>
      </c>
      <c r="B3427" t="s">
        <v>1495</v>
      </c>
      <c r="C3427">
        <v>65</v>
      </c>
      <c r="D3427" t="s">
        <v>21</v>
      </c>
      <c r="E3427" t="s">
        <v>10</v>
      </c>
      <c r="F3427" t="s">
        <v>29</v>
      </c>
      <c r="G3427" t="s">
        <v>39</v>
      </c>
      <c r="H3427">
        <v>1490.92</v>
      </c>
      <c r="I3427" s="8" t="str" cm="1">
        <f t="array" ref="I3427">_xlfn.IFS(C3427&lt;=15,"Children and Young Adolescents", C3427&gt;64, "Seniors", TRUE, "Working Age")</f>
        <v>Seniors</v>
      </c>
      <c r="J3427" s="6">
        <f>VLOOKUP(F3427,Analysis!$F$1:$G$5,2,FALSE)</f>
        <v>2496.7676064256989</v>
      </c>
      <c r="K3427">
        <f t="shared" si="212"/>
        <v>1640.01</v>
      </c>
      <c r="L3427">
        <f t="shared" si="213"/>
        <v>1640.02</v>
      </c>
      <c r="M3427">
        <f t="shared" si="214"/>
        <v>1640.01</v>
      </c>
      <c r="N3427" s="5" t="str">
        <f t="shared" si="215"/>
        <v>May 2023</v>
      </c>
    </row>
    <row r="3428" spans="1:14" x14ac:dyDescent="0.25">
      <c r="A3428" s="1">
        <v>45062</v>
      </c>
      <c r="B3428" t="s">
        <v>1288</v>
      </c>
      <c r="C3428">
        <v>31</v>
      </c>
      <c r="D3428" t="s">
        <v>21</v>
      </c>
      <c r="E3428" t="s">
        <v>25</v>
      </c>
      <c r="F3428" t="s">
        <v>16</v>
      </c>
      <c r="G3428" t="s">
        <v>36</v>
      </c>
      <c r="H3428">
        <v>538.07000000000005</v>
      </c>
      <c r="I3428" s="8" t="str" cm="1">
        <f t="array" ref="I3428">_xlfn.IFS(C3428&lt;=15,"Children and Young Adolescents", C3428&gt;64, "Seniors", TRUE, "Working Age")</f>
        <v>Working Age</v>
      </c>
      <c r="J3428" s="6">
        <f>VLOOKUP(F3428,Analysis!$F$1:$G$5,2,FALSE)</f>
        <v>2509.1716796874912</v>
      </c>
      <c r="K3428">
        <f t="shared" si="212"/>
        <v>591.87</v>
      </c>
      <c r="L3428">
        <f t="shared" si="213"/>
        <v>591.88</v>
      </c>
      <c r="M3428">
        <f t="shared" si="214"/>
        <v>591.88</v>
      </c>
      <c r="N3428" s="5" t="str">
        <f t="shared" si="215"/>
        <v>May 2023</v>
      </c>
    </row>
    <row r="3429" spans="1:14" x14ac:dyDescent="0.25">
      <c r="A3429" s="1">
        <v>45062</v>
      </c>
      <c r="B3429" t="s">
        <v>4443</v>
      </c>
      <c r="C3429">
        <v>15</v>
      </c>
      <c r="D3429" t="s">
        <v>14</v>
      </c>
      <c r="E3429" t="s">
        <v>25</v>
      </c>
      <c r="F3429" t="s">
        <v>29</v>
      </c>
      <c r="G3429" t="s">
        <v>36</v>
      </c>
      <c r="H3429">
        <v>3333.63</v>
      </c>
      <c r="I3429" s="8" t="str" cm="1">
        <f t="array" ref="I3429">_xlfn.IFS(C3429&lt;=15,"Children and Young Adolescents", C3429&gt;64, "Seniors", TRUE, "Working Age")</f>
        <v>Children and Young Adolescents</v>
      </c>
      <c r="J3429" s="6">
        <f>VLOOKUP(F3429,Analysis!$F$1:$G$5,2,FALSE)</f>
        <v>2496.7676064256989</v>
      </c>
      <c r="K3429">
        <f t="shared" si="212"/>
        <v>3666.99</v>
      </c>
      <c r="L3429">
        <f t="shared" si="213"/>
        <v>3667</v>
      </c>
      <c r="M3429">
        <f t="shared" si="214"/>
        <v>3666.99</v>
      </c>
      <c r="N3429" s="5" t="str">
        <f t="shared" si="215"/>
        <v>May 2023</v>
      </c>
    </row>
    <row r="3430" spans="1:14" x14ac:dyDescent="0.25">
      <c r="A3430" s="1">
        <v>45062</v>
      </c>
      <c r="B3430" t="s">
        <v>3296</v>
      </c>
      <c r="C3430">
        <v>2</v>
      </c>
      <c r="D3430" t="s">
        <v>9</v>
      </c>
      <c r="E3430" t="s">
        <v>25</v>
      </c>
      <c r="F3430" t="s">
        <v>16</v>
      </c>
      <c r="G3430" t="s">
        <v>17</v>
      </c>
      <c r="H3430">
        <v>3070.63</v>
      </c>
      <c r="I3430" s="8" t="str" cm="1">
        <f t="array" ref="I3430">_xlfn.IFS(C3430&lt;=15,"Children and Young Adolescents", C3430&gt;64, "Seniors", TRUE, "Working Age")</f>
        <v>Children and Young Adolescents</v>
      </c>
      <c r="J3430" s="6">
        <f>VLOOKUP(F3430,Analysis!$F$1:$G$5,2,FALSE)</f>
        <v>2509.1716796874912</v>
      </c>
      <c r="K3430">
        <f t="shared" si="212"/>
        <v>3377.69</v>
      </c>
      <c r="L3430">
        <f t="shared" si="213"/>
        <v>3377.7000000000003</v>
      </c>
      <c r="M3430">
        <f t="shared" si="214"/>
        <v>3377.69</v>
      </c>
      <c r="N3430" s="5" t="str">
        <f t="shared" si="215"/>
        <v>May 2023</v>
      </c>
    </row>
    <row r="3431" spans="1:14" x14ac:dyDescent="0.25">
      <c r="A3431" s="1">
        <v>45062</v>
      </c>
      <c r="B3431" t="s">
        <v>686</v>
      </c>
      <c r="C3431">
        <v>41</v>
      </c>
      <c r="D3431" t="s">
        <v>21</v>
      </c>
      <c r="E3431" t="s">
        <v>15</v>
      </c>
      <c r="F3431" t="s">
        <v>16</v>
      </c>
      <c r="G3431" t="s">
        <v>12</v>
      </c>
      <c r="H3431">
        <v>248.71</v>
      </c>
      <c r="I3431" s="8" t="str" cm="1">
        <f t="array" ref="I3431">_xlfn.IFS(C3431&lt;=15,"Children and Young Adolescents", C3431&gt;64, "Seniors", TRUE, "Working Age")</f>
        <v>Working Age</v>
      </c>
      <c r="J3431" s="6">
        <f>VLOOKUP(F3431,Analysis!$F$1:$G$5,2,FALSE)</f>
        <v>2509.1716796874912</v>
      </c>
      <c r="K3431">
        <f t="shared" si="212"/>
        <v>273.58</v>
      </c>
      <c r="L3431">
        <f t="shared" si="213"/>
        <v>273.58999999999997</v>
      </c>
      <c r="M3431">
        <f t="shared" si="214"/>
        <v>273.58</v>
      </c>
      <c r="N3431" s="5" t="str">
        <f t="shared" si="215"/>
        <v>May 2023</v>
      </c>
    </row>
    <row r="3432" spans="1:14" x14ac:dyDescent="0.25">
      <c r="A3432" s="1">
        <v>45062</v>
      </c>
      <c r="B3432" t="s">
        <v>2405</v>
      </c>
      <c r="C3432">
        <v>81</v>
      </c>
      <c r="D3432" t="s">
        <v>21</v>
      </c>
      <c r="E3432" t="s">
        <v>34</v>
      </c>
      <c r="F3432" t="s">
        <v>16</v>
      </c>
      <c r="G3432" t="s">
        <v>17</v>
      </c>
      <c r="H3432">
        <v>2759.44</v>
      </c>
      <c r="I3432" s="8" t="str" cm="1">
        <f t="array" ref="I3432">_xlfn.IFS(C3432&lt;=15,"Children and Young Adolescents", C3432&gt;64, "Seniors", TRUE, "Working Age")</f>
        <v>Seniors</v>
      </c>
      <c r="J3432" s="6">
        <f>VLOOKUP(F3432,Analysis!$F$1:$G$5,2,FALSE)</f>
        <v>2509.1716796874912</v>
      </c>
      <c r="K3432">
        <f t="shared" si="212"/>
        <v>3035.38</v>
      </c>
      <c r="L3432">
        <f t="shared" si="213"/>
        <v>3035.3900000000003</v>
      </c>
      <c r="M3432">
        <f t="shared" si="214"/>
        <v>3035.38</v>
      </c>
      <c r="N3432" s="5" t="str">
        <f t="shared" si="215"/>
        <v>May 2023</v>
      </c>
    </row>
    <row r="3433" spans="1:14" x14ac:dyDescent="0.25">
      <c r="A3433" s="1">
        <v>45062</v>
      </c>
      <c r="B3433" t="s">
        <v>2284</v>
      </c>
      <c r="C3433">
        <v>45</v>
      </c>
      <c r="D3433" t="s">
        <v>21</v>
      </c>
      <c r="E3433" t="s">
        <v>34</v>
      </c>
      <c r="F3433" t="s">
        <v>11</v>
      </c>
      <c r="G3433" t="s">
        <v>17</v>
      </c>
      <c r="H3433">
        <v>4836.37</v>
      </c>
      <c r="I3433" s="8" t="str" cm="1">
        <f t="array" ref="I3433">_xlfn.IFS(C3433&lt;=15,"Children and Young Adolescents", C3433&gt;64, "Seniors", TRUE, "Working Age")</f>
        <v>Working Age</v>
      </c>
      <c r="J3433" s="6">
        <f>VLOOKUP(F3433,Analysis!$F$1:$G$5,2,FALSE)</f>
        <v>2503.6022787783854</v>
      </c>
      <c r="K3433">
        <f t="shared" si="212"/>
        <v>5320</v>
      </c>
      <c r="L3433">
        <f t="shared" si="213"/>
        <v>5320.01</v>
      </c>
      <c r="M3433">
        <f t="shared" si="214"/>
        <v>5320.01</v>
      </c>
      <c r="N3433" s="5" t="str">
        <f t="shared" si="215"/>
        <v>May 2023</v>
      </c>
    </row>
    <row r="3434" spans="1:14" x14ac:dyDescent="0.25">
      <c r="A3434" s="1">
        <v>45062</v>
      </c>
      <c r="B3434" t="s">
        <v>2717</v>
      </c>
      <c r="C3434">
        <v>60</v>
      </c>
      <c r="D3434" t="s">
        <v>9</v>
      </c>
      <c r="E3434" t="s">
        <v>22</v>
      </c>
      <c r="F3434" t="s">
        <v>23</v>
      </c>
      <c r="G3434" t="s">
        <v>12</v>
      </c>
      <c r="H3434">
        <v>4202.33</v>
      </c>
      <c r="I3434" s="8" t="str" cm="1">
        <f t="array" ref="I3434">_xlfn.IFS(C3434&lt;=15,"Children and Young Adolescents", C3434&gt;64, "Seniors", TRUE, "Working Age")</f>
        <v>Working Age</v>
      </c>
      <c r="J3434" s="6">
        <f>VLOOKUP(F3434,Analysis!$F$1:$G$5,2,FALSE)</f>
        <v>2440.2966694490838</v>
      </c>
      <c r="K3434">
        <f t="shared" si="212"/>
        <v>4622.5600000000004</v>
      </c>
      <c r="L3434">
        <f t="shared" si="213"/>
        <v>4622.5700000000006</v>
      </c>
      <c r="M3434">
        <f t="shared" si="214"/>
        <v>4622.5600000000004</v>
      </c>
      <c r="N3434" s="5" t="str">
        <f t="shared" si="215"/>
        <v>May 2023</v>
      </c>
    </row>
    <row r="3435" spans="1:14" x14ac:dyDescent="0.25">
      <c r="A3435" s="1">
        <v>45062</v>
      </c>
      <c r="B3435" t="s">
        <v>1465</v>
      </c>
      <c r="C3435">
        <v>64</v>
      </c>
      <c r="D3435" t="s">
        <v>21</v>
      </c>
      <c r="E3435" t="s">
        <v>15</v>
      </c>
      <c r="F3435" t="s">
        <v>16</v>
      </c>
      <c r="G3435" t="s">
        <v>17</v>
      </c>
      <c r="H3435">
        <v>2994.66</v>
      </c>
      <c r="I3435" s="8" t="str" cm="1">
        <f t="array" ref="I3435">_xlfn.IFS(C3435&lt;=15,"Children and Young Adolescents", C3435&gt;64, "Seniors", TRUE, "Working Age")</f>
        <v>Working Age</v>
      </c>
      <c r="J3435" s="6">
        <f>VLOOKUP(F3435,Analysis!$F$1:$G$5,2,FALSE)</f>
        <v>2509.1716796874912</v>
      </c>
      <c r="K3435">
        <f t="shared" si="212"/>
        <v>3294.12</v>
      </c>
      <c r="L3435">
        <f t="shared" si="213"/>
        <v>3294.13</v>
      </c>
      <c r="M3435">
        <f t="shared" si="214"/>
        <v>3294.13</v>
      </c>
      <c r="N3435" s="5" t="str">
        <f t="shared" si="215"/>
        <v>May 2023</v>
      </c>
    </row>
    <row r="3436" spans="1:14" x14ac:dyDescent="0.25">
      <c r="A3436" s="1">
        <v>45062</v>
      </c>
      <c r="B3436" t="s">
        <v>2323</v>
      </c>
      <c r="C3436">
        <v>38</v>
      </c>
      <c r="D3436" t="s">
        <v>9</v>
      </c>
      <c r="E3436" t="s">
        <v>5032</v>
      </c>
      <c r="F3436" t="s">
        <v>23</v>
      </c>
      <c r="G3436" t="s">
        <v>36</v>
      </c>
      <c r="H3436">
        <v>1995.66</v>
      </c>
      <c r="I3436" s="8" t="str" cm="1">
        <f t="array" ref="I3436">_xlfn.IFS(C3436&lt;=15,"Children and Young Adolescents", C3436&gt;64, "Seniors", TRUE, "Working Age")</f>
        <v>Working Age</v>
      </c>
      <c r="J3436" s="6">
        <f>VLOOKUP(F3436,Analysis!$F$1:$G$5,2,FALSE)</f>
        <v>2440.2966694490838</v>
      </c>
      <c r="K3436">
        <f t="shared" si="212"/>
        <v>2195.2199999999998</v>
      </c>
      <c r="L3436">
        <f t="shared" si="213"/>
        <v>2195.23</v>
      </c>
      <c r="M3436">
        <f t="shared" si="214"/>
        <v>2195.23</v>
      </c>
      <c r="N3436" s="5" t="str">
        <f t="shared" si="215"/>
        <v>May 2023</v>
      </c>
    </row>
    <row r="3437" spans="1:14" x14ac:dyDescent="0.25">
      <c r="A3437" s="1">
        <v>45062</v>
      </c>
      <c r="B3437" t="s">
        <v>3916</v>
      </c>
      <c r="C3437">
        <v>97</v>
      </c>
      <c r="D3437" t="s">
        <v>9</v>
      </c>
      <c r="E3437" t="s">
        <v>19</v>
      </c>
      <c r="F3437" t="s">
        <v>23</v>
      </c>
      <c r="G3437" t="s">
        <v>36</v>
      </c>
      <c r="H3437">
        <v>442.84</v>
      </c>
      <c r="I3437" s="8" t="str" cm="1">
        <f t="array" ref="I3437">_xlfn.IFS(C3437&lt;=15,"Children and Young Adolescents", C3437&gt;64, "Seniors", TRUE, "Working Age")</f>
        <v>Seniors</v>
      </c>
      <c r="J3437" s="6">
        <f>VLOOKUP(F3437,Analysis!$F$1:$G$5,2,FALSE)</f>
        <v>2440.2966694490838</v>
      </c>
      <c r="K3437">
        <f t="shared" si="212"/>
        <v>487.12</v>
      </c>
      <c r="L3437">
        <f t="shared" si="213"/>
        <v>487.13</v>
      </c>
      <c r="M3437">
        <f t="shared" si="214"/>
        <v>487.12</v>
      </c>
      <c r="N3437" s="5" t="str">
        <f t="shared" si="215"/>
        <v>May 2023</v>
      </c>
    </row>
    <row r="3438" spans="1:14" x14ac:dyDescent="0.25">
      <c r="A3438" s="1">
        <v>45062</v>
      </c>
      <c r="B3438" t="s">
        <v>1880</v>
      </c>
      <c r="C3438">
        <v>97</v>
      </c>
      <c r="D3438" t="s">
        <v>9</v>
      </c>
      <c r="E3438" t="s">
        <v>22</v>
      </c>
      <c r="F3438" t="s">
        <v>16</v>
      </c>
      <c r="G3438" t="s">
        <v>27</v>
      </c>
      <c r="H3438">
        <v>4336.05</v>
      </c>
      <c r="I3438" s="8" t="str" cm="1">
        <f t="array" ref="I3438">_xlfn.IFS(C3438&lt;=15,"Children and Young Adolescents", C3438&gt;64, "Seniors", TRUE, "Working Age")</f>
        <v>Seniors</v>
      </c>
      <c r="J3438" s="6">
        <f>VLOOKUP(F3438,Analysis!$F$1:$G$5,2,FALSE)</f>
        <v>2509.1716796874912</v>
      </c>
      <c r="K3438">
        <f t="shared" si="212"/>
        <v>4769.6499999999996</v>
      </c>
      <c r="L3438">
        <f t="shared" si="213"/>
        <v>4769.66</v>
      </c>
      <c r="M3438">
        <f t="shared" si="214"/>
        <v>4769.66</v>
      </c>
      <c r="N3438" s="5" t="str">
        <f t="shared" si="215"/>
        <v>May 2023</v>
      </c>
    </row>
    <row r="3439" spans="1:14" x14ac:dyDescent="0.25">
      <c r="A3439" s="1">
        <v>45063</v>
      </c>
      <c r="B3439" t="s">
        <v>572</v>
      </c>
      <c r="C3439">
        <v>79</v>
      </c>
      <c r="D3439" t="s">
        <v>9</v>
      </c>
      <c r="E3439" t="s">
        <v>15</v>
      </c>
      <c r="F3439" t="s">
        <v>23</v>
      </c>
      <c r="G3439" t="s">
        <v>39</v>
      </c>
      <c r="H3439">
        <v>2884.89</v>
      </c>
      <c r="I3439" s="8" t="str" cm="1">
        <f t="array" ref="I3439">_xlfn.IFS(C3439&lt;=15,"Children and Young Adolescents", C3439&gt;64, "Seniors", TRUE, "Working Age")</f>
        <v>Seniors</v>
      </c>
      <c r="J3439" s="6">
        <f>VLOOKUP(F3439,Analysis!$F$1:$G$5,2,FALSE)</f>
        <v>2440.2966694490838</v>
      </c>
      <c r="K3439">
        <f t="shared" si="212"/>
        <v>3173.37</v>
      </c>
      <c r="L3439">
        <f t="shared" si="213"/>
        <v>3173.38</v>
      </c>
      <c r="M3439">
        <f t="shared" si="214"/>
        <v>3173.38</v>
      </c>
      <c r="N3439" s="5" t="str">
        <f t="shared" si="215"/>
        <v>May 2023</v>
      </c>
    </row>
    <row r="3440" spans="1:14" x14ac:dyDescent="0.25">
      <c r="A3440" s="1">
        <v>45063</v>
      </c>
      <c r="B3440" t="s">
        <v>4691</v>
      </c>
      <c r="C3440">
        <v>56</v>
      </c>
      <c r="D3440" t="s">
        <v>14</v>
      </c>
      <c r="E3440" t="s">
        <v>34</v>
      </c>
      <c r="F3440" t="s">
        <v>23</v>
      </c>
      <c r="G3440" t="s">
        <v>17</v>
      </c>
      <c r="H3440">
        <v>4340.82</v>
      </c>
      <c r="I3440" s="8" t="str" cm="1">
        <f t="array" ref="I3440">_xlfn.IFS(C3440&lt;=15,"Children and Young Adolescents", C3440&gt;64, "Seniors", TRUE, "Working Age")</f>
        <v>Working Age</v>
      </c>
      <c r="J3440" s="6">
        <f>VLOOKUP(F3440,Analysis!$F$1:$G$5,2,FALSE)</f>
        <v>2440.2966694490838</v>
      </c>
      <c r="K3440">
        <f t="shared" si="212"/>
        <v>4774.8999999999996</v>
      </c>
      <c r="L3440">
        <f t="shared" si="213"/>
        <v>4774.91</v>
      </c>
      <c r="M3440">
        <f t="shared" si="214"/>
        <v>4774.8999999999996</v>
      </c>
      <c r="N3440" s="5" t="str">
        <f t="shared" si="215"/>
        <v>May 2023</v>
      </c>
    </row>
    <row r="3441" spans="1:14" x14ac:dyDescent="0.25">
      <c r="A3441" s="1">
        <v>45063</v>
      </c>
      <c r="B3441" t="s">
        <v>2045</v>
      </c>
      <c r="C3441">
        <v>11</v>
      </c>
      <c r="D3441" t="s">
        <v>14</v>
      </c>
      <c r="E3441" t="s">
        <v>19</v>
      </c>
      <c r="F3441" t="s">
        <v>29</v>
      </c>
      <c r="G3441" t="s">
        <v>36</v>
      </c>
      <c r="H3441">
        <v>1057.1400000000001</v>
      </c>
      <c r="I3441" s="8" t="str" cm="1">
        <f t="array" ref="I3441">_xlfn.IFS(C3441&lt;=15,"Children and Young Adolescents", C3441&gt;64, "Seniors", TRUE, "Working Age")</f>
        <v>Children and Young Adolescents</v>
      </c>
      <c r="J3441" s="6">
        <f>VLOOKUP(F3441,Analysis!$F$1:$G$5,2,FALSE)</f>
        <v>2496.7676064256989</v>
      </c>
      <c r="K3441">
        <f t="shared" si="212"/>
        <v>1162.8499999999999</v>
      </c>
      <c r="L3441">
        <f t="shared" si="213"/>
        <v>1162.8599999999999</v>
      </c>
      <c r="M3441">
        <f t="shared" si="214"/>
        <v>1162.8499999999999</v>
      </c>
      <c r="N3441" s="5" t="str">
        <f t="shared" si="215"/>
        <v>May 2023</v>
      </c>
    </row>
    <row r="3442" spans="1:14" x14ac:dyDescent="0.25">
      <c r="A3442" s="1">
        <v>45063</v>
      </c>
      <c r="B3442" t="s">
        <v>3291</v>
      </c>
      <c r="C3442">
        <v>31</v>
      </c>
      <c r="D3442" t="s">
        <v>21</v>
      </c>
      <c r="E3442" t="s">
        <v>10</v>
      </c>
      <c r="F3442" t="s">
        <v>29</v>
      </c>
      <c r="G3442" t="s">
        <v>27</v>
      </c>
      <c r="H3442">
        <v>3892.53</v>
      </c>
      <c r="I3442" s="8" t="str" cm="1">
        <f t="array" ref="I3442">_xlfn.IFS(C3442&lt;=15,"Children and Young Adolescents", C3442&gt;64, "Seniors", TRUE, "Working Age")</f>
        <v>Working Age</v>
      </c>
      <c r="J3442" s="6">
        <f>VLOOKUP(F3442,Analysis!$F$1:$G$5,2,FALSE)</f>
        <v>2496.7676064256989</v>
      </c>
      <c r="K3442">
        <f t="shared" si="212"/>
        <v>4281.78</v>
      </c>
      <c r="L3442">
        <f t="shared" si="213"/>
        <v>4281.79</v>
      </c>
      <c r="M3442">
        <f t="shared" si="214"/>
        <v>4281.78</v>
      </c>
      <c r="N3442" s="5" t="str">
        <f t="shared" si="215"/>
        <v>May 2023</v>
      </c>
    </row>
    <row r="3443" spans="1:14" x14ac:dyDescent="0.25">
      <c r="A3443" s="1">
        <v>45063</v>
      </c>
      <c r="B3443" t="s">
        <v>3919</v>
      </c>
      <c r="C3443">
        <v>72</v>
      </c>
      <c r="D3443" t="s">
        <v>9</v>
      </c>
      <c r="E3443" t="s">
        <v>22</v>
      </c>
      <c r="F3443" t="s">
        <v>29</v>
      </c>
      <c r="G3443" t="s">
        <v>39</v>
      </c>
      <c r="H3443">
        <v>2331.89</v>
      </c>
      <c r="I3443" s="8" t="str" cm="1">
        <f t="array" ref="I3443">_xlfn.IFS(C3443&lt;=15,"Children and Young Adolescents", C3443&gt;64, "Seniors", TRUE, "Working Age")</f>
        <v>Seniors</v>
      </c>
      <c r="J3443" s="6">
        <f>VLOOKUP(F3443,Analysis!$F$1:$G$5,2,FALSE)</f>
        <v>2496.7676064256989</v>
      </c>
      <c r="K3443">
        <f t="shared" si="212"/>
        <v>2565.0700000000002</v>
      </c>
      <c r="L3443">
        <f t="shared" si="213"/>
        <v>2565.0800000000004</v>
      </c>
      <c r="M3443">
        <f t="shared" si="214"/>
        <v>2565.08</v>
      </c>
      <c r="N3443" s="5" t="str">
        <f t="shared" si="215"/>
        <v>May 2023</v>
      </c>
    </row>
    <row r="3444" spans="1:14" x14ac:dyDescent="0.25">
      <c r="A3444" s="1">
        <v>45063</v>
      </c>
      <c r="B3444" t="s">
        <v>2100</v>
      </c>
      <c r="C3444">
        <v>45</v>
      </c>
      <c r="D3444" t="s">
        <v>21</v>
      </c>
      <c r="E3444" t="s">
        <v>10</v>
      </c>
      <c r="F3444" t="s">
        <v>11</v>
      </c>
      <c r="G3444" t="s">
        <v>39</v>
      </c>
      <c r="H3444">
        <v>2440.94</v>
      </c>
      <c r="I3444" s="8" t="str" cm="1">
        <f t="array" ref="I3444">_xlfn.IFS(C3444&lt;=15,"Children and Young Adolescents", C3444&gt;64, "Seniors", TRUE, "Working Age")</f>
        <v>Working Age</v>
      </c>
      <c r="J3444" s="6">
        <f>VLOOKUP(F3444,Analysis!$F$1:$G$5,2,FALSE)</f>
        <v>2503.6022787783854</v>
      </c>
      <c r="K3444">
        <f t="shared" si="212"/>
        <v>2685.03</v>
      </c>
      <c r="L3444">
        <f t="shared" si="213"/>
        <v>2685.0400000000004</v>
      </c>
      <c r="M3444">
        <f t="shared" si="214"/>
        <v>2685.03</v>
      </c>
      <c r="N3444" s="5" t="str">
        <f t="shared" si="215"/>
        <v>May 2023</v>
      </c>
    </row>
    <row r="3445" spans="1:14" x14ac:dyDescent="0.25">
      <c r="A3445" s="1">
        <v>45063</v>
      </c>
      <c r="B3445" t="s">
        <v>1824</v>
      </c>
      <c r="C3445">
        <v>54</v>
      </c>
      <c r="D3445" t="s">
        <v>9</v>
      </c>
      <c r="E3445" t="s">
        <v>15</v>
      </c>
      <c r="F3445" t="s">
        <v>29</v>
      </c>
      <c r="G3445" t="s">
        <v>39</v>
      </c>
      <c r="H3445">
        <v>1572.56</v>
      </c>
      <c r="I3445" s="8" t="str" cm="1">
        <f t="array" ref="I3445">_xlfn.IFS(C3445&lt;=15,"Children and Young Adolescents", C3445&gt;64, "Seniors", TRUE, "Working Age")</f>
        <v>Working Age</v>
      </c>
      <c r="J3445" s="6">
        <f>VLOOKUP(F3445,Analysis!$F$1:$G$5,2,FALSE)</f>
        <v>2496.7676064256989</v>
      </c>
      <c r="K3445">
        <f t="shared" si="212"/>
        <v>1729.81</v>
      </c>
      <c r="L3445">
        <f t="shared" si="213"/>
        <v>1729.82</v>
      </c>
      <c r="M3445">
        <f t="shared" si="214"/>
        <v>1729.82</v>
      </c>
      <c r="N3445" s="5" t="str">
        <f t="shared" si="215"/>
        <v>May 2023</v>
      </c>
    </row>
    <row r="3446" spans="1:14" x14ac:dyDescent="0.25">
      <c r="A3446" s="1">
        <v>45064</v>
      </c>
      <c r="B3446" t="s">
        <v>253</v>
      </c>
      <c r="C3446">
        <v>16</v>
      </c>
      <c r="D3446" t="s">
        <v>9</v>
      </c>
      <c r="E3446" t="s">
        <v>5032</v>
      </c>
      <c r="F3446" t="s">
        <v>23</v>
      </c>
      <c r="G3446" t="s">
        <v>27</v>
      </c>
      <c r="H3446">
        <v>1957.59</v>
      </c>
      <c r="I3446" s="8" t="str" cm="1">
        <f t="array" ref="I3446">_xlfn.IFS(C3446&lt;=15,"Children and Young Adolescents", C3446&gt;64, "Seniors", TRUE, "Working Age")</f>
        <v>Working Age</v>
      </c>
      <c r="J3446" s="6">
        <f>VLOOKUP(F3446,Analysis!$F$1:$G$5,2,FALSE)</f>
        <v>2440.2966694490838</v>
      </c>
      <c r="K3446">
        <f t="shared" si="212"/>
        <v>2153.34</v>
      </c>
      <c r="L3446">
        <f t="shared" si="213"/>
        <v>2153.3500000000004</v>
      </c>
      <c r="M3446">
        <f t="shared" si="214"/>
        <v>2153.35</v>
      </c>
      <c r="N3446" s="5" t="str">
        <f t="shared" si="215"/>
        <v>May 2023</v>
      </c>
    </row>
    <row r="3447" spans="1:14" x14ac:dyDescent="0.25">
      <c r="A3447" s="1">
        <v>45064</v>
      </c>
      <c r="B3447" t="s">
        <v>634</v>
      </c>
      <c r="C3447">
        <v>1</v>
      </c>
      <c r="D3447" t="s">
        <v>9</v>
      </c>
      <c r="E3447" t="s">
        <v>15</v>
      </c>
      <c r="F3447" t="s">
        <v>29</v>
      </c>
      <c r="G3447" t="s">
        <v>17</v>
      </c>
      <c r="H3447">
        <v>1647.67</v>
      </c>
      <c r="I3447" s="8" t="str" cm="1">
        <f t="array" ref="I3447">_xlfn.IFS(C3447&lt;=15,"Children and Young Adolescents", C3447&gt;64, "Seniors", TRUE, "Working Age")</f>
        <v>Children and Young Adolescents</v>
      </c>
      <c r="J3447" s="6">
        <f>VLOOKUP(F3447,Analysis!$F$1:$G$5,2,FALSE)</f>
        <v>2496.7676064256989</v>
      </c>
      <c r="K3447">
        <f t="shared" si="212"/>
        <v>1812.43</v>
      </c>
      <c r="L3447">
        <f t="shared" si="213"/>
        <v>1812.44</v>
      </c>
      <c r="M3447">
        <f t="shared" si="214"/>
        <v>1812.44</v>
      </c>
      <c r="N3447" s="5" t="str">
        <f t="shared" si="215"/>
        <v>May 2023</v>
      </c>
    </row>
    <row r="3448" spans="1:14" x14ac:dyDescent="0.25">
      <c r="A3448" s="1">
        <v>45064</v>
      </c>
      <c r="B3448" t="s">
        <v>2490</v>
      </c>
      <c r="C3448">
        <v>15</v>
      </c>
      <c r="D3448" t="s">
        <v>14</v>
      </c>
      <c r="E3448" t="s">
        <v>22</v>
      </c>
      <c r="F3448" t="s">
        <v>16</v>
      </c>
      <c r="G3448" t="s">
        <v>12</v>
      </c>
      <c r="H3448">
        <v>3698.26</v>
      </c>
      <c r="I3448" s="8" t="str" cm="1">
        <f t="array" ref="I3448">_xlfn.IFS(C3448&lt;=15,"Children and Young Adolescents", C3448&gt;64, "Seniors", TRUE, "Working Age")</f>
        <v>Children and Young Adolescents</v>
      </c>
      <c r="J3448" s="6">
        <f>VLOOKUP(F3448,Analysis!$F$1:$G$5,2,FALSE)</f>
        <v>2509.1716796874912</v>
      </c>
      <c r="K3448">
        <f t="shared" si="212"/>
        <v>4068.08</v>
      </c>
      <c r="L3448">
        <f t="shared" si="213"/>
        <v>4068.09</v>
      </c>
      <c r="M3448">
        <f t="shared" si="214"/>
        <v>4068.09</v>
      </c>
      <c r="N3448" s="5" t="str">
        <f t="shared" si="215"/>
        <v>May 2023</v>
      </c>
    </row>
    <row r="3449" spans="1:14" x14ac:dyDescent="0.25">
      <c r="A3449" s="1">
        <v>45064</v>
      </c>
      <c r="B3449" t="s">
        <v>1734</v>
      </c>
      <c r="C3449">
        <v>19</v>
      </c>
      <c r="D3449" t="s">
        <v>14</v>
      </c>
      <c r="E3449" t="s">
        <v>32</v>
      </c>
      <c r="F3449" t="s">
        <v>16</v>
      </c>
      <c r="G3449" t="s">
        <v>12</v>
      </c>
      <c r="H3449">
        <v>1776.64</v>
      </c>
      <c r="I3449" s="8" t="str" cm="1">
        <f t="array" ref="I3449">_xlfn.IFS(C3449&lt;=15,"Children and Young Adolescents", C3449&gt;64, "Seniors", TRUE, "Working Age")</f>
        <v>Working Age</v>
      </c>
      <c r="J3449" s="6">
        <f>VLOOKUP(F3449,Analysis!$F$1:$G$5,2,FALSE)</f>
        <v>2509.1716796874912</v>
      </c>
      <c r="K3449">
        <f t="shared" si="212"/>
        <v>1954.3</v>
      </c>
      <c r="L3449">
        <f t="shared" si="213"/>
        <v>1954.31</v>
      </c>
      <c r="M3449">
        <f t="shared" si="214"/>
        <v>1954.3</v>
      </c>
      <c r="N3449" s="5" t="str">
        <f t="shared" si="215"/>
        <v>May 2023</v>
      </c>
    </row>
    <row r="3450" spans="1:14" x14ac:dyDescent="0.25">
      <c r="A3450" s="1">
        <v>45064</v>
      </c>
      <c r="B3450" t="s">
        <v>2245</v>
      </c>
      <c r="C3450">
        <v>85</v>
      </c>
      <c r="D3450" t="s">
        <v>21</v>
      </c>
      <c r="E3450" t="s">
        <v>34</v>
      </c>
      <c r="F3450" t="s">
        <v>29</v>
      </c>
      <c r="G3450" t="s">
        <v>36</v>
      </c>
      <c r="H3450">
        <v>3498.67</v>
      </c>
      <c r="I3450" s="8" t="str" cm="1">
        <f t="array" ref="I3450">_xlfn.IFS(C3450&lt;=15,"Children and Young Adolescents", C3450&gt;64, "Seniors", TRUE, "Working Age")</f>
        <v>Seniors</v>
      </c>
      <c r="J3450" s="6">
        <f>VLOOKUP(F3450,Analysis!$F$1:$G$5,2,FALSE)</f>
        <v>2496.7676064256989</v>
      </c>
      <c r="K3450">
        <f t="shared" si="212"/>
        <v>3848.53</v>
      </c>
      <c r="L3450">
        <f t="shared" si="213"/>
        <v>3848.5400000000004</v>
      </c>
      <c r="M3450">
        <f t="shared" si="214"/>
        <v>3848.54</v>
      </c>
      <c r="N3450" s="5" t="str">
        <f t="shared" si="215"/>
        <v>May 2023</v>
      </c>
    </row>
    <row r="3451" spans="1:14" x14ac:dyDescent="0.25">
      <c r="A3451" s="1">
        <v>45064</v>
      </c>
      <c r="B3451" t="s">
        <v>3407</v>
      </c>
      <c r="C3451">
        <v>25</v>
      </c>
      <c r="D3451" t="s">
        <v>21</v>
      </c>
      <c r="E3451" t="s">
        <v>15</v>
      </c>
      <c r="F3451" t="s">
        <v>29</v>
      </c>
      <c r="G3451" t="s">
        <v>36</v>
      </c>
      <c r="H3451">
        <v>2058.63</v>
      </c>
      <c r="I3451" s="8" t="str" cm="1">
        <f t="array" ref="I3451">_xlfn.IFS(C3451&lt;=15,"Children and Young Adolescents", C3451&gt;64, "Seniors", TRUE, "Working Age")</f>
        <v>Working Age</v>
      </c>
      <c r="J3451" s="6">
        <f>VLOOKUP(F3451,Analysis!$F$1:$G$5,2,FALSE)</f>
        <v>2496.7676064256989</v>
      </c>
      <c r="K3451">
        <f t="shared" si="212"/>
        <v>2264.4899999999998</v>
      </c>
      <c r="L3451">
        <f t="shared" si="213"/>
        <v>2264.5</v>
      </c>
      <c r="M3451">
        <f t="shared" si="214"/>
        <v>2264.4899999999998</v>
      </c>
      <c r="N3451" s="5" t="str">
        <f t="shared" si="215"/>
        <v>May 2023</v>
      </c>
    </row>
    <row r="3452" spans="1:14" x14ac:dyDescent="0.25">
      <c r="A3452" s="1">
        <v>45064</v>
      </c>
      <c r="B3452" t="s">
        <v>3220</v>
      </c>
      <c r="C3452">
        <v>34</v>
      </c>
      <c r="D3452" t="s">
        <v>14</v>
      </c>
      <c r="E3452" t="s">
        <v>5032</v>
      </c>
      <c r="F3452" t="s">
        <v>29</v>
      </c>
      <c r="G3452" t="s">
        <v>36</v>
      </c>
      <c r="H3452">
        <v>3979.42</v>
      </c>
      <c r="I3452" s="8" t="str" cm="1">
        <f t="array" ref="I3452">_xlfn.IFS(C3452&lt;=15,"Children and Young Adolescents", C3452&gt;64, "Seniors", TRUE, "Working Age")</f>
        <v>Working Age</v>
      </c>
      <c r="J3452" s="6">
        <f>VLOOKUP(F3452,Analysis!$F$1:$G$5,2,FALSE)</f>
        <v>2496.7676064256989</v>
      </c>
      <c r="K3452">
        <f t="shared" si="212"/>
        <v>4377.3599999999997</v>
      </c>
      <c r="L3452">
        <f t="shared" si="213"/>
        <v>4377.37</v>
      </c>
      <c r="M3452">
        <f t="shared" si="214"/>
        <v>4377.3599999999997</v>
      </c>
      <c r="N3452" s="5" t="str">
        <f t="shared" si="215"/>
        <v>May 2023</v>
      </c>
    </row>
    <row r="3453" spans="1:14" x14ac:dyDescent="0.25">
      <c r="A3453" s="1">
        <v>45064</v>
      </c>
      <c r="B3453" t="s">
        <v>3701</v>
      </c>
      <c r="C3453">
        <v>72</v>
      </c>
      <c r="D3453" t="s">
        <v>21</v>
      </c>
      <c r="E3453" t="s">
        <v>32</v>
      </c>
      <c r="F3453" t="s">
        <v>16</v>
      </c>
      <c r="G3453" t="s">
        <v>12</v>
      </c>
      <c r="H3453">
        <v>3423.2</v>
      </c>
      <c r="I3453" s="8" t="str" cm="1">
        <f t="array" ref="I3453">_xlfn.IFS(C3453&lt;=15,"Children and Young Adolescents", C3453&gt;64, "Seniors", TRUE, "Working Age")</f>
        <v>Seniors</v>
      </c>
      <c r="J3453" s="6">
        <f>VLOOKUP(F3453,Analysis!$F$1:$G$5,2,FALSE)</f>
        <v>2509.1716796874912</v>
      </c>
      <c r="K3453">
        <f t="shared" si="212"/>
        <v>3765.52</v>
      </c>
      <c r="L3453">
        <f t="shared" si="213"/>
        <v>3765.52</v>
      </c>
      <c r="M3453">
        <f t="shared" si="214"/>
        <v>3765.52</v>
      </c>
      <c r="N3453" s="5" t="str">
        <f t="shared" si="215"/>
        <v>May 2023</v>
      </c>
    </row>
    <row r="3454" spans="1:14" x14ac:dyDescent="0.25">
      <c r="A3454" s="1">
        <v>45064</v>
      </c>
      <c r="B3454" t="s">
        <v>4618</v>
      </c>
      <c r="C3454">
        <v>24</v>
      </c>
      <c r="D3454" t="s">
        <v>14</v>
      </c>
      <c r="E3454" t="s">
        <v>10</v>
      </c>
      <c r="F3454" t="s">
        <v>29</v>
      </c>
      <c r="G3454" t="s">
        <v>36</v>
      </c>
      <c r="H3454">
        <v>4770.24</v>
      </c>
      <c r="I3454" s="8" t="str" cm="1">
        <f t="array" ref="I3454">_xlfn.IFS(C3454&lt;=15,"Children and Young Adolescents", C3454&gt;64, "Seniors", TRUE, "Working Age")</f>
        <v>Working Age</v>
      </c>
      <c r="J3454" s="6">
        <f>VLOOKUP(F3454,Analysis!$F$1:$G$5,2,FALSE)</f>
        <v>2496.7676064256989</v>
      </c>
      <c r="K3454">
        <f t="shared" si="212"/>
        <v>5247.26</v>
      </c>
      <c r="L3454">
        <f t="shared" si="213"/>
        <v>5247.27</v>
      </c>
      <c r="M3454">
        <f t="shared" si="214"/>
        <v>5247.26</v>
      </c>
      <c r="N3454" s="5" t="str">
        <f t="shared" si="215"/>
        <v>May 2023</v>
      </c>
    </row>
    <row r="3455" spans="1:14" x14ac:dyDescent="0.25">
      <c r="A3455" s="1">
        <v>45064</v>
      </c>
      <c r="B3455" t="s">
        <v>1979</v>
      </c>
      <c r="C3455">
        <v>29</v>
      </c>
      <c r="D3455" t="s">
        <v>14</v>
      </c>
      <c r="E3455" t="s">
        <v>10</v>
      </c>
      <c r="F3455" t="s">
        <v>16</v>
      </c>
      <c r="G3455" t="s">
        <v>17</v>
      </c>
      <c r="H3455">
        <v>4771.28</v>
      </c>
      <c r="I3455" s="8" t="str" cm="1">
        <f t="array" ref="I3455">_xlfn.IFS(C3455&lt;=15,"Children and Young Adolescents", C3455&gt;64, "Seniors", TRUE, "Working Age")</f>
        <v>Working Age</v>
      </c>
      <c r="J3455" s="6">
        <f>VLOOKUP(F3455,Analysis!$F$1:$G$5,2,FALSE)</f>
        <v>2509.1716796874912</v>
      </c>
      <c r="K3455">
        <f t="shared" si="212"/>
        <v>5248.4</v>
      </c>
      <c r="L3455">
        <f t="shared" si="213"/>
        <v>5248.41</v>
      </c>
      <c r="M3455">
        <f t="shared" si="214"/>
        <v>5248.41</v>
      </c>
      <c r="N3455" s="5" t="str">
        <f t="shared" si="215"/>
        <v>May 2023</v>
      </c>
    </row>
    <row r="3456" spans="1:14" x14ac:dyDescent="0.25">
      <c r="A3456" s="1">
        <v>45065</v>
      </c>
      <c r="B3456" t="s">
        <v>441</v>
      </c>
      <c r="C3456">
        <v>95</v>
      </c>
      <c r="D3456" t="s">
        <v>9</v>
      </c>
      <c r="E3456" t="s">
        <v>5032</v>
      </c>
      <c r="F3456" t="s">
        <v>11</v>
      </c>
      <c r="G3456" t="s">
        <v>17</v>
      </c>
      <c r="H3456">
        <v>2432.6799999999998</v>
      </c>
      <c r="I3456" s="8" t="str" cm="1">
        <f t="array" ref="I3456">_xlfn.IFS(C3456&lt;=15,"Children and Young Adolescents", C3456&gt;64, "Seniors", TRUE, "Working Age")</f>
        <v>Seniors</v>
      </c>
      <c r="J3456" s="6">
        <f>VLOOKUP(F3456,Analysis!$F$1:$G$5,2,FALSE)</f>
        <v>2503.6022787783854</v>
      </c>
      <c r="K3456">
        <f t="shared" si="212"/>
        <v>2675.94</v>
      </c>
      <c r="L3456">
        <f t="shared" si="213"/>
        <v>2675.9500000000003</v>
      </c>
      <c r="M3456">
        <f t="shared" si="214"/>
        <v>2675.95</v>
      </c>
      <c r="N3456" s="5" t="str">
        <f t="shared" si="215"/>
        <v>May 2023</v>
      </c>
    </row>
    <row r="3457" spans="1:14" x14ac:dyDescent="0.25">
      <c r="A3457" s="1">
        <v>45065</v>
      </c>
      <c r="B3457" t="s">
        <v>817</v>
      </c>
      <c r="C3457">
        <v>52</v>
      </c>
      <c r="D3457" t="s">
        <v>21</v>
      </c>
      <c r="E3457" t="s">
        <v>25</v>
      </c>
      <c r="F3457" t="s">
        <v>29</v>
      </c>
      <c r="G3457" t="s">
        <v>17</v>
      </c>
      <c r="H3457">
        <v>2914.68</v>
      </c>
      <c r="I3457" s="8" t="str" cm="1">
        <f t="array" ref="I3457">_xlfn.IFS(C3457&lt;=15,"Children and Young Adolescents", C3457&gt;64, "Seniors", TRUE, "Working Age")</f>
        <v>Working Age</v>
      </c>
      <c r="J3457" s="6">
        <f>VLOOKUP(F3457,Analysis!$F$1:$G$5,2,FALSE)</f>
        <v>2496.7676064256989</v>
      </c>
      <c r="K3457">
        <f t="shared" si="212"/>
        <v>3206.14</v>
      </c>
      <c r="L3457">
        <f t="shared" si="213"/>
        <v>3206.15</v>
      </c>
      <c r="M3457">
        <f t="shared" si="214"/>
        <v>3206.15</v>
      </c>
      <c r="N3457" s="5" t="str">
        <f t="shared" si="215"/>
        <v>May 2023</v>
      </c>
    </row>
    <row r="3458" spans="1:14" x14ac:dyDescent="0.25">
      <c r="A3458" s="1">
        <v>45065</v>
      </c>
      <c r="B3458" t="s">
        <v>2223</v>
      </c>
      <c r="C3458">
        <v>14</v>
      </c>
      <c r="D3458" t="s">
        <v>14</v>
      </c>
      <c r="E3458" t="s">
        <v>25</v>
      </c>
      <c r="F3458" t="s">
        <v>16</v>
      </c>
      <c r="G3458" t="s">
        <v>27</v>
      </c>
      <c r="H3458">
        <v>586.92999999999995</v>
      </c>
      <c r="I3458" s="8" t="str" cm="1">
        <f t="array" ref="I3458">_xlfn.IFS(C3458&lt;=15,"Children and Young Adolescents", C3458&gt;64, "Seniors", TRUE, "Working Age")</f>
        <v>Children and Young Adolescents</v>
      </c>
      <c r="J3458" s="6">
        <f>VLOOKUP(F3458,Analysis!$F$1:$G$5,2,FALSE)</f>
        <v>2509.1716796874912</v>
      </c>
      <c r="K3458">
        <f t="shared" si="212"/>
        <v>645.62</v>
      </c>
      <c r="L3458">
        <f t="shared" si="213"/>
        <v>645.63</v>
      </c>
      <c r="M3458">
        <f t="shared" si="214"/>
        <v>645.62</v>
      </c>
      <c r="N3458" s="5" t="str">
        <f t="shared" si="215"/>
        <v>May 2023</v>
      </c>
    </row>
    <row r="3459" spans="1:14" x14ac:dyDescent="0.25">
      <c r="A3459" s="1">
        <v>45066</v>
      </c>
      <c r="B3459" t="s">
        <v>430</v>
      </c>
      <c r="C3459">
        <v>68</v>
      </c>
      <c r="D3459" t="s">
        <v>9</v>
      </c>
      <c r="E3459" t="s">
        <v>15</v>
      </c>
      <c r="F3459" t="s">
        <v>16</v>
      </c>
      <c r="G3459" t="s">
        <v>12</v>
      </c>
      <c r="H3459">
        <v>641.08000000000004</v>
      </c>
      <c r="I3459" s="8" t="str" cm="1">
        <f t="array" ref="I3459">_xlfn.IFS(C3459&lt;=15,"Children and Young Adolescents", C3459&gt;64, "Seniors", TRUE, "Working Age")</f>
        <v>Seniors</v>
      </c>
      <c r="J3459" s="6">
        <f>VLOOKUP(F3459,Analysis!$F$1:$G$5,2,FALSE)</f>
        <v>2509.1716796874912</v>
      </c>
      <c r="K3459">
        <f t="shared" ref="K3459:K3522" si="216">ROUNDDOWN(H3459*1.1,2)</f>
        <v>705.18</v>
      </c>
      <c r="L3459">
        <f t="shared" ref="L3459:L3522" si="217">ROUNDUP(H3459*1.1,2)</f>
        <v>705.18999999999994</v>
      </c>
      <c r="M3459">
        <f t="shared" ref="M3459:M3522" si="218">ROUND(H3459*1.1,2)</f>
        <v>705.19</v>
      </c>
      <c r="N3459" s="5" t="str">
        <f t="shared" ref="N3459:N3522" si="219">TEXT(A3459,"mmmm yyyy")</f>
        <v>May 2023</v>
      </c>
    </row>
    <row r="3460" spans="1:14" x14ac:dyDescent="0.25">
      <c r="A3460" s="1">
        <v>45066</v>
      </c>
      <c r="B3460" t="s">
        <v>3666</v>
      </c>
      <c r="C3460">
        <v>55</v>
      </c>
      <c r="D3460" t="s">
        <v>9</v>
      </c>
      <c r="E3460" t="s">
        <v>5032</v>
      </c>
      <c r="F3460" t="s">
        <v>16</v>
      </c>
      <c r="G3460" t="s">
        <v>27</v>
      </c>
      <c r="H3460">
        <v>1505.69</v>
      </c>
      <c r="I3460" s="8" t="str" cm="1">
        <f t="array" ref="I3460">_xlfn.IFS(C3460&lt;=15,"Children and Young Adolescents", C3460&gt;64, "Seniors", TRUE, "Working Age")</f>
        <v>Working Age</v>
      </c>
      <c r="J3460" s="6">
        <f>VLOOKUP(F3460,Analysis!$F$1:$G$5,2,FALSE)</f>
        <v>2509.1716796874912</v>
      </c>
      <c r="K3460">
        <f t="shared" si="216"/>
        <v>1656.25</v>
      </c>
      <c r="L3460">
        <f t="shared" si="217"/>
        <v>1656.26</v>
      </c>
      <c r="M3460">
        <f t="shared" si="218"/>
        <v>1656.26</v>
      </c>
      <c r="N3460" s="5" t="str">
        <f t="shared" si="219"/>
        <v>May 2023</v>
      </c>
    </row>
    <row r="3461" spans="1:14" x14ac:dyDescent="0.25">
      <c r="A3461" s="1">
        <v>45066</v>
      </c>
      <c r="B3461" t="s">
        <v>3809</v>
      </c>
      <c r="C3461">
        <v>92</v>
      </c>
      <c r="D3461" t="s">
        <v>9</v>
      </c>
      <c r="E3461" t="s">
        <v>10</v>
      </c>
      <c r="F3461" t="s">
        <v>29</v>
      </c>
      <c r="G3461" t="s">
        <v>17</v>
      </c>
      <c r="H3461">
        <v>2610.67</v>
      </c>
      <c r="I3461" s="8" t="str" cm="1">
        <f t="array" ref="I3461">_xlfn.IFS(C3461&lt;=15,"Children and Young Adolescents", C3461&gt;64, "Seniors", TRUE, "Working Age")</f>
        <v>Seniors</v>
      </c>
      <c r="J3461" s="6">
        <f>VLOOKUP(F3461,Analysis!$F$1:$G$5,2,FALSE)</f>
        <v>2496.7676064256989</v>
      </c>
      <c r="K3461">
        <f t="shared" si="216"/>
        <v>2871.73</v>
      </c>
      <c r="L3461">
        <f t="shared" si="217"/>
        <v>2871.7400000000002</v>
      </c>
      <c r="M3461">
        <f t="shared" si="218"/>
        <v>2871.74</v>
      </c>
      <c r="N3461" s="5" t="str">
        <f t="shared" si="219"/>
        <v>May 2023</v>
      </c>
    </row>
    <row r="3462" spans="1:14" x14ac:dyDescent="0.25">
      <c r="A3462" s="1">
        <v>45066</v>
      </c>
      <c r="B3462" t="s">
        <v>4718</v>
      </c>
      <c r="C3462">
        <v>14</v>
      </c>
      <c r="D3462" t="s">
        <v>14</v>
      </c>
      <c r="E3462" t="s">
        <v>15</v>
      </c>
      <c r="F3462" t="s">
        <v>16</v>
      </c>
      <c r="G3462" t="s">
        <v>39</v>
      </c>
      <c r="H3462">
        <v>3540.35</v>
      </c>
      <c r="I3462" s="8" t="str" cm="1">
        <f t="array" ref="I3462">_xlfn.IFS(C3462&lt;=15,"Children and Young Adolescents", C3462&gt;64, "Seniors", TRUE, "Working Age")</f>
        <v>Children and Young Adolescents</v>
      </c>
      <c r="J3462" s="6">
        <f>VLOOKUP(F3462,Analysis!$F$1:$G$5,2,FALSE)</f>
        <v>2509.1716796874912</v>
      </c>
      <c r="K3462">
        <f t="shared" si="216"/>
        <v>3894.38</v>
      </c>
      <c r="L3462">
        <f t="shared" si="217"/>
        <v>3894.3900000000003</v>
      </c>
      <c r="M3462">
        <f t="shared" si="218"/>
        <v>3894.39</v>
      </c>
      <c r="N3462" s="5" t="str">
        <f t="shared" si="219"/>
        <v>May 2023</v>
      </c>
    </row>
    <row r="3463" spans="1:14" x14ac:dyDescent="0.25">
      <c r="A3463" s="1">
        <v>45066</v>
      </c>
      <c r="B3463" t="s">
        <v>3088</v>
      </c>
      <c r="C3463">
        <v>66</v>
      </c>
      <c r="D3463" t="s">
        <v>21</v>
      </c>
      <c r="E3463" t="s">
        <v>10</v>
      </c>
      <c r="F3463" t="s">
        <v>11</v>
      </c>
      <c r="G3463" t="s">
        <v>39</v>
      </c>
      <c r="H3463">
        <v>4587.0200000000004</v>
      </c>
      <c r="I3463" s="8" t="str" cm="1">
        <f t="array" ref="I3463">_xlfn.IFS(C3463&lt;=15,"Children and Young Adolescents", C3463&gt;64, "Seniors", TRUE, "Working Age")</f>
        <v>Seniors</v>
      </c>
      <c r="J3463" s="6">
        <f>VLOOKUP(F3463,Analysis!$F$1:$G$5,2,FALSE)</f>
        <v>2503.6022787783854</v>
      </c>
      <c r="K3463">
        <f t="shared" si="216"/>
        <v>5045.72</v>
      </c>
      <c r="L3463">
        <f t="shared" si="217"/>
        <v>5045.7300000000005</v>
      </c>
      <c r="M3463">
        <f t="shared" si="218"/>
        <v>5045.72</v>
      </c>
      <c r="N3463" s="5" t="str">
        <f t="shared" si="219"/>
        <v>May 2023</v>
      </c>
    </row>
    <row r="3464" spans="1:14" x14ac:dyDescent="0.25">
      <c r="A3464" s="1">
        <v>45066</v>
      </c>
      <c r="B3464" t="s">
        <v>2590</v>
      </c>
      <c r="C3464">
        <v>71</v>
      </c>
      <c r="D3464" t="s">
        <v>21</v>
      </c>
      <c r="E3464" t="s">
        <v>10</v>
      </c>
      <c r="F3464" t="s">
        <v>23</v>
      </c>
      <c r="G3464" t="s">
        <v>27</v>
      </c>
      <c r="H3464">
        <v>2913.81</v>
      </c>
      <c r="I3464" s="8" t="str" cm="1">
        <f t="array" ref="I3464">_xlfn.IFS(C3464&lt;=15,"Children and Young Adolescents", C3464&gt;64, "Seniors", TRUE, "Working Age")</f>
        <v>Seniors</v>
      </c>
      <c r="J3464" s="6">
        <f>VLOOKUP(F3464,Analysis!$F$1:$G$5,2,FALSE)</f>
        <v>2440.2966694490838</v>
      </c>
      <c r="K3464">
        <f t="shared" si="216"/>
        <v>3205.19</v>
      </c>
      <c r="L3464">
        <f t="shared" si="217"/>
        <v>3205.2000000000003</v>
      </c>
      <c r="M3464">
        <f t="shared" si="218"/>
        <v>3205.19</v>
      </c>
      <c r="N3464" s="5" t="str">
        <f t="shared" si="219"/>
        <v>May 2023</v>
      </c>
    </row>
    <row r="3465" spans="1:14" x14ac:dyDescent="0.25">
      <c r="A3465" s="1">
        <v>45067</v>
      </c>
      <c r="B3465" t="s">
        <v>74</v>
      </c>
      <c r="C3465">
        <v>86</v>
      </c>
      <c r="D3465" t="s">
        <v>14</v>
      </c>
      <c r="E3465" t="s">
        <v>15</v>
      </c>
      <c r="F3465" t="s">
        <v>11</v>
      </c>
      <c r="G3465" t="s">
        <v>36</v>
      </c>
      <c r="H3465">
        <v>1606.08</v>
      </c>
      <c r="I3465" s="8" t="str" cm="1">
        <f t="array" ref="I3465">_xlfn.IFS(C3465&lt;=15,"Children and Young Adolescents", C3465&gt;64, "Seniors", TRUE, "Working Age")</f>
        <v>Seniors</v>
      </c>
      <c r="J3465" s="6">
        <f>VLOOKUP(F3465,Analysis!$F$1:$G$5,2,FALSE)</f>
        <v>2503.6022787783854</v>
      </c>
      <c r="K3465">
        <f t="shared" si="216"/>
        <v>1766.68</v>
      </c>
      <c r="L3465">
        <f t="shared" si="217"/>
        <v>1766.69</v>
      </c>
      <c r="M3465">
        <f t="shared" si="218"/>
        <v>1766.69</v>
      </c>
      <c r="N3465" s="5" t="str">
        <f t="shared" si="219"/>
        <v>May 2023</v>
      </c>
    </row>
    <row r="3466" spans="1:14" x14ac:dyDescent="0.25">
      <c r="A3466" s="1">
        <v>45067</v>
      </c>
      <c r="B3466" t="s">
        <v>4955</v>
      </c>
      <c r="C3466">
        <v>59</v>
      </c>
      <c r="D3466" t="s">
        <v>14</v>
      </c>
      <c r="E3466" t="s">
        <v>10</v>
      </c>
      <c r="F3466" t="s">
        <v>11</v>
      </c>
      <c r="G3466" t="s">
        <v>5033</v>
      </c>
      <c r="H3466">
        <v>1349.16</v>
      </c>
      <c r="I3466" s="8" t="str" cm="1">
        <f t="array" ref="I3466">_xlfn.IFS(C3466&lt;=15,"Children and Young Adolescents", C3466&gt;64, "Seniors", TRUE, "Working Age")</f>
        <v>Working Age</v>
      </c>
      <c r="J3466" s="6">
        <f>VLOOKUP(F3466,Analysis!$F$1:$G$5,2,FALSE)</f>
        <v>2503.6022787783854</v>
      </c>
      <c r="K3466">
        <f t="shared" si="216"/>
        <v>1484.07</v>
      </c>
      <c r="L3466">
        <f t="shared" si="217"/>
        <v>1484.08</v>
      </c>
      <c r="M3466">
        <f t="shared" si="218"/>
        <v>1484.08</v>
      </c>
      <c r="N3466" s="5" t="str">
        <f t="shared" si="219"/>
        <v>May 2023</v>
      </c>
    </row>
    <row r="3467" spans="1:14" x14ac:dyDescent="0.25">
      <c r="A3467" s="1">
        <v>45067</v>
      </c>
      <c r="B3467" t="s">
        <v>3064</v>
      </c>
      <c r="C3467">
        <v>41</v>
      </c>
      <c r="D3467" t="s">
        <v>21</v>
      </c>
      <c r="E3467" t="s">
        <v>34</v>
      </c>
      <c r="F3467" t="s">
        <v>29</v>
      </c>
      <c r="G3467" t="s">
        <v>39</v>
      </c>
      <c r="H3467">
        <v>2897.84</v>
      </c>
      <c r="I3467" s="8" t="str" cm="1">
        <f t="array" ref="I3467">_xlfn.IFS(C3467&lt;=15,"Children and Young Adolescents", C3467&gt;64, "Seniors", TRUE, "Working Age")</f>
        <v>Working Age</v>
      </c>
      <c r="J3467" s="6">
        <f>VLOOKUP(F3467,Analysis!$F$1:$G$5,2,FALSE)</f>
        <v>2496.7676064256989</v>
      </c>
      <c r="K3467">
        <f t="shared" si="216"/>
        <v>3187.62</v>
      </c>
      <c r="L3467">
        <f t="shared" si="217"/>
        <v>3187.63</v>
      </c>
      <c r="M3467">
        <f t="shared" si="218"/>
        <v>3187.62</v>
      </c>
      <c r="N3467" s="5" t="str">
        <f t="shared" si="219"/>
        <v>May 2023</v>
      </c>
    </row>
    <row r="3468" spans="1:14" x14ac:dyDescent="0.25">
      <c r="A3468" s="1">
        <v>45067</v>
      </c>
      <c r="B3468" t="s">
        <v>3512</v>
      </c>
      <c r="C3468">
        <v>64</v>
      </c>
      <c r="D3468" t="s">
        <v>21</v>
      </c>
      <c r="E3468" t="s">
        <v>25</v>
      </c>
      <c r="F3468" t="s">
        <v>23</v>
      </c>
      <c r="G3468" t="s">
        <v>39</v>
      </c>
      <c r="H3468">
        <v>1934.81</v>
      </c>
      <c r="I3468" s="8" t="str" cm="1">
        <f t="array" ref="I3468">_xlfn.IFS(C3468&lt;=15,"Children and Young Adolescents", C3468&gt;64, "Seniors", TRUE, "Working Age")</f>
        <v>Working Age</v>
      </c>
      <c r="J3468" s="6">
        <f>VLOOKUP(F3468,Analysis!$F$1:$G$5,2,FALSE)</f>
        <v>2440.2966694490838</v>
      </c>
      <c r="K3468">
        <f t="shared" si="216"/>
        <v>2128.29</v>
      </c>
      <c r="L3468">
        <f t="shared" si="217"/>
        <v>2128.3000000000002</v>
      </c>
      <c r="M3468">
        <f t="shared" si="218"/>
        <v>2128.29</v>
      </c>
      <c r="N3468" s="5" t="str">
        <f t="shared" si="219"/>
        <v>May 2023</v>
      </c>
    </row>
    <row r="3469" spans="1:14" x14ac:dyDescent="0.25">
      <c r="A3469" s="1">
        <v>45067</v>
      </c>
      <c r="B3469" t="s">
        <v>2216</v>
      </c>
      <c r="C3469">
        <v>24</v>
      </c>
      <c r="D3469" t="s">
        <v>9</v>
      </c>
      <c r="E3469" t="s">
        <v>5032</v>
      </c>
      <c r="F3469" t="s">
        <v>16</v>
      </c>
      <c r="G3469" t="s">
        <v>39</v>
      </c>
      <c r="H3469">
        <v>1331.06</v>
      </c>
      <c r="I3469" s="8" t="str" cm="1">
        <f t="array" ref="I3469">_xlfn.IFS(C3469&lt;=15,"Children and Young Adolescents", C3469&gt;64, "Seniors", TRUE, "Working Age")</f>
        <v>Working Age</v>
      </c>
      <c r="J3469" s="6">
        <f>VLOOKUP(F3469,Analysis!$F$1:$G$5,2,FALSE)</f>
        <v>2509.1716796874912</v>
      </c>
      <c r="K3469">
        <f t="shared" si="216"/>
        <v>1464.16</v>
      </c>
      <c r="L3469">
        <f t="shared" si="217"/>
        <v>1464.17</v>
      </c>
      <c r="M3469">
        <f t="shared" si="218"/>
        <v>1464.17</v>
      </c>
      <c r="N3469" s="5" t="str">
        <f t="shared" si="219"/>
        <v>May 2023</v>
      </c>
    </row>
    <row r="3470" spans="1:14" x14ac:dyDescent="0.25">
      <c r="A3470" s="1">
        <v>45067</v>
      </c>
      <c r="B3470" t="s">
        <v>3840</v>
      </c>
      <c r="C3470">
        <v>71</v>
      </c>
      <c r="D3470" t="s">
        <v>21</v>
      </c>
      <c r="E3470" t="s">
        <v>19</v>
      </c>
      <c r="F3470" t="s">
        <v>16</v>
      </c>
      <c r="G3470" t="s">
        <v>17</v>
      </c>
      <c r="H3470">
        <v>341.02</v>
      </c>
      <c r="I3470" s="8" t="str" cm="1">
        <f t="array" ref="I3470">_xlfn.IFS(C3470&lt;=15,"Children and Young Adolescents", C3470&gt;64, "Seniors", TRUE, "Working Age")</f>
        <v>Seniors</v>
      </c>
      <c r="J3470" s="6">
        <f>VLOOKUP(F3470,Analysis!$F$1:$G$5,2,FALSE)</f>
        <v>2509.1716796874912</v>
      </c>
      <c r="K3470">
        <f t="shared" si="216"/>
        <v>375.12</v>
      </c>
      <c r="L3470">
        <f t="shared" si="217"/>
        <v>375.13</v>
      </c>
      <c r="M3470">
        <f t="shared" si="218"/>
        <v>375.12</v>
      </c>
      <c r="N3470" s="5" t="str">
        <f t="shared" si="219"/>
        <v>May 2023</v>
      </c>
    </row>
    <row r="3471" spans="1:14" x14ac:dyDescent="0.25">
      <c r="A3471" s="1">
        <v>45067</v>
      </c>
      <c r="B3471" t="s">
        <v>3284</v>
      </c>
      <c r="C3471">
        <v>97</v>
      </c>
      <c r="D3471" t="s">
        <v>9</v>
      </c>
      <c r="E3471" t="s">
        <v>22</v>
      </c>
      <c r="F3471" t="s">
        <v>29</v>
      </c>
      <c r="G3471" t="s">
        <v>17</v>
      </c>
      <c r="H3471">
        <v>4654.83</v>
      </c>
      <c r="I3471" s="8" t="str" cm="1">
        <f t="array" ref="I3471">_xlfn.IFS(C3471&lt;=15,"Children and Young Adolescents", C3471&gt;64, "Seniors", TRUE, "Working Age")</f>
        <v>Seniors</v>
      </c>
      <c r="J3471" s="6">
        <f>VLOOKUP(F3471,Analysis!$F$1:$G$5,2,FALSE)</f>
        <v>2496.7676064256989</v>
      </c>
      <c r="K3471">
        <f t="shared" si="216"/>
        <v>5120.3100000000004</v>
      </c>
      <c r="L3471">
        <f t="shared" si="217"/>
        <v>5120.3200000000006</v>
      </c>
      <c r="M3471">
        <f t="shared" si="218"/>
        <v>5120.3100000000004</v>
      </c>
      <c r="N3471" s="5" t="str">
        <f t="shared" si="219"/>
        <v>May 2023</v>
      </c>
    </row>
    <row r="3472" spans="1:14" x14ac:dyDescent="0.25">
      <c r="A3472" s="1">
        <v>45067</v>
      </c>
      <c r="B3472" t="s">
        <v>866</v>
      </c>
      <c r="C3472">
        <v>82</v>
      </c>
      <c r="D3472" t="s">
        <v>21</v>
      </c>
      <c r="E3472" t="s">
        <v>10</v>
      </c>
      <c r="F3472" t="s">
        <v>11</v>
      </c>
      <c r="G3472" t="s">
        <v>12</v>
      </c>
      <c r="H3472">
        <v>3649.74</v>
      </c>
      <c r="I3472" s="8" t="str" cm="1">
        <f t="array" ref="I3472">_xlfn.IFS(C3472&lt;=15,"Children and Young Adolescents", C3472&gt;64, "Seniors", TRUE, "Working Age")</f>
        <v>Seniors</v>
      </c>
      <c r="J3472" s="6">
        <f>VLOOKUP(F3472,Analysis!$F$1:$G$5,2,FALSE)</f>
        <v>2503.6022787783854</v>
      </c>
      <c r="K3472">
        <f t="shared" si="216"/>
        <v>4014.71</v>
      </c>
      <c r="L3472">
        <f t="shared" si="217"/>
        <v>4014.7200000000003</v>
      </c>
      <c r="M3472">
        <f t="shared" si="218"/>
        <v>4014.71</v>
      </c>
      <c r="N3472" s="5" t="str">
        <f t="shared" si="219"/>
        <v>May 2023</v>
      </c>
    </row>
    <row r="3473" spans="1:14" x14ac:dyDescent="0.25">
      <c r="A3473" s="1">
        <v>45067</v>
      </c>
      <c r="B3473" t="s">
        <v>2448</v>
      </c>
      <c r="C3473">
        <v>69</v>
      </c>
      <c r="D3473" t="s">
        <v>21</v>
      </c>
      <c r="E3473" t="s">
        <v>34</v>
      </c>
      <c r="F3473" t="s">
        <v>11</v>
      </c>
      <c r="G3473" t="s">
        <v>17</v>
      </c>
      <c r="H3473">
        <v>4524.5200000000004</v>
      </c>
      <c r="I3473" s="8" t="str" cm="1">
        <f t="array" ref="I3473">_xlfn.IFS(C3473&lt;=15,"Children and Young Adolescents", C3473&gt;64, "Seniors", TRUE, "Working Age")</f>
        <v>Seniors</v>
      </c>
      <c r="J3473" s="6">
        <f>VLOOKUP(F3473,Analysis!$F$1:$G$5,2,FALSE)</f>
        <v>2503.6022787783854</v>
      </c>
      <c r="K3473">
        <f t="shared" si="216"/>
        <v>4976.97</v>
      </c>
      <c r="L3473">
        <f t="shared" si="217"/>
        <v>4976.9800000000005</v>
      </c>
      <c r="M3473">
        <f t="shared" si="218"/>
        <v>4976.97</v>
      </c>
      <c r="N3473" s="5" t="str">
        <f t="shared" si="219"/>
        <v>May 2023</v>
      </c>
    </row>
    <row r="3474" spans="1:14" x14ac:dyDescent="0.25">
      <c r="A3474" s="1">
        <v>45067</v>
      </c>
      <c r="B3474" t="s">
        <v>3755</v>
      </c>
      <c r="C3474">
        <v>25</v>
      </c>
      <c r="D3474" t="s">
        <v>9</v>
      </c>
      <c r="E3474" t="s">
        <v>32</v>
      </c>
      <c r="F3474" t="s">
        <v>11</v>
      </c>
      <c r="G3474" t="s">
        <v>27</v>
      </c>
      <c r="H3474">
        <v>1172.29</v>
      </c>
      <c r="I3474" s="8" t="str" cm="1">
        <f t="array" ref="I3474">_xlfn.IFS(C3474&lt;=15,"Children and Young Adolescents", C3474&gt;64, "Seniors", TRUE, "Working Age")</f>
        <v>Working Age</v>
      </c>
      <c r="J3474" s="6">
        <f>VLOOKUP(F3474,Analysis!$F$1:$G$5,2,FALSE)</f>
        <v>2503.6022787783854</v>
      </c>
      <c r="K3474">
        <f t="shared" si="216"/>
        <v>1289.51</v>
      </c>
      <c r="L3474">
        <f t="shared" si="217"/>
        <v>1289.52</v>
      </c>
      <c r="M3474">
        <f t="shared" si="218"/>
        <v>1289.52</v>
      </c>
      <c r="N3474" s="5" t="str">
        <f t="shared" si="219"/>
        <v>May 2023</v>
      </c>
    </row>
    <row r="3475" spans="1:14" x14ac:dyDescent="0.25">
      <c r="A3475" s="1">
        <v>45068</v>
      </c>
      <c r="B3475" t="s">
        <v>1505</v>
      </c>
      <c r="C3475">
        <v>21</v>
      </c>
      <c r="D3475" t="s">
        <v>14</v>
      </c>
      <c r="E3475" t="s">
        <v>22</v>
      </c>
      <c r="F3475" t="s">
        <v>23</v>
      </c>
      <c r="G3475" t="s">
        <v>36</v>
      </c>
      <c r="H3475">
        <v>4461.74</v>
      </c>
      <c r="I3475" s="8" t="str" cm="1">
        <f t="array" ref="I3475">_xlfn.IFS(C3475&lt;=15,"Children and Young Adolescents", C3475&gt;64, "Seniors", TRUE, "Working Age")</f>
        <v>Working Age</v>
      </c>
      <c r="J3475" s="6">
        <f>VLOOKUP(F3475,Analysis!$F$1:$G$5,2,FALSE)</f>
        <v>2440.2966694490838</v>
      </c>
      <c r="K3475">
        <f t="shared" si="216"/>
        <v>4907.91</v>
      </c>
      <c r="L3475">
        <f t="shared" si="217"/>
        <v>4907.92</v>
      </c>
      <c r="M3475">
        <f t="shared" si="218"/>
        <v>4907.91</v>
      </c>
      <c r="N3475" s="5" t="str">
        <f t="shared" si="219"/>
        <v>May 2023</v>
      </c>
    </row>
    <row r="3476" spans="1:14" x14ac:dyDescent="0.25">
      <c r="A3476" s="1">
        <v>45068</v>
      </c>
      <c r="B3476" t="s">
        <v>201</v>
      </c>
      <c r="C3476">
        <v>10</v>
      </c>
      <c r="D3476" t="s">
        <v>21</v>
      </c>
      <c r="E3476" t="s">
        <v>15</v>
      </c>
      <c r="F3476" t="s">
        <v>16</v>
      </c>
      <c r="G3476" t="s">
        <v>36</v>
      </c>
      <c r="H3476">
        <v>250.59</v>
      </c>
      <c r="I3476" s="8" t="str" cm="1">
        <f t="array" ref="I3476">_xlfn.IFS(C3476&lt;=15,"Children and Young Adolescents", C3476&gt;64, "Seniors", TRUE, "Working Age")</f>
        <v>Children and Young Adolescents</v>
      </c>
      <c r="J3476" s="6">
        <f>VLOOKUP(F3476,Analysis!$F$1:$G$5,2,FALSE)</f>
        <v>2509.1716796874912</v>
      </c>
      <c r="K3476">
        <f t="shared" si="216"/>
        <v>275.64</v>
      </c>
      <c r="L3476">
        <f t="shared" si="217"/>
        <v>275.64999999999998</v>
      </c>
      <c r="M3476">
        <f t="shared" si="218"/>
        <v>275.64999999999998</v>
      </c>
      <c r="N3476" s="5" t="str">
        <f t="shared" si="219"/>
        <v>May 2023</v>
      </c>
    </row>
    <row r="3477" spans="1:14" x14ac:dyDescent="0.25">
      <c r="A3477" s="1">
        <v>45068</v>
      </c>
      <c r="B3477" t="s">
        <v>161</v>
      </c>
      <c r="C3477">
        <v>38</v>
      </c>
      <c r="D3477" t="s">
        <v>14</v>
      </c>
      <c r="E3477" t="s">
        <v>19</v>
      </c>
      <c r="F3477" t="s">
        <v>23</v>
      </c>
      <c r="G3477" t="s">
        <v>39</v>
      </c>
      <c r="H3477">
        <v>1970.19</v>
      </c>
      <c r="I3477" s="8" t="str" cm="1">
        <f t="array" ref="I3477">_xlfn.IFS(C3477&lt;=15,"Children and Young Adolescents", C3477&gt;64, "Seniors", TRUE, "Working Age")</f>
        <v>Working Age</v>
      </c>
      <c r="J3477" s="6">
        <f>VLOOKUP(F3477,Analysis!$F$1:$G$5,2,FALSE)</f>
        <v>2440.2966694490838</v>
      </c>
      <c r="K3477">
        <f t="shared" si="216"/>
        <v>2167.1999999999998</v>
      </c>
      <c r="L3477">
        <f t="shared" si="217"/>
        <v>2167.21</v>
      </c>
      <c r="M3477">
        <f t="shared" si="218"/>
        <v>2167.21</v>
      </c>
      <c r="N3477" s="5" t="str">
        <f t="shared" si="219"/>
        <v>May 2023</v>
      </c>
    </row>
    <row r="3478" spans="1:14" x14ac:dyDescent="0.25">
      <c r="A3478" s="1">
        <v>45068</v>
      </c>
      <c r="B3478" t="s">
        <v>4232</v>
      </c>
      <c r="C3478">
        <v>24</v>
      </c>
      <c r="D3478" t="s">
        <v>14</v>
      </c>
      <c r="E3478" t="s">
        <v>15</v>
      </c>
      <c r="F3478" t="s">
        <v>29</v>
      </c>
      <c r="G3478" t="s">
        <v>17</v>
      </c>
      <c r="H3478">
        <v>2406.25</v>
      </c>
      <c r="I3478" s="8" t="str" cm="1">
        <f t="array" ref="I3478">_xlfn.IFS(C3478&lt;=15,"Children and Young Adolescents", C3478&gt;64, "Seniors", TRUE, "Working Age")</f>
        <v>Working Age</v>
      </c>
      <c r="J3478" s="6">
        <f>VLOOKUP(F3478,Analysis!$F$1:$G$5,2,FALSE)</f>
        <v>2496.7676064256989</v>
      </c>
      <c r="K3478">
        <f t="shared" si="216"/>
        <v>2646.87</v>
      </c>
      <c r="L3478">
        <f t="shared" si="217"/>
        <v>2646.88</v>
      </c>
      <c r="M3478">
        <f t="shared" si="218"/>
        <v>2646.88</v>
      </c>
      <c r="N3478" s="5" t="str">
        <f t="shared" si="219"/>
        <v>May 2023</v>
      </c>
    </row>
    <row r="3479" spans="1:14" x14ac:dyDescent="0.25">
      <c r="A3479" s="1">
        <v>45069</v>
      </c>
      <c r="B3479" t="s">
        <v>4516</v>
      </c>
      <c r="C3479">
        <v>1</v>
      </c>
      <c r="D3479" t="s">
        <v>14</v>
      </c>
      <c r="E3479" t="s">
        <v>5032</v>
      </c>
      <c r="F3479" t="s">
        <v>11</v>
      </c>
      <c r="G3479" t="s">
        <v>17</v>
      </c>
      <c r="H3479">
        <v>4769</v>
      </c>
      <c r="I3479" s="8" t="str" cm="1">
        <f t="array" ref="I3479">_xlfn.IFS(C3479&lt;=15,"Children and Young Adolescents", C3479&gt;64, "Seniors", TRUE, "Working Age")</f>
        <v>Children and Young Adolescents</v>
      </c>
      <c r="J3479" s="6">
        <f>VLOOKUP(F3479,Analysis!$F$1:$G$5,2,FALSE)</f>
        <v>2503.6022787783854</v>
      </c>
      <c r="K3479">
        <f t="shared" si="216"/>
        <v>5245.9</v>
      </c>
      <c r="L3479">
        <f t="shared" si="217"/>
        <v>5245.9</v>
      </c>
      <c r="M3479">
        <f t="shared" si="218"/>
        <v>5245.9</v>
      </c>
      <c r="N3479" s="5" t="str">
        <f t="shared" si="219"/>
        <v>May 2023</v>
      </c>
    </row>
    <row r="3480" spans="1:14" x14ac:dyDescent="0.25">
      <c r="A3480" s="1">
        <v>45069</v>
      </c>
      <c r="B3480" t="s">
        <v>2149</v>
      </c>
      <c r="C3480">
        <v>8</v>
      </c>
      <c r="D3480" t="s">
        <v>9</v>
      </c>
      <c r="E3480" t="s">
        <v>34</v>
      </c>
      <c r="F3480" t="s">
        <v>29</v>
      </c>
      <c r="G3480" t="s">
        <v>27</v>
      </c>
      <c r="H3480">
        <v>1305.72</v>
      </c>
      <c r="I3480" s="8" t="str" cm="1">
        <f t="array" ref="I3480">_xlfn.IFS(C3480&lt;=15,"Children and Young Adolescents", C3480&gt;64, "Seniors", TRUE, "Working Age")</f>
        <v>Children and Young Adolescents</v>
      </c>
      <c r="J3480" s="6">
        <f>VLOOKUP(F3480,Analysis!$F$1:$G$5,2,FALSE)</f>
        <v>2496.7676064256989</v>
      </c>
      <c r="K3480">
        <f t="shared" si="216"/>
        <v>1436.29</v>
      </c>
      <c r="L3480">
        <f t="shared" si="217"/>
        <v>1436.3</v>
      </c>
      <c r="M3480">
        <f t="shared" si="218"/>
        <v>1436.29</v>
      </c>
      <c r="N3480" s="5" t="str">
        <f t="shared" si="219"/>
        <v>May 2023</v>
      </c>
    </row>
    <row r="3481" spans="1:14" x14ac:dyDescent="0.25">
      <c r="A3481" s="1">
        <v>45069</v>
      </c>
      <c r="B3481" t="s">
        <v>3162</v>
      </c>
      <c r="C3481">
        <v>24</v>
      </c>
      <c r="D3481" t="s">
        <v>9</v>
      </c>
      <c r="E3481" t="s">
        <v>25</v>
      </c>
      <c r="F3481" t="s">
        <v>11</v>
      </c>
      <c r="G3481" t="s">
        <v>36</v>
      </c>
      <c r="H3481">
        <v>3218.35</v>
      </c>
      <c r="I3481" s="8" t="str" cm="1">
        <f t="array" ref="I3481">_xlfn.IFS(C3481&lt;=15,"Children and Young Adolescents", C3481&gt;64, "Seniors", TRUE, "Working Age")</f>
        <v>Working Age</v>
      </c>
      <c r="J3481" s="6">
        <f>VLOOKUP(F3481,Analysis!$F$1:$G$5,2,FALSE)</f>
        <v>2503.6022787783854</v>
      </c>
      <c r="K3481">
        <f t="shared" si="216"/>
        <v>3540.18</v>
      </c>
      <c r="L3481">
        <f t="shared" si="217"/>
        <v>3540.19</v>
      </c>
      <c r="M3481">
        <f t="shared" si="218"/>
        <v>3540.19</v>
      </c>
      <c r="N3481" s="5" t="str">
        <f t="shared" si="219"/>
        <v>May 2023</v>
      </c>
    </row>
    <row r="3482" spans="1:14" x14ac:dyDescent="0.25">
      <c r="A3482" s="1">
        <v>45069</v>
      </c>
      <c r="B3482" t="s">
        <v>4080</v>
      </c>
      <c r="C3482">
        <v>82</v>
      </c>
      <c r="D3482" t="s">
        <v>14</v>
      </c>
      <c r="E3482" t="s">
        <v>25</v>
      </c>
      <c r="F3482" t="s">
        <v>23</v>
      </c>
      <c r="G3482" t="s">
        <v>36</v>
      </c>
      <c r="H3482">
        <v>600.07000000000005</v>
      </c>
      <c r="I3482" s="8" t="str" cm="1">
        <f t="array" ref="I3482">_xlfn.IFS(C3482&lt;=15,"Children and Young Adolescents", C3482&gt;64, "Seniors", TRUE, "Working Age")</f>
        <v>Seniors</v>
      </c>
      <c r="J3482" s="6">
        <f>VLOOKUP(F3482,Analysis!$F$1:$G$5,2,FALSE)</f>
        <v>2440.2966694490838</v>
      </c>
      <c r="K3482">
        <f t="shared" si="216"/>
        <v>660.07</v>
      </c>
      <c r="L3482">
        <f t="shared" si="217"/>
        <v>660.08</v>
      </c>
      <c r="M3482">
        <f t="shared" si="218"/>
        <v>660.08</v>
      </c>
      <c r="N3482" s="5" t="str">
        <f t="shared" si="219"/>
        <v>May 2023</v>
      </c>
    </row>
    <row r="3483" spans="1:14" x14ac:dyDescent="0.25">
      <c r="A3483" s="1">
        <v>45069</v>
      </c>
      <c r="B3483" t="s">
        <v>4796</v>
      </c>
      <c r="C3483">
        <v>19</v>
      </c>
      <c r="D3483" t="s">
        <v>9</v>
      </c>
      <c r="E3483" t="s">
        <v>25</v>
      </c>
      <c r="F3483" t="s">
        <v>23</v>
      </c>
      <c r="G3483" t="s">
        <v>36</v>
      </c>
      <c r="H3483">
        <v>934.96</v>
      </c>
      <c r="I3483" s="8" t="str" cm="1">
        <f t="array" ref="I3483">_xlfn.IFS(C3483&lt;=15,"Children and Young Adolescents", C3483&gt;64, "Seniors", TRUE, "Working Age")</f>
        <v>Working Age</v>
      </c>
      <c r="J3483" s="6">
        <f>VLOOKUP(F3483,Analysis!$F$1:$G$5,2,FALSE)</f>
        <v>2440.2966694490838</v>
      </c>
      <c r="K3483">
        <f t="shared" si="216"/>
        <v>1028.45</v>
      </c>
      <c r="L3483">
        <f t="shared" si="217"/>
        <v>1028.46</v>
      </c>
      <c r="M3483">
        <f t="shared" si="218"/>
        <v>1028.46</v>
      </c>
      <c r="N3483" s="5" t="str">
        <f t="shared" si="219"/>
        <v>May 2023</v>
      </c>
    </row>
    <row r="3484" spans="1:14" x14ac:dyDescent="0.25">
      <c r="A3484" s="1">
        <v>45069</v>
      </c>
      <c r="B3484" t="s">
        <v>3694</v>
      </c>
      <c r="C3484">
        <v>3</v>
      </c>
      <c r="D3484" t="s">
        <v>14</v>
      </c>
      <c r="E3484" t="s">
        <v>32</v>
      </c>
      <c r="F3484" t="s">
        <v>23</v>
      </c>
      <c r="G3484" t="s">
        <v>27</v>
      </c>
      <c r="H3484">
        <v>376.71</v>
      </c>
      <c r="I3484" s="8" t="str" cm="1">
        <f t="array" ref="I3484">_xlfn.IFS(C3484&lt;=15,"Children and Young Adolescents", C3484&gt;64, "Seniors", TRUE, "Working Age")</f>
        <v>Children and Young Adolescents</v>
      </c>
      <c r="J3484" s="6">
        <f>VLOOKUP(F3484,Analysis!$F$1:$G$5,2,FALSE)</f>
        <v>2440.2966694490838</v>
      </c>
      <c r="K3484">
        <f t="shared" si="216"/>
        <v>414.38</v>
      </c>
      <c r="L3484">
        <f t="shared" si="217"/>
        <v>414.39</v>
      </c>
      <c r="M3484">
        <f t="shared" si="218"/>
        <v>414.38</v>
      </c>
      <c r="N3484" s="5" t="str">
        <f t="shared" si="219"/>
        <v>May 2023</v>
      </c>
    </row>
    <row r="3485" spans="1:14" x14ac:dyDescent="0.25">
      <c r="A3485" s="1">
        <v>45069</v>
      </c>
      <c r="B3485" t="s">
        <v>1009</v>
      </c>
      <c r="C3485">
        <v>81</v>
      </c>
      <c r="D3485" t="s">
        <v>9</v>
      </c>
      <c r="E3485" t="s">
        <v>19</v>
      </c>
      <c r="F3485" t="s">
        <v>11</v>
      </c>
      <c r="G3485" t="s">
        <v>36</v>
      </c>
      <c r="H3485">
        <v>554.96</v>
      </c>
      <c r="I3485" s="8" t="str" cm="1">
        <f t="array" ref="I3485">_xlfn.IFS(C3485&lt;=15,"Children and Young Adolescents", C3485&gt;64, "Seniors", TRUE, "Working Age")</f>
        <v>Seniors</v>
      </c>
      <c r="J3485" s="6">
        <f>VLOOKUP(F3485,Analysis!$F$1:$G$5,2,FALSE)</f>
        <v>2503.6022787783854</v>
      </c>
      <c r="K3485">
        <f t="shared" si="216"/>
        <v>610.45000000000005</v>
      </c>
      <c r="L3485">
        <f t="shared" si="217"/>
        <v>610.46</v>
      </c>
      <c r="M3485">
        <f t="shared" si="218"/>
        <v>610.46</v>
      </c>
      <c r="N3485" s="5" t="str">
        <f t="shared" si="219"/>
        <v>May 2023</v>
      </c>
    </row>
    <row r="3486" spans="1:14" x14ac:dyDescent="0.25">
      <c r="A3486" s="1">
        <v>45069</v>
      </c>
      <c r="B3486" t="s">
        <v>2739</v>
      </c>
      <c r="C3486">
        <v>61</v>
      </c>
      <c r="D3486" t="s">
        <v>21</v>
      </c>
      <c r="E3486" t="s">
        <v>19</v>
      </c>
      <c r="F3486" t="s">
        <v>11</v>
      </c>
      <c r="G3486" t="s">
        <v>36</v>
      </c>
      <c r="H3486">
        <v>3520.3</v>
      </c>
      <c r="I3486" s="8" t="str" cm="1">
        <f t="array" ref="I3486">_xlfn.IFS(C3486&lt;=15,"Children and Young Adolescents", C3486&gt;64, "Seniors", TRUE, "Working Age")</f>
        <v>Working Age</v>
      </c>
      <c r="J3486" s="6">
        <f>VLOOKUP(F3486,Analysis!$F$1:$G$5,2,FALSE)</f>
        <v>2503.6022787783854</v>
      </c>
      <c r="K3486">
        <f t="shared" si="216"/>
        <v>3872.33</v>
      </c>
      <c r="L3486">
        <f t="shared" si="217"/>
        <v>3872.33</v>
      </c>
      <c r="M3486">
        <f t="shared" si="218"/>
        <v>3872.33</v>
      </c>
      <c r="N3486" s="5" t="str">
        <f t="shared" si="219"/>
        <v>May 2023</v>
      </c>
    </row>
    <row r="3487" spans="1:14" x14ac:dyDescent="0.25">
      <c r="A3487" s="1">
        <v>45070</v>
      </c>
      <c r="B3487" t="s">
        <v>1440</v>
      </c>
      <c r="C3487">
        <v>47</v>
      </c>
      <c r="D3487" t="s">
        <v>21</v>
      </c>
      <c r="E3487" t="s">
        <v>25</v>
      </c>
      <c r="F3487" t="s">
        <v>16</v>
      </c>
      <c r="G3487" t="s">
        <v>27</v>
      </c>
      <c r="H3487">
        <v>159.97</v>
      </c>
      <c r="I3487" s="8" t="str" cm="1">
        <f t="array" ref="I3487">_xlfn.IFS(C3487&lt;=15,"Children and Young Adolescents", C3487&gt;64, "Seniors", TRUE, "Working Age")</f>
        <v>Working Age</v>
      </c>
      <c r="J3487" s="6">
        <f>VLOOKUP(F3487,Analysis!$F$1:$G$5,2,FALSE)</f>
        <v>2509.1716796874912</v>
      </c>
      <c r="K3487">
        <f t="shared" si="216"/>
        <v>175.96</v>
      </c>
      <c r="L3487">
        <f t="shared" si="217"/>
        <v>175.97</v>
      </c>
      <c r="M3487">
        <f t="shared" si="218"/>
        <v>175.97</v>
      </c>
      <c r="N3487" s="5" t="str">
        <f t="shared" si="219"/>
        <v>May 2023</v>
      </c>
    </row>
    <row r="3488" spans="1:14" x14ac:dyDescent="0.25">
      <c r="A3488" s="1">
        <v>45070</v>
      </c>
      <c r="B3488" t="s">
        <v>3345</v>
      </c>
      <c r="C3488">
        <v>37</v>
      </c>
      <c r="D3488" t="s">
        <v>14</v>
      </c>
      <c r="E3488" t="s">
        <v>5032</v>
      </c>
      <c r="F3488" t="s">
        <v>11</v>
      </c>
      <c r="G3488" t="s">
        <v>12</v>
      </c>
      <c r="H3488">
        <v>3890.18</v>
      </c>
      <c r="I3488" s="8" t="str" cm="1">
        <f t="array" ref="I3488">_xlfn.IFS(C3488&lt;=15,"Children and Young Adolescents", C3488&gt;64, "Seniors", TRUE, "Working Age")</f>
        <v>Working Age</v>
      </c>
      <c r="J3488" s="6">
        <f>VLOOKUP(F3488,Analysis!$F$1:$G$5,2,FALSE)</f>
        <v>2503.6022787783854</v>
      </c>
      <c r="K3488">
        <f t="shared" si="216"/>
        <v>4279.1899999999996</v>
      </c>
      <c r="L3488">
        <f t="shared" si="217"/>
        <v>4279.2</v>
      </c>
      <c r="M3488">
        <f t="shared" si="218"/>
        <v>4279.2</v>
      </c>
      <c r="N3488" s="5" t="str">
        <f t="shared" si="219"/>
        <v>May 2023</v>
      </c>
    </row>
    <row r="3489" spans="1:14" x14ac:dyDescent="0.25">
      <c r="A3489" s="1">
        <v>45070</v>
      </c>
      <c r="B3489" t="s">
        <v>632</v>
      </c>
      <c r="C3489">
        <v>90</v>
      </c>
      <c r="D3489" t="s">
        <v>14</v>
      </c>
      <c r="E3489" t="s">
        <v>34</v>
      </c>
      <c r="F3489" t="s">
        <v>16</v>
      </c>
      <c r="G3489" t="s">
        <v>12</v>
      </c>
      <c r="H3489">
        <v>1001.34</v>
      </c>
      <c r="I3489" s="8" t="str" cm="1">
        <f t="array" ref="I3489">_xlfn.IFS(C3489&lt;=15,"Children and Young Adolescents", C3489&gt;64, "Seniors", TRUE, "Working Age")</f>
        <v>Seniors</v>
      </c>
      <c r="J3489" s="6">
        <f>VLOOKUP(F3489,Analysis!$F$1:$G$5,2,FALSE)</f>
        <v>2509.1716796874912</v>
      </c>
      <c r="K3489">
        <f t="shared" si="216"/>
        <v>1101.47</v>
      </c>
      <c r="L3489">
        <f t="shared" si="217"/>
        <v>1101.48</v>
      </c>
      <c r="M3489">
        <f t="shared" si="218"/>
        <v>1101.47</v>
      </c>
      <c r="N3489" s="5" t="str">
        <f t="shared" si="219"/>
        <v>May 2023</v>
      </c>
    </row>
    <row r="3490" spans="1:14" x14ac:dyDescent="0.25">
      <c r="A3490" s="1">
        <v>45070</v>
      </c>
      <c r="B3490" t="s">
        <v>1917</v>
      </c>
      <c r="C3490">
        <v>88</v>
      </c>
      <c r="D3490" t="s">
        <v>9</v>
      </c>
      <c r="E3490" t="s">
        <v>25</v>
      </c>
      <c r="F3490" t="s">
        <v>11</v>
      </c>
      <c r="G3490" t="s">
        <v>17</v>
      </c>
      <c r="H3490">
        <v>4413.04</v>
      </c>
      <c r="I3490" s="8" t="str" cm="1">
        <f t="array" ref="I3490">_xlfn.IFS(C3490&lt;=15,"Children and Young Adolescents", C3490&gt;64, "Seniors", TRUE, "Working Age")</f>
        <v>Seniors</v>
      </c>
      <c r="J3490" s="6">
        <f>VLOOKUP(F3490,Analysis!$F$1:$G$5,2,FALSE)</f>
        <v>2503.6022787783854</v>
      </c>
      <c r="K3490">
        <f t="shared" si="216"/>
        <v>4854.34</v>
      </c>
      <c r="L3490">
        <f t="shared" si="217"/>
        <v>4854.3500000000004</v>
      </c>
      <c r="M3490">
        <f t="shared" si="218"/>
        <v>4854.34</v>
      </c>
      <c r="N3490" s="5" t="str">
        <f t="shared" si="219"/>
        <v>May 2023</v>
      </c>
    </row>
    <row r="3491" spans="1:14" x14ac:dyDescent="0.25">
      <c r="A3491" s="1">
        <v>45070</v>
      </c>
      <c r="B3491" t="s">
        <v>3466</v>
      </c>
      <c r="C3491">
        <v>52</v>
      </c>
      <c r="D3491" t="s">
        <v>9</v>
      </c>
      <c r="E3491" t="s">
        <v>10</v>
      </c>
      <c r="F3491" t="s">
        <v>11</v>
      </c>
      <c r="G3491" t="s">
        <v>17</v>
      </c>
      <c r="H3491">
        <v>438.96</v>
      </c>
      <c r="I3491" s="8" t="str" cm="1">
        <f t="array" ref="I3491">_xlfn.IFS(C3491&lt;=15,"Children and Young Adolescents", C3491&gt;64, "Seniors", TRUE, "Working Age")</f>
        <v>Working Age</v>
      </c>
      <c r="J3491" s="6">
        <f>VLOOKUP(F3491,Analysis!$F$1:$G$5,2,FALSE)</f>
        <v>2503.6022787783854</v>
      </c>
      <c r="K3491">
        <f t="shared" si="216"/>
        <v>482.85</v>
      </c>
      <c r="L3491">
        <f t="shared" si="217"/>
        <v>482.86</v>
      </c>
      <c r="M3491">
        <f t="shared" si="218"/>
        <v>482.86</v>
      </c>
      <c r="N3491" s="5" t="str">
        <f t="shared" si="219"/>
        <v>May 2023</v>
      </c>
    </row>
    <row r="3492" spans="1:14" x14ac:dyDescent="0.25">
      <c r="A3492" s="1">
        <v>45071</v>
      </c>
      <c r="B3492" t="s">
        <v>3008</v>
      </c>
      <c r="C3492">
        <v>37</v>
      </c>
      <c r="D3492" t="s">
        <v>9</v>
      </c>
      <c r="E3492" t="s">
        <v>32</v>
      </c>
      <c r="F3492" t="s">
        <v>16</v>
      </c>
      <c r="G3492" t="s">
        <v>36</v>
      </c>
      <c r="H3492">
        <v>3135.26</v>
      </c>
      <c r="I3492" s="8" t="str" cm="1">
        <f t="array" ref="I3492">_xlfn.IFS(C3492&lt;=15,"Children and Young Adolescents", C3492&gt;64, "Seniors", TRUE, "Working Age")</f>
        <v>Working Age</v>
      </c>
      <c r="J3492" s="6">
        <f>VLOOKUP(F3492,Analysis!$F$1:$G$5,2,FALSE)</f>
        <v>2509.1716796874912</v>
      </c>
      <c r="K3492">
        <f t="shared" si="216"/>
        <v>3448.78</v>
      </c>
      <c r="L3492">
        <f t="shared" si="217"/>
        <v>3448.7900000000004</v>
      </c>
      <c r="M3492">
        <f t="shared" si="218"/>
        <v>3448.79</v>
      </c>
      <c r="N3492" s="5" t="str">
        <f t="shared" si="219"/>
        <v>May 2023</v>
      </c>
    </row>
    <row r="3493" spans="1:14" x14ac:dyDescent="0.25">
      <c r="A3493" s="1">
        <v>45071</v>
      </c>
      <c r="B3493" t="s">
        <v>2237</v>
      </c>
      <c r="C3493">
        <v>27</v>
      </c>
      <c r="D3493" t="s">
        <v>14</v>
      </c>
      <c r="E3493" t="s">
        <v>5032</v>
      </c>
      <c r="F3493" t="s">
        <v>23</v>
      </c>
      <c r="G3493" t="s">
        <v>39</v>
      </c>
      <c r="H3493">
        <v>2235.73</v>
      </c>
      <c r="I3493" s="8" t="str" cm="1">
        <f t="array" ref="I3493">_xlfn.IFS(C3493&lt;=15,"Children and Young Adolescents", C3493&gt;64, "Seniors", TRUE, "Working Age")</f>
        <v>Working Age</v>
      </c>
      <c r="J3493" s="6">
        <f>VLOOKUP(F3493,Analysis!$F$1:$G$5,2,FALSE)</f>
        <v>2440.2966694490838</v>
      </c>
      <c r="K3493">
        <f t="shared" si="216"/>
        <v>2459.3000000000002</v>
      </c>
      <c r="L3493">
        <f t="shared" si="217"/>
        <v>2459.3100000000004</v>
      </c>
      <c r="M3493">
        <f t="shared" si="218"/>
        <v>2459.3000000000002</v>
      </c>
      <c r="N3493" s="5" t="str">
        <f t="shared" si="219"/>
        <v>May 2023</v>
      </c>
    </row>
    <row r="3494" spans="1:14" x14ac:dyDescent="0.25">
      <c r="A3494" s="1">
        <v>45071</v>
      </c>
      <c r="B3494" t="s">
        <v>4433</v>
      </c>
      <c r="C3494">
        <v>8</v>
      </c>
      <c r="D3494" t="s">
        <v>9</v>
      </c>
      <c r="E3494" t="s">
        <v>32</v>
      </c>
      <c r="F3494" t="s">
        <v>29</v>
      </c>
      <c r="G3494" t="s">
        <v>17</v>
      </c>
      <c r="H3494">
        <v>1423.87</v>
      </c>
      <c r="I3494" s="8" t="str" cm="1">
        <f t="array" ref="I3494">_xlfn.IFS(C3494&lt;=15,"Children and Young Adolescents", C3494&gt;64, "Seniors", TRUE, "Working Age")</f>
        <v>Children and Young Adolescents</v>
      </c>
      <c r="J3494" s="6">
        <f>VLOOKUP(F3494,Analysis!$F$1:$G$5,2,FALSE)</f>
        <v>2496.7676064256989</v>
      </c>
      <c r="K3494">
        <f t="shared" si="216"/>
        <v>1566.25</v>
      </c>
      <c r="L3494">
        <f t="shared" si="217"/>
        <v>1566.26</v>
      </c>
      <c r="M3494">
        <f t="shared" si="218"/>
        <v>1566.26</v>
      </c>
      <c r="N3494" s="5" t="str">
        <f t="shared" si="219"/>
        <v>May 2023</v>
      </c>
    </row>
    <row r="3495" spans="1:14" x14ac:dyDescent="0.25">
      <c r="A3495" s="1">
        <v>45071</v>
      </c>
      <c r="B3495" t="s">
        <v>5019</v>
      </c>
      <c r="C3495">
        <v>7</v>
      </c>
      <c r="D3495" t="s">
        <v>14</v>
      </c>
      <c r="E3495" t="s">
        <v>10</v>
      </c>
      <c r="F3495" t="s">
        <v>29</v>
      </c>
      <c r="G3495" t="s">
        <v>36</v>
      </c>
      <c r="H3495">
        <v>4153.8599999999997</v>
      </c>
      <c r="I3495" s="8" t="str" cm="1">
        <f t="array" ref="I3495">_xlfn.IFS(C3495&lt;=15,"Children and Young Adolescents", C3495&gt;64, "Seniors", TRUE, "Working Age")</f>
        <v>Children and Young Adolescents</v>
      </c>
      <c r="J3495" s="6">
        <f>VLOOKUP(F3495,Analysis!$F$1:$G$5,2,FALSE)</f>
        <v>2496.7676064256989</v>
      </c>
      <c r="K3495">
        <f t="shared" si="216"/>
        <v>4569.24</v>
      </c>
      <c r="L3495">
        <f t="shared" si="217"/>
        <v>4569.25</v>
      </c>
      <c r="M3495">
        <f t="shared" si="218"/>
        <v>4569.25</v>
      </c>
      <c r="N3495" s="5" t="str">
        <f t="shared" si="219"/>
        <v>May 2023</v>
      </c>
    </row>
    <row r="3496" spans="1:14" x14ac:dyDescent="0.25">
      <c r="A3496" s="1">
        <v>45071</v>
      </c>
      <c r="B3496" t="s">
        <v>2518</v>
      </c>
      <c r="C3496">
        <v>93</v>
      </c>
      <c r="D3496" t="s">
        <v>21</v>
      </c>
      <c r="E3496" t="s">
        <v>25</v>
      </c>
      <c r="F3496" t="s">
        <v>23</v>
      </c>
      <c r="G3496" t="s">
        <v>39</v>
      </c>
      <c r="H3496">
        <v>4598.25</v>
      </c>
      <c r="I3496" s="8" t="str" cm="1">
        <f t="array" ref="I3496">_xlfn.IFS(C3496&lt;=15,"Children and Young Adolescents", C3496&gt;64, "Seniors", TRUE, "Working Age")</f>
        <v>Seniors</v>
      </c>
      <c r="J3496" s="6">
        <f>VLOOKUP(F3496,Analysis!$F$1:$G$5,2,FALSE)</f>
        <v>2440.2966694490838</v>
      </c>
      <c r="K3496">
        <f t="shared" si="216"/>
        <v>5058.07</v>
      </c>
      <c r="L3496">
        <f t="shared" si="217"/>
        <v>5058.08</v>
      </c>
      <c r="M3496">
        <f t="shared" si="218"/>
        <v>5058.08</v>
      </c>
      <c r="N3496" s="5" t="str">
        <f t="shared" si="219"/>
        <v>May 2023</v>
      </c>
    </row>
    <row r="3497" spans="1:14" x14ac:dyDescent="0.25">
      <c r="A3497" s="1">
        <v>45071</v>
      </c>
      <c r="B3497" t="s">
        <v>4002</v>
      </c>
      <c r="C3497">
        <v>94</v>
      </c>
      <c r="D3497" t="s">
        <v>9</v>
      </c>
      <c r="E3497" t="s">
        <v>22</v>
      </c>
      <c r="F3497" t="s">
        <v>11</v>
      </c>
      <c r="G3497" t="s">
        <v>5033</v>
      </c>
      <c r="H3497">
        <v>1507.85</v>
      </c>
      <c r="I3497" s="8" t="str" cm="1">
        <f t="array" ref="I3497">_xlfn.IFS(C3497&lt;=15,"Children and Young Adolescents", C3497&gt;64, "Seniors", TRUE, "Working Age")</f>
        <v>Seniors</v>
      </c>
      <c r="J3497" s="6">
        <f>VLOOKUP(F3497,Analysis!$F$1:$G$5,2,FALSE)</f>
        <v>2503.6022787783854</v>
      </c>
      <c r="K3497">
        <f t="shared" si="216"/>
        <v>1658.63</v>
      </c>
      <c r="L3497">
        <f t="shared" si="217"/>
        <v>1658.64</v>
      </c>
      <c r="M3497">
        <f t="shared" si="218"/>
        <v>1658.64</v>
      </c>
      <c r="N3497" s="5" t="str">
        <f t="shared" si="219"/>
        <v>May 2023</v>
      </c>
    </row>
    <row r="3498" spans="1:14" x14ac:dyDescent="0.25">
      <c r="A3498" s="1">
        <v>45071</v>
      </c>
      <c r="B3498" t="s">
        <v>1463</v>
      </c>
      <c r="C3498">
        <v>14</v>
      </c>
      <c r="D3498" t="s">
        <v>14</v>
      </c>
      <c r="E3498" t="s">
        <v>19</v>
      </c>
      <c r="F3498" t="s">
        <v>16</v>
      </c>
      <c r="G3498" t="s">
        <v>39</v>
      </c>
      <c r="H3498">
        <v>1192.21</v>
      </c>
      <c r="I3498" s="8" t="str" cm="1">
        <f t="array" ref="I3498">_xlfn.IFS(C3498&lt;=15,"Children and Young Adolescents", C3498&gt;64, "Seniors", TRUE, "Working Age")</f>
        <v>Children and Young Adolescents</v>
      </c>
      <c r="J3498" s="6">
        <f>VLOOKUP(F3498,Analysis!$F$1:$G$5,2,FALSE)</f>
        <v>2509.1716796874912</v>
      </c>
      <c r="K3498">
        <f t="shared" si="216"/>
        <v>1311.43</v>
      </c>
      <c r="L3498">
        <f t="shared" si="217"/>
        <v>1311.44</v>
      </c>
      <c r="M3498">
        <f t="shared" si="218"/>
        <v>1311.43</v>
      </c>
      <c r="N3498" s="5" t="str">
        <f t="shared" si="219"/>
        <v>May 2023</v>
      </c>
    </row>
    <row r="3499" spans="1:14" x14ac:dyDescent="0.25">
      <c r="A3499" s="1">
        <v>45072</v>
      </c>
      <c r="B3499" t="s">
        <v>4745</v>
      </c>
      <c r="C3499">
        <v>72</v>
      </c>
      <c r="D3499" t="s">
        <v>14</v>
      </c>
      <c r="E3499" t="s">
        <v>22</v>
      </c>
      <c r="F3499" t="s">
        <v>16</v>
      </c>
      <c r="G3499" t="s">
        <v>17</v>
      </c>
      <c r="H3499">
        <v>1345.04</v>
      </c>
      <c r="I3499" s="8" t="str" cm="1">
        <f t="array" ref="I3499">_xlfn.IFS(C3499&lt;=15,"Children and Young Adolescents", C3499&gt;64, "Seniors", TRUE, "Working Age")</f>
        <v>Seniors</v>
      </c>
      <c r="J3499" s="6">
        <f>VLOOKUP(F3499,Analysis!$F$1:$G$5,2,FALSE)</f>
        <v>2509.1716796874912</v>
      </c>
      <c r="K3499">
        <f t="shared" si="216"/>
        <v>1479.54</v>
      </c>
      <c r="L3499">
        <f t="shared" si="217"/>
        <v>1479.55</v>
      </c>
      <c r="M3499">
        <f t="shared" si="218"/>
        <v>1479.54</v>
      </c>
      <c r="N3499" s="5" t="str">
        <f t="shared" si="219"/>
        <v>May 2023</v>
      </c>
    </row>
    <row r="3500" spans="1:14" x14ac:dyDescent="0.25">
      <c r="A3500" s="1">
        <v>45072</v>
      </c>
      <c r="B3500" t="s">
        <v>4935</v>
      </c>
      <c r="C3500">
        <v>95</v>
      </c>
      <c r="D3500" t="s">
        <v>21</v>
      </c>
      <c r="E3500" t="s">
        <v>25</v>
      </c>
      <c r="F3500" t="s">
        <v>29</v>
      </c>
      <c r="G3500" t="s">
        <v>36</v>
      </c>
      <c r="H3500">
        <v>2880.31</v>
      </c>
      <c r="I3500" s="8" t="str" cm="1">
        <f t="array" ref="I3500">_xlfn.IFS(C3500&lt;=15,"Children and Young Adolescents", C3500&gt;64, "Seniors", TRUE, "Working Age")</f>
        <v>Seniors</v>
      </c>
      <c r="J3500" s="6">
        <f>VLOOKUP(F3500,Analysis!$F$1:$G$5,2,FALSE)</f>
        <v>2496.7676064256989</v>
      </c>
      <c r="K3500">
        <f t="shared" si="216"/>
        <v>3168.34</v>
      </c>
      <c r="L3500">
        <f t="shared" si="217"/>
        <v>3168.3500000000004</v>
      </c>
      <c r="M3500">
        <f t="shared" si="218"/>
        <v>3168.34</v>
      </c>
      <c r="N3500" s="5" t="str">
        <f t="shared" si="219"/>
        <v>May 2023</v>
      </c>
    </row>
    <row r="3501" spans="1:14" x14ac:dyDescent="0.25">
      <c r="A3501" s="1">
        <v>45072</v>
      </c>
      <c r="B3501" t="s">
        <v>4302</v>
      </c>
      <c r="C3501">
        <v>8</v>
      </c>
      <c r="D3501" t="s">
        <v>14</v>
      </c>
      <c r="E3501" t="s">
        <v>15</v>
      </c>
      <c r="F3501" t="s">
        <v>29</v>
      </c>
      <c r="G3501" t="s">
        <v>12</v>
      </c>
      <c r="H3501">
        <v>2901.97</v>
      </c>
      <c r="I3501" s="8" t="str" cm="1">
        <f t="array" ref="I3501">_xlfn.IFS(C3501&lt;=15,"Children and Young Adolescents", C3501&gt;64, "Seniors", TRUE, "Working Age")</f>
        <v>Children and Young Adolescents</v>
      </c>
      <c r="J3501" s="6">
        <f>VLOOKUP(F3501,Analysis!$F$1:$G$5,2,FALSE)</f>
        <v>2496.7676064256989</v>
      </c>
      <c r="K3501">
        <f t="shared" si="216"/>
        <v>3192.16</v>
      </c>
      <c r="L3501">
        <f t="shared" si="217"/>
        <v>3192.17</v>
      </c>
      <c r="M3501">
        <f t="shared" si="218"/>
        <v>3192.17</v>
      </c>
      <c r="N3501" s="5" t="str">
        <f t="shared" si="219"/>
        <v>May 2023</v>
      </c>
    </row>
    <row r="3502" spans="1:14" x14ac:dyDescent="0.25">
      <c r="A3502" s="1">
        <v>45073</v>
      </c>
      <c r="B3502" t="s">
        <v>4502</v>
      </c>
      <c r="C3502">
        <v>12</v>
      </c>
      <c r="D3502" t="s">
        <v>14</v>
      </c>
      <c r="E3502" t="s">
        <v>25</v>
      </c>
      <c r="F3502" t="s">
        <v>16</v>
      </c>
      <c r="G3502" t="s">
        <v>27</v>
      </c>
      <c r="H3502">
        <v>1412.97</v>
      </c>
      <c r="I3502" s="8" t="str" cm="1">
        <f t="array" ref="I3502">_xlfn.IFS(C3502&lt;=15,"Children and Young Adolescents", C3502&gt;64, "Seniors", TRUE, "Working Age")</f>
        <v>Children and Young Adolescents</v>
      </c>
      <c r="J3502" s="6">
        <f>VLOOKUP(F3502,Analysis!$F$1:$G$5,2,FALSE)</f>
        <v>2509.1716796874912</v>
      </c>
      <c r="K3502">
        <f t="shared" si="216"/>
        <v>1554.26</v>
      </c>
      <c r="L3502">
        <f t="shared" si="217"/>
        <v>1554.27</v>
      </c>
      <c r="M3502">
        <f t="shared" si="218"/>
        <v>1554.27</v>
      </c>
      <c r="N3502" s="5" t="str">
        <f t="shared" si="219"/>
        <v>May 2023</v>
      </c>
    </row>
    <row r="3503" spans="1:14" x14ac:dyDescent="0.25">
      <c r="A3503" s="1">
        <v>45073</v>
      </c>
      <c r="B3503" t="s">
        <v>1612</v>
      </c>
      <c r="C3503">
        <v>6</v>
      </c>
      <c r="D3503" t="s">
        <v>14</v>
      </c>
      <c r="E3503" t="s">
        <v>5032</v>
      </c>
      <c r="F3503" t="s">
        <v>11</v>
      </c>
      <c r="G3503" t="s">
        <v>39</v>
      </c>
      <c r="H3503">
        <v>1596.6</v>
      </c>
      <c r="I3503" s="8" t="str" cm="1">
        <f t="array" ref="I3503">_xlfn.IFS(C3503&lt;=15,"Children and Young Adolescents", C3503&gt;64, "Seniors", TRUE, "Working Age")</f>
        <v>Children and Young Adolescents</v>
      </c>
      <c r="J3503" s="6">
        <f>VLOOKUP(F3503,Analysis!$F$1:$G$5,2,FALSE)</f>
        <v>2503.6022787783854</v>
      </c>
      <c r="K3503">
        <f t="shared" si="216"/>
        <v>1756.26</v>
      </c>
      <c r="L3503">
        <f t="shared" si="217"/>
        <v>1756.26</v>
      </c>
      <c r="M3503">
        <f t="shared" si="218"/>
        <v>1756.26</v>
      </c>
      <c r="N3503" s="5" t="str">
        <f t="shared" si="219"/>
        <v>May 2023</v>
      </c>
    </row>
    <row r="3504" spans="1:14" x14ac:dyDescent="0.25">
      <c r="A3504" s="1">
        <v>45073</v>
      </c>
      <c r="B3504" t="s">
        <v>2878</v>
      </c>
      <c r="C3504">
        <v>16</v>
      </c>
      <c r="D3504" t="s">
        <v>21</v>
      </c>
      <c r="E3504" t="s">
        <v>34</v>
      </c>
      <c r="F3504" t="s">
        <v>16</v>
      </c>
      <c r="G3504" t="s">
        <v>27</v>
      </c>
      <c r="H3504">
        <v>2501.91</v>
      </c>
      <c r="I3504" s="8" t="str" cm="1">
        <f t="array" ref="I3504">_xlfn.IFS(C3504&lt;=15,"Children and Young Adolescents", C3504&gt;64, "Seniors", TRUE, "Working Age")</f>
        <v>Working Age</v>
      </c>
      <c r="J3504" s="6">
        <f>VLOOKUP(F3504,Analysis!$F$1:$G$5,2,FALSE)</f>
        <v>2509.1716796874912</v>
      </c>
      <c r="K3504">
        <f t="shared" si="216"/>
        <v>2752.1</v>
      </c>
      <c r="L3504">
        <f t="shared" si="217"/>
        <v>2752.11</v>
      </c>
      <c r="M3504">
        <f t="shared" si="218"/>
        <v>2752.1</v>
      </c>
      <c r="N3504" s="5" t="str">
        <f t="shared" si="219"/>
        <v>May 2023</v>
      </c>
    </row>
    <row r="3505" spans="1:14" x14ac:dyDescent="0.25">
      <c r="A3505" s="1">
        <v>45073</v>
      </c>
      <c r="B3505" t="s">
        <v>2740</v>
      </c>
      <c r="C3505">
        <v>27</v>
      </c>
      <c r="D3505" t="s">
        <v>9</v>
      </c>
      <c r="E3505" t="s">
        <v>10</v>
      </c>
      <c r="F3505" t="s">
        <v>29</v>
      </c>
      <c r="G3505" t="s">
        <v>12</v>
      </c>
      <c r="H3505">
        <v>2513.1999999999998</v>
      </c>
      <c r="I3505" s="8" t="str" cm="1">
        <f t="array" ref="I3505">_xlfn.IFS(C3505&lt;=15,"Children and Young Adolescents", C3505&gt;64, "Seniors", TRUE, "Working Age")</f>
        <v>Working Age</v>
      </c>
      <c r="J3505" s="6">
        <f>VLOOKUP(F3505,Analysis!$F$1:$G$5,2,FALSE)</f>
        <v>2496.7676064256989</v>
      </c>
      <c r="K3505">
        <f t="shared" si="216"/>
        <v>2764.52</v>
      </c>
      <c r="L3505">
        <f t="shared" si="217"/>
        <v>2764.52</v>
      </c>
      <c r="M3505">
        <f t="shared" si="218"/>
        <v>2764.52</v>
      </c>
      <c r="N3505" s="5" t="str">
        <f t="shared" si="219"/>
        <v>May 2023</v>
      </c>
    </row>
    <row r="3506" spans="1:14" x14ac:dyDescent="0.25">
      <c r="A3506" s="1">
        <v>45073</v>
      </c>
      <c r="B3506" t="s">
        <v>591</v>
      </c>
      <c r="C3506">
        <v>63</v>
      </c>
      <c r="D3506" t="s">
        <v>9</v>
      </c>
      <c r="E3506" t="s">
        <v>10</v>
      </c>
      <c r="F3506" t="s">
        <v>16</v>
      </c>
      <c r="G3506" t="s">
        <v>39</v>
      </c>
      <c r="H3506">
        <v>1867.58</v>
      </c>
      <c r="I3506" s="8" t="str" cm="1">
        <f t="array" ref="I3506">_xlfn.IFS(C3506&lt;=15,"Children and Young Adolescents", C3506&gt;64, "Seniors", TRUE, "Working Age")</f>
        <v>Working Age</v>
      </c>
      <c r="J3506" s="6">
        <f>VLOOKUP(F3506,Analysis!$F$1:$G$5,2,FALSE)</f>
        <v>2509.1716796874912</v>
      </c>
      <c r="K3506">
        <f t="shared" si="216"/>
        <v>2054.33</v>
      </c>
      <c r="L3506">
        <f t="shared" si="217"/>
        <v>2054.34</v>
      </c>
      <c r="M3506">
        <f t="shared" si="218"/>
        <v>2054.34</v>
      </c>
      <c r="N3506" s="5" t="str">
        <f t="shared" si="219"/>
        <v>May 2023</v>
      </c>
    </row>
    <row r="3507" spans="1:14" x14ac:dyDescent="0.25">
      <c r="A3507" s="1">
        <v>45073</v>
      </c>
      <c r="B3507" t="s">
        <v>1663</v>
      </c>
      <c r="C3507">
        <v>21</v>
      </c>
      <c r="D3507" t="s">
        <v>21</v>
      </c>
      <c r="E3507" t="s">
        <v>22</v>
      </c>
      <c r="F3507" t="s">
        <v>16</v>
      </c>
      <c r="G3507" t="s">
        <v>27</v>
      </c>
      <c r="H3507">
        <v>4720.3599999999997</v>
      </c>
      <c r="I3507" s="8" t="str" cm="1">
        <f t="array" ref="I3507">_xlfn.IFS(C3507&lt;=15,"Children and Young Adolescents", C3507&gt;64, "Seniors", TRUE, "Working Age")</f>
        <v>Working Age</v>
      </c>
      <c r="J3507" s="6">
        <f>VLOOKUP(F3507,Analysis!$F$1:$G$5,2,FALSE)</f>
        <v>2509.1716796874912</v>
      </c>
      <c r="K3507">
        <f t="shared" si="216"/>
        <v>5192.3900000000003</v>
      </c>
      <c r="L3507">
        <f t="shared" si="217"/>
        <v>5192.4000000000005</v>
      </c>
      <c r="M3507">
        <f t="shared" si="218"/>
        <v>5192.3999999999996</v>
      </c>
      <c r="N3507" s="5" t="str">
        <f t="shared" si="219"/>
        <v>May 2023</v>
      </c>
    </row>
    <row r="3508" spans="1:14" x14ac:dyDescent="0.25">
      <c r="A3508" s="1">
        <v>45073</v>
      </c>
      <c r="B3508" t="s">
        <v>1126</v>
      </c>
      <c r="C3508">
        <v>57</v>
      </c>
      <c r="D3508" t="s">
        <v>21</v>
      </c>
      <c r="E3508" t="s">
        <v>15</v>
      </c>
      <c r="F3508" t="s">
        <v>29</v>
      </c>
      <c r="G3508" t="s">
        <v>27</v>
      </c>
      <c r="H3508">
        <v>4171.6899999999996</v>
      </c>
      <c r="I3508" s="8" t="str" cm="1">
        <f t="array" ref="I3508">_xlfn.IFS(C3508&lt;=15,"Children and Young Adolescents", C3508&gt;64, "Seniors", TRUE, "Working Age")</f>
        <v>Working Age</v>
      </c>
      <c r="J3508" s="6">
        <f>VLOOKUP(F3508,Analysis!$F$1:$G$5,2,FALSE)</f>
        <v>2496.7676064256989</v>
      </c>
      <c r="K3508">
        <f t="shared" si="216"/>
        <v>4588.8500000000004</v>
      </c>
      <c r="L3508">
        <f t="shared" si="217"/>
        <v>4588.8600000000006</v>
      </c>
      <c r="M3508">
        <f t="shared" si="218"/>
        <v>4588.8599999999997</v>
      </c>
      <c r="N3508" s="5" t="str">
        <f t="shared" si="219"/>
        <v>May 2023</v>
      </c>
    </row>
    <row r="3509" spans="1:14" x14ac:dyDescent="0.25">
      <c r="A3509" s="1">
        <v>45073</v>
      </c>
      <c r="B3509" t="s">
        <v>1243</v>
      </c>
      <c r="C3509">
        <v>25</v>
      </c>
      <c r="D3509" t="s">
        <v>21</v>
      </c>
      <c r="E3509" t="s">
        <v>5032</v>
      </c>
      <c r="F3509" t="s">
        <v>23</v>
      </c>
      <c r="G3509" t="s">
        <v>39</v>
      </c>
      <c r="H3509">
        <v>599.48</v>
      </c>
      <c r="I3509" s="8" t="str" cm="1">
        <f t="array" ref="I3509">_xlfn.IFS(C3509&lt;=15,"Children and Young Adolescents", C3509&gt;64, "Seniors", TRUE, "Working Age")</f>
        <v>Working Age</v>
      </c>
      <c r="J3509" s="6">
        <f>VLOOKUP(F3509,Analysis!$F$1:$G$5,2,FALSE)</f>
        <v>2440.2966694490838</v>
      </c>
      <c r="K3509">
        <f t="shared" si="216"/>
        <v>659.42</v>
      </c>
      <c r="L3509">
        <f t="shared" si="217"/>
        <v>659.43</v>
      </c>
      <c r="M3509">
        <f t="shared" si="218"/>
        <v>659.43</v>
      </c>
      <c r="N3509" s="5" t="str">
        <f t="shared" si="219"/>
        <v>May 2023</v>
      </c>
    </row>
    <row r="3510" spans="1:14" x14ac:dyDescent="0.25">
      <c r="A3510" s="1">
        <v>45073</v>
      </c>
      <c r="B3510" t="s">
        <v>631</v>
      </c>
      <c r="C3510">
        <v>87</v>
      </c>
      <c r="D3510" t="s">
        <v>14</v>
      </c>
      <c r="E3510" t="s">
        <v>10</v>
      </c>
      <c r="F3510" t="s">
        <v>23</v>
      </c>
      <c r="G3510" t="s">
        <v>27</v>
      </c>
      <c r="H3510">
        <v>4398.32</v>
      </c>
      <c r="I3510" s="8" t="str" cm="1">
        <f t="array" ref="I3510">_xlfn.IFS(C3510&lt;=15,"Children and Young Adolescents", C3510&gt;64, "Seniors", TRUE, "Working Age")</f>
        <v>Seniors</v>
      </c>
      <c r="J3510" s="6">
        <f>VLOOKUP(F3510,Analysis!$F$1:$G$5,2,FALSE)</f>
        <v>2440.2966694490838</v>
      </c>
      <c r="K3510">
        <f t="shared" si="216"/>
        <v>4838.1499999999996</v>
      </c>
      <c r="L3510">
        <f t="shared" si="217"/>
        <v>4838.16</v>
      </c>
      <c r="M3510">
        <f t="shared" si="218"/>
        <v>4838.1499999999996</v>
      </c>
      <c r="N3510" s="5" t="str">
        <f t="shared" si="219"/>
        <v>May 2023</v>
      </c>
    </row>
    <row r="3511" spans="1:14" x14ac:dyDescent="0.25">
      <c r="A3511" s="1">
        <v>45073</v>
      </c>
      <c r="B3511" t="s">
        <v>465</v>
      </c>
      <c r="C3511">
        <v>4</v>
      </c>
      <c r="D3511" t="s">
        <v>21</v>
      </c>
      <c r="E3511" t="s">
        <v>22</v>
      </c>
      <c r="F3511" t="s">
        <v>29</v>
      </c>
      <c r="G3511" t="s">
        <v>17</v>
      </c>
      <c r="H3511">
        <v>682.73</v>
      </c>
      <c r="I3511" s="8" t="str" cm="1">
        <f t="array" ref="I3511">_xlfn.IFS(C3511&lt;=15,"Children and Young Adolescents", C3511&gt;64, "Seniors", TRUE, "Working Age")</f>
        <v>Children and Young Adolescents</v>
      </c>
      <c r="J3511" s="6">
        <f>VLOOKUP(F3511,Analysis!$F$1:$G$5,2,FALSE)</f>
        <v>2496.7676064256989</v>
      </c>
      <c r="K3511">
        <f t="shared" si="216"/>
        <v>751</v>
      </c>
      <c r="L3511">
        <f t="shared" si="217"/>
        <v>751.01</v>
      </c>
      <c r="M3511">
        <f t="shared" si="218"/>
        <v>751</v>
      </c>
      <c r="N3511" s="5" t="str">
        <f t="shared" si="219"/>
        <v>May 2023</v>
      </c>
    </row>
    <row r="3512" spans="1:14" x14ac:dyDescent="0.25">
      <c r="A3512" s="1">
        <v>45073</v>
      </c>
      <c r="B3512" t="s">
        <v>2234</v>
      </c>
      <c r="C3512">
        <v>66</v>
      </c>
      <c r="D3512" t="s">
        <v>9</v>
      </c>
      <c r="E3512" t="s">
        <v>10</v>
      </c>
      <c r="F3512" t="s">
        <v>23</v>
      </c>
      <c r="G3512" t="s">
        <v>17</v>
      </c>
      <c r="H3512">
        <v>3765.96</v>
      </c>
      <c r="I3512" s="8" t="str" cm="1">
        <f t="array" ref="I3512">_xlfn.IFS(C3512&lt;=15,"Children and Young Adolescents", C3512&gt;64, "Seniors", TRUE, "Working Age")</f>
        <v>Seniors</v>
      </c>
      <c r="J3512" s="6">
        <f>VLOOKUP(F3512,Analysis!$F$1:$G$5,2,FALSE)</f>
        <v>2440.2966694490838</v>
      </c>
      <c r="K3512">
        <f t="shared" si="216"/>
        <v>4142.55</v>
      </c>
      <c r="L3512">
        <f t="shared" si="217"/>
        <v>4142.5600000000004</v>
      </c>
      <c r="M3512">
        <f t="shared" si="218"/>
        <v>4142.5600000000004</v>
      </c>
      <c r="N3512" s="5" t="str">
        <f t="shared" si="219"/>
        <v>May 2023</v>
      </c>
    </row>
    <row r="3513" spans="1:14" x14ac:dyDescent="0.25">
      <c r="A3513" s="1">
        <v>45073</v>
      </c>
      <c r="B3513" t="s">
        <v>4882</v>
      </c>
      <c r="C3513">
        <v>75</v>
      </c>
      <c r="D3513" t="s">
        <v>9</v>
      </c>
      <c r="E3513" t="s">
        <v>34</v>
      </c>
      <c r="F3513" t="s">
        <v>23</v>
      </c>
      <c r="G3513" t="s">
        <v>17</v>
      </c>
      <c r="H3513">
        <v>1947.42</v>
      </c>
      <c r="I3513" s="8" t="str" cm="1">
        <f t="array" ref="I3513">_xlfn.IFS(C3513&lt;=15,"Children and Young Adolescents", C3513&gt;64, "Seniors", TRUE, "Working Age")</f>
        <v>Seniors</v>
      </c>
      <c r="J3513" s="6">
        <f>VLOOKUP(F3513,Analysis!$F$1:$G$5,2,FALSE)</f>
        <v>2440.2966694490838</v>
      </c>
      <c r="K3513">
        <f t="shared" si="216"/>
        <v>2142.16</v>
      </c>
      <c r="L3513">
        <f t="shared" si="217"/>
        <v>2142.17</v>
      </c>
      <c r="M3513">
        <f t="shared" si="218"/>
        <v>2142.16</v>
      </c>
      <c r="N3513" s="5" t="str">
        <f t="shared" si="219"/>
        <v>May 2023</v>
      </c>
    </row>
    <row r="3514" spans="1:14" x14ac:dyDescent="0.25">
      <c r="A3514" s="1">
        <v>45073</v>
      </c>
      <c r="B3514" t="s">
        <v>1986</v>
      </c>
      <c r="C3514">
        <v>21</v>
      </c>
      <c r="D3514" t="s">
        <v>21</v>
      </c>
      <c r="E3514" t="s">
        <v>19</v>
      </c>
      <c r="F3514" t="s">
        <v>29</v>
      </c>
      <c r="G3514" t="s">
        <v>39</v>
      </c>
      <c r="H3514">
        <v>1309.46</v>
      </c>
      <c r="I3514" s="8" t="str" cm="1">
        <f t="array" ref="I3514">_xlfn.IFS(C3514&lt;=15,"Children and Young Adolescents", C3514&gt;64, "Seniors", TRUE, "Working Age")</f>
        <v>Working Age</v>
      </c>
      <c r="J3514" s="6">
        <f>VLOOKUP(F3514,Analysis!$F$1:$G$5,2,FALSE)</f>
        <v>2496.7676064256989</v>
      </c>
      <c r="K3514">
        <f t="shared" si="216"/>
        <v>1440.4</v>
      </c>
      <c r="L3514">
        <f t="shared" si="217"/>
        <v>1440.41</v>
      </c>
      <c r="M3514">
        <f t="shared" si="218"/>
        <v>1440.41</v>
      </c>
      <c r="N3514" s="5" t="str">
        <f t="shared" si="219"/>
        <v>May 2023</v>
      </c>
    </row>
    <row r="3515" spans="1:14" x14ac:dyDescent="0.25">
      <c r="A3515" s="1">
        <v>45074</v>
      </c>
      <c r="B3515" t="s">
        <v>4885</v>
      </c>
      <c r="C3515">
        <v>96</v>
      </c>
      <c r="D3515" t="s">
        <v>9</v>
      </c>
      <c r="E3515" t="s">
        <v>15</v>
      </c>
      <c r="F3515" t="s">
        <v>23</v>
      </c>
      <c r="G3515" t="s">
        <v>36</v>
      </c>
      <c r="H3515">
        <v>1712.11</v>
      </c>
      <c r="I3515" s="8" t="str" cm="1">
        <f t="array" ref="I3515">_xlfn.IFS(C3515&lt;=15,"Children and Young Adolescents", C3515&gt;64, "Seniors", TRUE, "Working Age")</f>
        <v>Seniors</v>
      </c>
      <c r="J3515" s="6">
        <f>VLOOKUP(F3515,Analysis!$F$1:$G$5,2,FALSE)</f>
        <v>2440.2966694490838</v>
      </c>
      <c r="K3515">
        <f t="shared" si="216"/>
        <v>1883.32</v>
      </c>
      <c r="L3515">
        <f t="shared" si="217"/>
        <v>1883.33</v>
      </c>
      <c r="M3515">
        <f t="shared" si="218"/>
        <v>1883.32</v>
      </c>
      <c r="N3515" s="5" t="str">
        <f t="shared" si="219"/>
        <v>May 2023</v>
      </c>
    </row>
    <row r="3516" spans="1:14" x14ac:dyDescent="0.25">
      <c r="A3516" s="1">
        <v>45074</v>
      </c>
      <c r="B3516" t="s">
        <v>3541</v>
      </c>
      <c r="C3516">
        <v>62</v>
      </c>
      <c r="D3516" t="s">
        <v>21</v>
      </c>
      <c r="E3516" t="s">
        <v>5032</v>
      </c>
      <c r="F3516" t="s">
        <v>11</v>
      </c>
      <c r="G3516" t="s">
        <v>27</v>
      </c>
      <c r="H3516">
        <v>4757.4399999999996</v>
      </c>
      <c r="I3516" s="8" t="str" cm="1">
        <f t="array" ref="I3516">_xlfn.IFS(C3516&lt;=15,"Children and Young Adolescents", C3516&gt;64, "Seniors", TRUE, "Working Age")</f>
        <v>Working Age</v>
      </c>
      <c r="J3516" s="6">
        <f>VLOOKUP(F3516,Analysis!$F$1:$G$5,2,FALSE)</f>
        <v>2503.6022787783854</v>
      </c>
      <c r="K3516">
        <f t="shared" si="216"/>
        <v>5233.18</v>
      </c>
      <c r="L3516">
        <f t="shared" si="217"/>
        <v>5233.1900000000005</v>
      </c>
      <c r="M3516">
        <f t="shared" si="218"/>
        <v>5233.18</v>
      </c>
      <c r="N3516" s="5" t="str">
        <f t="shared" si="219"/>
        <v>May 2023</v>
      </c>
    </row>
    <row r="3517" spans="1:14" x14ac:dyDescent="0.25">
      <c r="A3517" s="1">
        <v>45074</v>
      </c>
      <c r="B3517" t="s">
        <v>1285</v>
      </c>
      <c r="C3517">
        <v>78</v>
      </c>
      <c r="D3517" t="s">
        <v>9</v>
      </c>
      <c r="E3517" t="s">
        <v>32</v>
      </c>
      <c r="F3517" t="s">
        <v>29</v>
      </c>
      <c r="G3517" t="s">
        <v>17</v>
      </c>
      <c r="H3517">
        <v>3412.76</v>
      </c>
      <c r="I3517" s="8" t="str" cm="1">
        <f t="array" ref="I3517">_xlfn.IFS(C3517&lt;=15,"Children and Young Adolescents", C3517&gt;64, "Seniors", TRUE, "Working Age")</f>
        <v>Seniors</v>
      </c>
      <c r="J3517" s="6">
        <f>VLOOKUP(F3517,Analysis!$F$1:$G$5,2,FALSE)</f>
        <v>2496.7676064256989</v>
      </c>
      <c r="K3517">
        <f t="shared" si="216"/>
        <v>3754.03</v>
      </c>
      <c r="L3517">
        <f t="shared" si="217"/>
        <v>3754.0400000000004</v>
      </c>
      <c r="M3517">
        <f t="shared" si="218"/>
        <v>3754.04</v>
      </c>
      <c r="N3517" s="5" t="str">
        <f t="shared" si="219"/>
        <v>May 2023</v>
      </c>
    </row>
    <row r="3518" spans="1:14" x14ac:dyDescent="0.25">
      <c r="A3518" s="1">
        <v>45074</v>
      </c>
      <c r="B3518" t="s">
        <v>4548</v>
      </c>
      <c r="C3518">
        <v>57</v>
      </c>
      <c r="D3518" t="s">
        <v>14</v>
      </c>
      <c r="E3518" t="s">
        <v>22</v>
      </c>
      <c r="F3518" t="s">
        <v>11</v>
      </c>
      <c r="G3518" t="s">
        <v>36</v>
      </c>
      <c r="H3518">
        <v>2812.26</v>
      </c>
      <c r="I3518" s="8" t="str" cm="1">
        <f t="array" ref="I3518">_xlfn.IFS(C3518&lt;=15,"Children and Young Adolescents", C3518&gt;64, "Seniors", TRUE, "Working Age")</f>
        <v>Working Age</v>
      </c>
      <c r="J3518" s="6">
        <f>VLOOKUP(F3518,Analysis!$F$1:$G$5,2,FALSE)</f>
        <v>2503.6022787783854</v>
      </c>
      <c r="K3518">
        <f t="shared" si="216"/>
        <v>3093.48</v>
      </c>
      <c r="L3518">
        <f t="shared" si="217"/>
        <v>3093.4900000000002</v>
      </c>
      <c r="M3518">
        <f t="shared" si="218"/>
        <v>3093.49</v>
      </c>
      <c r="N3518" s="5" t="str">
        <f t="shared" si="219"/>
        <v>May 2023</v>
      </c>
    </row>
    <row r="3519" spans="1:14" x14ac:dyDescent="0.25">
      <c r="A3519" s="1">
        <v>45074</v>
      </c>
      <c r="B3519" t="s">
        <v>3370</v>
      </c>
      <c r="C3519">
        <v>43</v>
      </c>
      <c r="D3519" t="s">
        <v>14</v>
      </c>
      <c r="E3519" t="s">
        <v>15</v>
      </c>
      <c r="F3519" t="s">
        <v>11</v>
      </c>
      <c r="G3519" t="s">
        <v>36</v>
      </c>
      <c r="H3519">
        <v>2478.12</v>
      </c>
      <c r="I3519" s="8" t="str" cm="1">
        <f t="array" ref="I3519">_xlfn.IFS(C3519&lt;=15,"Children and Young Adolescents", C3519&gt;64, "Seniors", TRUE, "Working Age")</f>
        <v>Working Age</v>
      </c>
      <c r="J3519" s="6">
        <f>VLOOKUP(F3519,Analysis!$F$1:$G$5,2,FALSE)</f>
        <v>2503.6022787783854</v>
      </c>
      <c r="K3519">
        <f t="shared" si="216"/>
        <v>2725.93</v>
      </c>
      <c r="L3519">
        <f t="shared" si="217"/>
        <v>2725.94</v>
      </c>
      <c r="M3519">
        <f t="shared" si="218"/>
        <v>2725.93</v>
      </c>
      <c r="N3519" s="5" t="str">
        <f t="shared" si="219"/>
        <v>May 2023</v>
      </c>
    </row>
    <row r="3520" spans="1:14" x14ac:dyDescent="0.25">
      <c r="A3520" s="1">
        <v>45075</v>
      </c>
      <c r="B3520" t="s">
        <v>4982</v>
      </c>
      <c r="C3520">
        <v>91</v>
      </c>
      <c r="D3520" t="s">
        <v>21</v>
      </c>
      <c r="E3520" t="s">
        <v>22</v>
      </c>
      <c r="F3520" t="s">
        <v>11</v>
      </c>
      <c r="G3520" t="s">
        <v>5033</v>
      </c>
      <c r="H3520">
        <v>2468.17</v>
      </c>
      <c r="I3520" s="8" t="str" cm="1">
        <f t="array" ref="I3520">_xlfn.IFS(C3520&lt;=15,"Children and Young Adolescents", C3520&gt;64, "Seniors", TRUE, "Working Age")</f>
        <v>Seniors</v>
      </c>
      <c r="J3520" s="6">
        <f>VLOOKUP(F3520,Analysis!$F$1:$G$5,2,FALSE)</f>
        <v>2503.6022787783854</v>
      </c>
      <c r="K3520">
        <f t="shared" si="216"/>
        <v>2714.98</v>
      </c>
      <c r="L3520">
        <f t="shared" si="217"/>
        <v>2714.9900000000002</v>
      </c>
      <c r="M3520">
        <f t="shared" si="218"/>
        <v>2714.99</v>
      </c>
      <c r="N3520" s="5" t="str">
        <f t="shared" si="219"/>
        <v>May 2023</v>
      </c>
    </row>
    <row r="3521" spans="1:14" x14ac:dyDescent="0.25">
      <c r="A3521" s="1">
        <v>45075</v>
      </c>
      <c r="B3521" t="s">
        <v>4449</v>
      </c>
      <c r="C3521">
        <v>56</v>
      </c>
      <c r="D3521" t="s">
        <v>14</v>
      </c>
      <c r="E3521" t="s">
        <v>32</v>
      </c>
      <c r="F3521" t="s">
        <v>29</v>
      </c>
      <c r="G3521" t="s">
        <v>36</v>
      </c>
      <c r="H3521">
        <v>698.63</v>
      </c>
      <c r="I3521" s="8" t="str" cm="1">
        <f t="array" ref="I3521">_xlfn.IFS(C3521&lt;=15,"Children and Young Adolescents", C3521&gt;64, "Seniors", TRUE, "Working Age")</f>
        <v>Working Age</v>
      </c>
      <c r="J3521" s="6">
        <f>VLOOKUP(F3521,Analysis!$F$1:$G$5,2,FALSE)</f>
        <v>2496.7676064256989</v>
      </c>
      <c r="K3521">
        <f t="shared" si="216"/>
        <v>768.49</v>
      </c>
      <c r="L3521">
        <f t="shared" si="217"/>
        <v>768.5</v>
      </c>
      <c r="M3521">
        <f t="shared" si="218"/>
        <v>768.49</v>
      </c>
      <c r="N3521" s="5" t="str">
        <f t="shared" si="219"/>
        <v>May 2023</v>
      </c>
    </row>
    <row r="3522" spans="1:14" x14ac:dyDescent="0.25">
      <c r="A3522" s="1">
        <v>45075</v>
      </c>
      <c r="B3522" t="s">
        <v>3500</v>
      </c>
      <c r="C3522">
        <v>16</v>
      </c>
      <c r="D3522" t="s">
        <v>21</v>
      </c>
      <c r="E3522" t="s">
        <v>22</v>
      </c>
      <c r="F3522" t="s">
        <v>23</v>
      </c>
      <c r="G3522" t="s">
        <v>36</v>
      </c>
      <c r="H3522">
        <v>95.52</v>
      </c>
      <c r="I3522" s="8" t="str" cm="1">
        <f t="array" ref="I3522">_xlfn.IFS(C3522&lt;=15,"Children and Young Adolescents", C3522&gt;64, "Seniors", TRUE, "Working Age")</f>
        <v>Working Age</v>
      </c>
      <c r="J3522" s="6">
        <f>VLOOKUP(F3522,Analysis!$F$1:$G$5,2,FALSE)</f>
        <v>2440.2966694490838</v>
      </c>
      <c r="K3522">
        <f t="shared" si="216"/>
        <v>105.07</v>
      </c>
      <c r="L3522">
        <f t="shared" si="217"/>
        <v>105.08</v>
      </c>
      <c r="M3522">
        <f t="shared" si="218"/>
        <v>105.07</v>
      </c>
      <c r="N3522" s="5" t="str">
        <f t="shared" si="219"/>
        <v>May 2023</v>
      </c>
    </row>
    <row r="3523" spans="1:14" x14ac:dyDescent="0.25">
      <c r="A3523" s="1">
        <v>45075</v>
      </c>
      <c r="B3523" t="s">
        <v>4439</v>
      </c>
      <c r="C3523">
        <v>30</v>
      </c>
      <c r="D3523" t="s">
        <v>9</v>
      </c>
      <c r="E3523" t="s">
        <v>34</v>
      </c>
      <c r="F3523" t="s">
        <v>29</v>
      </c>
      <c r="G3523" t="s">
        <v>12</v>
      </c>
      <c r="H3523">
        <v>56.46</v>
      </c>
      <c r="I3523" s="8" t="str" cm="1">
        <f t="array" ref="I3523">_xlfn.IFS(C3523&lt;=15,"Children and Young Adolescents", C3523&gt;64, "Seniors", TRUE, "Working Age")</f>
        <v>Working Age</v>
      </c>
      <c r="J3523" s="6">
        <f>VLOOKUP(F3523,Analysis!$F$1:$G$5,2,FALSE)</f>
        <v>2496.7676064256989</v>
      </c>
      <c r="K3523">
        <f t="shared" ref="K3523:K3586" si="220">ROUNDDOWN(H3523*1.1,2)</f>
        <v>62.1</v>
      </c>
      <c r="L3523">
        <f t="shared" ref="L3523:L3586" si="221">ROUNDUP(H3523*1.1,2)</f>
        <v>62.11</v>
      </c>
      <c r="M3523">
        <f t="shared" ref="M3523:M3586" si="222">ROUND(H3523*1.1,2)</f>
        <v>62.11</v>
      </c>
      <c r="N3523" s="5" t="str">
        <f t="shared" ref="N3523:N3586" si="223">TEXT(A3523,"mmmm yyyy")</f>
        <v>May 2023</v>
      </c>
    </row>
    <row r="3524" spans="1:14" x14ac:dyDescent="0.25">
      <c r="A3524" s="1">
        <v>45075</v>
      </c>
      <c r="B3524" t="s">
        <v>3379</v>
      </c>
      <c r="C3524">
        <v>80</v>
      </c>
      <c r="D3524" t="s">
        <v>14</v>
      </c>
      <c r="E3524" t="s">
        <v>25</v>
      </c>
      <c r="F3524" t="s">
        <v>11</v>
      </c>
      <c r="G3524" t="s">
        <v>27</v>
      </c>
      <c r="H3524">
        <v>325.08999999999997</v>
      </c>
      <c r="I3524" s="8" t="str" cm="1">
        <f t="array" ref="I3524">_xlfn.IFS(C3524&lt;=15,"Children and Young Adolescents", C3524&gt;64, "Seniors", TRUE, "Working Age")</f>
        <v>Seniors</v>
      </c>
      <c r="J3524" s="6">
        <f>VLOOKUP(F3524,Analysis!$F$1:$G$5,2,FALSE)</f>
        <v>2503.6022787783854</v>
      </c>
      <c r="K3524">
        <f t="shared" si="220"/>
        <v>357.59</v>
      </c>
      <c r="L3524">
        <f t="shared" si="221"/>
        <v>357.59999999999997</v>
      </c>
      <c r="M3524">
        <f t="shared" si="222"/>
        <v>357.6</v>
      </c>
      <c r="N3524" s="5" t="str">
        <f t="shared" si="223"/>
        <v>May 2023</v>
      </c>
    </row>
    <row r="3525" spans="1:14" x14ac:dyDescent="0.25">
      <c r="A3525" s="1">
        <v>45075</v>
      </c>
      <c r="B3525" t="s">
        <v>3137</v>
      </c>
      <c r="C3525">
        <v>17</v>
      </c>
      <c r="D3525" t="s">
        <v>14</v>
      </c>
      <c r="E3525" t="s">
        <v>15</v>
      </c>
      <c r="F3525" t="s">
        <v>11</v>
      </c>
      <c r="G3525" t="s">
        <v>36</v>
      </c>
      <c r="H3525">
        <v>3207.11</v>
      </c>
      <c r="I3525" s="8" t="str" cm="1">
        <f t="array" ref="I3525">_xlfn.IFS(C3525&lt;=15,"Children and Young Adolescents", C3525&gt;64, "Seniors", TRUE, "Working Age")</f>
        <v>Working Age</v>
      </c>
      <c r="J3525" s="6">
        <f>VLOOKUP(F3525,Analysis!$F$1:$G$5,2,FALSE)</f>
        <v>2503.6022787783854</v>
      </c>
      <c r="K3525">
        <f t="shared" si="220"/>
        <v>3527.82</v>
      </c>
      <c r="L3525">
        <f t="shared" si="221"/>
        <v>3527.8300000000004</v>
      </c>
      <c r="M3525">
        <f t="shared" si="222"/>
        <v>3527.82</v>
      </c>
      <c r="N3525" s="5" t="str">
        <f t="shared" si="223"/>
        <v>May 2023</v>
      </c>
    </row>
    <row r="3526" spans="1:14" x14ac:dyDescent="0.25">
      <c r="A3526" s="1">
        <v>45075</v>
      </c>
      <c r="B3526" t="s">
        <v>2668</v>
      </c>
      <c r="C3526">
        <v>21</v>
      </c>
      <c r="D3526" t="s">
        <v>14</v>
      </c>
      <c r="E3526" t="s">
        <v>32</v>
      </c>
      <c r="F3526" t="s">
        <v>16</v>
      </c>
      <c r="G3526" t="s">
        <v>39</v>
      </c>
      <c r="H3526">
        <v>4094.48</v>
      </c>
      <c r="I3526" s="8" t="str" cm="1">
        <f t="array" ref="I3526">_xlfn.IFS(C3526&lt;=15,"Children and Young Adolescents", C3526&gt;64, "Seniors", TRUE, "Working Age")</f>
        <v>Working Age</v>
      </c>
      <c r="J3526" s="6">
        <f>VLOOKUP(F3526,Analysis!$F$1:$G$5,2,FALSE)</f>
        <v>2509.1716796874912</v>
      </c>
      <c r="K3526">
        <f t="shared" si="220"/>
        <v>4503.92</v>
      </c>
      <c r="L3526">
        <f t="shared" si="221"/>
        <v>4503.93</v>
      </c>
      <c r="M3526">
        <f t="shared" si="222"/>
        <v>4503.93</v>
      </c>
      <c r="N3526" s="5" t="str">
        <f t="shared" si="223"/>
        <v>May 2023</v>
      </c>
    </row>
    <row r="3527" spans="1:14" x14ac:dyDescent="0.25">
      <c r="A3527" s="1">
        <v>45076</v>
      </c>
      <c r="B3527" t="s">
        <v>1873</v>
      </c>
      <c r="C3527">
        <v>78</v>
      </c>
      <c r="D3527" t="s">
        <v>14</v>
      </c>
      <c r="E3527" t="s">
        <v>34</v>
      </c>
      <c r="F3527" t="s">
        <v>11</v>
      </c>
      <c r="G3527" t="s">
        <v>27</v>
      </c>
      <c r="H3527">
        <v>3154.27</v>
      </c>
      <c r="I3527" s="8" t="str" cm="1">
        <f t="array" ref="I3527">_xlfn.IFS(C3527&lt;=15,"Children and Young Adolescents", C3527&gt;64, "Seniors", TRUE, "Working Age")</f>
        <v>Seniors</v>
      </c>
      <c r="J3527" s="6">
        <f>VLOOKUP(F3527,Analysis!$F$1:$G$5,2,FALSE)</f>
        <v>2503.6022787783854</v>
      </c>
      <c r="K3527">
        <f t="shared" si="220"/>
        <v>3469.69</v>
      </c>
      <c r="L3527">
        <f t="shared" si="221"/>
        <v>3469.7000000000003</v>
      </c>
      <c r="M3527">
        <f t="shared" si="222"/>
        <v>3469.7</v>
      </c>
      <c r="N3527" s="5" t="str">
        <f t="shared" si="223"/>
        <v>May 2023</v>
      </c>
    </row>
    <row r="3528" spans="1:14" x14ac:dyDescent="0.25">
      <c r="A3528" s="1">
        <v>45076</v>
      </c>
      <c r="B3528" t="s">
        <v>1905</v>
      </c>
      <c r="C3528">
        <v>14</v>
      </c>
      <c r="D3528" t="s">
        <v>9</v>
      </c>
      <c r="E3528" t="s">
        <v>25</v>
      </c>
      <c r="F3528" t="s">
        <v>16</v>
      </c>
      <c r="G3528" t="s">
        <v>36</v>
      </c>
      <c r="H3528">
        <v>1621.03</v>
      </c>
      <c r="I3528" s="8" t="str" cm="1">
        <f t="array" ref="I3528">_xlfn.IFS(C3528&lt;=15,"Children and Young Adolescents", C3528&gt;64, "Seniors", TRUE, "Working Age")</f>
        <v>Children and Young Adolescents</v>
      </c>
      <c r="J3528" s="6">
        <f>VLOOKUP(F3528,Analysis!$F$1:$G$5,2,FALSE)</f>
        <v>2509.1716796874912</v>
      </c>
      <c r="K3528">
        <f t="shared" si="220"/>
        <v>1783.13</v>
      </c>
      <c r="L3528">
        <f t="shared" si="221"/>
        <v>1783.14</v>
      </c>
      <c r="M3528">
        <f t="shared" si="222"/>
        <v>1783.13</v>
      </c>
      <c r="N3528" s="5" t="str">
        <f t="shared" si="223"/>
        <v>May 2023</v>
      </c>
    </row>
    <row r="3529" spans="1:14" x14ac:dyDescent="0.25">
      <c r="A3529" s="1">
        <v>45076</v>
      </c>
      <c r="B3529" t="s">
        <v>4126</v>
      </c>
      <c r="C3529">
        <v>43</v>
      </c>
      <c r="D3529" t="s">
        <v>21</v>
      </c>
      <c r="E3529" t="s">
        <v>32</v>
      </c>
      <c r="F3529" t="s">
        <v>11</v>
      </c>
      <c r="G3529" t="s">
        <v>12</v>
      </c>
      <c r="H3529">
        <v>2469.9299999999998</v>
      </c>
      <c r="I3529" s="8" t="str" cm="1">
        <f t="array" ref="I3529">_xlfn.IFS(C3529&lt;=15,"Children and Young Adolescents", C3529&gt;64, "Seniors", TRUE, "Working Age")</f>
        <v>Working Age</v>
      </c>
      <c r="J3529" s="6">
        <f>VLOOKUP(F3529,Analysis!$F$1:$G$5,2,FALSE)</f>
        <v>2503.6022787783854</v>
      </c>
      <c r="K3529">
        <f t="shared" si="220"/>
        <v>2716.92</v>
      </c>
      <c r="L3529">
        <f t="shared" si="221"/>
        <v>2716.9300000000003</v>
      </c>
      <c r="M3529">
        <f t="shared" si="222"/>
        <v>2716.92</v>
      </c>
      <c r="N3529" s="5" t="str">
        <f t="shared" si="223"/>
        <v>May 2023</v>
      </c>
    </row>
    <row r="3530" spans="1:14" x14ac:dyDescent="0.25">
      <c r="A3530" s="1">
        <v>45076</v>
      </c>
      <c r="B3530" t="s">
        <v>206</v>
      </c>
      <c r="C3530">
        <v>72</v>
      </c>
      <c r="D3530" t="s">
        <v>21</v>
      </c>
      <c r="E3530" t="s">
        <v>32</v>
      </c>
      <c r="F3530" t="s">
        <v>11</v>
      </c>
      <c r="G3530" t="s">
        <v>27</v>
      </c>
      <c r="H3530">
        <v>149.16999999999999</v>
      </c>
      <c r="I3530" s="8" t="str" cm="1">
        <f t="array" ref="I3530">_xlfn.IFS(C3530&lt;=15,"Children and Young Adolescents", C3530&gt;64, "Seniors", TRUE, "Working Age")</f>
        <v>Seniors</v>
      </c>
      <c r="J3530" s="6">
        <f>VLOOKUP(F3530,Analysis!$F$1:$G$5,2,FALSE)</f>
        <v>2503.6022787783854</v>
      </c>
      <c r="K3530">
        <f t="shared" si="220"/>
        <v>164.08</v>
      </c>
      <c r="L3530">
        <f t="shared" si="221"/>
        <v>164.09</v>
      </c>
      <c r="M3530">
        <f t="shared" si="222"/>
        <v>164.09</v>
      </c>
      <c r="N3530" s="5" t="str">
        <f t="shared" si="223"/>
        <v>May 2023</v>
      </c>
    </row>
    <row r="3531" spans="1:14" x14ac:dyDescent="0.25">
      <c r="A3531" s="1">
        <v>45077</v>
      </c>
      <c r="B3531" t="s">
        <v>1576</v>
      </c>
      <c r="C3531">
        <v>72</v>
      </c>
      <c r="D3531" t="s">
        <v>14</v>
      </c>
      <c r="E3531" t="s">
        <v>15</v>
      </c>
      <c r="F3531" t="s">
        <v>23</v>
      </c>
      <c r="G3531" t="s">
        <v>39</v>
      </c>
      <c r="H3531">
        <v>3616.22</v>
      </c>
      <c r="I3531" s="8" t="str" cm="1">
        <f t="array" ref="I3531">_xlfn.IFS(C3531&lt;=15,"Children and Young Adolescents", C3531&gt;64, "Seniors", TRUE, "Working Age")</f>
        <v>Seniors</v>
      </c>
      <c r="J3531" s="6">
        <f>VLOOKUP(F3531,Analysis!$F$1:$G$5,2,FALSE)</f>
        <v>2440.2966694490838</v>
      </c>
      <c r="K3531">
        <f t="shared" si="220"/>
        <v>3977.84</v>
      </c>
      <c r="L3531">
        <f t="shared" si="221"/>
        <v>3977.8500000000004</v>
      </c>
      <c r="M3531">
        <f t="shared" si="222"/>
        <v>3977.84</v>
      </c>
      <c r="N3531" s="5" t="str">
        <f t="shared" si="223"/>
        <v>May 2023</v>
      </c>
    </row>
    <row r="3532" spans="1:14" x14ac:dyDescent="0.25">
      <c r="A3532" s="1">
        <v>45077</v>
      </c>
      <c r="B3532" t="s">
        <v>1355</v>
      </c>
      <c r="C3532">
        <v>94</v>
      </c>
      <c r="D3532" t="s">
        <v>14</v>
      </c>
      <c r="E3532" t="s">
        <v>15</v>
      </c>
      <c r="F3532" t="s">
        <v>29</v>
      </c>
      <c r="G3532" t="s">
        <v>12</v>
      </c>
      <c r="H3532">
        <v>3848.83</v>
      </c>
      <c r="I3532" s="8" t="str" cm="1">
        <f t="array" ref="I3532">_xlfn.IFS(C3532&lt;=15,"Children and Young Adolescents", C3532&gt;64, "Seniors", TRUE, "Working Age")</f>
        <v>Seniors</v>
      </c>
      <c r="J3532" s="6">
        <f>VLOOKUP(F3532,Analysis!$F$1:$G$5,2,FALSE)</f>
        <v>2496.7676064256989</v>
      </c>
      <c r="K3532">
        <f t="shared" si="220"/>
        <v>4233.71</v>
      </c>
      <c r="L3532">
        <f t="shared" si="221"/>
        <v>4233.72</v>
      </c>
      <c r="M3532">
        <f t="shared" si="222"/>
        <v>4233.71</v>
      </c>
      <c r="N3532" s="5" t="str">
        <f t="shared" si="223"/>
        <v>May 2023</v>
      </c>
    </row>
    <row r="3533" spans="1:14" x14ac:dyDescent="0.25">
      <c r="A3533" s="1">
        <v>45077</v>
      </c>
      <c r="B3533" t="s">
        <v>1257</v>
      </c>
      <c r="C3533">
        <v>43</v>
      </c>
      <c r="D3533" t="s">
        <v>14</v>
      </c>
      <c r="E3533" t="s">
        <v>25</v>
      </c>
      <c r="F3533" t="s">
        <v>11</v>
      </c>
      <c r="G3533" t="s">
        <v>39</v>
      </c>
      <c r="H3533">
        <v>4415.08</v>
      </c>
      <c r="I3533" s="8" t="str" cm="1">
        <f t="array" ref="I3533">_xlfn.IFS(C3533&lt;=15,"Children and Young Adolescents", C3533&gt;64, "Seniors", TRUE, "Working Age")</f>
        <v>Working Age</v>
      </c>
      <c r="J3533" s="6">
        <f>VLOOKUP(F3533,Analysis!$F$1:$G$5,2,FALSE)</f>
        <v>2503.6022787783854</v>
      </c>
      <c r="K3533">
        <f t="shared" si="220"/>
        <v>4856.58</v>
      </c>
      <c r="L3533">
        <f t="shared" si="221"/>
        <v>4856.59</v>
      </c>
      <c r="M3533">
        <f t="shared" si="222"/>
        <v>4856.59</v>
      </c>
      <c r="N3533" s="5" t="str">
        <f t="shared" si="223"/>
        <v>May 2023</v>
      </c>
    </row>
    <row r="3534" spans="1:14" x14ac:dyDescent="0.25">
      <c r="A3534" s="1">
        <v>45077</v>
      </c>
      <c r="B3534" t="s">
        <v>1280</v>
      </c>
      <c r="C3534">
        <v>83</v>
      </c>
      <c r="D3534" t="s">
        <v>21</v>
      </c>
      <c r="E3534" t="s">
        <v>22</v>
      </c>
      <c r="F3534" t="s">
        <v>23</v>
      </c>
      <c r="G3534" t="s">
        <v>12</v>
      </c>
      <c r="H3534">
        <v>2694.9</v>
      </c>
      <c r="I3534" s="8" t="str" cm="1">
        <f t="array" ref="I3534">_xlfn.IFS(C3534&lt;=15,"Children and Young Adolescents", C3534&gt;64, "Seniors", TRUE, "Working Age")</f>
        <v>Seniors</v>
      </c>
      <c r="J3534" s="6">
        <f>VLOOKUP(F3534,Analysis!$F$1:$G$5,2,FALSE)</f>
        <v>2440.2966694490838</v>
      </c>
      <c r="K3534">
        <f t="shared" si="220"/>
        <v>2964.39</v>
      </c>
      <c r="L3534">
        <f t="shared" si="221"/>
        <v>2964.39</v>
      </c>
      <c r="M3534">
        <f t="shared" si="222"/>
        <v>2964.39</v>
      </c>
      <c r="N3534" s="5" t="str">
        <f t="shared" si="223"/>
        <v>May 2023</v>
      </c>
    </row>
    <row r="3535" spans="1:14" x14ac:dyDescent="0.25">
      <c r="A3535" s="1">
        <v>45077</v>
      </c>
      <c r="B3535" t="s">
        <v>2621</v>
      </c>
      <c r="C3535">
        <v>54</v>
      </c>
      <c r="D3535" t="s">
        <v>9</v>
      </c>
      <c r="E3535" t="s">
        <v>25</v>
      </c>
      <c r="F3535" t="s">
        <v>29</v>
      </c>
      <c r="G3535" t="s">
        <v>5033</v>
      </c>
      <c r="H3535">
        <v>362.09</v>
      </c>
      <c r="I3535" s="8" t="str" cm="1">
        <f t="array" ref="I3535">_xlfn.IFS(C3535&lt;=15,"Children and Young Adolescents", C3535&gt;64, "Seniors", TRUE, "Working Age")</f>
        <v>Working Age</v>
      </c>
      <c r="J3535" s="6">
        <f>VLOOKUP(F3535,Analysis!$F$1:$G$5,2,FALSE)</f>
        <v>2496.7676064256989</v>
      </c>
      <c r="K3535">
        <f t="shared" si="220"/>
        <v>398.29</v>
      </c>
      <c r="L3535">
        <f t="shared" si="221"/>
        <v>398.3</v>
      </c>
      <c r="M3535">
        <f t="shared" si="222"/>
        <v>398.3</v>
      </c>
      <c r="N3535" s="5" t="str">
        <f t="shared" si="223"/>
        <v>May 2023</v>
      </c>
    </row>
    <row r="3536" spans="1:14" x14ac:dyDescent="0.25">
      <c r="A3536" s="1">
        <v>45077</v>
      </c>
      <c r="B3536" t="s">
        <v>3739</v>
      </c>
      <c r="C3536">
        <v>18</v>
      </c>
      <c r="D3536" t="s">
        <v>9</v>
      </c>
      <c r="E3536" t="s">
        <v>10</v>
      </c>
      <c r="F3536" t="s">
        <v>23</v>
      </c>
      <c r="G3536" t="s">
        <v>27</v>
      </c>
      <c r="H3536">
        <v>170.18</v>
      </c>
      <c r="I3536" s="8" t="str" cm="1">
        <f t="array" ref="I3536">_xlfn.IFS(C3536&lt;=15,"Children and Young Adolescents", C3536&gt;64, "Seniors", TRUE, "Working Age")</f>
        <v>Working Age</v>
      </c>
      <c r="J3536" s="6">
        <f>VLOOKUP(F3536,Analysis!$F$1:$G$5,2,FALSE)</f>
        <v>2440.2966694490838</v>
      </c>
      <c r="K3536">
        <f t="shared" si="220"/>
        <v>187.19</v>
      </c>
      <c r="L3536">
        <f t="shared" si="221"/>
        <v>187.2</v>
      </c>
      <c r="M3536">
        <f t="shared" si="222"/>
        <v>187.2</v>
      </c>
      <c r="N3536" s="5" t="str">
        <f t="shared" si="223"/>
        <v>May 2023</v>
      </c>
    </row>
    <row r="3537" spans="1:14" x14ac:dyDescent="0.25">
      <c r="A3537" s="1">
        <v>45077</v>
      </c>
      <c r="B3537" t="s">
        <v>3001</v>
      </c>
      <c r="C3537">
        <v>64</v>
      </c>
      <c r="D3537" t="s">
        <v>14</v>
      </c>
      <c r="E3537" t="s">
        <v>15</v>
      </c>
      <c r="F3537" t="s">
        <v>16</v>
      </c>
      <c r="G3537" t="s">
        <v>27</v>
      </c>
      <c r="H3537">
        <v>2304.8000000000002</v>
      </c>
      <c r="I3537" s="8" t="str" cm="1">
        <f t="array" ref="I3537">_xlfn.IFS(C3537&lt;=15,"Children and Young Adolescents", C3537&gt;64, "Seniors", TRUE, "Working Age")</f>
        <v>Working Age</v>
      </c>
      <c r="J3537" s="6">
        <f>VLOOKUP(F3537,Analysis!$F$1:$G$5,2,FALSE)</f>
        <v>2509.1716796874912</v>
      </c>
      <c r="K3537">
        <f t="shared" si="220"/>
        <v>2535.2800000000002</v>
      </c>
      <c r="L3537">
        <f t="shared" si="221"/>
        <v>2535.2800000000002</v>
      </c>
      <c r="M3537">
        <f t="shared" si="222"/>
        <v>2535.2800000000002</v>
      </c>
      <c r="N3537" s="5" t="str">
        <f t="shared" si="223"/>
        <v>May 2023</v>
      </c>
    </row>
    <row r="3538" spans="1:14" x14ac:dyDescent="0.25">
      <c r="A3538" s="1">
        <v>45077</v>
      </c>
      <c r="B3538" t="s">
        <v>1778</v>
      </c>
      <c r="C3538">
        <v>69</v>
      </c>
      <c r="D3538" t="s">
        <v>21</v>
      </c>
      <c r="E3538" t="s">
        <v>22</v>
      </c>
      <c r="F3538" t="s">
        <v>29</v>
      </c>
      <c r="G3538" t="s">
        <v>36</v>
      </c>
      <c r="H3538">
        <v>742.93</v>
      </c>
      <c r="I3538" s="8" t="str" cm="1">
        <f t="array" ref="I3538">_xlfn.IFS(C3538&lt;=15,"Children and Young Adolescents", C3538&gt;64, "Seniors", TRUE, "Working Age")</f>
        <v>Seniors</v>
      </c>
      <c r="J3538" s="6">
        <f>VLOOKUP(F3538,Analysis!$F$1:$G$5,2,FALSE)</f>
        <v>2496.7676064256989</v>
      </c>
      <c r="K3538">
        <f t="shared" si="220"/>
        <v>817.22</v>
      </c>
      <c r="L3538">
        <f t="shared" si="221"/>
        <v>817.23</v>
      </c>
      <c r="M3538">
        <f t="shared" si="222"/>
        <v>817.22</v>
      </c>
      <c r="N3538" s="5" t="str">
        <f t="shared" si="223"/>
        <v>May 2023</v>
      </c>
    </row>
    <row r="3539" spans="1:14" x14ac:dyDescent="0.25">
      <c r="A3539" s="1">
        <v>45077</v>
      </c>
      <c r="B3539" t="s">
        <v>2382</v>
      </c>
      <c r="C3539">
        <v>24</v>
      </c>
      <c r="D3539" t="s">
        <v>14</v>
      </c>
      <c r="E3539" t="s">
        <v>19</v>
      </c>
      <c r="F3539" t="s">
        <v>23</v>
      </c>
      <c r="G3539" t="s">
        <v>36</v>
      </c>
      <c r="H3539">
        <v>3427.02</v>
      </c>
      <c r="I3539" s="8" t="str" cm="1">
        <f t="array" ref="I3539">_xlfn.IFS(C3539&lt;=15,"Children and Young Adolescents", C3539&gt;64, "Seniors", TRUE, "Working Age")</f>
        <v>Working Age</v>
      </c>
      <c r="J3539" s="6">
        <f>VLOOKUP(F3539,Analysis!$F$1:$G$5,2,FALSE)</f>
        <v>2440.2966694490838</v>
      </c>
      <c r="K3539">
        <f t="shared" si="220"/>
        <v>3769.72</v>
      </c>
      <c r="L3539">
        <f t="shared" si="221"/>
        <v>3769.73</v>
      </c>
      <c r="M3539">
        <f t="shared" si="222"/>
        <v>3769.72</v>
      </c>
      <c r="N3539" s="5" t="str">
        <f t="shared" si="223"/>
        <v>May 2023</v>
      </c>
    </row>
    <row r="3540" spans="1:14" x14ac:dyDescent="0.25">
      <c r="A3540" s="1">
        <v>45077</v>
      </c>
      <c r="B3540" t="s">
        <v>1170</v>
      </c>
      <c r="C3540">
        <v>91</v>
      </c>
      <c r="D3540" t="s">
        <v>14</v>
      </c>
      <c r="E3540" t="s">
        <v>5032</v>
      </c>
      <c r="F3540" t="s">
        <v>23</v>
      </c>
      <c r="G3540" t="s">
        <v>39</v>
      </c>
      <c r="H3540">
        <v>3053.52</v>
      </c>
      <c r="I3540" s="8" t="str" cm="1">
        <f t="array" ref="I3540">_xlfn.IFS(C3540&lt;=15,"Children and Young Adolescents", C3540&gt;64, "Seniors", TRUE, "Working Age")</f>
        <v>Seniors</v>
      </c>
      <c r="J3540" s="6">
        <f>VLOOKUP(F3540,Analysis!$F$1:$G$5,2,FALSE)</f>
        <v>2440.2966694490838</v>
      </c>
      <c r="K3540">
        <f t="shared" si="220"/>
        <v>3358.87</v>
      </c>
      <c r="L3540">
        <f t="shared" si="221"/>
        <v>3358.88</v>
      </c>
      <c r="M3540">
        <f t="shared" si="222"/>
        <v>3358.87</v>
      </c>
      <c r="N3540" s="5" t="str">
        <f t="shared" si="223"/>
        <v>May 2023</v>
      </c>
    </row>
    <row r="3541" spans="1:14" x14ac:dyDescent="0.25">
      <c r="A3541" s="1">
        <v>45077</v>
      </c>
      <c r="B3541" t="s">
        <v>2712</v>
      </c>
      <c r="C3541">
        <v>64</v>
      </c>
      <c r="D3541" t="s">
        <v>14</v>
      </c>
      <c r="E3541" t="s">
        <v>19</v>
      </c>
      <c r="F3541" t="s">
        <v>23</v>
      </c>
      <c r="G3541" t="s">
        <v>12</v>
      </c>
      <c r="H3541">
        <v>4467.68</v>
      </c>
      <c r="I3541" s="8" t="str" cm="1">
        <f t="array" ref="I3541">_xlfn.IFS(C3541&lt;=15,"Children and Young Adolescents", C3541&gt;64, "Seniors", TRUE, "Working Age")</f>
        <v>Working Age</v>
      </c>
      <c r="J3541" s="6">
        <f>VLOOKUP(F3541,Analysis!$F$1:$G$5,2,FALSE)</f>
        <v>2440.2966694490838</v>
      </c>
      <c r="K3541">
        <f t="shared" si="220"/>
        <v>4914.4399999999996</v>
      </c>
      <c r="L3541">
        <f t="shared" si="221"/>
        <v>4914.45</v>
      </c>
      <c r="M3541">
        <f t="shared" si="222"/>
        <v>4914.45</v>
      </c>
      <c r="N3541" s="5" t="str">
        <f t="shared" si="223"/>
        <v>May 2023</v>
      </c>
    </row>
    <row r="3542" spans="1:14" x14ac:dyDescent="0.25">
      <c r="A3542" s="1">
        <v>45078</v>
      </c>
      <c r="B3542" t="s">
        <v>3995</v>
      </c>
      <c r="C3542">
        <v>5</v>
      </c>
      <c r="D3542" t="s">
        <v>21</v>
      </c>
      <c r="E3542" t="s">
        <v>19</v>
      </c>
      <c r="F3542" t="s">
        <v>11</v>
      </c>
      <c r="G3542" t="s">
        <v>39</v>
      </c>
      <c r="H3542">
        <v>3005.51</v>
      </c>
      <c r="I3542" s="8" t="str" cm="1">
        <f t="array" ref="I3542">_xlfn.IFS(C3542&lt;=15,"Children and Young Adolescents", C3542&gt;64, "Seniors", TRUE, "Working Age")</f>
        <v>Children and Young Adolescents</v>
      </c>
      <c r="J3542" s="6">
        <f>VLOOKUP(F3542,Analysis!$F$1:$G$5,2,FALSE)</f>
        <v>2503.6022787783854</v>
      </c>
      <c r="K3542">
        <f t="shared" si="220"/>
        <v>3306.06</v>
      </c>
      <c r="L3542">
        <f t="shared" si="221"/>
        <v>3306.07</v>
      </c>
      <c r="M3542">
        <f t="shared" si="222"/>
        <v>3306.06</v>
      </c>
      <c r="N3542" s="5" t="str">
        <f t="shared" si="223"/>
        <v>June 2023</v>
      </c>
    </row>
    <row r="3543" spans="1:14" x14ac:dyDescent="0.25">
      <c r="A3543" s="1">
        <v>45078</v>
      </c>
      <c r="B3543" t="s">
        <v>2639</v>
      </c>
      <c r="C3543">
        <v>7</v>
      </c>
      <c r="D3543" t="s">
        <v>21</v>
      </c>
      <c r="E3543" t="s">
        <v>25</v>
      </c>
      <c r="F3543" t="s">
        <v>23</v>
      </c>
      <c r="G3543" t="s">
        <v>27</v>
      </c>
      <c r="H3543">
        <v>2330.34</v>
      </c>
      <c r="I3543" s="8" t="str" cm="1">
        <f t="array" ref="I3543">_xlfn.IFS(C3543&lt;=15,"Children and Young Adolescents", C3543&gt;64, "Seniors", TRUE, "Working Age")</f>
        <v>Children and Young Adolescents</v>
      </c>
      <c r="J3543" s="6">
        <f>VLOOKUP(F3543,Analysis!$F$1:$G$5,2,FALSE)</f>
        <v>2440.2966694490838</v>
      </c>
      <c r="K3543">
        <f t="shared" si="220"/>
        <v>2563.37</v>
      </c>
      <c r="L3543">
        <f t="shared" si="221"/>
        <v>2563.38</v>
      </c>
      <c r="M3543">
        <f t="shared" si="222"/>
        <v>2563.37</v>
      </c>
      <c r="N3543" s="5" t="str">
        <f t="shared" si="223"/>
        <v>June 2023</v>
      </c>
    </row>
    <row r="3544" spans="1:14" x14ac:dyDescent="0.25">
      <c r="A3544" s="1">
        <v>45078</v>
      </c>
      <c r="B3544" t="s">
        <v>1376</v>
      </c>
      <c r="C3544">
        <v>87</v>
      </c>
      <c r="D3544" t="s">
        <v>14</v>
      </c>
      <c r="E3544" t="s">
        <v>19</v>
      </c>
      <c r="F3544" t="s">
        <v>16</v>
      </c>
      <c r="G3544" t="s">
        <v>12</v>
      </c>
      <c r="H3544">
        <v>1812.73</v>
      </c>
      <c r="I3544" s="8" t="str" cm="1">
        <f t="array" ref="I3544">_xlfn.IFS(C3544&lt;=15,"Children and Young Adolescents", C3544&gt;64, "Seniors", TRUE, "Working Age")</f>
        <v>Seniors</v>
      </c>
      <c r="J3544" s="6">
        <f>VLOOKUP(F3544,Analysis!$F$1:$G$5,2,FALSE)</f>
        <v>2509.1716796874912</v>
      </c>
      <c r="K3544">
        <f t="shared" si="220"/>
        <v>1994</v>
      </c>
      <c r="L3544">
        <f t="shared" si="221"/>
        <v>1994.01</v>
      </c>
      <c r="M3544">
        <f t="shared" si="222"/>
        <v>1994</v>
      </c>
      <c r="N3544" s="5" t="str">
        <f t="shared" si="223"/>
        <v>June 2023</v>
      </c>
    </row>
    <row r="3545" spans="1:14" x14ac:dyDescent="0.25">
      <c r="A3545" s="1">
        <v>45078</v>
      </c>
      <c r="B3545" t="s">
        <v>4083</v>
      </c>
      <c r="C3545">
        <v>47</v>
      </c>
      <c r="D3545" t="s">
        <v>21</v>
      </c>
      <c r="E3545" t="s">
        <v>5032</v>
      </c>
      <c r="F3545" t="s">
        <v>16</v>
      </c>
      <c r="G3545" t="s">
        <v>36</v>
      </c>
      <c r="H3545">
        <v>853.71</v>
      </c>
      <c r="I3545" s="8" t="str" cm="1">
        <f t="array" ref="I3545">_xlfn.IFS(C3545&lt;=15,"Children and Young Adolescents", C3545&gt;64, "Seniors", TRUE, "Working Age")</f>
        <v>Working Age</v>
      </c>
      <c r="J3545" s="6">
        <f>VLOOKUP(F3545,Analysis!$F$1:$G$5,2,FALSE)</f>
        <v>2509.1716796874912</v>
      </c>
      <c r="K3545">
        <f t="shared" si="220"/>
        <v>939.08</v>
      </c>
      <c r="L3545">
        <f t="shared" si="221"/>
        <v>939.09</v>
      </c>
      <c r="M3545">
        <f t="shared" si="222"/>
        <v>939.08</v>
      </c>
      <c r="N3545" s="5" t="str">
        <f t="shared" si="223"/>
        <v>June 2023</v>
      </c>
    </row>
    <row r="3546" spans="1:14" x14ac:dyDescent="0.25">
      <c r="A3546" s="1">
        <v>45078</v>
      </c>
      <c r="B3546" t="s">
        <v>1296</v>
      </c>
      <c r="C3546">
        <v>44</v>
      </c>
      <c r="D3546" t="s">
        <v>21</v>
      </c>
      <c r="E3546" t="s">
        <v>10</v>
      </c>
      <c r="F3546" t="s">
        <v>29</v>
      </c>
      <c r="G3546" t="s">
        <v>39</v>
      </c>
      <c r="H3546">
        <v>2744.88</v>
      </c>
      <c r="I3546" s="8" t="str" cm="1">
        <f t="array" ref="I3546">_xlfn.IFS(C3546&lt;=15,"Children and Young Adolescents", C3546&gt;64, "Seniors", TRUE, "Working Age")</f>
        <v>Working Age</v>
      </c>
      <c r="J3546" s="6">
        <f>VLOOKUP(F3546,Analysis!$F$1:$G$5,2,FALSE)</f>
        <v>2496.7676064256989</v>
      </c>
      <c r="K3546">
        <f t="shared" si="220"/>
        <v>3019.36</v>
      </c>
      <c r="L3546">
        <f t="shared" si="221"/>
        <v>3019.3700000000003</v>
      </c>
      <c r="M3546">
        <f t="shared" si="222"/>
        <v>3019.37</v>
      </c>
      <c r="N3546" s="5" t="str">
        <f t="shared" si="223"/>
        <v>June 2023</v>
      </c>
    </row>
    <row r="3547" spans="1:14" x14ac:dyDescent="0.25">
      <c r="A3547" s="1">
        <v>45078</v>
      </c>
      <c r="B3547" t="s">
        <v>2232</v>
      </c>
      <c r="C3547">
        <v>66</v>
      </c>
      <c r="D3547" t="s">
        <v>14</v>
      </c>
      <c r="E3547" t="s">
        <v>34</v>
      </c>
      <c r="F3547" t="s">
        <v>11</v>
      </c>
      <c r="G3547" t="s">
        <v>27</v>
      </c>
      <c r="H3547">
        <v>2532.75</v>
      </c>
      <c r="I3547" s="8" t="str" cm="1">
        <f t="array" ref="I3547">_xlfn.IFS(C3547&lt;=15,"Children and Young Adolescents", C3547&gt;64, "Seniors", TRUE, "Working Age")</f>
        <v>Seniors</v>
      </c>
      <c r="J3547" s="6">
        <f>VLOOKUP(F3547,Analysis!$F$1:$G$5,2,FALSE)</f>
        <v>2503.6022787783854</v>
      </c>
      <c r="K3547">
        <f t="shared" si="220"/>
        <v>2786.02</v>
      </c>
      <c r="L3547">
        <f t="shared" si="221"/>
        <v>2786.03</v>
      </c>
      <c r="M3547">
        <f t="shared" si="222"/>
        <v>2786.03</v>
      </c>
      <c r="N3547" s="5" t="str">
        <f t="shared" si="223"/>
        <v>June 2023</v>
      </c>
    </row>
    <row r="3548" spans="1:14" x14ac:dyDescent="0.25">
      <c r="A3548" s="1">
        <v>45078</v>
      </c>
      <c r="B3548" t="s">
        <v>3805</v>
      </c>
      <c r="C3548">
        <v>54</v>
      </c>
      <c r="D3548" t="s">
        <v>9</v>
      </c>
      <c r="E3548" t="s">
        <v>10</v>
      </c>
      <c r="F3548" t="s">
        <v>23</v>
      </c>
      <c r="G3548" t="s">
        <v>39</v>
      </c>
      <c r="H3548">
        <v>264.89999999999998</v>
      </c>
      <c r="I3548" s="8" t="str" cm="1">
        <f t="array" ref="I3548">_xlfn.IFS(C3548&lt;=15,"Children and Young Adolescents", C3548&gt;64, "Seniors", TRUE, "Working Age")</f>
        <v>Working Age</v>
      </c>
      <c r="J3548" s="6">
        <f>VLOOKUP(F3548,Analysis!$F$1:$G$5,2,FALSE)</f>
        <v>2440.2966694490838</v>
      </c>
      <c r="K3548">
        <f t="shared" si="220"/>
        <v>291.39</v>
      </c>
      <c r="L3548">
        <f t="shared" si="221"/>
        <v>291.39</v>
      </c>
      <c r="M3548">
        <f t="shared" si="222"/>
        <v>291.39</v>
      </c>
      <c r="N3548" s="5" t="str">
        <f t="shared" si="223"/>
        <v>June 2023</v>
      </c>
    </row>
    <row r="3549" spans="1:14" x14ac:dyDescent="0.25">
      <c r="A3549" s="1">
        <v>45079</v>
      </c>
      <c r="B3549" t="s">
        <v>990</v>
      </c>
      <c r="C3549">
        <v>26</v>
      </c>
      <c r="D3549" t="s">
        <v>9</v>
      </c>
      <c r="E3549" t="s">
        <v>34</v>
      </c>
      <c r="F3549" t="s">
        <v>11</v>
      </c>
      <c r="G3549" t="s">
        <v>27</v>
      </c>
      <c r="H3549">
        <v>4329.83</v>
      </c>
      <c r="I3549" s="8" t="str" cm="1">
        <f t="array" ref="I3549">_xlfn.IFS(C3549&lt;=15,"Children and Young Adolescents", C3549&gt;64, "Seniors", TRUE, "Working Age")</f>
        <v>Working Age</v>
      </c>
      <c r="J3549" s="6">
        <f>VLOOKUP(F3549,Analysis!$F$1:$G$5,2,FALSE)</f>
        <v>2503.6022787783854</v>
      </c>
      <c r="K3549">
        <f t="shared" si="220"/>
        <v>4762.8100000000004</v>
      </c>
      <c r="L3549">
        <f t="shared" si="221"/>
        <v>4762.8200000000006</v>
      </c>
      <c r="M3549">
        <f t="shared" si="222"/>
        <v>4762.8100000000004</v>
      </c>
      <c r="N3549" s="5" t="str">
        <f t="shared" si="223"/>
        <v>June 2023</v>
      </c>
    </row>
    <row r="3550" spans="1:14" x14ac:dyDescent="0.25">
      <c r="A3550" s="1">
        <v>45079</v>
      </c>
      <c r="B3550" t="s">
        <v>1870</v>
      </c>
      <c r="C3550">
        <v>86</v>
      </c>
      <c r="D3550" t="s">
        <v>14</v>
      </c>
      <c r="E3550" t="s">
        <v>22</v>
      </c>
      <c r="F3550" t="s">
        <v>16</v>
      </c>
      <c r="G3550" t="s">
        <v>36</v>
      </c>
      <c r="H3550">
        <v>4961.74</v>
      </c>
      <c r="I3550" s="8" t="str" cm="1">
        <f t="array" ref="I3550">_xlfn.IFS(C3550&lt;=15,"Children and Young Adolescents", C3550&gt;64, "Seniors", TRUE, "Working Age")</f>
        <v>Seniors</v>
      </c>
      <c r="J3550" s="6">
        <f>VLOOKUP(F3550,Analysis!$F$1:$G$5,2,FALSE)</f>
        <v>2509.1716796874912</v>
      </c>
      <c r="K3550">
        <f t="shared" si="220"/>
        <v>5457.91</v>
      </c>
      <c r="L3550">
        <f t="shared" si="221"/>
        <v>5457.92</v>
      </c>
      <c r="M3550">
        <f t="shared" si="222"/>
        <v>5457.91</v>
      </c>
      <c r="N3550" s="5" t="str">
        <f t="shared" si="223"/>
        <v>June 2023</v>
      </c>
    </row>
    <row r="3551" spans="1:14" x14ac:dyDescent="0.25">
      <c r="A3551" s="1">
        <v>45079</v>
      </c>
      <c r="B3551" t="s">
        <v>479</v>
      </c>
      <c r="C3551">
        <v>53</v>
      </c>
      <c r="D3551" t="s">
        <v>21</v>
      </c>
      <c r="E3551" t="s">
        <v>25</v>
      </c>
      <c r="F3551" t="s">
        <v>16</v>
      </c>
      <c r="G3551" t="s">
        <v>39</v>
      </c>
      <c r="H3551">
        <v>1918.1</v>
      </c>
      <c r="I3551" s="8" t="str" cm="1">
        <f t="array" ref="I3551">_xlfn.IFS(C3551&lt;=15,"Children and Young Adolescents", C3551&gt;64, "Seniors", TRUE, "Working Age")</f>
        <v>Working Age</v>
      </c>
      <c r="J3551" s="6">
        <f>VLOOKUP(F3551,Analysis!$F$1:$G$5,2,FALSE)</f>
        <v>2509.1716796874912</v>
      </c>
      <c r="K3551">
        <f t="shared" si="220"/>
        <v>2109.91</v>
      </c>
      <c r="L3551">
        <f t="shared" si="221"/>
        <v>2109.91</v>
      </c>
      <c r="M3551">
        <f t="shared" si="222"/>
        <v>2109.91</v>
      </c>
      <c r="N3551" s="5" t="str">
        <f t="shared" si="223"/>
        <v>June 2023</v>
      </c>
    </row>
    <row r="3552" spans="1:14" x14ac:dyDescent="0.25">
      <c r="A3552" s="1">
        <v>45079</v>
      </c>
      <c r="B3552" t="s">
        <v>2555</v>
      </c>
      <c r="C3552">
        <v>64</v>
      </c>
      <c r="D3552" t="s">
        <v>14</v>
      </c>
      <c r="E3552" t="s">
        <v>19</v>
      </c>
      <c r="F3552" t="s">
        <v>29</v>
      </c>
      <c r="G3552" t="s">
        <v>36</v>
      </c>
      <c r="H3552">
        <v>4248.8</v>
      </c>
      <c r="I3552" s="8" t="str" cm="1">
        <f t="array" ref="I3552">_xlfn.IFS(C3552&lt;=15,"Children and Young Adolescents", C3552&gt;64, "Seniors", TRUE, "Working Age")</f>
        <v>Working Age</v>
      </c>
      <c r="J3552" s="6">
        <f>VLOOKUP(F3552,Analysis!$F$1:$G$5,2,FALSE)</f>
        <v>2496.7676064256989</v>
      </c>
      <c r="K3552">
        <f t="shared" si="220"/>
        <v>4673.68</v>
      </c>
      <c r="L3552">
        <f t="shared" si="221"/>
        <v>4673.68</v>
      </c>
      <c r="M3552">
        <f t="shared" si="222"/>
        <v>4673.68</v>
      </c>
      <c r="N3552" s="5" t="str">
        <f t="shared" si="223"/>
        <v>June 2023</v>
      </c>
    </row>
    <row r="3553" spans="1:14" x14ac:dyDescent="0.25">
      <c r="A3553" s="1">
        <v>45079</v>
      </c>
      <c r="B3553" t="s">
        <v>3955</v>
      </c>
      <c r="C3553">
        <v>17</v>
      </c>
      <c r="D3553" t="s">
        <v>21</v>
      </c>
      <c r="E3553" t="s">
        <v>34</v>
      </c>
      <c r="F3553" t="s">
        <v>11</v>
      </c>
      <c r="G3553" t="s">
        <v>27</v>
      </c>
      <c r="H3553">
        <v>1908.24</v>
      </c>
      <c r="I3553" s="8" t="str" cm="1">
        <f t="array" ref="I3553">_xlfn.IFS(C3553&lt;=15,"Children and Young Adolescents", C3553&gt;64, "Seniors", TRUE, "Working Age")</f>
        <v>Working Age</v>
      </c>
      <c r="J3553" s="6">
        <f>VLOOKUP(F3553,Analysis!$F$1:$G$5,2,FALSE)</f>
        <v>2503.6022787783854</v>
      </c>
      <c r="K3553">
        <f t="shared" si="220"/>
        <v>2099.06</v>
      </c>
      <c r="L3553">
        <f t="shared" si="221"/>
        <v>2099.0700000000002</v>
      </c>
      <c r="M3553">
        <f t="shared" si="222"/>
        <v>2099.06</v>
      </c>
      <c r="N3553" s="5" t="str">
        <f t="shared" si="223"/>
        <v>June 2023</v>
      </c>
    </row>
    <row r="3554" spans="1:14" x14ac:dyDescent="0.25">
      <c r="A3554" s="1">
        <v>45080</v>
      </c>
      <c r="B3554" t="s">
        <v>1045</v>
      </c>
      <c r="C3554">
        <v>46</v>
      </c>
      <c r="D3554" t="s">
        <v>9</v>
      </c>
      <c r="E3554" t="s">
        <v>32</v>
      </c>
      <c r="F3554" t="s">
        <v>11</v>
      </c>
      <c r="G3554" t="s">
        <v>17</v>
      </c>
      <c r="H3554">
        <v>4839.3</v>
      </c>
      <c r="I3554" s="8" t="str" cm="1">
        <f t="array" ref="I3554">_xlfn.IFS(C3554&lt;=15,"Children and Young Adolescents", C3554&gt;64, "Seniors", TRUE, "Working Age")</f>
        <v>Working Age</v>
      </c>
      <c r="J3554" s="6">
        <f>VLOOKUP(F3554,Analysis!$F$1:$G$5,2,FALSE)</f>
        <v>2503.6022787783854</v>
      </c>
      <c r="K3554">
        <f t="shared" si="220"/>
        <v>5323.23</v>
      </c>
      <c r="L3554">
        <f t="shared" si="221"/>
        <v>5323.23</v>
      </c>
      <c r="M3554">
        <f t="shared" si="222"/>
        <v>5323.23</v>
      </c>
      <c r="N3554" s="5" t="str">
        <f t="shared" si="223"/>
        <v>June 2023</v>
      </c>
    </row>
    <row r="3555" spans="1:14" x14ac:dyDescent="0.25">
      <c r="A3555" s="1">
        <v>45080</v>
      </c>
      <c r="B3555" t="s">
        <v>1959</v>
      </c>
      <c r="C3555">
        <v>23</v>
      </c>
      <c r="D3555" t="s">
        <v>9</v>
      </c>
      <c r="E3555" t="s">
        <v>34</v>
      </c>
      <c r="F3555" t="s">
        <v>16</v>
      </c>
      <c r="G3555" t="s">
        <v>36</v>
      </c>
      <c r="H3555">
        <v>114.4</v>
      </c>
      <c r="I3555" s="8" t="str" cm="1">
        <f t="array" ref="I3555">_xlfn.IFS(C3555&lt;=15,"Children and Young Adolescents", C3555&gt;64, "Seniors", TRUE, "Working Age")</f>
        <v>Working Age</v>
      </c>
      <c r="J3555" s="6">
        <f>VLOOKUP(F3555,Analysis!$F$1:$G$5,2,FALSE)</f>
        <v>2509.1716796874912</v>
      </c>
      <c r="K3555">
        <f t="shared" si="220"/>
        <v>125.84</v>
      </c>
      <c r="L3555">
        <f t="shared" si="221"/>
        <v>125.84</v>
      </c>
      <c r="M3555">
        <f t="shared" si="222"/>
        <v>125.84</v>
      </c>
      <c r="N3555" s="5" t="str">
        <f t="shared" si="223"/>
        <v>June 2023</v>
      </c>
    </row>
    <row r="3556" spans="1:14" x14ac:dyDescent="0.25">
      <c r="A3556" s="1">
        <v>45080</v>
      </c>
      <c r="B3556" t="s">
        <v>1339</v>
      </c>
      <c r="C3556">
        <v>52</v>
      </c>
      <c r="D3556" t="s">
        <v>9</v>
      </c>
      <c r="E3556" t="s">
        <v>34</v>
      </c>
      <c r="F3556" t="s">
        <v>11</v>
      </c>
      <c r="G3556" t="s">
        <v>12</v>
      </c>
      <c r="H3556">
        <v>2770.12</v>
      </c>
      <c r="I3556" s="8" t="str" cm="1">
        <f t="array" ref="I3556">_xlfn.IFS(C3556&lt;=15,"Children and Young Adolescents", C3556&gt;64, "Seniors", TRUE, "Working Age")</f>
        <v>Working Age</v>
      </c>
      <c r="J3556" s="6">
        <f>VLOOKUP(F3556,Analysis!$F$1:$G$5,2,FALSE)</f>
        <v>2503.6022787783854</v>
      </c>
      <c r="K3556">
        <f t="shared" si="220"/>
        <v>3047.13</v>
      </c>
      <c r="L3556">
        <f t="shared" si="221"/>
        <v>3047.1400000000003</v>
      </c>
      <c r="M3556">
        <f t="shared" si="222"/>
        <v>3047.13</v>
      </c>
      <c r="N3556" s="5" t="str">
        <f t="shared" si="223"/>
        <v>June 2023</v>
      </c>
    </row>
    <row r="3557" spans="1:14" x14ac:dyDescent="0.25">
      <c r="A3557" s="1">
        <v>45080</v>
      </c>
      <c r="B3557" t="s">
        <v>3214</v>
      </c>
      <c r="C3557">
        <v>26</v>
      </c>
      <c r="D3557" t="s">
        <v>14</v>
      </c>
      <c r="E3557" t="s">
        <v>10</v>
      </c>
      <c r="F3557" t="s">
        <v>23</v>
      </c>
      <c r="G3557" t="s">
        <v>27</v>
      </c>
      <c r="H3557">
        <v>3813.8</v>
      </c>
      <c r="I3557" s="8" t="str" cm="1">
        <f t="array" ref="I3557">_xlfn.IFS(C3557&lt;=15,"Children and Young Adolescents", C3557&gt;64, "Seniors", TRUE, "Working Age")</f>
        <v>Working Age</v>
      </c>
      <c r="J3557" s="6">
        <f>VLOOKUP(F3557,Analysis!$F$1:$G$5,2,FALSE)</f>
        <v>2440.2966694490838</v>
      </c>
      <c r="K3557">
        <f t="shared" si="220"/>
        <v>4195.18</v>
      </c>
      <c r="L3557">
        <f t="shared" si="221"/>
        <v>4195.18</v>
      </c>
      <c r="M3557">
        <f t="shared" si="222"/>
        <v>4195.18</v>
      </c>
      <c r="N3557" s="5" t="str">
        <f t="shared" si="223"/>
        <v>June 2023</v>
      </c>
    </row>
    <row r="3558" spans="1:14" x14ac:dyDescent="0.25">
      <c r="A3558" s="1">
        <v>45080</v>
      </c>
      <c r="B3558" t="s">
        <v>4312</v>
      </c>
      <c r="C3558">
        <v>88</v>
      </c>
      <c r="D3558" t="s">
        <v>9</v>
      </c>
      <c r="E3558" t="s">
        <v>10</v>
      </c>
      <c r="F3558" t="s">
        <v>16</v>
      </c>
      <c r="G3558" t="s">
        <v>17</v>
      </c>
      <c r="H3558">
        <v>2676.59</v>
      </c>
      <c r="I3558" s="8" t="str" cm="1">
        <f t="array" ref="I3558">_xlfn.IFS(C3558&lt;=15,"Children and Young Adolescents", C3558&gt;64, "Seniors", TRUE, "Working Age")</f>
        <v>Seniors</v>
      </c>
      <c r="J3558" s="6">
        <f>VLOOKUP(F3558,Analysis!$F$1:$G$5,2,FALSE)</f>
        <v>2509.1716796874912</v>
      </c>
      <c r="K3558">
        <f t="shared" si="220"/>
        <v>2944.24</v>
      </c>
      <c r="L3558">
        <f t="shared" si="221"/>
        <v>2944.25</v>
      </c>
      <c r="M3558">
        <f t="shared" si="222"/>
        <v>2944.25</v>
      </c>
      <c r="N3558" s="5" t="str">
        <f t="shared" si="223"/>
        <v>June 2023</v>
      </c>
    </row>
    <row r="3559" spans="1:14" x14ac:dyDescent="0.25">
      <c r="A3559" s="1">
        <v>45081</v>
      </c>
      <c r="B3559" t="s">
        <v>4006</v>
      </c>
      <c r="C3559">
        <v>78</v>
      </c>
      <c r="D3559" t="s">
        <v>21</v>
      </c>
      <c r="E3559" t="s">
        <v>25</v>
      </c>
      <c r="F3559" t="s">
        <v>11</v>
      </c>
      <c r="G3559" t="s">
        <v>36</v>
      </c>
      <c r="H3559">
        <v>4813.91</v>
      </c>
      <c r="I3559" s="8" t="str" cm="1">
        <f t="array" ref="I3559">_xlfn.IFS(C3559&lt;=15,"Children and Young Adolescents", C3559&gt;64, "Seniors", TRUE, "Working Age")</f>
        <v>Seniors</v>
      </c>
      <c r="J3559" s="6">
        <f>VLOOKUP(F3559,Analysis!$F$1:$G$5,2,FALSE)</f>
        <v>2503.6022787783854</v>
      </c>
      <c r="K3559">
        <f t="shared" si="220"/>
        <v>5295.3</v>
      </c>
      <c r="L3559">
        <f t="shared" si="221"/>
        <v>5295.31</v>
      </c>
      <c r="M3559">
        <f t="shared" si="222"/>
        <v>5295.3</v>
      </c>
      <c r="N3559" s="5" t="str">
        <f t="shared" si="223"/>
        <v>June 2023</v>
      </c>
    </row>
    <row r="3560" spans="1:14" x14ac:dyDescent="0.25">
      <c r="A3560" s="1">
        <v>45081</v>
      </c>
      <c r="B3560" t="s">
        <v>4998</v>
      </c>
      <c r="C3560">
        <v>17</v>
      </c>
      <c r="D3560" t="s">
        <v>14</v>
      </c>
      <c r="E3560" t="s">
        <v>15</v>
      </c>
      <c r="F3560" t="s">
        <v>16</v>
      </c>
      <c r="G3560" t="s">
        <v>39</v>
      </c>
      <c r="H3560">
        <v>4424.96</v>
      </c>
      <c r="I3560" s="8" t="str" cm="1">
        <f t="array" ref="I3560">_xlfn.IFS(C3560&lt;=15,"Children and Young Adolescents", C3560&gt;64, "Seniors", TRUE, "Working Age")</f>
        <v>Working Age</v>
      </c>
      <c r="J3560" s="6">
        <f>VLOOKUP(F3560,Analysis!$F$1:$G$5,2,FALSE)</f>
        <v>2509.1716796874912</v>
      </c>
      <c r="K3560">
        <f t="shared" si="220"/>
        <v>4867.45</v>
      </c>
      <c r="L3560">
        <f t="shared" si="221"/>
        <v>4867.46</v>
      </c>
      <c r="M3560">
        <f t="shared" si="222"/>
        <v>4867.46</v>
      </c>
      <c r="N3560" s="5" t="str">
        <f t="shared" si="223"/>
        <v>June 2023</v>
      </c>
    </row>
    <row r="3561" spans="1:14" x14ac:dyDescent="0.25">
      <c r="A3561" s="1">
        <v>45081</v>
      </c>
      <c r="B3561" t="s">
        <v>1475</v>
      </c>
      <c r="C3561">
        <v>66</v>
      </c>
      <c r="D3561" t="s">
        <v>21</v>
      </c>
      <c r="E3561" t="s">
        <v>10</v>
      </c>
      <c r="F3561" t="s">
        <v>29</v>
      </c>
      <c r="G3561" t="s">
        <v>36</v>
      </c>
      <c r="H3561">
        <v>2486.2600000000002</v>
      </c>
      <c r="I3561" s="8" t="str" cm="1">
        <f t="array" ref="I3561">_xlfn.IFS(C3561&lt;=15,"Children and Young Adolescents", C3561&gt;64, "Seniors", TRUE, "Working Age")</f>
        <v>Seniors</v>
      </c>
      <c r="J3561" s="6">
        <f>VLOOKUP(F3561,Analysis!$F$1:$G$5,2,FALSE)</f>
        <v>2496.7676064256989</v>
      </c>
      <c r="K3561">
        <f t="shared" si="220"/>
        <v>2734.88</v>
      </c>
      <c r="L3561">
        <f t="shared" si="221"/>
        <v>2734.8900000000003</v>
      </c>
      <c r="M3561">
        <f t="shared" si="222"/>
        <v>2734.89</v>
      </c>
      <c r="N3561" s="5" t="str">
        <f t="shared" si="223"/>
        <v>June 2023</v>
      </c>
    </row>
    <row r="3562" spans="1:14" x14ac:dyDescent="0.25">
      <c r="A3562" s="1">
        <v>45081</v>
      </c>
      <c r="B3562" t="s">
        <v>530</v>
      </c>
      <c r="C3562">
        <v>99</v>
      </c>
      <c r="D3562" t="s">
        <v>9</v>
      </c>
      <c r="E3562" t="s">
        <v>32</v>
      </c>
      <c r="F3562" t="s">
        <v>16</v>
      </c>
      <c r="G3562" t="s">
        <v>5033</v>
      </c>
      <c r="H3562">
        <v>3107.83</v>
      </c>
      <c r="I3562" s="8" t="str" cm="1">
        <f t="array" ref="I3562">_xlfn.IFS(C3562&lt;=15,"Children and Young Adolescents", C3562&gt;64, "Seniors", TRUE, "Working Age")</f>
        <v>Seniors</v>
      </c>
      <c r="J3562" s="6">
        <f>VLOOKUP(F3562,Analysis!$F$1:$G$5,2,FALSE)</f>
        <v>2509.1716796874912</v>
      </c>
      <c r="K3562">
        <f t="shared" si="220"/>
        <v>3418.61</v>
      </c>
      <c r="L3562">
        <f t="shared" si="221"/>
        <v>3418.6200000000003</v>
      </c>
      <c r="M3562">
        <f t="shared" si="222"/>
        <v>3418.61</v>
      </c>
      <c r="N3562" s="5" t="str">
        <f t="shared" si="223"/>
        <v>June 2023</v>
      </c>
    </row>
    <row r="3563" spans="1:14" x14ac:dyDescent="0.25">
      <c r="A3563" s="1">
        <v>45081</v>
      </c>
      <c r="B3563" t="s">
        <v>2395</v>
      </c>
      <c r="C3563">
        <v>37</v>
      </c>
      <c r="D3563" t="s">
        <v>9</v>
      </c>
      <c r="E3563" t="s">
        <v>10</v>
      </c>
      <c r="F3563" t="s">
        <v>29</v>
      </c>
      <c r="G3563" t="s">
        <v>27</v>
      </c>
      <c r="H3563">
        <v>2069.5300000000002</v>
      </c>
      <c r="I3563" s="8" t="str" cm="1">
        <f t="array" ref="I3563">_xlfn.IFS(C3563&lt;=15,"Children and Young Adolescents", C3563&gt;64, "Seniors", TRUE, "Working Age")</f>
        <v>Working Age</v>
      </c>
      <c r="J3563" s="6">
        <f>VLOOKUP(F3563,Analysis!$F$1:$G$5,2,FALSE)</f>
        <v>2496.7676064256989</v>
      </c>
      <c r="K3563">
        <f t="shared" si="220"/>
        <v>2276.48</v>
      </c>
      <c r="L3563">
        <f t="shared" si="221"/>
        <v>2276.4900000000002</v>
      </c>
      <c r="M3563">
        <f t="shared" si="222"/>
        <v>2276.48</v>
      </c>
      <c r="N3563" s="5" t="str">
        <f t="shared" si="223"/>
        <v>June 2023</v>
      </c>
    </row>
    <row r="3564" spans="1:14" x14ac:dyDescent="0.25">
      <c r="A3564" s="1">
        <v>45082</v>
      </c>
      <c r="B3564" t="s">
        <v>2314</v>
      </c>
      <c r="C3564">
        <v>81</v>
      </c>
      <c r="D3564" t="s">
        <v>21</v>
      </c>
      <c r="E3564" t="s">
        <v>22</v>
      </c>
      <c r="F3564" t="s">
        <v>11</v>
      </c>
      <c r="G3564" t="s">
        <v>12</v>
      </c>
      <c r="H3564">
        <v>1109.1300000000001</v>
      </c>
      <c r="I3564" s="8" t="str" cm="1">
        <f t="array" ref="I3564">_xlfn.IFS(C3564&lt;=15,"Children and Young Adolescents", C3564&gt;64, "Seniors", TRUE, "Working Age")</f>
        <v>Seniors</v>
      </c>
      <c r="J3564" s="6">
        <f>VLOOKUP(F3564,Analysis!$F$1:$G$5,2,FALSE)</f>
        <v>2503.6022787783854</v>
      </c>
      <c r="K3564">
        <f t="shared" si="220"/>
        <v>1220.04</v>
      </c>
      <c r="L3564">
        <f t="shared" si="221"/>
        <v>1220.05</v>
      </c>
      <c r="M3564">
        <f t="shared" si="222"/>
        <v>1220.04</v>
      </c>
      <c r="N3564" s="5" t="str">
        <f t="shared" si="223"/>
        <v>June 2023</v>
      </c>
    </row>
    <row r="3565" spans="1:14" x14ac:dyDescent="0.25">
      <c r="A3565" s="1">
        <v>45082</v>
      </c>
      <c r="B3565" t="s">
        <v>1416</v>
      </c>
      <c r="C3565">
        <v>74</v>
      </c>
      <c r="D3565" t="s">
        <v>14</v>
      </c>
      <c r="E3565" t="s">
        <v>5032</v>
      </c>
      <c r="F3565" t="s">
        <v>29</v>
      </c>
      <c r="G3565" t="s">
        <v>5033</v>
      </c>
      <c r="H3565">
        <v>4198</v>
      </c>
      <c r="I3565" s="8" t="str" cm="1">
        <f t="array" ref="I3565">_xlfn.IFS(C3565&lt;=15,"Children and Young Adolescents", C3565&gt;64, "Seniors", TRUE, "Working Age")</f>
        <v>Seniors</v>
      </c>
      <c r="J3565" s="6">
        <f>VLOOKUP(F3565,Analysis!$F$1:$G$5,2,FALSE)</f>
        <v>2496.7676064256989</v>
      </c>
      <c r="K3565">
        <f t="shared" si="220"/>
        <v>4617.8</v>
      </c>
      <c r="L3565">
        <f t="shared" si="221"/>
        <v>4617.8</v>
      </c>
      <c r="M3565">
        <f t="shared" si="222"/>
        <v>4617.8</v>
      </c>
      <c r="N3565" s="5" t="str">
        <f t="shared" si="223"/>
        <v>June 2023</v>
      </c>
    </row>
    <row r="3566" spans="1:14" x14ac:dyDescent="0.25">
      <c r="A3566" s="1">
        <v>45082</v>
      </c>
      <c r="B3566" t="s">
        <v>1311</v>
      </c>
      <c r="C3566">
        <v>82</v>
      </c>
      <c r="D3566" t="s">
        <v>21</v>
      </c>
      <c r="E3566" t="s">
        <v>34</v>
      </c>
      <c r="F3566" t="s">
        <v>16</v>
      </c>
      <c r="G3566" t="s">
        <v>27</v>
      </c>
      <c r="H3566">
        <v>3375.11</v>
      </c>
      <c r="I3566" s="8" t="str" cm="1">
        <f t="array" ref="I3566">_xlfn.IFS(C3566&lt;=15,"Children and Young Adolescents", C3566&gt;64, "Seniors", TRUE, "Working Age")</f>
        <v>Seniors</v>
      </c>
      <c r="J3566" s="6">
        <f>VLOOKUP(F3566,Analysis!$F$1:$G$5,2,FALSE)</f>
        <v>2509.1716796874912</v>
      </c>
      <c r="K3566">
        <f t="shared" si="220"/>
        <v>3712.62</v>
      </c>
      <c r="L3566">
        <f t="shared" si="221"/>
        <v>3712.63</v>
      </c>
      <c r="M3566">
        <f t="shared" si="222"/>
        <v>3712.62</v>
      </c>
      <c r="N3566" s="5" t="str">
        <f t="shared" si="223"/>
        <v>June 2023</v>
      </c>
    </row>
    <row r="3567" spans="1:14" x14ac:dyDescent="0.25">
      <c r="A3567" s="1">
        <v>45082</v>
      </c>
      <c r="B3567" t="s">
        <v>3146</v>
      </c>
      <c r="C3567">
        <v>83</v>
      </c>
      <c r="D3567" t="s">
        <v>9</v>
      </c>
      <c r="E3567" t="s">
        <v>10</v>
      </c>
      <c r="F3567" t="s">
        <v>23</v>
      </c>
      <c r="G3567" t="s">
        <v>12</v>
      </c>
      <c r="H3567">
        <v>1018.07</v>
      </c>
      <c r="I3567" s="8" t="str" cm="1">
        <f t="array" ref="I3567">_xlfn.IFS(C3567&lt;=15,"Children and Young Adolescents", C3567&gt;64, "Seniors", TRUE, "Working Age")</f>
        <v>Seniors</v>
      </c>
      <c r="J3567" s="6">
        <f>VLOOKUP(F3567,Analysis!$F$1:$G$5,2,FALSE)</f>
        <v>2440.2966694490838</v>
      </c>
      <c r="K3567">
        <f t="shared" si="220"/>
        <v>1119.8699999999999</v>
      </c>
      <c r="L3567">
        <f t="shared" si="221"/>
        <v>1119.8799999999999</v>
      </c>
      <c r="M3567">
        <f t="shared" si="222"/>
        <v>1119.8800000000001</v>
      </c>
      <c r="N3567" s="5" t="str">
        <f t="shared" si="223"/>
        <v>June 2023</v>
      </c>
    </row>
    <row r="3568" spans="1:14" x14ac:dyDescent="0.25">
      <c r="A3568" s="1">
        <v>45082</v>
      </c>
      <c r="B3568" t="s">
        <v>3365</v>
      </c>
      <c r="C3568">
        <v>18</v>
      </c>
      <c r="D3568" t="s">
        <v>9</v>
      </c>
      <c r="E3568" t="s">
        <v>10</v>
      </c>
      <c r="F3568" t="s">
        <v>23</v>
      </c>
      <c r="G3568" t="s">
        <v>39</v>
      </c>
      <c r="H3568">
        <v>3975.92</v>
      </c>
      <c r="I3568" s="8" t="str" cm="1">
        <f t="array" ref="I3568">_xlfn.IFS(C3568&lt;=15,"Children and Young Adolescents", C3568&gt;64, "Seniors", TRUE, "Working Age")</f>
        <v>Working Age</v>
      </c>
      <c r="J3568" s="6">
        <f>VLOOKUP(F3568,Analysis!$F$1:$G$5,2,FALSE)</f>
        <v>2440.2966694490838</v>
      </c>
      <c r="K3568">
        <f t="shared" si="220"/>
        <v>4373.51</v>
      </c>
      <c r="L3568">
        <f t="shared" si="221"/>
        <v>4373.5200000000004</v>
      </c>
      <c r="M3568">
        <f t="shared" si="222"/>
        <v>4373.51</v>
      </c>
      <c r="N3568" s="5" t="str">
        <f t="shared" si="223"/>
        <v>June 2023</v>
      </c>
    </row>
    <row r="3569" spans="1:14" x14ac:dyDescent="0.25">
      <c r="A3569" s="1">
        <v>45082</v>
      </c>
      <c r="B3569" t="s">
        <v>677</v>
      </c>
      <c r="C3569">
        <v>59</v>
      </c>
      <c r="D3569" t="s">
        <v>21</v>
      </c>
      <c r="E3569" t="s">
        <v>15</v>
      </c>
      <c r="F3569" t="s">
        <v>11</v>
      </c>
      <c r="G3569" t="s">
        <v>17</v>
      </c>
      <c r="H3569">
        <v>1361.33</v>
      </c>
      <c r="I3569" s="8" t="str" cm="1">
        <f t="array" ref="I3569">_xlfn.IFS(C3569&lt;=15,"Children and Young Adolescents", C3569&gt;64, "Seniors", TRUE, "Working Age")</f>
        <v>Working Age</v>
      </c>
      <c r="J3569" s="6">
        <f>VLOOKUP(F3569,Analysis!$F$1:$G$5,2,FALSE)</f>
        <v>2503.6022787783854</v>
      </c>
      <c r="K3569">
        <f t="shared" si="220"/>
        <v>1497.46</v>
      </c>
      <c r="L3569">
        <f t="shared" si="221"/>
        <v>1497.47</v>
      </c>
      <c r="M3569">
        <f t="shared" si="222"/>
        <v>1497.46</v>
      </c>
      <c r="N3569" s="5" t="str">
        <f t="shared" si="223"/>
        <v>June 2023</v>
      </c>
    </row>
    <row r="3570" spans="1:14" x14ac:dyDescent="0.25">
      <c r="A3570" s="1">
        <v>45083</v>
      </c>
      <c r="B3570" t="s">
        <v>999</v>
      </c>
      <c r="C3570">
        <v>29</v>
      </c>
      <c r="D3570" t="s">
        <v>14</v>
      </c>
      <c r="E3570" t="s">
        <v>10</v>
      </c>
      <c r="F3570" t="s">
        <v>29</v>
      </c>
      <c r="G3570" t="s">
        <v>36</v>
      </c>
      <c r="H3570">
        <v>2002.64</v>
      </c>
      <c r="I3570" s="8" t="str" cm="1">
        <f t="array" ref="I3570">_xlfn.IFS(C3570&lt;=15,"Children and Young Adolescents", C3570&gt;64, "Seniors", TRUE, "Working Age")</f>
        <v>Working Age</v>
      </c>
      <c r="J3570" s="6">
        <f>VLOOKUP(F3570,Analysis!$F$1:$G$5,2,FALSE)</f>
        <v>2496.7676064256989</v>
      </c>
      <c r="K3570">
        <f t="shared" si="220"/>
        <v>2202.9</v>
      </c>
      <c r="L3570">
        <f t="shared" si="221"/>
        <v>2202.9100000000003</v>
      </c>
      <c r="M3570">
        <f t="shared" si="222"/>
        <v>2202.9</v>
      </c>
      <c r="N3570" s="5" t="str">
        <f t="shared" si="223"/>
        <v>June 2023</v>
      </c>
    </row>
    <row r="3571" spans="1:14" x14ac:dyDescent="0.25">
      <c r="A3571" s="1">
        <v>45083</v>
      </c>
      <c r="B3571" t="s">
        <v>3042</v>
      </c>
      <c r="C3571">
        <v>11</v>
      </c>
      <c r="D3571" t="s">
        <v>21</v>
      </c>
      <c r="E3571" t="s">
        <v>32</v>
      </c>
      <c r="F3571" t="s">
        <v>11</v>
      </c>
      <c r="G3571" t="s">
        <v>12</v>
      </c>
      <c r="H3571">
        <v>1076.1600000000001</v>
      </c>
      <c r="I3571" s="8" t="str" cm="1">
        <f t="array" ref="I3571">_xlfn.IFS(C3571&lt;=15,"Children and Young Adolescents", C3571&gt;64, "Seniors", TRUE, "Working Age")</f>
        <v>Children and Young Adolescents</v>
      </c>
      <c r="J3571" s="6">
        <f>VLOOKUP(F3571,Analysis!$F$1:$G$5,2,FALSE)</f>
        <v>2503.6022787783854</v>
      </c>
      <c r="K3571">
        <f t="shared" si="220"/>
        <v>1183.77</v>
      </c>
      <c r="L3571">
        <f t="shared" si="221"/>
        <v>1183.78</v>
      </c>
      <c r="M3571">
        <f t="shared" si="222"/>
        <v>1183.78</v>
      </c>
      <c r="N3571" s="5" t="str">
        <f t="shared" si="223"/>
        <v>June 2023</v>
      </c>
    </row>
    <row r="3572" spans="1:14" x14ac:dyDescent="0.25">
      <c r="A3572" s="1">
        <v>45083</v>
      </c>
      <c r="B3572" t="s">
        <v>4524</v>
      </c>
      <c r="C3572">
        <v>6</v>
      </c>
      <c r="D3572" t="s">
        <v>21</v>
      </c>
      <c r="E3572" t="s">
        <v>25</v>
      </c>
      <c r="F3572" t="s">
        <v>23</v>
      </c>
      <c r="G3572" t="s">
        <v>36</v>
      </c>
      <c r="H3572">
        <v>1633.09</v>
      </c>
      <c r="I3572" s="8" t="str" cm="1">
        <f t="array" ref="I3572">_xlfn.IFS(C3572&lt;=15,"Children and Young Adolescents", C3572&gt;64, "Seniors", TRUE, "Working Age")</f>
        <v>Children and Young Adolescents</v>
      </c>
      <c r="J3572" s="6">
        <f>VLOOKUP(F3572,Analysis!$F$1:$G$5,2,FALSE)</f>
        <v>2440.2966694490838</v>
      </c>
      <c r="K3572">
        <f t="shared" si="220"/>
        <v>1796.39</v>
      </c>
      <c r="L3572">
        <f t="shared" si="221"/>
        <v>1796.4</v>
      </c>
      <c r="M3572">
        <f t="shared" si="222"/>
        <v>1796.4</v>
      </c>
      <c r="N3572" s="5" t="str">
        <f t="shared" si="223"/>
        <v>June 2023</v>
      </c>
    </row>
    <row r="3573" spans="1:14" x14ac:dyDescent="0.25">
      <c r="A3573" s="1">
        <v>45083</v>
      </c>
      <c r="B3573" t="s">
        <v>2017</v>
      </c>
      <c r="C3573">
        <v>20</v>
      </c>
      <c r="D3573" t="s">
        <v>9</v>
      </c>
      <c r="E3573" t="s">
        <v>15</v>
      </c>
      <c r="F3573" t="s">
        <v>29</v>
      </c>
      <c r="G3573" t="s">
        <v>27</v>
      </c>
      <c r="H3573">
        <v>679.49</v>
      </c>
      <c r="I3573" s="8" t="str" cm="1">
        <f t="array" ref="I3573">_xlfn.IFS(C3573&lt;=15,"Children and Young Adolescents", C3573&gt;64, "Seniors", TRUE, "Working Age")</f>
        <v>Working Age</v>
      </c>
      <c r="J3573" s="6">
        <f>VLOOKUP(F3573,Analysis!$F$1:$G$5,2,FALSE)</f>
        <v>2496.7676064256989</v>
      </c>
      <c r="K3573">
        <f t="shared" si="220"/>
        <v>747.43</v>
      </c>
      <c r="L3573">
        <f t="shared" si="221"/>
        <v>747.43999999999994</v>
      </c>
      <c r="M3573">
        <f t="shared" si="222"/>
        <v>747.44</v>
      </c>
      <c r="N3573" s="5" t="str">
        <f t="shared" si="223"/>
        <v>June 2023</v>
      </c>
    </row>
    <row r="3574" spans="1:14" x14ac:dyDescent="0.25">
      <c r="A3574" s="1">
        <v>45083</v>
      </c>
      <c r="B3574" t="s">
        <v>522</v>
      </c>
      <c r="C3574">
        <v>63</v>
      </c>
      <c r="D3574" t="s">
        <v>21</v>
      </c>
      <c r="E3574" t="s">
        <v>22</v>
      </c>
      <c r="F3574" t="s">
        <v>11</v>
      </c>
      <c r="G3574" t="s">
        <v>39</v>
      </c>
      <c r="H3574">
        <v>868.22</v>
      </c>
      <c r="I3574" s="8" t="str" cm="1">
        <f t="array" ref="I3574">_xlfn.IFS(C3574&lt;=15,"Children and Young Adolescents", C3574&gt;64, "Seniors", TRUE, "Working Age")</f>
        <v>Working Age</v>
      </c>
      <c r="J3574" s="6">
        <f>VLOOKUP(F3574,Analysis!$F$1:$G$5,2,FALSE)</f>
        <v>2503.6022787783854</v>
      </c>
      <c r="K3574">
        <f t="shared" si="220"/>
        <v>955.04</v>
      </c>
      <c r="L3574">
        <f t="shared" si="221"/>
        <v>955.05</v>
      </c>
      <c r="M3574">
        <f t="shared" si="222"/>
        <v>955.04</v>
      </c>
      <c r="N3574" s="5" t="str">
        <f t="shared" si="223"/>
        <v>June 2023</v>
      </c>
    </row>
    <row r="3575" spans="1:14" x14ac:dyDescent="0.25">
      <c r="A3575" s="1">
        <v>45083</v>
      </c>
      <c r="B3575" t="s">
        <v>26</v>
      </c>
      <c r="C3575">
        <v>34</v>
      </c>
      <c r="D3575" t="s">
        <v>9</v>
      </c>
      <c r="E3575" t="s">
        <v>5032</v>
      </c>
      <c r="F3575" t="s">
        <v>16</v>
      </c>
      <c r="G3575" t="s">
        <v>27</v>
      </c>
      <c r="H3575">
        <v>4719.84</v>
      </c>
      <c r="I3575" s="8" t="str" cm="1">
        <f t="array" ref="I3575">_xlfn.IFS(C3575&lt;=15,"Children and Young Adolescents", C3575&gt;64, "Seniors", TRUE, "Working Age")</f>
        <v>Working Age</v>
      </c>
      <c r="J3575" s="6">
        <f>VLOOKUP(F3575,Analysis!$F$1:$G$5,2,FALSE)</f>
        <v>2509.1716796874912</v>
      </c>
      <c r="K3575">
        <f t="shared" si="220"/>
        <v>5191.82</v>
      </c>
      <c r="L3575">
        <f t="shared" si="221"/>
        <v>5191.83</v>
      </c>
      <c r="M3575">
        <f t="shared" si="222"/>
        <v>5191.82</v>
      </c>
      <c r="N3575" s="5" t="str">
        <f t="shared" si="223"/>
        <v>June 2023</v>
      </c>
    </row>
    <row r="3576" spans="1:14" x14ac:dyDescent="0.25">
      <c r="A3576" s="1">
        <v>45083</v>
      </c>
      <c r="B3576" t="s">
        <v>3816</v>
      </c>
      <c r="C3576">
        <v>40</v>
      </c>
      <c r="D3576" t="s">
        <v>14</v>
      </c>
      <c r="E3576" t="s">
        <v>19</v>
      </c>
      <c r="F3576" t="s">
        <v>11</v>
      </c>
      <c r="G3576" t="s">
        <v>17</v>
      </c>
      <c r="H3576">
        <v>4596.72</v>
      </c>
      <c r="I3576" s="8" t="str" cm="1">
        <f t="array" ref="I3576">_xlfn.IFS(C3576&lt;=15,"Children and Young Adolescents", C3576&gt;64, "Seniors", TRUE, "Working Age")</f>
        <v>Working Age</v>
      </c>
      <c r="J3576" s="6">
        <f>VLOOKUP(F3576,Analysis!$F$1:$G$5,2,FALSE)</f>
        <v>2503.6022787783854</v>
      </c>
      <c r="K3576">
        <f t="shared" si="220"/>
        <v>5056.3900000000003</v>
      </c>
      <c r="L3576">
        <f t="shared" si="221"/>
        <v>5056.4000000000005</v>
      </c>
      <c r="M3576">
        <f t="shared" si="222"/>
        <v>5056.3900000000003</v>
      </c>
      <c r="N3576" s="5" t="str">
        <f t="shared" si="223"/>
        <v>June 2023</v>
      </c>
    </row>
    <row r="3577" spans="1:14" x14ac:dyDescent="0.25">
      <c r="A3577" s="1">
        <v>45083</v>
      </c>
      <c r="B3577" t="s">
        <v>4349</v>
      </c>
      <c r="C3577">
        <v>58</v>
      </c>
      <c r="D3577" t="s">
        <v>14</v>
      </c>
      <c r="E3577" t="s">
        <v>25</v>
      </c>
      <c r="F3577" t="s">
        <v>23</v>
      </c>
      <c r="G3577" t="s">
        <v>39</v>
      </c>
      <c r="H3577">
        <v>3346.96</v>
      </c>
      <c r="I3577" s="8" t="str" cm="1">
        <f t="array" ref="I3577">_xlfn.IFS(C3577&lt;=15,"Children and Young Adolescents", C3577&gt;64, "Seniors", TRUE, "Working Age")</f>
        <v>Working Age</v>
      </c>
      <c r="J3577" s="6">
        <f>VLOOKUP(F3577,Analysis!$F$1:$G$5,2,FALSE)</f>
        <v>2440.2966694490838</v>
      </c>
      <c r="K3577">
        <f t="shared" si="220"/>
        <v>3681.65</v>
      </c>
      <c r="L3577">
        <f t="shared" si="221"/>
        <v>3681.6600000000003</v>
      </c>
      <c r="M3577">
        <f t="shared" si="222"/>
        <v>3681.66</v>
      </c>
      <c r="N3577" s="5" t="str">
        <f t="shared" si="223"/>
        <v>June 2023</v>
      </c>
    </row>
    <row r="3578" spans="1:14" x14ac:dyDescent="0.25">
      <c r="A3578" s="1">
        <v>45083</v>
      </c>
      <c r="B3578" t="s">
        <v>1830</v>
      </c>
      <c r="C3578">
        <v>44</v>
      </c>
      <c r="D3578" t="s">
        <v>21</v>
      </c>
      <c r="E3578" t="s">
        <v>22</v>
      </c>
      <c r="F3578" t="s">
        <v>11</v>
      </c>
      <c r="G3578" t="s">
        <v>17</v>
      </c>
      <c r="H3578">
        <v>1624.87</v>
      </c>
      <c r="I3578" s="8" t="str" cm="1">
        <f t="array" ref="I3578">_xlfn.IFS(C3578&lt;=15,"Children and Young Adolescents", C3578&gt;64, "Seniors", TRUE, "Working Age")</f>
        <v>Working Age</v>
      </c>
      <c r="J3578" s="6">
        <f>VLOOKUP(F3578,Analysis!$F$1:$G$5,2,FALSE)</f>
        <v>2503.6022787783854</v>
      </c>
      <c r="K3578">
        <f t="shared" si="220"/>
        <v>1787.35</v>
      </c>
      <c r="L3578">
        <f t="shared" si="221"/>
        <v>1787.36</v>
      </c>
      <c r="M3578">
        <f t="shared" si="222"/>
        <v>1787.36</v>
      </c>
      <c r="N3578" s="5" t="str">
        <f t="shared" si="223"/>
        <v>June 2023</v>
      </c>
    </row>
    <row r="3579" spans="1:14" x14ac:dyDescent="0.25">
      <c r="A3579" s="1">
        <v>45083</v>
      </c>
      <c r="B3579" t="s">
        <v>2879</v>
      </c>
      <c r="C3579">
        <v>46</v>
      </c>
      <c r="D3579" t="s">
        <v>14</v>
      </c>
      <c r="E3579" t="s">
        <v>25</v>
      </c>
      <c r="F3579" t="s">
        <v>29</v>
      </c>
      <c r="G3579" t="s">
        <v>12</v>
      </c>
      <c r="H3579">
        <v>2555.46</v>
      </c>
      <c r="I3579" s="8" t="str" cm="1">
        <f t="array" ref="I3579">_xlfn.IFS(C3579&lt;=15,"Children and Young Adolescents", C3579&gt;64, "Seniors", TRUE, "Working Age")</f>
        <v>Working Age</v>
      </c>
      <c r="J3579" s="6">
        <f>VLOOKUP(F3579,Analysis!$F$1:$G$5,2,FALSE)</f>
        <v>2496.7676064256989</v>
      </c>
      <c r="K3579">
        <f t="shared" si="220"/>
        <v>2811</v>
      </c>
      <c r="L3579">
        <f t="shared" si="221"/>
        <v>2811.01</v>
      </c>
      <c r="M3579">
        <f t="shared" si="222"/>
        <v>2811.01</v>
      </c>
      <c r="N3579" s="5" t="str">
        <f t="shared" si="223"/>
        <v>June 2023</v>
      </c>
    </row>
    <row r="3580" spans="1:14" x14ac:dyDescent="0.25">
      <c r="A3580" s="1">
        <v>45083</v>
      </c>
      <c r="B3580" t="s">
        <v>4747</v>
      </c>
      <c r="C3580">
        <v>69</v>
      </c>
      <c r="D3580" t="s">
        <v>21</v>
      </c>
      <c r="E3580" t="s">
        <v>19</v>
      </c>
      <c r="F3580" t="s">
        <v>16</v>
      </c>
      <c r="G3580" t="s">
        <v>39</v>
      </c>
      <c r="H3580">
        <v>1324.86</v>
      </c>
      <c r="I3580" s="8" t="str" cm="1">
        <f t="array" ref="I3580">_xlfn.IFS(C3580&lt;=15,"Children and Young Adolescents", C3580&gt;64, "Seniors", TRUE, "Working Age")</f>
        <v>Seniors</v>
      </c>
      <c r="J3580" s="6">
        <f>VLOOKUP(F3580,Analysis!$F$1:$G$5,2,FALSE)</f>
        <v>2509.1716796874912</v>
      </c>
      <c r="K3580">
        <f t="shared" si="220"/>
        <v>1457.34</v>
      </c>
      <c r="L3580">
        <f t="shared" si="221"/>
        <v>1457.35</v>
      </c>
      <c r="M3580">
        <f t="shared" si="222"/>
        <v>1457.35</v>
      </c>
      <c r="N3580" s="5" t="str">
        <f t="shared" si="223"/>
        <v>June 2023</v>
      </c>
    </row>
    <row r="3581" spans="1:14" x14ac:dyDescent="0.25">
      <c r="A3581" s="1">
        <v>45084</v>
      </c>
      <c r="B3581" t="s">
        <v>4550</v>
      </c>
      <c r="C3581">
        <v>89</v>
      </c>
      <c r="D3581" t="s">
        <v>9</v>
      </c>
      <c r="E3581" t="s">
        <v>25</v>
      </c>
      <c r="F3581" t="s">
        <v>11</v>
      </c>
      <c r="G3581" t="s">
        <v>27</v>
      </c>
      <c r="H3581">
        <v>2063.58</v>
      </c>
      <c r="I3581" s="8" t="str" cm="1">
        <f t="array" ref="I3581">_xlfn.IFS(C3581&lt;=15,"Children and Young Adolescents", C3581&gt;64, "Seniors", TRUE, "Working Age")</f>
        <v>Seniors</v>
      </c>
      <c r="J3581" s="6">
        <f>VLOOKUP(F3581,Analysis!$F$1:$G$5,2,FALSE)</f>
        <v>2503.6022787783854</v>
      </c>
      <c r="K3581">
        <f t="shared" si="220"/>
        <v>2269.9299999999998</v>
      </c>
      <c r="L3581">
        <f t="shared" si="221"/>
        <v>2269.94</v>
      </c>
      <c r="M3581">
        <f t="shared" si="222"/>
        <v>2269.94</v>
      </c>
      <c r="N3581" s="5" t="str">
        <f t="shared" si="223"/>
        <v>June 2023</v>
      </c>
    </row>
    <row r="3582" spans="1:14" x14ac:dyDescent="0.25">
      <c r="A3582" s="1">
        <v>45084</v>
      </c>
      <c r="B3582" t="s">
        <v>176</v>
      </c>
      <c r="C3582">
        <v>61</v>
      </c>
      <c r="D3582" t="s">
        <v>14</v>
      </c>
      <c r="E3582" t="s">
        <v>19</v>
      </c>
      <c r="F3582" t="s">
        <v>11</v>
      </c>
      <c r="G3582" t="s">
        <v>39</v>
      </c>
      <c r="H3582">
        <v>3103.88</v>
      </c>
      <c r="I3582" s="8" t="str" cm="1">
        <f t="array" ref="I3582">_xlfn.IFS(C3582&lt;=15,"Children and Young Adolescents", C3582&gt;64, "Seniors", TRUE, "Working Age")</f>
        <v>Working Age</v>
      </c>
      <c r="J3582" s="6">
        <f>VLOOKUP(F3582,Analysis!$F$1:$G$5,2,FALSE)</f>
        <v>2503.6022787783854</v>
      </c>
      <c r="K3582">
        <f t="shared" si="220"/>
        <v>3414.26</v>
      </c>
      <c r="L3582">
        <f t="shared" si="221"/>
        <v>3414.2700000000004</v>
      </c>
      <c r="M3582">
        <f t="shared" si="222"/>
        <v>3414.27</v>
      </c>
      <c r="N3582" s="5" t="str">
        <f t="shared" si="223"/>
        <v>June 2023</v>
      </c>
    </row>
    <row r="3583" spans="1:14" x14ac:dyDescent="0.25">
      <c r="A3583" s="1">
        <v>45084</v>
      </c>
      <c r="B3583" t="s">
        <v>4258</v>
      </c>
      <c r="C3583">
        <v>42</v>
      </c>
      <c r="D3583" t="s">
        <v>9</v>
      </c>
      <c r="E3583" t="s">
        <v>15</v>
      </c>
      <c r="F3583" t="s">
        <v>16</v>
      </c>
      <c r="G3583" t="s">
        <v>12</v>
      </c>
      <c r="H3583">
        <v>423.18</v>
      </c>
      <c r="I3583" s="8" t="str" cm="1">
        <f t="array" ref="I3583">_xlfn.IFS(C3583&lt;=15,"Children and Young Adolescents", C3583&gt;64, "Seniors", TRUE, "Working Age")</f>
        <v>Working Age</v>
      </c>
      <c r="J3583" s="6">
        <f>VLOOKUP(F3583,Analysis!$F$1:$G$5,2,FALSE)</f>
        <v>2509.1716796874912</v>
      </c>
      <c r="K3583">
        <f t="shared" si="220"/>
        <v>465.49</v>
      </c>
      <c r="L3583">
        <f t="shared" si="221"/>
        <v>465.5</v>
      </c>
      <c r="M3583">
        <f t="shared" si="222"/>
        <v>465.5</v>
      </c>
      <c r="N3583" s="5" t="str">
        <f t="shared" si="223"/>
        <v>June 2023</v>
      </c>
    </row>
    <row r="3584" spans="1:14" x14ac:dyDescent="0.25">
      <c r="A3584" s="1">
        <v>45085</v>
      </c>
      <c r="B3584" t="s">
        <v>4138</v>
      </c>
      <c r="C3584">
        <v>42</v>
      </c>
      <c r="D3584" t="s">
        <v>21</v>
      </c>
      <c r="E3584" t="s">
        <v>32</v>
      </c>
      <c r="F3584" t="s">
        <v>16</v>
      </c>
      <c r="G3584" t="s">
        <v>39</v>
      </c>
      <c r="H3584">
        <v>1531.89</v>
      </c>
      <c r="I3584" s="8" t="str" cm="1">
        <f t="array" ref="I3584">_xlfn.IFS(C3584&lt;=15,"Children and Young Adolescents", C3584&gt;64, "Seniors", TRUE, "Working Age")</f>
        <v>Working Age</v>
      </c>
      <c r="J3584" s="6">
        <f>VLOOKUP(F3584,Analysis!$F$1:$G$5,2,FALSE)</f>
        <v>2509.1716796874912</v>
      </c>
      <c r="K3584">
        <f t="shared" si="220"/>
        <v>1685.07</v>
      </c>
      <c r="L3584">
        <f t="shared" si="221"/>
        <v>1685.08</v>
      </c>
      <c r="M3584">
        <f t="shared" si="222"/>
        <v>1685.08</v>
      </c>
      <c r="N3584" s="5" t="str">
        <f t="shared" si="223"/>
        <v>June 2023</v>
      </c>
    </row>
    <row r="3585" spans="1:14" x14ac:dyDescent="0.25">
      <c r="A3585" s="1">
        <v>45085</v>
      </c>
      <c r="B3585" t="s">
        <v>2550</v>
      </c>
      <c r="C3585">
        <v>82</v>
      </c>
      <c r="D3585" t="s">
        <v>9</v>
      </c>
      <c r="E3585" t="s">
        <v>34</v>
      </c>
      <c r="F3585" t="s">
        <v>29</v>
      </c>
      <c r="G3585" t="s">
        <v>36</v>
      </c>
      <c r="H3585">
        <v>1630.45</v>
      </c>
      <c r="I3585" s="8" t="str" cm="1">
        <f t="array" ref="I3585">_xlfn.IFS(C3585&lt;=15,"Children and Young Adolescents", C3585&gt;64, "Seniors", TRUE, "Working Age")</f>
        <v>Seniors</v>
      </c>
      <c r="J3585" s="6">
        <f>VLOOKUP(F3585,Analysis!$F$1:$G$5,2,FALSE)</f>
        <v>2496.7676064256989</v>
      </c>
      <c r="K3585">
        <f t="shared" si="220"/>
        <v>1793.49</v>
      </c>
      <c r="L3585">
        <f t="shared" si="221"/>
        <v>1793.5</v>
      </c>
      <c r="M3585">
        <f t="shared" si="222"/>
        <v>1793.5</v>
      </c>
      <c r="N3585" s="5" t="str">
        <f t="shared" si="223"/>
        <v>June 2023</v>
      </c>
    </row>
    <row r="3586" spans="1:14" x14ac:dyDescent="0.25">
      <c r="A3586" s="1">
        <v>45085</v>
      </c>
      <c r="B3586" t="s">
        <v>1676</v>
      </c>
      <c r="C3586">
        <v>28</v>
      </c>
      <c r="D3586" t="s">
        <v>14</v>
      </c>
      <c r="E3586" t="s">
        <v>22</v>
      </c>
      <c r="F3586" t="s">
        <v>11</v>
      </c>
      <c r="G3586" t="s">
        <v>39</v>
      </c>
      <c r="H3586">
        <v>2593.73</v>
      </c>
      <c r="I3586" s="8" t="str" cm="1">
        <f t="array" ref="I3586">_xlfn.IFS(C3586&lt;=15,"Children and Young Adolescents", C3586&gt;64, "Seniors", TRUE, "Working Age")</f>
        <v>Working Age</v>
      </c>
      <c r="J3586" s="6">
        <f>VLOOKUP(F3586,Analysis!$F$1:$G$5,2,FALSE)</f>
        <v>2503.6022787783854</v>
      </c>
      <c r="K3586">
        <f t="shared" si="220"/>
        <v>2853.1</v>
      </c>
      <c r="L3586">
        <f t="shared" si="221"/>
        <v>2853.11</v>
      </c>
      <c r="M3586">
        <f t="shared" si="222"/>
        <v>2853.1</v>
      </c>
      <c r="N3586" s="5" t="str">
        <f t="shared" si="223"/>
        <v>June 2023</v>
      </c>
    </row>
    <row r="3587" spans="1:14" x14ac:dyDescent="0.25">
      <c r="A3587" s="1">
        <v>45085</v>
      </c>
      <c r="B3587" t="s">
        <v>3342</v>
      </c>
      <c r="C3587">
        <v>38</v>
      </c>
      <c r="D3587" t="s">
        <v>9</v>
      </c>
      <c r="E3587" t="s">
        <v>5032</v>
      </c>
      <c r="F3587" t="s">
        <v>29</v>
      </c>
      <c r="G3587" t="s">
        <v>36</v>
      </c>
      <c r="H3587">
        <v>392.63</v>
      </c>
      <c r="I3587" s="8" t="str" cm="1">
        <f t="array" ref="I3587">_xlfn.IFS(C3587&lt;=15,"Children and Young Adolescents", C3587&gt;64, "Seniors", TRUE, "Working Age")</f>
        <v>Working Age</v>
      </c>
      <c r="J3587" s="6">
        <f>VLOOKUP(F3587,Analysis!$F$1:$G$5,2,FALSE)</f>
        <v>2496.7676064256989</v>
      </c>
      <c r="K3587">
        <f t="shared" ref="K3587:K3650" si="224">ROUNDDOWN(H3587*1.1,2)</f>
        <v>431.89</v>
      </c>
      <c r="L3587">
        <f t="shared" ref="L3587:L3650" si="225">ROUNDUP(H3587*1.1,2)</f>
        <v>431.9</v>
      </c>
      <c r="M3587">
        <f t="shared" ref="M3587:M3650" si="226">ROUND(H3587*1.1,2)</f>
        <v>431.89</v>
      </c>
      <c r="N3587" s="5" t="str">
        <f t="shared" ref="N3587:N3650" si="227">TEXT(A3587,"mmmm yyyy")</f>
        <v>June 2023</v>
      </c>
    </row>
    <row r="3588" spans="1:14" x14ac:dyDescent="0.25">
      <c r="A3588" s="1">
        <v>45085</v>
      </c>
      <c r="B3588" t="s">
        <v>3096</v>
      </c>
      <c r="C3588">
        <v>3</v>
      </c>
      <c r="D3588" t="s">
        <v>21</v>
      </c>
      <c r="E3588" t="s">
        <v>22</v>
      </c>
      <c r="F3588" t="s">
        <v>16</v>
      </c>
      <c r="G3588" t="s">
        <v>27</v>
      </c>
      <c r="H3588">
        <v>4956.16</v>
      </c>
      <c r="I3588" s="8" t="str" cm="1">
        <f t="array" ref="I3588">_xlfn.IFS(C3588&lt;=15,"Children and Young Adolescents", C3588&gt;64, "Seniors", TRUE, "Working Age")</f>
        <v>Children and Young Adolescents</v>
      </c>
      <c r="J3588" s="6">
        <f>VLOOKUP(F3588,Analysis!$F$1:$G$5,2,FALSE)</f>
        <v>2509.1716796874912</v>
      </c>
      <c r="K3588">
        <f t="shared" si="224"/>
        <v>5451.77</v>
      </c>
      <c r="L3588">
        <f t="shared" si="225"/>
        <v>5451.7800000000007</v>
      </c>
      <c r="M3588">
        <f t="shared" si="226"/>
        <v>5451.78</v>
      </c>
      <c r="N3588" s="5" t="str">
        <f t="shared" si="227"/>
        <v>June 2023</v>
      </c>
    </row>
    <row r="3589" spans="1:14" x14ac:dyDescent="0.25">
      <c r="A3589" s="1">
        <v>45085</v>
      </c>
      <c r="B3589" t="s">
        <v>4364</v>
      </c>
      <c r="C3589">
        <v>76</v>
      </c>
      <c r="D3589" t="s">
        <v>14</v>
      </c>
      <c r="E3589" t="s">
        <v>15</v>
      </c>
      <c r="F3589" t="s">
        <v>23</v>
      </c>
      <c r="G3589" t="s">
        <v>39</v>
      </c>
      <c r="H3589">
        <v>1857.28</v>
      </c>
      <c r="I3589" s="8" t="str" cm="1">
        <f t="array" ref="I3589">_xlfn.IFS(C3589&lt;=15,"Children and Young Adolescents", C3589&gt;64, "Seniors", TRUE, "Working Age")</f>
        <v>Seniors</v>
      </c>
      <c r="J3589" s="6">
        <f>VLOOKUP(F3589,Analysis!$F$1:$G$5,2,FALSE)</f>
        <v>2440.2966694490838</v>
      </c>
      <c r="K3589">
        <f t="shared" si="224"/>
        <v>2043</v>
      </c>
      <c r="L3589">
        <f t="shared" si="225"/>
        <v>2043.01</v>
      </c>
      <c r="M3589">
        <f t="shared" si="226"/>
        <v>2043.01</v>
      </c>
      <c r="N3589" s="5" t="str">
        <f t="shared" si="227"/>
        <v>June 2023</v>
      </c>
    </row>
    <row r="3590" spans="1:14" x14ac:dyDescent="0.25">
      <c r="A3590" s="1">
        <v>45086</v>
      </c>
      <c r="B3590" t="s">
        <v>1519</v>
      </c>
      <c r="C3590">
        <v>32</v>
      </c>
      <c r="D3590" t="s">
        <v>9</v>
      </c>
      <c r="E3590" t="s">
        <v>5032</v>
      </c>
      <c r="F3590" t="s">
        <v>11</v>
      </c>
      <c r="G3590" t="s">
        <v>17</v>
      </c>
      <c r="H3590">
        <v>4962.46</v>
      </c>
      <c r="I3590" s="8" t="str" cm="1">
        <f t="array" ref="I3590">_xlfn.IFS(C3590&lt;=15,"Children and Young Adolescents", C3590&gt;64, "Seniors", TRUE, "Working Age")</f>
        <v>Working Age</v>
      </c>
      <c r="J3590" s="6">
        <f>VLOOKUP(F3590,Analysis!$F$1:$G$5,2,FALSE)</f>
        <v>2503.6022787783854</v>
      </c>
      <c r="K3590">
        <f t="shared" si="224"/>
        <v>5458.7</v>
      </c>
      <c r="L3590">
        <f t="shared" si="225"/>
        <v>5458.71</v>
      </c>
      <c r="M3590">
        <f t="shared" si="226"/>
        <v>5458.71</v>
      </c>
      <c r="N3590" s="5" t="str">
        <f t="shared" si="227"/>
        <v>June 2023</v>
      </c>
    </row>
    <row r="3591" spans="1:14" x14ac:dyDescent="0.25">
      <c r="A3591" s="1">
        <v>45086</v>
      </c>
      <c r="B3591" t="s">
        <v>2702</v>
      </c>
      <c r="C3591">
        <v>35</v>
      </c>
      <c r="D3591" t="s">
        <v>9</v>
      </c>
      <c r="E3591" t="s">
        <v>22</v>
      </c>
      <c r="F3591" t="s">
        <v>11</v>
      </c>
      <c r="G3591" t="s">
        <v>39</v>
      </c>
      <c r="H3591">
        <v>1120.45</v>
      </c>
      <c r="I3591" s="8" t="str" cm="1">
        <f t="array" ref="I3591">_xlfn.IFS(C3591&lt;=15,"Children and Young Adolescents", C3591&gt;64, "Seniors", TRUE, "Working Age")</f>
        <v>Working Age</v>
      </c>
      <c r="J3591" s="6">
        <f>VLOOKUP(F3591,Analysis!$F$1:$G$5,2,FALSE)</f>
        <v>2503.6022787783854</v>
      </c>
      <c r="K3591">
        <f t="shared" si="224"/>
        <v>1232.49</v>
      </c>
      <c r="L3591">
        <f t="shared" si="225"/>
        <v>1232.5</v>
      </c>
      <c r="M3591">
        <f t="shared" si="226"/>
        <v>1232.5</v>
      </c>
      <c r="N3591" s="5" t="str">
        <f t="shared" si="227"/>
        <v>June 2023</v>
      </c>
    </row>
    <row r="3592" spans="1:14" x14ac:dyDescent="0.25">
      <c r="A3592" s="1">
        <v>45086</v>
      </c>
      <c r="B3592" t="s">
        <v>2784</v>
      </c>
      <c r="C3592">
        <v>0</v>
      </c>
      <c r="D3592" t="s">
        <v>14</v>
      </c>
      <c r="E3592" t="s">
        <v>25</v>
      </c>
      <c r="F3592" t="s">
        <v>16</v>
      </c>
      <c r="G3592" t="s">
        <v>39</v>
      </c>
      <c r="H3592">
        <v>937.26</v>
      </c>
      <c r="I3592" s="8" t="str" cm="1">
        <f t="array" ref="I3592">_xlfn.IFS(C3592&lt;=15,"Children and Young Adolescents", C3592&gt;64, "Seniors", TRUE, "Working Age")</f>
        <v>Children and Young Adolescents</v>
      </c>
      <c r="J3592" s="6">
        <f>VLOOKUP(F3592,Analysis!$F$1:$G$5,2,FALSE)</f>
        <v>2509.1716796874912</v>
      </c>
      <c r="K3592">
        <f t="shared" si="224"/>
        <v>1030.98</v>
      </c>
      <c r="L3592">
        <f t="shared" si="225"/>
        <v>1030.99</v>
      </c>
      <c r="M3592">
        <f t="shared" si="226"/>
        <v>1030.99</v>
      </c>
      <c r="N3592" s="5" t="str">
        <f t="shared" si="227"/>
        <v>June 2023</v>
      </c>
    </row>
    <row r="3593" spans="1:14" x14ac:dyDescent="0.25">
      <c r="A3593" s="1">
        <v>45086</v>
      </c>
      <c r="B3593" t="s">
        <v>4082</v>
      </c>
      <c r="C3593">
        <v>76</v>
      </c>
      <c r="D3593" t="s">
        <v>9</v>
      </c>
      <c r="E3593" t="s">
        <v>34</v>
      </c>
      <c r="F3593" t="s">
        <v>29</v>
      </c>
      <c r="G3593" t="s">
        <v>39</v>
      </c>
      <c r="H3593">
        <v>4297.04</v>
      </c>
      <c r="I3593" s="8" t="str" cm="1">
        <f t="array" ref="I3593">_xlfn.IFS(C3593&lt;=15,"Children and Young Adolescents", C3593&gt;64, "Seniors", TRUE, "Working Age")</f>
        <v>Seniors</v>
      </c>
      <c r="J3593" s="6">
        <f>VLOOKUP(F3593,Analysis!$F$1:$G$5,2,FALSE)</f>
        <v>2496.7676064256989</v>
      </c>
      <c r="K3593">
        <f t="shared" si="224"/>
        <v>4726.74</v>
      </c>
      <c r="L3593">
        <f t="shared" si="225"/>
        <v>4726.75</v>
      </c>
      <c r="M3593">
        <f t="shared" si="226"/>
        <v>4726.74</v>
      </c>
      <c r="N3593" s="5" t="str">
        <f t="shared" si="227"/>
        <v>June 2023</v>
      </c>
    </row>
    <row r="3594" spans="1:14" x14ac:dyDescent="0.25">
      <c r="A3594" s="1">
        <v>45086</v>
      </c>
      <c r="B3594" t="s">
        <v>3516</v>
      </c>
      <c r="C3594">
        <v>64</v>
      </c>
      <c r="D3594" t="s">
        <v>14</v>
      </c>
      <c r="E3594" t="s">
        <v>10</v>
      </c>
      <c r="F3594" t="s">
        <v>29</v>
      </c>
      <c r="G3594" t="s">
        <v>27</v>
      </c>
      <c r="H3594">
        <v>1060.48</v>
      </c>
      <c r="I3594" s="8" t="str" cm="1">
        <f t="array" ref="I3594">_xlfn.IFS(C3594&lt;=15,"Children and Young Adolescents", C3594&gt;64, "Seniors", TRUE, "Working Age")</f>
        <v>Working Age</v>
      </c>
      <c r="J3594" s="6">
        <f>VLOOKUP(F3594,Analysis!$F$1:$G$5,2,FALSE)</f>
        <v>2496.7676064256989</v>
      </c>
      <c r="K3594">
        <f t="shared" si="224"/>
        <v>1166.52</v>
      </c>
      <c r="L3594">
        <f t="shared" si="225"/>
        <v>1166.53</v>
      </c>
      <c r="M3594">
        <f t="shared" si="226"/>
        <v>1166.53</v>
      </c>
      <c r="N3594" s="5" t="str">
        <f t="shared" si="227"/>
        <v>June 2023</v>
      </c>
    </row>
    <row r="3595" spans="1:14" x14ac:dyDescent="0.25">
      <c r="A3595" s="1">
        <v>45086</v>
      </c>
      <c r="B3595" t="s">
        <v>233</v>
      </c>
      <c r="C3595">
        <v>73</v>
      </c>
      <c r="D3595" t="s">
        <v>9</v>
      </c>
      <c r="E3595" t="s">
        <v>25</v>
      </c>
      <c r="F3595" t="s">
        <v>16</v>
      </c>
      <c r="G3595" t="s">
        <v>12</v>
      </c>
      <c r="H3595">
        <v>858.83</v>
      </c>
      <c r="I3595" s="8" t="str" cm="1">
        <f t="array" ref="I3595">_xlfn.IFS(C3595&lt;=15,"Children and Young Adolescents", C3595&gt;64, "Seniors", TRUE, "Working Age")</f>
        <v>Seniors</v>
      </c>
      <c r="J3595" s="6">
        <f>VLOOKUP(F3595,Analysis!$F$1:$G$5,2,FALSE)</f>
        <v>2509.1716796874912</v>
      </c>
      <c r="K3595">
        <f t="shared" si="224"/>
        <v>944.71</v>
      </c>
      <c r="L3595">
        <f t="shared" si="225"/>
        <v>944.72</v>
      </c>
      <c r="M3595">
        <f t="shared" si="226"/>
        <v>944.71</v>
      </c>
      <c r="N3595" s="5" t="str">
        <f t="shared" si="227"/>
        <v>June 2023</v>
      </c>
    </row>
    <row r="3596" spans="1:14" x14ac:dyDescent="0.25">
      <c r="A3596" s="1">
        <v>45086</v>
      </c>
      <c r="B3596" t="s">
        <v>1338</v>
      </c>
      <c r="C3596">
        <v>41</v>
      </c>
      <c r="D3596" t="s">
        <v>21</v>
      </c>
      <c r="E3596" t="s">
        <v>19</v>
      </c>
      <c r="F3596" t="s">
        <v>23</v>
      </c>
      <c r="G3596" t="s">
        <v>39</v>
      </c>
      <c r="H3596">
        <v>1721.45</v>
      </c>
      <c r="I3596" s="8" t="str" cm="1">
        <f t="array" ref="I3596">_xlfn.IFS(C3596&lt;=15,"Children and Young Adolescents", C3596&gt;64, "Seniors", TRUE, "Working Age")</f>
        <v>Working Age</v>
      </c>
      <c r="J3596" s="6">
        <f>VLOOKUP(F3596,Analysis!$F$1:$G$5,2,FALSE)</f>
        <v>2440.2966694490838</v>
      </c>
      <c r="K3596">
        <f t="shared" si="224"/>
        <v>1893.59</v>
      </c>
      <c r="L3596">
        <f t="shared" si="225"/>
        <v>1893.6</v>
      </c>
      <c r="M3596">
        <f t="shared" si="226"/>
        <v>1893.6</v>
      </c>
      <c r="N3596" s="5" t="str">
        <f t="shared" si="227"/>
        <v>June 2023</v>
      </c>
    </row>
    <row r="3597" spans="1:14" x14ac:dyDescent="0.25">
      <c r="A3597" s="1">
        <v>45086</v>
      </c>
      <c r="B3597" t="s">
        <v>2839</v>
      </c>
      <c r="C3597">
        <v>0</v>
      </c>
      <c r="D3597" t="s">
        <v>9</v>
      </c>
      <c r="E3597" t="s">
        <v>32</v>
      </c>
      <c r="F3597" t="s">
        <v>11</v>
      </c>
      <c r="G3597" t="s">
        <v>27</v>
      </c>
      <c r="H3597">
        <v>88</v>
      </c>
      <c r="I3597" s="8" t="str" cm="1">
        <f t="array" ref="I3597">_xlfn.IFS(C3597&lt;=15,"Children and Young Adolescents", C3597&gt;64, "Seniors", TRUE, "Working Age")</f>
        <v>Children and Young Adolescents</v>
      </c>
      <c r="J3597" s="6">
        <f>VLOOKUP(F3597,Analysis!$F$1:$G$5,2,FALSE)</f>
        <v>2503.6022787783854</v>
      </c>
      <c r="K3597">
        <f t="shared" si="224"/>
        <v>96.8</v>
      </c>
      <c r="L3597">
        <f t="shared" si="225"/>
        <v>96.8</v>
      </c>
      <c r="M3597">
        <f t="shared" si="226"/>
        <v>96.8</v>
      </c>
      <c r="N3597" s="5" t="str">
        <f t="shared" si="227"/>
        <v>June 2023</v>
      </c>
    </row>
    <row r="3598" spans="1:14" x14ac:dyDescent="0.25">
      <c r="A3598" s="1">
        <v>45086</v>
      </c>
      <c r="B3598" t="s">
        <v>2151</v>
      </c>
      <c r="C3598">
        <v>67</v>
      </c>
      <c r="D3598" t="s">
        <v>21</v>
      </c>
      <c r="E3598" t="s">
        <v>34</v>
      </c>
      <c r="F3598" t="s">
        <v>23</v>
      </c>
      <c r="G3598" t="s">
        <v>39</v>
      </c>
      <c r="H3598">
        <v>3344.87</v>
      </c>
      <c r="I3598" s="8" t="str" cm="1">
        <f t="array" ref="I3598">_xlfn.IFS(C3598&lt;=15,"Children and Young Adolescents", C3598&gt;64, "Seniors", TRUE, "Working Age")</f>
        <v>Seniors</v>
      </c>
      <c r="J3598" s="6">
        <f>VLOOKUP(F3598,Analysis!$F$1:$G$5,2,FALSE)</f>
        <v>2440.2966694490838</v>
      </c>
      <c r="K3598">
        <f t="shared" si="224"/>
        <v>3679.35</v>
      </c>
      <c r="L3598">
        <f t="shared" si="225"/>
        <v>3679.36</v>
      </c>
      <c r="M3598">
        <f t="shared" si="226"/>
        <v>3679.36</v>
      </c>
      <c r="N3598" s="5" t="str">
        <f t="shared" si="227"/>
        <v>June 2023</v>
      </c>
    </row>
    <row r="3599" spans="1:14" x14ac:dyDescent="0.25">
      <c r="A3599" s="1">
        <v>45086</v>
      </c>
      <c r="B3599" t="s">
        <v>3665</v>
      </c>
      <c r="C3599">
        <v>24</v>
      </c>
      <c r="D3599" t="s">
        <v>9</v>
      </c>
      <c r="E3599" t="s">
        <v>34</v>
      </c>
      <c r="F3599" t="s">
        <v>29</v>
      </c>
      <c r="G3599" t="s">
        <v>27</v>
      </c>
      <c r="H3599">
        <v>2657.84</v>
      </c>
      <c r="I3599" s="8" t="str" cm="1">
        <f t="array" ref="I3599">_xlfn.IFS(C3599&lt;=15,"Children and Young Adolescents", C3599&gt;64, "Seniors", TRUE, "Working Age")</f>
        <v>Working Age</v>
      </c>
      <c r="J3599" s="6">
        <f>VLOOKUP(F3599,Analysis!$F$1:$G$5,2,FALSE)</f>
        <v>2496.7676064256989</v>
      </c>
      <c r="K3599">
        <f t="shared" si="224"/>
        <v>2923.62</v>
      </c>
      <c r="L3599">
        <f t="shared" si="225"/>
        <v>2923.63</v>
      </c>
      <c r="M3599">
        <f t="shared" si="226"/>
        <v>2923.62</v>
      </c>
      <c r="N3599" s="5" t="str">
        <f t="shared" si="227"/>
        <v>June 2023</v>
      </c>
    </row>
    <row r="3600" spans="1:14" x14ac:dyDescent="0.25">
      <c r="A3600" s="1">
        <v>45086</v>
      </c>
      <c r="B3600" t="s">
        <v>3566</v>
      </c>
      <c r="C3600">
        <v>60</v>
      </c>
      <c r="D3600" t="s">
        <v>14</v>
      </c>
      <c r="E3600" t="s">
        <v>32</v>
      </c>
      <c r="F3600" t="s">
        <v>23</v>
      </c>
      <c r="G3600" t="s">
        <v>17</v>
      </c>
      <c r="H3600">
        <v>2730.14</v>
      </c>
      <c r="I3600" s="8" t="str" cm="1">
        <f t="array" ref="I3600">_xlfn.IFS(C3600&lt;=15,"Children and Young Adolescents", C3600&gt;64, "Seniors", TRUE, "Working Age")</f>
        <v>Working Age</v>
      </c>
      <c r="J3600" s="6">
        <f>VLOOKUP(F3600,Analysis!$F$1:$G$5,2,FALSE)</f>
        <v>2440.2966694490838</v>
      </c>
      <c r="K3600">
        <f t="shared" si="224"/>
        <v>3003.15</v>
      </c>
      <c r="L3600">
        <f t="shared" si="225"/>
        <v>3003.1600000000003</v>
      </c>
      <c r="M3600">
        <f t="shared" si="226"/>
        <v>3003.15</v>
      </c>
      <c r="N3600" s="5" t="str">
        <f t="shared" si="227"/>
        <v>June 2023</v>
      </c>
    </row>
    <row r="3601" spans="1:14" x14ac:dyDescent="0.25">
      <c r="A3601" s="1">
        <v>45087</v>
      </c>
      <c r="B3601" t="s">
        <v>1793</v>
      </c>
      <c r="C3601">
        <v>60</v>
      </c>
      <c r="D3601" t="s">
        <v>9</v>
      </c>
      <c r="E3601" t="s">
        <v>32</v>
      </c>
      <c r="F3601" t="s">
        <v>23</v>
      </c>
      <c r="G3601" t="s">
        <v>36</v>
      </c>
      <c r="H3601">
        <v>937.48</v>
      </c>
      <c r="I3601" s="8" t="str" cm="1">
        <f t="array" ref="I3601">_xlfn.IFS(C3601&lt;=15,"Children and Young Adolescents", C3601&gt;64, "Seniors", TRUE, "Working Age")</f>
        <v>Working Age</v>
      </c>
      <c r="J3601" s="6">
        <f>VLOOKUP(F3601,Analysis!$F$1:$G$5,2,FALSE)</f>
        <v>2440.2966694490838</v>
      </c>
      <c r="K3601">
        <f t="shared" si="224"/>
        <v>1031.22</v>
      </c>
      <c r="L3601">
        <f t="shared" si="225"/>
        <v>1031.23</v>
      </c>
      <c r="M3601">
        <f t="shared" si="226"/>
        <v>1031.23</v>
      </c>
      <c r="N3601" s="5" t="str">
        <f t="shared" si="227"/>
        <v>June 2023</v>
      </c>
    </row>
    <row r="3602" spans="1:14" x14ac:dyDescent="0.25">
      <c r="A3602" s="1">
        <v>45087</v>
      </c>
      <c r="B3602" t="s">
        <v>292</v>
      </c>
      <c r="C3602">
        <v>0</v>
      </c>
      <c r="D3602" t="s">
        <v>9</v>
      </c>
      <c r="E3602" t="s">
        <v>10</v>
      </c>
      <c r="F3602" t="s">
        <v>29</v>
      </c>
      <c r="G3602" t="s">
        <v>12</v>
      </c>
      <c r="H3602">
        <v>115.17</v>
      </c>
      <c r="I3602" s="8" t="str" cm="1">
        <f t="array" ref="I3602">_xlfn.IFS(C3602&lt;=15,"Children and Young Adolescents", C3602&gt;64, "Seniors", TRUE, "Working Age")</f>
        <v>Children and Young Adolescents</v>
      </c>
      <c r="J3602" s="6">
        <f>VLOOKUP(F3602,Analysis!$F$1:$G$5,2,FALSE)</f>
        <v>2496.7676064256989</v>
      </c>
      <c r="K3602">
        <f t="shared" si="224"/>
        <v>126.68</v>
      </c>
      <c r="L3602">
        <f t="shared" si="225"/>
        <v>126.69000000000001</v>
      </c>
      <c r="M3602">
        <f t="shared" si="226"/>
        <v>126.69</v>
      </c>
      <c r="N3602" s="5" t="str">
        <f t="shared" si="227"/>
        <v>June 2023</v>
      </c>
    </row>
    <row r="3603" spans="1:14" x14ac:dyDescent="0.25">
      <c r="A3603" s="1">
        <v>45087</v>
      </c>
      <c r="B3603" t="s">
        <v>615</v>
      </c>
      <c r="C3603">
        <v>57</v>
      </c>
      <c r="D3603" t="s">
        <v>21</v>
      </c>
      <c r="E3603" t="s">
        <v>19</v>
      </c>
      <c r="F3603" t="s">
        <v>16</v>
      </c>
      <c r="G3603" t="s">
        <v>12</v>
      </c>
      <c r="H3603">
        <v>4115.76</v>
      </c>
      <c r="I3603" s="8" t="str" cm="1">
        <f t="array" ref="I3603">_xlfn.IFS(C3603&lt;=15,"Children and Young Adolescents", C3603&gt;64, "Seniors", TRUE, "Working Age")</f>
        <v>Working Age</v>
      </c>
      <c r="J3603" s="6">
        <f>VLOOKUP(F3603,Analysis!$F$1:$G$5,2,FALSE)</f>
        <v>2509.1716796874912</v>
      </c>
      <c r="K3603">
        <f t="shared" si="224"/>
        <v>4527.33</v>
      </c>
      <c r="L3603">
        <f t="shared" si="225"/>
        <v>4527.34</v>
      </c>
      <c r="M3603">
        <f t="shared" si="226"/>
        <v>4527.34</v>
      </c>
      <c r="N3603" s="5" t="str">
        <f t="shared" si="227"/>
        <v>June 2023</v>
      </c>
    </row>
    <row r="3604" spans="1:14" x14ac:dyDescent="0.25">
      <c r="A3604" s="1">
        <v>45087</v>
      </c>
      <c r="B3604" t="s">
        <v>3744</v>
      </c>
      <c r="C3604">
        <v>43</v>
      </c>
      <c r="D3604" t="s">
        <v>21</v>
      </c>
      <c r="E3604" t="s">
        <v>10</v>
      </c>
      <c r="F3604" t="s">
        <v>23</v>
      </c>
      <c r="G3604" t="s">
        <v>12</v>
      </c>
      <c r="H3604">
        <v>3707.72</v>
      </c>
      <c r="I3604" s="8" t="str" cm="1">
        <f t="array" ref="I3604">_xlfn.IFS(C3604&lt;=15,"Children and Young Adolescents", C3604&gt;64, "Seniors", TRUE, "Working Age")</f>
        <v>Working Age</v>
      </c>
      <c r="J3604" s="6">
        <f>VLOOKUP(F3604,Analysis!$F$1:$G$5,2,FALSE)</f>
        <v>2440.2966694490838</v>
      </c>
      <c r="K3604">
        <f t="shared" si="224"/>
        <v>4078.49</v>
      </c>
      <c r="L3604">
        <f t="shared" si="225"/>
        <v>4078.5</v>
      </c>
      <c r="M3604">
        <f t="shared" si="226"/>
        <v>4078.49</v>
      </c>
      <c r="N3604" s="5" t="str">
        <f t="shared" si="227"/>
        <v>June 2023</v>
      </c>
    </row>
    <row r="3605" spans="1:14" x14ac:dyDescent="0.25">
      <c r="A3605" s="1">
        <v>45087</v>
      </c>
      <c r="B3605" t="s">
        <v>2066</v>
      </c>
      <c r="C3605">
        <v>18</v>
      </c>
      <c r="D3605" t="s">
        <v>9</v>
      </c>
      <c r="E3605" t="s">
        <v>19</v>
      </c>
      <c r="F3605" t="s">
        <v>23</v>
      </c>
      <c r="G3605" t="s">
        <v>39</v>
      </c>
      <c r="H3605">
        <v>290.02</v>
      </c>
      <c r="I3605" s="8" t="str" cm="1">
        <f t="array" ref="I3605">_xlfn.IFS(C3605&lt;=15,"Children and Young Adolescents", C3605&gt;64, "Seniors", TRUE, "Working Age")</f>
        <v>Working Age</v>
      </c>
      <c r="J3605" s="6">
        <f>VLOOKUP(F3605,Analysis!$F$1:$G$5,2,FALSE)</f>
        <v>2440.2966694490838</v>
      </c>
      <c r="K3605">
        <f t="shared" si="224"/>
        <v>319.02</v>
      </c>
      <c r="L3605">
        <f t="shared" si="225"/>
        <v>319.02999999999997</v>
      </c>
      <c r="M3605">
        <f t="shared" si="226"/>
        <v>319.02</v>
      </c>
      <c r="N3605" s="5" t="str">
        <f t="shared" si="227"/>
        <v>June 2023</v>
      </c>
    </row>
    <row r="3606" spans="1:14" x14ac:dyDescent="0.25">
      <c r="A3606" s="1">
        <v>45087</v>
      </c>
      <c r="B3606" t="s">
        <v>1988</v>
      </c>
      <c r="C3606">
        <v>84</v>
      </c>
      <c r="D3606" t="s">
        <v>21</v>
      </c>
      <c r="E3606" t="s">
        <v>34</v>
      </c>
      <c r="F3606" t="s">
        <v>29</v>
      </c>
      <c r="G3606" t="s">
        <v>39</v>
      </c>
      <c r="H3606">
        <v>4530.8900000000003</v>
      </c>
      <c r="I3606" s="8" t="str" cm="1">
        <f t="array" ref="I3606">_xlfn.IFS(C3606&lt;=15,"Children and Young Adolescents", C3606&gt;64, "Seniors", TRUE, "Working Age")</f>
        <v>Seniors</v>
      </c>
      <c r="J3606" s="6">
        <f>VLOOKUP(F3606,Analysis!$F$1:$G$5,2,FALSE)</f>
        <v>2496.7676064256989</v>
      </c>
      <c r="K3606">
        <f t="shared" si="224"/>
        <v>4983.97</v>
      </c>
      <c r="L3606">
        <f t="shared" si="225"/>
        <v>4983.9800000000005</v>
      </c>
      <c r="M3606">
        <f t="shared" si="226"/>
        <v>4983.9799999999996</v>
      </c>
      <c r="N3606" s="5" t="str">
        <f t="shared" si="227"/>
        <v>June 2023</v>
      </c>
    </row>
    <row r="3607" spans="1:14" x14ac:dyDescent="0.25">
      <c r="A3607" s="1">
        <v>45087</v>
      </c>
      <c r="B3607" t="s">
        <v>3121</v>
      </c>
      <c r="C3607">
        <v>32</v>
      </c>
      <c r="D3607" t="s">
        <v>14</v>
      </c>
      <c r="E3607" t="s">
        <v>22</v>
      </c>
      <c r="F3607" t="s">
        <v>11</v>
      </c>
      <c r="G3607" t="s">
        <v>36</v>
      </c>
      <c r="H3607">
        <v>4066.99</v>
      </c>
      <c r="I3607" s="8" t="str" cm="1">
        <f t="array" ref="I3607">_xlfn.IFS(C3607&lt;=15,"Children and Young Adolescents", C3607&gt;64, "Seniors", TRUE, "Working Age")</f>
        <v>Working Age</v>
      </c>
      <c r="J3607" s="6">
        <f>VLOOKUP(F3607,Analysis!$F$1:$G$5,2,FALSE)</f>
        <v>2503.6022787783854</v>
      </c>
      <c r="K3607">
        <f t="shared" si="224"/>
        <v>4473.68</v>
      </c>
      <c r="L3607">
        <f t="shared" si="225"/>
        <v>4473.6900000000005</v>
      </c>
      <c r="M3607">
        <f t="shared" si="226"/>
        <v>4473.6899999999996</v>
      </c>
      <c r="N3607" s="5" t="str">
        <f t="shared" si="227"/>
        <v>June 2023</v>
      </c>
    </row>
    <row r="3608" spans="1:14" x14ac:dyDescent="0.25">
      <c r="A3608" s="1">
        <v>45087</v>
      </c>
      <c r="B3608" t="s">
        <v>99</v>
      </c>
      <c r="C3608">
        <v>86</v>
      </c>
      <c r="D3608" t="s">
        <v>21</v>
      </c>
      <c r="E3608" t="s">
        <v>22</v>
      </c>
      <c r="F3608" t="s">
        <v>16</v>
      </c>
      <c r="G3608" t="s">
        <v>12</v>
      </c>
      <c r="H3608">
        <v>587.27</v>
      </c>
      <c r="I3608" s="8" t="str" cm="1">
        <f t="array" ref="I3608">_xlfn.IFS(C3608&lt;=15,"Children and Young Adolescents", C3608&gt;64, "Seniors", TRUE, "Working Age")</f>
        <v>Seniors</v>
      </c>
      <c r="J3608" s="6">
        <f>VLOOKUP(F3608,Analysis!$F$1:$G$5,2,FALSE)</f>
        <v>2509.1716796874912</v>
      </c>
      <c r="K3608">
        <f t="shared" si="224"/>
        <v>645.99</v>
      </c>
      <c r="L3608">
        <f t="shared" si="225"/>
        <v>646</v>
      </c>
      <c r="M3608">
        <f t="shared" si="226"/>
        <v>646</v>
      </c>
      <c r="N3608" s="5" t="str">
        <f t="shared" si="227"/>
        <v>June 2023</v>
      </c>
    </row>
    <row r="3609" spans="1:14" x14ac:dyDescent="0.25">
      <c r="A3609" s="1">
        <v>45087</v>
      </c>
      <c r="B3609" t="s">
        <v>4863</v>
      </c>
      <c r="C3609">
        <v>68</v>
      </c>
      <c r="D3609" t="s">
        <v>14</v>
      </c>
      <c r="E3609" t="s">
        <v>22</v>
      </c>
      <c r="F3609" t="s">
        <v>29</v>
      </c>
      <c r="G3609" t="s">
        <v>12</v>
      </c>
      <c r="H3609">
        <v>591.47</v>
      </c>
      <c r="I3609" s="8" t="str" cm="1">
        <f t="array" ref="I3609">_xlfn.IFS(C3609&lt;=15,"Children and Young Adolescents", C3609&gt;64, "Seniors", TRUE, "Working Age")</f>
        <v>Seniors</v>
      </c>
      <c r="J3609" s="6">
        <f>VLOOKUP(F3609,Analysis!$F$1:$G$5,2,FALSE)</f>
        <v>2496.7676064256989</v>
      </c>
      <c r="K3609">
        <f t="shared" si="224"/>
        <v>650.61</v>
      </c>
      <c r="L3609">
        <f t="shared" si="225"/>
        <v>650.62</v>
      </c>
      <c r="M3609">
        <f t="shared" si="226"/>
        <v>650.62</v>
      </c>
      <c r="N3609" s="5" t="str">
        <f t="shared" si="227"/>
        <v>June 2023</v>
      </c>
    </row>
    <row r="3610" spans="1:14" x14ac:dyDescent="0.25">
      <c r="A3610" s="1">
        <v>45088</v>
      </c>
      <c r="B3610" t="s">
        <v>1090</v>
      </c>
      <c r="C3610">
        <v>37</v>
      </c>
      <c r="D3610" t="s">
        <v>9</v>
      </c>
      <c r="E3610" t="s">
        <v>10</v>
      </c>
      <c r="F3610" t="s">
        <v>29</v>
      </c>
      <c r="G3610" t="s">
        <v>12</v>
      </c>
      <c r="H3610">
        <v>2106.67</v>
      </c>
      <c r="I3610" s="8" t="str" cm="1">
        <f t="array" ref="I3610">_xlfn.IFS(C3610&lt;=15,"Children and Young Adolescents", C3610&gt;64, "Seniors", TRUE, "Working Age")</f>
        <v>Working Age</v>
      </c>
      <c r="J3610" s="6">
        <f>VLOOKUP(F3610,Analysis!$F$1:$G$5,2,FALSE)</f>
        <v>2496.7676064256989</v>
      </c>
      <c r="K3610">
        <f t="shared" si="224"/>
        <v>2317.33</v>
      </c>
      <c r="L3610">
        <f t="shared" si="225"/>
        <v>2317.34</v>
      </c>
      <c r="M3610">
        <f t="shared" si="226"/>
        <v>2317.34</v>
      </c>
      <c r="N3610" s="5" t="str">
        <f t="shared" si="227"/>
        <v>June 2023</v>
      </c>
    </row>
    <row r="3611" spans="1:14" x14ac:dyDescent="0.25">
      <c r="A3611" s="1">
        <v>45088</v>
      </c>
      <c r="B3611" t="s">
        <v>651</v>
      </c>
      <c r="C3611">
        <v>48</v>
      </c>
      <c r="D3611" t="s">
        <v>21</v>
      </c>
      <c r="E3611" t="s">
        <v>22</v>
      </c>
      <c r="F3611" t="s">
        <v>23</v>
      </c>
      <c r="G3611" t="s">
        <v>36</v>
      </c>
      <c r="H3611">
        <v>3791.9</v>
      </c>
      <c r="I3611" s="8" t="str" cm="1">
        <f t="array" ref="I3611">_xlfn.IFS(C3611&lt;=15,"Children and Young Adolescents", C3611&gt;64, "Seniors", TRUE, "Working Age")</f>
        <v>Working Age</v>
      </c>
      <c r="J3611" s="6">
        <f>VLOOKUP(F3611,Analysis!$F$1:$G$5,2,FALSE)</f>
        <v>2440.2966694490838</v>
      </c>
      <c r="K3611">
        <f t="shared" si="224"/>
        <v>4171.09</v>
      </c>
      <c r="L3611">
        <f t="shared" si="225"/>
        <v>4171.09</v>
      </c>
      <c r="M3611">
        <f t="shared" si="226"/>
        <v>4171.09</v>
      </c>
      <c r="N3611" s="5" t="str">
        <f t="shared" si="227"/>
        <v>June 2023</v>
      </c>
    </row>
    <row r="3612" spans="1:14" x14ac:dyDescent="0.25">
      <c r="A3612" s="1">
        <v>45088</v>
      </c>
      <c r="B3612" t="s">
        <v>90</v>
      </c>
      <c r="C3612">
        <v>44</v>
      </c>
      <c r="D3612" t="s">
        <v>14</v>
      </c>
      <c r="E3612" t="s">
        <v>25</v>
      </c>
      <c r="F3612" t="s">
        <v>16</v>
      </c>
      <c r="G3612" t="s">
        <v>12</v>
      </c>
      <c r="H3612">
        <v>3792.32</v>
      </c>
      <c r="I3612" s="8" t="str" cm="1">
        <f t="array" ref="I3612">_xlfn.IFS(C3612&lt;=15,"Children and Young Adolescents", C3612&gt;64, "Seniors", TRUE, "Working Age")</f>
        <v>Working Age</v>
      </c>
      <c r="J3612" s="6">
        <f>VLOOKUP(F3612,Analysis!$F$1:$G$5,2,FALSE)</f>
        <v>2509.1716796874912</v>
      </c>
      <c r="K3612">
        <f t="shared" si="224"/>
        <v>4171.55</v>
      </c>
      <c r="L3612">
        <f t="shared" si="225"/>
        <v>4171.5600000000004</v>
      </c>
      <c r="M3612">
        <f t="shared" si="226"/>
        <v>4171.55</v>
      </c>
      <c r="N3612" s="5" t="str">
        <f t="shared" si="227"/>
        <v>June 2023</v>
      </c>
    </row>
    <row r="3613" spans="1:14" x14ac:dyDescent="0.25">
      <c r="A3613" s="1">
        <v>45088</v>
      </c>
      <c r="B3613" t="s">
        <v>345</v>
      </c>
      <c r="C3613">
        <v>66</v>
      </c>
      <c r="D3613" t="s">
        <v>21</v>
      </c>
      <c r="E3613" t="s">
        <v>5032</v>
      </c>
      <c r="F3613" t="s">
        <v>16</v>
      </c>
      <c r="G3613" t="s">
        <v>39</v>
      </c>
      <c r="H3613">
        <v>3222.01</v>
      </c>
      <c r="I3613" s="8" t="str" cm="1">
        <f t="array" ref="I3613">_xlfn.IFS(C3613&lt;=15,"Children and Young Adolescents", C3613&gt;64, "Seniors", TRUE, "Working Age")</f>
        <v>Seniors</v>
      </c>
      <c r="J3613" s="6">
        <f>VLOOKUP(F3613,Analysis!$F$1:$G$5,2,FALSE)</f>
        <v>2509.1716796874912</v>
      </c>
      <c r="K3613">
        <f t="shared" si="224"/>
        <v>3544.21</v>
      </c>
      <c r="L3613">
        <f t="shared" si="225"/>
        <v>3544.2200000000003</v>
      </c>
      <c r="M3613">
        <f t="shared" si="226"/>
        <v>3544.21</v>
      </c>
      <c r="N3613" s="5" t="str">
        <f t="shared" si="227"/>
        <v>June 2023</v>
      </c>
    </row>
    <row r="3614" spans="1:14" x14ac:dyDescent="0.25">
      <c r="A3614" s="1">
        <v>45088</v>
      </c>
      <c r="B3614" t="s">
        <v>4668</v>
      </c>
      <c r="C3614">
        <v>95</v>
      </c>
      <c r="D3614" t="s">
        <v>14</v>
      </c>
      <c r="E3614" t="s">
        <v>10</v>
      </c>
      <c r="F3614" t="s">
        <v>16</v>
      </c>
      <c r="G3614" t="s">
        <v>27</v>
      </c>
      <c r="H3614">
        <v>1798.77</v>
      </c>
      <c r="I3614" s="8" t="str" cm="1">
        <f t="array" ref="I3614">_xlfn.IFS(C3614&lt;=15,"Children and Young Adolescents", C3614&gt;64, "Seniors", TRUE, "Working Age")</f>
        <v>Seniors</v>
      </c>
      <c r="J3614" s="6">
        <f>VLOOKUP(F3614,Analysis!$F$1:$G$5,2,FALSE)</f>
        <v>2509.1716796874912</v>
      </c>
      <c r="K3614">
        <f t="shared" si="224"/>
        <v>1978.64</v>
      </c>
      <c r="L3614">
        <f t="shared" si="225"/>
        <v>1978.65</v>
      </c>
      <c r="M3614">
        <f t="shared" si="226"/>
        <v>1978.65</v>
      </c>
      <c r="N3614" s="5" t="str">
        <f t="shared" si="227"/>
        <v>June 2023</v>
      </c>
    </row>
    <row r="3615" spans="1:14" x14ac:dyDescent="0.25">
      <c r="A3615" s="1">
        <v>45088</v>
      </c>
      <c r="B3615" t="s">
        <v>1744</v>
      </c>
      <c r="C3615">
        <v>10</v>
      </c>
      <c r="D3615" t="s">
        <v>14</v>
      </c>
      <c r="E3615" t="s">
        <v>22</v>
      </c>
      <c r="F3615" t="s">
        <v>23</v>
      </c>
      <c r="G3615" t="s">
        <v>36</v>
      </c>
      <c r="H3615">
        <v>662.07</v>
      </c>
      <c r="I3615" s="8" t="str" cm="1">
        <f t="array" ref="I3615">_xlfn.IFS(C3615&lt;=15,"Children and Young Adolescents", C3615&gt;64, "Seniors", TRUE, "Working Age")</f>
        <v>Children and Young Adolescents</v>
      </c>
      <c r="J3615" s="6">
        <f>VLOOKUP(F3615,Analysis!$F$1:$G$5,2,FALSE)</f>
        <v>2440.2966694490838</v>
      </c>
      <c r="K3615">
        <f t="shared" si="224"/>
        <v>728.27</v>
      </c>
      <c r="L3615">
        <f t="shared" si="225"/>
        <v>728.28</v>
      </c>
      <c r="M3615">
        <f t="shared" si="226"/>
        <v>728.28</v>
      </c>
      <c r="N3615" s="5" t="str">
        <f t="shared" si="227"/>
        <v>June 2023</v>
      </c>
    </row>
    <row r="3616" spans="1:14" x14ac:dyDescent="0.25">
      <c r="A3616" s="1">
        <v>45089</v>
      </c>
      <c r="B3616" t="s">
        <v>4335</v>
      </c>
      <c r="C3616">
        <v>23</v>
      </c>
      <c r="D3616" t="s">
        <v>14</v>
      </c>
      <c r="E3616" t="s">
        <v>22</v>
      </c>
      <c r="F3616" t="s">
        <v>23</v>
      </c>
      <c r="G3616" t="s">
        <v>36</v>
      </c>
      <c r="H3616">
        <v>566.84</v>
      </c>
      <c r="I3616" s="8" t="str" cm="1">
        <f t="array" ref="I3616">_xlfn.IFS(C3616&lt;=15,"Children and Young Adolescents", C3616&gt;64, "Seniors", TRUE, "Working Age")</f>
        <v>Working Age</v>
      </c>
      <c r="J3616" s="6">
        <f>VLOOKUP(F3616,Analysis!$F$1:$G$5,2,FALSE)</f>
        <v>2440.2966694490838</v>
      </c>
      <c r="K3616">
        <f t="shared" si="224"/>
        <v>623.52</v>
      </c>
      <c r="L3616">
        <f t="shared" si="225"/>
        <v>623.53</v>
      </c>
      <c r="M3616">
        <f t="shared" si="226"/>
        <v>623.52</v>
      </c>
      <c r="N3616" s="5" t="str">
        <f t="shared" si="227"/>
        <v>June 2023</v>
      </c>
    </row>
    <row r="3617" spans="1:14" x14ac:dyDescent="0.25">
      <c r="A3617" s="1">
        <v>45089</v>
      </c>
      <c r="B3617" t="s">
        <v>4703</v>
      </c>
      <c r="C3617">
        <v>62</v>
      </c>
      <c r="D3617" t="s">
        <v>14</v>
      </c>
      <c r="E3617" t="s">
        <v>25</v>
      </c>
      <c r="F3617" t="s">
        <v>23</v>
      </c>
      <c r="G3617" t="s">
        <v>27</v>
      </c>
      <c r="H3617">
        <v>4256.8900000000003</v>
      </c>
      <c r="I3617" s="8" t="str" cm="1">
        <f t="array" ref="I3617">_xlfn.IFS(C3617&lt;=15,"Children and Young Adolescents", C3617&gt;64, "Seniors", TRUE, "Working Age")</f>
        <v>Working Age</v>
      </c>
      <c r="J3617" s="6">
        <f>VLOOKUP(F3617,Analysis!$F$1:$G$5,2,FALSE)</f>
        <v>2440.2966694490838</v>
      </c>
      <c r="K3617">
        <f t="shared" si="224"/>
        <v>4682.57</v>
      </c>
      <c r="L3617">
        <f t="shared" si="225"/>
        <v>4682.58</v>
      </c>
      <c r="M3617">
        <f t="shared" si="226"/>
        <v>4682.58</v>
      </c>
      <c r="N3617" s="5" t="str">
        <f t="shared" si="227"/>
        <v>June 2023</v>
      </c>
    </row>
    <row r="3618" spans="1:14" x14ac:dyDescent="0.25">
      <c r="A3618" s="1">
        <v>45089</v>
      </c>
      <c r="B3618" t="s">
        <v>3050</v>
      </c>
      <c r="C3618">
        <v>83</v>
      </c>
      <c r="D3618" t="s">
        <v>9</v>
      </c>
      <c r="E3618" t="s">
        <v>10</v>
      </c>
      <c r="F3618" t="s">
        <v>11</v>
      </c>
      <c r="G3618" t="s">
        <v>36</v>
      </c>
      <c r="H3618">
        <v>2374.39</v>
      </c>
      <c r="I3618" s="8" t="str" cm="1">
        <f t="array" ref="I3618">_xlfn.IFS(C3618&lt;=15,"Children and Young Adolescents", C3618&gt;64, "Seniors", TRUE, "Working Age")</f>
        <v>Seniors</v>
      </c>
      <c r="J3618" s="6">
        <f>VLOOKUP(F3618,Analysis!$F$1:$G$5,2,FALSE)</f>
        <v>2503.6022787783854</v>
      </c>
      <c r="K3618">
        <f t="shared" si="224"/>
        <v>2611.8200000000002</v>
      </c>
      <c r="L3618">
        <f t="shared" si="225"/>
        <v>2611.8300000000004</v>
      </c>
      <c r="M3618">
        <f t="shared" si="226"/>
        <v>2611.83</v>
      </c>
      <c r="N3618" s="5" t="str">
        <f t="shared" si="227"/>
        <v>June 2023</v>
      </c>
    </row>
    <row r="3619" spans="1:14" x14ac:dyDescent="0.25">
      <c r="A3619" s="1">
        <v>45089</v>
      </c>
      <c r="B3619" t="s">
        <v>4539</v>
      </c>
      <c r="C3619">
        <v>64</v>
      </c>
      <c r="D3619" t="s">
        <v>14</v>
      </c>
      <c r="E3619" t="s">
        <v>15</v>
      </c>
      <c r="F3619" t="s">
        <v>29</v>
      </c>
      <c r="G3619" t="s">
        <v>27</v>
      </c>
      <c r="H3619">
        <v>2224.06</v>
      </c>
      <c r="I3619" s="8" t="str" cm="1">
        <f t="array" ref="I3619">_xlfn.IFS(C3619&lt;=15,"Children and Young Adolescents", C3619&gt;64, "Seniors", TRUE, "Working Age")</f>
        <v>Working Age</v>
      </c>
      <c r="J3619" s="6">
        <f>VLOOKUP(F3619,Analysis!$F$1:$G$5,2,FALSE)</f>
        <v>2496.7676064256989</v>
      </c>
      <c r="K3619">
        <f t="shared" si="224"/>
        <v>2446.46</v>
      </c>
      <c r="L3619">
        <f t="shared" si="225"/>
        <v>2446.4700000000003</v>
      </c>
      <c r="M3619">
        <f t="shared" si="226"/>
        <v>2446.4699999999998</v>
      </c>
      <c r="N3619" s="5" t="str">
        <f t="shared" si="227"/>
        <v>June 2023</v>
      </c>
    </row>
    <row r="3620" spans="1:14" x14ac:dyDescent="0.25">
      <c r="A3620" s="1">
        <v>45089</v>
      </c>
      <c r="B3620" t="s">
        <v>3707</v>
      </c>
      <c r="C3620">
        <v>83</v>
      </c>
      <c r="D3620" t="s">
        <v>9</v>
      </c>
      <c r="E3620" t="s">
        <v>15</v>
      </c>
      <c r="F3620" t="s">
        <v>23</v>
      </c>
      <c r="G3620" t="s">
        <v>17</v>
      </c>
      <c r="H3620">
        <v>2571.7399999999998</v>
      </c>
      <c r="I3620" s="8" t="str" cm="1">
        <f t="array" ref="I3620">_xlfn.IFS(C3620&lt;=15,"Children and Young Adolescents", C3620&gt;64, "Seniors", TRUE, "Working Age")</f>
        <v>Seniors</v>
      </c>
      <c r="J3620" s="6">
        <f>VLOOKUP(F3620,Analysis!$F$1:$G$5,2,FALSE)</f>
        <v>2440.2966694490838</v>
      </c>
      <c r="K3620">
        <f t="shared" si="224"/>
        <v>2828.91</v>
      </c>
      <c r="L3620">
        <f t="shared" si="225"/>
        <v>2828.92</v>
      </c>
      <c r="M3620">
        <f t="shared" si="226"/>
        <v>2828.91</v>
      </c>
      <c r="N3620" s="5" t="str">
        <f t="shared" si="227"/>
        <v>June 2023</v>
      </c>
    </row>
    <row r="3621" spans="1:14" x14ac:dyDescent="0.25">
      <c r="A3621" s="1">
        <v>45089</v>
      </c>
      <c r="B3621" t="s">
        <v>516</v>
      </c>
      <c r="C3621">
        <v>91</v>
      </c>
      <c r="D3621" t="s">
        <v>14</v>
      </c>
      <c r="E3621" t="s">
        <v>22</v>
      </c>
      <c r="F3621" t="s">
        <v>11</v>
      </c>
      <c r="G3621" t="s">
        <v>39</v>
      </c>
      <c r="H3621">
        <v>236.24</v>
      </c>
      <c r="I3621" s="8" t="str" cm="1">
        <f t="array" ref="I3621">_xlfn.IFS(C3621&lt;=15,"Children and Young Adolescents", C3621&gt;64, "Seniors", TRUE, "Working Age")</f>
        <v>Seniors</v>
      </c>
      <c r="J3621" s="6">
        <f>VLOOKUP(F3621,Analysis!$F$1:$G$5,2,FALSE)</f>
        <v>2503.6022787783854</v>
      </c>
      <c r="K3621">
        <f t="shared" si="224"/>
        <v>259.86</v>
      </c>
      <c r="L3621">
        <f t="shared" si="225"/>
        <v>259.87</v>
      </c>
      <c r="M3621">
        <f t="shared" si="226"/>
        <v>259.86</v>
      </c>
      <c r="N3621" s="5" t="str">
        <f t="shared" si="227"/>
        <v>June 2023</v>
      </c>
    </row>
    <row r="3622" spans="1:14" x14ac:dyDescent="0.25">
      <c r="A3622" s="1">
        <v>45090</v>
      </c>
      <c r="B3622" t="s">
        <v>1275</v>
      </c>
      <c r="C3622">
        <v>91</v>
      </c>
      <c r="D3622" t="s">
        <v>9</v>
      </c>
      <c r="E3622" t="s">
        <v>34</v>
      </c>
      <c r="F3622" t="s">
        <v>11</v>
      </c>
      <c r="G3622" t="s">
        <v>17</v>
      </c>
      <c r="H3622">
        <v>629.38</v>
      </c>
      <c r="I3622" s="8" t="str" cm="1">
        <f t="array" ref="I3622">_xlfn.IFS(C3622&lt;=15,"Children and Young Adolescents", C3622&gt;64, "Seniors", TRUE, "Working Age")</f>
        <v>Seniors</v>
      </c>
      <c r="J3622" s="6">
        <f>VLOOKUP(F3622,Analysis!$F$1:$G$5,2,FALSE)</f>
        <v>2503.6022787783854</v>
      </c>
      <c r="K3622">
        <f t="shared" si="224"/>
        <v>692.31</v>
      </c>
      <c r="L3622">
        <f t="shared" si="225"/>
        <v>692.31999999999994</v>
      </c>
      <c r="M3622">
        <f t="shared" si="226"/>
        <v>692.32</v>
      </c>
      <c r="N3622" s="5" t="str">
        <f t="shared" si="227"/>
        <v>June 2023</v>
      </c>
    </row>
    <row r="3623" spans="1:14" x14ac:dyDescent="0.25">
      <c r="A3623" s="1">
        <v>45090</v>
      </c>
      <c r="B3623" t="s">
        <v>3838</v>
      </c>
      <c r="C3623">
        <v>40</v>
      </c>
      <c r="D3623" t="s">
        <v>21</v>
      </c>
      <c r="E3623" t="s">
        <v>34</v>
      </c>
      <c r="F3623" t="s">
        <v>29</v>
      </c>
      <c r="G3623" t="s">
        <v>12</v>
      </c>
      <c r="H3623">
        <v>626.37</v>
      </c>
      <c r="I3623" s="8" t="str" cm="1">
        <f t="array" ref="I3623">_xlfn.IFS(C3623&lt;=15,"Children and Young Adolescents", C3623&gt;64, "Seniors", TRUE, "Working Age")</f>
        <v>Working Age</v>
      </c>
      <c r="J3623" s="6">
        <f>VLOOKUP(F3623,Analysis!$F$1:$G$5,2,FALSE)</f>
        <v>2496.7676064256989</v>
      </c>
      <c r="K3623">
        <f t="shared" si="224"/>
        <v>689</v>
      </c>
      <c r="L3623">
        <f t="shared" si="225"/>
        <v>689.01</v>
      </c>
      <c r="M3623">
        <f t="shared" si="226"/>
        <v>689.01</v>
      </c>
      <c r="N3623" s="5" t="str">
        <f t="shared" si="227"/>
        <v>June 2023</v>
      </c>
    </row>
    <row r="3624" spans="1:14" x14ac:dyDescent="0.25">
      <c r="A3624" s="1">
        <v>45090</v>
      </c>
      <c r="B3624" t="s">
        <v>4719</v>
      </c>
      <c r="C3624">
        <v>90</v>
      </c>
      <c r="D3624" t="s">
        <v>9</v>
      </c>
      <c r="E3624" t="s">
        <v>34</v>
      </c>
      <c r="F3624" t="s">
        <v>29</v>
      </c>
      <c r="G3624" t="s">
        <v>39</v>
      </c>
      <c r="H3624">
        <v>2405.56</v>
      </c>
      <c r="I3624" s="8" t="str" cm="1">
        <f t="array" ref="I3624">_xlfn.IFS(C3624&lt;=15,"Children and Young Adolescents", C3624&gt;64, "Seniors", TRUE, "Working Age")</f>
        <v>Seniors</v>
      </c>
      <c r="J3624" s="6">
        <f>VLOOKUP(F3624,Analysis!$F$1:$G$5,2,FALSE)</f>
        <v>2496.7676064256989</v>
      </c>
      <c r="K3624">
        <f t="shared" si="224"/>
        <v>2646.11</v>
      </c>
      <c r="L3624">
        <f t="shared" si="225"/>
        <v>2646.1200000000003</v>
      </c>
      <c r="M3624">
        <f t="shared" si="226"/>
        <v>2646.12</v>
      </c>
      <c r="N3624" s="5" t="str">
        <f t="shared" si="227"/>
        <v>June 2023</v>
      </c>
    </row>
    <row r="3625" spans="1:14" x14ac:dyDescent="0.25">
      <c r="A3625" s="1">
        <v>45091</v>
      </c>
      <c r="B3625" t="s">
        <v>1202</v>
      </c>
      <c r="C3625">
        <v>16</v>
      </c>
      <c r="D3625" t="s">
        <v>9</v>
      </c>
      <c r="E3625" t="s">
        <v>19</v>
      </c>
      <c r="F3625" t="s">
        <v>23</v>
      </c>
      <c r="G3625" t="s">
        <v>17</v>
      </c>
      <c r="H3625">
        <v>1679.51</v>
      </c>
      <c r="I3625" s="8" t="str" cm="1">
        <f t="array" ref="I3625">_xlfn.IFS(C3625&lt;=15,"Children and Young Adolescents", C3625&gt;64, "Seniors", TRUE, "Working Age")</f>
        <v>Working Age</v>
      </c>
      <c r="J3625" s="6">
        <f>VLOOKUP(F3625,Analysis!$F$1:$G$5,2,FALSE)</f>
        <v>2440.2966694490838</v>
      </c>
      <c r="K3625">
        <f t="shared" si="224"/>
        <v>1847.46</v>
      </c>
      <c r="L3625">
        <f t="shared" si="225"/>
        <v>1847.47</v>
      </c>
      <c r="M3625">
        <f t="shared" si="226"/>
        <v>1847.46</v>
      </c>
      <c r="N3625" s="5" t="str">
        <f t="shared" si="227"/>
        <v>June 2023</v>
      </c>
    </row>
    <row r="3626" spans="1:14" x14ac:dyDescent="0.25">
      <c r="A3626" s="1">
        <v>45091</v>
      </c>
      <c r="B3626" t="s">
        <v>341</v>
      </c>
      <c r="C3626">
        <v>80</v>
      </c>
      <c r="D3626" t="s">
        <v>21</v>
      </c>
      <c r="E3626" t="s">
        <v>25</v>
      </c>
      <c r="F3626" t="s">
        <v>29</v>
      </c>
      <c r="G3626" t="s">
        <v>12</v>
      </c>
      <c r="H3626">
        <v>4529.72</v>
      </c>
      <c r="I3626" s="8" t="str" cm="1">
        <f t="array" ref="I3626">_xlfn.IFS(C3626&lt;=15,"Children and Young Adolescents", C3626&gt;64, "Seniors", TRUE, "Working Age")</f>
        <v>Seniors</v>
      </c>
      <c r="J3626" s="6">
        <f>VLOOKUP(F3626,Analysis!$F$1:$G$5,2,FALSE)</f>
        <v>2496.7676064256989</v>
      </c>
      <c r="K3626">
        <f t="shared" si="224"/>
        <v>4982.6899999999996</v>
      </c>
      <c r="L3626">
        <f t="shared" si="225"/>
        <v>4982.7</v>
      </c>
      <c r="M3626">
        <f t="shared" si="226"/>
        <v>4982.6899999999996</v>
      </c>
      <c r="N3626" s="5" t="str">
        <f t="shared" si="227"/>
        <v>June 2023</v>
      </c>
    </row>
    <row r="3627" spans="1:14" x14ac:dyDescent="0.25">
      <c r="A3627" s="1">
        <v>45091</v>
      </c>
      <c r="B3627" t="s">
        <v>3312</v>
      </c>
      <c r="C3627">
        <v>89</v>
      </c>
      <c r="D3627" t="s">
        <v>14</v>
      </c>
      <c r="E3627" t="s">
        <v>19</v>
      </c>
      <c r="F3627" t="s">
        <v>29</v>
      </c>
      <c r="G3627" t="s">
        <v>12</v>
      </c>
      <c r="H3627">
        <v>4901.74</v>
      </c>
      <c r="I3627" s="8" t="str" cm="1">
        <f t="array" ref="I3627">_xlfn.IFS(C3627&lt;=15,"Children and Young Adolescents", C3627&gt;64, "Seniors", TRUE, "Working Age")</f>
        <v>Seniors</v>
      </c>
      <c r="J3627" s="6">
        <f>VLOOKUP(F3627,Analysis!$F$1:$G$5,2,FALSE)</f>
        <v>2496.7676064256989</v>
      </c>
      <c r="K3627">
        <f t="shared" si="224"/>
        <v>5391.91</v>
      </c>
      <c r="L3627">
        <f t="shared" si="225"/>
        <v>5391.92</v>
      </c>
      <c r="M3627">
        <f t="shared" si="226"/>
        <v>5391.91</v>
      </c>
      <c r="N3627" s="5" t="str">
        <f t="shared" si="227"/>
        <v>June 2023</v>
      </c>
    </row>
    <row r="3628" spans="1:14" x14ac:dyDescent="0.25">
      <c r="A3628" s="1">
        <v>45091</v>
      </c>
      <c r="B3628" t="s">
        <v>3255</v>
      </c>
      <c r="C3628">
        <v>94</v>
      </c>
      <c r="D3628" t="s">
        <v>9</v>
      </c>
      <c r="E3628" t="s">
        <v>10</v>
      </c>
      <c r="F3628" t="s">
        <v>29</v>
      </c>
      <c r="G3628" t="s">
        <v>12</v>
      </c>
      <c r="H3628">
        <v>940.74</v>
      </c>
      <c r="I3628" s="8" t="str" cm="1">
        <f t="array" ref="I3628">_xlfn.IFS(C3628&lt;=15,"Children and Young Adolescents", C3628&gt;64, "Seniors", TRUE, "Working Age")</f>
        <v>Seniors</v>
      </c>
      <c r="J3628" s="6">
        <f>VLOOKUP(F3628,Analysis!$F$1:$G$5,2,FALSE)</f>
        <v>2496.7676064256989</v>
      </c>
      <c r="K3628">
        <f t="shared" si="224"/>
        <v>1034.81</v>
      </c>
      <c r="L3628">
        <f t="shared" si="225"/>
        <v>1034.82</v>
      </c>
      <c r="M3628">
        <f t="shared" si="226"/>
        <v>1034.81</v>
      </c>
      <c r="N3628" s="5" t="str">
        <f t="shared" si="227"/>
        <v>June 2023</v>
      </c>
    </row>
    <row r="3629" spans="1:14" x14ac:dyDescent="0.25">
      <c r="A3629" s="1">
        <v>45091</v>
      </c>
      <c r="B3629" t="s">
        <v>4094</v>
      </c>
      <c r="C3629">
        <v>79</v>
      </c>
      <c r="D3629" t="s">
        <v>14</v>
      </c>
      <c r="E3629" t="s">
        <v>34</v>
      </c>
      <c r="F3629" t="s">
        <v>23</v>
      </c>
      <c r="G3629" t="s">
        <v>17</v>
      </c>
      <c r="H3629">
        <v>3789.75</v>
      </c>
      <c r="I3629" s="8" t="str" cm="1">
        <f t="array" ref="I3629">_xlfn.IFS(C3629&lt;=15,"Children and Young Adolescents", C3629&gt;64, "Seniors", TRUE, "Working Age")</f>
        <v>Seniors</v>
      </c>
      <c r="J3629" s="6">
        <f>VLOOKUP(F3629,Analysis!$F$1:$G$5,2,FALSE)</f>
        <v>2440.2966694490838</v>
      </c>
      <c r="K3629">
        <f t="shared" si="224"/>
        <v>4168.72</v>
      </c>
      <c r="L3629">
        <f t="shared" si="225"/>
        <v>4168.7300000000005</v>
      </c>
      <c r="M3629">
        <f t="shared" si="226"/>
        <v>4168.7299999999996</v>
      </c>
      <c r="N3629" s="5" t="str">
        <f t="shared" si="227"/>
        <v>June 2023</v>
      </c>
    </row>
    <row r="3630" spans="1:14" x14ac:dyDescent="0.25">
      <c r="A3630" s="1">
        <v>45091</v>
      </c>
      <c r="B3630" t="s">
        <v>941</v>
      </c>
      <c r="C3630">
        <v>10</v>
      </c>
      <c r="D3630" t="s">
        <v>14</v>
      </c>
      <c r="E3630" t="s">
        <v>22</v>
      </c>
      <c r="F3630" t="s">
        <v>16</v>
      </c>
      <c r="G3630" t="s">
        <v>27</v>
      </c>
      <c r="H3630">
        <v>617.99</v>
      </c>
      <c r="I3630" s="8" t="str" cm="1">
        <f t="array" ref="I3630">_xlfn.IFS(C3630&lt;=15,"Children and Young Adolescents", C3630&gt;64, "Seniors", TRUE, "Working Age")</f>
        <v>Children and Young Adolescents</v>
      </c>
      <c r="J3630" s="6">
        <f>VLOOKUP(F3630,Analysis!$F$1:$G$5,2,FALSE)</f>
        <v>2509.1716796874912</v>
      </c>
      <c r="K3630">
        <f t="shared" si="224"/>
        <v>679.78</v>
      </c>
      <c r="L3630">
        <f t="shared" si="225"/>
        <v>679.79</v>
      </c>
      <c r="M3630">
        <f t="shared" si="226"/>
        <v>679.79</v>
      </c>
      <c r="N3630" s="5" t="str">
        <f t="shared" si="227"/>
        <v>June 2023</v>
      </c>
    </row>
    <row r="3631" spans="1:14" x14ac:dyDescent="0.25">
      <c r="A3631" s="1">
        <v>45092</v>
      </c>
      <c r="B3631" t="s">
        <v>2681</v>
      </c>
      <c r="C3631">
        <v>17</v>
      </c>
      <c r="D3631" t="s">
        <v>14</v>
      </c>
      <c r="E3631" t="s">
        <v>34</v>
      </c>
      <c r="F3631" t="s">
        <v>29</v>
      </c>
      <c r="G3631" t="s">
        <v>12</v>
      </c>
      <c r="H3631">
        <v>234.19</v>
      </c>
      <c r="I3631" s="8" t="str" cm="1">
        <f t="array" ref="I3631">_xlfn.IFS(C3631&lt;=15,"Children and Young Adolescents", C3631&gt;64, "Seniors", TRUE, "Working Age")</f>
        <v>Working Age</v>
      </c>
      <c r="J3631" s="6">
        <f>VLOOKUP(F3631,Analysis!$F$1:$G$5,2,FALSE)</f>
        <v>2496.7676064256989</v>
      </c>
      <c r="K3631">
        <f t="shared" si="224"/>
        <v>257.60000000000002</v>
      </c>
      <c r="L3631">
        <f t="shared" si="225"/>
        <v>257.61</v>
      </c>
      <c r="M3631">
        <f t="shared" si="226"/>
        <v>257.61</v>
      </c>
      <c r="N3631" s="5" t="str">
        <f t="shared" si="227"/>
        <v>June 2023</v>
      </c>
    </row>
    <row r="3632" spans="1:14" x14ac:dyDescent="0.25">
      <c r="A3632" s="1">
        <v>45092</v>
      </c>
      <c r="B3632" t="s">
        <v>3196</v>
      </c>
      <c r="C3632">
        <v>41</v>
      </c>
      <c r="D3632" t="s">
        <v>9</v>
      </c>
      <c r="E3632" t="s">
        <v>5032</v>
      </c>
      <c r="F3632" t="s">
        <v>16</v>
      </c>
      <c r="G3632" t="s">
        <v>36</v>
      </c>
      <c r="H3632">
        <v>4642.72</v>
      </c>
      <c r="I3632" s="8" t="str" cm="1">
        <f t="array" ref="I3632">_xlfn.IFS(C3632&lt;=15,"Children and Young Adolescents", C3632&gt;64, "Seniors", TRUE, "Working Age")</f>
        <v>Working Age</v>
      </c>
      <c r="J3632" s="6">
        <f>VLOOKUP(F3632,Analysis!$F$1:$G$5,2,FALSE)</f>
        <v>2509.1716796874912</v>
      </c>
      <c r="K3632">
        <f t="shared" si="224"/>
        <v>5106.99</v>
      </c>
      <c r="L3632">
        <f t="shared" si="225"/>
        <v>5107</v>
      </c>
      <c r="M3632">
        <f t="shared" si="226"/>
        <v>5106.99</v>
      </c>
      <c r="N3632" s="5" t="str">
        <f t="shared" si="227"/>
        <v>June 2023</v>
      </c>
    </row>
    <row r="3633" spans="1:14" x14ac:dyDescent="0.25">
      <c r="A3633" s="1">
        <v>45092</v>
      </c>
      <c r="B3633" t="s">
        <v>3093</v>
      </c>
      <c r="C3633">
        <v>81</v>
      </c>
      <c r="D3633" t="s">
        <v>9</v>
      </c>
      <c r="E3633" t="s">
        <v>19</v>
      </c>
      <c r="F3633" t="s">
        <v>16</v>
      </c>
      <c r="G3633" t="s">
        <v>12</v>
      </c>
      <c r="H3633">
        <v>1784.79</v>
      </c>
      <c r="I3633" s="8" t="str" cm="1">
        <f t="array" ref="I3633">_xlfn.IFS(C3633&lt;=15,"Children and Young Adolescents", C3633&gt;64, "Seniors", TRUE, "Working Age")</f>
        <v>Seniors</v>
      </c>
      <c r="J3633" s="6">
        <f>VLOOKUP(F3633,Analysis!$F$1:$G$5,2,FALSE)</f>
        <v>2509.1716796874912</v>
      </c>
      <c r="K3633">
        <f t="shared" si="224"/>
        <v>1963.26</v>
      </c>
      <c r="L3633">
        <f t="shared" si="225"/>
        <v>1963.27</v>
      </c>
      <c r="M3633">
        <f t="shared" si="226"/>
        <v>1963.27</v>
      </c>
      <c r="N3633" s="5" t="str">
        <f t="shared" si="227"/>
        <v>June 2023</v>
      </c>
    </row>
    <row r="3634" spans="1:14" x14ac:dyDescent="0.25">
      <c r="A3634" s="1">
        <v>45092</v>
      </c>
      <c r="B3634" t="s">
        <v>731</v>
      </c>
      <c r="C3634">
        <v>64</v>
      </c>
      <c r="D3634" t="s">
        <v>9</v>
      </c>
      <c r="E3634" t="s">
        <v>10</v>
      </c>
      <c r="F3634" t="s">
        <v>11</v>
      </c>
      <c r="G3634" t="s">
        <v>36</v>
      </c>
      <c r="H3634">
        <v>3951.28</v>
      </c>
      <c r="I3634" s="8" t="str" cm="1">
        <f t="array" ref="I3634">_xlfn.IFS(C3634&lt;=15,"Children and Young Adolescents", C3634&gt;64, "Seniors", TRUE, "Working Age")</f>
        <v>Working Age</v>
      </c>
      <c r="J3634" s="6">
        <f>VLOOKUP(F3634,Analysis!$F$1:$G$5,2,FALSE)</f>
        <v>2503.6022787783854</v>
      </c>
      <c r="K3634">
        <f t="shared" si="224"/>
        <v>4346.3999999999996</v>
      </c>
      <c r="L3634">
        <f t="shared" si="225"/>
        <v>4346.41</v>
      </c>
      <c r="M3634">
        <f t="shared" si="226"/>
        <v>4346.41</v>
      </c>
      <c r="N3634" s="5" t="str">
        <f t="shared" si="227"/>
        <v>June 2023</v>
      </c>
    </row>
    <row r="3635" spans="1:14" x14ac:dyDescent="0.25">
      <c r="A3635" s="1">
        <v>45092</v>
      </c>
      <c r="B3635" t="s">
        <v>2336</v>
      </c>
      <c r="C3635">
        <v>25</v>
      </c>
      <c r="D3635" t="s">
        <v>21</v>
      </c>
      <c r="E3635" t="s">
        <v>32</v>
      </c>
      <c r="F3635" t="s">
        <v>16</v>
      </c>
      <c r="G3635" t="s">
        <v>12</v>
      </c>
      <c r="H3635">
        <v>3313.69</v>
      </c>
      <c r="I3635" s="8" t="str" cm="1">
        <f t="array" ref="I3635">_xlfn.IFS(C3635&lt;=15,"Children and Young Adolescents", C3635&gt;64, "Seniors", TRUE, "Working Age")</f>
        <v>Working Age</v>
      </c>
      <c r="J3635" s="6">
        <f>VLOOKUP(F3635,Analysis!$F$1:$G$5,2,FALSE)</f>
        <v>2509.1716796874912</v>
      </c>
      <c r="K3635">
        <f t="shared" si="224"/>
        <v>3645.05</v>
      </c>
      <c r="L3635">
        <f t="shared" si="225"/>
        <v>3645.0600000000004</v>
      </c>
      <c r="M3635">
        <f t="shared" si="226"/>
        <v>3645.06</v>
      </c>
      <c r="N3635" s="5" t="str">
        <f t="shared" si="227"/>
        <v>June 2023</v>
      </c>
    </row>
    <row r="3636" spans="1:14" x14ac:dyDescent="0.25">
      <c r="A3636" s="1">
        <v>45092</v>
      </c>
      <c r="B3636" t="s">
        <v>263</v>
      </c>
      <c r="C3636">
        <v>19</v>
      </c>
      <c r="D3636" t="s">
        <v>14</v>
      </c>
      <c r="E3636" t="s">
        <v>19</v>
      </c>
      <c r="F3636" t="s">
        <v>11</v>
      </c>
      <c r="G3636" t="s">
        <v>12</v>
      </c>
      <c r="H3636">
        <v>735.2</v>
      </c>
      <c r="I3636" s="8" t="str" cm="1">
        <f t="array" ref="I3636">_xlfn.IFS(C3636&lt;=15,"Children and Young Adolescents", C3636&gt;64, "Seniors", TRUE, "Working Age")</f>
        <v>Working Age</v>
      </c>
      <c r="J3636" s="6">
        <f>VLOOKUP(F3636,Analysis!$F$1:$G$5,2,FALSE)</f>
        <v>2503.6022787783854</v>
      </c>
      <c r="K3636">
        <f t="shared" si="224"/>
        <v>808.72</v>
      </c>
      <c r="L3636">
        <f t="shared" si="225"/>
        <v>808.72</v>
      </c>
      <c r="M3636">
        <f t="shared" si="226"/>
        <v>808.72</v>
      </c>
      <c r="N3636" s="5" t="str">
        <f t="shared" si="227"/>
        <v>June 2023</v>
      </c>
    </row>
    <row r="3637" spans="1:14" x14ac:dyDescent="0.25">
      <c r="A3637" s="1">
        <v>45092</v>
      </c>
      <c r="B3637" t="s">
        <v>3869</v>
      </c>
      <c r="C3637">
        <v>40</v>
      </c>
      <c r="D3637" t="s">
        <v>9</v>
      </c>
      <c r="E3637" t="s">
        <v>22</v>
      </c>
      <c r="F3637" t="s">
        <v>23</v>
      </c>
      <c r="G3637" t="s">
        <v>12</v>
      </c>
      <c r="H3637">
        <v>908.81</v>
      </c>
      <c r="I3637" s="8" t="str" cm="1">
        <f t="array" ref="I3637">_xlfn.IFS(C3637&lt;=15,"Children and Young Adolescents", C3637&gt;64, "Seniors", TRUE, "Working Age")</f>
        <v>Working Age</v>
      </c>
      <c r="J3637" s="6">
        <f>VLOOKUP(F3637,Analysis!$F$1:$G$5,2,FALSE)</f>
        <v>2440.2966694490838</v>
      </c>
      <c r="K3637">
        <f t="shared" si="224"/>
        <v>999.69</v>
      </c>
      <c r="L3637">
        <f t="shared" si="225"/>
        <v>999.7</v>
      </c>
      <c r="M3637">
        <f t="shared" si="226"/>
        <v>999.69</v>
      </c>
      <c r="N3637" s="5" t="str">
        <f t="shared" si="227"/>
        <v>June 2023</v>
      </c>
    </row>
    <row r="3638" spans="1:14" x14ac:dyDescent="0.25">
      <c r="A3638" s="1">
        <v>45093</v>
      </c>
      <c r="B3638" t="s">
        <v>2522</v>
      </c>
      <c r="C3638">
        <v>38</v>
      </c>
      <c r="D3638" t="s">
        <v>9</v>
      </c>
      <c r="E3638" t="s">
        <v>22</v>
      </c>
      <c r="F3638" t="s">
        <v>23</v>
      </c>
      <c r="G3638" t="s">
        <v>36</v>
      </c>
      <c r="H3638">
        <v>2579.5100000000002</v>
      </c>
      <c r="I3638" s="8" t="str" cm="1">
        <f t="array" ref="I3638">_xlfn.IFS(C3638&lt;=15,"Children and Young Adolescents", C3638&gt;64, "Seniors", TRUE, "Working Age")</f>
        <v>Working Age</v>
      </c>
      <c r="J3638" s="6">
        <f>VLOOKUP(F3638,Analysis!$F$1:$G$5,2,FALSE)</f>
        <v>2440.2966694490838</v>
      </c>
      <c r="K3638">
        <f t="shared" si="224"/>
        <v>2837.46</v>
      </c>
      <c r="L3638">
        <f t="shared" si="225"/>
        <v>2837.4700000000003</v>
      </c>
      <c r="M3638">
        <f t="shared" si="226"/>
        <v>2837.46</v>
      </c>
      <c r="N3638" s="5" t="str">
        <f t="shared" si="227"/>
        <v>June 2023</v>
      </c>
    </row>
    <row r="3639" spans="1:14" x14ac:dyDescent="0.25">
      <c r="A3639" s="1">
        <v>45093</v>
      </c>
      <c r="B3639" t="s">
        <v>3366</v>
      </c>
      <c r="C3639">
        <v>21</v>
      </c>
      <c r="D3639" t="s">
        <v>21</v>
      </c>
      <c r="E3639" t="s">
        <v>15</v>
      </c>
      <c r="F3639" t="s">
        <v>29</v>
      </c>
      <c r="G3639" t="s">
        <v>36</v>
      </c>
      <c r="H3639">
        <v>2918.92</v>
      </c>
      <c r="I3639" s="8" t="str" cm="1">
        <f t="array" ref="I3639">_xlfn.IFS(C3639&lt;=15,"Children and Young Adolescents", C3639&gt;64, "Seniors", TRUE, "Working Age")</f>
        <v>Working Age</v>
      </c>
      <c r="J3639" s="6">
        <f>VLOOKUP(F3639,Analysis!$F$1:$G$5,2,FALSE)</f>
        <v>2496.7676064256989</v>
      </c>
      <c r="K3639">
        <f t="shared" si="224"/>
        <v>3210.81</v>
      </c>
      <c r="L3639">
        <f t="shared" si="225"/>
        <v>3210.82</v>
      </c>
      <c r="M3639">
        <f t="shared" si="226"/>
        <v>3210.81</v>
      </c>
      <c r="N3639" s="5" t="str">
        <f t="shared" si="227"/>
        <v>June 2023</v>
      </c>
    </row>
    <row r="3640" spans="1:14" x14ac:dyDescent="0.25">
      <c r="A3640" s="1">
        <v>45093</v>
      </c>
      <c r="B3640" t="s">
        <v>3948</v>
      </c>
      <c r="C3640">
        <v>39</v>
      </c>
      <c r="D3640" t="s">
        <v>21</v>
      </c>
      <c r="E3640" t="s">
        <v>5032</v>
      </c>
      <c r="F3640" t="s">
        <v>29</v>
      </c>
      <c r="G3640" t="s">
        <v>27</v>
      </c>
      <c r="H3640">
        <v>1920.67</v>
      </c>
      <c r="I3640" s="8" t="str" cm="1">
        <f t="array" ref="I3640">_xlfn.IFS(C3640&lt;=15,"Children and Young Adolescents", C3640&gt;64, "Seniors", TRUE, "Working Age")</f>
        <v>Working Age</v>
      </c>
      <c r="J3640" s="6">
        <f>VLOOKUP(F3640,Analysis!$F$1:$G$5,2,FALSE)</f>
        <v>2496.7676064256989</v>
      </c>
      <c r="K3640">
        <f t="shared" si="224"/>
        <v>2112.73</v>
      </c>
      <c r="L3640">
        <f t="shared" si="225"/>
        <v>2112.7400000000002</v>
      </c>
      <c r="M3640">
        <f t="shared" si="226"/>
        <v>2112.7399999999998</v>
      </c>
      <c r="N3640" s="5" t="str">
        <f t="shared" si="227"/>
        <v>June 2023</v>
      </c>
    </row>
    <row r="3641" spans="1:14" x14ac:dyDescent="0.25">
      <c r="A3641" s="1">
        <v>45093</v>
      </c>
      <c r="B3641" t="s">
        <v>4513</v>
      </c>
      <c r="C3641">
        <v>59</v>
      </c>
      <c r="D3641" t="s">
        <v>9</v>
      </c>
      <c r="E3641" t="s">
        <v>32</v>
      </c>
      <c r="F3641" t="s">
        <v>11</v>
      </c>
      <c r="G3641" t="s">
        <v>39</v>
      </c>
      <c r="H3641">
        <v>749.08</v>
      </c>
      <c r="I3641" s="8" t="str" cm="1">
        <f t="array" ref="I3641">_xlfn.IFS(C3641&lt;=15,"Children and Young Adolescents", C3641&gt;64, "Seniors", TRUE, "Working Age")</f>
        <v>Working Age</v>
      </c>
      <c r="J3641" s="6">
        <f>VLOOKUP(F3641,Analysis!$F$1:$G$5,2,FALSE)</f>
        <v>2503.6022787783854</v>
      </c>
      <c r="K3641">
        <f t="shared" si="224"/>
        <v>823.98</v>
      </c>
      <c r="L3641">
        <f t="shared" si="225"/>
        <v>823.99</v>
      </c>
      <c r="M3641">
        <f t="shared" si="226"/>
        <v>823.99</v>
      </c>
      <c r="N3641" s="5" t="str">
        <f t="shared" si="227"/>
        <v>June 2023</v>
      </c>
    </row>
    <row r="3642" spans="1:14" x14ac:dyDescent="0.25">
      <c r="A3642" s="1">
        <v>45093</v>
      </c>
      <c r="B3642" t="s">
        <v>42</v>
      </c>
      <c r="C3642">
        <v>21</v>
      </c>
      <c r="D3642" t="s">
        <v>9</v>
      </c>
      <c r="E3642" t="s">
        <v>22</v>
      </c>
      <c r="F3642" t="s">
        <v>11</v>
      </c>
      <c r="G3642" t="s">
        <v>39</v>
      </c>
      <c r="H3642">
        <v>3689.63</v>
      </c>
      <c r="I3642" s="8" t="str" cm="1">
        <f t="array" ref="I3642">_xlfn.IFS(C3642&lt;=15,"Children and Young Adolescents", C3642&gt;64, "Seniors", TRUE, "Working Age")</f>
        <v>Working Age</v>
      </c>
      <c r="J3642" s="6">
        <f>VLOOKUP(F3642,Analysis!$F$1:$G$5,2,FALSE)</f>
        <v>2503.6022787783854</v>
      </c>
      <c r="K3642">
        <f t="shared" si="224"/>
        <v>4058.59</v>
      </c>
      <c r="L3642">
        <f t="shared" si="225"/>
        <v>4058.6000000000004</v>
      </c>
      <c r="M3642">
        <f t="shared" si="226"/>
        <v>4058.59</v>
      </c>
      <c r="N3642" s="5" t="str">
        <f t="shared" si="227"/>
        <v>June 2023</v>
      </c>
    </row>
    <row r="3643" spans="1:14" x14ac:dyDescent="0.25">
      <c r="A3643" s="1">
        <v>45093</v>
      </c>
      <c r="B3643" t="s">
        <v>3094</v>
      </c>
      <c r="C3643">
        <v>30</v>
      </c>
      <c r="D3643" t="s">
        <v>21</v>
      </c>
      <c r="E3643" t="s">
        <v>25</v>
      </c>
      <c r="F3643" t="s">
        <v>11</v>
      </c>
      <c r="G3643" t="s">
        <v>17</v>
      </c>
      <c r="H3643">
        <v>2961.25</v>
      </c>
      <c r="I3643" s="8" t="str" cm="1">
        <f t="array" ref="I3643">_xlfn.IFS(C3643&lt;=15,"Children and Young Adolescents", C3643&gt;64, "Seniors", TRUE, "Working Age")</f>
        <v>Working Age</v>
      </c>
      <c r="J3643" s="6">
        <f>VLOOKUP(F3643,Analysis!$F$1:$G$5,2,FALSE)</f>
        <v>2503.6022787783854</v>
      </c>
      <c r="K3643">
        <f t="shared" si="224"/>
        <v>3257.37</v>
      </c>
      <c r="L3643">
        <f t="shared" si="225"/>
        <v>3257.38</v>
      </c>
      <c r="M3643">
        <f t="shared" si="226"/>
        <v>3257.38</v>
      </c>
      <c r="N3643" s="5" t="str">
        <f t="shared" si="227"/>
        <v>June 2023</v>
      </c>
    </row>
    <row r="3644" spans="1:14" x14ac:dyDescent="0.25">
      <c r="A3644" s="1">
        <v>45094</v>
      </c>
      <c r="B3644" t="s">
        <v>3155</v>
      </c>
      <c r="C3644">
        <v>44</v>
      </c>
      <c r="D3644" t="s">
        <v>21</v>
      </c>
      <c r="E3644" t="s">
        <v>32</v>
      </c>
      <c r="F3644" t="s">
        <v>23</v>
      </c>
      <c r="G3644" t="s">
        <v>12</v>
      </c>
      <c r="H3644">
        <v>4808.6000000000004</v>
      </c>
      <c r="I3644" s="8" t="str" cm="1">
        <f t="array" ref="I3644">_xlfn.IFS(C3644&lt;=15,"Children and Young Adolescents", C3644&gt;64, "Seniors", TRUE, "Working Age")</f>
        <v>Working Age</v>
      </c>
      <c r="J3644" s="6">
        <f>VLOOKUP(F3644,Analysis!$F$1:$G$5,2,FALSE)</f>
        <v>2440.2966694490838</v>
      </c>
      <c r="K3644">
        <f t="shared" si="224"/>
        <v>5289.46</v>
      </c>
      <c r="L3644">
        <f t="shared" si="225"/>
        <v>5289.46</v>
      </c>
      <c r="M3644">
        <f t="shared" si="226"/>
        <v>5289.46</v>
      </c>
      <c r="N3644" s="5" t="str">
        <f t="shared" si="227"/>
        <v>June 2023</v>
      </c>
    </row>
    <row r="3645" spans="1:14" x14ac:dyDescent="0.25">
      <c r="A3645" s="1">
        <v>45094</v>
      </c>
      <c r="B3645" t="s">
        <v>4148</v>
      </c>
      <c r="C3645">
        <v>33</v>
      </c>
      <c r="D3645" t="s">
        <v>14</v>
      </c>
      <c r="E3645" t="s">
        <v>15</v>
      </c>
      <c r="F3645" t="s">
        <v>23</v>
      </c>
      <c r="G3645" t="s">
        <v>36</v>
      </c>
      <c r="H3645">
        <v>2030.16</v>
      </c>
      <c r="I3645" s="8" t="str" cm="1">
        <f t="array" ref="I3645">_xlfn.IFS(C3645&lt;=15,"Children and Young Adolescents", C3645&gt;64, "Seniors", TRUE, "Working Age")</f>
        <v>Working Age</v>
      </c>
      <c r="J3645" s="6">
        <f>VLOOKUP(F3645,Analysis!$F$1:$G$5,2,FALSE)</f>
        <v>2440.2966694490838</v>
      </c>
      <c r="K3645">
        <f t="shared" si="224"/>
        <v>2233.17</v>
      </c>
      <c r="L3645">
        <f t="shared" si="225"/>
        <v>2233.1800000000003</v>
      </c>
      <c r="M3645">
        <f t="shared" si="226"/>
        <v>2233.1799999999998</v>
      </c>
      <c r="N3645" s="5" t="str">
        <f t="shared" si="227"/>
        <v>June 2023</v>
      </c>
    </row>
    <row r="3646" spans="1:14" x14ac:dyDescent="0.25">
      <c r="A3646" s="1">
        <v>45094</v>
      </c>
      <c r="B3646" t="s">
        <v>3572</v>
      </c>
      <c r="C3646">
        <v>9</v>
      </c>
      <c r="D3646" t="s">
        <v>9</v>
      </c>
      <c r="E3646" t="s">
        <v>34</v>
      </c>
      <c r="F3646" t="s">
        <v>11</v>
      </c>
      <c r="G3646" t="s">
        <v>12</v>
      </c>
      <c r="H3646">
        <v>1651.65</v>
      </c>
      <c r="I3646" s="8" t="str" cm="1">
        <f t="array" ref="I3646">_xlfn.IFS(C3646&lt;=15,"Children and Young Adolescents", C3646&gt;64, "Seniors", TRUE, "Working Age")</f>
        <v>Children and Young Adolescents</v>
      </c>
      <c r="J3646" s="6">
        <f>VLOOKUP(F3646,Analysis!$F$1:$G$5,2,FALSE)</f>
        <v>2503.6022787783854</v>
      </c>
      <c r="K3646">
        <f t="shared" si="224"/>
        <v>1816.81</v>
      </c>
      <c r="L3646">
        <f t="shared" si="225"/>
        <v>1816.82</v>
      </c>
      <c r="M3646">
        <f t="shared" si="226"/>
        <v>1816.82</v>
      </c>
      <c r="N3646" s="5" t="str">
        <f t="shared" si="227"/>
        <v>June 2023</v>
      </c>
    </row>
    <row r="3647" spans="1:14" x14ac:dyDescent="0.25">
      <c r="A3647" s="1">
        <v>45094</v>
      </c>
      <c r="B3647" t="s">
        <v>2580</v>
      </c>
      <c r="C3647">
        <v>67</v>
      </c>
      <c r="D3647" t="s">
        <v>14</v>
      </c>
      <c r="E3647" t="s">
        <v>15</v>
      </c>
      <c r="F3647" t="s">
        <v>29</v>
      </c>
      <c r="G3647" t="s">
        <v>39</v>
      </c>
      <c r="H3647">
        <v>4447.07</v>
      </c>
      <c r="I3647" s="8" t="str" cm="1">
        <f t="array" ref="I3647">_xlfn.IFS(C3647&lt;=15,"Children and Young Adolescents", C3647&gt;64, "Seniors", TRUE, "Working Age")</f>
        <v>Seniors</v>
      </c>
      <c r="J3647" s="6">
        <f>VLOOKUP(F3647,Analysis!$F$1:$G$5,2,FALSE)</f>
        <v>2496.7676064256989</v>
      </c>
      <c r="K3647">
        <f t="shared" si="224"/>
        <v>4891.7700000000004</v>
      </c>
      <c r="L3647">
        <f t="shared" si="225"/>
        <v>4891.7800000000007</v>
      </c>
      <c r="M3647">
        <f t="shared" si="226"/>
        <v>4891.78</v>
      </c>
      <c r="N3647" s="5" t="str">
        <f t="shared" si="227"/>
        <v>June 2023</v>
      </c>
    </row>
    <row r="3648" spans="1:14" x14ac:dyDescent="0.25">
      <c r="A3648" s="1">
        <v>45094</v>
      </c>
      <c r="B3648" t="s">
        <v>4873</v>
      </c>
      <c r="C3648">
        <v>30</v>
      </c>
      <c r="D3648" t="s">
        <v>21</v>
      </c>
      <c r="E3648" t="s">
        <v>19</v>
      </c>
      <c r="F3648" t="s">
        <v>16</v>
      </c>
      <c r="G3648" t="s">
        <v>27</v>
      </c>
      <c r="H3648">
        <v>2649.54</v>
      </c>
      <c r="I3648" s="8" t="str" cm="1">
        <f t="array" ref="I3648">_xlfn.IFS(C3648&lt;=15,"Children and Young Adolescents", C3648&gt;64, "Seniors", TRUE, "Working Age")</f>
        <v>Working Age</v>
      </c>
      <c r="J3648" s="6">
        <f>VLOOKUP(F3648,Analysis!$F$1:$G$5,2,FALSE)</f>
        <v>2509.1716796874912</v>
      </c>
      <c r="K3648">
        <f t="shared" si="224"/>
        <v>2914.49</v>
      </c>
      <c r="L3648">
        <f t="shared" si="225"/>
        <v>2914.5</v>
      </c>
      <c r="M3648">
        <f t="shared" si="226"/>
        <v>2914.49</v>
      </c>
      <c r="N3648" s="5" t="str">
        <f t="shared" si="227"/>
        <v>June 2023</v>
      </c>
    </row>
    <row r="3649" spans="1:14" x14ac:dyDescent="0.25">
      <c r="A3649" s="1">
        <v>45094</v>
      </c>
      <c r="B3649" t="s">
        <v>2648</v>
      </c>
      <c r="C3649">
        <v>6</v>
      </c>
      <c r="D3649" t="s">
        <v>21</v>
      </c>
      <c r="E3649" t="s">
        <v>22</v>
      </c>
      <c r="F3649" t="s">
        <v>23</v>
      </c>
      <c r="G3649" t="s">
        <v>17</v>
      </c>
      <c r="H3649">
        <v>2375.62</v>
      </c>
      <c r="I3649" s="8" t="str" cm="1">
        <f t="array" ref="I3649">_xlfn.IFS(C3649&lt;=15,"Children and Young Adolescents", C3649&gt;64, "Seniors", TRUE, "Working Age")</f>
        <v>Children and Young Adolescents</v>
      </c>
      <c r="J3649" s="6">
        <f>VLOOKUP(F3649,Analysis!$F$1:$G$5,2,FALSE)</f>
        <v>2440.2966694490838</v>
      </c>
      <c r="K3649">
        <f t="shared" si="224"/>
        <v>2613.1799999999998</v>
      </c>
      <c r="L3649">
        <f t="shared" si="225"/>
        <v>2613.19</v>
      </c>
      <c r="M3649">
        <f t="shared" si="226"/>
        <v>2613.1799999999998</v>
      </c>
      <c r="N3649" s="5" t="str">
        <f t="shared" si="227"/>
        <v>June 2023</v>
      </c>
    </row>
    <row r="3650" spans="1:14" x14ac:dyDescent="0.25">
      <c r="A3650" s="1">
        <v>45095</v>
      </c>
      <c r="B3650" t="s">
        <v>3491</v>
      </c>
      <c r="C3650">
        <v>14</v>
      </c>
      <c r="D3650" t="s">
        <v>14</v>
      </c>
      <c r="E3650" t="s">
        <v>15</v>
      </c>
      <c r="F3650" t="s">
        <v>11</v>
      </c>
      <c r="G3650" t="s">
        <v>27</v>
      </c>
      <c r="H3650">
        <v>1910.26</v>
      </c>
      <c r="I3650" s="8" t="str" cm="1">
        <f t="array" ref="I3650">_xlfn.IFS(C3650&lt;=15,"Children and Young Adolescents", C3650&gt;64, "Seniors", TRUE, "Working Age")</f>
        <v>Children and Young Adolescents</v>
      </c>
      <c r="J3650" s="6">
        <f>VLOOKUP(F3650,Analysis!$F$1:$G$5,2,FALSE)</f>
        <v>2503.6022787783854</v>
      </c>
      <c r="K3650">
        <f t="shared" si="224"/>
        <v>2101.2800000000002</v>
      </c>
      <c r="L3650">
        <f t="shared" si="225"/>
        <v>2101.2900000000004</v>
      </c>
      <c r="M3650">
        <f t="shared" si="226"/>
        <v>2101.29</v>
      </c>
      <c r="N3650" s="5" t="str">
        <f t="shared" si="227"/>
        <v>June 2023</v>
      </c>
    </row>
    <row r="3651" spans="1:14" x14ac:dyDescent="0.25">
      <c r="A3651" s="1">
        <v>45095</v>
      </c>
      <c r="B3651" t="s">
        <v>4559</v>
      </c>
      <c r="C3651">
        <v>22</v>
      </c>
      <c r="D3651" t="s">
        <v>14</v>
      </c>
      <c r="E3651" t="s">
        <v>5032</v>
      </c>
      <c r="F3651" t="s">
        <v>23</v>
      </c>
      <c r="G3651" t="s">
        <v>39</v>
      </c>
      <c r="H3651">
        <v>1573.25</v>
      </c>
      <c r="I3651" s="8" t="str" cm="1">
        <f t="array" ref="I3651">_xlfn.IFS(C3651&lt;=15,"Children and Young Adolescents", C3651&gt;64, "Seniors", TRUE, "Working Age")</f>
        <v>Working Age</v>
      </c>
      <c r="J3651" s="6">
        <f>VLOOKUP(F3651,Analysis!$F$1:$G$5,2,FALSE)</f>
        <v>2440.2966694490838</v>
      </c>
      <c r="K3651">
        <f t="shared" ref="K3651:K3714" si="228">ROUNDDOWN(H3651*1.1,2)</f>
        <v>1730.57</v>
      </c>
      <c r="L3651">
        <f t="shared" ref="L3651:L3714" si="229">ROUNDUP(H3651*1.1,2)</f>
        <v>1730.58</v>
      </c>
      <c r="M3651">
        <f t="shared" ref="M3651:M3714" si="230">ROUND(H3651*1.1,2)</f>
        <v>1730.58</v>
      </c>
      <c r="N3651" s="5" t="str">
        <f t="shared" ref="N3651:N3714" si="231">TEXT(A3651,"mmmm yyyy")</f>
        <v>June 2023</v>
      </c>
    </row>
    <row r="3652" spans="1:14" x14ac:dyDescent="0.25">
      <c r="A3652" s="1">
        <v>45095</v>
      </c>
      <c r="B3652" t="s">
        <v>2610</v>
      </c>
      <c r="C3652">
        <v>60</v>
      </c>
      <c r="D3652" t="s">
        <v>9</v>
      </c>
      <c r="E3652" t="s">
        <v>25</v>
      </c>
      <c r="F3652" t="s">
        <v>29</v>
      </c>
      <c r="G3652" t="s">
        <v>39</v>
      </c>
      <c r="H3652">
        <v>1201.43</v>
      </c>
      <c r="I3652" s="8" t="str" cm="1">
        <f t="array" ref="I3652">_xlfn.IFS(C3652&lt;=15,"Children and Young Adolescents", C3652&gt;64, "Seniors", TRUE, "Working Age")</f>
        <v>Working Age</v>
      </c>
      <c r="J3652" s="6">
        <f>VLOOKUP(F3652,Analysis!$F$1:$G$5,2,FALSE)</f>
        <v>2496.7676064256989</v>
      </c>
      <c r="K3652">
        <f t="shared" si="228"/>
        <v>1321.57</v>
      </c>
      <c r="L3652">
        <f t="shared" si="229"/>
        <v>1321.58</v>
      </c>
      <c r="M3652">
        <f t="shared" si="230"/>
        <v>1321.57</v>
      </c>
      <c r="N3652" s="5" t="str">
        <f t="shared" si="231"/>
        <v>June 2023</v>
      </c>
    </row>
    <row r="3653" spans="1:14" x14ac:dyDescent="0.25">
      <c r="A3653" s="1">
        <v>45095</v>
      </c>
      <c r="B3653" t="s">
        <v>2813</v>
      </c>
      <c r="C3653">
        <v>52</v>
      </c>
      <c r="D3653" t="s">
        <v>21</v>
      </c>
      <c r="E3653" t="s">
        <v>32</v>
      </c>
      <c r="F3653" t="s">
        <v>29</v>
      </c>
      <c r="G3653" t="s">
        <v>12</v>
      </c>
      <c r="H3653">
        <v>2359.0500000000002</v>
      </c>
      <c r="I3653" s="8" t="str" cm="1">
        <f t="array" ref="I3653">_xlfn.IFS(C3653&lt;=15,"Children and Young Adolescents", C3653&gt;64, "Seniors", TRUE, "Working Age")</f>
        <v>Working Age</v>
      </c>
      <c r="J3653" s="6">
        <f>VLOOKUP(F3653,Analysis!$F$1:$G$5,2,FALSE)</f>
        <v>2496.7676064256989</v>
      </c>
      <c r="K3653">
        <f t="shared" si="228"/>
        <v>2594.9499999999998</v>
      </c>
      <c r="L3653">
        <f t="shared" si="229"/>
        <v>2594.96</v>
      </c>
      <c r="M3653">
        <f t="shared" si="230"/>
        <v>2594.96</v>
      </c>
      <c r="N3653" s="5" t="str">
        <f t="shared" si="231"/>
        <v>June 2023</v>
      </c>
    </row>
    <row r="3654" spans="1:14" x14ac:dyDescent="0.25">
      <c r="A3654" s="1">
        <v>45095</v>
      </c>
      <c r="B3654" t="s">
        <v>3568</v>
      </c>
      <c r="C3654">
        <v>20</v>
      </c>
      <c r="D3654" t="s">
        <v>14</v>
      </c>
      <c r="E3654" t="s">
        <v>34</v>
      </c>
      <c r="F3654" t="s">
        <v>16</v>
      </c>
      <c r="G3654" t="s">
        <v>39</v>
      </c>
      <c r="H3654">
        <v>4299.97</v>
      </c>
      <c r="I3654" s="8" t="str" cm="1">
        <f t="array" ref="I3654">_xlfn.IFS(C3654&lt;=15,"Children and Young Adolescents", C3654&gt;64, "Seniors", TRUE, "Working Age")</f>
        <v>Working Age</v>
      </c>
      <c r="J3654" s="6">
        <f>VLOOKUP(F3654,Analysis!$F$1:$G$5,2,FALSE)</f>
        <v>2509.1716796874912</v>
      </c>
      <c r="K3654">
        <f t="shared" si="228"/>
        <v>4729.96</v>
      </c>
      <c r="L3654">
        <f t="shared" si="229"/>
        <v>4729.97</v>
      </c>
      <c r="M3654">
        <f t="shared" si="230"/>
        <v>4729.97</v>
      </c>
      <c r="N3654" s="5" t="str">
        <f t="shared" si="231"/>
        <v>June 2023</v>
      </c>
    </row>
    <row r="3655" spans="1:14" x14ac:dyDescent="0.25">
      <c r="A3655" s="1">
        <v>45096</v>
      </c>
      <c r="B3655" t="s">
        <v>3534</v>
      </c>
      <c r="C3655">
        <v>26</v>
      </c>
      <c r="D3655" t="s">
        <v>14</v>
      </c>
      <c r="E3655" t="s">
        <v>32</v>
      </c>
      <c r="F3655" t="s">
        <v>29</v>
      </c>
      <c r="G3655" t="s">
        <v>36</v>
      </c>
      <c r="H3655">
        <v>478.23</v>
      </c>
      <c r="I3655" s="8" t="str" cm="1">
        <f t="array" ref="I3655">_xlfn.IFS(C3655&lt;=15,"Children and Young Adolescents", C3655&gt;64, "Seniors", TRUE, "Working Age")</f>
        <v>Working Age</v>
      </c>
      <c r="J3655" s="6">
        <f>VLOOKUP(F3655,Analysis!$F$1:$G$5,2,FALSE)</f>
        <v>2496.7676064256989</v>
      </c>
      <c r="K3655">
        <f t="shared" si="228"/>
        <v>526.04999999999995</v>
      </c>
      <c r="L3655">
        <f t="shared" si="229"/>
        <v>526.05999999999995</v>
      </c>
      <c r="M3655">
        <f t="shared" si="230"/>
        <v>526.04999999999995</v>
      </c>
      <c r="N3655" s="5" t="str">
        <f t="shared" si="231"/>
        <v>June 2023</v>
      </c>
    </row>
    <row r="3656" spans="1:14" x14ac:dyDescent="0.25">
      <c r="A3656" s="1">
        <v>45096</v>
      </c>
      <c r="B3656" t="s">
        <v>897</v>
      </c>
      <c r="C3656">
        <v>97</v>
      </c>
      <c r="D3656" t="s">
        <v>21</v>
      </c>
      <c r="E3656" t="s">
        <v>19</v>
      </c>
      <c r="F3656" t="s">
        <v>11</v>
      </c>
      <c r="G3656" t="s">
        <v>17</v>
      </c>
      <c r="H3656">
        <v>2867.4</v>
      </c>
      <c r="I3656" s="8" t="str" cm="1">
        <f t="array" ref="I3656">_xlfn.IFS(C3656&lt;=15,"Children and Young Adolescents", C3656&gt;64, "Seniors", TRUE, "Working Age")</f>
        <v>Seniors</v>
      </c>
      <c r="J3656" s="6">
        <f>VLOOKUP(F3656,Analysis!$F$1:$G$5,2,FALSE)</f>
        <v>2503.6022787783854</v>
      </c>
      <c r="K3656">
        <f t="shared" si="228"/>
        <v>3154.14</v>
      </c>
      <c r="L3656">
        <f t="shared" si="229"/>
        <v>3154.14</v>
      </c>
      <c r="M3656">
        <f t="shared" si="230"/>
        <v>3154.14</v>
      </c>
      <c r="N3656" s="5" t="str">
        <f t="shared" si="231"/>
        <v>June 2023</v>
      </c>
    </row>
    <row r="3657" spans="1:14" x14ac:dyDescent="0.25">
      <c r="A3657" s="1">
        <v>45096</v>
      </c>
      <c r="B3657" t="s">
        <v>2367</v>
      </c>
      <c r="C3657">
        <v>55</v>
      </c>
      <c r="D3657" t="s">
        <v>14</v>
      </c>
      <c r="E3657" t="s">
        <v>25</v>
      </c>
      <c r="F3657" t="s">
        <v>29</v>
      </c>
      <c r="G3657" t="s">
        <v>12</v>
      </c>
      <c r="H3657">
        <v>676.18</v>
      </c>
      <c r="I3657" s="8" t="str" cm="1">
        <f t="array" ref="I3657">_xlfn.IFS(C3657&lt;=15,"Children and Young Adolescents", C3657&gt;64, "Seniors", TRUE, "Working Age")</f>
        <v>Working Age</v>
      </c>
      <c r="J3657" s="6">
        <f>VLOOKUP(F3657,Analysis!$F$1:$G$5,2,FALSE)</f>
        <v>2496.7676064256989</v>
      </c>
      <c r="K3657">
        <f t="shared" si="228"/>
        <v>743.79</v>
      </c>
      <c r="L3657">
        <f t="shared" si="229"/>
        <v>743.8</v>
      </c>
      <c r="M3657">
        <f t="shared" si="230"/>
        <v>743.8</v>
      </c>
      <c r="N3657" s="5" t="str">
        <f t="shared" si="231"/>
        <v>June 2023</v>
      </c>
    </row>
    <row r="3658" spans="1:14" x14ac:dyDescent="0.25">
      <c r="A3658" s="1">
        <v>45096</v>
      </c>
      <c r="B3658" t="s">
        <v>2110</v>
      </c>
      <c r="C3658">
        <v>63</v>
      </c>
      <c r="D3658" t="s">
        <v>14</v>
      </c>
      <c r="E3658" t="s">
        <v>25</v>
      </c>
      <c r="F3658" t="s">
        <v>23</v>
      </c>
      <c r="G3658" t="s">
        <v>39</v>
      </c>
      <c r="H3658">
        <v>2029.94</v>
      </c>
      <c r="I3658" s="8" t="str" cm="1">
        <f t="array" ref="I3658">_xlfn.IFS(C3658&lt;=15,"Children and Young Adolescents", C3658&gt;64, "Seniors", TRUE, "Working Age")</f>
        <v>Working Age</v>
      </c>
      <c r="J3658" s="6">
        <f>VLOOKUP(F3658,Analysis!$F$1:$G$5,2,FALSE)</f>
        <v>2440.2966694490838</v>
      </c>
      <c r="K3658">
        <f t="shared" si="228"/>
        <v>2232.9299999999998</v>
      </c>
      <c r="L3658">
        <f t="shared" si="229"/>
        <v>2232.94</v>
      </c>
      <c r="M3658">
        <f t="shared" si="230"/>
        <v>2232.9299999999998</v>
      </c>
      <c r="N3658" s="5" t="str">
        <f t="shared" si="231"/>
        <v>June 2023</v>
      </c>
    </row>
    <row r="3659" spans="1:14" x14ac:dyDescent="0.25">
      <c r="A3659" s="1">
        <v>45096</v>
      </c>
      <c r="B3659" t="s">
        <v>984</v>
      </c>
      <c r="C3659">
        <v>21</v>
      </c>
      <c r="D3659" t="s">
        <v>9</v>
      </c>
      <c r="E3659" t="s">
        <v>32</v>
      </c>
      <c r="F3659" t="s">
        <v>16</v>
      </c>
      <c r="G3659" t="s">
        <v>17</v>
      </c>
      <c r="H3659">
        <v>3679.53</v>
      </c>
      <c r="I3659" s="8" t="str" cm="1">
        <f t="array" ref="I3659">_xlfn.IFS(C3659&lt;=15,"Children and Young Adolescents", C3659&gt;64, "Seniors", TRUE, "Working Age")</f>
        <v>Working Age</v>
      </c>
      <c r="J3659" s="6">
        <f>VLOOKUP(F3659,Analysis!$F$1:$G$5,2,FALSE)</f>
        <v>2509.1716796874912</v>
      </c>
      <c r="K3659">
        <f t="shared" si="228"/>
        <v>4047.48</v>
      </c>
      <c r="L3659">
        <f t="shared" si="229"/>
        <v>4047.4900000000002</v>
      </c>
      <c r="M3659">
        <f t="shared" si="230"/>
        <v>4047.48</v>
      </c>
      <c r="N3659" s="5" t="str">
        <f t="shared" si="231"/>
        <v>June 2023</v>
      </c>
    </row>
    <row r="3660" spans="1:14" x14ac:dyDescent="0.25">
      <c r="A3660" s="1">
        <v>45097</v>
      </c>
      <c r="B3660" t="s">
        <v>3172</v>
      </c>
      <c r="C3660">
        <v>63</v>
      </c>
      <c r="D3660" t="s">
        <v>9</v>
      </c>
      <c r="E3660" t="s">
        <v>19</v>
      </c>
      <c r="F3660" t="s">
        <v>23</v>
      </c>
      <c r="G3660" t="s">
        <v>39</v>
      </c>
      <c r="H3660">
        <v>915.82</v>
      </c>
      <c r="I3660" s="8" t="str" cm="1">
        <f t="array" ref="I3660">_xlfn.IFS(C3660&lt;=15,"Children and Young Adolescents", C3660&gt;64, "Seniors", TRUE, "Working Age")</f>
        <v>Working Age</v>
      </c>
      <c r="J3660" s="6">
        <f>VLOOKUP(F3660,Analysis!$F$1:$G$5,2,FALSE)</f>
        <v>2440.2966694490838</v>
      </c>
      <c r="K3660">
        <f t="shared" si="228"/>
        <v>1007.4</v>
      </c>
      <c r="L3660">
        <f t="shared" si="229"/>
        <v>1007.41</v>
      </c>
      <c r="M3660">
        <f t="shared" si="230"/>
        <v>1007.4</v>
      </c>
      <c r="N3660" s="5" t="str">
        <f t="shared" si="231"/>
        <v>June 2023</v>
      </c>
    </row>
    <row r="3661" spans="1:14" x14ac:dyDescent="0.25">
      <c r="A3661" s="1">
        <v>45097</v>
      </c>
      <c r="B3661" t="s">
        <v>4676</v>
      </c>
      <c r="C3661">
        <v>3</v>
      </c>
      <c r="D3661" t="s">
        <v>9</v>
      </c>
      <c r="E3661" t="s">
        <v>22</v>
      </c>
      <c r="F3661" t="s">
        <v>16</v>
      </c>
      <c r="G3661" t="s">
        <v>39</v>
      </c>
      <c r="H3661">
        <v>3537.71</v>
      </c>
      <c r="I3661" s="8" t="str" cm="1">
        <f t="array" ref="I3661">_xlfn.IFS(C3661&lt;=15,"Children and Young Adolescents", C3661&gt;64, "Seniors", TRUE, "Working Age")</f>
        <v>Children and Young Adolescents</v>
      </c>
      <c r="J3661" s="6">
        <f>VLOOKUP(F3661,Analysis!$F$1:$G$5,2,FALSE)</f>
        <v>2509.1716796874912</v>
      </c>
      <c r="K3661">
        <f t="shared" si="228"/>
        <v>3891.48</v>
      </c>
      <c r="L3661">
        <f t="shared" si="229"/>
        <v>3891.4900000000002</v>
      </c>
      <c r="M3661">
        <f t="shared" si="230"/>
        <v>3891.48</v>
      </c>
      <c r="N3661" s="5" t="str">
        <f t="shared" si="231"/>
        <v>June 2023</v>
      </c>
    </row>
    <row r="3662" spans="1:14" x14ac:dyDescent="0.25">
      <c r="A3662" s="1">
        <v>45097</v>
      </c>
      <c r="B3662" t="s">
        <v>4370</v>
      </c>
      <c r="C3662">
        <v>89</v>
      </c>
      <c r="D3662" t="s">
        <v>21</v>
      </c>
      <c r="E3662" t="s">
        <v>10</v>
      </c>
      <c r="F3662" t="s">
        <v>29</v>
      </c>
      <c r="G3662" t="s">
        <v>12</v>
      </c>
      <c r="H3662">
        <v>1505.89</v>
      </c>
      <c r="I3662" s="8" t="str" cm="1">
        <f t="array" ref="I3662">_xlfn.IFS(C3662&lt;=15,"Children and Young Adolescents", C3662&gt;64, "Seniors", TRUE, "Working Age")</f>
        <v>Seniors</v>
      </c>
      <c r="J3662" s="6">
        <f>VLOOKUP(F3662,Analysis!$F$1:$G$5,2,FALSE)</f>
        <v>2496.7676064256989</v>
      </c>
      <c r="K3662">
        <f t="shared" si="228"/>
        <v>1656.47</v>
      </c>
      <c r="L3662">
        <f t="shared" si="229"/>
        <v>1656.48</v>
      </c>
      <c r="M3662">
        <f t="shared" si="230"/>
        <v>1656.48</v>
      </c>
      <c r="N3662" s="5" t="str">
        <f t="shared" si="231"/>
        <v>June 2023</v>
      </c>
    </row>
    <row r="3663" spans="1:14" x14ac:dyDescent="0.25">
      <c r="A3663" s="1">
        <v>45097</v>
      </c>
      <c r="B3663" t="s">
        <v>4066</v>
      </c>
      <c r="C3663">
        <v>13</v>
      </c>
      <c r="D3663" t="s">
        <v>9</v>
      </c>
      <c r="E3663" t="s">
        <v>10</v>
      </c>
      <c r="F3663" t="s">
        <v>23</v>
      </c>
      <c r="G3663" t="s">
        <v>17</v>
      </c>
      <c r="H3663">
        <v>4032.97</v>
      </c>
      <c r="I3663" s="8" t="str" cm="1">
        <f t="array" ref="I3663">_xlfn.IFS(C3663&lt;=15,"Children and Young Adolescents", C3663&gt;64, "Seniors", TRUE, "Working Age")</f>
        <v>Children and Young Adolescents</v>
      </c>
      <c r="J3663" s="6">
        <f>VLOOKUP(F3663,Analysis!$F$1:$G$5,2,FALSE)</f>
        <v>2440.2966694490838</v>
      </c>
      <c r="K3663">
        <f t="shared" si="228"/>
        <v>4436.26</v>
      </c>
      <c r="L3663">
        <f t="shared" si="229"/>
        <v>4436.2700000000004</v>
      </c>
      <c r="M3663">
        <f t="shared" si="230"/>
        <v>4436.2700000000004</v>
      </c>
      <c r="N3663" s="5" t="str">
        <f t="shared" si="231"/>
        <v>June 2023</v>
      </c>
    </row>
    <row r="3664" spans="1:14" x14ac:dyDescent="0.25">
      <c r="A3664" s="1">
        <v>45097</v>
      </c>
      <c r="B3664" t="s">
        <v>681</v>
      </c>
      <c r="C3664">
        <v>96</v>
      </c>
      <c r="D3664" t="s">
        <v>14</v>
      </c>
      <c r="E3664" t="s">
        <v>15</v>
      </c>
      <c r="F3664" t="s">
        <v>29</v>
      </c>
      <c r="G3664" t="s">
        <v>39</v>
      </c>
      <c r="H3664">
        <v>4593.16</v>
      </c>
      <c r="I3664" s="8" t="str" cm="1">
        <f t="array" ref="I3664">_xlfn.IFS(C3664&lt;=15,"Children and Young Adolescents", C3664&gt;64, "Seniors", TRUE, "Working Age")</f>
        <v>Seniors</v>
      </c>
      <c r="J3664" s="6">
        <f>VLOOKUP(F3664,Analysis!$F$1:$G$5,2,FALSE)</f>
        <v>2496.7676064256989</v>
      </c>
      <c r="K3664">
        <f t="shared" si="228"/>
        <v>5052.47</v>
      </c>
      <c r="L3664">
        <f t="shared" si="229"/>
        <v>5052.4800000000005</v>
      </c>
      <c r="M3664">
        <f t="shared" si="230"/>
        <v>5052.4799999999996</v>
      </c>
      <c r="N3664" s="5" t="str">
        <f t="shared" si="231"/>
        <v>June 2023</v>
      </c>
    </row>
    <row r="3665" spans="1:14" x14ac:dyDescent="0.25">
      <c r="A3665" s="1">
        <v>45098</v>
      </c>
      <c r="B3665" t="s">
        <v>1310</v>
      </c>
      <c r="C3665">
        <v>78</v>
      </c>
      <c r="D3665" t="s">
        <v>9</v>
      </c>
      <c r="E3665" t="s">
        <v>25</v>
      </c>
      <c r="F3665" t="s">
        <v>23</v>
      </c>
      <c r="G3665" t="s">
        <v>39</v>
      </c>
      <c r="H3665">
        <v>1625.42</v>
      </c>
      <c r="I3665" s="8" t="str" cm="1">
        <f t="array" ref="I3665">_xlfn.IFS(C3665&lt;=15,"Children and Young Adolescents", C3665&gt;64, "Seniors", TRUE, "Working Age")</f>
        <v>Seniors</v>
      </c>
      <c r="J3665" s="6">
        <f>VLOOKUP(F3665,Analysis!$F$1:$G$5,2,FALSE)</f>
        <v>2440.2966694490838</v>
      </c>
      <c r="K3665">
        <f t="shared" si="228"/>
        <v>1787.96</v>
      </c>
      <c r="L3665">
        <f t="shared" si="229"/>
        <v>1787.97</v>
      </c>
      <c r="M3665">
        <f t="shared" si="230"/>
        <v>1787.96</v>
      </c>
      <c r="N3665" s="5" t="str">
        <f t="shared" si="231"/>
        <v>June 2023</v>
      </c>
    </row>
    <row r="3666" spans="1:14" x14ac:dyDescent="0.25">
      <c r="A3666" s="1">
        <v>45098</v>
      </c>
      <c r="B3666" t="s">
        <v>5029</v>
      </c>
      <c r="C3666">
        <v>45</v>
      </c>
      <c r="D3666" t="s">
        <v>21</v>
      </c>
      <c r="E3666" t="s">
        <v>10</v>
      </c>
      <c r="F3666" t="s">
        <v>23</v>
      </c>
      <c r="G3666" t="s">
        <v>12</v>
      </c>
      <c r="H3666">
        <v>3123.94</v>
      </c>
      <c r="I3666" s="8" t="str" cm="1">
        <f t="array" ref="I3666">_xlfn.IFS(C3666&lt;=15,"Children and Young Adolescents", C3666&gt;64, "Seniors", TRUE, "Working Age")</f>
        <v>Working Age</v>
      </c>
      <c r="J3666" s="6">
        <f>VLOOKUP(F3666,Analysis!$F$1:$G$5,2,FALSE)</f>
        <v>2440.2966694490838</v>
      </c>
      <c r="K3666">
        <f t="shared" si="228"/>
        <v>3436.33</v>
      </c>
      <c r="L3666">
        <f t="shared" si="229"/>
        <v>3436.34</v>
      </c>
      <c r="M3666">
        <f t="shared" si="230"/>
        <v>3436.33</v>
      </c>
      <c r="N3666" s="5" t="str">
        <f t="shared" si="231"/>
        <v>June 2023</v>
      </c>
    </row>
    <row r="3667" spans="1:14" x14ac:dyDescent="0.25">
      <c r="A3667" s="1">
        <v>45098</v>
      </c>
      <c r="B3667" t="s">
        <v>4448</v>
      </c>
      <c r="C3667">
        <v>54</v>
      </c>
      <c r="D3667" t="s">
        <v>9</v>
      </c>
      <c r="E3667" t="s">
        <v>32</v>
      </c>
      <c r="F3667" t="s">
        <v>11</v>
      </c>
      <c r="G3667" t="s">
        <v>27</v>
      </c>
      <c r="H3667">
        <v>1778.21</v>
      </c>
      <c r="I3667" s="8" t="str" cm="1">
        <f t="array" ref="I3667">_xlfn.IFS(C3667&lt;=15,"Children and Young Adolescents", C3667&gt;64, "Seniors", TRUE, "Working Age")</f>
        <v>Working Age</v>
      </c>
      <c r="J3667" s="6">
        <f>VLOOKUP(F3667,Analysis!$F$1:$G$5,2,FALSE)</f>
        <v>2503.6022787783854</v>
      </c>
      <c r="K3667">
        <f t="shared" si="228"/>
        <v>1956.03</v>
      </c>
      <c r="L3667">
        <f t="shared" si="229"/>
        <v>1956.04</v>
      </c>
      <c r="M3667">
        <f t="shared" si="230"/>
        <v>1956.03</v>
      </c>
      <c r="N3667" s="5" t="str">
        <f t="shared" si="231"/>
        <v>June 2023</v>
      </c>
    </row>
    <row r="3668" spans="1:14" x14ac:dyDescent="0.25">
      <c r="A3668" s="1">
        <v>45098</v>
      </c>
      <c r="B3668" t="s">
        <v>2369</v>
      </c>
      <c r="C3668">
        <v>82</v>
      </c>
      <c r="D3668" t="s">
        <v>9</v>
      </c>
      <c r="E3668" t="s">
        <v>22</v>
      </c>
      <c r="F3668" t="s">
        <v>23</v>
      </c>
      <c r="G3668" t="s">
        <v>12</v>
      </c>
      <c r="H3668">
        <v>950.75</v>
      </c>
      <c r="I3668" s="8" t="str" cm="1">
        <f t="array" ref="I3668">_xlfn.IFS(C3668&lt;=15,"Children and Young Adolescents", C3668&gt;64, "Seniors", TRUE, "Working Age")</f>
        <v>Seniors</v>
      </c>
      <c r="J3668" s="6">
        <f>VLOOKUP(F3668,Analysis!$F$1:$G$5,2,FALSE)</f>
        <v>2440.2966694490838</v>
      </c>
      <c r="K3668">
        <f t="shared" si="228"/>
        <v>1045.82</v>
      </c>
      <c r="L3668">
        <f t="shared" si="229"/>
        <v>1045.83</v>
      </c>
      <c r="M3668">
        <f t="shared" si="230"/>
        <v>1045.83</v>
      </c>
      <c r="N3668" s="5" t="str">
        <f t="shared" si="231"/>
        <v>June 2023</v>
      </c>
    </row>
    <row r="3669" spans="1:14" x14ac:dyDescent="0.25">
      <c r="A3669" s="1">
        <v>45098</v>
      </c>
      <c r="B3669" t="s">
        <v>567</v>
      </c>
      <c r="C3669">
        <v>69</v>
      </c>
      <c r="D3669" t="s">
        <v>14</v>
      </c>
      <c r="E3669" t="s">
        <v>25</v>
      </c>
      <c r="F3669" t="s">
        <v>23</v>
      </c>
      <c r="G3669" t="s">
        <v>36</v>
      </c>
      <c r="H3669">
        <v>1839.47</v>
      </c>
      <c r="I3669" s="8" t="str" cm="1">
        <f t="array" ref="I3669">_xlfn.IFS(C3669&lt;=15,"Children and Young Adolescents", C3669&gt;64, "Seniors", TRUE, "Working Age")</f>
        <v>Seniors</v>
      </c>
      <c r="J3669" s="6">
        <f>VLOOKUP(F3669,Analysis!$F$1:$G$5,2,FALSE)</f>
        <v>2440.2966694490838</v>
      </c>
      <c r="K3669">
        <f t="shared" si="228"/>
        <v>2023.41</v>
      </c>
      <c r="L3669">
        <f t="shared" si="229"/>
        <v>2023.42</v>
      </c>
      <c r="M3669">
        <f t="shared" si="230"/>
        <v>2023.42</v>
      </c>
      <c r="N3669" s="5" t="str">
        <f t="shared" si="231"/>
        <v>June 2023</v>
      </c>
    </row>
    <row r="3670" spans="1:14" x14ac:dyDescent="0.25">
      <c r="A3670" s="1">
        <v>45098</v>
      </c>
      <c r="B3670" t="s">
        <v>1317</v>
      </c>
      <c r="C3670">
        <v>21</v>
      </c>
      <c r="D3670" t="s">
        <v>14</v>
      </c>
      <c r="E3670" t="s">
        <v>5032</v>
      </c>
      <c r="F3670" t="s">
        <v>11</v>
      </c>
      <c r="G3670" t="s">
        <v>17</v>
      </c>
      <c r="H3670">
        <v>1034.0899999999999</v>
      </c>
      <c r="I3670" s="8" t="str" cm="1">
        <f t="array" ref="I3670">_xlfn.IFS(C3670&lt;=15,"Children and Young Adolescents", C3670&gt;64, "Seniors", TRUE, "Working Age")</f>
        <v>Working Age</v>
      </c>
      <c r="J3670" s="6">
        <f>VLOOKUP(F3670,Analysis!$F$1:$G$5,2,FALSE)</f>
        <v>2503.6022787783854</v>
      </c>
      <c r="K3670">
        <f t="shared" si="228"/>
        <v>1137.49</v>
      </c>
      <c r="L3670">
        <f t="shared" si="229"/>
        <v>1137.5</v>
      </c>
      <c r="M3670">
        <f t="shared" si="230"/>
        <v>1137.5</v>
      </c>
      <c r="N3670" s="5" t="str">
        <f t="shared" si="231"/>
        <v>June 2023</v>
      </c>
    </row>
    <row r="3671" spans="1:14" x14ac:dyDescent="0.25">
      <c r="A3671" s="1">
        <v>45098</v>
      </c>
      <c r="B3671" t="s">
        <v>2796</v>
      </c>
      <c r="C3671">
        <v>19</v>
      </c>
      <c r="D3671" t="s">
        <v>9</v>
      </c>
      <c r="E3671" t="s">
        <v>22</v>
      </c>
      <c r="F3671" t="s">
        <v>29</v>
      </c>
      <c r="G3671" t="s">
        <v>39</v>
      </c>
      <c r="H3671">
        <v>1103.69</v>
      </c>
      <c r="I3671" s="8" t="str" cm="1">
        <f t="array" ref="I3671">_xlfn.IFS(C3671&lt;=15,"Children and Young Adolescents", C3671&gt;64, "Seniors", TRUE, "Working Age")</f>
        <v>Working Age</v>
      </c>
      <c r="J3671" s="6">
        <f>VLOOKUP(F3671,Analysis!$F$1:$G$5,2,FALSE)</f>
        <v>2496.7676064256989</v>
      </c>
      <c r="K3671">
        <f t="shared" si="228"/>
        <v>1214.05</v>
      </c>
      <c r="L3671">
        <f t="shared" si="229"/>
        <v>1214.06</v>
      </c>
      <c r="M3671">
        <f t="shared" si="230"/>
        <v>1214.06</v>
      </c>
      <c r="N3671" s="5" t="str">
        <f t="shared" si="231"/>
        <v>June 2023</v>
      </c>
    </row>
    <row r="3672" spans="1:14" x14ac:dyDescent="0.25">
      <c r="A3672" s="1">
        <v>45098</v>
      </c>
      <c r="B3672" t="s">
        <v>3297</v>
      </c>
      <c r="C3672">
        <v>46</v>
      </c>
      <c r="D3672" t="s">
        <v>9</v>
      </c>
      <c r="E3672" t="s">
        <v>19</v>
      </c>
      <c r="F3672" t="s">
        <v>16</v>
      </c>
      <c r="G3672" t="s">
        <v>12</v>
      </c>
      <c r="H3672">
        <v>2891.51</v>
      </c>
      <c r="I3672" s="8" t="str" cm="1">
        <f t="array" ref="I3672">_xlfn.IFS(C3672&lt;=15,"Children and Young Adolescents", C3672&gt;64, "Seniors", TRUE, "Working Age")</f>
        <v>Working Age</v>
      </c>
      <c r="J3672" s="6">
        <f>VLOOKUP(F3672,Analysis!$F$1:$G$5,2,FALSE)</f>
        <v>2509.1716796874912</v>
      </c>
      <c r="K3672">
        <f t="shared" si="228"/>
        <v>3180.66</v>
      </c>
      <c r="L3672">
        <f t="shared" si="229"/>
        <v>3180.67</v>
      </c>
      <c r="M3672">
        <f t="shared" si="230"/>
        <v>3180.66</v>
      </c>
      <c r="N3672" s="5" t="str">
        <f t="shared" si="231"/>
        <v>June 2023</v>
      </c>
    </row>
    <row r="3673" spans="1:14" x14ac:dyDescent="0.25">
      <c r="A3673" s="1">
        <v>45098</v>
      </c>
      <c r="B3673" t="s">
        <v>2672</v>
      </c>
      <c r="C3673">
        <v>7</v>
      </c>
      <c r="D3673" t="s">
        <v>21</v>
      </c>
      <c r="E3673" t="s">
        <v>34</v>
      </c>
      <c r="F3673" t="s">
        <v>11</v>
      </c>
      <c r="G3673" t="s">
        <v>17</v>
      </c>
      <c r="H3673">
        <v>1677.84</v>
      </c>
      <c r="I3673" s="8" t="str" cm="1">
        <f t="array" ref="I3673">_xlfn.IFS(C3673&lt;=15,"Children and Young Adolescents", C3673&gt;64, "Seniors", TRUE, "Working Age")</f>
        <v>Children and Young Adolescents</v>
      </c>
      <c r="J3673" s="6">
        <f>VLOOKUP(F3673,Analysis!$F$1:$G$5,2,FALSE)</f>
        <v>2503.6022787783854</v>
      </c>
      <c r="K3673">
        <f t="shared" si="228"/>
        <v>1845.62</v>
      </c>
      <c r="L3673">
        <f t="shared" si="229"/>
        <v>1845.6299999999999</v>
      </c>
      <c r="M3673">
        <f t="shared" si="230"/>
        <v>1845.62</v>
      </c>
      <c r="N3673" s="5" t="str">
        <f t="shared" si="231"/>
        <v>June 2023</v>
      </c>
    </row>
    <row r="3674" spans="1:14" x14ac:dyDescent="0.25">
      <c r="A3674" s="1">
        <v>45099</v>
      </c>
      <c r="B3674" t="s">
        <v>3606</v>
      </c>
      <c r="C3674">
        <v>82</v>
      </c>
      <c r="D3674" t="s">
        <v>9</v>
      </c>
      <c r="E3674" t="s">
        <v>25</v>
      </c>
      <c r="F3674" t="s">
        <v>16</v>
      </c>
      <c r="G3674" t="s">
        <v>5033</v>
      </c>
      <c r="H3674">
        <v>2383.81</v>
      </c>
      <c r="I3674" s="8" t="str" cm="1">
        <f t="array" ref="I3674">_xlfn.IFS(C3674&lt;=15,"Children and Young Adolescents", C3674&gt;64, "Seniors", TRUE, "Working Age")</f>
        <v>Seniors</v>
      </c>
      <c r="J3674" s="6">
        <f>VLOOKUP(F3674,Analysis!$F$1:$G$5,2,FALSE)</f>
        <v>2509.1716796874912</v>
      </c>
      <c r="K3674">
        <f t="shared" si="228"/>
        <v>2622.19</v>
      </c>
      <c r="L3674">
        <f t="shared" si="229"/>
        <v>2622.2000000000003</v>
      </c>
      <c r="M3674">
        <f t="shared" si="230"/>
        <v>2622.19</v>
      </c>
      <c r="N3674" s="5" t="str">
        <f t="shared" si="231"/>
        <v>June 2023</v>
      </c>
    </row>
    <row r="3675" spans="1:14" x14ac:dyDescent="0.25">
      <c r="A3675" s="1">
        <v>45099</v>
      </c>
      <c r="B3675" t="s">
        <v>4162</v>
      </c>
      <c r="C3675">
        <v>95</v>
      </c>
      <c r="D3675" t="s">
        <v>14</v>
      </c>
      <c r="E3675" t="s">
        <v>15</v>
      </c>
      <c r="F3675" t="s">
        <v>29</v>
      </c>
      <c r="G3675" t="s">
        <v>36</v>
      </c>
      <c r="H3675">
        <v>4721.74</v>
      </c>
      <c r="I3675" s="8" t="str" cm="1">
        <f t="array" ref="I3675">_xlfn.IFS(C3675&lt;=15,"Children and Young Adolescents", C3675&gt;64, "Seniors", TRUE, "Working Age")</f>
        <v>Seniors</v>
      </c>
      <c r="J3675" s="6">
        <f>VLOOKUP(F3675,Analysis!$F$1:$G$5,2,FALSE)</f>
        <v>2496.7676064256989</v>
      </c>
      <c r="K3675">
        <f t="shared" si="228"/>
        <v>5193.91</v>
      </c>
      <c r="L3675">
        <f t="shared" si="229"/>
        <v>5193.92</v>
      </c>
      <c r="M3675">
        <f t="shared" si="230"/>
        <v>5193.91</v>
      </c>
      <c r="N3675" s="5" t="str">
        <f t="shared" si="231"/>
        <v>June 2023</v>
      </c>
    </row>
    <row r="3676" spans="1:14" x14ac:dyDescent="0.25">
      <c r="A3676" s="1">
        <v>45099</v>
      </c>
      <c r="B3676" t="s">
        <v>3305</v>
      </c>
      <c r="C3676">
        <v>92</v>
      </c>
      <c r="D3676" t="s">
        <v>14</v>
      </c>
      <c r="E3676" t="s">
        <v>34</v>
      </c>
      <c r="F3676" t="s">
        <v>29</v>
      </c>
      <c r="G3676" t="s">
        <v>12</v>
      </c>
      <c r="H3676">
        <v>3976.28</v>
      </c>
      <c r="I3676" s="8" t="str" cm="1">
        <f t="array" ref="I3676">_xlfn.IFS(C3676&lt;=15,"Children and Young Adolescents", C3676&gt;64, "Seniors", TRUE, "Working Age")</f>
        <v>Seniors</v>
      </c>
      <c r="J3676" s="6">
        <f>VLOOKUP(F3676,Analysis!$F$1:$G$5,2,FALSE)</f>
        <v>2496.7676064256989</v>
      </c>
      <c r="K3676">
        <f t="shared" si="228"/>
        <v>4373.8999999999996</v>
      </c>
      <c r="L3676">
        <f t="shared" si="229"/>
        <v>4373.91</v>
      </c>
      <c r="M3676">
        <f t="shared" si="230"/>
        <v>4373.91</v>
      </c>
      <c r="N3676" s="5" t="str">
        <f t="shared" si="231"/>
        <v>June 2023</v>
      </c>
    </row>
    <row r="3677" spans="1:14" x14ac:dyDescent="0.25">
      <c r="A3677" s="1">
        <v>45099</v>
      </c>
      <c r="B3677" t="s">
        <v>3386</v>
      </c>
      <c r="C3677">
        <v>51</v>
      </c>
      <c r="D3677" t="s">
        <v>21</v>
      </c>
      <c r="E3677" t="s">
        <v>15</v>
      </c>
      <c r="F3677" t="s">
        <v>11</v>
      </c>
      <c r="G3677" t="s">
        <v>27</v>
      </c>
      <c r="H3677">
        <v>4827.71</v>
      </c>
      <c r="I3677" s="8" t="str" cm="1">
        <f t="array" ref="I3677">_xlfn.IFS(C3677&lt;=15,"Children and Young Adolescents", C3677&gt;64, "Seniors", TRUE, "Working Age")</f>
        <v>Working Age</v>
      </c>
      <c r="J3677" s="6">
        <f>VLOOKUP(F3677,Analysis!$F$1:$G$5,2,FALSE)</f>
        <v>2503.6022787783854</v>
      </c>
      <c r="K3677">
        <f t="shared" si="228"/>
        <v>5310.48</v>
      </c>
      <c r="L3677">
        <f t="shared" si="229"/>
        <v>5310.49</v>
      </c>
      <c r="M3677">
        <f t="shared" si="230"/>
        <v>5310.48</v>
      </c>
      <c r="N3677" s="5" t="str">
        <f t="shared" si="231"/>
        <v>June 2023</v>
      </c>
    </row>
    <row r="3678" spans="1:14" x14ac:dyDescent="0.25">
      <c r="A3678" s="1">
        <v>45099</v>
      </c>
      <c r="B3678" t="s">
        <v>4853</v>
      </c>
      <c r="C3678">
        <v>89</v>
      </c>
      <c r="D3678" t="s">
        <v>9</v>
      </c>
      <c r="E3678" t="s">
        <v>5032</v>
      </c>
      <c r="F3678" t="s">
        <v>16</v>
      </c>
      <c r="G3678" t="s">
        <v>36</v>
      </c>
      <c r="H3678">
        <v>4542.34</v>
      </c>
      <c r="I3678" s="8" t="str" cm="1">
        <f t="array" ref="I3678">_xlfn.IFS(C3678&lt;=15,"Children and Young Adolescents", C3678&gt;64, "Seniors", TRUE, "Working Age")</f>
        <v>Seniors</v>
      </c>
      <c r="J3678" s="6">
        <f>VLOOKUP(F3678,Analysis!$F$1:$G$5,2,FALSE)</f>
        <v>2509.1716796874912</v>
      </c>
      <c r="K3678">
        <f t="shared" si="228"/>
        <v>4996.57</v>
      </c>
      <c r="L3678">
        <f t="shared" si="229"/>
        <v>4996.58</v>
      </c>
      <c r="M3678">
        <f t="shared" si="230"/>
        <v>4996.57</v>
      </c>
      <c r="N3678" s="5" t="str">
        <f t="shared" si="231"/>
        <v>June 2023</v>
      </c>
    </row>
    <row r="3679" spans="1:14" x14ac:dyDescent="0.25">
      <c r="A3679" s="1">
        <v>45099</v>
      </c>
      <c r="B3679" t="s">
        <v>637</v>
      </c>
      <c r="C3679">
        <v>94</v>
      </c>
      <c r="D3679" t="s">
        <v>21</v>
      </c>
      <c r="E3679" t="s">
        <v>10</v>
      </c>
      <c r="F3679" t="s">
        <v>29</v>
      </c>
      <c r="G3679" t="s">
        <v>27</v>
      </c>
      <c r="H3679">
        <v>1247.29</v>
      </c>
      <c r="I3679" s="8" t="str" cm="1">
        <f t="array" ref="I3679">_xlfn.IFS(C3679&lt;=15,"Children and Young Adolescents", C3679&gt;64, "Seniors", TRUE, "Working Age")</f>
        <v>Seniors</v>
      </c>
      <c r="J3679" s="6">
        <f>VLOOKUP(F3679,Analysis!$F$1:$G$5,2,FALSE)</f>
        <v>2496.7676064256989</v>
      </c>
      <c r="K3679">
        <f t="shared" si="228"/>
        <v>1372.01</v>
      </c>
      <c r="L3679">
        <f t="shared" si="229"/>
        <v>1372.02</v>
      </c>
      <c r="M3679">
        <f t="shared" si="230"/>
        <v>1372.02</v>
      </c>
      <c r="N3679" s="5" t="str">
        <f t="shared" si="231"/>
        <v>June 2023</v>
      </c>
    </row>
    <row r="3680" spans="1:14" x14ac:dyDescent="0.25">
      <c r="A3680" s="1">
        <v>45099</v>
      </c>
      <c r="B3680" t="s">
        <v>4677</v>
      </c>
      <c r="C3680">
        <v>76</v>
      </c>
      <c r="D3680" t="s">
        <v>21</v>
      </c>
      <c r="E3680" t="s">
        <v>5032</v>
      </c>
      <c r="F3680" t="s">
        <v>11</v>
      </c>
      <c r="G3680" t="s">
        <v>17</v>
      </c>
      <c r="H3680">
        <v>3556.79</v>
      </c>
      <c r="I3680" s="8" t="str" cm="1">
        <f t="array" ref="I3680">_xlfn.IFS(C3680&lt;=15,"Children and Young Adolescents", C3680&gt;64, "Seniors", TRUE, "Working Age")</f>
        <v>Seniors</v>
      </c>
      <c r="J3680" s="6">
        <f>VLOOKUP(F3680,Analysis!$F$1:$G$5,2,FALSE)</f>
        <v>2503.6022787783854</v>
      </c>
      <c r="K3680">
        <f t="shared" si="228"/>
        <v>3912.46</v>
      </c>
      <c r="L3680">
        <f t="shared" si="229"/>
        <v>3912.4700000000003</v>
      </c>
      <c r="M3680">
        <f t="shared" si="230"/>
        <v>3912.47</v>
      </c>
      <c r="N3680" s="5" t="str">
        <f t="shared" si="231"/>
        <v>June 2023</v>
      </c>
    </row>
    <row r="3681" spans="1:14" x14ac:dyDescent="0.25">
      <c r="A3681" s="1">
        <v>45099</v>
      </c>
      <c r="B3681" t="s">
        <v>4156</v>
      </c>
      <c r="C3681">
        <v>30</v>
      </c>
      <c r="D3681" t="s">
        <v>21</v>
      </c>
      <c r="E3681" t="s">
        <v>19</v>
      </c>
      <c r="F3681" t="s">
        <v>16</v>
      </c>
      <c r="G3681" t="s">
        <v>36</v>
      </c>
      <c r="H3681">
        <v>4132.16</v>
      </c>
      <c r="I3681" s="8" t="str" cm="1">
        <f t="array" ref="I3681">_xlfn.IFS(C3681&lt;=15,"Children and Young Adolescents", C3681&gt;64, "Seniors", TRUE, "Working Age")</f>
        <v>Working Age</v>
      </c>
      <c r="J3681" s="6">
        <f>VLOOKUP(F3681,Analysis!$F$1:$G$5,2,FALSE)</f>
        <v>2509.1716796874912</v>
      </c>
      <c r="K3681">
        <f t="shared" si="228"/>
        <v>4545.37</v>
      </c>
      <c r="L3681">
        <f t="shared" si="229"/>
        <v>4545.38</v>
      </c>
      <c r="M3681">
        <f t="shared" si="230"/>
        <v>4545.38</v>
      </c>
      <c r="N3681" s="5" t="str">
        <f t="shared" si="231"/>
        <v>June 2023</v>
      </c>
    </row>
    <row r="3682" spans="1:14" x14ac:dyDescent="0.25">
      <c r="A3682" s="1">
        <v>45099</v>
      </c>
      <c r="B3682" t="s">
        <v>4032</v>
      </c>
      <c r="C3682">
        <v>82</v>
      </c>
      <c r="D3682" t="s">
        <v>21</v>
      </c>
      <c r="E3682" t="s">
        <v>32</v>
      </c>
      <c r="F3682" t="s">
        <v>23</v>
      </c>
      <c r="G3682" t="s">
        <v>5033</v>
      </c>
      <c r="H3682">
        <v>3793.48</v>
      </c>
      <c r="I3682" s="8" t="str" cm="1">
        <f t="array" ref="I3682">_xlfn.IFS(C3682&lt;=15,"Children and Young Adolescents", C3682&gt;64, "Seniors", TRUE, "Working Age")</f>
        <v>Seniors</v>
      </c>
      <c r="J3682" s="6">
        <f>VLOOKUP(F3682,Analysis!$F$1:$G$5,2,FALSE)</f>
        <v>2440.2966694490838</v>
      </c>
      <c r="K3682">
        <f t="shared" si="228"/>
        <v>4172.82</v>
      </c>
      <c r="L3682">
        <f t="shared" si="229"/>
        <v>4172.83</v>
      </c>
      <c r="M3682">
        <f t="shared" si="230"/>
        <v>4172.83</v>
      </c>
      <c r="N3682" s="5" t="str">
        <f t="shared" si="231"/>
        <v>June 2023</v>
      </c>
    </row>
    <row r="3683" spans="1:14" x14ac:dyDescent="0.25">
      <c r="A3683" s="1">
        <v>45099</v>
      </c>
      <c r="B3683" t="s">
        <v>676</v>
      </c>
      <c r="C3683">
        <v>62</v>
      </c>
      <c r="D3683" t="s">
        <v>9</v>
      </c>
      <c r="E3683" t="s">
        <v>32</v>
      </c>
      <c r="F3683" t="s">
        <v>23</v>
      </c>
      <c r="G3683" t="s">
        <v>27</v>
      </c>
      <c r="H3683">
        <v>1234.54</v>
      </c>
      <c r="I3683" s="8" t="str" cm="1">
        <f t="array" ref="I3683">_xlfn.IFS(C3683&lt;=15,"Children and Young Adolescents", C3683&gt;64, "Seniors", TRUE, "Working Age")</f>
        <v>Working Age</v>
      </c>
      <c r="J3683" s="6">
        <f>VLOOKUP(F3683,Analysis!$F$1:$G$5,2,FALSE)</f>
        <v>2440.2966694490838</v>
      </c>
      <c r="K3683">
        <f t="shared" si="228"/>
        <v>1357.99</v>
      </c>
      <c r="L3683">
        <f t="shared" si="229"/>
        <v>1358</v>
      </c>
      <c r="M3683">
        <f t="shared" si="230"/>
        <v>1357.99</v>
      </c>
      <c r="N3683" s="5" t="str">
        <f t="shared" si="231"/>
        <v>June 2023</v>
      </c>
    </row>
    <row r="3684" spans="1:14" x14ac:dyDescent="0.25">
      <c r="A3684" s="1">
        <v>45099</v>
      </c>
      <c r="B3684" t="s">
        <v>2213</v>
      </c>
      <c r="C3684">
        <v>74</v>
      </c>
      <c r="D3684" t="s">
        <v>9</v>
      </c>
      <c r="E3684" t="s">
        <v>32</v>
      </c>
      <c r="F3684" t="s">
        <v>16</v>
      </c>
      <c r="G3684" t="s">
        <v>12</v>
      </c>
      <c r="H3684">
        <v>3185.3</v>
      </c>
      <c r="I3684" s="8" t="str" cm="1">
        <f t="array" ref="I3684">_xlfn.IFS(C3684&lt;=15,"Children and Young Adolescents", C3684&gt;64, "Seniors", TRUE, "Working Age")</f>
        <v>Seniors</v>
      </c>
      <c r="J3684" s="6">
        <f>VLOOKUP(F3684,Analysis!$F$1:$G$5,2,FALSE)</f>
        <v>2509.1716796874912</v>
      </c>
      <c r="K3684">
        <f t="shared" si="228"/>
        <v>3503.83</v>
      </c>
      <c r="L3684">
        <f t="shared" si="229"/>
        <v>3503.83</v>
      </c>
      <c r="M3684">
        <f t="shared" si="230"/>
        <v>3503.83</v>
      </c>
      <c r="N3684" s="5" t="str">
        <f t="shared" si="231"/>
        <v>June 2023</v>
      </c>
    </row>
    <row r="3685" spans="1:14" x14ac:dyDescent="0.25">
      <c r="A3685" s="1">
        <v>45100</v>
      </c>
      <c r="B3685" t="s">
        <v>514</v>
      </c>
      <c r="C3685">
        <v>3</v>
      </c>
      <c r="D3685" t="s">
        <v>21</v>
      </c>
      <c r="E3685" t="s">
        <v>34</v>
      </c>
      <c r="F3685" t="s">
        <v>11</v>
      </c>
      <c r="G3685" t="s">
        <v>36</v>
      </c>
      <c r="H3685">
        <v>1367.78</v>
      </c>
      <c r="I3685" s="8" t="str" cm="1">
        <f t="array" ref="I3685">_xlfn.IFS(C3685&lt;=15,"Children and Young Adolescents", C3685&gt;64, "Seniors", TRUE, "Working Age")</f>
        <v>Children and Young Adolescents</v>
      </c>
      <c r="J3685" s="6">
        <f>VLOOKUP(F3685,Analysis!$F$1:$G$5,2,FALSE)</f>
        <v>2503.6022787783854</v>
      </c>
      <c r="K3685">
        <f t="shared" si="228"/>
        <v>1504.55</v>
      </c>
      <c r="L3685">
        <f t="shared" si="229"/>
        <v>1504.56</v>
      </c>
      <c r="M3685">
        <f t="shared" si="230"/>
        <v>1504.56</v>
      </c>
      <c r="N3685" s="5" t="str">
        <f t="shared" si="231"/>
        <v>June 2023</v>
      </c>
    </row>
    <row r="3686" spans="1:14" x14ac:dyDescent="0.25">
      <c r="A3686" s="1">
        <v>45100</v>
      </c>
      <c r="B3686" t="s">
        <v>3193</v>
      </c>
      <c r="C3686">
        <v>97</v>
      </c>
      <c r="D3686" t="s">
        <v>9</v>
      </c>
      <c r="E3686" t="s">
        <v>25</v>
      </c>
      <c r="F3686" t="s">
        <v>23</v>
      </c>
      <c r="G3686" t="s">
        <v>17</v>
      </c>
      <c r="H3686">
        <v>4099.99</v>
      </c>
      <c r="I3686" s="8" t="str" cm="1">
        <f t="array" ref="I3686">_xlfn.IFS(C3686&lt;=15,"Children and Young Adolescents", C3686&gt;64, "Seniors", TRUE, "Working Age")</f>
        <v>Seniors</v>
      </c>
      <c r="J3686" s="6">
        <f>VLOOKUP(F3686,Analysis!$F$1:$G$5,2,FALSE)</f>
        <v>2440.2966694490838</v>
      </c>
      <c r="K3686">
        <f t="shared" si="228"/>
        <v>4509.9799999999996</v>
      </c>
      <c r="L3686">
        <f t="shared" si="229"/>
        <v>4509.99</v>
      </c>
      <c r="M3686">
        <f t="shared" si="230"/>
        <v>4509.99</v>
      </c>
      <c r="N3686" s="5" t="str">
        <f t="shared" si="231"/>
        <v>June 2023</v>
      </c>
    </row>
    <row r="3687" spans="1:14" x14ac:dyDescent="0.25">
      <c r="A3687" s="1">
        <v>45100</v>
      </c>
      <c r="B3687" t="s">
        <v>3468</v>
      </c>
      <c r="C3687">
        <v>15</v>
      </c>
      <c r="D3687" t="s">
        <v>21</v>
      </c>
      <c r="E3687" t="s">
        <v>22</v>
      </c>
      <c r="F3687" t="s">
        <v>16</v>
      </c>
      <c r="G3687" t="s">
        <v>39</v>
      </c>
      <c r="H3687">
        <v>601.77</v>
      </c>
      <c r="I3687" s="8" t="str" cm="1">
        <f t="array" ref="I3687">_xlfn.IFS(C3687&lt;=15,"Children and Young Adolescents", C3687&gt;64, "Seniors", TRUE, "Working Age")</f>
        <v>Children and Young Adolescents</v>
      </c>
      <c r="J3687" s="6">
        <f>VLOOKUP(F3687,Analysis!$F$1:$G$5,2,FALSE)</f>
        <v>2509.1716796874912</v>
      </c>
      <c r="K3687">
        <f t="shared" si="228"/>
        <v>661.94</v>
      </c>
      <c r="L3687">
        <f t="shared" si="229"/>
        <v>661.95</v>
      </c>
      <c r="M3687">
        <f t="shared" si="230"/>
        <v>661.95</v>
      </c>
      <c r="N3687" s="5" t="str">
        <f t="shared" si="231"/>
        <v>June 2023</v>
      </c>
    </row>
    <row r="3688" spans="1:14" x14ac:dyDescent="0.25">
      <c r="A3688" s="1">
        <v>45100</v>
      </c>
      <c r="B3688" t="s">
        <v>2843</v>
      </c>
      <c r="C3688">
        <v>33</v>
      </c>
      <c r="D3688" t="s">
        <v>21</v>
      </c>
      <c r="E3688" t="s">
        <v>32</v>
      </c>
      <c r="F3688" t="s">
        <v>16</v>
      </c>
      <c r="G3688" t="s">
        <v>12</v>
      </c>
      <c r="H3688">
        <v>1295.8699999999999</v>
      </c>
      <c r="I3688" s="8" t="str" cm="1">
        <f t="array" ref="I3688">_xlfn.IFS(C3688&lt;=15,"Children and Young Adolescents", C3688&gt;64, "Seniors", TRUE, "Working Age")</f>
        <v>Working Age</v>
      </c>
      <c r="J3688" s="6">
        <f>VLOOKUP(F3688,Analysis!$F$1:$G$5,2,FALSE)</f>
        <v>2509.1716796874912</v>
      </c>
      <c r="K3688">
        <f t="shared" si="228"/>
        <v>1425.45</v>
      </c>
      <c r="L3688">
        <f t="shared" si="229"/>
        <v>1425.46</v>
      </c>
      <c r="M3688">
        <f t="shared" si="230"/>
        <v>1425.46</v>
      </c>
      <c r="N3688" s="5" t="str">
        <f t="shared" si="231"/>
        <v>June 2023</v>
      </c>
    </row>
    <row r="3689" spans="1:14" x14ac:dyDescent="0.25">
      <c r="A3689" s="1">
        <v>45100</v>
      </c>
      <c r="B3689" t="s">
        <v>4869</v>
      </c>
      <c r="C3689">
        <v>52</v>
      </c>
      <c r="D3689" t="s">
        <v>21</v>
      </c>
      <c r="E3689" t="s">
        <v>22</v>
      </c>
      <c r="F3689" t="s">
        <v>16</v>
      </c>
      <c r="G3689" t="s">
        <v>12</v>
      </c>
      <c r="H3689">
        <v>1238.6199999999999</v>
      </c>
      <c r="I3689" s="8" t="str" cm="1">
        <f t="array" ref="I3689">_xlfn.IFS(C3689&lt;=15,"Children and Young Adolescents", C3689&gt;64, "Seniors", TRUE, "Working Age")</f>
        <v>Working Age</v>
      </c>
      <c r="J3689" s="6">
        <f>VLOOKUP(F3689,Analysis!$F$1:$G$5,2,FALSE)</f>
        <v>2509.1716796874912</v>
      </c>
      <c r="K3689">
        <f t="shared" si="228"/>
        <v>1362.48</v>
      </c>
      <c r="L3689">
        <f t="shared" si="229"/>
        <v>1362.49</v>
      </c>
      <c r="M3689">
        <f t="shared" si="230"/>
        <v>1362.48</v>
      </c>
      <c r="N3689" s="5" t="str">
        <f t="shared" si="231"/>
        <v>June 2023</v>
      </c>
    </row>
    <row r="3690" spans="1:14" x14ac:dyDescent="0.25">
      <c r="A3690" s="1">
        <v>45100</v>
      </c>
      <c r="B3690" t="s">
        <v>2064</v>
      </c>
      <c r="C3690">
        <v>99</v>
      </c>
      <c r="D3690" t="s">
        <v>14</v>
      </c>
      <c r="E3690" t="s">
        <v>32</v>
      </c>
      <c r="F3690" t="s">
        <v>11</v>
      </c>
      <c r="G3690" t="s">
        <v>5033</v>
      </c>
      <c r="H3690">
        <v>3030.52</v>
      </c>
      <c r="I3690" s="8" t="str" cm="1">
        <f t="array" ref="I3690">_xlfn.IFS(C3690&lt;=15,"Children and Young Adolescents", C3690&gt;64, "Seniors", TRUE, "Working Age")</f>
        <v>Seniors</v>
      </c>
      <c r="J3690" s="6">
        <f>VLOOKUP(F3690,Analysis!$F$1:$G$5,2,FALSE)</f>
        <v>2503.6022787783854</v>
      </c>
      <c r="K3690">
        <f t="shared" si="228"/>
        <v>3333.57</v>
      </c>
      <c r="L3690">
        <f t="shared" si="229"/>
        <v>3333.5800000000004</v>
      </c>
      <c r="M3690">
        <f t="shared" si="230"/>
        <v>3333.57</v>
      </c>
      <c r="N3690" s="5" t="str">
        <f t="shared" si="231"/>
        <v>June 2023</v>
      </c>
    </row>
    <row r="3691" spans="1:14" x14ac:dyDescent="0.25">
      <c r="A3691" s="1">
        <v>45100</v>
      </c>
      <c r="B3691" t="s">
        <v>1771</v>
      </c>
      <c r="C3691">
        <v>91</v>
      </c>
      <c r="D3691" t="s">
        <v>14</v>
      </c>
      <c r="E3691" t="s">
        <v>32</v>
      </c>
      <c r="F3691" t="s">
        <v>11</v>
      </c>
      <c r="G3691" t="s">
        <v>17</v>
      </c>
      <c r="H3691">
        <v>3433.56</v>
      </c>
      <c r="I3691" s="8" t="str" cm="1">
        <f t="array" ref="I3691">_xlfn.IFS(C3691&lt;=15,"Children and Young Adolescents", C3691&gt;64, "Seniors", TRUE, "Working Age")</f>
        <v>Seniors</v>
      </c>
      <c r="J3691" s="6">
        <f>VLOOKUP(F3691,Analysis!$F$1:$G$5,2,FALSE)</f>
        <v>2503.6022787783854</v>
      </c>
      <c r="K3691">
        <f t="shared" si="228"/>
        <v>3776.91</v>
      </c>
      <c r="L3691">
        <f t="shared" si="229"/>
        <v>3776.92</v>
      </c>
      <c r="M3691">
        <f t="shared" si="230"/>
        <v>3776.92</v>
      </c>
      <c r="N3691" s="5" t="str">
        <f t="shared" si="231"/>
        <v>June 2023</v>
      </c>
    </row>
    <row r="3692" spans="1:14" x14ac:dyDescent="0.25">
      <c r="A3692" s="1">
        <v>45100</v>
      </c>
      <c r="B3692" t="s">
        <v>4844</v>
      </c>
      <c r="C3692">
        <v>13</v>
      </c>
      <c r="D3692" t="s">
        <v>14</v>
      </c>
      <c r="E3692" t="s">
        <v>15</v>
      </c>
      <c r="F3692" t="s">
        <v>16</v>
      </c>
      <c r="G3692" t="s">
        <v>39</v>
      </c>
      <c r="H3692">
        <v>2197.6799999999998</v>
      </c>
      <c r="I3692" s="8" t="str" cm="1">
        <f t="array" ref="I3692">_xlfn.IFS(C3692&lt;=15,"Children and Young Adolescents", C3692&gt;64, "Seniors", TRUE, "Working Age")</f>
        <v>Children and Young Adolescents</v>
      </c>
      <c r="J3692" s="6">
        <f>VLOOKUP(F3692,Analysis!$F$1:$G$5,2,FALSE)</f>
        <v>2509.1716796874912</v>
      </c>
      <c r="K3692">
        <f t="shared" si="228"/>
        <v>2417.44</v>
      </c>
      <c r="L3692">
        <f t="shared" si="229"/>
        <v>2417.4500000000003</v>
      </c>
      <c r="M3692">
        <f t="shared" si="230"/>
        <v>2417.4499999999998</v>
      </c>
      <c r="N3692" s="5" t="str">
        <f t="shared" si="231"/>
        <v>June 2023</v>
      </c>
    </row>
    <row r="3693" spans="1:14" x14ac:dyDescent="0.25">
      <c r="A3693" s="1">
        <v>45100</v>
      </c>
      <c r="B3693" t="s">
        <v>2302</v>
      </c>
      <c r="C3693">
        <v>2</v>
      </c>
      <c r="D3693" t="s">
        <v>9</v>
      </c>
      <c r="E3693" t="s">
        <v>22</v>
      </c>
      <c r="F3693" t="s">
        <v>11</v>
      </c>
      <c r="G3693" t="s">
        <v>27</v>
      </c>
      <c r="H3693">
        <v>356.21</v>
      </c>
      <c r="I3693" s="8" t="str" cm="1">
        <f t="array" ref="I3693">_xlfn.IFS(C3693&lt;=15,"Children and Young Adolescents", C3693&gt;64, "Seniors", TRUE, "Working Age")</f>
        <v>Children and Young Adolescents</v>
      </c>
      <c r="J3693" s="6">
        <f>VLOOKUP(F3693,Analysis!$F$1:$G$5,2,FALSE)</f>
        <v>2503.6022787783854</v>
      </c>
      <c r="K3693">
        <f t="shared" si="228"/>
        <v>391.83</v>
      </c>
      <c r="L3693">
        <f t="shared" si="229"/>
        <v>391.84</v>
      </c>
      <c r="M3693">
        <f t="shared" si="230"/>
        <v>391.83</v>
      </c>
      <c r="N3693" s="5" t="str">
        <f t="shared" si="231"/>
        <v>June 2023</v>
      </c>
    </row>
    <row r="3694" spans="1:14" x14ac:dyDescent="0.25">
      <c r="A3694" s="1">
        <v>45100</v>
      </c>
      <c r="B3694" t="s">
        <v>2111</v>
      </c>
      <c r="C3694">
        <v>73</v>
      </c>
      <c r="D3694" t="s">
        <v>9</v>
      </c>
      <c r="E3694" t="s">
        <v>32</v>
      </c>
      <c r="F3694" t="s">
        <v>16</v>
      </c>
      <c r="G3694" t="s">
        <v>39</v>
      </c>
      <c r="H3694">
        <v>1350.29</v>
      </c>
      <c r="I3694" s="8" t="str" cm="1">
        <f t="array" ref="I3694">_xlfn.IFS(C3694&lt;=15,"Children and Young Adolescents", C3694&gt;64, "Seniors", TRUE, "Working Age")</f>
        <v>Seniors</v>
      </c>
      <c r="J3694" s="6">
        <f>VLOOKUP(F3694,Analysis!$F$1:$G$5,2,FALSE)</f>
        <v>2509.1716796874912</v>
      </c>
      <c r="K3694">
        <f t="shared" si="228"/>
        <v>1485.31</v>
      </c>
      <c r="L3694">
        <f t="shared" si="229"/>
        <v>1485.32</v>
      </c>
      <c r="M3694">
        <f t="shared" si="230"/>
        <v>1485.32</v>
      </c>
      <c r="N3694" s="5" t="str">
        <f t="shared" si="231"/>
        <v>June 2023</v>
      </c>
    </row>
    <row r="3695" spans="1:14" x14ac:dyDescent="0.25">
      <c r="A3695" s="1">
        <v>45101</v>
      </c>
      <c r="B3695" t="s">
        <v>4152</v>
      </c>
      <c r="C3695">
        <v>56</v>
      </c>
      <c r="D3695" t="s">
        <v>21</v>
      </c>
      <c r="E3695" t="s">
        <v>19</v>
      </c>
      <c r="F3695" t="s">
        <v>29</v>
      </c>
      <c r="G3695" t="s">
        <v>27</v>
      </c>
      <c r="H3695">
        <v>1077.28</v>
      </c>
      <c r="I3695" s="8" t="str" cm="1">
        <f t="array" ref="I3695">_xlfn.IFS(C3695&lt;=15,"Children and Young Adolescents", C3695&gt;64, "Seniors", TRUE, "Working Age")</f>
        <v>Working Age</v>
      </c>
      <c r="J3695" s="6">
        <f>VLOOKUP(F3695,Analysis!$F$1:$G$5,2,FALSE)</f>
        <v>2496.7676064256989</v>
      </c>
      <c r="K3695">
        <f t="shared" si="228"/>
        <v>1185</v>
      </c>
      <c r="L3695">
        <f t="shared" si="229"/>
        <v>1185.01</v>
      </c>
      <c r="M3695">
        <f t="shared" si="230"/>
        <v>1185.01</v>
      </c>
      <c r="N3695" s="5" t="str">
        <f t="shared" si="231"/>
        <v>June 2023</v>
      </c>
    </row>
    <row r="3696" spans="1:14" x14ac:dyDescent="0.25">
      <c r="A3696" s="1">
        <v>45101</v>
      </c>
      <c r="B3696" t="s">
        <v>1282</v>
      </c>
      <c r="C3696">
        <v>8</v>
      </c>
      <c r="D3696" t="s">
        <v>9</v>
      </c>
      <c r="E3696" t="s">
        <v>19</v>
      </c>
      <c r="F3696" t="s">
        <v>23</v>
      </c>
      <c r="G3696" t="s">
        <v>36</v>
      </c>
      <c r="H3696">
        <v>2294.77</v>
      </c>
      <c r="I3696" s="8" t="str" cm="1">
        <f t="array" ref="I3696">_xlfn.IFS(C3696&lt;=15,"Children and Young Adolescents", C3696&gt;64, "Seniors", TRUE, "Working Age")</f>
        <v>Children and Young Adolescents</v>
      </c>
      <c r="J3696" s="6">
        <f>VLOOKUP(F3696,Analysis!$F$1:$G$5,2,FALSE)</f>
        <v>2440.2966694490838</v>
      </c>
      <c r="K3696">
        <f t="shared" si="228"/>
        <v>2524.2399999999998</v>
      </c>
      <c r="L3696">
        <f t="shared" si="229"/>
        <v>2524.25</v>
      </c>
      <c r="M3696">
        <f t="shared" si="230"/>
        <v>2524.25</v>
      </c>
      <c r="N3696" s="5" t="str">
        <f t="shared" si="231"/>
        <v>June 2023</v>
      </c>
    </row>
    <row r="3697" spans="1:14" x14ac:dyDescent="0.25">
      <c r="A3697" s="1">
        <v>45101</v>
      </c>
      <c r="B3697" t="s">
        <v>3532</v>
      </c>
      <c r="C3697">
        <v>41</v>
      </c>
      <c r="D3697" t="s">
        <v>14</v>
      </c>
      <c r="E3697" t="s">
        <v>5032</v>
      </c>
      <c r="F3697" t="s">
        <v>29</v>
      </c>
      <c r="G3697" t="s">
        <v>17</v>
      </c>
      <c r="H3697">
        <v>2762.95</v>
      </c>
      <c r="I3697" s="8" t="str" cm="1">
        <f t="array" ref="I3697">_xlfn.IFS(C3697&lt;=15,"Children and Young Adolescents", C3697&gt;64, "Seniors", TRUE, "Working Age")</f>
        <v>Working Age</v>
      </c>
      <c r="J3697" s="6">
        <f>VLOOKUP(F3697,Analysis!$F$1:$G$5,2,FALSE)</f>
        <v>2496.7676064256989</v>
      </c>
      <c r="K3697">
        <f t="shared" si="228"/>
        <v>3039.24</v>
      </c>
      <c r="L3697">
        <f t="shared" si="229"/>
        <v>3039.25</v>
      </c>
      <c r="M3697">
        <f t="shared" si="230"/>
        <v>3039.25</v>
      </c>
      <c r="N3697" s="5" t="str">
        <f t="shared" si="231"/>
        <v>June 2023</v>
      </c>
    </row>
    <row r="3698" spans="1:14" x14ac:dyDescent="0.25">
      <c r="A3698" s="1">
        <v>45101</v>
      </c>
      <c r="B3698" t="s">
        <v>2726</v>
      </c>
      <c r="C3698">
        <v>63</v>
      </c>
      <c r="D3698" t="s">
        <v>14</v>
      </c>
      <c r="E3698" t="s">
        <v>10</v>
      </c>
      <c r="F3698" t="s">
        <v>11</v>
      </c>
      <c r="G3698" t="s">
        <v>27</v>
      </c>
      <c r="H3698">
        <v>4474.66</v>
      </c>
      <c r="I3698" s="8" t="str" cm="1">
        <f t="array" ref="I3698">_xlfn.IFS(C3698&lt;=15,"Children and Young Adolescents", C3698&gt;64, "Seniors", TRUE, "Working Age")</f>
        <v>Working Age</v>
      </c>
      <c r="J3698" s="6">
        <f>VLOOKUP(F3698,Analysis!$F$1:$G$5,2,FALSE)</f>
        <v>2503.6022787783854</v>
      </c>
      <c r="K3698">
        <f t="shared" si="228"/>
        <v>4922.12</v>
      </c>
      <c r="L3698">
        <f t="shared" si="229"/>
        <v>4922.13</v>
      </c>
      <c r="M3698">
        <f t="shared" si="230"/>
        <v>4922.13</v>
      </c>
      <c r="N3698" s="5" t="str">
        <f t="shared" si="231"/>
        <v>June 2023</v>
      </c>
    </row>
    <row r="3699" spans="1:14" x14ac:dyDescent="0.25">
      <c r="A3699" s="1">
        <v>45101</v>
      </c>
      <c r="B3699" t="s">
        <v>2118</v>
      </c>
      <c r="C3699">
        <v>41</v>
      </c>
      <c r="D3699" t="s">
        <v>9</v>
      </c>
      <c r="E3699" t="s">
        <v>25</v>
      </c>
      <c r="F3699" t="s">
        <v>29</v>
      </c>
      <c r="G3699" t="s">
        <v>36</v>
      </c>
      <c r="H3699">
        <v>3329.55</v>
      </c>
      <c r="I3699" s="8" t="str" cm="1">
        <f t="array" ref="I3699">_xlfn.IFS(C3699&lt;=15,"Children and Young Adolescents", C3699&gt;64, "Seniors", TRUE, "Working Age")</f>
        <v>Working Age</v>
      </c>
      <c r="J3699" s="6">
        <f>VLOOKUP(F3699,Analysis!$F$1:$G$5,2,FALSE)</f>
        <v>2496.7676064256989</v>
      </c>
      <c r="K3699">
        <f t="shared" si="228"/>
        <v>3662.5</v>
      </c>
      <c r="L3699">
        <f t="shared" si="229"/>
        <v>3662.51</v>
      </c>
      <c r="M3699">
        <f t="shared" si="230"/>
        <v>3662.51</v>
      </c>
      <c r="N3699" s="5" t="str">
        <f t="shared" si="231"/>
        <v>June 2023</v>
      </c>
    </row>
    <row r="3700" spans="1:14" x14ac:dyDescent="0.25">
      <c r="A3700" s="1">
        <v>45101</v>
      </c>
      <c r="B3700" t="s">
        <v>2859</v>
      </c>
      <c r="C3700">
        <v>37</v>
      </c>
      <c r="D3700" t="s">
        <v>14</v>
      </c>
      <c r="E3700" t="s">
        <v>5032</v>
      </c>
      <c r="F3700" t="s">
        <v>23</v>
      </c>
      <c r="G3700" t="s">
        <v>12</v>
      </c>
      <c r="H3700">
        <v>2193.08</v>
      </c>
      <c r="I3700" s="8" t="str" cm="1">
        <f t="array" ref="I3700">_xlfn.IFS(C3700&lt;=15,"Children and Young Adolescents", C3700&gt;64, "Seniors", TRUE, "Working Age")</f>
        <v>Working Age</v>
      </c>
      <c r="J3700" s="6">
        <f>VLOOKUP(F3700,Analysis!$F$1:$G$5,2,FALSE)</f>
        <v>2440.2966694490838</v>
      </c>
      <c r="K3700">
        <f t="shared" si="228"/>
        <v>2412.38</v>
      </c>
      <c r="L3700">
        <f t="shared" si="229"/>
        <v>2412.3900000000003</v>
      </c>
      <c r="M3700">
        <f t="shared" si="230"/>
        <v>2412.39</v>
      </c>
      <c r="N3700" s="5" t="str">
        <f t="shared" si="231"/>
        <v>June 2023</v>
      </c>
    </row>
    <row r="3701" spans="1:14" x14ac:dyDescent="0.25">
      <c r="A3701" s="1">
        <v>45101</v>
      </c>
      <c r="B3701" t="s">
        <v>3406</v>
      </c>
      <c r="C3701">
        <v>39</v>
      </c>
      <c r="D3701" t="s">
        <v>9</v>
      </c>
      <c r="E3701" t="s">
        <v>32</v>
      </c>
      <c r="F3701" t="s">
        <v>16</v>
      </c>
      <c r="G3701" t="s">
        <v>39</v>
      </c>
      <c r="H3701">
        <v>517.99</v>
      </c>
      <c r="I3701" s="8" t="str" cm="1">
        <f t="array" ref="I3701">_xlfn.IFS(C3701&lt;=15,"Children and Young Adolescents", C3701&gt;64, "Seniors", TRUE, "Working Age")</f>
        <v>Working Age</v>
      </c>
      <c r="J3701" s="6">
        <f>VLOOKUP(F3701,Analysis!$F$1:$G$5,2,FALSE)</f>
        <v>2509.1716796874912</v>
      </c>
      <c r="K3701">
        <f t="shared" si="228"/>
        <v>569.78</v>
      </c>
      <c r="L3701">
        <f t="shared" si="229"/>
        <v>569.79</v>
      </c>
      <c r="M3701">
        <f t="shared" si="230"/>
        <v>569.79</v>
      </c>
      <c r="N3701" s="5" t="str">
        <f t="shared" si="231"/>
        <v>June 2023</v>
      </c>
    </row>
    <row r="3702" spans="1:14" x14ac:dyDescent="0.25">
      <c r="A3702" s="1">
        <v>45101</v>
      </c>
      <c r="B3702" t="s">
        <v>2869</v>
      </c>
      <c r="C3702">
        <v>44</v>
      </c>
      <c r="D3702" t="s">
        <v>9</v>
      </c>
      <c r="E3702" t="s">
        <v>32</v>
      </c>
      <c r="F3702" t="s">
        <v>16</v>
      </c>
      <c r="G3702" t="s">
        <v>12</v>
      </c>
      <c r="H3702">
        <v>4528.38</v>
      </c>
      <c r="I3702" s="8" t="str" cm="1">
        <f t="array" ref="I3702">_xlfn.IFS(C3702&lt;=15,"Children and Young Adolescents", C3702&gt;64, "Seniors", TRUE, "Working Age")</f>
        <v>Working Age</v>
      </c>
      <c r="J3702" s="6">
        <f>VLOOKUP(F3702,Analysis!$F$1:$G$5,2,FALSE)</f>
        <v>2509.1716796874912</v>
      </c>
      <c r="K3702">
        <f t="shared" si="228"/>
        <v>4981.21</v>
      </c>
      <c r="L3702">
        <f t="shared" si="229"/>
        <v>4981.22</v>
      </c>
      <c r="M3702">
        <f t="shared" si="230"/>
        <v>4981.22</v>
      </c>
      <c r="N3702" s="5" t="str">
        <f t="shared" si="231"/>
        <v>June 2023</v>
      </c>
    </row>
    <row r="3703" spans="1:14" x14ac:dyDescent="0.25">
      <c r="A3703" s="1">
        <v>45101</v>
      </c>
      <c r="B3703" t="s">
        <v>4761</v>
      </c>
      <c r="C3703">
        <v>16</v>
      </c>
      <c r="D3703" t="s">
        <v>14</v>
      </c>
      <c r="E3703" t="s">
        <v>25</v>
      </c>
      <c r="F3703" t="s">
        <v>29</v>
      </c>
      <c r="G3703" t="s">
        <v>12</v>
      </c>
      <c r="H3703">
        <v>4450.72</v>
      </c>
      <c r="I3703" s="8" t="str" cm="1">
        <f t="array" ref="I3703">_xlfn.IFS(C3703&lt;=15,"Children and Young Adolescents", C3703&gt;64, "Seniors", TRUE, "Working Age")</f>
        <v>Working Age</v>
      </c>
      <c r="J3703" s="6">
        <f>VLOOKUP(F3703,Analysis!$F$1:$G$5,2,FALSE)</f>
        <v>2496.7676064256989</v>
      </c>
      <c r="K3703">
        <f t="shared" si="228"/>
        <v>4895.79</v>
      </c>
      <c r="L3703">
        <f t="shared" si="229"/>
        <v>4895.8</v>
      </c>
      <c r="M3703">
        <f t="shared" si="230"/>
        <v>4895.79</v>
      </c>
      <c r="N3703" s="5" t="str">
        <f t="shared" si="231"/>
        <v>June 2023</v>
      </c>
    </row>
    <row r="3704" spans="1:14" x14ac:dyDescent="0.25">
      <c r="A3704" s="1">
        <v>45101</v>
      </c>
      <c r="B3704" t="s">
        <v>1178</v>
      </c>
      <c r="C3704">
        <v>83</v>
      </c>
      <c r="D3704" t="s">
        <v>14</v>
      </c>
      <c r="E3704" t="s">
        <v>32</v>
      </c>
      <c r="F3704" t="s">
        <v>16</v>
      </c>
      <c r="G3704" t="s">
        <v>12</v>
      </c>
      <c r="H3704">
        <v>4520.53</v>
      </c>
      <c r="I3704" s="8" t="str" cm="1">
        <f t="array" ref="I3704">_xlfn.IFS(C3704&lt;=15,"Children and Young Adolescents", C3704&gt;64, "Seniors", TRUE, "Working Age")</f>
        <v>Seniors</v>
      </c>
      <c r="J3704" s="6">
        <f>VLOOKUP(F3704,Analysis!$F$1:$G$5,2,FALSE)</f>
        <v>2509.1716796874912</v>
      </c>
      <c r="K3704">
        <f t="shared" si="228"/>
        <v>4972.58</v>
      </c>
      <c r="L3704">
        <f t="shared" si="229"/>
        <v>4972.59</v>
      </c>
      <c r="M3704">
        <f t="shared" si="230"/>
        <v>4972.58</v>
      </c>
      <c r="N3704" s="5" t="str">
        <f t="shared" si="231"/>
        <v>June 2023</v>
      </c>
    </row>
    <row r="3705" spans="1:14" x14ac:dyDescent="0.25">
      <c r="A3705" s="1">
        <v>45102</v>
      </c>
      <c r="B3705" t="s">
        <v>2762</v>
      </c>
      <c r="C3705">
        <v>57</v>
      </c>
      <c r="D3705" t="s">
        <v>14</v>
      </c>
      <c r="E3705" t="s">
        <v>22</v>
      </c>
      <c r="F3705" t="s">
        <v>29</v>
      </c>
      <c r="G3705" t="s">
        <v>12</v>
      </c>
      <c r="H3705">
        <v>4675.76</v>
      </c>
      <c r="I3705" s="8" t="str" cm="1">
        <f t="array" ref="I3705">_xlfn.IFS(C3705&lt;=15,"Children and Young Adolescents", C3705&gt;64, "Seniors", TRUE, "Working Age")</f>
        <v>Working Age</v>
      </c>
      <c r="J3705" s="6">
        <f>VLOOKUP(F3705,Analysis!$F$1:$G$5,2,FALSE)</f>
        <v>2496.7676064256989</v>
      </c>
      <c r="K3705">
        <f t="shared" si="228"/>
        <v>5143.33</v>
      </c>
      <c r="L3705">
        <f t="shared" si="229"/>
        <v>5143.34</v>
      </c>
      <c r="M3705">
        <f t="shared" si="230"/>
        <v>5143.34</v>
      </c>
      <c r="N3705" s="5" t="str">
        <f t="shared" si="231"/>
        <v>June 2023</v>
      </c>
    </row>
    <row r="3706" spans="1:14" x14ac:dyDescent="0.25">
      <c r="A3706" s="1">
        <v>45102</v>
      </c>
      <c r="B3706" t="s">
        <v>296</v>
      </c>
      <c r="C3706">
        <v>80</v>
      </c>
      <c r="D3706" t="s">
        <v>21</v>
      </c>
      <c r="E3706" t="s">
        <v>32</v>
      </c>
      <c r="F3706" t="s">
        <v>29</v>
      </c>
      <c r="G3706" t="s">
        <v>27</v>
      </c>
      <c r="H3706">
        <v>4095.54</v>
      </c>
      <c r="I3706" s="8" t="str" cm="1">
        <f t="array" ref="I3706">_xlfn.IFS(C3706&lt;=15,"Children and Young Adolescents", C3706&gt;64, "Seniors", TRUE, "Working Age")</f>
        <v>Seniors</v>
      </c>
      <c r="J3706" s="6">
        <f>VLOOKUP(F3706,Analysis!$F$1:$G$5,2,FALSE)</f>
        <v>2496.7676064256989</v>
      </c>
      <c r="K3706">
        <f t="shared" si="228"/>
        <v>4505.09</v>
      </c>
      <c r="L3706">
        <f t="shared" si="229"/>
        <v>4505.1000000000004</v>
      </c>
      <c r="M3706">
        <f t="shared" si="230"/>
        <v>4505.09</v>
      </c>
      <c r="N3706" s="5" t="str">
        <f t="shared" si="231"/>
        <v>June 2023</v>
      </c>
    </row>
    <row r="3707" spans="1:14" x14ac:dyDescent="0.25">
      <c r="A3707" s="1">
        <v>45102</v>
      </c>
      <c r="B3707" t="s">
        <v>664</v>
      </c>
      <c r="C3707">
        <v>41</v>
      </c>
      <c r="D3707" t="s">
        <v>9</v>
      </c>
      <c r="E3707" t="s">
        <v>15</v>
      </c>
      <c r="F3707" t="s">
        <v>23</v>
      </c>
      <c r="G3707" t="s">
        <v>17</v>
      </c>
      <c r="H3707">
        <v>1897.65</v>
      </c>
      <c r="I3707" s="8" t="str" cm="1">
        <f t="array" ref="I3707">_xlfn.IFS(C3707&lt;=15,"Children and Young Adolescents", C3707&gt;64, "Seniors", TRUE, "Working Age")</f>
        <v>Working Age</v>
      </c>
      <c r="J3707" s="6">
        <f>VLOOKUP(F3707,Analysis!$F$1:$G$5,2,FALSE)</f>
        <v>2440.2966694490838</v>
      </c>
      <c r="K3707">
        <f t="shared" si="228"/>
        <v>2087.41</v>
      </c>
      <c r="L3707">
        <f t="shared" si="229"/>
        <v>2087.42</v>
      </c>
      <c r="M3707">
        <f t="shared" si="230"/>
        <v>2087.42</v>
      </c>
      <c r="N3707" s="5" t="str">
        <f t="shared" si="231"/>
        <v>June 2023</v>
      </c>
    </row>
    <row r="3708" spans="1:14" x14ac:dyDescent="0.25">
      <c r="A3708" s="1">
        <v>45103</v>
      </c>
      <c r="B3708" t="s">
        <v>856</v>
      </c>
      <c r="C3708">
        <v>22</v>
      </c>
      <c r="D3708" t="s">
        <v>14</v>
      </c>
      <c r="E3708" t="s">
        <v>34</v>
      </c>
      <c r="F3708" t="s">
        <v>16</v>
      </c>
      <c r="G3708" t="s">
        <v>39</v>
      </c>
      <c r="H3708">
        <v>1667.13</v>
      </c>
      <c r="I3708" s="8" t="str" cm="1">
        <f t="array" ref="I3708">_xlfn.IFS(C3708&lt;=15,"Children and Young Adolescents", C3708&gt;64, "Seniors", TRUE, "Working Age")</f>
        <v>Working Age</v>
      </c>
      <c r="J3708" s="6">
        <f>VLOOKUP(F3708,Analysis!$F$1:$G$5,2,FALSE)</f>
        <v>2509.1716796874912</v>
      </c>
      <c r="K3708">
        <f t="shared" si="228"/>
        <v>1833.84</v>
      </c>
      <c r="L3708">
        <f t="shared" si="229"/>
        <v>1833.85</v>
      </c>
      <c r="M3708">
        <f t="shared" si="230"/>
        <v>1833.84</v>
      </c>
      <c r="N3708" s="5" t="str">
        <f t="shared" si="231"/>
        <v>June 2023</v>
      </c>
    </row>
    <row r="3709" spans="1:14" x14ac:dyDescent="0.25">
      <c r="A3709" s="1">
        <v>45103</v>
      </c>
      <c r="B3709" t="s">
        <v>2067</v>
      </c>
      <c r="C3709">
        <v>96</v>
      </c>
      <c r="D3709" t="s">
        <v>14</v>
      </c>
      <c r="E3709" t="s">
        <v>15</v>
      </c>
      <c r="F3709" t="s">
        <v>11</v>
      </c>
      <c r="G3709" t="s">
        <v>36</v>
      </c>
      <c r="H3709">
        <v>40.479999999999997</v>
      </c>
      <c r="I3709" s="8" t="str" cm="1">
        <f t="array" ref="I3709">_xlfn.IFS(C3709&lt;=15,"Children and Young Adolescents", C3709&gt;64, "Seniors", TRUE, "Working Age")</f>
        <v>Seniors</v>
      </c>
      <c r="J3709" s="6">
        <f>VLOOKUP(F3709,Analysis!$F$1:$G$5,2,FALSE)</f>
        <v>2503.6022787783854</v>
      </c>
      <c r="K3709">
        <f t="shared" si="228"/>
        <v>44.52</v>
      </c>
      <c r="L3709">
        <f t="shared" si="229"/>
        <v>44.53</v>
      </c>
      <c r="M3709">
        <f t="shared" si="230"/>
        <v>44.53</v>
      </c>
      <c r="N3709" s="5" t="str">
        <f t="shared" si="231"/>
        <v>June 2023</v>
      </c>
    </row>
    <row r="3710" spans="1:14" x14ac:dyDescent="0.25">
      <c r="A3710" s="1">
        <v>45103</v>
      </c>
      <c r="B3710" t="s">
        <v>4606</v>
      </c>
      <c r="C3710">
        <v>16</v>
      </c>
      <c r="D3710" t="s">
        <v>14</v>
      </c>
      <c r="E3710" t="s">
        <v>15</v>
      </c>
      <c r="F3710" t="s">
        <v>29</v>
      </c>
      <c r="G3710" t="s">
        <v>17</v>
      </c>
      <c r="H3710">
        <v>1652.04</v>
      </c>
      <c r="I3710" s="8" t="str" cm="1">
        <f t="array" ref="I3710">_xlfn.IFS(C3710&lt;=15,"Children and Young Adolescents", C3710&gt;64, "Seniors", TRUE, "Working Age")</f>
        <v>Working Age</v>
      </c>
      <c r="J3710" s="6">
        <f>VLOOKUP(F3710,Analysis!$F$1:$G$5,2,FALSE)</f>
        <v>2496.7676064256989</v>
      </c>
      <c r="K3710">
        <f t="shared" si="228"/>
        <v>1817.24</v>
      </c>
      <c r="L3710">
        <f t="shared" si="229"/>
        <v>1817.25</v>
      </c>
      <c r="M3710">
        <f t="shared" si="230"/>
        <v>1817.24</v>
      </c>
      <c r="N3710" s="5" t="str">
        <f t="shared" si="231"/>
        <v>June 2023</v>
      </c>
    </row>
    <row r="3711" spans="1:14" x14ac:dyDescent="0.25">
      <c r="A3711" s="1">
        <v>45103</v>
      </c>
      <c r="B3711" t="s">
        <v>2769</v>
      </c>
      <c r="C3711">
        <v>33</v>
      </c>
      <c r="D3711" t="s">
        <v>14</v>
      </c>
      <c r="E3711" t="s">
        <v>15</v>
      </c>
      <c r="F3711" t="s">
        <v>23</v>
      </c>
      <c r="G3711" t="s">
        <v>39</v>
      </c>
      <c r="H3711">
        <v>110.87</v>
      </c>
      <c r="I3711" s="8" t="str" cm="1">
        <f t="array" ref="I3711">_xlfn.IFS(C3711&lt;=15,"Children and Young Adolescents", C3711&gt;64, "Seniors", TRUE, "Working Age")</f>
        <v>Working Age</v>
      </c>
      <c r="J3711" s="6">
        <f>VLOOKUP(F3711,Analysis!$F$1:$G$5,2,FALSE)</f>
        <v>2440.2966694490838</v>
      </c>
      <c r="K3711">
        <f t="shared" si="228"/>
        <v>121.95</v>
      </c>
      <c r="L3711">
        <f t="shared" si="229"/>
        <v>121.96000000000001</v>
      </c>
      <c r="M3711">
        <f t="shared" si="230"/>
        <v>121.96</v>
      </c>
      <c r="N3711" s="5" t="str">
        <f t="shared" si="231"/>
        <v>June 2023</v>
      </c>
    </row>
    <row r="3712" spans="1:14" x14ac:dyDescent="0.25">
      <c r="A3712" s="1">
        <v>45104</v>
      </c>
      <c r="B3712" t="s">
        <v>3746</v>
      </c>
      <c r="C3712">
        <v>2</v>
      </c>
      <c r="D3712" t="s">
        <v>14</v>
      </c>
      <c r="E3712" t="s">
        <v>10</v>
      </c>
      <c r="F3712" t="s">
        <v>16</v>
      </c>
      <c r="G3712" t="s">
        <v>27</v>
      </c>
      <c r="H3712">
        <v>3942.91</v>
      </c>
      <c r="I3712" s="8" t="str" cm="1">
        <f t="array" ref="I3712">_xlfn.IFS(C3712&lt;=15,"Children and Young Adolescents", C3712&gt;64, "Seniors", TRUE, "Working Age")</f>
        <v>Children and Young Adolescents</v>
      </c>
      <c r="J3712" s="6">
        <f>VLOOKUP(F3712,Analysis!$F$1:$G$5,2,FALSE)</f>
        <v>2509.1716796874912</v>
      </c>
      <c r="K3712">
        <f t="shared" si="228"/>
        <v>4337.2</v>
      </c>
      <c r="L3712">
        <f t="shared" si="229"/>
        <v>4337.21</v>
      </c>
      <c r="M3712">
        <f t="shared" si="230"/>
        <v>4337.2</v>
      </c>
      <c r="N3712" s="5" t="str">
        <f t="shared" si="231"/>
        <v>June 2023</v>
      </c>
    </row>
    <row r="3713" spans="1:14" x14ac:dyDescent="0.25">
      <c r="A3713" s="1">
        <v>45104</v>
      </c>
      <c r="B3713" t="s">
        <v>4111</v>
      </c>
      <c r="C3713">
        <v>70</v>
      </c>
      <c r="D3713" t="s">
        <v>14</v>
      </c>
      <c r="E3713" t="s">
        <v>15</v>
      </c>
      <c r="F3713" t="s">
        <v>11</v>
      </c>
      <c r="G3713" t="s">
        <v>17</v>
      </c>
      <c r="H3713">
        <v>1728.56</v>
      </c>
      <c r="I3713" s="8" t="str" cm="1">
        <f t="array" ref="I3713">_xlfn.IFS(C3713&lt;=15,"Children and Young Adolescents", C3713&gt;64, "Seniors", TRUE, "Working Age")</f>
        <v>Seniors</v>
      </c>
      <c r="J3713" s="6">
        <f>VLOOKUP(F3713,Analysis!$F$1:$G$5,2,FALSE)</f>
        <v>2503.6022787783854</v>
      </c>
      <c r="K3713">
        <f t="shared" si="228"/>
        <v>1901.41</v>
      </c>
      <c r="L3713">
        <f t="shared" si="229"/>
        <v>1901.42</v>
      </c>
      <c r="M3713">
        <f t="shared" si="230"/>
        <v>1901.42</v>
      </c>
      <c r="N3713" s="5" t="str">
        <f t="shared" si="231"/>
        <v>June 2023</v>
      </c>
    </row>
    <row r="3714" spans="1:14" x14ac:dyDescent="0.25">
      <c r="A3714" s="1">
        <v>45104</v>
      </c>
      <c r="B3714" t="s">
        <v>1082</v>
      </c>
      <c r="C3714">
        <v>93</v>
      </c>
      <c r="D3714" t="s">
        <v>21</v>
      </c>
      <c r="E3714" t="s">
        <v>34</v>
      </c>
      <c r="F3714" t="s">
        <v>23</v>
      </c>
      <c r="G3714" t="s">
        <v>36</v>
      </c>
      <c r="H3714">
        <v>865.69</v>
      </c>
      <c r="I3714" s="8" t="str" cm="1">
        <f t="array" ref="I3714">_xlfn.IFS(C3714&lt;=15,"Children and Young Adolescents", C3714&gt;64, "Seniors", TRUE, "Working Age")</f>
        <v>Seniors</v>
      </c>
      <c r="J3714" s="6">
        <f>VLOOKUP(F3714,Analysis!$F$1:$G$5,2,FALSE)</f>
        <v>2440.2966694490838</v>
      </c>
      <c r="K3714">
        <f t="shared" si="228"/>
        <v>952.25</v>
      </c>
      <c r="L3714">
        <f t="shared" si="229"/>
        <v>952.26</v>
      </c>
      <c r="M3714">
        <f t="shared" si="230"/>
        <v>952.26</v>
      </c>
      <c r="N3714" s="5" t="str">
        <f t="shared" si="231"/>
        <v>June 2023</v>
      </c>
    </row>
    <row r="3715" spans="1:14" x14ac:dyDescent="0.25">
      <c r="A3715" s="1">
        <v>45104</v>
      </c>
      <c r="B3715" t="s">
        <v>2803</v>
      </c>
      <c r="C3715">
        <v>69</v>
      </c>
      <c r="D3715" t="s">
        <v>14</v>
      </c>
      <c r="E3715" t="s">
        <v>34</v>
      </c>
      <c r="F3715" t="s">
        <v>11</v>
      </c>
      <c r="G3715" t="s">
        <v>12</v>
      </c>
      <c r="H3715">
        <v>311.52</v>
      </c>
      <c r="I3715" s="8" t="str" cm="1">
        <f t="array" ref="I3715">_xlfn.IFS(C3715&lt;=15,"Children and Young Adolescents", C3715&gt;64, "Seniors", TRUE, "Working Age")</f>
        <v>Seniors</v>
      </c>
      <c r="J3715" s="6">
        <f>VLOOKUP(F3715,Analysis!$F$1:$G$5,2,FALSE)</f>
        <v>2503.6022787783854</v>
      </c>
      <c r="K3715">
        <f t="shared" ref="K3715:K3778" si="232">ROUNDDOWN(H3715*1.1,2)</f>
        <v>342.67</v>
      </c>
      <c r="L3715">
        <f t="shared" ref="L3715:L3778" si="233">ROUNDUP(H3715*1.1,2)</f>
        <v>342.68</v>
      </c>
      <c r="M3715">
        <f t="shared" ref="M3715:M3778" si="234">ROUND(H3715*1.1,2)</f>
        <v>342.67</v>
      </c>
      <c r="N3715" s="5" t="str">
        <f t="shared" ref="N3715:N3778" si="235">TEXT(A3715,"mmmm yyyy")</f>
        <v>June 2023</v>
      </c>
    </row>
    <row r="3716" spans="1:14" x14ac:dyDescent="0.25">
      <c r="A3716" s="1">
        <v>45104</v>
      </c>
      <c r="B3716" t="s">
        <v>502</v>
      </c>
      <c r="C3716">
        <v>18</v>
      </c>
      <c r="D3716" t="s">
        <v>21</v>
      </c>
      <c r="E3716" t="s">
        <v>25</v>
      </c>
      <c r="F3716" t="s">
        <v>23</v>
      </c>
      <c r="G3716" t="s">
        <v>17</v>
      </c>
      <c r="H3716">
        <v>541.99</v>
      </c>
      <c r="I3716" s="8" t="str" cm="1">
        <f t="array" ref="I3716">_xlfn.IFS(C3716&lt;=15,"Children and Young Adolescents", C3716&gt;64, "Seniors", TRUE, "Working Age")</f>
        <v>Working Age</v>
      </c>
      <c r="J3716" s="6">
        <f>VLOOKUP(F3716,Analysis!$F$1:$G$5,2,FALSE)</f>
        <v>2440.2966694490838</v>
      </c>
      <c r="K3716">
        <f t="shared" si="232"/>
        <v>596.17999999999995</v>
      </c>
      <c r="L3716">
        <f t="shared" si="233"/>
        <v>596.18999999999994</v>
      </c>
      <c r="M3716">
        <f t="shared" si="234"/>
        <v>596.19000000000005</v>
      </c>
      <c r="N3716" s="5" t="str">
        <f t="shared" si="235"/>
        <v>June 2023</v>
      </c>
    </row>
    <row r="3717" spans="1:14" x14ac:dyDescent="0.25">
      <c r="A3717" s="1">
        <v>45104</v>
      </c>
      <c r="B3717" t="s">
        <v>2855</v>
      </c>
      <c r="C3717">
        <v>46</v>
      </c>
      <c r="D3717" t="s">
        <v>9</v>
      </c>
      <c r="E3717" t="s">
        <v>22</v>
      </c>
      <c r="F3717" t="s">
        <v>23</v>
      </c>
      <c r="G3717" t="s">
        <v>39</v>
      </c>
      <c r="H3717">
        <v>3224.97</v>
      </c>
      <c r="I3717" s="8" t="str" cm="1">
        <f t="array" ref="I3717">_xlfn.IFS(C3717&lt;=15,"Children and Young Adolescents", C3717&gt;64, "Seniors", TRUE, "Working Age")</f>
        <v>Working Age</v>
      </c>
      <c r="J3717" s="6">
        <f>VLOOKUP(F3717,Analysis!$F$1:$G$5,2,FALSE)</f>
        <v>2440.2966694490838</v>
      </c>
      <c r="K3717">
        <f t="shared" si="232"/>
        <v>3547.46</v>
      </c>
      <c r="L3717">
        <f t="shared" si="233"/>
        <v>3547.4700000000003</v>
      </c>
      <c r="M3717">
        <f t="shared" si="234"/>
        <v>3547.47</v>
      </c>
      <c r="N3717" s="5" t="str">
        <f t="shared" si="235"/>
        <v>June 2023</v>
      </c>
    </row>
    <row r="3718" spans="1:14" x14ac:dyDescent="0.25">
      <c r="A3718" s="1">
        <v>45104</v>
      </c>
      <c r="B3718" t="s">
        <v>225</v>
      </c>
      <c r="C3718">
        <v>47</v>
      </c>
      <c r="D3718" t="s">
        <v>21</v>
      </c>
      <c r="E3718" t="s">
        <v>34</v>
      </c>
      <c r="F3718" t="s">
        <v>29</v>
      </c>
      <c r="G3718" t="s">
        <v>39</v>
      </c>
      <c r="H3718">
        <v>1219.46</v>
      </c>
      <c r="I3718" s="8" t="str" cm="1">
        <f t="array" ref="I3718">_xlfn.IFS(C3718&lt;=15,"Children and Young Adolescents", C3718&gt;64, "Seniors", TRUE, "Working Age")</f>
        <v>Working Age</v>
      </c>
      <c r="J3718" s="6">
        <f>VLOOKUP(F3718,Analysis!$F$1:$G$5,2,FALSE)</f>
        <v>2496.7676064256989</v>
      </c>
      <c r="K3718">
        <f t="shared" si="232"/>
        <v>1341.4</v>
      </c>
      <c r="L3718">
        <f t="shared" si="233"/>
        <v>1341.41</v>
      </c>
      <c r="M3718">
        <f t="shared" si="234"/>
        <v>1341.41</v>
      </c>
      <c r="N3718" s="5" t="str">
        <f t="shared" si="235"/>
        <v>June 2023</v>
      </c>
    </row>
    <row r="3719" spans="1:14" x14ac:dyDescent="0.25">
      <c r="A3719" s="1">
        <v>45104</v>
      </c>
      <c r="B3719" t="s">
        <v>2493</v>
      </c>
      <c r="C3719">
        <v>15</v>
      </c>
      <c r="D3719" t="s">
        <v>14</v>
      </c>
      <c r="E3719" t="s">
        <v>32</v>
      </c>
      <c r="F3719" t="s">
        <v>23</v>
      </c>
      <c r="G3719" t="s">
        <v>36</v>
      </c>
      <c r="H3719">
        <v>742.51</v>
      </c>
      <c r="I3719" s="8" t="str" cm="1">
        <f t="array" ref="I3719">_xlfn.IFS(C3719&lt;=15,"Children and Young Adolescents", C3719&gt;64, "Seniors", TRUE, "Working Age")</f>
        <v>Children and Young Adolescents</v>
      </c>
      <c r="J3719" s="6">
        <f>VLOOKUP(F3719,Analysis!$F$1:$G$5,2,FALSE)</f>
        <v>2440.2966694490838</v>
      </c>
      <c r="K3719">
        <f t="shared" si="232"/>
        <v>816.76</v>
      </c>
      <c r="L3719">
        <f t="shared" si="233"/>
        <v>816.77</v>
      </c>
      <c r="M3719">
        <f t="shared" si="234"/>
        <v>816.76</v>
      </c>
      <c r="N3719" s="5" t="str">
        <f t="shared" si="235"/>
        <v>June 2023</v>
      </c>
    </row>
    <row r="3720" spans="1:14" x14ac:dyDescent="0.25">
      <c r="A3720" s="1">
        <v>45104</v>
      </c>
      <c r="B3720" t="s">
        <v>4787</v>
      </c>
      <c r="C3720">
        <v>19</v>
      </c>
      <c r="D3720" t="s">
        <v>9</v>
      </c>
      <c r="E3720" t="s">
        <v>34</v>
      </c>
      <c r="F3720" t="s">
        <v>29</v>
      </c>
      <c r="G3720" t="s">
        <v>36</v>
      </c>
      <c r="H3720">
        <v>4181.3</v>
      </c>
      <c r="I3720" s="8" t="str" cm="1">
        <f t="array" ref="I3720">_xlfn.IFS(C3720&lt;=15,"Children and Young Adolescents", C3720&gt;64, "Seniors", TRUE, "Working Age")</f>
        <v>Working Age</v>
      </c>
      <c r="J3720" s="6">
        <f>VLOOKUP(F3720,Analysis!$F$1:$G$5,2,FALSE)</f>
        <v>2496.7676064256989</v>
      </c>
      <c r="K3720">
        <f t="shared" si="232"/>
        <v>4599.43</v>
      </c>
      <c r="L3720">
        <f t="shared" si="233"/>
        <v>4599.43</v>
      </c>
      <c r="M3720">
        <f t="shared" si="234"/>
        <v>4599.43</v>
      </c>
      <c r="N3720" s="5" t="str">
        <f t="shared" si="235"/>
        <v>June 2023</v>
      </c>
    </row>
    <row r="3721" spans="1:14" x14ac:dyDescent="0.25">
      <c r="A3721" s="1">
        <v>45105</v>
      </c>
      <c r="B3721" t="s">
        <v>560</v>
      </c>
      <c r="C3721">
        <v>11</v>
      </c>
      <c r="D3721" t="s">
        <v>9</v>
      </c>
      <c r="E3721" t="s">
        <v>15</v>
      </c>
      <c r="F3721" t="s">
        <v>16</v>
      </c>
      <c r="G3721" t="s">
        <v>17</v>
      </c>
      <c r="H3721">
        <v>2926.34</v>
      </c>
      <c r="I3721" s="8" t="str" cm="1">
        <f t="array" ref="I3721">_xlfn.IFS(C3721&lt;=15,"Children and Young Adolescents", C3721&gt;64, "Seniors", TRUE, "Working Age")</f>
        <v>Children and Young Adolescents</v>
      </c>
      <c r="J3721" s="6">
        <f>VLOOKUP(F3721,Analysis!$F$1:$G$5,2,FALSE)</f>
        <v>2509.1716796874912</v>
      </c>
      <c r="K3721">
        <f t="shared" si="232"/>
        <v>3218.97</v>
      </c>
      <c r="L3721">
        <f t="shared" si="233"/>
        <v>3218.98</v>
      </c>
      <c r="M3721">
        <f t="shared" si="234"/>
        <v>3218.97</v>
      </c>
      <c r="N3721" s="5" t="str">
        <f t="shared" si="235"/>
        <v>June 2023</v>
      </c>
    </row>
    <row r="3722" spans="1:14" x14ac:dyDescent="0.25">
      <c r="A3722" s="1">
        <v>45105</v>
      </c>
      <c r="B3722" t="s">
        <v>3237</v>
      </c>
      <c r="C3722">
        <v>11</v>
      </c>
      <c r="D3722" t="s">
        <v>14</v>
      </c>
      <c r="E3722" t="s">
        <v>34</v>
      </c>
      <c r="F3722" t="s">
        <v>16</v>
      </c>
      <c r="G3722" t="s">
        <v>27</v>
      </c>
      <c r="H3722">
        <v>3504.53</v>
      </c>
      <c r="I3722" s="8" t="str" cm="1">
        <f t="array" ref="I3722">_xlfn.IFS(C3722&lt;=15,"Children and Young Adolescents", C3722&gt;64, "Seniors", TRUE, "Working Age")</f>
        <v>Children and Young Adolescents</v>
      </c>
      <c r="J3722" s="6">
        <f>VLOOKUP(F3722,Analysis!$F$1:$G$5,2,FALSE)</f>
        <v>2509.1716796874912</v>
      </c>
      <c r="K3722">
        <f t="shared" si="232"/>
        <v>3854.98</v>
      </c>
      <c r="L3722">
        <f t="shared" si="233"/>
        <v>3854.9900000000002</v>
      </c>
      <c r="M3722">
        <f t="shared" si="234"/>
        <v>3854.98</v>
      </c>
      <c r="N3722" s="5" t="str">
        <f t="shared" si="235"/>
        <v>June 2023</v>
      </c>
    </row>
    <row r="3723" spans="1:14" x14ac:dyDescent="0.25">
      <c r="A3723" s="1">
        <v>45105</v>
      </c>
      <c r="B3723" t="s">
        <v>4091</v>
      </c>
      <c r="C3723">
        <v>29</v>
      </c>
      <c r="D3723" t="s">
        <v>14</v>
      </c>
      <c r="E3723" t="s">
        <v>32</v>
      </c>
      <c r="F3723" t="s">
        <v>23</v>
      </c>
      <c r="G3723" t="s">
        <v>27</v>
      </c>
      <c r="H3723">
        <v>2507.41</v>
      </c>
      <c r="I3723" s="8" t="str" cm="1">
        <f t="array" ref="I3723">_xlfn.IFS(C3723&lt;=15,"Children and Young Adolescents", C3723&gt;64, "Seniors", TRUE, "Working Age")</f>
        <v>Working Age</v>
      </c>
      <c r="J3723" s="6">
        <f>VLOOKUP(F3723,Analysis!$F$1:$G$5,2,FALSE)</f>
        <v>2440.2966694490838</v>
      </c>
      <c r="K3723">
        <f t="shared" si="232"/>
        <v>2758.15</v>
      </c>
      <c r="L3723">
        <f t="shared" si="233"/>
        <v>2758.1600000000003</v>
      </c>
      <c r="M3723">
        <f t="shared" si="234"/>
        <v>2758.15</v>
      </c>
      <c r="N3723" s="5" t="str">
        <f t="shared" si="235"/>
        <v>June 2023</v>
      </c>
    </row>
    <row r="3724" spans="1:14" x14ac:dyDescent="0.25">
      <c r="A3724" s="1">
        <v>45105</v>
      </c>
      <c r="B3724" t="s">
        <v>3144</v>
      </c>
      <c r="C3724">
        <v>68</v>
      </c>
      <c r="D3724" t="s">
        <v>21</v>
      </c>
      <c r="E3724" t="s">
        <v>10</v>
      </c>
      <c r="F3724" t="s">
        <v>29</v>
      </c>
      <c r="G3724" t="s">
        <v>12</v>
      </c>
      <c r="H3724">
        <v>2227.2199999999998</v>
      </c>
      <c r="I3724" s="8" t="str" cm="1">
        <f t="array" ref="I3724">_xlfn.IFS(C3724&lt;=15,"Children and Young Adolescents", C3724&gt;64, "Seniors", TRUE, "Working Age")</f>
        <v>Seniors</v>
      </c>
      <c r="J3724" s="6">
        <f>VLOOKUP(F3724,Analysis!$F$1:$G$5,2,FALSE)</f>
        <v>2496.7676064256989</v>
      </c>
      <c r="K3724">
        <f t="shared" si="232"/>
        <v>2449.94</v>
      </c>
      <c r="L3724">
        <f t="shared" si="233"/>
        <v>2449.9500000000003</v>
      </c>
      <c r="M3724">
        <f t="shared" si="234"/>
        <v>2449.94</v>
      </c>
      <c r="N3724" s="5" t="str">
        <f t="shared" si="235"/>
        <v>June 2023</v>
      </c>
    </row>
    <row r="3725" spans="1:14" x14ac:dyDescent="0.25">
      <c r="A3725" s="1">
        <v>45105</v>
      </c>
      <c r="B3725" t="s">
        <v>4959</v>
      </c>
      <c r="C3725">
        <v>6</v>
      </c>
      <c r="D3725" t="s">
        <v>14</v>
      </c>
      <c r="E3725" t="s">
        <v>19</v>
      </c>
      <c r="F3725" t="s">
        <v>11</v>
      </c>
      <c r="G3725" t="s">
        <v>17</v>
      </c>
      <c r="H3725">
        <v>3258.82</v>
      </c>
      <c r="I3725" s="8" t="str" cm="1">
        <f t="array" ref="I3725">_xlfn.IFS(C3725&lt;=15,"Children and Young Adolescents", C3725&gt;64, "Seniors", TRUE, "Working Age")</f>
        <v>Children and Young Adolescents</v>
      </c>
      <c r="J3725" s="6">
        <f>VLOOKUP(F3725,Analysis!$F$1:$G$5,2,FALSE)</f>
        <v>2503.6022787783854</v>
      </c>
      <c r="K3725">
        <f t="shared" si="232"/>
        <v>3584.7</v>
      </c>
      <c r="L3725">
        <f t="shared" si="233"/>
        <v>3584.71</v>
      </c>
      <c r="M3725">
        <f t="shared" si="234"/>
        <v>3584.7</v>
      </c>
      <c r="N3725" s="5" t="str">
        <f t="shared" si="235"/>
        <v>June 2023</v>
      </c>
    </row>
    <row r="3726" spans="1:14" x14ac:dyDescent="0.25">
      <c r="A3726" s="1">
        <v>45106</v>
      </c>
      <c r="B3726" t="s">
        <v>1936</v>
      </c>
      <c r="C3726">
        <v>43</v>
      </c>
      <c r="D3726" t="s">
        <v>14</v>
      </c>
      <c r="E3726" t="s">
        <v>10</v>
      </c>
      <c r="F3726" t="s">
        <v>29</v>
      </c>
      <c r="G3726" t="s">
        <v>39</v>
      </c>
      <c r="H3726">
        <v>1043.96</v>
      </c>
      <c r="I3726" s="8" t="str" cm="1">
        <f t="array" ref="I3726">_xlfn.IFS(C3726&lt;=15,"Children and Young Adolescents", C3726&gt;64, "Seniors", TRUE, "Working Age")</f>
        <v>Working Age</v>
      </c>
      <c r="J3726" s="6">
        <f>VLOOKUP(F3726,Analysis!$F$1:$G$5,2,FALSE)</f>
        <v>2496.7676064256989</v>
      </c>
      <c r="K3726">
        <f t="shared" si="232"/>
        <v>1148.3499999999999</v>
      </c>
      <c r="L3726">
        <f t="shared" si="233"/>
        <v>1148.3599999999999</v>
      </c>
      <c r="M3726">
        <f t="shared" si="234"/>
        <v>1148.3599999999999</v>
      </c>
      <c r="N3726" s="5" t="str">
        <f t="shared" si="235"/>
        <v>June 2023</v>
      </c>
    </row>
    <row r="3727" spans="1:14" x14ac:dyDescent="0.25">
      <c r="A3727" s="1">
        <v>45106</v>
      </c>
      <c r="B3727" t="s">
        <v>2863</v>
      </c>
      <c r="C3727">
        <v>33</v>
      </c>
      <c r="D3727" t="s">
        <v>9</v>
      </c>
      <c r="E3727" t="s">
        <v>15</v>
      </c>
      <c r="F3727" t="s">
        <v>11</v>
      </c>
      <c r="G3727" t="s">
        <v>12</v>
      </c>
      <c r="H3727">
        <v>454.43</v>
      </c>
      <c r="I3727" s="8" t="str" cm="1">
        <f t="array" ref="I3727">_xlfn.IFS(C3727&lt;=15,"Children and Young Adolescents", C3727&gt;64, "Seniors", TRUE, "Working Age")</f>
        <v>Working Age</v>
      </c>
      <c r="J3727" s="6">
        <f>VLOOKUP(F3727,Analysis!$F$1:$G$5,2,FALSE)</f>
        <v>2503.6022787783854</v>
      </c>
      <c r="K3727">
        <f t="shared" si="232"/>
        <v>499.87</v>
      </c>
      <c r="L3727">
        <f t="shared" si="233"/>
        <v>499.88</v>
      </c>
      <c r="M3727">
        <f t="shared" si="234"/>
        <v>499.87</v>
      </c>
      <c r="N3727" s="5" t="str">
        <f t="shared" si="235"/>
        <v>June 2023</v>
      </c>
    </row>
    <row r="3728" spans="1:14" x14ac:dyDescent="0.25">
      <c r="A3728" s="1">
        <v>45106</v>
      </c>
      <c r="B3728" t="s">
        <v>2054</v>
      </c>
      <c r="C3728">
        <v>23</v>
      </c>
      <c r="D3728" t="s">
        <v>14</v>
      </c>
      <c r="E3728" t="s">
        <v>34</v>
      </c>
      <c r="F3728" t="s">
        <v>29</v>
      </c>
      <c r="G3728" t="s">
        <v>27</v>
      </c>
      <c r="H3728">
        <v>3483.07</v>
      </c>
      <c r="I3728" s="8" t="str" cm="1">
        <f t="array" ref="I3728">_xlfn.IFS(C3728&lt;=15,"Children and Young Adolescents", C3728&gt;64, "Seniors", TRUE, "Working Age")</f>
        <v>Working Age</v>
      </c>
      <c r="J3728" s="6">
        <f>VLOOKUP(F3728,Analysis!$F$1:$G$5,2,FALSE)</f>
        <v>2496.7676064256989</v>
      </c>
      <c r="K3728">
        <f t="shared" si="232"/>
        <v>3831.37</v>
      </c>
      <c r="L3728">
        <f t="shared" si="233"/>
        <v>3831.38</v>
      </c>
      <c r="M3728">
        <f t="shared" si="234"/>
        <v>3831.38</v>
      </c>
      <c r="N3728" s="5" t="str">
        <f t="shared" si="235"/>
        <v>June 2023</v>
      </c>
    </row>
    <row r="3729" spans="1:14" x14ac:dyDescent="0.25">
      <c r="A3729" s="1">
        <v>45106</v>
      </c>
      <c r="B3729" t="s">
        <v>2239</v>
      </c>
      <c r="C3729">
        <v>35</v>
      </c>
      <c r="D3729" t="s">
        <v>9</v>
      </c>
      <c r="E3729" t="s">
        <v>34</v>
      </c>
      <c r="F3729" t="s">
        <v>29</v>
      </c>
      <c r="G3729" t="s">
        <v>27</v>
      </c>
      <c r="H3729">
        <v>4393.66</v>
      </c>
      <c r="I3729" s="8" t="str" cm="1">
        <f t="array" ref="I3729">_xlfn.IFS(C3729&lt;=15,"Children and Young Adolescents", C3729&gt;64, "Seniors", TRUE, "Working Age")</f>
        <v>Working Age</v>
      </c>
      <c r="J3729" s="6">
        <f>VLOOKUP(F3729,Analysis!$F$1:$G$5,2,FALSE)</f>
        <v>2496.7676064256989</v>
      </c>
      <c r="K3729">
        <f t="shared" si="232"/>
        <v>4833.0200000000004</v>
      </c>
      <c r="L3729">
        <f t="shared" si="233"/>
        <v>4833.0300000000007</v>
      </c>
      <c r="M3729">
        <f t="shared" si="234"/>
        <v>4833.03</v>
      </c>
      <c r="N3729" s="5" t="str">
        <f t="shared" si="235"/>
        <v>June 2023</v>
      </c>
    </row>
    <row r="3730" spans="1:14" x14ac:dyDescent="0.25">
      <c r="A3730" s="1">
        <v>45106</v>
      </c>
      <c r="B3730" t="s">
        <v>4881</v>
      </c>
      <c r="C3730">
        <v>79</v>
      </c>
      <c r="D3730" t="s">
        <v>14</v>
      </c>
      <c r="E3730" t="s">
        <v>32</v>
      </c>
      <c r="F3730" t="s">
        <v>11</v>
      </c>
      <c r="G3730" t="s">
        <v>39</v>
      </c>
      <c r="H3730">
        <v>2756.08</v>
      </c>
      <c r="I3730" s="8" t="str" cm="1">
        <f t="array" ref="I3730">_xlfn.IFS(C3730&lt;=15,"Children and Young Adolescents", C3730&gt;64, "Seniors", TRUE, "Working Age")</f>
        <v>Seniors</v>
      </c>
      <c r="J3730" s="6">
        <f>VLOOKUP(F3730,Analysis!$F$1:$G$5,2,FALSE)</f>
        <v>2503.6022787783854</v>
      </c>
      <c r="K3730">
        <f t="shared" si="232"/>
        <v>3031.68</v>
      </c>
      <c r="L3730">
        <f t="shared" si="233"/>
        <v>3031.69</v>
      </c>
      <c r="M3730">
        <f t="shared" si="234"/>
        <v>3031.69</v>
      </c>
      <c r="N3730" s="5" t="str">
        <f t="shared" si="235"/>
        <v>June 2023</v>
      </c>
    </row>
    <row r="3731" spans="1:14" x14ac:dyDescent="0.25">
      <c r="A3731" s="1">
        <v>45106</v>
      </c>
      <c r="B3731" t="s">
        <v>827</v>
      </c>
      <c r="C3731">
        <v>24</v>
      </c>
      <c r="D3731" t="s">
        <v>9</v>
      </c>
      <c r="E3731" t="s">
        <v>15</v>
      </c>
      <c r="F3731" t="s">
        <v>23</v>
      </c>
      <c r="G3731" t="s">
        <v>36</v>
      </c>
      <c r="H3731">
        <v>4114.6400000000003</v>
      </c>
      <c r="I3731" s="8" t="str" cm="1">
        <f t="array" ref="I3731">_xlfn.IFS(C3731&lt;=15,"Children and Young Adolescents", C3731&gt;64, "Seniors", TRUE, "Working Age")</f>
        <v>Working Age</v>
      </c>
      <c r="J3731" s="6">
        <f>VLOOKUP(F3731,Analysis!$F$1:$G$5,2,FALSE)</f>
        <v>2440.2966694490838</v>
      </c>
      <c r="K3731">
        <f t="shared" si="232"/>
        <v>4526.1000000000004</v>
      </c>
      <c r="L3731">
        <f t="shared" si="233"/>
        <v>4526.1100000000006</v>
      </c>
      <c r="M3731">
        <f t="shared" si="234"/>
        <v>4526.1000000000004</v>
      </c>
      <c r="N3731" s="5" t="str">
        <f t="shared" si="235"/>
        <v>June 2023</v>
      </c>
    </row>
    <row r="3732" spans="1:14" x14ac:dyDescent="0.25">
      <c r="A3732" s="1">
        <v>45106</v>
      </c>
      <c r="B3732" t="s">
        <v>219</v>
      </c>
      <c r="C3732">
        <v>73</v>
      </c>
      <c r="D3732" t="s">
        <v>21</v>
      </c>
      <c r="E3732" t="s">
        <v>22</v>
      </c>
      <c r="F3732" t="s">
        <v>23</v>
      </c>
      <c r="G3732" t="s">
        <v>17</v>
      </c>
      <c r="H3732">
        <v>2501.7600000000002</v>
      </c>
      <c r="I3732" s="8" t="str" cm="1">
        <f t="array" ref="I3732">_xlfn.IFS(C3732&lt;=15,"Children and Young Adolescents", C3732&gt;64, "Seniors", TRUE, "Working Age")</f>
        <v>Seniors</v>
      </c>
      <c r="J3732" s="6">
        <f>VLOOKUP(F3732,Analysis!$F$1:$G$5,2,FALSE)</f>
        <v>2440.2966694490838</v>
      </c>
      <c r="K3732">
        <f t="shared" si="232"/>
        <v>2751.93</v>
      </c>
      <c r="L3732">
        <f t="shared" si="233"/>
        <v>2751.94</v>
      </c>
      <c r="M3732">
        <f t="shared" si="234"/>
        <v>2751.94</v>
      </c>
      <c r="N3732" s="5" t="str">
        <f t="shared" si="235"/>
        <v>June 2023</v>
      </c>
    </row>
    <row r="3733" spans="1:14" x14ac:dyDescent="0.25">
      <c r="A3733" s="1">
        <v>45106</v>
      </c>
      <c r="B3733" t="s">
        <v>1245</v>
      </c>
      <c r="C3733">
        <v>1</v>
      </c>
      <c r="D3733" t="s">
        <v>14</v>
      </c>
      <c r="E3733" t="s">
        <v>32</v>
      </c>
      <c r="F3733" t="s">
        <v>23</v>
      </c>
      <c r="G3733" t="s">
        <v>36</v>
      </c>
      <c r="H3733">
        <v>2727.47</v>
      </c>
      <c r="I3733" s="8" t="str" cm="1">
        <f t="array" ref="I3733">_xlfn.IFS(C3733&lt;=15,"Children and Young Adolescents", C3733&gt;64, "Seniors", TRUE, "Working Age")</f>
        <v>Children and Young Adolescents</v>
      </c>
      <c r="J3733" s="6">
        <f>VLOOKUP(F3733,Analysis!$F$1:$G$5,2,FALSE)</f>
        <v>2440.2966694490838</v>
      </c>
      <c r="K3733">
        <f t="shared" si="232"/>
        <v>3000.21</v>
      </c>
      <c r="L3733">
        <f t="shared" si="233"/>
        <v>3000.2200000000003</v>
      </c>
      <c r="M3733">
        <f t="shared" si="234"/>
        <v>3000.22</v>
      </c>
      <c r="N3733" s="5" t="str">
        <f t="shared" si="235"/>
        <v>June 2023</v>
      </c>
    </row>
    <row r="3734" spans="1:14" x14ac:dyDescent="0.25">
      <c r="A3734" s="1">
        <v>45106</v>
      </c>
      <c r="B3734" t="s">
        <v>389</v>
      </c>
      <c r="C3734">
        <v>27</v>
      </c>
      <c r="D3734" t="s">
        <v>9</v>
      </c>
      <c r="E3734" t="s">
        <v>32</v>
      </c>
      <c r="F3734" t="s">
        <v>16</v>
      </c>
      <c r="G3734" t="s">
        <v>17</v>
      </c>
      <c r="H3734">
        <v>2464.2800000000002</v>
      </c>
      <c r="I3734" s="8" t="str" cm="1">
        <f t="array" ref="I3734">_xlfn.IFS(C3734&lt;=15,"Children and Young Adolescents", C3734&gt;64, "Seniors", TRUE, "Working Age")</f>
        <v>Working Age</v>
      </c>
      <c r="J3734" s="6">
        <f>VLOOKUP(F3734,Analysis!$F$1:$G$5,2,FALSE)</f>
        <v>2509.1716796874912</v>
      </c>
      <c r="K3734">
        <f t="shared" si="232"/>
        <v>2710.7</v>
      </c>
      <c r="L3734">
        <f t="shared" si="233"/>
        <v>2710.71</v>
      </c>
      <c r="M3734">
        <f t="shared" si="234"/>
        <v>2710.71</v>
      </c>
      <c r="N3734" s="5" t="str">
        <f t="shared" si="235"/>
        <v>June 2023</v>
      </c>
    </row>
    <row r="3735" spans="1:14" x14ac:dyDescent="0.25">
      <c r="A3735" s="1">
        <v>45106</v>
      </c>
      <c r="B3735" t="s">
        <v>1184</v>
      </c>
      <c r="C3735">
        <v>55</v>
      </c>
      <c r="D3735" t="s">
        <v>21</v>
      </c>
      <c r="E3735" t="s">
        <v>34</v>
      </c>
      <c r="F3735" t="s">
        <v>23</v>
      </c>
      <c r="G3735" t="s">
        <v>17</v>
      </c>
      <c r="H3735">
        <v>4834.32</v>
      </c>
      <c r="I3735" s="8" t="str" cm="1">
        <f t="array" ref="I3735">_xlfn.IFS(C3735&lt;=15,"Children and Young Adolescents", C3735&gt;64, "Seniors", TRUE, "Working Age")</f>
        <v>Working Age</v>
      </c>
      <c r="J3735" s="6">
        <f>VLOOKUP(F3735,Analysis!$F$1:$G$5,2,FALSE)</f>
        <v>2440.2966694490838</v>
      </c>
      <c r="K3735">
        <f t="shared" si="232"/>
        <v>5317.75</v>
      </c>
      <c r="L3735">
        <f t="shared" si="233"/>
        <v>5317.76</v>
      </c>
      <c r="M3735">
        <f t="shared" si="234"/>
        <v>5317.75</v>
      </c>
      <c r="N3735" s="5" t="str">
        <f t="shared" si="235"/>
        <v>June 2023</v>
      </c>
    </row>
    <row r="3736" spans="1:14" x14ac:dyDescent="0.25">
      <c r="A3736" s="1">
        <v>45106</v>
      </c>
      <c r="B3736" t="s">
        <v>4628</v>
      </c>
      <c r="C3736">
        <v>9</v>
      </c>
      <c r="D3736" t="s">
        <v>14</v>
      </c>
      <c r="E3736" t="s">
        <v>22</v>
      </c>
      <c r="F3736" t="s">
        <v>16</v>
      </c>
      <c r="G3736" t="s">
        <v>39</v>
      </c>
      <c r="H3736">
        <v>1359.34</v>
      </c>
      <c r="I3736" s="8" t="str" cm="1">
        <f t="array" ref="I3736">_xlfn.IFS(C3736&lt;=15,"Children and Young Adolescents", C3736&gt;64, "Seniors", TRUE, "Working Age")</f>
        <v>Children and Young Adolescents</v>
      </c>
      <c r="J3736" s="6">
        <f>VLOOKUP(F3736,Analysis!$F$1:$G$5,2,FALSE)</f>
        <v>2509.1716796874912</v>
      </c>
      <c r="K3736">
        <f t="shared" si="232"/>
        <v>1495.27</v>
      </c>
      <c r="L3736">
        <f t="shared" si="233"/>
        <v>1495.28</v>
      </c>
      <c r="M3736">
        <f t="shared" si="234"/>
        <v>1495.27</v>
      </c>
      <c r="N3736" s="5" t="str">
        <f t="shared" si="235"/>
        <v>June 2023</v>
      </c>
    </row>
    <row r="3737" spans="1:14" x14ac:dyDescent="0.25">
      <c r="A3737" s="1">
        <v>45107</v>
      </c>
      <c r="B3737" t="s">
        <v>2926</v>
      </c>
      <c r="C3737">
        <v>85</v>
      </c>
      <c r="D3737" t="s">
        <v>21</v>
      </c>
      <c r="E3737" t="s">
        <v>5032</v>
      </c>
      <c r="F3737" t="s">
        <v>16</v>
      </c>
      <c r="G3737" t="s">
        <v>39</v>
      </c>
      <c r="H3737">
        <v>3043.82</v>
      </c>
      <c r="I3737" s="8" t="str" cm="1">
        <f t="array" ref="I3737">_xlfn.IFS(C3737&lt;=15,"Children and Young Adolescents", C3737&gt;64, "Seniors", TRUE, "Working Age")</f>
        <v>Seniors</v>
      </c>
      <c r="J3737" s="6">
        <f>VLOOKUP(F3737,Analysis!$F$1:$G$5,2,FALSE)</f>
        <v>2509.1716796874912</v>
      </c>
      <c r="K3737">
        <f t="shared" si="232"/>
        <v>3348.2</v>
      </c>
      <c r="L3737">
        <f t="shared" si="233"/>
        <v>3348.21</v>
      </c>
      <c r="M3737">
        <f t="shared" si="234"/>
        <v>3348.2</v>
      </c>
      <c r="N3737" s="5" t="str">
        <f t="shared" si="235"/>
        <v>June 2023</v>
      </c>
    </row>
    <row r="3738" spans="1:14" x14ac:dyDescent="0.25">
      <c r="A3738" s="1">
        <v>45107</v>
      </c>
      <c r="B3738" t="s">
        <v>3978</v>
      </c>
      <c r="C3738">
        <v>62</v>
      </c>
      <c r="D3738" t="s">
        <v>9</v>
      </c>
      <c r="E3738" t="s">
        <v>32</v>
      </c>
      <c r="F3738" t="s">
        <v>23</v>
      </c>
      <c r="G3738" t="s">
        <v>39</v>
      </c>
      <c r="H3738">
        <v>4618.1499999999996</v>
      </c>
      <c r="I3738" s="8" t="str" cm="1">
        <f t="array" ref="I3738">_xlfn.IFS(C3738&lt;=15,"Children and Young Adolescents", C3738&gt;64, "Seniors", TRUE, "Working Age")</f>
        <v>Working Age</v>
      </c>
      <c r="J3738" s="6">
        <f>VLOOKUP(F3738,Analysis!$F$1:$G$5,2,FALSE)</f>
        <v>2440.2966694490838</v>
      </c>
      <c r="K3738">
        <f t="shared" si="232"/>
        <v>5079.96</v>
      </c>
      <c r="L3738">
        <f t="shared" si="233"/>
        <v>5079.97</v>
      </c>
      <c r="M3738">
        <f t="shared" si="234"/>
        <v>5079.97</v>
      </c>
      <c r="N3738" s="5" t="str">
        <f t="shared" si="235"/>
        <v>June 2023</v>
      </c>
    </row>
    <row r="3739" spans="1:14" x14ac:dyDescent="0.25">
      <c r="A3739" s="1">
        <v>45107</v>
      </c>
      <c r="B3739" t="s">
        <v>1490</v>
      </c>
      <c r="C3739">
        <v>50</v>
      </c>
      <c r="D3739" t="s">
        <v>21</v>
      </c>
      <c r="E3739" t="s">
        <v>22</v>
      </c>
      <c r="F3739" t="s">
        <v>11</v>
      </c>
      <c r="G3739" t="s">
        <v>39</v>
      </c>
      <c r="H3739">
        <v>1824.55</v>
      </c>
      <c r="I3739" s="8" t="str" cm="1">
        <f t="array" ref="I3739">_xlfn.IFS(C3739&lt;=15,"Children and Young Adolescents", C3739&gt;64, "Seniors", TRUE, "Working Age")</f>
        <v>Working Age</v>
      </c>
      <c r="J3739" s="6">
        <f>VLOOKUP(F3739,Analysis!$F$1:$G$5,2,FALSE)</f>
        <v>2503.6022787783854</v>
      </c>
      <c r="K3739">
        <f t="shared" si="232"/>
        <v>2007</v>
      </c>
      <c r="L3739">
        <f t="shared" si="233"/>
        <v>2007.01</v>
      </c>
      <c r="M3739">
        <f t="shared" si="234"/>
        <v>2007.01</v>
      </c>
      <c r="N3739" s="5" t="str">
        <f t="shared" si="235"/>
        <v>June 2023</v>
      </c>
    </row>
    <row r="3740" spans="1:14" x14ac:dyDescent="0.25">
      <c r="A3740" s="1">
        <v>45107</v>
      </c>
      <c r="B3740" t="s">
        <v>1682</v>
      </c>
      <c r="C3740">
        <v>52</v>
      </c>
      <c r="D3740" t="s">
        <v>14</v>
      </c>
      <c r="E3740" t="s">
        <v>19</v>
      </c>
      <c r="F3740" t="s">
        <v>23</v>
      </c>
      <c r="G3740" t="s">
        <v>36</v>
      </c>
      <c r="H3740">
        <v>4103.4399999999996</v>
      </c>
      <c r="I3740" s="8" t="str" cm="1">
        <f t="array" ref="I3740">_xlfn.IFS(C3740&lt;=15,"Children and Young Adolescents", C3740&gt;64, "Seniors", TRUE, "Working Age")</f>
        <v>Working Age</v>
      </c>
      <c r="J3740" s="6">
        <f>VLOOKUP(F3740,Analysis!$F$1:$G$5,2,FALSE)</f>
        <v>2440.2966694490838</v>
      </c>
      <c r="K3740">
        <f t="shared" si="232"/>
        <v>4513.78</v>
      </c>
      <c r="L3740">
        <f t="shared" si="233"/>
        <v>4513.79</v>
      </c>
      <c r="M3740">
        <f t="shared" si="234"/>
        <v>4513.78</v>
      </c>
      <c r="N3740" s="5" t="str">
        <f t="shared" si="235"/>
        <v>June 2023</v>
      </c>
    </row>
    <row r="3741" spans="1:14" x14ac:dyDescent="0.25">
      <c r="A3741" s="1">
        <v>45107</v>
      </c>
      <c r="B3741" t="s">
        <v>388</v>
      </c>
      <c r="C3741">
        <v>95</v>
      </c>
      <c r="D3741" t="s">
        <v>21</v>
      </c>
      <c r="E3741" t="s">
        <v>19</v>
      </c>
      <c r="F3741" t="s">
        <v>29</v>
      </c>
      <c r="G3741" t="s">
        <v>27</v>
      </c>
      <c r="H3741">
        <v>2079.41</v>
      </c>
      <c r="I3741" s="8" t="str" cm="1">
        <f t="array" ref="I3741">_xlfn.IFS(C3741&lt;=15,"Children and Young Adolescents", C3741&gt;64, "Seniors", TRUE, "Working Age")</f>
        <v>Seniors</v>
      </c>
      <c r="J3741" s="6">
        <f>VLOOKUP(F3741,Analysis!$F$1:$G$5,2,FALSE)</f>
        <v>2496.7676064256989</v>
      </c>
      <c r="K3741">
        <f t="shared" si="232"/>
        <v>2287.35</v>
      </c>
      <c r="L3741">
        <f t="shared" si="233"/>
        <v>2287.36</v>
      </c>
      <c r="M3741">
        <f t="shared" si="234"/>
        <v>2287.35</v>
      </c>
      <c r="N3741" s="5" t="str">
        <f t="shared" si="235"/>
        <v>June 2023</v>
      </c>
    </row>
    <row r="3742" spans="1:14" x14ac:dyDescent="0.25">
      <c r="A3742" s="1">
        <v>45107</v>
      </c>
      <c r="B3742" t="s">
        <v>1226</v>
      </c>
      <c r="C3742">
        <v>79</v>
      </c>
      <c r="D3742" t="s">
        <v>9</v>
      </c>
      <c r="E3742" t="s">
        <v>5032</v>
      </c>
      <c r="F3742" t="s">
        <v>16</v>
      </c>
      <c r="G3742" t="s">
        <v>27</v>
      </c>
      <c r="H3742">
        <v>575.13</v>
      </c>
      <c r="I3742" s="8" t="str" cm="1">
        <f t="array" ref="I3742">_xlfn.IFS(C3742&lt;=15,"Children and Young Adolescents", C3742&gt;64, "Seniors", TRUE, "Working Age")</f>
        <v>Seniors</v>
      </c>
      <c r="J3742" s="6">
        <f>VLOOKUP(F3742,Analysis!$F$1:$G$5,2,FALSE)</f>
        <v>2509.1716796874912</v>
      </c>
      <c r="K3742">
        <f t="shared" si="232"/>
        <v>632.64</v>
      </c>
      <c r="L3742">
        <f t="shared" si="233"/>
        <v>632.65</v>
      </c>
      <c r="M3742">
        <f t="shared" si="234"/>
        <v>632.64</v>
      </c>
      <c r="N3742" s="5" t="str">
        <f t="shared" si="235"/>
        <v>June 2023</v>
      </c>
    </row>
    <row r="3743" spans="1:14" x14ac:dyDescent="0.25">
      <c r="A3743" s="1">
        <v>45107</v>
      </c>
      <c r="B3743" t="s">
        <v>1154</v>
      </c>
      <c r="C3743">
        <v>47</v>
      </c>
      <c r="D3743" t="s">
        <v>14</v>
      </c>
      <c r="E3743" t="s">
        <v>25</v>
      </c>
      <c r="F3743" t="s">
        <v>29</v>
      </c>
      <c r="G3743" t="s">
        <v>39</v>
      </c>
      <c r="H3743">
        <v>2587.64</v>
      </c>
      <c r="I3743" s="8" t="str" cm="1">
        <f t="array" ref="I3743">_xlfn.IFS(C3743&lt;=15,"Children and Young Adolescents", C3743&gt;64, "Seniors", TRUE, "Working Age")</f>
        <v>Working Age</v>
      </c>
      <c r="J3743" s="6">
        <f>VLOOKUP(F3743,Analysis!$F$1:$G$5,2,FALSE)</f>
        <v>2496.7676064256989</v>
      </c>
      <c r="K3743">
        <f t="shared" si="232"/>
        <v>2846.4</v>
      </c>
      <c r="L3743">
        <f t="shared" si="233"/>
        <v>2846.4100000000003</v>
      </c>
      <c r="M3743">
        <f t="shared" si="234"/>
        <v>2846.4</v>
      </c>
      <c r="N3743" s="5" t="str">
        <f t="shared" si="235"/>
        <v>June 2023</v>
      </c>
    </row>
    <row r="3744" spans="1:14" x14ac:dyDescent="0.25">
      <c r="A3744" s="1">
        <v>45107</v>
      </c>
      <c r="B3744" t="s">
        <v>3975</v>
      </c>
      <c r="C3744">
        <v>23</v>
      </c>
      <c r="D3744" t="s">
        <v>21</v>
      </c>
      <c r="E3744" t="s">
        <v>15</v>
      </c>
      <c r="F3744" t="s">
        <v>23</v>
      </c>
      <c r="G3744" t="s">
        <v>39</v>
      </c>
      <c r="H3744">
        <v>2793.01</v>
      </c>
      <c r="I3744" s="8" t="str" cm="1">
        <f t="array" ref="I3744">_xlfn.IFS(C3744&lt;=15,"Children and Young Adolescents", C3744&gt;64, "Seniors", TRUE, "Working Age")</f>
        <v>Working Age</v>
      </c>
      <c r="J3744" s="6">
        <f>VLOOKUP(F3744,Analysis!$F$1:$G$5,2,FALSE)</f>
        <v>2440.2966694490838</v>
      </c>
      <c r="K3744">
        <f t="shared" si="232"/>
        <v>3072.31</v>
      </c>
      <c r="L3744">
        <f t="shared" si="233"/>
        <v>3072.32</v>
      </c>
      <c r="M3744">
        <f t="shared" si="234"/>
        <v>3072.31</v>
      </c>
      <c r="N3744" s="5" t="str">
        <f t="shared" si="235"/>
        <v>June 2023</v>
      </c>
    </row>
    <row r="3745" spans="1:14" x14ac:dyDescent="0.25">
      <c r="A3745" s="1">
        <v>45107</v>
      </c>
      <c r="B3745" t="s">
        <v>3092</v>
      </c>
      <c r="C3745">
        <v>82</v>
      </c>
      <c r="D3745" t="s">
        <v>21</v>
      </c>
      <c r="E3745" t="s">
        <v>19</v>
      </c>
      <c r="F3745" t="s">
        <v>11</v>
      </c>
      <c r="G3745" t="s">
        <v>5033</v>
      </c>
      <c r="H3745">
        <v>2588.59</v>
      </c>
      <c r="I3745" s="8" t="str" cm="1">
        <f t="array" ref="I3745">_xlfn.IFS(C3745&lt;=15,"Children and Young Adolescents", C3745&gt;64, "Seniors", TRUE, "Working Age")</f>
        <v>Seniors</v>
      </c>
      <c r="J3745" s="6">
        <f>VLOOKUP(F3745,Analysis!$F$1:$G$5,2,FALSE)</f>
        <v>2503.6022787783854</v>
      </c>
      <c r="K3745">
        <f t="shared" si="232"/>
        <v>2847.44</v>
      </c>
      <c r="L3745">
        <f t="shared" si="233"/>
        <v>2847.4500000000003</v>
      </c>
      <c r="M3745">
        <f t="shared" si="234"/>
        <v>2847.45</v>
      </c>
      <c r="N3745" s="5" t="str">
        <f t="shared" si="235"/>
        <v>June 2023</v>
      </c>
    </row>
    <row r="3746" spans="1:14" x14ac:dyDescent="0.25">
      <c r="A3746" s="1">
        <v>45107</v>
      </c>
      <c r="B3746" t="s">
        <v>5016</v>
      </c>
      <c r="C3746">
        <v>2</v>
      </c>
      <c r="D3746" t="s">
        <v>9</v>
      </c>
      <c r="E3746" t="s">
        <v>25</v>
      </c>
      <c r="F3746" t="s">
        <v>11</v>
      </c>
      <c r="G3746" t="s">
        <v>27</v>
      </c>
      <c r="H3746">
        <v>4465.3900000000003</v>
      </c>
      <c r="I3746" s="8" t="str" cm="1">
        <f t="array" ref="I3746">_xlfn.IFS(C3746&lt;=15,"Children and Young Adolescents", C3746&gt;64, "Seniors", TRUE, "Working Age")</f>
        <v>Children and Young Adolescents</v>
      </c>
      <c r="J3746" s="6">
        <f>VLOOKUP(F3746,Analysis!$F$1:$G$5,2,FALSE)</f>
        <v>2503.6022787783854</v>
      </c>
      <c r="K3746">
        <f t="shared" si="232"/>
        <v>4911.92</v>
      </c>
      <c r="L3746">
        <f t="shared" si="233"/>
        <v>4911.93</v>
      </c>
      <c r="M3746">
        <f t="shared" si="234"/>
        <v>4911.93</v>
      </c>
      <c r="N3746" s="5" t="str">
        <f t="shared" si="235"/>
        <v>June 2023</v>
      </c>
    </row>
    <row r="3747" spans="1:14" x14ac:dyDescent="0.25">
      <c r="A3747" s="1">
        <v>45107</v>
      </c>
      <c r="B3747" t="s">
        <v>4453</v>
      </c>
      <c r="C3747">
        <v>5</v>
      </c>
      <c r="D3747" t="s">
        <v>21</v>
      </c>
      <c r="E3747" t="s">
        <v>19</v>
      </c>
      <c r="F3747" t="s">
        <v>11</v>
      </c>
      <c r="G3747" t="s">
        <v>17</v>
      </c>
      <c r="H3747">
        <v>2558.5700000000002</v>
      </c>
      <c r="I3747" s="8" t="str" cm="1">
        <f t="array" ref="I3747">_xlfn.IFS(C3747&lt;=15,"Children and Young Adolescents", C3747&gt;64, "Seniors", TRUE, "Working Age")</f>
        <v>Children and Young Adolescents</v>
      </c>
      <c r="J3747" s="6">
        <f>VLOOKUP(F3747,Analysis!$F$1:$G$5,2,FALSE)</f>
        <v>2503.6022787783854</v>
      </c>
      <c r="K3747">
        <f t="shared" si="232"/>
        <v>2814.42</v>
      </c>
      <c r="L3747">
        <f t="shared" si="233"/>
        <v>2814.4300000000003</v>
      </c>
      <c r="M3747">
        <f t="shared" si="234"/>
        <v>2814.43</v>
      </c>
      <c r="N3747" s="5" t="str">
        <f t="shared" si="235"/>
        <v>June 2023</v>
      </c>
    </row>
    <row r="3748" spans="1:14" x14ac:dyDescent="0.25">
      <c r="A3748" s="1">
        <v>45108</v>
      </c>
      <c r="B3748" t="s">
        <v>4140</v>
      </c>
      <c r="C3748">
        <v>2</v>
      </c>
      <c r="D3748" t="s">
        <v>21</v>
      </c>
      <c r="E3748" t="s">
        <v>10</v>
      </c>
      <c r="F3748" t="s">
        <v>23</v>
      </c>
      <c r="G3748" t="s">
        <v>17</v>
      </c>
      <c r="H3748">
        <v>4264.4399999999996</v>
      </c>
      <c r="I3748" s="8" t="str" cm="1">
        <f t="array" ref="I3748">_xlfn.IFS(C3748&lt;=15,"Children and Young Adolescents", C3748&gt;64, "Seniors", TRUE, "Working Age")</f>
        <v>Children and Young Adolescents</v>
      </c>
      <c r="J3748" s="6">
        <f>VLOOKUP(F3748,Analysis!$F$1:$G$5,2,FALSE)</f>
        <v>2440.2966694490838</v>
      </c>
      <c r="K3748">
        <f t="shared" si="232"/>
        <v>4690.88</v>
      </c>
      <c r="L3748">
        <f t="shared" si="233"/>
        <v>4690.8900000000003</v>
      </c>
      <c r="M3748">
        <f t="shared" si="234"/>
        <v>4690.88</v>
      </c>
      <c r="N3748" s="5" t="str">
        <f t="shared" si="235"/>
        <v>July 2023</v>
      </c>
    </row>
    <row r="3749" spans="1:14" x14ac:dyDescent="0.25">
      <c r="A3749" s="1">
        <v>45108</v>
      </c>
      <c r="B3749" t="s">
        <v>2117</v>
      </c>
      <c r="C3749">
        <v>49</v>
      </c>
      <c r="D3749" t="s">
        <v>21</v>
      </c>
      <c r="E3749" t="s">
        <v>32</v>
      </c>
      <c r="F3749" t="s">
        <v>11</v>
      </c>
      <c r="G3749" t="s">
        <v>12</v>
      </c>
      <c r="H3749">
        <v>577.20000000000005</v>
      </c>
      <c r="I3749" s="8" t="str" cm="1">
        <f t="array" ref="I3749">_xlfn.IFS(C3749&lt;=15,"Children and Young Adolescents", C3749&gt;64, "Seniors", TRUE, "Working Age")</f>
        <v>Working Age</v>
      </c>
      <c r="J3749" s="6">
        <f>VLOOKUP(F3749,Analysis!$F$1:$G$5,2,FALSE)</f>
        <v>2503.6022787783854</v>
      </c>
      <c r="K3749">
        <f t="shared" si="232"/>
        <v>634.91999999999996</v>
      </c>
      <c r="L3749">
        <f t="shared" si="233"/>
        <v>634.91999999999996</v>
      </c>
      <c r="M3749">
        <f t="shared" si="234"/>
        <v>634.91999999999996</v>
      </c>
      <c r="N3749" s="5" t="str">
        <f t="shared" si="235"/>
        <v>July 2023</v>
      </c>
    </row>
    <row r="3750" spans="1:14" x14ac:dyDescent="0.25">
      <c r="A3750" s="1">
        <v>45108</v>
      </c>
      <c r="B3750" t="s">
        <v>1309</v>
      </c>
      <c r="C3750">
        <v>59</v>
      </c>
      <c r="D3750" t="s">
        <v>21</v>
      </c>
      <c r="E3750" t="s">
        <v>22</v>
      </c>
      <c r="F3750" t="s">
        <v>16</v>
      </c>
      <c r="G3750" t="s">
        <v>17</v>
      </c>
      <c r="H3750">
        <v>1672.26</v>
      </c>
      <c r="I3750" s="8" t="str" cm="1">
        <f t="array" ref="I3750">_xlfn.IFS(C3750&lt;=15,"Children and Young Adolescents", C3750&gt;64, "Seniors", TRUE, "Working Age")</f>
        <v>Working Age</v>
      </c>
      <c r="J3750" s="6">
        <f>VLOOKUP(F3750,Analysis!$F$1:$G$5,2,FALSE)</f>
        <v>2509.1716796874912</v>
      </c>
      <c r="K3750">
        <f t="shared" si="232"/>
        <v>1839.48</v>
      </c>
      <c r="L3750">
        <f t="shared" si="233"/>
        <v>1839.49</v>
      </c>
      <c r="M3750">
        <f t="shared" si="234"/>
        <v>1839.49</v>
      </c>
      <c r="N3750" s="5" t="str">
        <f t="shared" si="235"/>
        <v>July 2023</v>
      </c>
    </row>
    <row r="3751" spans="1:14" x14ac:dyDescent="0.25">
      <c r="A3751" s="1">
        <v>45108</v>
      </c>
      <c r="B3751" t="s">
        <v>4454</v>
      </c>
      <c r="C3751">
        <v>32</v>
      </c>
      <c r="D3751" t="s">
        <v>21</v>
      </c>
      <c r="E3751" t="s">
        <v>32</v>
      </c>
      <c r="F3751" t="s">
        <v>23</v>
      </c>
      <c r="G3751" t="s">
        <v>17</v>
      </c>
      <c r="H3751">
        <v>3442.96</v>
      </c>
      <c r="I3751" s="8" t="str" cm="1">
        <f t="array" ref="I3751">_xlfn.IFS(C3751&lt;=15,"Children and Young Adolescents", C3751&gt;64, "Seniors", TRUE, "Working Age")</f>
        <v>Working Age</v>
      </c>
      <c r="J3751" s="6">
        <f>VLOOKUP(F3751,Analysis!$F$1:$G$5,2,FALSE)</f>
        <v>2440.2966694490838</v>
      </c>
      <c r="K3751">
        <f t="shared" si="232"/>
        <v>3787.25</v>
      </c>
      <c r="L3751">
        <f t="shared" si="233"/>
        <v>3787.26</v>
      </c>
      <c r="M3751">
        <f t="shared" si="234"/>
        <v>3787.26</v>
      </c>
      <c r="N3751" s="5" t="str">
        <f t="shared" si="235"/>
        <v>July 2023</v>
      </c>
    </row>
    <row r="3752" spans="1:14" x14ac:dyDescent="0.25">
      <c r="A3752" s="1">
        <v>45109</v>
      </c>
      <c r="B3752" t="s">
        <v>245</v>
      </c>
      <c r="C3752">
        <v>25</v>
      </c>
      <c r="D3752" t="s">
        <v>14</v>
      </c>
      <c r="E3752" t="s">
        <v>15</v>
      </c>
      <c r="F3752" t="s">
        <v>16</v>
      </c>
      <c r="G3752" t="s">
        <v>39</v>
      </c>
      <c r="H3752">
        <v>2688.07</v>
      </c>
      <c r="I3752" s="8" t="str" cm="1">
        <f t="array" ref="I3752">_xlfn.IFS(C3752&lt;=15,"Children and Young Adolescents", C3752&gt;64, "Seniors", TRUE, "Working Age")</f>
        <v>Working Age</v>
      </c>
      <c r="J3752" s="6">
        <f>VLOOKUP(F3752,Analysis!$F$1:$G$5,2,FALSE)</f>
        <v>2509.1716796874912</v>
      </c>
      <c r="K3752">
        <f t="shared" si="232"/>
        <v>2956.87</v>
      </c>
      <c r="L3752">
        <f t="shared" si="233"/>
        <v>2956.88</v>
      </c>
      <c r="M3752">
        <f t="shared" si="234"/>
        <v>2956.88</v>
      </c>
      <c r="N3752" s="5" t="str">
        <f t="shared" si="235"/>
        <v>July 2023</v>
      </c>
    </row>
    <row r="3753" spans="1:14" x14ac:dyDescent="0.25">
      <c r="A3753" s="1">
        <v>45109</v>
      </c>
      <c r="B3753" t="s">
        <v>2236</v>
      </c>
      <c r="C3753">
        <v>40</v>
      </c>
      <c r="D3753" t="s">
        <v>21</v>
      </c>
      <c r="E3753" t="s">
        <v>22</v>
      </c>
      <c r="F3753" t="s">
        <v>29</v>
      </c>
      <c r="G3753" t="s">
        <v>17</v>
      </c>
      <c r="H3753">
        <v>361.56</v>
      </c>
      <c r="I3753" s="8" t="str" cm="1">
        <f t="array" ref="I3753">_xlfn.IFS(C3753&lt;=15,"Children and Young Adolescents", C3753&gt;64, "Seniors", TRUE, "Working Age")</f>
        <v>Working Age</v>
      </c>
      <c r="J3753" s="6">
        <f>VLOOKUP(F3753,Analysis!$F$1:$G$5,2,FALSE)</f>
        <v>2496.7676064256989</v>
      </c>
      <c r="K3753">
        <f t="shared" si="232"/>
        <v>397.71</v>
      </c>
      <c r="L3753">
        <f t="shared" si="233"/>
        <v>397.71999999999997</v>
      </c>
      <c r="M3753">
        <f t="shared" si="234"/>
        <v>397.72</v>
      </c>
      <c r="N3753" s="5" t="str">
        <f t="shared" si="235"/>
        <v>July 2023</v>
      </c>
    </row>
    <row r="3754" spans="1:14" x14ac:dyDescent="0.25">
      <c r="A3754" s="1">
        <v>45109</v>
      </c>
      <c r="B3754" t="s">
        <v>4469</v>
      </c>
      <c r="C3754">
        <v>76</v>
      </c>
      <c r="D3754" t="s">
        <v>21</v>
      </c>
      <c r="E3754" t="s">
        <v>19</v>
      </c>
      <c r="F3754" t="s">
        <v>11</v>
      </c>
      <c r="G3754" t="s">
        <v>17</v>
      </c>
      <c r="H3754">
        <v>297.75</v>
      </c>
      <c r="I3754" s="8" t="str" cm="1">
        <f t="array" ref="I3754">_xlfn.IFS(C3754&lt;=15,"Children and Young Adolescents", C3754&gt;64, "Seniors", TRUE, "Working Age")</f>
        <v>Seniors</v>
      </c>
      <c r="J3754" s="6">
        <f>VLOOKUP(F3754,Analysis!$F$1:$G$5,2,FALSE)</f>
        <v>2503.6022787783854</v>
      </c>
      <c r="K3754">
        <f t="shared" si="232"/>
        <v>327.52</v>
      </c>
      <c r="L3754">
        <f t="shared" si="233"/>
        <v>327.52999999999997</v>
      </c>
      <c r="M3754">
        <f t="shared" si="234"/>
        <v>327.52999999999997</v>
      </c>
      <c r="N3754" s="5" t="str">
        <f t="shared" si="235"/>
        <v>July 2023</v>
      </c>
    </row>
    <row r="3755" spans="1:14" x14ac:dyDescent="0.25">
      <c r="A3755" s="1">
        <v>45109</v>
      </c>
      <c r="B3755" t="s">
        <v>1093</v>
      </c>
      <c r="C3755">
        <v>32</v>
      </c>
      <c r="D3755" t="s">
        <v>14</v>
      </c>
      <c r="E3755" t="s">
        <v>32</v>
      </c>
      <c r="F3755" t="s">
        <v>29</v>
      </c>
      <c r="G3755" t="s">
        <v>27</v>
      </c>
      <c r="H3755">
        <v>4599</v>
      </c>
      <c r="I3755" s="8" t="str" cm="1">
        <f t="array" ref="I3755">_xlfn.IFS(C3755&lt;=15,"Children and Young Adolescents", C3755&gt;64, "Seniors", TRUE, "Working Age")</f>
        <v>Working Age</v>
      </c>
      <c r="J3755" s="6">
        <f>VLOOKUP(F3755,Analysis!$F$1:$G$5,2,FALSE)</f>
        <v>2496.7676064256989</v>
      </c>
      <c r="K3755">
        <f t="shared" si="232"/>
        <v>5058.8999999999996</v>
      </c>
      <c r="L3755">
        <f t="shared" si="233"/>
        <v>5058.8999999999996</v>
      </c>
      <c r="M3755">
        <f t="shared" si="234"/>
        <v>5058.8999999999996</v>
      </c>
      <c r="N3755" s="5" t="str">
        <f t="shared" si="235"/>
        <v>July 2023</v>
      </c>
    </row>
    <row r="3756" spans="1:14" x14ac:dyDescent="0.25">
      <c r="A3756" s="1">
        <v>45109</v>
      </c>
      <c r="B3756" t="s">
        <v>2659</v>
      </c>
      <c r="C3756">
        <v>10</v>
      </c>
      <c r="D3756" t="s">
        <v>14</v>
      </c>
      <c r="E3756" t="s">
        <v>10</v>
      </c>
      <c r="F3756" t="s">
        <v>29</v>
      </c>
      <c r="G3756" t="s">
        <v>17</v>
      </c>
      <c r="H3756">
        <v>4437.08</v>
      </c>
      <c r="I3756" s="8" t="str" cm="1">
        <f t="array" ref="I3756">_xlfn.IFS(C3756&lt;=15,"Children and Young Adolescents", C3756&gt;64, "Seniors", TRUE, "Working Age")</f>
        <v>Children and Young Adolescents</v>
      </c>
      <c r="J3756" s="6">
        <f>VLOOKUP(F3756,Analysis!$F$1:$G$5,2,FALSE)</f>
        <v>2496.7676064256989</v>
      </c>
      <c r="K3756">
        <f t="shared" si="232"/>
        <v>4880.78</v>
      </c>
      <c r="L3756">
        <f t="shared" si="233"/>
        <v>4880.79</v>
      </c>
      <c r="M3756">
        <f t="shared" si="234"/>
        <v>4880.79</v>
      </c>
      <c r="N3756" s="5" t="str">
        <f t="shared" si="235"/>
        <v>July 2023</v>
      </c>
    </row>
    <row r="3757" spans="1:14" x14ac:dyDescent="0.25">
      <c r="A3757" s="1">
        <v>45109</v>
      </c>
      <c r="B3757" t="s">
        <v>158</v>
      </c>
      <c r="C3757">
        <v>57</v>
      </c>
      <c r="D3757" t="s">
        <v>9</v>
      </c>
      <c r="E3757" t="s">
        <v>15</v>
      </c>
      <c r="F3757" t="s">
        <v>16</v>
      </c>
      <c r="G3757" t="s">
        <v>12</v>
      </c>
      <c r="H3757">
        <v>1316.4</v>
      </c>
      <c r="I3757" s="8" t="str" cm="1">
        <f t="array" ref="I3757">_xlfn.IFS(C3757&lt;=15,"Children and Young Adolescents", C3757&gt;64, "Seniors", TRUE, "Working Age")</f>
        <v>Working Age</v>
      </c>
      <c r="J3757" s="6">
        <f>VLOOKUP(F3757,Analysis!$F$1:$G$5,2,FALSE)</f>
        <v>2509.1716796874912</v>
      </c>
      <c r="K3757">
        <f t="shared" si="232"/>
        <v>1448.04</v>
      </c>
      <c r="L3757">
        <f t="shared" si="233"/>
        <v>1448.04</v>
      </c>
      <c r="M3757">
        <f t="shared" si="234"/>
        <v>1448.04</v>
      </c>
      <c r="N3757" s="5" t="str">
        <f t="shared" si="235"/>
        <v>July 2023</v>
      </c>
    </row>
    <row r="3758" spans="1:14" x14ac:dyDescent="0.25">
      <c r="A3758" s="1">
        <v>45110</v>
      </c>
      <c r="B3758" t="s">
        <v>1018</v>
      </c>
      <c r="C3758">
        <v>14</v>
      </c>
      <c r="D3758" t="s">
        <v>9</v>
      </c>
      <c r="E3758" t="s">
        <v>25</v>
      </c>
      <c r="F3758" t="s">
        <v>29</v>
      </c>
      <c r="G3758" t="s">
        <v>27</v>
      </c>
      <c r="H3758">
        <v>3354.68</v>
      </c>
      <c r="I3758" s="8" t="str" cm="1">
        <f t="array" ref="I3758">_xlfn.IFS(C3758&lt;=15,"Children and Young Adolescents", C3758&gt;64, "Seniors", TRUE, "Working Age")</f>
        <v>Children and Young Adolescents</v>
      </c>
      <c r="J3758" s="6">
        <f>VLOOKUP(F3758,Analysis!$F$1:$G$5,2,FALSE)</f>
        <v>2496.7676064256989</v>
      </c>
      <c r="K3758">
        <f t="shared" si="232"/>
        <v>3690.14</v>
      </c>
      <c r="L3758">
        <f t="shared" si="233"/>
        <v>3690.15</v>
      </c>
      <c r="M3758">
        <f t="shared" si="234"/>
        <v>3690.15</v>
      </c>
      <c r="N3758" s="5" t="str">
        <f t="shared" si="235"/>
        <v>July 2023</v>
      </c>
    </row>
    <row r="3759" spans="1:14" x14ac:dyDescent="0.25">
      <c r="A3759" s="1">
        <v>45110</v>
      </c>
      <c r="B3759" t="s">
        <v>2416</v>
      </c>
      <c r="C3759">
        <v>34</v>
      </c>
      <c r="D3759" t="s">
        <v>21</v>
      </c>
      <c r="E3759" t="s">
        <v>19</v>
      </c>
      <c r="F3759" t="s">
        <v>16</v>
      </c>
      <c r="G3759" t="s">
        <v>12</v>
      </c>
      <c r="H3759">
        <v>550.92999999999995</v>
      </c>
      <c r="I3759" s="8" t="str" cm="1">
        <f t="array" ref="I3759">_xlfn.IFS(C3759&lt;=15,"Children and Young Adolescents", C3759&gt;64, "Seniors", TRUE, "Working Age")</f>
        <v>Working Age</v>
      </c>
      <c r="J3759" s="6">
        <f>VLOOKUP(F3759,Analysis!$F$1:$G$5,2,FALSE)</f>
        <v>2509.1716796874912</v>
      </c>
      <c r="K3759">
        <f t="shared" si="232"/>
        <v>606.02</v>
      </c>
      <c r="L3759">
        <f t="shared" si="233"/>
        <v>606.03</v>
      </c>
      <c r="M3759">
        <f t="shared" si="234"/>
        <v>606.02</v>
      </c>
      <c r="N3759" s="5" t="str">
        <f t="shared" si="235"/>
        <v>July 2023</v>
      </c>
    </row>
    <row r="3760" spans="1:14" x14ac:dyDescent="0.25">
      <c r="A3760" s="1">
        <v>45110</v>
      </c>
      <c r="B3760" t="s">
        <v>4085</v>
      </c>
      <c r="C3760">
        <v>4</v>
      </c>
      <c r="D3760" t="s">
        <v>21</v>
      </c>
      <c r="E3760" t="s">
        <v>10</v>
      </c>
      <c r="F3760" t="s">
        <v>11</v>
      </c>
      <c r="G3760" t="s">
        <v>39</v>
      </c>
      <c r="H3760">
        <v>2877.82</v>
      </c>
      <c r="I3760" s="8" t="str" cm="1">
        <f t="array" ref="I3760">_xlfn.IFS(C3760&lt;=15,"Children and Young Adolescents", C3760&gt;64, "Seniors", TRUE, "Working Age")</f>
        <v>Children and Young Adolescents</v>
      </c>
      <c r="J3760" s="6">
        <f>VLOOKUP(F3760,Analysis!$F$1:$G$5,2,FALSE)</f>
        <v>2503.6022787783854</v>
      </c>
      <c r="K3760">
        <f t="shared" si="232"/>
        <v>3165.6</v>
      </c>
      <c r="L3760">
        <f t="shared" si="233"/>
        <v>3165.61</v>
      </c>
      <c r="M3760">
        <f t="shared" si="234"/>
        <v>3165.6</v>
      </c>
      <c r="N3760" s="5" t="str">
        <f t="shared" si="235"/>
        <v>July 2023</v>
      </c>
    </row>
    <row r="3761" spans="1:14" x14ac:dyDescent="0.25">
      <c r="A3761" s="1">
        <v>45110</v>
      </c>
      <c r="B3761" t="s">
        <v>3424</v>
      </c>
      <c r="C3761">
        <v>77</v>
      </c>
      <c r="D3761" t="s">
        <v>9</v>
      </c>
      <c r="E3761" t="s">
        <v>34</v>
      </c>
      <c r="F3761" t="s">
        <v>16</v>
      </c>
      <c r="G3761" t="s">
        <v>12</v>
      </c>
      <c r="H3761">
        <v>106.68</v>
      </c>
      <c r="I3761" s="8" t="str" cm="1">
        <f t="array" ref="I3761">_xlfn.IFS(C3761&lt;=15,"Children and Young Adolescents", C3761&gt;64, "Seniors", TRUE, "Working Age")</f>
        <v>Seniors</v>
      </c>
      <c r="J3761" s="6">
        <f>VLOOKUP(F3761,Analysis!$F$1:$G$5,2,FALSE)</f>
        <v>2509.1716796874912</v>
      </c>
      <c r="K3761">
        <f t="shared" si="232"/>
        <v>117.34</v>
      </c>
      <c r="L3761">
        <f t="shared" si="233"/>
        <v>117.35000000000001</v>
      </c>
      <c r="M3761">
        <f t="shared" si="234"/>
        <v>117.35</v>
      </c>
      <c r="N3761" s="5" t="str">
        <f t="shared" si="235"/>
        <v>July 2023</v>
      </c>
    </row>
    <row r="3762" spans="1:14" x14ac:dyDescent="0.25">
      <c r="A3762" s="1">
        <v>45110</v>
      </c>
      <c r="B3762" t="s">
        <v>4561</v>
      </c>
      <c r="C3762">
        <v>4</v>
      </c>
      <c r="D3762" t="s">
        <v>21</v>
      </c>
      <c r="E3762" t="s">
        <v>10</v>
      </c>
      <c r="F3762" t="s">
        <v>23</v>
      </c>
      <c r="G3762" t="s">
        <v>27</v>
      </c>
      <c r="H3762">
        <v>506.17</v>
      </c>
      <c r="I3762" s="8" t="str" cm="1">
        <f t="array" ref="I3762">_xlfn.IFS(C3762&lt;=15,"Children and Young Adolescents", C3762&gt;64, "Seniors", TRUE, "Working Age")</f>
        <v>Children and Young Adolescents</v>
      </c>
      <c r="J3762" s="6">
        <f>VLOOKUP(F3762,Analysis!$F$1:$G$5,2,FALSE)</f>
        <v>2440.2966694490838</v>
      </c>
      <c r="K3762">
        <f t="shared" si="232"/>
        <v>556.78</v>
      </c>
      <c r="L3762">
        <f t="shared" si="233"/>
        <v>556.79</v>
      </c>
      <c r="M3762">
        <f t="shared" si="234"/>
        <v>556.79</v>
      </c>
      <c r="N3762" s="5" t="str">
        <f t="shared" si="235"/>
        <v>July 2023</v>
      </c>
    </row>
    <row r="3763" spans="1:14" x14ac:dyDescent="0.25">
      <c r="A3763" s="1">
        <v>45110</v>
      </c>
      <c r="B3763" t="s">
        <v>4122</v>
      </c>
      <c r="C3763">
        <v>24</v>
      </c>
      <c r="D3763" t="s">
        <v>14</v>
      </c>
      <c r="E3763" t="s">
        <v>19</v>
      </c>
      <c r="F3763" t="s">
        <v>16</v>
      </c>
      <c r="G3763" t="s">
        <v>39</v>
      </c>
      <c r="H3763">
        <v>3050.47</v>
      </c>
      <c r="I3763" s="8" t="str" cm="1">
        <f t="array" ref="I3763">_xlfn.IFS(C3763&lt;=15,"Children and Young Adolescents", C3763&gt;64, "Seniors", TRUE, "Working Age")</f>
        <v>Working Age</v>
      </c>
      <c r="J3763" s="6">
        <f>VLOOKUP(F3763,Analysis!$F$1:$G$5,2,FALSE)</f>
        <v>2509.1716796874912</v>
      </c>
      <c r="K3763">
        <f t="shared" si="232"/>
        <v>3355.51</v>
      </c>
      <c r="L3763">
        <f t="shared" si="233"/>
        <v>3355.5200000000004</v>
      </c>
      <c r="M3763">
        <f t="shared" si="234"/>
        <v>3355.52</v>
      </c>
      <c r="N3763" s="5" t="str">
        <f t="shared" si="235"/>
        <v>July 2023</v>
      </c>
    </row>
    <row r="3764" spans="1:14" x14ac:dyDescent="0.25">
      <c r="A3764" s="1">
        <v>45110</v>
      </c>
      <c r="B3764" t="s">
        <v>1566</v>
      </c>
      <c r="C3764">
        <v>7</v>
      </c>
      <c r="D3764" t="s">
        <v>21</v>
      </c>
      <c r="E3764" t="s">
        <v>10</v>
      </c>
      <c r="F3764" t="s">
        <v>29</v>
      </c>
      <c r="G3764" t="s">
        <v>39</v>
      </c>
      <c r="H3764">
        <v>4941.3100000000004</v>
      </c>
      <c r="I3764" s="8" t="str" cm="1">
        <f t="array" ref="I3764">_xlfn.IFS(C3764&lt;=15,"Children and Young Adolescents", C3764&gt;64, "Seniors", TRUE, "Working Age")</f>
        <v>Children and Young Adolescents</v>
      </c>
      <c r="J3764" s="6">
        <f>VLOOKUP(F3764,Analysis!$F$1:$G$5,2,FALSE)</f>
        <v>2496.7676064256989</v>
      </c>
      <c r="K3764">
        <f t="shared" si="232"/>
        <v>5435.44</v>
      </c>
      <c r="L3764">
        <f t="shared" si="233"/>
        <v>5435.45</v>
      </c>
      <c r="M3764">
        <f t="shared" si="234"/>
        <v>5435.44</v>
      </c>
      <c r="N3764" s="5" t="str">
        <f t="shared" si="235"/>
        <v>July 2023</v>
      </c>
    </row>
    <row r="3765" spans="1:14" x14ac:dyDescent="0.25">
      <c r="A3765" s="1">
        <v>45110</v>
      </c>
      <c r="B3765" t="s">
        <v>4855</v>
      </c>
      <c r="C3765">
        <v>50</v>
      </c>
      <c r="D3765" t="s">
        <v>21</v>
      </c>
      <c r="E3765" t="s">
        <v>34</v>
      </c>
      <c r="F3765" t="s">
        <v>29</v>
      </c>
      <c r="G3765" t="s">
        <v>36</v>
      </c>
      <c r="H3765">
        <v>4201.5</v>
      </c>
      <c r="I3765" s="8" t="str" cm="1">
        <f t="array" ref="I3765">_xlfn.IFS(C3765&lt;=15,"Children and Young Adolescents", C3765&gt;64, "Seniors", TRUE, "Working Age")</f>
        <v>Working Age</v>
      </c>
      <c r="J3765" s="6">
        <f>VLOOKUP(F3765,Analysis!$F$1:$G$5,2,FALSE)</f>
        <v>2496.7676064256989</v>
      </c>
      <c r="K3765">
        <f t="shared" si="232"/>
        <v>4621.6499999999996</v>
      </c>
      <c r="L3765">
        <f t="shared" si="233"/>
        <v>4621.6499999999996</v>
      </c>
      <c r="M3765">
        <f t="shared" si="234"/>
        <v>4621.6499999999996</v>
      </c>
      <c r="N3765" s="5" t="str">
        <f t="shared" si="235"/>
        <v>July 2023</v>
      </c>
    </row>
    <row r="3766" spans="1:14" x14ac:dyDescent="0.25">
      <c r="A3766" s="1">
        <v>45110</v>
      </c>
      <c r="B3766" t="s">
        <v>3104</v>
      </c>
      <c r="C3766">
        <v>50</v>
      </c>
      <c r="D3766" t="s">
        <v>14</v>
      </c>
      <c r="E3766" t="s">
        <v>19</v>
      </c>
      <c r="F3766" t="s">
        <v>16</v>
      </c>
      <c r="G3766" t="s">
        <v>36</v>
      </c>
      <c r="H3766">
        <v>988.57</v>
      </c>
      <c r="I3766" s="8" t="str" cm="1">
        <f t="array" ref="I3766">_xlfn.IFS(C3766&lt;=15,"Children and Young Adolescents", C3766&gt;64, "Seniors", TRUE, "Working Age")</f>
        <v>Working Age</v>
      </c>
      <c r="J3766" s="6">
        <f>VLOOKUP(F3766,Analysis!$F$1:$G$5,2,FALSE)</f>
        <v>2509.1716796874912</v>
      </c>
      <c r="K3766">
        <f t="shared" si="232"/>
        <v>1087.42</v>
      </c>
      <c r="L3766">
        <f t="shared" si="233"/>
        <v>1087.43</v>
      </c>
      <c r="M3766">
        <f t="shared" si="234"/>
        <v>1087.43</v>
      </c>
      <c r="N3766" s="5" t="str">
        <f t="shared" si="235"/>
        <v>July 2023</v>
      </c>
    </row>
    <row r="3767" spans="1:14" x14ac:dyDescent="0.25">
      <c r="A3767" s="1">
        <v>45111</v>
      </c>
      <c r="B3767" t="s">
        <v>4441</v>
      </c>
      <c r="C3767">
        <v>96</v>
      </c>
      <c r="D3767" t="s">
        <v>21</v>
      </c>
      <c r="E3767" t="s">
        <v>15</v>
      </c>
      <c r="F3767" t="s">
        <v>16</v>
      </c>
      <c r="G3767" t="s">
        <v>12</v>
      </c>
      <c r="H3767">
        <v>2309.04</v>
      </c>
      <c r="I3767" s="8" t="str" cm="1">
        <f t="array" ref="I3767">_xlfn.IFS(C3767&lt;=15,"Children and Young Adolescents", C3767&gt;64, "Seniors", TRUE, "Working Age")</f>
        <v>Seniors</v>
      </c>
      <c r="J3767" s="6">
        <f>VLOOKUP(F3767,Analysis!$F$1:$G$5,2,FALSE)</f>
        <v>2509.1716796874912</v>
      </c>
      <c r="K3767">
        <f t="shared" si="232"/>
        <v>2539.94</v>
      </c>
      <c r="L3767">
        <f t="shared" si="233"/>
        <v>2539.9500000000003</v>
      </c>
      <c r="M3767">
        <f t="shared" si="234"/>
        <v>2539.94</v>
      </c>
      <c r="N3767" s="5" t="str">
        <f t="shared" si="235"/>
        <v>July 2023</v>
      </c>
    </row>
    <row r="3768" spans="1:14" x14ac:dyDescent="0.25">
      <c r="A3768" s="1">
        <v>45111</v>
      </c>
      <c r="B3768" t="s">
        <v>4648</v>
      </c>
      <c r="C3768">
        <v>89</v>
      </c>
      <c r="D3768" t="s">
        <v>21</v>
      </c>
      <c r="E3768" t="s">
        <v>34</v>
      </c>
      <c r="F3768" t="s">
        <v>23</v>
      </c>
      <c r="G3768" t="s">
        <v>36</v>
      </c>
      <c r="H3768">
        <v>3703.68</v>
      </c>
      <c r="I3768" s="8" t="str" cm="1">
        <f t="array" ref="I3768">_xlfn.IFS(C3768&lt;=15,"Children and Young Adolescents", C3768&gt;64, "Seniors", TRUE, "Working Age")</f>
        <v>Seniors</v>
      </c>
      <c r="J3768" s="6">
        <f>VLOOKUP(F3768,Analysis!$F$1:$G$5,2,FALSE)</f>
        <v>2440.2966694490838</v>
      </c>
      <c r="K3768">
        <f t="shared" si="232"/>
        <v>4074.04</v>
      </c>
      <c r="L3768">
        <f t="shared" si="233"/>
        <v>4074.05</v>
      </c>
      <c r="M3768">
        <f t="shared" si="234"/>
        <v>4074.05</v>
      </c>
      <c r="N3768" s="5" t="str">
        <f t="shared" si="235"/>
        <v>July 2023</v>
      </c>
    </row>
    <row r="3769" spans="1:14" x14ac:dyDescent="0.25">
      <c r="A3769" s="1">
        <v>45112</v>
      </c>
      <c r="B3769" t="s">
        <v>2574</v>
      </c>
      <c r="C3769">
        <v>35</v>
      </c>
      <c r="D3769" t="s">
        <v>14</v>
      </c>
      <c r="E3769" t="s">
        <v>10</v>
      </c>
      <c r="F3769" t="s">
        <v>29</v>
      </c>
      <c r="G3769" t="s">
        <v>39</v>
      </c>
      <c r="H3769">
        <v>3855.29</v>
      </c>
      <c r="I3769" s="8" t="str" cm="1">
        <f t="array" ref="I3769">_xlfn.IFS(C3769&lt;=15,"Children and Young Adolescents", C3769&gt;64, "Seniors", TRUE, "Working Age")</f>
        <v>Working Age</v>
      </c>
      <c r="J3769" s="6">
        <f>VLOOKUP(F3769,Analysis!$F$1:$G$5,2,FALSE)</f>
        <v>2496.7676064256989</v>
      </c>
      <c r="K3769">
        <f t="shared" si="232"/>
        <v>4240.8100000000004</v>
      </c>
      <c r="L3769">
        <f t="shared" si="233"/>
        <v>4240.8200000000006</v>
      </c>
      <c r="M3769">
        <f t="shared" si="234"/>
        <v>4240.82</v>
      </c>
      <c r="N3769" s="5" t="str">
        <f t="shared" si="235"/>
        <v>July 2023</v>
      </c>
    </row>
    <row r="3770" spans="1:14" x14ac:dyDescent="0.25">
      <c r="A3770" s="1">
        <v>45112</v>
      </c>
      <c r="B3770" t="s">
        <v>2629</v>
      </c>
      <c r="C3770">
        <v>11</v>
      </c>
      <c r="D3770" t="s">
        <v>9</v>
      </c>
      <c r="E3770" t="s">
        <v>15</v>
      </c>
      <c r="F3770" t="s">
        <v>11</v>
      </c>
      <c r="G3770" t="s">
        <v>39</v>
      </c>
      <c r="H3770">
        <v>4241.54</v>
      </c>
      <c r="I3770" s="8" t="str" cm="1">
        <f t="array" ref="I3770">_xlfn.IFS(C3770&lt;=15,"Children and Young Adolescents", C3770&gt;64, "Seniors", TRUE, "Working Age")</f>
        <v>Children and Young Adolescents</v>
      </c>
      <c r="J3770" s="6">
        <f>VLOOKUP(F3770,Analysis!$F$1:$G$5,2,FALSE)</f>
        <v>2503.6022787783854</v>
      </c>
      <c r="K3770">
        <f t="shared" si="232"/>
        <v>4665.6899999999996</v>
      </c>
      <c r="L3770">
        <f t="shared" si="233"/>
        <v>4665.7</v>
      </c>
      <c r="M3770">
        <f t="shared" si="234"/>
        <v>4665.6899999999996</v>
      </c>
      <c r="N3770" s="5" t="str">
        <f t="shared" si="235"/>
        <v>July 2023</v>
      </c>
    </row>
    <row r="3771" spans="1:14" x14ac:dyDescent="0.25">
      <c r="A3771" s="1">
        <v>45112</v>
      </c>
      <c r="B3771" t="s">
        <v>4269</v>
      </c>
      <c r="C3771">
        <v>54</v>
      </c>
      <c r="D3771" t="s">
        <v>14</v>
      </c>
      <c r="E3771" t="s">
        <v>19</v>
      </c>
      <c r="F3771" t="s">
        <v>29</v>
      </c>
      <c r="G3771" t="s">
        <v>36</v>
      </c>
      <c r="H3771">
        <v>1065.95</v>
      </c>
      <c r="I3771" s="8" t="str" cm="1">
        <f t="array" ref="I3771">_xlfn.IFS(C3771&lt;=15,"Children and Young Adolescents", C3771&gt;64, "Seniors", TRUE, "Working Age")</f>
        <v>Working Age</v>
      </c>
      <c r="J3771" s="6">
        <f>VLOOKUP(F3771,Analysis!$F$1:$G$5,2,FALSE)</f>
        <v>2496.7676064256989</v>
      </c>
      <c r="K3771">
        <f t="shared" si="232"/>
        <v>1172.54</v>
      </c>
      <c r="L3771">
        <f t="shared" si="233"/>
        <v>1172.55</v>
      </c>
      <c r="M3771">
        <f t="shared" si="234"/>
        <v>1172.55</v>
      </c>
      <c r="N3771" s="5" t="str">
        <f t="shared" si="235"/>
        <v>July 2023</v>
      </c>
    </row>
    <row r="3772" spans="1:14" x14ac:dyDescent="0.25">
      <c r="A3772" s="1">
        <v>45112</v>
      </c>
      <c r="B3772" t="s">
        <v>367</v>
      </c>
      <c r="C3772">
        <v>93</v>
      </c>
      <c r="D3772" t="s">
        <v>14</v>
      </c>
      <c r="E3772" t="s">
        <v>34</v>
      </c>
      <c r="F3772" t="s">
        <v>11</v>
      </c>
      <c r="G3772" t="s">
        <v>17</v>
      </c>
      <c r="H3772">
        <v>3015.21</v>
      </c>
      <c r="I3772" s="8" t="str" cm="1">
        <f t="array" ref="I3772">_xlfn.IFS(C3772&lt;=15,"Children and Young Adolescents", C3772&gt;64, "Seniors", TRUE, "Working Age")</f>
        <v>Seniors</v>
      </c>
      <c r="J3772" s="6">
        <f>VLOOKUP(F3772,Analysis!$F$1:$G$5,2,FALSE)</f>
        <v>2503.6022787783854</v>
      </c>
      <c r="K3772">
        <f t="shared" si="232"/>
        <v>3316.73</v>
      </c>
      <c r="L3772">
        <f t="shared" si="233"/>
        <v>3316.7400000000002</v>
      </c>
      <c r="M3772">
        <f t="shared" si="234"/>
        <v>3316.73</v>
      </c>
      <c r="N3772" s="5" t="str">
        <f t="shared" si="235"/>
        <v>July 2023</v>
      </c>
    </row>
    <row r="3773" spans="1:14" x14ac:dyDescent="0.25">
      <c r="A3773" s="1">
        <v>45112</v>
      </c>
      <c r="B3773" t="s">
        <v>3766</v>
      </c>
      <c r="C3773">
        <v>31</v>
      </c>
      <c r="D3773" t="s">
        <v>21</v>
      </c>
      <c r="E3773" t="s">
        <v>19</v>
      </c>
      <c r="F3773" t="s">
        <v>29</v>
      </c>
      <c r="G3773" t="s">
        <v>5033</v>
      </c>
      <c r="H3773">
        <v>2085.1999999999998</v>
      </c>
      <c r="I3773" s="8" t="str" cm="1">
        <f t="array" ref="I3773">_xlfn.IFS(C3773&lt;=15,"Children and Young Adolescents", C3773&gt;64, "Seniors", TRUE, "Working Age")</f>
        <v>Working Age</v>
      </c>
      <c r="J3773" s="6">
        <f>VLOOKUP(F3773,Analysis!$F$1:$G$5,2,FALSE)</f>
        <v>2496.7676064256989</v>
      </c>
      <c r="K3773">
        <f t="shared" si="232"/>
        <v>2293.7199999999998</v>
      </c>
      <c r="L3773">
        <f t="shared" si="233"/>
        <v>2293.7199999999998</v>
      </c>
      <c r="M3773">
        <f t="shared" si="234"/>
        <v>2293.7199999999998</v>
      </c>
      <c r="N3773" s="5" t="str">
        <f t="shared" si="235"/>
        <v>July 2023</v>
      </c>
    </row>
    <row r="3774" spans="1:14" x14ac:dyDescent="0.25">
      <c r="A3774" s="1">
        <v>45113</v>
      </c>
      <c r="B3774" t="s">
        <v>3551</v>
      </c>
      <c r="C3774">
        <v>44</v>
      </c>
      <c r="D3774" t="s">
        <v>21</v>
      </c>
      <c r="E3774" t="s">
        <v>22</v>
      </c>
      <c r="F3774" t="s">
        <v>11</v>
      </c>
      <c r="G3774" t="s">
        <v>5033</v>
      </c>
      <c r="H3774">
        <v>3900.36</v>
      </c>
      <c r="I3774" s="8" t="str" cm="1">
        <f t="array" ref="I3774">_xlfn.IFS(C3774&lt;=15,"Children and Young Adolescents", C3774&gt;64, "Seniors", TRUE, "Working Age")</f>
        <v>Working Age</v>
      </c>
      <c r="J3774" s="6">
        <f>VLOOKUP(F3774,Analysis!$F$1:$G$5,2,FALSE)</f>
        <v>2503.6022787783854</v>
      </c>
      <c r="K3774">
        <f t="shared" si="232"/>
        <v>4290.3900000000003</v>
      </c>
      <c r="L3774">
        <f t="shared" si="233"/>
        <v>4290.4000000000005</v>
      </c>
      <c r="M3774">
        <f t="shared" si="234"/>
        <v>4290.3999999999996</v>
      </c>
      <c r="N3774" s="5" t="str">
        <f t="shared" si="235"/>
        <v>July 2023</v>
      </c>
    </row>
    <row r="3775" spans="1:14" x14ac:dyDescent="0.25">
      <c r="A3775" s="1">
        <v>45113</v>
      </c>
      <c r="B3775" t="s">
        <v>4090</v>
      </c>
      <c r="C3775">
        <v>15</v>
      </c>
      <c r="D3775" t="s">
        <v>14</v>
      </c>
      <c r="E3775" t="s">
        <v>5032</v>
      </c>
      <c r="F3775" t="s">
        <v>23</v>
      </c>
      <c r="G3775" t="s">
        <v>17</v>
      </c>
      <c r="H3775">
        <v>131.66999999999999</v>
      </c>
      <c r="I3775" s="8" t="str" cm="1">
        <f t="array" ref="I3775">_xlfn.IFS(C3775&lt;=15,"Children and Young Adolescents", C3775&gt;64, "Seniors", TRUE, "Working Age")</f>
        <v>Children and Young Adolescents</v>
      </c>
      <c r="J3775" s="6">
        <f>VLOOKUP(F3775,Analysis!$F$1:$G$5,2,FALSE)</f>
        <v>2440.2966694490838</v>
      </c>
      <c r="K3775">
        <f t="shared" si="232"/>
        <v>144.83000000000001</v>
      </c>
      <c r="L3775">
        <f t="shared" si="233"/>
        <v>144.84</v>
      </c>
      <c r="M3775">
        <f t="shared" si="234"/>
        <v>144.84</v>
      </c>
      <c r="N3775" s="5" t="str">
        <f t="shared" si="235"/>
        <v>July 2023</v>
      </c>
    </row>
    <row r="3776" spans="1:14" x14ac:dyDescent="0.25">
      <c r="A3776" s="1">
        <v>45114</v>
      </c>
      <c r="B3776" t="s">
        <v>1685</v>
      </c>
      <c r="C3776">
        <v>60</v>
      </c>
      <c r="D3776" t="s">
        <v>21</v>
      </c>
      <c r="E3776" t="s">
        <v>32</v>
      </c>
      <c r="F3776" t="s">
        <v>16</v>
      </c>
      <c r="G3776" t="s">
        <v>36</v>
      </c>
      <c r="H3776">
        <v>3981.78</v>
      </c>
      <c r="I3776" s="8" t="str" cm="1">
        <f t="array" ref="I3776">_xlfn.IFS(C3776&lt;=15,"Children and Young Adolescents", C3776&gt;64, "Seniors", TRUE, "Working Age")</f>
        <v>Working Age</v>
      </c>
      <c r="J3776" s="6">
        <f>VLOOKUP(F3776,Analysis!$F$1:$G$5,2,FALSE)</f>
        <v>2509.1716796874912</v>
      </c>
      <c r="K3776">
        <f t="shared" si="232"/>
        <v>4379.95</v>
      </c>
      <c r="L3776">
        <f t="shared" si="233"/>
        <v>4379.96</v>
      </c>
      <c r="M3776">
        <f t="shared" si="234"/>
        <v>4379.96</v>
      </c>
      <c r="N3776" s="5" t="str">
        <f t="shared" si="235"/>
        <v>July 2023</v>
      </c>
    </row>
    <row r="3777" spans="1:14" x14ac:dyDescent="0.25">
      <c r="A3777" s="1">
        <v>45114</v>
      </c>
      <c r="B3777" t="s">
        <v>4920</v>
      </c>
      <c r="C3777">
        <v>99</v>
      </c>
      <c r="D3777" t="s">
        <v>9</v>
      </c>
      <c r="E3777" t="s">
        <v>10</v>
      </c>
      <c r="F3777" t="s">
        <v>29</v>
      </c>
      <c r="G3777" t="s">
        <v>39</v>
      </c>
      <c r="H3777">
        <v>3392.94</v>
      </c>
      <c r="I3777" s="8" t="str" cm="1">
        <f t="array" ref="I3777">_xlfn.IFS(C3777&lt;=15,"Children and Young Adolescents", C3777&gt;64, "Seniors", TRUE, "Working Age")</f>
        <v>Seniors</v>
      </c>
      <c r="J3777" s="6">
        <f>VLOOKUP(F3777,Analysis!$F$1:$G$5,2,FALSE)</f>
        <v>2496.7676064256989</v>
      </c>
      <c r="K3777">
        <f t="shared" si="232"/>
        <v>3732.23</v>
      </c>
      <c r="L3777">
        <f t="shared" si="233"/>
        <v>3732.2400000000002</v>
      </c>
      <c r="M3777">
        <f t="shared" si="234"/>
        <v>3732.23</v>
      </c>
      <c r="N3777" s="5" t="str">
        <f t="shared" si="235"/>
        <v>July 2023</v>
      </c>
    </row>
    <row r="3778" spans="1:14" x14ac:dyDescent="0.25">
      <c r="A3778" s="1">
        <v>45114</v>
      </c>
      <c r="B3778" t="s">
        <v>4265</v>
      </c>
      <c r="C3778">
        <v>75</v>
      </c>
      <c r="D3778" t="s">
        <v>21</v>
      </c>
      <c r="E3778" t="s">
        <v>22</v>
      </c>
      <c r="F3778" t="s">
        <v>16</v>
      </c>
      <c r="G3778" t="s">
        <v>27</v>
      </c>
      <c r="H3778">
        <v>1385.91</v>
      </c>
      <c r="I3778" s="8" t="str" cm="1">
        <f t="array" ref="I3778">_xlfn.IFS(C3778&lt;=15,"Children and Young Adolescents", C3778&gt;64, "Seniors", TRUE, "Working Age")</f>
        <v>Seniors</v>
      </c>
      <c r="J3778" s="6">
        <f>VLOOKUP(F3778,Analysis!$F$1:$G$5,2,FALSE)</f>
        <v>2509.1716796874912</v>
      </c>
      <c r="K3778">
        <f t="shared" si="232"/>
        <v>1524.5</v>
      </c>
      <c r="L3778">
        <f t="shared" si="233"/>
        <v>1524.51</v>
      </c>
      <c r="M3778">
        <f t="shared" si="234"/>
        <v>1524.5</v>
      </c>
      <c r="N3778" s="5" t="str">
        <f t="shared" si="235"/>
        <v>July 2023</v>
      </c>
    </row>
    <row r="3779" spans="1:14" x14ac:dyDescent="0.25">
      <c r="A3779" s="1">
        <v>45114</v>
      </c>
      <c r="B3779" t="s">
        <v>1924</v>
      </c>
      <c r="C3779">
        <v>65</v>
      </c>
      <c r="D3779" t="s">
        <v>14</v>
      </c>
      <c r="E3779" t="s">
        <v>5032</v>
      </c>
      <c r="F3779" t="s">
        <v>23</v>
      </c>
      <c r="G3779" t="s">
        <v>39</v>
      </c>
      <c r="H3779">
        <v>2338.0700000000002</v>
      </c>
      <c r="I3779" s="8" t="str" cm="1">
        <f t="array" ref="I3779">_xlfn.IFS(C3779&lt;=15,"Children and Young Adolescents", C3779&gt;64, "Seniors", TRUE, "Working Age")</f>
        <v>Seniors</v>
      </c>
      <c r="J3779" s="6">
        <f>VLOOKUP(F3779,Analysis!$F$1:$G$5,2,FALSE)</f>
        <v>2440.2966694490838</v>
      </c>
      <c r="K3779">
        <f t="shared" ref="K3779:K3842" si="236">ROUNDDOWN(H3779*1.1,2)</f>
        <v>2571.87</v>
      </c>
      <c r="L3779">
        <f t="shared" ref="L3779:L3842" si="237">ROUNDUP(H3779*1.1,2)</f>
        <v>2571.88</v>
      </c>
      <c r="M3779">
        <f t="shared" ref="M3779:M3842" si="238">ROUND(H3779*1.1,2)</f>
        <v>2571.88</v>
      </c>
      <c r="N3779" s="5" t="str">
        <f t="shared" ref="N3779:N3842" si="239">TEXT(A3779,"mmmm yyyy")</f>
        <v>July 2023</v>
      </c>
    </row>
    <row r="3780" spans="1:14" x14ac:dyDescent="0.25">
      <c r="A3780" s="1">
        <v>45114</v>
      </c>
      <c r="B3780" t="s">
        <v>3374</v>
      </c>
      <c r="C3780">
        <v>97</v>
      </c>
      <c r="D3780" t="s">
        <v>14</v>
      </c>
      <c r="E3780" t="s">
        <v>32</v>
      </c>
      <c r="F3780" t="s">
        <v>23</v>
      </c>
      <c r="G3780" t="s">
        <v>17</v>
      </c>
      <c r="H3780">
        <v>4018.54</v>
      </c>
      <c r="I3780" s="8" t="str" cm="1">
        <f t="array" ref="I3780">_xlfn.IFS(C3780&lt;=15,"Children and Young Adolescents", C3780&gt;64, "Seniors", TRUE, "Working Age")</f>
        <v>Seniors</v>
      </c>
      <c r="J3780" s="6">
        <f>VLOOKUP(F3780,Analysis!$F$1:$G$5,2,FALSE)</f>
        <v>2440.2966694490838</v>
      </c>
      <c r="K3780">
        <f t="shared" si="236"/>
        <v>4420.3900000000003</v>
      </c>
      <c r="L3780">
        <f t="shared" si="237"/>
        <v>4420.4000000000005</v>
      </c>
      <c r="M3780">
        <f t="shared" si="238"/>
        <v>4420.3900000000003</v>
      </c>
      <c r="N3780" s="5" t="str">
        <f t="shared" si="239"/>
        <v>July 2023</v>
      </c>
    </row>
    <row r="3781" spans="1:14" x14ac:dyDescent="0.25">
      <c r="A3781" s="1">
        <v>45114</v>
      </c>
      <c r="B3781" t="s">
        <v>308</v>
      </c>
      <c r="C3781">
        <v>67</v>
      </c>
      <c r="D3781" t="s">
        <v>14</v>
      </c>
      <c r="E3781" t="s">
        <v>22</v>
      </c>
      <c r="F3781" t="s">
        <v>23</v>
      </c>
      <c r="G3781" t="s">
        <v>12</v>
      </c>
      <c r="H3781">
        <v>2218.17</v>
      </c>
      <c r="I3781" s="8" t="str" cm="1">
        <f t="array" ref="I3781">_xlfn.IFS(C3781&lt;=15,"Children and Young Adolescents", C3781&gt;64, "Seniors", TRUE, "Working Age")</f>
        <v>Seniors</v>
      </c>
      <c r="J3781" s="6">
        <f>VLOOKUP(F3781,Analysis!$F$1:$G$5,2,FALSE)</f>
        <v>2440.2966694490838</v>
      </c>
      <c r="K3781">
        <f t="shared" si="236"/>
        <v>2439.98</v>
      </c>
      <c r="L3781">
        <f t="shared" si="237"/>
        <v>2439.9900000000002</v>
      </c>
      <c r="M3781">
        <f t="shared" si="238"/>
        <v>2439.9899999999998</v>
      </c>
      <c r="N3781" s="5" t="str">
        <f t="shared" si="239"/>
        <v>July 2023</v>
      </c>
    </row>
    <row r="3782" spans="1:14" x14ac:dyDescent="0.25">
      <c r="A3782" s="1">
        <v>45114</v>
      </c>
      <c r="B3782" t="s">
        <v>131</v>
      </c>
      <c r="C3782">
        <v>72</v>
      </c>
      <c r="D3782" t="s">
        <v>9</v>
      </c>
      <c r="E3782" t="s">
        <v>5032</v>
      </c>
      <c r="F3782" t="s">
        <v>16</v>
      </c>
      <c r="G3782" t="s">
        <v>27</v>
      </c>
      <c r="H3782">
        <v>1412.48</v>
      </c>
      <c r="I3782" s="8" t="str" cm="1">
        <f t="array" ref="I3782">_xlfn.IFS(C3782&lt;=15,"Children and Young Adolescents", C3782&gt;64, "Seniors", TRUE, "Working Age")</f>
        <v>Seniors</v>
      </c>
      <c r="J3782" s="6">
        <f>VLOOKUP(F3782,Analysis!$F$1:$G$5,2,FALSE)</f>
        <v>2509.1716796874912</v>
      </c>
      <c r="K3782">
        <f t="shared" si="236"/>
        <v>1553.72</v>
      </c>
      <c r="L3782">
        <f t="shared" si="237"/>
        <v>1553.73</v>
      </c>
      <c r="M3782">
        <f t="shared" si="238"/>
        <v>1553.73</v>
      </c>
      <c r="N3782" s="5" t="str">
        <f t="shared" si="239"/>
        <v>July 2023</v>
      </c>
    </row>
    <row r="3783" spans="1:14" x14ac:dyDescent="0.25">
      <c r="A3783" s="1">
        <v>45115</v>
      </c>
      <c r="B3783" t="s">
        <v>1937</v>
      </c>
      <c r="C3783">
        <v>12</v>
      </c>
      <c r="D3783" t="s">
        <v>14</v>
      </c>
      <c r="E3783" t="s">
        <v>34</v>
      </c>
      <c r="F3783" t="s">
        <v>23</v>
      </c>
      <c r="G3783" t="s">
        <v>12</v>
      </c>
      <c r="H3783">
        <v>4244.6099999999997</v>
      </c>
      <c r="I3783" s="8" t="str" cm="1">
        <f t="array" ref="I3783">_xlfn.IFS(C3783&lt;=15,"Children and Young Adolescents", C3783&gt;64, "Seniors", TRUE, "Working Age")</f>
        <v>Children and Young Adolescents</v>
      </c>
      <c r="J3783" s="6">
        <f>VLOOKUP(F3783,Analysis!$F$1:$G$5,2,FALSE)</f>
        <v>2440.2966694490838</v>
      </c>
      <c r="K3783">
        <f t="shared" si="236"/>
        <v>4669.07</v>
      </c>
      <c r="L3783">
        <f t="shared" si="237"/>
        <v>4669.08</v>
      </c>
      <c r="M3783">
        <f t="shared" si="238"/>
        <v>4669.07</v>
      </c>
      <c r="N3783" s="5" t="str">
        <f t="shared" si="239"/>
        <v>July 2023</v>
      </c>
    </row>
    <row r="3784" spans="1:14" x14ac:dyDescent="0.25">
      <c r="A3784" s="1">
        <v>45115</v>
      </c>
      <c r="B3784" t="s">
        <v>487</v>
      </c>
      <c r="C3784">
        <v>97</v>
      </c>
      <c r="D3784" t="s">
        <v>21</v>
      </c>
      <c r="E3784" t="s">
        <v>15</v>
      </c>
      <c r="F3784" t="s">
        <v>23</v>
      </c>
      <c r="G3784" t="s">
        <v>36</v>
      </c>
      <c r="H3784">
        <v>769.22</v>
      </c>
      <c r="I3784" s="8" t="str" cm="1">
        <f t="array" ref="I3784">_xlfn.IFS(C3784&lt;=15,"Children and Young Adolescents", C3784&gt;64, "Seniors", TRUE, "Working Age")</f>
        <v>Seniors</v>
      </c>
      <c r="J3784" s="6">
        <f>VLOOKUP(F3784,Analysis!$F$1:$G$5,2,FALSE)</f>
        <v>2440.2966694490838</v>
      </c>
      <c r="K3784">
        <f t="shared" si="236"/>
        <v>846.14</v>
      </c>
      <c r="L3784">
        <f t="shared" si="237"/>
        <v>846.15</v>
      </c>
      <c r="M3784">
        <f t="shared" si="238"/>
        <v>846.14</v>
      </c>
      <c r="N3784" s="5" t="str">
        <f t="shared" si="239"/>
        <v>July 2023</v>
      </c>
    </row>
    <row r="3785" spans="1:14" x14ac:dyDescent="0.25">
      <c r="A3785" s="1">
        <v>45115</v>
      </c>
      <c r="B3785" t="s">
        <v>644</v>
      </c>
      <c r="C3785">
        <v>32</v>
      </c>
      <c r="D3785" t="s">
        <v>14</v>
      </c>
      <c r="E3785" t="s">
        <v>34</v>
      </c>
      <c r="F3785" t="s">
        <v>16</v>
      </c>
      <c r="G3785" t="s">
        <v>12</v>
      </c>
      <c r="H3785">
        <v>2625.31</v>
      </c>
      <c r="I3785" s="8" t="str" cm="1">
        <f t="array" ref="I3785">_xlfn.IFS(C3785&lt;=15,"Children and Young Adolescents", C3785&gt;64, "Seniors", TRUE, "Working Age")</f>
        <v>Working Age</v>
      </c>
      <c r="J3785" s="6">
        <f>VLOOKUP(F3785,Analysis!$F$1:$G$5,2,FALSE)</f>
        <v>2509.1716796874912</v>
      </c>
      <c r="K3785">
        <f t="shared" si="236"/>
        <v>2887.84</v>
      </c>
      <c r="L3785">
        <f t="shared" si="237"/>
        <v>2887.8500000000004</v>
      </c>
      <c r="M3785">
        <f t="shared" si="238"/>
        <v>2887.84</v>
      </c>
      <c r="N3785" s="5" t="str">
        <f t="shared" si="239"/>
        <v>July 2023</v>
      </c>
    </row>
    <row r="3786" spans="1:14" x14ac:dyDescent="0.25">
      <c r="A3786" s="1">
        <v>45115</v>
      </c>
      <c r="B3786" t="s">
        <v>37</v>
      </c>
      <c r="C3786">
        <v>9</v>
      </c>
      <c r="D3786" t="s">
        <v>14</v>
      </c>
      <c r="E3786" t="s">
        <v>19</v>
      </c>
      <c r="F3786" t="s">
        <v>16</v>
      </c>
      <c r="G3786" t="s">
        <v>36</v>
      </c>
      <c r="H3786">
        <v>925.55</v>
      </c>
      <c r="I3786" s="8" t="str" cm="1">
        <f t="array" ref="I3786">_xlfn.IFS(C3786&lt;=15,"Children and Young Adolescents", C3786&gt;64, "Seniors", TRUE, "Working Age")</f>
        <v>Children and Young Adolescents</v>
      </c>
      <c r="J3786" s="6">
        <f>VLOOKUP(F3786,Analysis!$F$1:$G$5,2,FALSE)</f>
        <v>2509.1716796874912</v>
      </c>
      <c r="K3786">
        <f t="shared" si="236"/>
        <v>1018.1</v>
      </c>
      <c r="L3786">
        <f t="shared" si="237"/>
        <v>1018.11</v>
      </c>
      <c r="M3786">
        <f t="shared" si="238"/>
        <v>1018.11</v>
      </c>
      <c r="N3786" s="5" t="str">
        <f t="shared" si="239"/>
        <v>July 2023</v>
      </c>
    </row>
    <row r="3787" spans="1:14" x14ac:dyDescent="0.25">
      <c r="A3787" s="1">
        <v>45115</v>
      </c>
      <c r="B3787" t="s">
        <v>407</v>
      </c>
      <c r="C3787">
        <v>1</v>
      </c>
      <c r="D3787" t="s">
        <v>9</v>
      </c>
      <c r="E3787" t="s">
        <v>34</v>
      </c>
      <c r="F3787" t="s">
        <v>16</v>
      </c>
      <c r="G3787" t="s">
        <v>27</v>
      </c>
      <c r="H3787">
        <v>2174.3200000000002</v>
      </c>
      <c r="I3787" s="8" t="str" cm="1">
        <f t="array" ref="I3787">_xlfn.IFS(C3787&lt;=15,"Children and Young Adolescents", C3787&gt;64, "Seniors", TRUE, "Working Age")</f>
        <v>Children and Young Adolescents</v>
      </c>
      <c r="J3787" s="6">
        <f>VLOOKUP(F3787,Analysis!$F$1:$G$5,2,FALSE)</f>
        <v>2509.1716796874912</v>
      </c>
      <c r="K3787">
        <f t="shared" si="236"/>
        <v>2391.75</v>
      </c>
      <c r="L3787">
        <f t="shared" si="237"/>
        <v>2391.7600000000002</v>
      </c>
      <c r="M3787">
        <f t="shared" si="238"/>
        <v>2391.75</v>
      </c>
      <c r="N3787" s="5" t="str">
        <f t="shared" si="239"/>
        <v>July 2023</v>
      </c>
    </row>
    <row r="3788" spans="1:14" x14ac:dyDescent="0.25">
      <c r="A3788" s="1">
        <v>45116</v>
      </c>
      <c r="B3788" t="s">
        <v>1842</v>
      </c>
      <c r="C3788">
        <v>70</v>
      </c>
      <c r="D3788" t="s">
        <v>21</v>
      </c>
      <c r="E3788" t="s">
        <v>34</v>
      </c>
      <c r="F3788" t="s">
        <v>23</v>
      </c>
      <c r="G3788" t="s">
        <v>12</v>
      </c>
      <c r="H3788">
        <v>931.75</v>
      </c>
      <c r="I3788" s="8" t="str" cm="1">
        <f t="array" ref="I3788">_xlfn.IFS(C3788&lt;=15,"Children and Young Adolescents", C3788&gt;64, "Seniors", TRUE, "Working Age")</f>
        <v>Seniors</v>
      </c>
      <c r="J3788" s="6">
        <f>VLOOKUP(F3788,Analysis!$F$1:$G$5,2,FALSE)</f>
        <v>2440.2966694490838</v>
      </c>
      <c r="K3788">
        <f t="shared" si="236"/>
        <v>1024.92</v>
      </c>
      <c r="L3788">
        <f t="shared" si="237"/>
        <v>1024.93</v>
      </c>
      <c r="M3788">
        <f t="shared" si="238"/>
        <v>1024.93</v>
      </c>
      <c r="N3788" s="5" t="str">
        <f t="shared" si="239"/>
        <v>July 2023</v>
      </c>
    </row>
    <row r="3789" spans="1:14" x14ac:dyDescent="0.25">
      <c r="A3789" s="1">
        <v>45116</v>
      </c>
      <c r="B3789" t="s">
        <v>2741</v>
      </c>
      <c r="C3789">
        <v>4</v>
      </c>
      <c r="D3789" t="s">
        <v>14</v>
      </c>
      <c r="E3789" t="s">
        <v>22</v>
      </c>
      <c r="F3789" t="s">
        <v>16</v>
      </c>
      <c r="G3789" t="s">
        <v>17</v>
      </c>
      <c r="H3789">
        <v>80.849999999999994</v>
      </c>
      <c r="I3789" s="8" t="str" cm="1">
        <f t="array" ref="I3789">_xlfn.IFS(C3789&lt;=15,"Children and Young Adolescents", C3789&gt;64, "Seniors", TRUE, "Working Age")</f>
        <v>Children and Young Adolescents</v>
      </c>
      <c r="J3789" s="6">
        <f>VLOOKUP(F3789,Analysis!$F$1:$G$5,2,FALSE)</f>
        <v>2509.1716796874912</v>
      </c>
      <c r="K3789">
        <f t="shared" si="236"/>
        <v>88.93</v>
      </c>
      <c r="L3789">
        <f t="shared" si="237"/>
        <v>88.940000000000012</v>
      </c>
      <c r="M3789">
        <f t="shared" si="238"/>
        <v>88.94</v>
      </c>
      <c r="N3789" s="5" t="str">
        <f t="shared" si="239"/>
        <v>July 2023</v>
      </c>
    </row>
    <row r="3790" spans="1:14" x14ac:dyDescent="0.25">
      <c r="A3790" s="1">
        <v>45116</v>
      </c>
      <c r="B3790" t="s">
        <v>1679</v>
      </c>
      <c r="C3790">
        <v>26</v>
      </c>
      <c r="D3790" t="s">
        <v>9</v>
      </c>
      <c r="E3790" t="s">
        <v>25</v>
      </c>
      <c r="F3790" t="s">
        <v>23</v>
      </c>
      <c r="G3790" t="s">
        <v>36</v>
      </c>
      <c r="H3790">
        <v>990.43</v>
      </c>
      <c r="I3790" s="8" t="str" cm="1">
        <f t="array" ref="I3790">_xlfn.IFS(C3790&lt;=15,"Children and Young Adolescents", C3790&gt;64, "Seniors", TRUE, "Working Age")</f>
        <v>Working Age</v>
      </c>
      <c r="J3790" s="6">
        <f>VLOOKUP(F3790,Analysis!$F$1:$G$5,2,FALSE)</f>
        <v>2440.2966694490838</v>
      </c>
      <c r="K3790">
        <f t="shared" si="236"/>
        <v>1089.47</v>
      </c>
      <c r="L3790">
        <f t="shared" si="237"/>
        <v>1089.48</v>
      </c>
      <c r="M3790">
        <f t="shared" si="238"/>
        <v>1089.47</v>
      </c>
      <c r="N3790" s="5" t="str">
        <f t="shared" si="239"/>
        <v>July 2023</v>
      </c>
    </row>
    <row r="3791" spans="1:14" x14ac:dyDescent="0.25">
      <c r="A3791" s="1">
        <v>45116</v>
      </c>
      <c r="B3791" t="s">
        <v>764</v>
      </c>
      <c r="C3791">
        <v>39</v>
      </c>
      <c r="D3791" t="s">
        <v>9</v>
      </c>
      <c r="E3791" t="s">
        <v>22</v>
      </c>
      <c r="F3791" t="s">
        <v>16</v>
      </c>
      <c r="G3791" t="s">
        <v>39</v>
      </c>
      <c r="H3791">
        <v>1400.32</v>
      </c>
      <c r="I3791" s="8" t="str" cm="1">
        <f t="array" ref="I3791">_xlfn.IFS(C3791&lt;=15,"Children and Young Adolescents", C3791&gt;64, "Seniors", TRUE, "Working Age")</f>
        <v>Working Age</v>
      </c>
      <c r="J3791" s="6">
        <f>VLOOKUP(F3791,Analysis!$F$1:$G$5,2,FALSE)</f>
        <v>2509.1716796874912</v>
      </c>
      <c r="K3791">
        <f t="shared" si="236"/>
        <v>1540.35</v>
      </c>
      <c r="L3791">
        <f t="shared" si="237"/>
        <v>1540.36</v>
      </c>
      <c r="M3791">
        <f t="shared" si="238"/>
        <v>1540.35</v>
      </c>
      <c r="N3791" s="5" t="str">
        <f t="shared" si="239"/>
        <v>July 2023</v>
      </c>
    </row>
    <row r="3792" spans="1:14" x14ac:dyDescent="0.25">
      <c r="A3792" s="1">
        <v>45116</v>
      </c>
      <c r="B3792" t="s">
        <v>3125</v>
      </c>
      <c r="C3792">
        <v>60</v>
      </c>
      <c r="D3792" t="s">
        <v>9</v>
      </c>
      <c r="E3792" t="s">
        <v>19</v>
      </c>
      <c r="F3792" t="s">
        <v>11</v>
      </c>
      <c r="G3792" t="s">
        <v>39</v>
      </c>
      <c r="H3792">
        <v>836.24</v>
      </c>
      <c r="I3792" s="8" t="str" cm="1">
        <f t="array" ref="I3792">_xlfn.IFS(C3792&lt;=15,"Children and Young Adolescents", C3792&gt;64, "Seniors", TRUE, "Working Age")</f>
        <v>Working Age</v>
      </c>
      <c r="J3792" s="6">
        <f>VLOOKUP(F3792,Analysis!$F$1:$G$5,2,FALSE)</f>
        <v>2503.6022787783854</v>
      </c>
      <c r="K3792">
        <f t="shared" si="236"/>
        <v>919.86</v>
      </c>
      <c r="L3792">
        <f t="shared" si="237"/>
        <v>919.87</v>
      </c>
      <c r="M3792">
        <f t="shared" si="238"/>
        <v>919.86</v>
      </c>
      <c r="N3792" s="5" t="str">
        <f t="shared" si="239"/>
        <v>July 2023</v>
      </c>
    </row>
    <row r="3793" spans="1:14" x14ac:dyDescent="0.25">
      <c r="A3793" s="1">
        <v>45116</v>
      </c>
      <c r="B3793" t="s">
        <v>4590</v>
      </c>
      <c r="C3793">
        <v>40</v>
      </c>
      <c r="D3793" t="s">
        <v>21</v>
      </c>
      <c r="E3793" t="s">
        <v>15</v>
      </c>
      <c r="F3793" t="s">
        <v>11</v>
      </c>
      <c r="G3793" t="s">
        <v>17</v>
      </c>
      <c r="H3793">
        <v>2842.59</v>
      </c>
      <c r="I3793" s="8" t="str" cm="1">
        <f t="array" ref="I3793">_xlfn.IFS(C3793&lt;=15,"Children and Young Adolescents", C3793&gt;64, "Seniors", TRUE, "Working Age")</f>
        <v>Working Age</v>
      </c>
      <c r="J3793" s="6">
        <f>VLOOKUP(F3793,Analysis!$F$1:$G$5,2,FALSE)</f>
        <v>2503.6022787783854</v>
      </c>
      <c r="K3793">
        <f t="shared" si="236"/>
        <v>3126.84</v>
      </c>
      <c r="L3793">
        <f t="shared" si="237"/>
        <v>3126.8500000000004</v>
      </c>
      <c r="M3793">
        <f t="shared" si="238"/>
        <v>3126.85</v>
      </c>
      <c r="N3793" s="5" t="str">
        <f t="shared" si="239"/>
        <v>July 2023</v>
      </c>
    </row>
    <row r="3794" spans="1:14" x14ac:dyDescent="0.25">
      <c r="A3794" s="1">
        <v>45116</v>
      </c>
      <c r="B3794" t="s">
        <v>1806</v>
      </c>
      <c r="C3794">
        <v>79</v>
      </c>
      <c r="D3794" t="s">
        <v>9</v>
      </c>
      <c r="E3794" t="s">
        <v>19</v>
      </c>
      <c r="F3794" t="s">
        <v>29</v>
      </c>
      <c r="G3794" t="s">
        <v>36</v>
      </c>
      <c r="H3794">
        <v>3200.77</v>
      </c>
      <c r="I3794" s="8" t="str" cm="1">
        <f t="array" ref="I3794">_xlfn.IFS(C3794&lt;=15,"Children and Young Adolescents", C3794&gt;64, "Seniors", TRUE, "Working Age")</f>
        <v>Seniors</v>
      </c>
      <c r="J3794" s="6">
        <f>VLOOKUP(F3794,Analysis!$F$1:$G$5,2,FALSE)</f>
        <v>2496.7676064256989</v>
      </c>
      <c r="K3794">
        <f t="shared" si="236"/>
        <v>3520.84</v>
      </c>
      <c r="L3794">
        <f t="shared" si="237"/>
        <v>3520.8500000000004</v>
      </c>
      <c r="M3794">
        <f t="shared" si="238"/>
        <v>3520.85</v>
      </c>
      <c r="N3794" s="5" t="str">
        <f t="shared" si="239"/>
        <v>July 2023</v>
      </c>
    </row>
    <row r="3795" spans="1:14" x14ac:dyDescent="0.25">
      <c r="A3795" s="1">
        <v>45116</v>
      </c>
      <c r="B3795" t="s">
        <v>4715</v>
      </c>
      <c r="C3795">
        <v>96</v>
      </c>
      <c r="D3795" t="s">
        <v>14</v>
      </c>
      <c r="E3795" t="s">
        <v>19</v>
      </c>
      <c r="F3795" t="s">
        <v>29</v>
      </c>
      <c r="G3795" t="s">
        <v>17</v>
      </c>
      <c r="H3795">
        <v>624.54</v>
      </c>
      <c r="I3795" s="8" t="str" cm="1">
        <f t="array" ref="I3795">_xlfn.IFS(C3795&lt;=15,"Children and Young Adolescents", C3795&gt;64, "Seniors", TRUE, "Working Age")</f>
        <v>Seniors</v>
      </c>
      <c r="J3795" s="6">
        <f>VLOOKUP(F3795,Analysis!$F$1:$G$5,2,FALSE)</f>
        <v>2496.7676064256989</v>
      </c>
      <c r="K3795">
        <f t="shared" si="236"/>
        <v>686.99</v>
      </c>
      <c r="L3795">
        <f t="shared" si="237"/>
        <v>687</v>
      </c>
      <c r="M3795">
        <f t="shared" si="238"/>
        <v>686.99</v>
      </c>
      <c r="N3795" s="5" t="str">
        <f t="shared" si="239"/>
        <v>July 2023</v>
      </c>
    </row>
    <row r="3796" spans="1:14" x14ac:dyDescent="0.25">
      <c r="A3796" s="1">
        <v>45116</v>
      </c>
      <c r="B3796" t="s">
        <v>1233</v>
      </c>
      <c r="C3796">
        <v>81</v>
      </c>
      <c r="D3796" t="s">
        <v>9</v>
      </c>
      <c r="E3796" t="s">
        <v>25</v>
      </c>
      <c r="F3796" t="s">
        <v>16</v>
      </c>
      <c r="G3796" t="s">
        <v>39</v>
      </c>
      <c r="H3796">
        <v>2703.11</v>
      </c>
      <c r="I3796" s="8" t="str" cm="1">
        <f t="array" ref="I3796">_xlfn.IFS(C3796&lt;=15,"Children and Young Adolescents", C3796&gt;64, "Seniors", TRUE, "Working Age")</f>
        <v>Seniors</v>
      </c>
      <c r="J3796" s="6">
        <f>VLOOKUP(F3796,Analysis!$F$1:$G$5,2,FALSE)</f>
        <v>2509.1716796874912</v>
      </c>
      <c r="K3796">
        <f t="shared" si="236"/>
        <v>2973.42</v>
      </c>
      <c r="L3796">
        <f t="shared" si="237"/>
        <v>2973.4300000000003</v>
      </c>
      <c r="M3796">
        <f t="shared" si="238"/>
        <v>2973.42</v>
      </c>
      <c r="N3796" s="5" t="str">
        <f t="shared" si="239"/>
        <v>July 2023</v>
      </c>
    </row>
    <row r="3797" spans="1:14" x14ac:dyDescent="0.25">
      <c r="A3797" s="1">
        <v>45116</v>
      </c>
      <c r="B3797" t="s">
        <v>1102</v>
      </c>
      <c r="C3797">
        <v>30</v>
      </c>
      <c r="D3797" t="s">
        <v>21</v>
      </c>
      <c r="E3797" t="s">
        <v>32</v>
      </c>
      <c r="F3797" t="s">
        <v>16</v>
      </c>
      <c r="G3797" t="s">
        <v>17</v>
      </c>
      <c r="H3797">
        <v>295.17</v>
      </c>
      <c r="I3797" s="8" t="str" cm="1">
        <f t="array" ref="I3797">_xlfn.IFS(C3797&lt;=15,"Children and Young Adolescents", C3797&gt;64, "Seniors", TRUE, "Working Age")</f>
        <v>Working Age</v>
      </c>
      <c r="J3797" s="6">
        <f>VLOOKUP(F3797,Analysis!$F$1:$G$5,2,FALSE)</f>
        <v>2509.1716796874912</v>
      </c>
      <c r="K3797">
        <f t="shared" si="236"/>
        <v>324.68</v>
      </c>
      <c r="L3797">
        <f t="shared" si="237"/>
        <v>324.69</v>
      </c>
      <c r="M3797">
        <f t="shared" si="238"/>
        <v>324.69</v>
      </c>
      <c r="N3797" s="5" t="str">
        <f t="shared" si="239"/>
        <v>July 2023</v>
      </c>
    </row>
    <row r="3798" spans="1:14" x14ac:dyDescent="0.25">
      <c r="A3798" s="1">
        <v>45117</v>
      </c>
      <c r="B3798" t="s">
        <v>1514</v>
      </c>
      <c r="C3798">
        <v>24</v>
      </c>
      <c r="D3798" t="s">
        <v>9</v>
      </c>
      <c r="E3798" t="s">
        <v>34</v>
      </c>
      <c r="F3798" t="s">
        <v>11</v>
      </c>
      <c r="G3798" t="s">
        <v>5033</v>
      </c>
      <c r="H3798">
        <v>2756.69</v>
      </c>
      <c r="I3798" s="8" t="str" cm="1">
        <f t="array" ref="I3798">_xlfn.IFS(C3798&lt;=15,"Children and Young Adolescents", C3798&gt;64, "Seniors", TRUE, "Working Age")</f>
        <v>Working Age</v>
      </c>
      <c r="J3798" s="6">
        <f>VLOOKUP(F3798,Analysis!$F$1:$G$5,2,FALSE)</f>
        <v>2503.6022787783854</v>
      </c>
      <c r="K3798">
        <f t="shared" si="236"/>
        <v>3032.35</v>
      </c>
      <c r="L3798">
        <f t="shared" si="237"/>
        <v>3032.36</v>
      </c>
      <c r="M3798">
        <f t="shared" si="238"/>
        <v>3032.36</v>
      </c>
      <c r="N3798" s="5" t="str">
        <f t="shared" si="239"/>
        <v>July 2023</v>
      </c>
    </row>
    <row r="3799" spans="1:14" x14ac:dyDescent="0.25">
      <c r="A3799" s="1">
        <v>45117</v>
      </c>
      <c r="B3799" t="s">
        <v>2953</v>
      </c>
      <c r="C3799">
        <v>25</v>
      </c>
      <c r="D3799" t="s">
        <v>21</v>
      </c>
      <c r="E3799" t="s">
        <v>25</v>
      </c>
      <c r="F3799" t="s">
        <v>11</v>
      </c>
      <c r="G3799" t="s">
        <v>17</v>
      </c>
      <c r="H3799">
        <v>2483.2199999999998</v>
      </c>
      <c r="I3799" s="8" t="str" cm="1">
        <f t="array" ref="I3799">_xlfn.IFS(C3799&lt;=15,"Children and Young Adolescents", C3799&gt;64, "Seniors", TRUE, "Working Age")</f>
        <v>Working Age</v>
      </c>
      <c r="J3799" s="6">
        <f>VLOOKUP(F3799,Analysis!$F$1:$G$5,2,FALSE)</f>
        <v>2503.6022787783854</v>
      </c>
      <c r="K3799">
        <f t="shared" si="236"/>
        <v>2731.54</v>
      </c>
      <c r="L3799">
        <f t="shared" si="237"/>
        <v>2731.55</v>
      </c>
      <c r="M3799">
        <f t="shared" si="238"/>
        <v>2731.54</v>
      </c>
      <c r="N3799" s="5" t="str">
        <f t="shared" si="239"/>
        <v>July 2023</v>
      </c>
    </row>
    <row r="3800" spans="1:14" x14ac:dyDescent="0.25">
      <c r="A3800" s="1">
        <v>45117</v>
      </c>
      <c r="B3800" t="s">
        <v>4418</v>
      </c>
      <c r="C3800">
        <v>54</v>
      </c>
      <c r="D3800" t="s">
        <v>21</v>
      </c>
      <c r="E3800" t="s">
        <v>5032</v>
      </c>
      <c r="F3800" t="s">
        <v>11</v>
      </c>
      <c r="G3800" t="s">
        <v>27</v>
      </c>
      <c r="H3800">
        <v>1048.24</v>
      </c>
      <c r="I3800" s="8" t="str" cm="1">
        <f t="array" ref="I3800">_xlfn.IFS(C3800&lt;=15,"Children and Young Adolescents", C3800&gt;64, "Seniors", TRUE, "Working Age")</f>
        <v>Working Age</v>
      </c>
      <c r="J3800" s="6">
        <f>VLOOKUP(F3800,Analysis!$F$1:$G$5,2,FALSE)</f>
        <v>2503.6022787783854</v>
      </c>
      <c r="K3800">
        <f t="shared" si="236"/>
        <v>1153.06</v>
      </c>
      <c r="L3800">
        <f t="shared" si="237"/>
        <v>1153.07</v>
      </c>
      <c r="M3800">
        <f t="shared" si="238"/>
        <v>1153.06</v>
      </c>
      <c r="N3800" s="5" t="str">
        <f t="shared" si="239"/>
        <v>July 2023</v>
      </c>
    </row>
    <row r="3801" spans="1:14" x14ac:dyDescent="0.25">
      <c r="A3801" s="1">
        <v>45117</v>
      </c>
      <c r="B3801" t="s">
        <v>1151</v>
      </c>
      <c r="C3801">
        <v>41</v>
      </c>
      <c r="D3801" t="s">
        <v>9</v>
      </c>
      <c r="E3801" t="s">
        <v>25</v>
      </c>
      <c r="F3801" t="s">
        <v>11</v>
      </c>
      <c r="G3801" t="s">
        <v>39</v>
      </c>
      <c r="H3801">
        <v>262.39999999999998</v>
      </c>
      <c r="I3801" s="8" t="str" cm="1">
        <f t="array" ref="I3801">_xlfn.IFS(C3801&lt;=15,"Children and Young Adolescents", C3801&gt;64, "Seniors", TRUE, "Working Age")</f>
        <v>Working Age</v>
      </c>
      <c r="J3801" s="6">
        <f>VLOOKUP(F3801,Analysis!$F$1:$G$5,2,FALSE)</f>
        <v>2503.6022787783854</v>
      </c>
      <c r="K3801">
        <f t="shared" si="236"/>
        <v>288.64</v>
      </c>
      <c r="L3801">
        <f t="shared" si="237"/>
        <v>288.64</v>
      </c>
      <c r="M3801">
        <f t="shared" si="238"/>
        <v>288.64</v>
      </c>
      <c r="N3801" s="5" t="str">
        <f t="shared" si="239"/>
        <v>July 2023</v>
      </c>
    </row>
    <row r="3802" spans="1:14" x14ac:dyDescent="0.25">
      <c r="A3802" s="1">
        <v>45117</v>
      </c>
      <c r="B3802" t="s">
        <v>4210</v>
      </c>
      <c r="C3802">
        <v>53</v>
      </c>
      <c r="D3802" t="s">
        <v>21</v>
      </c>
      <c r="E3802" t="s">
        <v>19</v>
      </c>
      <c r="F3802" t="s">
        <v>23</v>
      </c>
      <c r="G3802" t="s">
        <v>36</v>
      </c>
      <c r="H3802">
        <v>2844.6</v>
      </c>
      <c r="I3802" s="8" t="str" cm="1">
        <f t="array" ref="I3802">_xlfn.IFS(C3802&lt;=15,"Children and Young Adolescents", C3802&gt;64, "Seniors", TRUE, "Working Age")</f>
        <v>Working Age</v>
      </c>
      <c r="J3802" s="6">
        <f>VLOOKUP(F3802,Analysis!$F$1:$G$5,2,FALSE)</f>
        <v>2440.2966694490838</v>
      </c>
      <c r="K3802">
        <f t="shared" si="236"/>
        <v>3129.06</v>
      </c>
      <c r="L3802">
        <f t="shared" si="237"/>
        <v>3129.06</v>
      </c>
      <c r="M3802">
        <f t="shared" si="238"/>
        <v>3129.06</v>
      </c>
      <c r="N3802" s="5" t="str">
        <f t="shared" si="239"/>
        <v>July 2023</v>
      </c>
    </row>
    <row r="3803" spans="1:14" x14ac:dyDescent="0.25">
      <c r="A3803" s="1">
        <v>45118</v>
      </c>
      <c r="B3803" t="s">
        <v>2506</v>
      </c>
      <c r="C3803">
        <v>19</v>
      </c>
      <c r="D3803" t="s">
        <v>21</v>
      </c>
      <c r="E3803" t="s">
        <v>22</v>
      </c>
      <c r="F3803" t="s">
        <v>11</v>
      </c>
      <c r="G3803" t="s">
        <v>12</v>
      </c>
      <c r="H3803">
        <v>4617.04</v>
      </c>
      <c r="I3803" s="8" t="str" cm="1">
        <f t="array" ref="I3803">_xlfn.IFS(C3803&lt;=15,"Children and Young Adolescents", C3803&gt;64, "Seniors", TRUE, "Working Age")</f>
        <v>Working Age</v>
      </c>
      <c r="J3803" s="6">
        <f>VLOOKUP(F3803,Analysis!$F$1:$G$5,2,FALSE)</f>
        <v>2503.6022787783854</v>
      </c>
      <c r="K3803">
        <f t="shared" si="236"/>
        <v>5078.74</v>
      </c>
      <c r="L3803">
        <f t="shared" si="237"/>
        <v>5078.75</v>
      </c>
      <c r="M3803">
        <f t="shared" si="238"/>
        <v>5078.74</v>
      </c>
      <c r="N3803" s="5" t="str">
        <f t="shared" si="239"/>
        <v>July 2023</v>
      </c>
    </row>
    <row r="3804" spans="1:14" x14ac:dyDescent="0.25">
      <c r="A3804" s="1">
        <v>45118</v>
      </c>
      <c r="B3804" t="s">
        <v>1814</v>
      </c>
      <c r="C3804">
        <v>49</v>
      </c>
      <c r="D3804" t="s">
        <v>9</v>
      </c>
      <c r="E3804" t="s">
        <v>15</v>
      </c>
      <c r="F3804" t="s">
        <v>29</v>
      </c>
      <c r="G3804" t="s">
        <v>39</v>
      </c>
      <c r="H3804">
        <v>129.59</v>
      </c>
      <c r="I3804" s="8" t="str" cm="1">
        <f t="array" ref="I3804">_xlfn.IFS(C3804&lt;=15,"Children and Young Adolescents", C3804&gt;64, "Seniors", TRUE, "Working Age")</f>
        <v>Working Age</v>
      </c>
      <c r="J3804" s="6">
        <f>VLOOKUP(F3804,Analysis!$F$1:$G$5,2,FALSE)</f>
        <v>2496.7676064256989</v>
      </c>
      <c r="K3804">
        <f t="shared" si="236"/>
        <v>142.54</v>
      </c>
      <c r="L3804">
        <f t="shared" si="237"/>
        <v>142.54999999999998</v>
      </c>
      <c r="M3804">
        <f t="shared" si="238"/>
        <v>142.55000000000001</v>
      </c>
      <c r="N3804" s="5" t="str">
        <f t="shared" si="239"/>
        <v>July 2023</v>
      </c>
    </row>
    <row r="3805" spans="1:14" x14ac:dyDescent="0.25">
      <c r="A3805" s="1">
        <v>45118</v>
      </c>
      <c r="B3805" t="s">
        <v>1626</v>
      </c>
      <c r="C3805">
        <v>60</v>
      </c>
      <c r="D3805" t="s">
        <v>14</v>
      </c>
      <c r="E3805" t="s">
        <v>22</v>
      </c>
      <c r="F3805" t="s">
        <v>16</v>
      </c>
      <c r="G3805" t="s">
        <v>27</v>
      </c>
      <c r="H3805">
        <v>3427.93</v>
      </c>
      <c r="I3805" s="8" t="str" cm="1">
        <f t="array" ref="I3805">_xlfn.IFS(C3805&lt;=15,"Children and Young Adolescents", C3805&gt;64, "Seniors", TRUE, "Working Age")</f>
        <v>Working Age</v>
      </c>
      <c r="J3805" s="6">
        <f>VLOOKUP(F3805,Analysis!$F$1:$G$5,2,FALSE)</f>
        <v>2509.1716796874912</v>
      </c>
      <c r="K3805">
        <f t="shared" si="236"/>
        <v>3770.72</v>
      </c>
      <c r="L3805">
        <f t="shared" si="237"/>
        <v>3770.73</v>
      </c>
      <c r="M3805">
        <f t="shared" si="238"/>
        <v>3770.72</v>
      </c>
      <c r="N3805" s="5" t="str">
        <f t="shared" si="239"/>
        <v>July 2023</v>
      </c>
    </row>
    <row r="3806" spans="1:14" x14ac:dyDescent="0.25">
      <c r="A3806" s="1">
        <v>45118</v>
      </c>
      <c r="B3806" t="s">
        <v>1672</v>
      </c>
      <c r="C3806">
        <v>23</v>
      </c>
      <c r="D3806" t="s">
        <v>14</v>
      </c>
      <c r="E3806" t="s">
        <v>32</v>
      </c>
      <c r="F3806" t="s">
        <v>29</v>
      </c>
      <c r="G3806" t="s">
        <v>27</v>
      </c>
      <c r="H3806">
        <v>2873.57</v>
      </c>
      <c r="I3806" s="8" t="str" cm="1">
        <f t="array" ref="I3806">_xlfn.IFS(C3806&lt;=15,"Children and Young Adolescents", C3806&gt;64, "Seniors", TRUE, "Working Age")</f>
        <v>Working Age</v>
      </c>
      <c r="J3806" s="6">
        <f>VLOOKUP(F3806,Analysis!$F$1:$G$5,2,FALSE)</f>
        <v>2496.7676064256989</v>
      </c>
      <c r="K3806">
        <f t="shared" si="236"/>
        <v>3160.92</v>
      </c>
      <c r="L3806">
        <f t="shared" si="237"/>
        <v>3160.9300000000003</v>
      </c>
      <c r="M3806">
        <f t="shared" si="238"/>
        <v>3160.93</v>
      </c>
      <c r="N3806" s="5" t="str">
        <f t="shared" si="239"/>
        <v>July 2023</v>
      </c>
    </row>
    <row r="3807" spans="1:14" x14ac:dyDescent="0.25">
      <c r="A3807" s="1">
        <v>45118</v>
      </c>
      <c r="B3807" t="s">
        <v>4767</v>
      </c>
      <c r="C3807">
        <v>14</v>
      </c>
      <c r="D3807" t="s">
        <v>14</v>
      </c>
      <c r="E3807" t="s">
        <v>19</v>
      </c>
      <c r="F3807" t="s">
        <v>23</v>
      </c>
      <c r="G3807" t="s">
        <v>17</v>
      </c>
      <c r="H3807">
        <v>106.54</v>
      </c>
      <c r="I3807" s="8" t="str" cm="1">
        <f t="array" ref="I3807">_xlfn.IFS(C3807&lt;=15,"Children and Young Adolescents", C3807&gt;64, "Seniors", TRUE, "Working Age")</f>
        <v>Children and Young Adolescents</v>
      </c>
      <c r="J3807" s="6">
        <f>VLOOKUP(F3807,Analysis!$F$1:$G$5,2,FALSE)</f>
        <v>2440.2966694490838</v>
      </c>
      <c r="K3807">
        <f t="shared" si="236"/>
        <v>117.19</v>
      </c>
      <c r="L3807">
        <f t="shared" si="237"/>
        <v>117.2</v>
      </c>
      <c r="M3807">
        <f t="shared" si="238"/>
        <v>117.19</v>
      </c>
      <c r="N3807" s="5" t="str">
        <f t="shared" si="239"/>
        <v>July 2023</v>
      </c>
    </row>
    <row r="3808" spans="1:14" x14ac:dyDescent="0.25">
      <c r="A3808" s="1">
        <v>45118</v>
      </c>
      <c r="B3808" t="s">
        <v>1417</v>
      </c>
      <c r="C3808">
        <v>69</v>
      </c>
      <c r="D3808" t="s">
        <v>9</v>
      </c>
      <c r="E3808" t="s">
        <v>25</v>
      </c>
      <c r="F3808" t="s">
        <v>11</v>
      </c>
      <c r="G3808" t="s">
        <v>17</v>
      </c>
      <c r="H3808">
        <v>442.66</v>
      </c>
      <c r="I3808" s="8" t="str" cm="1">
        <f t="array" ref="I3808">_xlfn.IFS(C3808&lt;=15,"Children and Young Adolescents", C3808&gt;64, "Seniors", TRUE, "Working Age")</f>
        <v>Seniors</v>
      </c>
      <c r="J3808" s="6">
        <f>VLOOKUP(F3808,Analysis!$F$1:$G$5,2,FALSE)</f>
        <v>2503.6022787783854</v>
      </c>
      <c r="K3808">
        <f t="shared" si="236"/>
        <v>486.92</v>
      </c>
      <c r="L3808">
        <f t="shared" si="237"/>
        <v>486.93</v>
      </c>
      <c r="M3808">
        <f t="shared" si="238"/>
        <v>486.93</v>
      </c>
      <c r="N3808" s="5" t="str">
        <f t="shared" si="239"/>
        <v>July 2023</v>
      </c>
    </row>
    <row r="3809" spans="1:14" x14ac:dyDescent="0.25">
      <c r="A3809" s="1">
        <v>45118</v>
      </c>
      <c r="B3809" t="s">
        <v>4901</v>
      </c>
      <c r="C3809">
        <v>88</v>
      </c>
      <c r="D3809" t="s">
        <v>21</v>
      </c>
      <c r="E3809" t="s">
        <v>34</v>
      </c>
      <c r="F3809" t="s">
        <v>23</v>
      </c>
      <c r="G3809" t="s">
        <v>12</v>
      </c>
      <c r="H3809">
        <v>1560.54</v>
      </c>
      <c r="I3809" s="8" t="str" cm="1">
        <f t="array" ref="I3809">_xlfn.IFS(C3809&lt;=15,"Children and Young Adolescents", C3809&gt;64, "Seniors", TRUE, "Working Age")</f>
        <v>Seniors</v>
      </c>
      <c r="J3809" s="6">
        <f>VLOOKUP(F3809,Analysis!$F$1:$G$5,2,FALSE)</f>
        <v>2440.2966694490838</v>
      </c>
      <c r="K3809">
        <f t="shared" si="236"/>
        <v>1716.59</v>
      </c>
      <c r="L3809">
        <f t="shared" si="237"/>
        <v>1716.6</v>
      </c>
      <c r="M3809">
        <f t="shared" si="238"/>
        <v>1716.59</v>
      </c>
      <c r="N3809" s="5" t="str">
        <f t="shared" si="239"/>
        <v>July 2023</v>
      </c>
    </row>
    <row r="3810" spans="1:14" x14ac:dyDescent="0.25">
      <c r="A3810" s="1">
        <v>45118</v>
      </c>
      <c r="B3810" t="s">
        <v>3236</v>
      </c>
      <c r="C3810">
        <v>42</v>
      </c>
      <c r="D3810" t="s">
        <v>14</v>
      </c>
      <c r="E3810" t="s">
        <v>19</v>
      </c>
      <c r="F3810" t="s">
        <v>23</v>
      </c>
      <c r="G3810" t="s">
        <v>36</v>
      </c>
      <c r="H3810">
        <v>2814.49</v>
      </c>
      <c r="I3810" s="8" t="str" cm="1">
        <f t="array" ref="I3810">_xlfn.IFS(C3810&lt;=15,"Children and Young Adolescents", C3810&gt;64, "Seniors", TRUE, "Working Age")</f>
        <v>Working Age</v>
      </c>
      <c r="J3810" s="6">
        <f>VLOOKUP(F3810,Analysis!$F$1:$G$5,2,FALSE)</f>
        <v>2440.2966694490838</v>
      </c>
      <c r="K3810">
        <f t="shared" si="236"/>
        <v>3095.93</v>
      </c>
      <c r="L3810">
        <f t="shared" si="237"/>
        <v>3095.94</v>
      </c>
      <c r="M3810">
        <f t="shared" si="238"/>
        <v>3095.94</v>
      </c>
      <c r="N3810" s="5" t="str">
        <f t="shared" si="239"/>
        <v>July 2023</v>
      </c>
    </row>
    <row r="3811" spans="1:14" x14ac:dyDescent="0.25">
      <c r="A3811" s="1">
        <v>45119</v>
      </c>
      <c r="B3811" t="s">
        <v>4829</v>
      </c>
      <c r="C3811">
        <v>53</v>
      </c>
      <c r="D3811" t="s">
        <v>21</v>
      </c>
      <c r="E3811" t="s">
        <v>19</v>
      </c>
      <c r="F3811" t="s">
        <v>11</v>
      </c>
      <c r="G3811" t="s">
        <v>12</v>
      </c>
      <c r="H3811">
        <v>3284.34</v>
      </c>
      <c r="I3811" s="8" t="str" cm="1">
        <f t="array" ref="I3811">_xlfn.IFS(C3811&lt;=15,"Children and Young Adolescents", C3811&gt;64, "Seniors", TRUE, "Working Age")</f>
        <v>Working Age</v>
      </c>
      <c r="J3811" s="6">
        <f>VLOOKUP(F3811,Analysis!$F$1:$G$5,2,FALSE)</f>
        <v>2503.6022787783854</v>
      </c>
      <c r="K3811">
        <f t="shared" si="236"/>
        <v>3612.77</v>
      </c>
      <c r="L3811">
        <f t="shared" si="237"/>
        <v>3612.78</v>
      </c>
      <c r="M3811">
        <f t="shared" si="238"/>
        <v>3612.77</v>
      </c>
      <c r="N3811" s="5" t="str">
        <f t="shared" si="239"/>
        <v>July 2023</v>
      </c>
    </row>
    <row r="3812" spans="1:14" x14ac:dyDescent="0.25">
      <c r="A3812" s="1">
        <v>45119</v>
      </c>
      <c r="B3812" t="s">
        <v>3504</v>
      </c>
      <c r="C3812">
        <v>30</v>
      </c>
      <c r="D3812" t="s">
        <v>21</v>
      </c>
      <c r="E3812" t="s">
        <v>32</v>
      </c>
      <c r="F3812" t="s">
        <v>23</v>
      </c>
      <c r="G3812" t="s">
        <v>36</v>
      </c>
      <c r="H3812">
        <v>479.95</v>
      </c>
      <c r="I3812" s="8" t="str" cm="1">
        <f t="array" ref="I3812">_xlfn.IFS(C3812&lt;=15,"Children and Young Adolescents", C3812&gt;64, "Seniors", TRUE, "Working Age")</f>
        <v>Working Age</v>
      </c>
      <c r="J3812" s="6">
        <f>VLOOKUP(F3812,Analysis!$F$1:$G$5,2,FALSE)</f>
        <v>2440.2966694490838</v>
      </c>
      <c r="K3812">
        <f t="shared" si="236"/>
        <v>527.94000000000005</v>
      </c>
      <c r="L3812">
        <f t="shared" si="237"/>
        <v>527.95000000000005</v>
      </c>
      <c r="M3812">
        <f t="shared" si="238"/>
        <v>527.95000000000005</v>
      </c>
      <c r="N3812" s="5" t="str">
        <f t="shared" si="239"/>
        <v>July 2023</v>
      </c>
    </row>
    <row r="3813" spans="1:14" x14ac:dyDescent="0.25">
      <c r="A3813" s="1">
        <v>45119</v>
      </c>
      <c r="B3813" t="s">
        <v>4171</v>
      </c>
      <c r="C3813">
        <v>59</v>
      </c>
      <c r="D3813" t="s">
        <v>21</v>
      </c>
      <c r="E3813" t="s">
        <v>22</v>
      </c>
      <c r="F3813" t="s">
        <v>29</v>
      </c>
      <c r="G3813" t="s">
        <v>12</v>
      </c>
      <c r="H3813">
        <v>2364.2600000000002</v>
      </c>
      <c r="I3813" s="8" t="str" cm="1">
        <f t="array" ref="I3813">_xlfn.IFS(C3813&lt;=15,"Children and Young Adolescents", C3813&gt;64, "Seniors", TRUE, "Working Age")</f>
        <v>Working Age</v>
      </c>
      <c r="J3813" s="6">
        <f>VLOOKUP(F3813,Analysis!$F$1:$G$5,2,FALSE)</f>
        <v>2496.7676064256989</v>
      </c>
      <c r="K3813">
        <f t="shared" si="236"/>
        <v>2600.6799999999998</v>
      </c>
      <c r="L3813">
        <f t="shared" si="237"/>
        <v>2600.69</v>
      </c>
      <c r="M3813">
        <f t="shared" si="238"/>
        <v>2600.69</v>
      </c>
      <c r="N3813" s="5" t="str">
        <f t="shared" si="239"/>
        <v>July 2023</v>
      </c>
    </row>
    <row r="3814" spans="1:14" x14ac:dyDescent="0.25">
      <c r="A3814" s="1">
        <v>45119</v>
      </c>
      <c r="B3814" t="s">
        <v>822</v>
      </c>
      <c r="C3814">
        <v>37</v>
      </c>
      <c r="D3814" t="s">
        <v>21</v>
      </c>
      <c r="E3814" t="s">
        <v>25</v>
      </c>
      <c r="F3814" t="s">
        <v>16</v>
      </c>
      <c r="G3814" t="s">
        <v>36</v>
      </c>
      <c r="H3814">
        <v>1222.1600000000001</v>
      </c>
      <c r="I3814" s="8" t="str" cm="1">
        <f t="array" ref="I3814">_xlfn.IFS(C3814&lt;=15,"Children and Young Adolescents", C3814&gt;64, "Seniors", TRUE, "Working Age")</f>
        <v>Working Age</v>
      </c>
      <c r="J3814" s="6">
        <f>VLOOKUP(F3814,Analysis!$F$1:$G$5,2,FALSE)</f>
        <v>2509.1716796874912</v>
      </c>
      <c r="K3814">
        <f t="shared" si="236"/>
        <v>1344.37</v>
      </c>
      <c r="L3814">
        <f t="shared" si="237"/>
        <v>1344.3799999999999</v>
      </c>
      <c r="M3814">
        <f t="shared" si="238"/>
        <v>1344.38</v>
      </c>
      <c r="N3814" s="5" t="str">
        <f t="shared" si="239"/>
        <v>July 2023</v>
      </c>
    </row>
    <row r="3815" spans="1:14" x14ac:dyDescent="0.25">
      <c r="A3815" s="1">
        <v>45119</v>
      </c>
      <c r="B3815" t="s">
        <v>2004</v>
      </c>
      <c r="C3815">
        <v>39</v>
      </c>
      <c r="D3815" t="s">
        <v>14</v>
      </c>
      <c r="E3815" t="s">
        <v>5032</v>
      </c>
      <c r="F3815" t="s">
        <v>16</v>
      </c>
      <c r="G3815" t="s">
        <v>39</v>
      </c>
      <c r="H3815">
        <v>883.42</v>
      </c>
      <c r="I3815" s="8" t="str" cm="1">
        <f t="array" ref="I3815">_xlfn.IFS(C3815&lt;=15,"Children and Young Adolescents", C3815&gt;64, "Seniors", TRUE, "Working Age")</f>
        <v>Working Age</v>
      </c>
      <c r="J3815" s="6">
        <f>VLOOKUP(F3815,Analysis!$F$1:$G$5,2,FALSE)</f>
        <v>2509.1716796874912</v>
      </c>
      <c r="K3815">
        <f t="shared" si="236"/>
        <v>971.76</v>
      </c>
      <c r="L3815">
        <f t="shared" si="237"/>
        <v>971.77</v>
      </c>
      <c r="M3815">
        <f t="shared" si="238"/>
        <v>971.76</v>
      </c>
      <c r="N3815" s="5" t="str">
        <f t="shared" si="239"/>
        <v>July 2023</v>
      </c>
    </row>
    <row r="3816" spans="1:14" x14ac:dyDescent="0.25">
      <c r="A3816" s="1">
        <v>45119</v>
      </c>
      <c r="B3816" t="s">
        <v>3452</v>
      </c>
      <c r="C3816">
        <v>42</v>
      </c>
      <c r="D3816" t="s">
        <v>14</v>
      </c>
      <c r="E3816" t="s">
        <v>22</v>
      </c>
      <c r="F3816" t="s">
        <v>23</v>
      </c>
      <c r="G3816" t="s">
        <v>27</v>
      </c>
      <c r="H3816">
        <v>1681.68</v>
      </c>
      <c r="I3816" s="8" t="str" cm="1">
        <f t="array" ref="I3816">_xlfn.IFS(C3816&lt;=15,"Children and Young Adolescents", C3816&gt;64, "Seniors", TRUE, "Working Age")</f>
        <v>Working Age</v>
      </c>
      <c r="J3816" s="6">
        <f>VLOOKUP(F3816,Analysis!$F$1:$G$5,2,FALSE)</f>
        <v>2440.2966694490838</v>
      </c>
      <c r="K3816">
        <f t="shared" si="236"/>
        <v>1849.84</v>
      </c>
      <c r="L3816">
        <f t="shared" si="237"/>
        <v>1849.85</v>
      </c>
      <c r="M3816">
        <f t="shared" si="238"/>
        <v>1849.85</v>
      </c>
      <c r="N3816" s="5" t="str">
        <f t="shared" si="239"/>
        <v>July 2023</v>
      </c>
    </row>
    <row r="3817" spans="1:14" x14ac:dyDescent="0.25">
      <c r="A3817" s="1">
        <v>45119</v>
      </c>
      <c r="B3817" t="s">
        <v>2981</v>
      </c>
      <c r="C3817">
        <v>89</v>
      </c>
      <c r="D3817" t="s">
        <v>9</v>
      </c>
      <c r="E3817" t="s">
        <v>22</v>
      </c>
      <c r="F3817" t="s">
        <v>29</v>
      </c>
      <c r="G3817" t="s">
        <v>27</v>
      </c>
      <c r="H3817">
        <v>4184.6099999999997</v>
      </c>
      <c r="I3817" s="8" t="str" cm="1">
        <f t="array" ref="I3817">_xlfn.IFS(C3817&lt;=15,"Children and Young Adolescents", C3817&gt;64, "Seniors", TRUE, "Working Age")</f>
        <v>Seniors</v>
      </c>
      <c r="J3817" s="6">
        <f>VLOOKUP(F3817,Analysis!$F$1:$G$5,2,FALSE)</f>
        <v>2496.7676064256989</v>
      </c>
      <c r="K3817">
        <f t="shared" si="236"/>
        <v>4603.07</v>
      </c>
      <c r="L3817">
        <f t="shared" si="237"/>
        <v>4603.08</v>
      </c>
      <c r="M3817">
        <f t="shared" si="238"/>
        <v>4603.07</v>
      </c>
      <c r="N3817" s="5" t="str">
        <f t="shared" si="239"/>
        <v>July 2023</v>
      </c>
    </row>
    <row r="3818" spans="1:14" x14ac:dyDescent="0.25">
      <c r="A3818" s="1">
        <v>45119</v>
      </c>
      <c r="B3818" t="s">
        <v>2827</v>
      </c>
      <c r="C3818">
        <v>68</v>
      </c>
      <c r="D3818" t="s">
        <v>9</v>
      </c>
      <c r="E3818" t="s">
        <v>15</v>
      </c>
      <c r="F3818" t="s">
        <v>29</v>
      </c>
      <c r="G3818" t="s">
        <v>39</v>
      </c>
      <c r="H3818">
        <v>2167.98</v>
      </c>
      <c r="I3818" s="8" t="str" cm="1">
        <f t="array" ref="I3818">_xlfn.IFS(C3818&lt;=15,"Children and Young Adolescents", C3818&gt;64, "Seniors", TRUE, "Working Age")</f>
        <v>Seniors</v>
      </c>
      <c r="J3818" s="6">
        <f>VLOOKUP(F3818,Analysis!$F$1:$G$5,2,FALSE)</f>
        <v>2496.7676064256989</v>
      </c>
      <c r="K3818">
        <f t="shared" si="236"/>
        <v>2384.77</v>
      </c>
      <c r="L3818">
        <f t="shared" si="237"/>
        <v>2384.7800000000002</v>
      </c>
      <c r="M3818">
        <f t="shared" si="238"/>
        <v>2384.7800000000002</v>
      </c>
      <c r="N3818" s="5" t="str">
        <f t="shared" si="239"/>
        <v>July 2023</v>
      </c>
    </row>
    <row r="3819" spans="1:14" x14ac:dyDescent="0.25">
      <c r="A3819" s="1">
        <v>45120</v>
      </c>
      <c r="B3819" t="s">
        <v>2785</v>
      </c>
      <c r="C3819">
        <v>13</v>
      </c>
      <c r="D3819" t="s">
        <v>14</v>
      </c>
      <c r="E3819" t="s">
        <v>10</v>
      </c>
      <c r="F3819" t="s">
        <v>11</v>
      </c>
      <c r="G3819" t="s">
        <v>12</v>
      </c>
      <c r="H3819">
        <v>2292.5100000000002</v>
      </c>
      <c r="I3819" s="8" t="str" cm="1">
        <f t="array" ref="I3819">_xlfn.IFS(C3819&lt;=15,"Children and Young Adolescents", C3819&gt;64, "Seniors", TRUE, "Working Age")</f>
        <v>Children and Young Adolescents</v>
      </c>
      <c r="J3819" s="6">
        <f>VLOOKUP(F3819,Analysis!$F$1:$G$5,2,FALSE)</f>
        <v>2503.6022787783854</v>
      </c>
      <c r="K3819">
        <f t="shared" si="236"/>
        <v>2521.7600000000002</v>
      </c>
      <c r="L3819">
        <f t="shared" si="237"/>
        <v>2521.7700000000004</v>
      </c>
      <c r="M3819">
        <f t="shared" si="238"/>
        <v>2521.7600000000002</v>
      </c>
      <c r="N3819" s="5" t="str">
        <f t="shared" si="239"/>
        <v>July 2023</v>
      </c>
    </row>
    <row r="3820" spans="1:14" x14ac:dyDescent="0.25">
      <c r="A3820" s="1">
        <v>45120</v>
      </c>
      <c r="B3820" t="s">
        <v>2068</v>
      </c>
      <c r="C3820">
        <v>37</v>
      </c>
      <c r="D3820" t="s">
        <v>14</v>
      </c>
      <c r="E3820" t="s">
        <v>34</v>
      </c>
      <c r="F3820" t="s">
        <v>16</v>
      </c>
      <c r="G3820" t="s">
        <v>39</v>
      </c>
      <c r="H3820">
        <v>992.57</v>
      </c>
      <c r="I3820" s="8" t="str" cm="1">
        <f t="array" ref="I3820">_xlfn.IFS(C3820&lt;=15,"Children and Young Adolescents", C3820&gt;64, "Seniors", TRUE, "Working Age")</f>
        <v>Working Age</v>
      </c>
      <c r="J3820" s="6">
        <f>VLOOKUP(F3820,Analysis!$F$1:$G$5,2,FALSE)</f>
        <v>2509.1716796874912</v>
      </c>
      <c r="K3820">
        <f t="shared" si="236"/>
        <v>1091.82</v>
      </c>
      <c r="L3820">
        <f t="shared" si="237"/>
        <v>1091.83</v>
      </c>
      <c r="M3820">
        <f t="shared" si="238"/>
        <v>1091.83</v>
      </c>
      <c r="N3820" s="5" t="str">
        <f t="shared" si="239"/>
        <v>July 2023</v>
      </c>
    </row>
    <row r="3821" spans="1:14" x14ac:dyDescent="0.25">
      <c r="A3821" s="1">
        <v>45120</v>
      </c>
      <c r="B3821" t="s">
        <v>402</v>
      </c>
      <c r="C3821">
        <v>89</v>
      </c>
      <c r="D3821" t="s">
        <v>9</v>
      </c>
      <c r="E3821" t="s">
        <v>15</v>
      </c>
      <c r="F3821" t="s">
        <v>29</v>
      </c>
      <c r="G3821" t="s">
        <v>12</v>
      </c>
      <c r="H3821">
        <v>1316.55</v>
      </c>
      <c r="I3821" s="8" t="str" cm="1">
        <f t="array" ref="I3821">_xlfn.IFS(C3821&lt;=15,"Children and Young Adolescents", C3821&gt;64, "Seniors", TRUE, "Working Age")</f>
        <v>Seniors</v>
      </c>
      <c r="J3821" s="6">
        <f>VLOOKUP(F3821,Analysis!$F$1:$G$5,2,FALSE)</f>
        <v>2496.7676064256989</v>
      </c>
      <c r="K3821">
        <f t="shared" si="236"/>
        <v>1448.2</v>
      </c>
      <c r="L3821">
        <f t="shared" si="237"/>
        <v>1448.21</v>
      </c>
      <c r="M3821">
        <f t="shared" si="238"/>
        <v>1448.21</v>
      </c>
      <c r="N3821" s="5" t="str">
        <f t="shared" si="239"/>
        <v>July 2023</v>
      </c>
    </row>
    <row r="3822" spans="1:14" x14ac:dyDescent="0.25">
      <c r="A3822" s="1">
        <v>45120</v>
      </c>
      <c r="B3822" t="s">
        <v>4207</v>
      </c>
      <c r="C3822">
        <v>81</v>
      </c>
      <c r="D3822" t="s">
        <v>9</v>
      </c>
      <c r="E3822" t="s">
        <v>25</v>
      </c>
      <c r="F3822" t="s">
        <v>11</v>
      </c>
      <c r="G3822" t="s">
        <v>39</v>
      </c>
      <c r="H3822">
        <v>1296.3399999999999</v>
      </c>
      <c r="I3822" s="8" t="str" cm="1">
        <f t="array" ref="I3822">_xlfn.IFS(C3822&lt;=15,"Children and Young Adolescents", C3822&gt;64, "Seniors", TRUE, "Working Age")</f>
        <v>Seniors</v>
      </c>
      <c r="J3822" s="6">
        <f>VLOOKUP(F3822,Analysis!$F$1:$G$5,2,FALSE)</f>
        <v>2503.6022787783854</v>
      </c>
      <c r="K3822">
        <f t="shared" si="236"/>
        <v>1425.97</v>
      </c>
      <c r="L3822">
        <f t="shared" si="237"/>
        <v>1425.98</v>
      </c>
      <c r="M3822">
        <f t="shared" si="238"/>
        <v>1425.97</v>
      </c>
      <c r="N3822" s="5" t="str">
        <f t="shared" si="239"/>
        <v>July 2023</v>
      </c>
    </row>
    <row r="3823" spans="1:14" x14ac:dyDescent="0.25">
      <c r="A3823" s="1">
        <v>45120</v>
      </c>
      <c r="B3823" t="s">
        <v>3019</v>
      </c>
      <c r="C3823">
        <v>99</v>
      </c>
      <c r="D3823" t="s">
        <v>21</v>
      </c>
      <c r="E3823" t="s">
        <v>32</v>
      </c>
      <c r="F3823" t="s">
        <v>16</v>
      </c>
      <c r="G3823" t="s">
        <v>36</v>
      </c>
      <c r="H3823">
        <v>2626.19</v>
      </c>
      <c r="I3823" s="8" t="str" cm="1">
        <f t="array" ref="I3823">_xlfn.IFS(C3823&lt;=15,"Children and Young Adolescents", C3823&gt;64, "Seniors", TRUE, "Working Age")</f>
        <v>Seniors</v>
      </c>
      <c r="J3823" s="6">
        <f>VLOOKUP(F3823,Analysis!$F$1:$G$5,2,FALSE)</f>
        <v>2509.1716796874912</v>
      </c>
      <c r="K3823">
        <f t="shared" si="236"/>
        <v>2888.8</v>
      </c>
      <c r="L3823">
        <f t="shared" si="237"/>
        <v>2888.8100000000004</v>
      </c>
      <c r="M3823">
        <f t="shared" si="238"/>
        <v>2888.81</v>
      </c>
      <c r="N3823" s="5" t="str">
        <f t="shared" si="239"/>
        <v>July 2023</v>
      </c>
    </row>
    <row r="3824" spans="1:14" x14ac:dyDescent="0.25">
      <c r="A3824" s="1">
        <v>45120</v>
      </c>
      <c r="B3824" t="s">
        <v>1062</v>
      </c>
      <c r="C3824">
        <v>96</v>
      </c>
      <c r="D3824" t="s">
        <v>21</v>
      </c>
      <c r="E3824" t="s">
        <v>34</v>
      </c>
      <c r="F3824" t="s">
        <v>29</v>
      </c>
      <c r="G3824" t="s">
        <v>17</v>
      </c>
      <c r="H3824">
        <v>1181.6600000000001</v>
      </c>
      <c r="I3824" s="8" t="str" cm="1">
        <f t="array" ref="I3824">_xlfn.IFS(C3824&lt;=15,"Children and Young Adolescents", C3824&gt;64, "Seniors", TRUE, "Working Age")</f>
        <v>Seniors</v>
      </c>
      <c r="J3824" s="6">
        <f>VLOOKUP(F3824,Analysis!$F$1:$G$5,2,FALSE)</f>
        <v>2496.7676064256989</v>
      </c>
      <c r="K3824">
        <f t="shared" si="236"/>
        <v>1299.82</v>
      </c>
      <c r="L3824">
        <f t="shared" si="237"/>
        <v>1299.83</v>
      </c>
      <c r="M3824">
        <f t="shared" si="238"/>
        <v>1299.83</v>
      </c>
      <c r="N3824" s="5" t="str">
        <f t="shared" si="239"/>
        <v>July 2023</v>
      </c>
    </row>
    <row r="3825" spans="1:14" x14ac:dyDescent="0.25">
      <c r="A3825" s="1">
        <v>45120</v>
      </c>
      <c r="B3825" t="s">
        <v>3054</v>
      </c>
      <c r="C3825">
        <v>61</v>
      </c>
      <c r="D3825" t="s">
        <v>9</v>
      </c>
      <c r="E3825" t="s">
        <v>32</v>
      </c>
      <c r="F3825" t="s">
        <v>23</v>
      </c>
      <c r="G3825" t="s">
        <v>27</v>
      </c>
      <c r="H3825">
        <v>76.63</v>
      </c>
      <c r="I3825" s="8" t="str" cm="1">
        <f t="array" ref="I3825">_xlfn.IFS(C3825&lt;=15,"Children and Young Adolescents", C3825&gt;64, "Seniors", TRUE, "Working Age")</f>
        <v>Working Age</v>
      </c>
      <c r="J3825" s="6">
        <f>VLOOKUP(F3825,Analysis!$F$1:$G$5,2,FALSE)</f>
        <v>2440.2966694490838</v>
      </c>
      <c r="K3825">
        <f t="shared" si="236"/>
        <v>84.29</v>
      </c>
      <c r="L3825">
        <f t="shared" si="237"/>
        <v>84.300000000000011</v>
      </c>
      <c r="M3825">
        <f t="shared" si="238"/>
        <v>84.29</v>
      </c>
      <c r="N3825" s="5" t="str">
        <f t="shared" si="239"/>
        <v>July 2023</v>
      </c>
    </row>
    <row r="3826" spans="1:14" x14ac:dyDescent="0.25">
      <c r="A3826" s="1">
        <v>45121</v>
      </c>
      <c r="B3826" t="s">
        <v>3232</v>
      </c>
      <c r="C3826">
        <v>10</v>
      </c>
      <c r="D3826" t="s">
        <v>21</v>
      </c>
      <c r="E3826" t="s">
        <v>22</v>
      </c>
      <c r="F3826" t="s">
        <v>16</v>
      </c>
      <c r="G3826" t="s">
        <v>17</v>
      </c>
      <c r="H3826">
        <v>835.14</v>
      </c>
      <c r="I3826" s="8" t="str" cm="1">
        <f t="array" ref="I3826">_xlfn.IFS(C3826&lt;=15,"Children and Young Adolescents", C3826&gt;64, "Seniors", TRUE, "Working Age")</f>
        <v>Children and Young Adolescents</v>
      </c>
      <c r="J3826" s="6">
        <f>VLOOKUP(F3826,Analysis!$F$1:$G$5,2,FALSE)</f>
        <v>2509.1716796874912</v>
      </c>
      <c r="K3826">
        <f t="shared" si="236"/>
        <v>918.65</v>
      </c>
      <c r="L3826">
        <f t="shared" si="237"/>
        <v>918.66</v>
      </c>
      <c r="M3826">
        <f t="shared" si="238"/>
        <v>918.65</v>
      </c>
      <c r="N3826" s="5" t="str">
        <f t="shared" si="239"/>
        <v>July 2023</v>
      </c>
    </row>
    <row r="3827" spans="1:14" x14ac:dyDescent="0.25">
      <c r="A3827" s="1">
        <v>45121</v>
      </c>
      <c r="B3827" t="s">
        <v>1092</v>
      </c>
      <c r="C3827">
        <v>26</v>
      </c>
      <c r="D3827" t="s">
        <v>14</v>
      </c>
      <c r="E3827" t="s">
        <v>25</v>
      </c>
      <c r="F3827" t="s">
        <v>11</v>
      </c>
      <c r="G3827" t="s">
        <v>27</v>
      </c>
      <c r="H3827">
        <v>3090.48</v>
      </c>
      <c r="I3827" s="8" t="str" cm="1">
        <f t="array" ref="I3827">_xlfn.IFS(C3827&lt;=15,"Children and Young Adolescents", C3827&gt;64, "Seniors", TRUE, "Working Age")</f>
        <v>Working Age</v>
      </c>
      <c r="J3827" s="6">
        <f>VLOOKUP(F3827,Analysis!$F$1:$G$5,2,FALSE)</f>
        <v>2503.6022787783854</v>
      </c>
      <c r="K3827">
        <f t="shared" si="236"/>
        <v>3399.52</v>
      </c>
      <c r="L3827">
        <f t="shared" si="237"/>
        <v>3399.53</v>
      </c>
      <c r="M3827">
        <f t="shared" si="238"/>
        <v>3399.53</v>
      </c>
      <c r="N3827" s="5" t="str">
        <f t="shared" si="239"/>
        <v>July 2023</v>
      </c>
    </row>
    <row r="3828" spans="1:14" x14ac:dyDescent="0.25">
      <c r="A3828" s="1">
        <v>45121</v>
      </c>
      <c r="B3828" t="s">
        <v>3458</v>
      </c>
      <c r="C3828">
        <v>42</v>
      </c>
      <c r="D3828" t="s">
        <v>21</v>
      </c>
      <c r="E3828" t="s">
        <v>22</v>
      </c>
      <c r="F3828" t="s">
        <v>23</v>
      </c>
      <c r="G3828" t="s">
        <v>27</v>
      </c>
      <c r="H3828">
        <v>749.52</v>
      </c>
      <c r="I3828" s="8" t="str" cm="1">
        <f t="array" ref="I3828">_xlfn.IFS(C3828&lt;=15,"Children and Young Adolescents", C3828&gt;64, "Seniors", TRUE, "Working Age")</f>
        <v>Working Age</v>
      </c>
      <c r="J3828" s="6">
        <f>VLOOKUP(F3828,Analysis!$F$1:$G$5,2,FALSE)</f>
        <v>2440.2966694490838</v>
      </c>
      <c r="K3828">
        <f t="shared" si="236"/>
        <v>824.47</v>
      </c>
      <c r="L3828">
        <f t="shared" si="237"/>
        <v>824.48</v>
      </c>
      <c r="M3828">
        <f t="shared" si="238"/>
        <v>824.47</v>
      </c>
      <c r="N3828" s="5" t="str">
        <f t="shared" si="239"/>
        <v>July 2023</v>
      </c>
    </row>
    <row r="3829" spans="1:14" x14ac:dyDescent="0.25">
      <c r="A3829" s="1">
        <v>45121</v>
      </c>
      <c r="B3829" t="s">
        <v>2890</v>
      </c>
      <c r="C3829">
        <v>95</v>
      </c>
      <c r="D3829" t="s">
        <v>21</v>
      </c>
      <c r="E3829" t="s">
        <v>10</v>
      </c>
      <c r="F3829" t="s">
        <v>16</v>
      </c>
      <c r="G3829" t="s">
        <v>27</v>
      </c>
      <c r="H3829">
        <v>1354.82</v>
      </c>
      <c r="I3829" s="8" t="str" cm="1">
        <f t="array" ref="I3829">_xlfn.IFS(C3829&lt;=15,"Children and Young Adolescents", C3829&gt;64, "Seniors", TRUE, "Working Age")</f>
        <v>Seniors</v>
      </c>
      <c r="J3829" s="6">
        <f>VLOOKUP(F3829,Analysis!$F$1:$G$5,2,FALSE)</f>
        <v>2509.1716796874912</v>
      </c>
      <c r="K3829">
        <f t="shared" si="236"/>
        <v>1490.3</v>
      </c>
      <c r="L3829">
        <f t="shared" si="237"/>
        <v>1490.31</v>
      </c>
      <c r="M3829">
        <f t="shared" si="238"/>
        <v>1490.3</v>
      </c>
      <c r="N3829" s="5" t="str">
        <f t="shared" si="239"/>
        <v>July 2023</v>
      </c>
    </row>
    <row r="3830" spans="1:14" x14ac:dyDescent="0.25">
      <c r="A3830" s="1">
        <v>45121</v>
      </c>
      <c r="B3830" t="s">
        <v>2175</v>
      </c>
      <c r="C3830">
        <v>95</v>
      </c>
      <c r="D3830" t="s">
        <v>14</v>
      </c>
      <c r="E3830" t="s">
        <v>10</v>
      </c>
      <c r="F3830" t="s">
        <v>29</v>
      </c>
      <c r="G3830" t="s">
        <v>17</v>
      </c>
      <c r="H3830">
        <v>3014.36</v>
      </c>
      <c r="I3830" s="8" t="str" cm="1">
        <f t="array" ref="I3830">_xlfn.IFS(C3830&lt;=15,"Children and Young Adolescents", C3830&gt;64, "Seniors", TRUE, "Working Age")</f>
        <v>Seniors</v>
      </c>
      <c r="J3830" s="6">
        <f>VLOOKUP(F3830,Analysis!$F$1:$G$5,2,FALSE)</f>
        <v>2496.7676064256989</v>
      </c>
      <c r="K3830">
        <f t="shared" si="236"/>
        <v>3315.79</v>
      </c>
      <c r="L3830">
        <f t="shared" si="237"/>
        <v>3315.8</v>
      </c>
      <c r="M3830">
        <f t="shared" si="238"/>
        <v>3315.8</v>
      </c>
      <c r="N3830" s="5" t="str">
        <f t="shared" si="239"/>
        <v>July 2023</v>
      </c>
    </row>
    <row r="3831" spans="1:14" x14ac:dyDescent="0.25">
      <c r="A3831" s="1">
        <v>45121</v>
      </c>
      <c r="B3831" t="s">
        <v>2256</v>
      </c>
      <c r="C3831">
        <v>56</v>
      </c>
      <c r="D3831" t="s">
        <v>21</v>
      </c>
      <c r="E3831" t="s">
        <v>22</v>
      </c>
      <c r="F3831" t="s">
        <v>11</v>
      </c>
      <c r="G3831" t="s">
        <v>12</v>
      </c>
      <c r="H3831">
        <v>1728.65</v>
      </c>
      <c r="I3831" s="8" t="str" cm="1">
        <f t="array" ref="I3831">_xlfn.IFS(C3831&lt;=15,"Children and Young Adolescents", C3831&gt;64, "Seniors", TRUE, "Working Age")</f>
        <v>Working Age</v>
      </c>
      <c r="J3831" s="6">
        <f>VLOOKUP(F3831,Analysis!$F$1:$G$5,2,FALSE)</f>
        <v>2503.6022787783854</v>
      </c>
      <c r="K3831">
        <f t="shared" si="236"/>
        <v>1901.51</v>
      </c>
      <c r="L3831">
        <f t="shared" si="237"/>
        <v>1901.52</v>
      </c>
      <c r="M3831">
        <f t="shared" si="238"/>
        <v>1901.52</v>
      </c>
      <c r="N3831" s="5" t="str">
        <f t="shared" si="239"/>
        <v>July 2023</v>
      </c>
    </row>
    <row r="3832" spans="1:14" x14ac:dyDescent="0.25">
      <c r="A3832" s="1">
        <v>45121</v>
      </c>
      <c r="B3832" t="s">
        <v>753</v>
      </c>
      <c r="C3832">
        <v>64</v>
      </c>
      <c r="D3832" t="s">
        <v>14</v>
      </c>
      <c r="E3832" t="s">
        <v>32</v>
      </c>
      <c r="F3832" t="s">
        <v>29</v>
      </c>
      <c r="G3832" t="s">
        <v>39</v>
      </c>
      <c r="H3832">
        <v>1367.24</v>
      </c>
      <c r="I3832" s="8" t="str" cm="1">
        <f t="array" ref="I3832">_xlfn.IFS(C3832&lt;=15,"Children and Young Adolescents", C3832&gt;64, "Seniors", TRUE, "Working Age")</f>
        <v>Working Age</v>
      </c>
      <c r="J3832" s="6">
        <f>VLOOKUP(F3832,Analysis!$F$1:$G$5,2,FALSE)</f>
        <v>2496.7676064256989</v>
      </c>
      <c r="K3832">
        <f t="shared" si="236"/>
        <v>1503.96</v>
      </c>
      <c r="L3832">
        <f t="shared" si="237"/>
        <v>1503.97</v>
      </c>
      <c r="M3832">
        <f t="shared" si="238"/>
        <v>1503.96</v>
      </c>
      <c r="N3832" s="5" t="str">
        <f t="shared" si="239"/>
        <v>July 2023</v>
      </c>
    </row>
    <row r="3833" spans="1:14" x14ac:dyDescent="0.25">
      <c r="A3833" s="1">
        <v>45122</v>
      </c>
      <c r="B3833" t="s">
        <v>2850</v>
      </c>
      <c r="C3833">
        <v>53</v>
      </c>
      <c r="D3833" t="s">
        <v>14</v>
      </c>
      <c r="E3833" t="s">
        <v>15</v>
      </c>
      <c r="F3833" t="s">
        <v>23</v>
      </c>
      <c r="G3833" t="s">
        <v>36</v>
      </c>
      <c r="H3833">
        <v>2702.7</v>
      </c>
      <c r="I3833" s="8" t="str" cm="1">
        <f t="array" ref="I3833">_xlfn.IFS(C3833&lt;=15,"Children and Young Adolescents", C3833&gt;64, "Seniors", TRUE, "Working Age")</f>
        <v>Working Age</v>
      </c>
      <c r="J3833" s="6">
        <f>VLOOKUP(F3833,Analysis!$F$1:$G$5,2,FALSE)</f>
        <v>2440.2966694490838</v>
      </c>
      <c r="K3833">
        <f t="shared" si="236"/>
        <v>2972.97</v>
      </c>
      <c r="L3833">
        <f t="shared" si="237"/>
        <v>2972.97</v>
      </c>
      <c r="M3833">
        <f t="shared" si="238"/>
        <v>2972.97</v>
      </c>
      <c r="N3833" s="5" t="str">
        <f t="shared" si="239"/>
        <v>July 2023</v>
      </c>
    </row>
    <row r="3834" spans="1:14" x14ac:dyDescent="0.25">
      <c r="A3834" s="1">
        <v>45122</v>
      </c>
      <c r="B3834" t="s">
        <v>2358</v>
      </c>
      <c r="C3834">
        <v>29</v>
      </c>
      <c r="D3834" t="s">
        <v>9</v>
      </c>
      <c r="E3834" t="s">
        <v>10</v>
      </c>
      <c r="F3834" t="s">
        <v>29</v>
      </c>
      <c r="G3834" t="s">
        <v>27</v>
      </c>
      <c r="H3834">
        <v>1497.02</v>
      </c>
      <c r="I3834" s="8" t="str" cm="1">
        <f t="array" ref="I3834">_xlfn.IFS(C3834&lt;=15,"Children and Young Adolescents", C3834&gt;64, "Seniors", TRUE, "Working Age")</f>
        <v>Working Age</v>
      </c>
      <c r="J3834" s="6">
        <f>VLOOKUP(F3834,Analysis!$F$1:$G$5,2,FALSE)</f>
        <v>2496.7676064256989</v>
      </c>
      <c r="K3834">
        <f t="shared" si="236"/>
        <v>1646.72</v>
      </c>
      <c r="L3834">
        <f t="shared" si="237"/>
        <v>1646.73</v>
      </c>
      <c r="M3834">
        <f t="shared" si="238"/>
        <v>1646.72</v>
      </c>
      <c r="N3834" s="5" t="str">
        <f t="shared" si="239"/>
        <v>July 2023</v>
      </c>
    </row>
    <row r="3835" spans="1:14" x14ac:dyDescent="0.25">
      <c r="A3835" s="1">
        <v>45122</v>
      </c>
      <c r="B3835" t="s">
        <v>2312</v>
      </c>
      <c r="C3835">
        <v>98</v>
      </c>
      <c r="D3835" t="s">
        <v>21</v>
      </c>
      <c r="E3835" t="s">
        <v>19</v>
      </c>
      <c r="F3835" t="s">
        <v>16</v>
      </c>
      <c r="G3835" t="s">
        <v>39</v>
      </c>
      <c r="H3835">
        <v>3386.76</v>
      </c>
      <c r="I3835" s="8" t="str" cm="1">
        <f t="array" ref="I3835">_xlfn.IFS(C3835&lt;=15,"Children and Young Adolescents", C3835&gt;64, "Seniors", TRUE, "Working Age")</f>
        <v>Seniors</v>
      </c>
      <c r="J3835" s="6">
        <f>VLOOKUP(F3835,Analysis!$F$1:$G$5,2,FALSE)</f>
        <v>2509.1716796874912</v>
      </c>
      <c r="K3835">
        <f t="shared" si="236"/>
        <v>3725.43</v>
      </c>
      <c r="L3835">
        <f t="shared" si="237"/>
        <v>3725.44</v>
      </c>
      <c r="M3835">
        <f t="shared" si="238"/>
        <v>3725.44</v>
      </c>
      <c r="N3835" s="5" t="str">
        <f t="shared" si="239"/>
        <v>July 2023</v>
      </c>
    </row>
    <row r="3836" spans="1:14" x14ac:dyDescent="0.25">
      <c r="A3836" s="1">
        <v>45122</v>
      </c>
      <c r="B3836" t="s">
        <v>2971</v>
      </c>
      <c r="C3836">
        <v>8</v>
      </c>
      <c r="D3836" t="s">
        <v>14</v>
      </c>
      <c r="E3836" t="s">
        <v>19</v>
      </c>
      <c r="F3836" t="s">
        <v>11</v>
      </c>
      <c r="G3836" t="s">
        <v>39</v>
      </c>
      <c r="H3836">
        <v>3712.41</v>
      </c>
      <c r="I3836" s="8" t="str" cm="1">
        <f t="array" ref="I3836">_xlfn.IFS(C3836&lt;=15,"Children and Young Adolescents", C3836&gt;64, "Seniors", TRUE, "Working Age")</f>
        <v>Children and Young Adolescents</v>
      </c>
      <c r="J3836" s="6">
        <f>VLOOKUP(F3836,Analysis!$F$1:$G$5,2,FALSE)</f>
        <v>2503.6022787783854</v>
      </c>
      <c r="K3836">
        <f t="shared" si="236"/>
        <v>4083.65</v>
      </c>
      <c r="L3836">
        <f t="shared" si="237"/>
        <v>4083.6600000000003</v>
      </c>
      <c r="M3836">
        <f t="shared" si="238"/>
        <v>4083.65</v>
      </c>
      <c r="N3836" s="5" t="str">
        <f t="shared" si="239"/>
        <v>July 2023</v>
      </c>
    </row>
    <row r="3837" spans="1:14" x14ac:dyDescent="0.25">
      <c r="A3837" s="1">
        <v>45122</v>
      </c>
      <c r="B3837" t="s">
        <v>2561</v>
      </c>
      <c r="C3837">
        <v>33</v>
      </c>
      <c r="D3837" t="s">
        <v>9</v>
      </c>
      <c r="E3837" t="s">
        <v>5032</v>
      </c>
      <c r="F3837" t="s">
        <v>23</v>
      </c>
      <c r="G3837" t="s">
        <v>27</v>
      </c>
      <c r="H3837">
        <v>3036.22</v>
      </c>
      <c r="I3837" s="8" t="str" cm="1">
        <f t="array" ref="I3837">_xlfn.IFS(C3837&lt;=15,"Children and Young Adolescents", C3837&gt;64, "Seniors", TRUE, "Working Age")</f>
        <v>Working Age</v>
      </c>
      <c r="J3837" s="6">
        <f>VLOOKUP(F3837,Analysis!$F$1:$G$5,2,FALSE)</f>
        <v>2440.2966694490838</v>
      </c>
      <c r="K3837">
        <f t="shared" si="236"/>
        <v>3339.84</v>
      </c>
      <c r="L3837">
        <f t="shared" si="237"/>
        <v>3339.8500000000004</v>
      </c>
      <c r="M3837">
        <f t="shared" si="238"/>
        <v>3339.84</v>
      </c>
      <c r="N3837" s="5" t="str">
        <f t="shared" si="239"/>
        <v>July 2023</v>
      </c>
    </row>
    <row r="3838" spans="1:14" x14ac:dyDescent="0.25">
      <c r="A3838" s="1">
        <v>45122</v>
      </c>
      <c r="B3838" t="s">
        <v>4655</v>
      </c>
      <c r="C3838">
        <v>72</v>
      </c>
      <c r="D3838" t="s">
        <v>14</v>
      </c>
      <c r="E3838" t="s">
        <v>5032</v>
      </c>
      <c r="F3838" t="s">
        <v>29</v>
      </c>
      <c r="G3838" t="s">
        <v>17</v>
      </c>
      <c r="H3838">
        <v>126.36</v>
      </c>
      <c r="I3838" s="8" t="str" cm="1">
        <f t="array" ref="I3838">_xlfn.IFS(C3838&lt;=15,"Children and Young Adolescents", C3838&gt;64, "Seniors", TRUE, "Working Age")</f>
        <v>Seniors</v>
      </c>
      <c r="J3838" s="6">
        <f>VLOOKUP(F3838,Analysis!$F$1:$G$5,2,FALSE)</f>
        <v>2496.7676064256989</v>
      </c>
      <c r="K3838">
        <f t="shared" si="236"/>
        <v>138.99</v>
      </c>
      <c r="L3838">
        <f t="shared" si="237"/>
        <v>139</v>
      </c>
      <c r="M3838">
        <f t="shared" si="238"/>
        <v>139</v>
      </c>
      <c r="N3838" s="5" t="str">
        <f t="shared" si="239"/>
        <v>July 2023</v>
      </c>
    </row>
    <row r="3839" spans="1:14" x14ac:dyDescent="0.25">
      <c r="A3839" s="1">
        <v>45122</v>
      </c>
      <c r="B3839" t="s">
        <v>4842</v>
      </c>
      <c r="C3839">
        <v>17</v>
      </c>
      <c r="D3839" t="s">
        <v>14</v>
      </c>
      <c r="E3839" t="s">
        <v>15</v>
      </c>
      <c r="F3839" t="s">
        <v>16</v>
      </c>
      <c r="G3839" t="s">
        <v>36</v>
      </c>
      <c r="H3839">
        <v>4358.1899999999996</v>
      </c>
      <c r="I3839" s="8" t="str" cm="1">
        <f t="array" ref="I3839">_xlfn.IFS(C3839&lt;=15,"Children and Young Adolescents", C3839&gt;64, "Seniors", TRUE, "Working Age")</f>
        <v>Working Age</v>
      </c>
      <c r="J3839" s="6">
        <f>VLOOKUP(F3839,Analysis!$F$1:$G$5,2,FALSE)</f>
        <v>2509.1716796874912</v>
      </c>
      <c r="K3839">
        <f t="shared" si="236"/>
        <v>4794</v>
      </c>
      <c r="L3839">
        <f t="shared" si="237"/>
        <v>4794.01</v>
      </c>
      <c r="M3839">
        <f t="shared" si="238"/>
        <v>4794.01</v>
      </c>
      <c r="N3839" s="5" t="str">
        <f t="shared" si="239"/>
        <v>July 2023</v>
      </c>
    </row>
    <row r="3840" spans="1:14" x14ac:dyDescent="0.25">
      <c r="A3840" s="1">
        <v>45122</v>
      </c>
      <c r="B3840" t="s">
        <v>3822</v>
      </c>
      <c r="C3840">
        <v>32</v>
      </c>
      <c r="D3840" t="s">
        <v>14</v>
      </c>
      <c r="E3840" t="s">
        <v>19</v>
      </c>
      <c r="F3840" t="s">
        <v>23</v>
      </c>
      <c r="G3840" t="s">
        <v>36</v>
      </c>
      <c r="H3840">
        <v>2545.0500000000002</v>
      </c>
      <c r="I3840" s="8" t="str" cm="1">
        <f t="array" ref="I3840">_xlfn.IFS(C3840&lt;=15,"Children and Young Adolescents", C3840&gt;64, "Seniors", TRUE, "Working Age")</f>
        <v>Working Age</v>
      </c>
      <c r="J3840" s="6">
        <f>VLOOKUP(F3840,Analysis!$F$1:$G$5,2,FALSE)</f>
        <v>2440.2966694490838</v>
      </c>
      <c r="K3840">
        <f t="shared" si="236"/>
        <v>2799.55</v>
      </c>
      <c r="L3840">
        <f t="shared" si="237"/>
        <v>2799.5600000000004</v>
      </c>
      <c r="M3840">
        <f t="shared" si="238"/>
        <v>2799.56</v>
      </c>
      <c r="N3840" s="5" t="str">
        <f t="shared" si="239"/>
        <v>July 2023</v>
      </c>
    </row>
    <row r="3841" spans="1:14" x14ac:dyDescent="0.25">
      <c r="A3841" s="1">
        <v>45122</v>
      </c>
      <c r="B3841" t="s">
        <v>606</v>
      </c>
      <c r="C3841">
        <v>48</v>
      </c>
      <c r="D3841" t="s">
        <v>14</v>
      </c>
      <c r="E3841" t="s">
        <v>32</v>
      </c>
      <c r="F3841" t="s">
        <v>23</v>
      </c>
      <c r="G3841" t="s">
        <v>27</v>
      </c>
      <c r="H3841">
        <v>2093.9499999999998</v>
      </c>
      <c r="I3841" s="8" t="str" cm="1">
        <f t="array" ref="I3841">_xlfn.IFS(C3841&lt;=15,"Children and Young Adolescents", C3841&gt;64, "Seniors", TRUE, "Working Age")</f>
        <v>Working Age</v>
      </c>
      <c r="J3841" s="6">
        <f>VLOOKUP(F3841,Analysis!$F$1:$G$5,2,FALSE)</f>
        <v>2440.2966694490838</v>
      </c>
      <c r="K3841">
        <f t="shared" si="236"/>
        <v>2303.34</v>
      </c>
      <c r="L3841">
        <f t="shared" si="237"/>
        <v>2303.3500000000004</v>
      </c>
      <c r="M3841">
        <f t="shared" si="238"/>
        <v>2303.35</v>
      </c>
      <c r="N3841" s="5" t="str">
        <f t="shared" si="239"/>
        <v>July 2023</v>
      </c>
    </row>
    <row r="3842" spans="1:14" x14ac:dyDescent="0.25">
      <c r="A3842" s="1">
        <v>45123</v>
      </c>
      <c r="B3842" t="s">
        <v>1358</v>
      </c>
      <c r="C3842">
        <v>10</v>
      </c>
      <c r="D3842" t="s">
        <v>9</v>
      </c>
      <c r="E3842" t="s">
        <v>19</v>
      </c>
      <c r="F3842" t="s">
        <v>29</v>
      </c>
      <c r="G3842" t="s">
        <v>39</v>
      </c>
      <c r="H3842">
        <v>2046.67</v>
      </c>
      <c r="I3842" s="8" t="str" cm="1">
        <f t="array" ref="I3842">_xlfn.IFS(C3842&lt;=15,"Children and Young Adolescents", C3842&gt;64, "Seniors", TRUE, "Working Age")</f>
        <v>Children and Young Adolescents</v>
      </c>
      <c r="J3842" s="6">
        <f>VLOOKUP(F3842,Analysis!$F$1:$G$5,2,FALSE)</f>
        <v>2496.7676064256989</v>
      </c>
      <c r="K3842">
        <f t="shared" si="236"/>
        <v>2251.33</v>
      </c>
      <c r="L3842">
        <f t="shared" si="237"/>
        <v>2251.34</v>
      </c>
      <c r="M3842">
        <f t="shared" si="238"/>
        <v>2251.34</v>
      </c>
      <c r="N3842" s="5" t="str">
        <f t="shared" si="239"/>
        <v>July 2023</v>
      </c>
    </row>
    <row r="3843" spans="1:14" x14ac:dyDescent="0.25">
      <c r="A3843" s="1">
        <v>45123</v>
      </c>
      <c r="B3843" t="s">
        <v>3844</v>
      </c>
      <c r="C3843">
        <v>24</v>
      </c>
      <c r="D3843" t="s">
        <v>14</v>
      </c>
      <c r="E3843" t="s">
        <v>22</v>
      </c>
      <c r="F3843" t="s">
        <v>11</v>
      </c>
      <c r="G3843" t="s">
        <v>27</v>
      </c>
      <c r="H3843">
        <v>1029.93</v>
      </c>
      <c r="I3843" s="8" t="str" cm="1">
        <f t="array" ref="I3843">_xlfn.IFS(C3843&lt;=15,"Children and Young Adolescents", C3843&gt;64, "Seniors", TRUE, "Working Age")</f>
        <v>Working Age</v>
      </c>
      <c r="J3843" s="6">
        <f>VLOOKUP(F3843,Analysis!$F$1:$G$5,2,FALSE)</f>
        <v>2503.6022787783854</v>
      </c>
      <c r="K3843">
        <f t="shared" ref="K3843:K3906" si="240">ROUNDDOWN(H3843*1.1,2)</f>
        <v>1132.92</v>
      </c>
      <c r="L3843">
        <f t="shared" ref="L3843:L3906" si="241">ROUNDUP(H3843*1.1,2)</f>
        <v>1132.93</v>
      </c>
      <c r="M3843">
        <f t="shared" ref="M3843:M3906" si="242">ROUND(H3843*1.1,2)</f>
        <v>1132.92</v>
      </c>
      <c r="N3843" s="5" t="str">
        <f t="shared" ref="N3843:N3906" si="243">TEXT(A3843,"mmmm yyyy")</f>
        <v>July 2023</v>
      </c>
    </row>
    <row r="3844" spans="1:14" x14ac:dyDescent="0.25">
      <c r="A3844" s="1">
        <v>45123</v>
      </c>
      <c r="B3844" t="s">
        <v>2954</v>
      </c>
      <c r="C3844">
        <v>31</v>
      </c>
      <c r="D3844" t="s">
        <v>9</v>
      </c>
      <c r="E3844" t="s">
        <v>32</v>
      </c>
      <c r="F3844" t="s">
        <v>11</v>
      </c>
      <c r="G3844" t="s">
        <v>12</v>
      </c>
      <c r="H3844">
        <v>1599.17</v>
      </c>
      <c r="I3844" s="8" t="str" cm="1">
        <f t="array" ref="I3844">_xlfn.IFS(C3844&lt;=15,"Children and Young Adolescents", C3844&gt;64, "Seniors", TRUE, "Working Age")</f>
        <v>Working Age</v>
      </c>
      <c r="J3844" s="6">
        <f>VLOOKUP(F3844,Analysis!$F$1:$G$5,2,FALSE)</f>
        <v>2503.6022787783854</v>
      </c>
      <c r="K3844">
        <f t="shared" si="240"/>
        <v>1759.08</v>
      </c>
      <c r="L3844">
        <f t="shared" si="241"/>
        <v>1759.09</v>
      </c>
      <c r="M3844">
        <f t="shared" si="242"/>
        <v>1759.09</v>
      </c>
      <c r="N3844" s="5" t="str">
        <f t="shared" si="243"/>
        <v>July 2023</v>
      </c>
    </row>
    <row r="3845" spans="1:14" x14ac:dyDescent="0.25">
      <c r="A3845" s="1">
        <v>45123</v>
      </c>
      <c r="B3845" t="s">
        <v>4564</v>
      </c>
      <c r="C3845">
        <v>25</v>
      </c>
      <c r="D3845" t="s">
        <v>21</v>
      </c>
      <c r="E3845" t="s">
        <v>22</v>
      </c>
      <c r="F3845" t="s">
        <v>23</v>
      </c>
      <c r="G3845" t="s">
        <v>17</v>
      </c>
      <c r="H3845">
        <v>1623.23</v>
      </c>
      <c r="I3845" s="8" t="str" cm="1">
        <f t="array" ref="I3845">_xlfn.IFS(C3845&lt;=15,"Children and Young Adolescents", C3845&gt;64, "Seniors", TRUE, "Working Age")</f>
        <v>Working Age</v>
      </c>
      <c r="J3845" s="6">
        <f>VLOOKUP(F3845,Analysis!$F$1:$G$5,2,FALSE)</f>
        <v>2440.2966694490838</v>
      </c>
      <c r="K3845">
        <f t="shared" si="240"/>
        <v>1785.55</v>
      </c>
      <c r="L3845">
        <f t="shared" si="241"/>
        <v>1785.56</v>
      </c>
      <c r="M3845">
        <f t="shared" si="242"/>
        <v>1785.55</v>
      </c>
      <c r="N3845" s="5" t="str">
        <f t="shared" si="243"/>
        <v>July 2023</v>
      </c>
    </row>
    <row r="3846" spans="1:14" x14ac:dyDescent="0.25">
      <c r="A3846" s="1">
        <v>45123</v>
      </c>
      <c r="B3846" t="s">
        <v>3321</v>
      </c>
      <c r="C3846">
        <v>39</v>
      </c>
      <c r="D3846" t="s">
        <v>21</v>
      </c>
      <c r="E3846" t="s">
        <v>22</v>
      </c>
      <c r="F3846" t="s">
        <v>16</v>
      </c>
      <c r="G3846" t="s">
        <v>36</v>
      </c>
      <c r="H3846">
        <v>1818.4</v>
      </c>
      <c r="I3846" s="8" t="str" cm="1">
        <f t="array" ref="I3846">_xlfn.IFS(C3846&lt;=15,"Children and Young Adolescents", C3846&gt;64, "Seniors", TRUE, "Working Age")</f>
        <v>Working Age</v>
      </c>
      <c r="J3846" s="6">
        <f>VLOOKUP(F3846,Analysis!$F$1:$G$5,2,FALSE)</f>
        <v>2509.1716796874912</v>
      </c>
      <c r="K3846">
        <f t="shared" si="240"/>
        <v>2000.24</v>
      </c>
      <c r="L3846">
        <f t="shared" si="241"/>
        <v>2000.24</v>
      </c>
      <c r="M3846">
        <f t="shared" si="242"/>
        <v>2000.24</v>
      </c>
      <c r="N3846" s="5" t="str">
        <f t="shared" si="243"/>
        <v>July 2023</v>
      </c>
    </row>
    <row r="3847" spans="1:14" x14ac:dyDescent="0.25">
      <c r="A3847" s="1">
        <v>45123</v>
      </c>
      <c r="B3847" t="s">
        <v>2076</v>
      </c>
      <c r="C3847">
        <v>10</v>
      </c>
      <c r="D3847" t="s">
        <v>21</v>
      </c>
      <c r="E3847" t="s">
        <v>10</v>
      </c>
      <c r="F3847" t="s">
        <v>29</v>
      </c>
      <c r="G3847" t="s">
        <v>5033</v>
      </c>
      <c r="H3847">
        <v>4000.32</v>
      </c>
      <c r="I3847" s="8" t="str" cm="1">
        <f t="array" ref="I3847">_xlfn.IFS(C3847&lt;=15,"Children and Young Adolescents", C3847&gt;64, "Seniors", TRUE, "Working Age")</f>
        <v>Children and Young Adolescents</v>
      </c>
      <c r="J3847" s="6">
        <f>VLOOKUP(F3847,Analysis!$F$1:$G$5,2,FALSE)</f>
        <v>2496.7676064256989</v>
      </c>
      <c r="K3847">
        <f t="shared" si="240"/>
        <v>4400.3500000000004</v>
      </c>
      <c r="L3847">
        <f t="shared" si="241"/>
        <v>4400.3600000000006</v>
      </c>
      <c r="M3847">
        <f t="shared" si="242"/>
        <v>4400.3500000000004</v>
      </c>
      <c r="N3847" s="5" t="str">
        <f t="shared" si="243"/>
        <v>July 2023</v>
      </c>
    </row>
    <row r="3848" spans="1:14" x14ac:dyDescent="0.25">
      <c r="A3848" s="1">
        <v>45123</v>
      </c>
      <c r="B3848" t="s">
        <v>2526</v>
      </c>
      <c r="C3848">
        <v>61</v>
      </c>
      <c r="D3848" t="s">
        <v>9</v>
      </c>
      <c r="E3848" t="s">
        <v>10</v>
      </c>
      <c r="F3848" t="s">
        <v>16</v>
      </c>
      <c r="G3848" t="s">
        <v>27</v>
      </c>
      <c r="H3848">
        <v>131.43</v>
      </c>
      <c r="I3848" s="8" t="str" cm="1">
        <f t="array" ref="I3848">_xlfn.IFS(C3848&lt;=15,"Children and Young Adolescents", C3848&gt;64, "Seniors", TRUE, "Working Age")</f>
        <v>Working Age</v>
      </c>
      <c r="J3848" s="6">
        <f>VLOOKUP(F3848,Analysis!$F$1:$G$5,2,FALSE)</f>
        <v>2509.1716796874912</v>
      </c>
      <c r="K3848">
        <f t="shared" si="240"/>
        <v>144.57</v>
      </c>
      <c r="L3848">
        <f t="shared" si="241"/>
        <v>144.57999999999998</v>
      </c>
      <c r="M3848">
        <f t="shared" si="242"/>
        <v>144.57</v>
      </c>
      <c r="N3848" s="5" t="str">
        <f t="shared" si="243"/>
        <v>July 2023</v>
      </c>
    </row>
    <row r="3849" spans="1:14" x14ac:dyDescent="0.25">
      <c r="A3849" s="1">
        <v>45123</v>
      </c>
      <c r="B3849" t="s">
        <v>223</v>
      </c>
      <c r="C3849">
        <v>78</v>
      </c>
      <c r="D3849" t="s">
        <v>14</v>
      </c>
      <c r="E3849" t="s">
        <v>22</v>
      </c>
      <c r="F3849" t="s">
        <v>23</v>
      </c>
      <c r="G3849" t="s">
        <v>39</v>
      </c>
      <c r="H3849">
        <v>2518.31</v>
      </c>
      <c r="I3849" s="8" t="str" cm="1">
        <f t="array" ref="I3849">_xlfn.IFS(C3849&lt;=15,"Children and Young Adolescents", C3849&gt;64, "Seniors", TRUE, "Working Age")</f>
        <v>Seniors</v>
      </c>
      <c r="J3849" s="6">
        <f>VLOOKUP(F3849,Analysis!$F$1:$G$5,2,FALSE)</f>
        <v>2440.2966694490838</v>
      </c>
      <c r="K3849">
        <f t="shared" si="240"/>
        <v>2770.14</v>
      </c>
      <c r="L3849">
        <f t="shared" si="241"/>
        <v>2770.15</v>
      </c>
      <c r="M3849">
        <f t="shared" si="242"/>
        <v>2770.14</v>
      </c>
      <c r="N3849" s="5" t="str">
        <f t="shared" si="243"/>
        <v>July 2023</v>
      </c>
    </row>
    <row r="3850" spans="1:14" x14ac:dyDescent="0.25">
      <c r="A3850" s="1">
        <v>45123</v>
      </c>
      <c r="B3850" t="s">
        <v>3317</v>
      </c>
      <c r="C3850">
        <v>29</v>
      </c>
      <c r="D3850" t="s">
        <v>14</v>
      </c>
      <c r="E3850" t="s">
        <v>19</v>
      </c>
      <c r="F3850" t="s">
        <v>29</v>
      </c>
      <c r="G3850" t="s">
        <v>36</v>
      </c>
      <c r="H3850">
        <v>858.49</v>
      </c>
      <c r="I3850" s="8" t="str" cm="1">
        <f t="array" ref="I3850">_xlfn.IFS(C3850&lt;=15,"Children and Young Adolescents", C3850&gt;64, "Seniors", TRUE, "Working Age")</f>
        <v>Working Age</v>
      </c>
      <c r="J3850" s="6">
        <f>VLOOKUP(F3850,Analysis!$F$1:$G$5,2,FALSE)</f>
        <v>2496.7676064256989</v>
      </c>
      <c r="K3850">
        <f t="shared" si="240"/>
        <v>944.33</v>
      </c>
      <c r="L3850">
        <f t="shared" si="241"/>
        <v>944.34</v>
      </c>
      <c r="M3850">
        <f t="shared" si="242"/>
        <v>944.34</v>
      </c>
      <c r="N3850" s="5" t="str">
        <f t="shared" si="243"/>
        <v>July 2023</v>
      </c>
    </row>
    <row r="3851" spans="1:14" x14ac:dyDescent="0.25">
      <c r="A3851" s="1">
        <v>45124</v>
      </c>
      <c r="B3851" t="s">
        <v>790</v>
      </c>
      <c r="C3851">
        <v>56</v>
      </c>
      <c r="D3851" t="s">
        <v>9</v>
      </c>
      <c r="E3851" t="s">
        <v>25</v>
      </c>
      <c r="F3851" t="s">
        <v>11</v>
      </c>
      <c r="G3851" t="s">
        <v>17</v>
      </c>
      <c r="H3851">
        <v>3519.01</v>
      </c>
      <c r="I3851" s="8" t="str" cm="1">
        <f t="array" ref="I3851">_xlfn.IFS(C3851&lt;=15,"Children and Young Adolescents", C3851&gt;64, "Seniors", TRUE, "Working Age")</f>
        <v>Working Age</v>
      </c>
      <c r="J3851" s="6">
        <f>VLOOKUP(F3851,Analysis!$F$1:$G$5,2,FALSE)</f>
        <v>2503.6022787783854</v>
      </c>
      <c r="K3851">
        <f t="shared" si="240"/>
        <v>3870.91</v>
      </c>
      <c r="L3851">
        <f t="shared" si="241"/>
        <v>3870.92</v>
      </c>
      <c r="M3851">
        <f t="shared" si="242"/>
        <v>3870.91</v>
      </c>
      <c r="N3851" s="5" t="str">
        <f t="shared" si="243"/>
        <v>July 2023</v>
      </c>
    </row>
    <row r="3852" spans="1:14" x14ac:dyDescent="0.25">
      <c r="A3852" s="1">
        <v>45124</v>
      </c>
      <c r="B3852" t="s">
        <v>2140</v>
      </c>
      <c r="C3852">
        <v>66</v>
      </c>
      <c r="D3852" t="s">
        <v>9</v>
      </c>
      <c r="E3852" t="s">
        <v>25</v>
      </c>
      <c r="F3852" t="s">
        <v>23</v>
      </c>
      <c r="G3852" t="s">
        <v>17</v>
      </c>
      <c r="H3852">
        <v>2273.96</v>
      </c>
      <c r="I3852" s="8" t="str" cm="1">
        <f t="array" ref="I3852">_xlfn.IFS(C3852&lt;=15,"Children and Young Adolescents", C3852&gt;64, "Seniors", TRUE, "Working Age")</f>
        <v>Seniors</v>
      </c>
      <c r="J3852" s="6">
        <f>VLOOKUP(F3852,Analysis!$F$1:$G$5,2,FALSE)</f>
        <v>2440.2966694490838</v>
      </c>
      <c r="K3852">
        <f t="shared" si="240"/>
        <v>2501.35</v>
      </c>
      <c r="L3852">
        <f t="shared" si="241"/>
        <v>2501.36</v>
      </c>
      <c r="M3852">
        <f t="shared" si="242"/>
        <v>2501.36</v>
      </c>
      <c r="N3852" s="5" t="str">
        <f t="shared" si="243"/>
        <v>July 2023</v>
      </c>
    </row>
    <row r="3853" spans="1:14" x14ac:dyDescent="0.25">
      <c r="A3853" s="1">
        <v>45124</v>
      </c>
      <c r="B3853" t="s">
        <v>2920</v>
      </c>
      <c r="C3853">
        <v>61</v>
      </c>
      <c r="D3853" t="s">
        <v>21</v>
      </c>
      <c r="E3853" t="s">
        <v>10</v>
      </c>
      <c r="F3853" t="s">
        <v>29</v>
      </c>
      <c r="G3853" t="s">
        <v>27</v>
      </c>
      <c r="H3853">
        <v>1931.44</v>
      </c>
      <c r="I3853" s="8" t="str" cm="1">
        <f t="array" ref="I3853">_xlfn.IFS(C3853&lt;=15,"Children and Young Adolescents", C3853&gt;64, "Seniors", TRUE, "Working Age")</f>
        <v>Working Age</v>
      </c>
      <c r="J3853" s="6">
        <f>VLOOKUP(F3853,Analysis!$F$1:$G$5,2,FALSE)</f>
        <v>2496.7676064256989</v>
      </c>
      <c r="K3853">
        <f t="shared" si="240"/>
        <v>2124.58</v>
      </c>
      <c r="L3853">
        <f t="shared" si="241"/>
        <v>2124.59</v>
      </c>
      <c r="M3853">
        <f t="shared" si="242"/>
        <v>2124.58</v>
      </c>
      <c r="N3853" s="5" t="str">
        <f t="shared" si="243"/>
        <v>July 2023</v>
      </c>
    </row>
    <row r="3854" spans="1:14" x14ac:dyDescent="0.25">
      <c r="A3854" s="1">
        <v>45124</v>
      </c>
      <c r="B3854" t="s">
        <v>169</v>
      </c>
      <c r="C3854">
        <v>21</v>
      </c>
      <c r="D3854" t="s">
        <v>21</v>
      </c>
      <c r="E3854" t="s">
        <v>19</v>
      </c>
      <c r="F3854" t="s">
        <v>23</v>
      </c>
      <c r="G3854" t="s">
        <v>17</v>
      </c>
      <c r="H3854">
        <v>346.66</v>
      </c>
      <c r="I3854" s="8" t="str" cm="1">
        <f t="array" ref="I3854">_xlfn.IFS(C3854&lt;=15,"Children and Young Adolescents", C3854&gt;64, "Seniors", TRUE, "Working Age")</f>
        <v>Working Age</v>
      </c>
      <c r="J3854" s="6">
        <f>VLOOKUP(F3854,Analysis!$F$1:$G$5,2,FALSE)</f>
        <v>2440.2966694490838</v>
      </c>
      <c r="K3854">
        <f t="shared" si="240"/>
        <v>381.32</v>
      </c>
      <c r="L3854">
        <f t="shared" si="241"/>
        <v>381.33</v>
      </c>
      <c r="M3854">
        <f t="shared" si="242"/>
        <v>381.33</v>
      </c>
      <c r="N3854" s="5" t="str">
        <f t="shared" si="243"/>
        <v>July 2023</v>
      </c>
    </row>
    <row r="3855" spans="1:14" x14ac:dyDescent="0.25">
      <c r="A3855" s="1">
        <v>45124</v>
      </c>
      <c r="B3855" t="s">
        <v>1620</v>
      </c>
      <c r="C3855">
        <v>71</v>
      </c>
      <c r="D3855" t="s">
        <v>9</v>
      </c>
      <c r="E3855" t="s">
        <v>19</v>
      </c>
      <c r="F3855" t="s">
        <v>29</v>
      </c>
      <c r="G3855" t="s">
        <v>5033</v>
      </c>
      <c r="H3855">
        <v>4194.37</v>
      </c>
      <c r="I3855" s="8" t="str" cm="1">
        <f t="array" ref="I3855">_xlfn.IFS(C3855&lt;=15,"Children and Young Adolescents", C3855&gt;64, "Seniors", TRUE, "Working Age")</f>
        <v>Seniors</v>
      </c>
      <c r="J3855" s="6">
        <f>VLOOKUP(F3855,Analysis!$F$1:$G$5,2,FALSE)</f>
        <v>2496.7676064256989</v>
      </c>
      <c r="K3855">
        <f t="shared" si="240"/>
        <v>4613.8</v>
      </c>
      <c r="L3855">
        <f t="shared" si="241"/>
        <v>4613.8100000000004</v>
      </c>
      <c r="M3855">
        <f t="shared" si="242"/>
        <v>4613.8100000000004</v>
      </c>
      <c r="N3855" s="5" t="str">
        <f t="shared" si="243"/>
        <v>July 2023</v>
      </c>
    </row>
    <row r="3856" spans="1:14" x14ac:dyDescent="0.25">
      <c r="A3856" s="1">
        <v>45124</v>
      </c>
      <c r="B3856" t="s">
        <v>128</v>
      </c>
      <c r="C3856">
        <v>25</v>
      </c>
      <c r="D3856" t="s">
        <v>21</v>
      </c>
      <c r="E3856" t="s">
        <v>15</v>
      </c>
      <c r="F3856" t="s">
        <v>16</v>
      </c>
      <c r="G3856" t="s">
        <v>39</v>
      </c>
      <c r="H3856">
        <v>3086.13</v>
      </c>
      <c r="I3856" s="8" t="str" cm="1">
        <f t="array" ref="I3856">_xlfn.IFS(C3856&lt;=15,"Children and Young Adolescents", C3856&gt;64, "Seniors", TRUE, "Working Age")</f>
        <v>Working Age</v>
      </c>
      <c r="J3856" s="6">
        <f>VLOOKUP(F3856,Analysis!$F$1:$G$5,2,FALSE)</f>
        <v>2509.1716796874912</v>
      </c>
      <c r="K3856">
        <f t="shared" si="240"/>
        <v>3394.74</v>
      </c>
      <c r="L3856">
        <f t="shared" si="241"/>
        <v>3394.75</v>
      </c>
      <c r="M3856">
        <f t="shared" si="242"/>
        <v>3394.74</v>
      </c>
      <c r="N3856" s="5" t="str">
        <f t="shared" si="243"/>
        <v>July 2023</v>
      </c>
    </row>
    <row r="3857" spans="1:14" x14ac:dyDescent="0.25">
      <c r="A3857" s="1">
        <v>45124</v>
      </c>
      <c r="B3857" t="s">
        <v>884</v>
      </c>
      <c r="C3857">
        <v>14</v>
      </c>
      <c r="D3857" t="s">
        <v>9</v>
      </c>
      <c r="E3857" t="s">
        <v>5032</v>
      </c>
      <c r="F3857" t="s">
        <v>23</v>
      </c>
      <c r="G3857" t="s">
        <v>36</v>
      </c>
      <c r="H3857">
        <v>4971.42</v>
      </c>
      <c r="I3857" s="8" t="str" cm="1">
        <f t="array" ref="I3857">_xlfn.IFS(C3857&lt;=15,"Children and Young Adolescents", C3857&gt;64, "Seniors", TRUE, "Working Age")</f>
        <v>Children and Young Adolescents</v>
      </c>
      <c r="J3857" s="6">
        <f>VLOOKUP(F3857,Analysis!$F$1:$G$5,2,FALSE)</f>
        <v>2440.2966694490838</v>
      </c>
      <c r="K3857">
        <f t="shared" si="240"/>
        <v>5468.56</v>
      </c>
      <c r="L3857">
        <f t="shared" si="241"/>
        <v>5468.5700000000006</v>
      </c>
      <c r="M3857">
        <f t="shared" si="242"/>
        <v>5468.56</v>
      </c>
      <c r="N3857" s="5" t="str">
        <f t="shared" si="243"/>
        <v>July 2023</v>
      </c>
    </row>
    <row r="3858" spans="1:14" x14ac:dyDescent="0.25">
      <c r="A3858" s="1">
        <v>45124</v>
      </c>
      <c r="B3858" t="s">
        <v>1780</v>
      </c>
      <c r="C3858">
        <v>60</v>
      </c>
      <c r="D3858" t="s">
        <v>14</v>
      </c>
      <c r="E3858" t="s">
        <v>25</v>
      </c>
      <c r="F3858" t="s">
        <v>16</v>
      </c>
      <c r="G3858" t="s">
        <v>36</v>
      </c>
      <c r="H3858">
        <v>2398.06</v>
      </c>
      <c r="I3858" s="8" t="str" cm="1">
        <f t="array" ref="I3858">_xlfn.IFS(C3858&lt;=15,"Children and Young Adolescents", C3858&gt;64, "Seniors", TRUE, "Working Age")</f>
        <v>Working Age</v>
      </c>
      <c r="J3858" s="6">
        <f>VLOOKUP(F3858,Analysis!$F$1:$G$5,2,FALSE)</f>
        <v>2509.1716796874912</v>
      </c>
      <c r="K3858">
        <f t="shared" si="240"/>
        <v>2637.86</v>
      </c>
      <c r="L3858">
        <f t="shared" si="241"/>
        <v>2637.8700000000003</v>
      </c>
      <c r="M3858">
        <f t="shared" si="242"/>
        <v>2637.87</v>
      </c>
      <c r="N3858" s="5" t="str">
        <f t="shared" si="243"/>
        <v>July 2023</v>
      </c>
    </row>
    <row r="3859" spans="1:14" x14ac:dyDescent="0.25">
      <c r="A3859" s="1">
        <v>45124</v>
      </c>
      <c r="B3859" t="s">
        <v>2706</v>
      </c>
      <c r="C3859">
        <v>27</v>
      </c>
      <c r="D3859" t="s">
        <v>14</v>
      </c>
      <c r="E3859" t="s">
        <v>10</v>
      </c>
      <c r="F3859" t="s">
        <v>16</v>
      </c>
      <c r="G3859" t="s">
        <v>27</v>
      </c>
      <c r="H3859">
        <v>3163.34</v>
      </c>
      <c r="I3859" s="8" t="str" cm="1">
        <f t="array" ref="I3859">_xlfn.IFS(C3859&lt;=15,"Children and Young Adolescents", C3859&gt;64, "Seniors", TRUE, "Working Age")</f>
        <v>Working Age</v>
      </c>
      <c r="J3859" s="6">
        <f>VLOOKUP(F3859,Analysis!$F$1:$G$5,2,FALSE)</f>
        <v>2509.1716796874912</v>
      </c>
      <c r="K3859">
        <f t="shared" si="240"/>
        <v>3479.67</v>
      </c>
      <c r="L3859">
        <f t="shared" si="241"/>
        <v>3479.6800000000003</v>
      </c>
      <c r="M3859">
        <f t="shared" si="242"/>
        <v>3479.67</v>
      </c>
      <c r="N3859" s="5" t="str">
        <f t="shared" si="243"/>
        <v>July 2023</v>
      </c>
    </row>
    <row r="3860" spans="1:14" x14ac:dyDescent="0.25">
      <c r="A3860" s="1">
        <v>45124</v>
      </c>
      <c r="B3860" t="s">
        <v>3607</v>
      </c>
      <c r="C3860">
        <v>21</v>
      </c>
      <c r="D3860" t="s">
        <v>21</v>
      </c>
      <c r="E3860" t="s">
        <v>5032</v>
      </c>
      <c r="F3860" t="s">
        <v>29</v>
      </c>
      <c r="G3860" t="s">
        <v>39</v>
      </c>
      <c r="H3860">
        <v>4266.09</v>
      </c>
      <c r="I3860" s="8" t="str" cm="1">
        <f t="array" ref="I3860">_xlfn.IFS(C3860&lt;=15,"Children and Young Adolescents", C3860&gt;64, "Seniors", TRUE, "Working Age")</f>
        <v>Working Age</v>
      </c>
      <c r="J3860" s="6">
        <f>VLOOKUP(F3860,Analysis!$F$1:$G$5,2,FALSE)</f>
        <v>2496.7676064256989</v>
      </c>
      <c r="K3860">
        <f t="shared" si="240"/>
        <v>4692.6899999999996</v>
      </c>
      <c r="L3860">
        <f t="shared" si="241"/>
        <v>4692.7</v>
      </c>
      <c r="M3860">
        <f t="shared" si="242"/>
        <v>4692.7</v>
      </c>
      <c r="N3860" s="5" t="str">
        <f t="shared" si="243"/>
        <v>July 2023</v>
      </c>
    </row>
    <row r="3861" spans="1:14" x14ac:dyDescent="0.25">
      <c r="A3861" s="1">
        <v>45124</v>
      </c>
      <c r="B3861" t="s">
        <v>3968</v>
      </c>
      <c r="C3861">
        <v>86</v>
      </c>
      <c r="D3861" t="s">
        <v>21</v>
      </c>
      <c r="E3861" t="s">
        <v>32</v>
      </c>
      <c r="F3861" t="s">
        <v>11</v>
      </c>
      <c r="G3861" t="s">
        <v>39</v>
      </c>
      <c r="H3861">
        <v>4236.01</v>
      </c>
      <c r="I3861" s="8" t="str" cm="1">
        <f t="array" ref="I3861">_xlfn.IFS(C3861&lt;=15,"Children and Young Adolescents", C3861&gt;64, "Seniors", TRUE, "Working Age")</f>
        <v>Seniors</v>
      </c>
      <c r="J3861" s="6">
        <f>VLOOKUP(F3861,Analysis!$F$1:$G$5,2,FALSE)</f>
        <v>2503.6022787783854</v>
      </c>
      <c r="K3861">
        <f t="shared" si="240"/>
        <v>4659.6099999999997</v>
      </c>
      <c r="L3861">
        <f t="shared" si="241"/>
        <v>4659.62</v>
      </c>
      <c r="M3861">
        <f t="shared" si="242"/>
        <v>4659.6099999999997</v>
      </c>
      <c r="N3861" s="5" t="str">
        <f t="shared" si="243"/>
        <v>July 2023</v>
      </c>
    </row>
    <row r="3862" spans="1:14" x14ac:dyDescent="0.25">
      <c r="A3862" s="1">
        <v>45124</v>
      </c>
      <c r="B3862" t="s">
        <v>1214</v>
      </c>
      <c r="C3862">
        <v>45</v>
      </c>
      <c r="D3862" t="s">
        <v>9</v>
      </c>
      <c r="E3862" t="s">
        <v>19</v>
      </c>
      <c r="F3862" t="s">
        <v>11</v>
      </c>
      <c r="G3862" t="s">
        <v>17</v>
      </c>
      <c r="H3862">
        <v>205.33</v>
      </c>
      <c r="I3862" s="8" t="str" cm="1">
        <f t="array" ref="I3862">_xlfn.IFS(C3862&lt;=15,"Children and Young Adolescents", C3862&gt;64, "Seniors", TRUE, "Working Age")</f>
        <v>Working Age</v>
      </c>
      <c r="J3862" s="6">
        <f>VLOOKUP(F3862,Analysis!$F$1:$G$5,2,FALSE)</f>
        <v>2503.6022787783854</v>
      </c>
      <c r="K3862">
        <f t="shared" si="240"/>
        <v>225.86</v>
      </c>
      <c r="L3862">
        <f t="shared" si="241"/>
        <v>225.87</v>
      </c>
      <c r="M3862">
        <f t="shared" si="242"/>
        <v>225.86</v>
      </c>
      <c r="N3862" s="5" t="str">
        <f t="shared" si="243"/>
        <v>July 2023</v>
      </c>
    </row>
    <row r="3863" spans="1:14" x14ac:dyDescent="0.25">
      <c r="A3863" s="1">
        <v>45125</v>
      </c>
      <c r="B3863" t="s">
        <v>2588</v>
      </c>
      <c r="C3863">
        <v>58</v>
      </c>
      <c r="D3863" t="s">
        <v>9</v>
      </c>
      <c r="E3863" t="s">
        <v>19</v>
      </c>
      <c r="F3863" t="s">
        <v>29</v>
      </c>
      <c r="G3863" t="s">
        <v>27</v>
      </c>
      <c r="H3863">
        <v>4085.11</v>
      </c>
      <c r="I3863" s="8" t="str" cm="1">
        <f t="array" ref="I3863">_xlfn.IFS(C3863&lt;=15,"Children and Young Adolescents", C3863&gt;64, "Seniors", TRUE, "Working Age")</f>
        <v>Working Age</v>
      </c>
      <c r="J3863" s="6">
        <f>VLOOKUP(F3863,Analysis!$F$1:$G$5,2,FALSE)</f>
        <v>2496.7676064256989</v>
      </c>
      <c r="K3863">
        <f t="shared" si="240"/>
        <v>4493.62</v>
      </c>
      <c r="L3863">
        <f t="shared" si="241"/>
        <v>4493.63</v>
      </c>
      <c r="M3863">
        <f t="shared" si="242"/>
        <v>4493.62</v>
      </c>
      <c r="N3863" s="5" t="str">
        <f t="shared" si="243"/>
        <v>July 2023</v>
      </c>
    </row>
    <row r="3864" spans="1:14" x14ac:dyDescent="0.25">
      <c r="A3864" s="1">
        <v>45125</v>
      </c>
      <c r="B3864" t="s">
        <v>3647</v>
      </c>
      <c r="C3864">
        <v>46</v>
      </c>
      <c r="D3864" t="s">
        <v>14</v>
      </c>
      <c r="E3864" t="s">
        <v>32</v>
      </c>
      <c r="F3864" t="s">
        <v>29</v>
      </c>
      <c r="G3864" t="s">
        <v>39</v>
      </c>
      <c r="H3864">
        <v>3767.85</v>
      </c>
      <c r="I3864" s="8" t="str" cm="1">
        <f t="array" ref="I3864">_xlfn.IFS(C3864&lt;=15,"Children and Young Adolescents", C3864&gt;64, "Seniors", TRUE, "Working Age")</f>
        <v>Working Age</v>
      </c>
      <c r="J3864" s="6">
        <f>VLOOKUP(F3864,Analysis!$F$1:$G$5,2,FALSE)</f>
        <v>2496.7676064256989</v>
      </c>
      <c r="K3864">
        <f t="shared" si="240"/>
        <v>4144.63</v>
      </c>
      <c r="L3864">
        <f t="shared" si="241"/>
        <v>4144.6400000000003</v>
      </c>
      <c r="M3864">
        <f t="shared" si="242"/>
        <v>4144.6400000000003</v>
      </c>
      <c r="N3864" s="5" t="str">
        <f t="shared" si="243"/>
        <v>July 2023</v>
      </c>
    </row>
    <row r="3865" spans="1:14" x14ac:dyDescent="0.25">
      <c r="A3865" s="1">
        <v>45125</v>
      </c>
      <c r="B3865" t="s">
        <v>1666</v>
      </c>
      <c r="C3865">
        <v>59</v>
      </c>
      <c r="D3865" t="s">
        <v>14</v>
      </c>
      <c r="E3865" t="s">
        <v>15</v>
      </c>
      <c r="F3865" t="s">
        <v>23</v>
      </c>
      <c r="G3865" t="s">
        <v>17</v>
      </c>
      <c r="H3865">
        <v>2943.77</v>
      </c>
      <c r="I3865" s="8" t="str" cm="1">
        <f t="array" ref="I3865">_xlfn.IFS(C3865&lt;=15,"Children and Young Adolescents", C3865&gt;64, "Seniors", TRUE, "Working Age")</f>
        <v>Working Age</v>
      </c>
      <c r="J3865" s="6">
        <f>VLOOKUP(F3865,Analysis!$F$1:$G$5,2,FALSE)</f>
        <v>2440.2966694490838</v>
      </c>
      <c r="K3865">
        <f t="shared" si="240"/>
        <v>3238.14</v>
      </c>
      <c r="L3865">
        <f t="shared" si="241"/>
        <v>3238.15</v>
      </c>
      <c r="M3865">
        <f t="shared" si="242"/>
        <v>3238.15</v>
      </c>
      <c r="N3865" s="5" t="str">
        <f t="shared" si="243"/>
        <v>July 2023</v>
      </c>
    </row>
    <row r="3866" spans="1:14" x14ac:dyDescent="0.25">
      <c r="A3866" s="1">
        <v>45125</v>
      </c>
      <c r="B3866" t="s">
        <v>3348</v>
      </c>
      <c r="C3866">
        <v>36</v>
      </c>
      <c r="D3866" t="s">
        <v>14</v>
      </c>
      <c r="E3866" t="s">
        <v>25</v>
      </c>
      <c r="F3866" t="s">
        <v>16</v>
      </c>
      <c r="G3866" t="s">
        <v>39</v>
      </c>
      <c r="H3866">
        <v>3399.77</v>
      </c>
      <c r="I3866" s="8" t="str" cm="1">
        <f t="array" ref="I3866">_xlfn.IFS(C3866&lt;=15,"Children and Young Adolescents", C3866&gt;64, "Seniors", TRUE, "Working Age")</f>
        <v>Working Age</v>
      </c>
      <c r="J3866" s="6">
        <f>VLOOKUP(F3866,Analysis!$F$1:$G$5,2,FALSE)</f>
        <v>2509.1716796874912</v>
      </c>
      <c r="K3866">
        <f t="shared" si="240"/>
        <v>3739.74</v>
      </c>
      <c r="L3866">
        <f t="shared" si="241"/>
        <v>3739.75</v>
      </c>
      <c r="M3866">
        <f t="shared" si="242"/>
        <v>3739.75</v>
      </c>
      <c r="N3866" s="5" t="str">
        <f t="shared" si="243"/>
        <v>July 2023</v>
      </c>
    </row>
    <row r="3867" spans="1:14" x14ac:dyDescent="0.25">
      <c r="A3867" s="1">
        <v>45125</v>
      </c>
      <c r="B3867" t="s">
        <v>3117</v>
      </c>
      <c r="C3867">
        <v>80</v>
      </c>
      <c r="D3867" t="s">
        <v>9</v>
      </c>
      <c r="E3867" t="s">
        <v>22</v>
      </c>
      <c r="F3867" t="s">
        <v>11</v>
      </c>
      <c r="G3867" t="s">
        <v>36</v>
      </c>
      <c r="H3867">
        <v>1225.08</v>
      </c>
      <c r="I3867" s="8" t="str" cm="1">
        <f t="array" ref="I3867">_xlfn.IFS(C3867&lt;=15,"Children and Young Adolescents", C3867&gt;64, "Seniors", TRUE, "Working Age")</f>
        <v>Seniors</v>
      </c>
      <c r="J3867" s="6">
        <f>VLOOKUP(F3867,Analysis!$F$1:$G$5,2,FALSE)</f>
        <v>2503.6022787783854</v>
      </c>
      <c r="K3867">
        <f t="shared" si="240"/>
        <v>1347.58</v>
      </c>
      <c r="L3867">
        <f t="shared" si="241"/>
        <v>1347.59</v>
      </c>
      <c r="M3867">
        <f t="shared" si="242"/>
        <v>1347.59</v>
      </c>
      <c r="N3867" s="5" t="str">
        <f t="shared" si="243"/>
        <v>July 2023</v>
      </c>
    </row>
    <row r="3868" spans="1:14" x14ac:dyDescent="0.25">
      <c r="A3868" s="1">
        <v>45125</v>
      </c>
      <c r="B3868" t="s">
        <v>2931</v>
      </c>
      <c r="C3868">
        <v>98</v>
      </c>
      <c r="D3868" t="s">
        <v>14</v>
      </c>
      <c r="E3868" t="s">
        <v>25</v>
      </c>
      <c r="F3868" t="s">
        <v>16</v>
      </c>
      <c r="G3868" t="s">
        <v>5033</v>
      </c>
      <c r="H3868">
        <v>184.21</v>
      </c>
      <c r="I3868" s="8" t="str" cm="1">
        <f t="array" ref="I3868">_xlfn.IFS(C3868&lt;=15,"Children and Young Adolescents", C3868&gt;64, "Seniors", TRUE, "Working Age")</f>
        <v>Seniors</v>
      </c>
      <c r="J3868" s="6">
        <f>VLOOKUP(F3868,Analysis!$F$1:$G$5,2,FALSE)</f>
        <v>2509.1716796874912</v>
      </c>
      <c r="K3868">
        <f t="shared" si="240"/>
        <v>202.63</v>
      </c>
      <c r="L3868">
        <f t="shared" si="241"/>
        <v>202.64</v>
      </c>
      <c r="M3868">
        <f t="shared" si="242"/>
        <v>202.63</v>
      </c>
      <c r="N3868" s="5" t="str">
        <f t="shared" si="243"/>
        <v>July 2023</v>
      </c>
    </row>
    <row r="3869" spans="1:14" x14ac:dyDescent="0.25">
      <c r="A3869" s="1">
        <v>45125</v>
      </c>
      <c r="B3869" t="s">
        <v>3881</v>
      </c>
      <c r="C3869">
        <v>89</v>
      </c>
      <c r="D3869" t="s">
        <v>21</v>
      </c>
      <c r="E3869" t="s">
        <v>34</v>
      </c>
      <c r="F3869" t="s">
        <v>23</v>
      </c>
      <c r="G3869" t="s">
        <v>12</v>
      </c>
      <c r="H3869">
        <v>88.88</v>
      </c>
      <c r="I3869" s="8" t="str" cm="1">
        <f t="array" ref="I3869">_xlfn.IFS(C3869&lt;=15,"Children and Young Adolescents", C3869&gt;64, "Seniors", TRUE, "Working Age")</f>
        <v>Seniors</v>
      </c>
      <c r="J3869" s="6">
        <f>VLOOKUP(F3869,Analysis!$F$1:$G$5,2,FALSE)</f>
        <v>2440.2966694490838</v>
      </c>
      <c r="K3869">
        <f t="shared" si="240"/>
        <v>97.76</v>
      </c>
      <c r="L3869">
        <f t="shared" si="241"/>
        <v>97.77000000000001</v>
      </c>
      <c r="M3869">
        <f t="shared" si="242"/>
        <v>97.77</v>
      </c>
      <c r="N3869" s="5" t="str">
        <f t="shared" si="243"/>
        <v>July 2023</v>
      </c>
    </row>
    <row r="3870" spans="1:14" x14ac:dyDescent="0.25">
      <c r="A3870" s="1">
        <v>45125</v>
      </c>
      <c r="B3870" t="s">
        <v>1683</v>
      </c>
      <c r="C3870">
        <v>23</v>
      </c>
      <c r="D3870" t="s">
        <v>14</v>
      </c>
      <c r="E3870" t="s">
        <v>22</v>
      </c>
      <c r="F3870" t="s">
        <v>23</v>
      </c>
      <c r="G3870" t="s">
        <v>36</v>
      </c>
      <c r="H3870">
        <v>2213.67</v>
      </c>
      <c r="I3870" s="8" t="str" cm="1">
        <f t="array" ref="I3870">_xlfn.IFS(C3870&lt;=15,"Children and Young Adolescents", C3870&gt;64, "Seniors", TRUE, "Working Age")</f>
        <v>Working Age</v>
      </c>
      <c r="J3870" s="6">
        <f>VLOOKUP(F3870,Analysis!$F$1:$G$5,2,FALSE)</f>
        <v>2440.2966694490838</v>
      </c>
      <c r="K3870">
        <f t="shared" si="240"/>
        <v>2435.0300000000002</v>
      </c>
      <c r="L3870">
        <f t="shared" si="241"/>
        <v>2435.0400000000004</v>
      </c>
      <c r="M3870">
        <f t="shared" si="242"/>
        <v>2435.04</v>
      </c>
      <c r="N3870" s="5" t="str">
        <f t="shared" si="243"/>
        <v>July 2023</v>
      </c>
    </row>
    <row r="3871" spans="1:14" x14ac:dyDescent="0.25">
      <c r="A3871" s="1">
        <v>45125</v>
      </c>
      <c r="B3871" t="s">
        <v>3450</v>
      </c>
      <c r="C3871">
        <v>2</v>
      </c>
      <c r="D3871" t="s">
        <v>14</v>
      </c>
      <c r="E3871" t="s">
        <v>15</v>
      </c>
      <c r="F3871" t="s">
        <v>11</v>
      </c>
      <c r="G3871" t="s">
        <v>36</v>
      </c>
      <c r="H3871">
        <v>4711.76</v>
      </c>
      <c r="I3871" s="8" t="str" cm="1">
        <f t="array" ref="I3871">_xlfn.IFS(C3871&lt;=15,"Children and Young Adolescents", C3871&gt;64, "Seniors", TRUE, "Working Age")</f>
        <v>Children and Young Adolescents</v>
      </c>
      <c r="J3871" s="6">
        <f>VLOOKUP(F3871,Analysis!$F$1:$G$5,2,FALSE)</f>
        <v>2503.6022787783854</v>
      </c>
      <c r="K3871">
        <f t="shared" si="240"/>
        <v>5182.93</v>
      </c>
      <c r="L3871">
        <f t="shared" si="241"/>
        <v>5182.9400000000005</v>
      </c>
      <c r="M3871">
        <f t="shared" si="242"/>
        <v>5182.9399999999996</v>
      </c>
      <c r="N3871" s="5" t="str">
        <f t="shared" si="243"/>
        <v>July 2023</v>
      </c>
    </row>
    <row r="3872" spans="1:14" x14ac:dyDescent="0.25">
      <c r="A3872" s="1">
        <v>45125</v>
      </c>
      <c r="B3872" t="s">
        <v>2375</v>
      </c>
      <c r="C3872">
        <v>40</v>
      </c>
      <c r="D3872" t="s">
        <v>14</v>
      </c>
      <c r="E3872" t="s">
        <v>19</v>
      </c>
      <c r="F3872" t="s">
        <v>16</v>
      </c>
      <c r="G3872" t="s">
        <v>36</v>
      </c>
      <c r="H3872">
        <v>1585.6</v>
      </c>
      <c r="I3872" s="8" t="str" cm="1">
        <f t="array" ref="I3872">_xlfn.IFS(C3872&lt;=15,"Children and Young Adolescents", C3872&gt;64, "Seniors", TRUE, "Working Age")</f>
        <v>Working Age</v>
      </c>
      <c r="J3872" s="6">
        <f>VLOOKUP(F3872,Analysis!$F$1:$G$5,2,FALSE)</f>
        <v>2509.1716796874912</v>
      </c>
      <c r="K3872">
        <f t="shared" si="240"/>
        <v>1744.16</v>
      </c>
      <c r="L3872">
        <f t="shared" si="241"/>
        <v>1744.16</v>
      </c>
      <c r="M3872">
        <f t="shared" si="242"/>
        <v>1744.16</v>
      </c>
      <c r="N3872" s="5" t="str">
        <f t="shared" si="243"/>
        <v>July 2023</v>
      </c>
    </row>
    <row r="3873" spans="1:14" x14ac:dyDescent="0.25">
      <c r="A3873" s="1">
        <v>45126</v>
      </c>
      <c r="B3873" t="s">
        <v>4753</v>
      </c>
      <c r="C3873">
        <v>38</v>
      </c>
      <c r="D3873" t="s">
        <v>9</v>
      </c>
      <c r="E3873" t="s">
        <v>19</v>
      </c>
      <c r="F3873" t="s">
        <v>16</v>
      </c>
      <c r="G3873" t="s">
        <v>12</v>
      </c>
      <c r="H3873">
        <v>784.52</v>
      </c>
      <c r="I3873" s="8" t="str" cm="1">
        <f t="array" ref="I3873">_xlfn.IFS(C3873&lt;=15,"Children and Young Adolescents", C3873&gt;64, "Seniors", TRUE, "Working Age")</f>
        <v>Working Age</v>
      </c>
      <c r="J3873" s="6">
        <f>VLOOKUP(F3873,Analysis!$F$1:$G$5,2,FALSE)</f>
        <v>2509.1716796874912</v>
      </c>
      <c r="K3873">
        <f t="shared" si="240"/>
        <v>862.97</v>
      </c>
      <c r="L3873">
        <f t="shared" si="241"/>
        <v>862.98</v>
      </c>
      <c r="M3873">
        <f t="shared" si="242"/>
        <v>862.97</v>
      </c>
      <c r="N3873" s="5" t="str">
        <f t="shared" si="243"/>
        <v>July 2023</v>
      </c>
    </row>
    <row r="3874" spans="1:14" x14ac:dyDescent="0.25">
      <c r="A3874" s="1">
        <v>45126</v>
      </c>
      <c r="B3874" t="s">
        <v>3341</v>
      </c>
      <c r="C3874">
        <v>17</v>
      </c>
      <c r="D3874" t="s">
        <v>9</v>
      </c>
      <c r="E3874" t="s">
        <v>25</v>
      </c>
      <c r="F3874" t="s">
        <v>16</v>
      </c>
      <c r="G3874" t="s">
        <v>39</v>
      </c>
      <c r="H3874">
        <v>2248.29</v>
      </c>
      <c r="I3874" s="8" t="str" cm="1">
        <f t="array" ref="I3874">_xlfn.IFS(C3874&lt;=15,"Children and Young Adolescents", C3874&gt;64, "Seniors", TRUE, "Working Age")</f>
        <v>Working Age</v>
      </c>
      <c r="J3874" s="6">
        <f>VLOOKUP(F3874,Analysis!$F$1:$G$5,2,FALSE)</f>
        <v>2509.1716796874912</v>
      </c>
      <c r="K3874">
        <f t="shared" si="240"/>
        <v>2473.11</v>
      </c>
      <c r="L3874">
        <f t="shared" si="241"/>
        <v>2473.1200000000003</v>
      </c>
      <c r="M3874">
        <f t="shared" si="242"/>
        <v>2473.12</v>
      </c>
      <c r="N3874" s="5" t="str">
        <f t="shared" si="243"/>
        <v>July 2023</v>
      </c>
    </row>
    <row r="3875" spans="1:14" x14ac:dyDescent="0.25">
      <c r="A3875" s="1">
        <v>45126</v>
      </c>
      <c r="B3875" t="s">
        <v>4645</v>
      </c>
      <c r="C3875">
        <v>69</v>
      </c>
      <c r="D3875" t="s">
        <v>9</v>
      </c>
      <c r="E3875" t="s">
        <v>32</v>
      </c>
      <c r="F3875" t="s">
        <v>29</v>
      </c>
      <c r="G3875" t="s">
        <v>36</v>
      </c>
      <c r="H3875">
        <v>1328.63</v>
      </c>
      <c r="I3875" s="8" t="str" cm="1">
        <f t="array" ref="I3875">_xlfn.IFS(C3875&lt;=15,"Children and Young Adolescents", C3875&gt;64, "Seniors", TRUE, "Working Age")</f>
        <v>Seniors</v>
      </c>
      <c r="J3875" s="6">
        <f>VLOOKUP(F3875,Analysis!$F$1:$G$5,2,FALSE)</f>
        <v>2496.7676064256989</v>
      </c>
      <c r="K3875">
        <f t="shared" si="240"/>
        <v>1461.49</v>
      </c>
      <c r="L3875">
        <f t="shared" si="241"/>
        <v>1461.5</v>
      </c>
      <c r="M3875">
        <f t="shared" si="242"/>
        <v>1461.49</v>
      </c>
      <c r="N3875" s="5" t="str">
        <f t="shared" si="243"/>
        <v>July 2023</v>
      </c>
    </row>
    <row r="3876" spans="1:14" x14ac:dyDescent="0.25">
      <c r="A3876" s="1">
        <v>45126</v>
      </c>
      <c r="B3876" t="s">
        <v>3135</v>
      </c>
      <c r="C3876">
        <v>12</v>
      </c>
      <c r="D3876" t="s">
        <v>21</v>
      </c>
      <c r="E3876" t="s">
        <v>15</v>
      </c>
      <c r="F3876" t="s">
        <v>23</v>
      </c>
      <c r="G3876" t="s">
        <v>39</v>
      </c>
      <c r="H3876">
        <v>2893.38</v>
      </c>
      <c r="I3876" s="8" t="str" cm="1">
        <f t="array" ref="I3876">_xlfn.IFS(C3876&lt;=15,"Children and Young Adolescents", C3876&gt;64, "Seniors", TRUE, "Working Age")</f>
        <v>Children and Young Adolescents</v>
      </c>
      <c r="J3876" s="6">
        <f>VLOOKUP(F3876,Analysis!$F$1:$G$5,2,FALSE)</f>
        <v>2440.2966694490838</v>
      </c>
      <c r="K3876">
        <f t="shared" si="240"/>
        <v>3182.71</v>
      </c>
      <c r="L3876">
        <f t="shared" si="241"/>
        <v>3182.7200000000003</v>
      </c>
      <c r="M3876">
        <f t="shared" si="242"/>
        <v>3182.72</v>
      </c>
      <c r="N3876" s="5" t="str">
        <f t="shared" si="243"/>
        <v>July 2023</v>
      </c>
    </row>
    <row r="3877" spans="1:14" x14ac:dyDescent="0.25">
      <c r="A3877" s="1">
        <v>45126</v>
      </c>
      <c r="B3877" t="s">
        <v>1689</v>
      </c>
      <c r="C3877">
        <v>52</v>
      </c>
      <c r="D3877" t="s">
        <v>21</v>
      </c>
      <c r="E3877" t="s">
        <v>25</v>
      </c>
      <c r="F3877" t="s">
        <v>11</v>
      </c>
      <c r="G3877" t="s">
        <v>12</v>
      </c>
      <c r="H3877">
        <v>435.89</v>
      </c>
      <c r="I3877" s="8" t="str" cm="1">
        <f t="array" ref="I3877">_xlfn.IFS(C3877&lt;=15,"Children and Young Adolescents", C3877&gt;64, "Seniors", TRUE, "Working Age")</f>
        <v>Working Age</v>
      </c>
      <c r="J3877" s="6">
        <f>VLOOKUP(F3877,Analysis!$F$1:$G$5,2,FALSE)</f>
        <v>2503.6022787783854</v>
      </c>
      <c r="K3877">
        <f t="shared" si="240"/>
        <v>479.47</v>
      </c>
      <c r="L3877">
        <f t="shared" si="241"/>
        <v>479.48</v>
      </c>
      <c r="M3877">
        <f t="shared" si="242"/>
        <v>479.48</v>
      </c>
      <c r="N3877" s="5" t="str">
        <f t="shared" si="243"/>
        <v>July 2023</v>
      </c>
    </row>
    <row r="3878" spans="1:14" x14ac:dyDescent="0.25">
      <c r="A3878" s="1">
        <v>45126</v>
      </c>
      <c r="B3878" t="s">
        <v>798</v>
      </c>
      <c r="C3878">
        <v>75</v>
      </c>
      <c r="D3878" t="s">
        <v>14</v>
      </c>
      <c r="E3878" t="s">
        <v>15</v>
      </c>
      <c r="F3878" t="s">
        <v>23</v>
      </c>
      <c r="G3878" t="s">
        <v>17</v>
      </c>
      <c r="H3878">
        <v>1746.93</v>
      </c>
      <c r="I3878" s="8" t="str" cm="1">
        <f t="array" ref="I3878">_xlfn.IFS(C3878&lt;=15,"Children and Young Adolescents", C3878&gt;64, "Seniors", TRUE, "Working Age")</f>
        <v>Seniors</v>
      </c>
      <c r="J3878" s="6">
        <f>VLOOKUP(F3878,Analysis!$F$1:$G$5,2,FALSE)</f>
        <v>2440.2966694490838</v>
      </c>
      <c r="K3878">
        <f t="shared" si="240"/>
        <v>1921.62</v>
      </c>
      <c r="L3878">
        <f t="shared" si="241"/>
        <v>1921.6299999999999</v>
      </c>
      <c r="M3878">
        <f t="shared" si="242"/>
        <v>1921.62</v>
      </c>
      <c r="N3878" s="5" t="str">
        <f t="shared" si="243"/>
        <v>July 2023</v>
      </c>
    </row>
    <row r="3879" spans="1:14" x14ac:dyDescent="0.25">
      <c r="A3879" s="1">
        <v>45126</v>
      </c>
      <c r="B3879" t="s">
        <v>1721</v>
      </c>
      <c r="C3879">
        <v>36</v>
      </c>
      <c r="D3879" t="s">
        <v>21</v>
      </c>
      <c r="E3879" t="s">
        <v>15</v>
      </c>
      <c r="F3879" t="s">
        <v>16</v>
      </c>
      <c r="G3879" t="s">
        <v>27</v>
      </c>
      <c r="H3879">
        <v>4113.7</v>
      </c>
      <c r="I3879" s="8" t="str" cm="1">
        <f t="array" ref="I3879">_xlfn.IFS(C3879&lt;=15,"Children and Young Adolescents", C3879&gt;64, "Seniors", TRUE, "Working Age")</f>
        <v>Working Age</v>
      </c>
      <c r="J3879" s="6">
        <f>VLOOKUP(F3879,Analysis!$F$1:$G$5,2,FALSE)</f>
        <v>2509.1716796874912</v>
      </c>
      <c r="K3879">
        <f t="shared" si="240"/>
        <v>4525.07</v>
      </c>
      <c r="L3879">
        <f t="shared" si="241"/>
        <v>4525.07</v>
      </c>
      <c r="M3879">
        <f t="shared" si="242"/>
        <v>4525.07</v>
      </c>
      <c r="N3879" s="5" t="str">
        <f t="shared" si="243"/>
        <v>July 2023</v>
      </c>
    </row>
    <row r="3880" spans="1:14" x14ac:dyDescent="0.25">
      <c r="A3880" s="1">
        <v>45126</v>
      </c>
      <c r="B3880" t="s">
        <v>2069</v>
      </c>
      <c r="C3880">
        <v>25</v>
      </c>
      <c r="D3880" t="s">
        <v>14</v>
      </c>
      <c r="E3880" t="s">
        <v>10</v>
      </c>
      <c r="F3880" t="s">
        <v>23</v>
      </c>
      <c r="G3880" t="s">
        <v>12</v>
      </c>
      <c r="H3880">
        <v>2059.16</v>
      </c>
      <c r="I3880" s="8" t="str" cm="1">
        <f t="array" ref="I3880">_xlfn.IFS(C3880&lt;=15,"Children and Young Adolescents", C3880&gt;64, "Seniors", TRUE, "Working Age")</f>
        <v>Working Age</v>
      </c>
      <c r="J3880" s="6">
        <f>VLOOKUP(F3880,Analysis!$F$1:$G$5,2,FALSE)</f>
        <v>2440.2966694490838</v>
      </c>
      <c r="K3880">
        <f t="shared" si="240"/>
        <v>2265.0700000000002</v>
      </c>
      <c r="L3880">
        <f t="shared" si="241"/>
        <v>2265.0800000000004</v>
      </c>
      <c r="M3880">
        <f t="shared" si="242"/>
        <v>2265.08</v>
      </c>
      <c r="N3880" s="5" t="str">
        <f t="shared" si="243"/>
        <v>July 2023</v>
      </c>
    </row>
    <row r="3881" spans="1:14" x14ac:dyDescent="0.25">
      <c r="A3881" s="1">
        <v>45126</v>
      </c>
      <c r="B3881" t="s">
        <v>174</v>
      </c>
      <c r="C3881">
        <v>34</v>
      </c>
      <c r="D3881" t="s">
        <v>14</v>
      </c>
      <c r="E3881" t="s">
        <v>25</v>
      </c>
      <c r="F3881" t="s">
        <v>23</v>
      </c>
      <c r="G3881" t="s">
        <v>27</v>
      </c>
      <c r="H3881">
        <v>3109.55</v>
      </c>
      <c r="I3881" s="8" t="str" cm="1">
        <f t="array" ref="I3881">_xlfn.IFS(C3881&lt;=15,"Children and Young Adolescents", C3881&gt;64, "Seniors", TRUE, "Working Age")</f>
        <v>Working Age</v>
      </c>
      <c r="J3881" s="6">
        <f>VLOOKUP(F3881,Analysis!$F$1:$G$5,2,FALSE)</f>
        <v>2440.2966694490838</v>
      </c>
      <c r="K3881">
        <f t="shared" si="240"/>
        <v>3420.5</v>
      </c>
      <c r="L3881">
        <f t="shared" si="241"/>
        <v>3420.51</v>
      </c>
      <c r="M3881">
        <f t="shared" si="242"/>
        <v>3420.51</v>
      </c>
      <c r="N3881" s="5" t="str">
        <f t="shared" si="243"/>
        <v>July 2023</v>
      </c>
    </row>
    <row r="3882" spans="1:14" x14ac:dyDescent="0.25">
      <c r="A3882" s="1">
        <v>45126</v>
      </c>
      <c r="B3882" t="s">
        <v>307</v>
      </c>
      <c r="C3882">
        <v>47</v>
      </c>
      <c r="D3882" t="s">
        <v>14</v>
      </c>
      <c r="E3882" t="s">
        <v>34</v>
      </c>
      <c r="F3882" t="s">
        <v>29</v>
      </c>
      <c r="G3882" t="s">
        <v>39</v>
      </c>
      <c r="H3882">
        <v>4607.72</v>
      </c>
      <c r="I3882" s="8" t="str" cm="1">
        <f t="array" ref="I3882">_xlfn.IFS(C3882&lt;=15,"Children and Young Adolescents", C3882&gt;64, "Seniors", TRUE, "Working Age")</f>
        <v>Working Age</v>
      </c>
      <c r="J3882" s="6">
        <f>VLOOKUP(F3882,Analysis!$F$1:$G$5,2,FALSE)</f>
        <v>2496.7676064256989</v>
      </c>
      <c r="K3882">
        <f t="shared" si="240"/>
        <v>5068.49</v>
      </c>
      <c r="L3882">
        <f t="shared" si="241"/>
        <v>5068.5</v>
      </c>
      <c r="M3882">
        <f t="shared" si="242"/>
        <v>5068.49</v>
      </c>
      <c r="N3882" s="5" t="str">
        <f t="shared" si="243"/>
        <v>July 2023</v>
      </c>
    </row>
    <row r="3883" spans="1:14" x14ac:dyDescent="0.25">
      <c r="A3883" s="1">
        <v>45126</v>
      </c>
      <c r="B3883" t="s">
        <v>3460</v>
      </c>
      <c r="C3883">
        <v>26</v>
      </c>
      <c r="D3883" t="s">
        <v>21</v>
      </c>
      <c r="E3883" t="s">
        <v>25</v>
      </c>
      <c r="F3883" t="s">
        <v>11</v>
      </c>
      <c r="G3883" t="s">
        <v>17</v>
      </c>
      <c r="H3883">
        <v>4755.84</v>
      </c>
      <c r="I3883" s="8" t="str" cm="1">
        <f t="array" ref="I3883">_xlfn.IFS(C3883&lt;=15,"Children and Young Adolescents", C3883&gt;64, "Seniors", TRUE, "Working Age")</f>
        <v>Working Age</v>
      </c>
      <c r="J3883" s="6">
        <f>VLOOKUP(F3883,Analysis!$F$1:$G$5,2,FALSE)</f>
        <v>2503.6022787783854</v>
      </c>
      <c r="K3883">
        <f t="shared" si="240"/>
        <v>5231.42</v>
      </c>
      <c r="L3883">
        <f t="shared" si="241"/>
        <v>5231.43</v>
      </c>
      <c r="M3883">
        <f t="shared" si="242"/>
        <v>5231.42</v>
      </c>
      <c r="N3883" s="5" t="str">
        <f t="shared" si="243"/>
        <v>July 2023</v>
      </c>
    </row>
    <row r="3884" spans="1:14" x14ac:dyDescent="0.25">
      <c r="A3884" s="1">
        <v>45127</v>
      </c>
      <c r="B3884" t="s">
        <v>2635</v>
      </c>
      <c r="C3884">
        <v>53</v>
      </c>
      <c r="D3884" t="s">
        <v>14</v>
      </c>
      <c r="E3884" t="s">
        <v>32</v>
      </c>
      <c r="F3884" t="s">
        <v>29</v>
      </c>
      <c r="G3884" t="s">
        <v>12</v>
      </c>
      <c r="H3884">
        <v>3031.89</v>
      </c>
      <c r="I3884" s="8" t="str" cm="1">
        <f t="array" ref="I3884">_xlfn.IFS(C3884&lt;=15,"Children and Young Adolescents", C3884&gt;64, "Seniors", TRUE, "Working Age")</f>
        <v>Working Age</v>
      </c>
      <c r="J3884" s="6">
        <f>VLOOKUP(F3884,Analysis!$F$1:$G$5,2,FALSE)</f>
        <v>2496.7676064256989</v>
      </c>
      <c r="K3884">
        <f t="shared" si="240"/>
        <v>3335.07</v>
      </c>
      <c r="L3884">
        <f t="shared" si="241"/>
        <v>3335.0800000000004</v>
      </c>
      <c r="M3884">
        <f t="shared" si="242"/>
        <v>3335.08</v>
      </c>
      <c r="N3884" s="5" t="str">
        <f t="shared" si="243"/>
        <v>July 2023</v>
      </c>
    </row>
    <row r="3885" spans="1:14" x14ac:dyDescent="0.25">
      <c r="A3885" s="1">
        <v>45127</v>
      </c>
      <c r="B3885" t="s">
        <v>3725</v>
      </c>
      <c r="C3885">
        <v>49</v>
      </c>
      <c r="D3885" t="s">
        <v>14</v>
      </c>
      <c r="E3885" t="s">
        <v>19</v>
      </c>
      <c r="F3885" t="s">
        <v>29</v>
      </c>
      <c r="G3885" t="s">
        <v>12</v>
      </c>
      <c r="H3885">
        <v>1060.4100000000001</v>
      </c>
      <c r="I3885" s="8" t="str" cm="1">
        <f t="array" ref="I3885">_xlfn.IFS(C3885&lt;=15,"Children and Young Adolescents", C3885&gt;64, "Seniors", TRUE, "Working Age")</f>
        <v>Working Age</v>
      </c>
      <c r="J3885" s="6">
        <f>VLOOKUP(F3885,Analysis!$F$1:$G$5,2,FALSE)</f>
        <v>2496.7676064256989</v>
      </c>
      <c r="K3885">
        <f t="shared" si="240"/>
        <v>1166.45</v>
      </c>
      <c r="L3885">
        <f t="shared" si="241"/>
        <v>1166.46</v>
      </c>
      <c r="M3885">
        <f t="shared" si="242"/>
        <v>1166.45</v>
      </c>
      <c r="N3885" s="5" t="str">
        <f t="shared" si="243"/>
        <v>July 2023</v>
      </c>
    </row>
    <row r="3886" spans="1:14" x14ac:dyDescent="0.25">
      <c r="A3886" s="1">
        <v>45127</v>
      </c>
      <c r="B3886" t="s">
        <v>1803</v>
      </c>
      <c r="C3886">
        <v>52</v>
      </c>
      <c r="D3886" t="s">
        <v>21</v>
      </c>
      <c r="E3886" t="s">
        <v>10</v>
      </c>
      <c r="F3886" t="s">
        <v>16</v>
      </c>
      <c r="G3886" t="s">
        <v>39</v>
      </c>
      <c r="H3886">
        <v>2393.21</v>
      </c>
      <c r="I3886" s="8" t="str" cm="1">
        <f t="array" ref="I3886">_xlfn.IFS(C3886&lt;=15,"Children and Young Adolescents", C3886&gt;64, "Seniors", TRUE, "Working Age")</f>
        <v>Working Age</v>
      </c>
      <c r="J3886" s="6">
        <f>VLOOKUP(F3886,Analysis!$F$1:$G$5,2,FALSE)</f>
        <v>2509.1716796874912</v>
      </c>
      <c r="K3886">
        <f t="shared" si="240"/>
        <v>2632.53</v>
      </c>
      <c r="L3886">
        <f t="shared" si="241"/>
        <v>2632.5400000000004</v>
      </c>
      <c r="M3886">
        <f t="shared" si="242"/>
        <v>2632.53</v>
      </c>
      <c r="N3886" s="5" t="str">
        <f t="shared" si="243"/>
        <v>July 2023</v>
      </c>
    </row>
    <row r="3887" spans="1:14" x14ac:dyDescent="0.25">
      <c r="A3887" s="1">
        <v>45128</v>
      </c>
      <c r="B3887" t="s">
        <v>4991</v>
      </c>
      <c r="C3887">
        <v>52</v>
      </c>
      <c r="D3887" t="s">
        <v>14</v>
      </c>
      <c r="E3887" t="s">
        <v>5032</v>
      </c>
      <c r="F3887" t="s">
        <v>16</v>
      </c>
      <c r="G3887" t="s">
        <v>17</v>
      </c>
      <c r="H3887">
        <v>3023.65</v>
      </c>
      <c r="I3887" s="8" t="str" cm="1">
        <f t="array" ref="I3887">_xlfn.IFS(C3887&lt;=15,"Children and Young Adolescents", C3887&gt;64, "Seniors", TRUE, "Working Age")</f>
        <v>Working Age</v>
      </c>
      <c r="J3887" s="6">
        <f>VLOOKUP(F3887,Analysis!$F$1:$G$5,2,FALSE)</f>
        <v>2509.1716796874912</v>
      </c>
      <c r="K3887">
        <f t="shared" si="240"/>
        <v>3326.01</v>
      </c>
      <c r="L3887">
        <f t="shared" si="241"/>
        <v>3326.0200000000004</v>
      </c>
      <c r="M3887">
        <f t="shared" si="242"/>
        <v>3326.02</v>
      </c>
      <c r="N3887" s="5" t="str">
        <f t="shared" si="243"/>
        <v>July 2023</v>
      </c>
    </row>
    <row r="3888" spans="1:14" x14ac:dyDescent="0.25">
      <c r="A3888" s="1">
        <v>45128</v>
      </c>
      <c r="B3888" t="s">
        <v>247</v>
      </c>
      <c r="C3888">
        <v>94</v>
      </c>
      <c r="D3888" t="s">
        <v>14</v>
      </c>
      <c r="E3888" t="s">
        <v>10</v>
      </c>
      <c r="F3888" t="s">
        <v>29</v>
      </c>
      <c r="G3888" t="s">
        <v>39</v>
      </c>
      <c r="H3888">
        <v>449.1</v>
      </c>
      <c r="I3888" s="8" t="str" cm="1">
        <f t="array" ref="I3888">_xlfn.IFS(C3888&lt;=15,"Children and Young Adolescents", C3888&gt;64, "Seniors", TRUE, "Working Age")</f>
        <v>Seniors</v>
      </c>
      <c r="J3888" s="6">
        <f>VLOOKUP(F3888,Analysis!$F$1:$G$5,2,FALSE)</f>
        <v>2496.7676064256989</v>
      </c>
      <c r="K3888">
        <f t="shared" si="240"/>
        <v>494.01</v>
      </c>
      <c r="L3888">
        <f t="shared" si="241"/>
        <v>494.01</v>
      </c>
      <c r="M3888">
        <f t="shared" si="242"/>
        <v>494.01</v>
      </c>
      <c r="N3888" s="5" t="str">
        <f t="shared" si="243"/>
        <v>July 2023</v>
      </c>
    </row>
    <row r="3889" spans="1:14" x14ac:dyDescent="0.25">
      <c r="A3889" s="1">
        <v>45128</v>
      </c>
      <c r="B3889" t="s">
        <v>3578</v>
      </c>
      <c r="C3889">
        <v>19</v>
      </c>
      <c r="D3889" t="s">
        <v>21</v>
      </c>
      <c r="E3889" t="s">
        <v>15</v>
      </c>
      <c r="F3889" t="s">
        <v>11</v>
      </c>
      <c r="G3889" t="s">
        <v>17</v>
      </c>
      <c r="H3889">
        <v>909.7</v>
      </c>
      <c r="I3889" s="8" t="str" cm="1">
        <f t="array" ref="I3889">_xlfn.IFS(C3889&lt;=15,"Children and Young Adolescents", C3889&gt;64, "Seniors", TRUE, "Working Age")</f>
        <v>Working Age</v>
      </c>
      <c r="J3889" s="6">
        <f>VLOOKUP(F3889,Analysis!$F$1:$G$5,2,FALSE)</f>
        <v>2503.6022787783854</v>
      </c>
      <c r="K3889">
        <f t="shared" si="240"/>
        <v>1000.67</v>
      </c>
      <c r="L3889">
        <f t="shared" si="241"/>
        <v>1000.67</v>
      </c>
      <c r="M3889">
        <f t="shared" si="242"/>
        <v>1000.67</v>
      </c>
      <c r="N3889" s="5" t="str">
        <f t="shared" si="243"/>
        <v>July 2023</v>
      </c>
    </row>
    <row r="3890" spans="1:14" x14ac:dyDescent="0.25">
      <c r="A3890" s="1">
        <v>45128</v>
      </c>
      <c r="B3890" t="s">
        <v>4017</v>
      </c>
      <c r="C3890">
        <v>44</v>
      </c>
      <c r="D3890" t="s">
        <v>9</v>
      </c>
      <c r="E3890" t="s">
        <v>34</v>
      </c>
      <c r="F3890" t="s">
        <v>11</v>
      </c>
      <c r="G3890" t="s">
        <v>12</v>
      </c>
      <c r="H3890">
        <v>425.37</v>
      </c>
      <c r="I3890" s="8" t="str" cm="1">
        <f t="array" ref="I3890">_xlfn.IFS(C3890&lt;=15,"Children and Young Adolescents", C3890&gt;64, "Seniors", TRUE, "Working Age")</f>
        <v>Working Age</v>
      </c>
      <c r="J3890" s="6">
        <f>VLOOKUP(F3890,Analysis!$F$1:$G$5,2,FALSE)</f>
        <v>2503.6022787783854</v>
      </c>
      <c r="K3890">
        <f t="shared" si="240"/>
        <v>467.9</v>
      </c>
      <c r="L3890">
        <f t="shared" si="241"/>
        <v>467.90999999999997</v>
      </c>
      <c r="M3890">
        <f t="shared" si="242"/>
        <v>467.91</v>
      </c>
      <c r="N3890" s="5" t="str">
        <f t="shared" si="243"/>
        <v>July 2023</v>
      </c>
    </row>
    <row r="3891" spans="1:14" x14ac:dyDescent="0.25">
      <c r="A3891" s="1">
        <v>45128</v>
      </c>
      <c r="B3891" t="s">
        <v>562</v>
      </c>
      <c r="C3891">
        <v>78</v>
      </c>
      <c r="D3891" t="s">
        <v>9</v>
      </c>
      <c r="E3891" t="s">
        <v>19</v>
      </c>
      <c r="F3891" t="s">
        <v>16</v>
      </c>
      <c r="G3891" t="s">
        <v>12</v>
      </c>
      <c r="H3891">
        <v>1893.61</v>
      </c>
      <c r="I3891" s="8" t="str" cm="1">
        <f t="array" ref="I3891">_xlfn.IFS(C3891&lt;=15,"Children and Young Adolescents", C3891&gt;64, "Seniors", TRUE, "Working Age")</f>
        <v>Seniors</v>
      </c>
      <c r="J3891" s="6">
        <f>VLOOKUP(F3891,Analysis!$F$1:$G$5,2,FALSE)</f>
        <v>2509.1716796874912</v>
      </c>
      <c r="K3891">
        <f t="shared" si="240"/>
        <v>2082.9699999999998</v>
      </c>
      <c r="L3891">
        <f t="shared" si="241"/>
        <v>2082.98</v>
      </c>
      <c r="M3891">
        <f t="shared" si="242"/>
        <v>2082.9699999999998</v>
      </c>
      <c r="N3891" s="5" t="str">
        <f t="shared" si="243"/>
        <v>July 2023</v>
      </c>
    </row>
    <row r="3892" spans="1:14" x14ac:dyDescent="0.25">
      <c r="A3892" s="1">
        <v>45128</v>
      </c>
      <c r="B3892" t="s">
        <v>2582</v>
      </c>
      <c r="C3892">
        <v>77</v>
      </c>
      <c r="D3892" t="s">
        <v>14</v>
      </c>
      <c r="E3892" t="s">
        <v>34</v>
      </c>
      <c r="F3892" t="s">
        <v>11</v>
      </c>
      <c r="G3892" t="s">
        <v>36</v>
      </c>
      <c r="H3892">
        <v>697.52</v>
      </c>
      <c r="I3892" s="8" t="str" cm="1">
        <f t="array" ref="I3892">_xlfn.IFS(C3892&lt;=15,"Children and Young Adolescents", C3892&gt;64, "Seniors", TRUE, "Working Age")</f>
        <v>Seniors</v>
      </c>
      <c r="J3892" s="6">
        <f>VLOOKUP(F3892,Analysis!$F$1:$G$5,2,FALSE)</f>
        <v>2503.6022787783854</v>
      </c>
      <c r="K3892">
        <f t="shared" si="240"/>
        <v>767.27</v>
      </c>
      <c r="L3892">
        <f t="shared" si="241"/>
        <v>767.28</v>
      </c>
      <c r="M3892">
        <f t="shared" si="242"/>
        <v>767.27</v>
      </c>
      <c r="N3892" s="5" t="str">
        <f t="shared" si="243"/>
        <v>July 2023</v>
      </c>
    </row>
    <row r="3893" spans="1:14" x14ac:dyDescent="0.25">
      <c r="A3893" s="1">
        <v>45129</v>
      </c>
      <c r="B3893" t="s">
        <v>3017</v>
      </c>
      <c r="C3893">
        <v>99</v>
      </c>
      <c r="D3893" t="s">
        <v>21</v>
      </c>
      <c r="E3893" t="s">
        <v>10</v>
      </c>
      <c r="F3893" t="s">
        <v>16</v>
      </c>
      <c r="G3893" t="s">
        <v>17</v>
      </c>
      <c r="H3893">
        <v>2880.71</v>
      </c>
      <c r="I3893" s="8" t="str" cm="1">
        <f t="array" ref="I3893">_xlfn.IFS(C3893&lt;=15,"Children and Young Adolescents", C3893&gt;64, "Seniors", TRUE, "Working Age")</f>
        <v>Seniors</v>
      </c>
      <c r="J3893" s="6">
        <f>VLOOKUP(F3893,Analysis!$F$1:$G$5,2,FALSE)</f>
        <v>2509.1716796874912</v>
      </c>
      <c r="K3893">
        <f t="shared" si="240"/>
        <v>3168.78</v>
      </c>
      <c r="L3893">
        <f t="shared" si="241"/>
        <v>3168.7900000000004</v>
      </c>
      <c r="M3893">
        <f t="shared" si="242"/>
        <v>3168.78</v>
      </c>
      <c r="N3893" s="5" t="str">
        <f t="shared" si="243"/>
        <v>July 2023</v>
      </c>
    </row>
    <row r="3894" spans="1:14" x14ac:dyDescent="0.25">
      <c r="A3894" s="1">
        <v>45129</v>
      </c>
      <c r="B3894" t="s">
        <v>2921</v>
      </c>
      <c r="C3894">
        <v>26</v>
      </c>
      <c r="D3894" t="s">
        <v>9</v>
      </c>
      <c r="E3894" t="s">
        <v>25</v>
      </c>
      <c r="F3894" t="s">
        <v>16</v>
      </c>
      <c r="G3894" t="s">
        <v>27</v>
      </c>
      <c r="H3894">
        <v>2756.05</v>
      </c>
      <c r="I3894" s="8" t="str" cm="1">
        <f t="array" ref="I3894">_xlfn.IFS(C3894&lt;=15,"Children and Young Adolescents", C3894&gt;64, "Seniors", TRUE, "Working Age")</f>
        <v>Working Age</v>
      </c>
      <c r="J3894" s="6">
        <f>VLOOKUP(F3894,Analysis!$F$1:$G$5,2,FALSE)</f>
        <v>2509.1716796874912</v>
      </c>
      <c r="K3894">
        <f t="shared" si="240"/>
        <v>3031.65</v>
      </c>
      <c r="L3894">
        <f t="shared" si="241"/>
        <v>3031.6600000000003</v>
      </c>
      <c r="M3894">
        <f t="shared" si="242"/>
        <v>3031.66</v>
      </c>
      <c r="N3894" s="5" t="str">
        <f t="shared" si="243"/>
        <v>July 2023</v>
      </c>
    </row>
    <row r="3895" spans="1:14" x14ac:dyDescent="0.25">
      <c r="A3895" s="1">
        <v>45129</v>
      </c>
      <c r="B3895" t="s">
        <v>539</v>
      </c>
      <c r="C3895">
        <v>38</v>
      </c>
      <c r="D3895" t="s">
        <v>9</v>
      </c>
      <c r="E3895" t="s">
        <v>32</v>
      </c>
      <c r="F3895" t="s">
        <v>23</v>
      </c>
      <c r="G3895" t="s">
        <v>39</v>
      </c>
      <c r="H3895">
        <v>426.53</v>
      </c>
      <c r="I3895" s="8" t="str" cm="1">
        <f t="array" ref="I3895">_xlfn.IFS(C3895&lt;=15,"Children and Young Adolescents", C3895&gt;64, "Seniors", TRUE, "Working Age")</f>
        <v>Working Age</v>
      </c>
      <c r="J3895" s="6">
        <f>VLOOKUP(F3895,Analysis!$F$1:$G$5,2,FALSE)</f>
        <v>2440.2966694490838</v>
      </c>
      <c r="K3895">
        <f t="shared" si="240"/>
        <v>469.18</v>
      </c>
      <c r="L3895">
        <f t="shared" si="241"/>
        <v>469.19</v>
      </c>
      <c r="M3895">
        <f t="shared" si="242"/>
        <v>469.18</v>
      </c>
      <c r="N3895" s="5" t="str">
        <f t="shared" si="243"/>
        <v>July 2023</v>
      </c>
    </row>
    <row r="3896" spans="1:14" x14ac:dyDescent="0.25">
      <c r="A3896" s="1">
        <v>45129</v>
      </c>
      <c r="B3896" t="s">
        <v>3603</v>
      </c>
      <c r="C3896">
        <v>18</v>
      </c>
      <c r="D3896" t="s">
        <v>14</v>
      </c>
      <c r="E3896" t="s">
        <v>15</v>
      </c>
      <c r="F3896" t="s">
        <v>11</v>
      </c>
      <c r="G3896" t="s">
        <v>12</v>
      </c>
      <c r="H3896">
        <v>1055.8399999999999</v>
      </c>
      <c r="I3896" s="8" t="str" cm="1">
        <f t="array" ref="I3896">_xlfn.IFS(C3896&lt;=15,"Children and Young Adolescents", C3896&gt;64, "Seniors", TRUE, "Working Age")</f>
        <v>Working Age</v>
      </c>
      <c r="J3896" s="6">
        <f>VLOOKUP(F3896,Analysis!$F$1:$G$5,2,FALSE)</f>
        <v>2503.6022787783854</v>
      </c>
      <c r="K3896">
        <f t="shared" si="240"/>
        <v>1161.42</v>
      </c>
      <c r="L3896">
        <f t="shared" si="241"/>
        <v>1161.43</v>
      </c>
      <c r="M3896">
        <f t="shared" si="242"/>
        <v>1161.42</v>
      </c>
      <c r="N3896" s="5" t="str">
        <f t="shared" si="243"/>
        <v>July 2023</v>
      </c>
    </row>
    <row r="3897" spans="1:14" x14ac:dyDescent="0.25">
      <c r="A3897" s="1">
        <v>45129</v>
      </c>
      <c r="B3897" t="s">
        <v>2191</v>
      </c>
      <c r="C3897">
        <v>2</v>
      </c>
      <c r="D3897" t="s">
        <v>14</v>
      </c>
      <c r="E3897" t="s">
        <v>32</v>
      </c>
      <c r="F3897" t="s">
        <v>16</v>
      </c>
      <c r="G3897" t="s">
        <v>27</v>
      </c>
      <c r="H3897">
        <v>4195.72</v>
      </c>
      <c r="I3897" s="8" t="str" cm="1">
        <f t="array" ref="I3897">_xlfn.IFS(C3897&lt;=15,"Children and Young Adolescents", C3897&gt;64, "Seniors", TRUE, "Working Age")</f>
        <v>Children and Young Adolescents</v>
      </c>
      <c r="J3897" s="6">
        <f>VLOOKUP(F3897,Analysis!$F$1:$G$5,2,FALSE)</f>
        <v>2509.1716796874912</v>
      </c>
      <c r="K3897">
        <f t="shared" si="240"/>
        <v>4615.29</v>
      </c>
      <c r="L3897">
        <f t="shared" si="241"/>
        <v>4615.3</v>
      </c>
      <c r="M3897">
        <f t="shared" si="242"/>
        <v>4615.29</v>
      </c>
      <c r="N3897" s="5" t="str">
        <f t="shared" si="243"/>
        <v>July 2023</v>
      </c>
    </row>
    <row r="3898" spans="1:14" x14ac:dyDescent="0.25">
      <c r="A3898" s="1">
        <v>45129</v>
      </c>
      <c r="B3898" t="s">
        <v>1776</v>
      </c>
      <c r="C3898">
        <v>63</v>
      </c>
      <c r="D3898" t="s">
        <v>21</v>
      </c>
      <c r="E3898" t="s">
        <v>25</v>
      </c>
      <c r="F3898" t="s">
        <v>23</v>
      </c>
      <c r="G3898" t="s">
        <v>17</v>
      </c>
      <c r="H3898">
        <v>4233.1000000000004</v>
      </c>
      <c r="I3898" s="8" t="str" cm="1">
        <f t="array" ref="I3898">_xlfn.IFS(C3898&lt;=15,"Children and Young Adolescents", C3898&gt;64, "Seniors", TRUE, "Working Age")</f>
        <v>Working Age</v>
      </c>
      <c r="J3898" s="6">
        <f>VLOOKUP(F3898,Analysis!$F$1:$G$5,2,FALSE)</f>
        <v>2440.2966694490838</v>
      </c>
      <c r="K3898">
        <f t="shared" si="240"/>
        <v>4656.41</v>
      </c>
      <c r="L3898">
        <f t="shared" si="241"/>
        <v>4656.41</v>
      </c>
      <c r="M3898">
        <f t="shared" si="242"/>
        <v>4656.41</v>
      </c>
      <c r="N3898" s="5" t="str">
        <f t="shared" si="243"/>
        <v>July 2023</v>
      </c>
    </row>
    <row r="3899" spans="1:14" x14ac:dyDescent="0.25">
      <c r="A3899" s="1">
        <v>45129</v>
      </c>
      <c r="B3899" t="s">
        <v>2137</v>
      </c>
      <c r="C3899">
        <v>56</v>
      </c>
      <c r="D3899" t="s">
        <v>14</v>
      </c>
      <c r="E3899" t="s">
        <v>22</v>
      </c>
      <c r="F3899" t="s">
        <v>23</v>
      </c>
      <c r="G3899" t="s">
        <v>12</v>
      </c>
      <c r="H3899">
        <v>3546.38</v>
      </c>
      <c r="I3899" s="8" t="str" cm="1">
        <f t="array" ref="I3899">_xlfn.IFS(C3899&lt;=15,"Children and Young Adolescents", C3899&gt;64, "Seniors", TRUE, "Working Age")</f>
        <v>Working Age</v>
      </c>
      <c r="J3899" s="6">
        <f>VLOOKUP(F3899,Analysis!$F$1:$G$5,2,FALSE)</f>
        <v>2440.2966694490838</v>
      </c>
      <c r="K3899">
        <f t="shared" si="240"/>
        <v>3901.01</v>
      </c>
      <c r="L3899">
        <f t="shared" si="241"/>
        <v>3901.0200000000004</v>
      </c>
      <c r="M3899">
        <f t="shared" si="242"/>
        <v>3901.02</v>
      </c>
      <c r="N3899" s="5" t="str">
        <f t="shared" si="243"/>
        <v>July 2023</v>
      </c>
    </row>
    <row r="3900" spans="1:14" x14ac:dyDescent="0.25">
      <c r="A3900" s="1">
        <v>45129</v>
      </c>
      <c r="B3900" t="s">
        <v>2658</v>
      </c>
      <c r="C3900">
        <v>53</v>
      </c>
      <c r="D3900" t="s">
        <v>9</v>
      </c>
      <c r="E3900" t="s">
        <v>19</v>
      </c>
      <c r="F3900" t="s">
        <v>11</v>
      </c>
      <c r="G3900" t="s">
        <v>12</v>
      </c>
      <c r="H3900">
        <v>3205.52</v>
      </c>
      <c r="I3900" s="8" t="str" cm="1">
        <f t="array" ref="I3900">_xlfn.IFS(C3900&lt;=15,"Children and Young Adolescents", C3900&gt;64, "Seniors", TRUE, "Working Age")</f>
        <v>Working Age</v>
      </c>
      <c r="J3900" s="6">
        <f>VLOOKUP(F3900,Analysis!$F$1:$G$5,2,FALSE)</f>
        <v>2503.6022787783854</v>
      </c>
      <c r="K3900">
        <f t="shared" si="240"/>
        <v>3526.07</v>
      </c>
      <c r="L3900">
        <f t="shared" si="241"/>
        <v>3526.0800000000004</v>
      </c>
      <c r="M3900">
        <f t="shared" si="242"/>
        <v>3526.07</v>
      </c>
      <c r="N3900" s="5" t="str">
        <f t="shared" si="243"/>
        <v>July 2023</v>
      </c>
    </row>
    <row r="3901" spans="1:14" x14ac:dyDescent="0.25">
      <c r="A3901" s="1">
        <v>45129</v>
      </c>
      <c r="B3901" t="s">
        <v>1976</v>
      </c>
      <c r="C3901">
        <v>57</v>
      </c>
      <c r="D3901" t="s">
        <v>14</v>
      </c>
      <c r="E3901" t="s">
        <v>25</v>
      </c>
      <c r="F3901" t="s">
        <v>23</v>
      </c>
      <c r="G3901" t="s">
        <v>27</v>
      </c>
      <c r="H3901">
        <v>3054.42</v>
      </c>
      <c r="I3901" s="8" t="str" cm="1">
        <f t="array" ref="I3901">_xlfn.IFS(C3901&lt;=15,"Children and Young Adolescents", C3901&gt;64, "Seniors", TRUE, "Working Age")</f>
        <v>Working Age</v>
      </c>
      <c r="J3901" s="6">
        <f>VLOOKUP(F3901,Analysis!$F$1:$G$5,2,FALSE)</f>
        <v>2440.2966694490838</v>
      </c>
      <c r="K3901">
        <f t="shared" si="240"/>
        <v>3359.86</v>
      </c>
      <c r="L3901">
        <f t="shared" si="241"/>
        <v>3359.8700000000003</v>
      </c>
      <c r="M3901">
        <f t="shared" si="242"/>
        <v>3359.86</v>
      </c>
      <c r="N3901" s="5" t="str">
        <f t="shared" si="243"/>
        <v>July 2023</v>
      </c>
    </row>
    <row r="3902" spans="1:14" x14ac:dyDescent="0.25">
      <c r="A3902" s="1">
        <v>45129</v>
      </c>
      <c r="B3902" t="s">
        <v>113</v>
      </c>
      <c r="C3902">
        <v>59</v>
      </c>
      <c r="D3902" t="s">
        <v>9</v>
      </c>
      <c r="E3902" t="s">
        <v>25</v>
      </c>
      <c r="F3902" t="s">
        <v>11</v>
      </c>
      <c r="G3902" t="s">
        <v>27</v>
      </c>
      <c r="H3902">
        <v>625.19000000000005</v>
      </c>
      <c r="I3902" s="8" t="str" cm="1">
        <f t="array" ref="I3902">_xlfn.IFS(C3902&lt;=15,"Children and Young Adolescents", C3902&gt;64, "Seniors", TRUE, "Working Age")</f>
        <v>Working Age</v>
      </c>
      <c r="J3902" s="6">
        <f>VLOOKUP(F3902,Analysis!$F$1:$G$5,2,FALSE)</f>
        <v>2503.6022787783854</v>
      </c>
      <c r="K3902">
        <f t="shared" si="240"/>
        <v>687.7</v>
      </c>
      <c r="L3902">
        <f t="shared" si="241"/>
        <v>687.71</v>
      </c>
      <c r="M3902">
        <f t="shared" si="242"/>
        <v>687.71</v>
      </c>
      <c r="N3902" s="5" t="str">
        <f t="shared" si="243"/>
        <v>July 2023</v>
      </c>
    </row>
    <row r="3903" spans="1:14" x14ac:dyDescent="0.25">
      <c r="A3903" s="1">
        <v>45129</v>
      </c>
      <c r="B3903" t="s">
        <v>1949</v>
      </c>
      <c r="C3903">
        <v>34</v>
      </c>
      <c r="D3903" t="s">
        <v>14</v>
      </c>
      <c r="E3903" t="s">
        <v>32</v>
      </c>
      <c r="F3903" t="s">
        <v>11</v>
      </c>
      <c r="G3903" t="s">
        <v>12</v>
      </c>
      <c r="H3903">
        <v>3592.63</v>
      </c>
      <c r="I3903" s="8" t="str" cm="1">
        <f t="array" ref="I3903">_xlfn.IFS(C3903&lt;=15,"Children and Young Adolescents", C3903&gt;64, "Seniors", TRUE, "Working Age")</f>
        <v>Working Age</v>
      </c>
      <c r="J3903" s="6">
        <f>VLOOKUP(F3903,Analysis!$F$1:$G$5,2,FALSE)</f>
        <v>2503.6022787783854</v>
      </c>
      <c r="K3903">
        <f t="shared" si="240"/>
        <v>3951.89</v>
      </c>
      <c r="L3903">
        <f t="shared" si="241"/>
        <v>3951.9</v>
      </c>
      <c r="M3903">
        <f t="shared" si="242"/>
        <v>3951.89</v>
      </c>
      <c r="N3903" s="5" t="str">
        <f t="shared" si="243"/>
        <v>July 2023</v>
      </c>
    </row>
    <row r="3904" spans="1:14" x14ac:dyDescent="0.25">
      <c r="A3904" s="1">
        <v>45130</v>
      </c>
      <c r="B3904" t="s">
        <v>680</v>
      </c>
      <c r="C3904">
        <v>16</v>
      </c>
      <c r="D3904" t="s">
        <v>9</v>
      </c>
      <c r="E3904" t="s">
        <v>25</v>
      </c>
      <c r="F3904" t="s">
        <v>23</v>
      </c>
      <c r="G3904" t="s">
        <v>27</v>
      </c>
      <c r="H3904">
        <v>4362.32</v>
      </c>
      <c r="I3904" s="8" t="str" cm="1">
        <f t="array" ref="I3904">_xlfn.IFS(C3904&lt;=15,"Children and Young Adolescents", C3904&gt;64, "Seniors", TRUE, "Working Age")</f>
        <v>Working Age</v>
      </c>
      <c r="J3904" s="6">
        <f>VLOOKUP(F3904,Analysis!$F$1:$G$5,2,FALSE)</f>
        <v>2440.2966694490838</v>
      </c>
      <c r="K3904">
        <f t="shared" si="240"/>
        <v>4798.55</v>
      </c>
      <c r="L3904">
        <f t="shared" si="241"/>
        <v>4798.5600000000004</v>
      </c>
      <c r="M3904">
        <f t="shared" si="242"/>
        <v>4798.55</v>
      </c>
      <c r="N3904" s="5" t="str">
        <f t="shared" si="243"/>
        <v>July 2023</v>
      </c>
    </row>
    <row r="3905" spans="1:14" x14ac:dyDescent="0.25">
      <c r="A3905" s="1">
        <v>45130</v>
      </c>
      <c r="B3905" t="s">
        <v>3950</v>
      </c>
      <c r="C3905">
        <v>66</v>
      </c>
      <c r="D3905" t="s">
        <v>21</v>
      </c>
      <c r="E3905" t="s">
        <v>10</v>
      </c>
      <c r="F3905" t="s">
        <v>23</v>
      </c>
      <c r="G3905" t="s">
        <v>17</v>
      </c>
      <c r="H3905">
        <v>1372.42</v>
      </c>
      <c r="I3905" s="8" t="str" cm="1">
        <f t="array" ref="I3905">_xlfn.IFS(C3905&lt;=15,"Children and Young Adolescents", C3905&gt;64, "Seniors", TRUE, "Working Age")</f>
        <v>Seniors</v>
      </c>
      <c r="J3905" s="6">
        <f>VLOOKUP(F3905,Analysis!$F$1:$G$5,2,FALSE)</f>
        <v>2440.2966694490838</v>
      </c>
      <c r="K3905">
        <f t="shared" si="240"/>
        <v>1509.66</v>
      </c>
      <c r="L3905">
        <f t="shared" si="241"/>
        <v>1509.67</v>
      </c>
      <c r="M3905">
        <f t="shared" si="242"/>
        <v>1509.66</v>
      </c>
      <c r="N3905" s="5" t="str">
        <f t="shared" si="243"/>
        <v>July 2023</v>
      </c>
    </row>
    <row r="3906" spans="1:14" x14ac:dyDescent="0.25">
      <c r="A3906" s="1">
        <v>45130</v>
      </c>
      <c r="B3906" t="s">
        <v>2595</v>
      </c>
      <c r="C3906">
        <v>10</v>
      </c>
      <c r="D3906" t="s">
        <v>14</v>
      </c>
      <c r="E3906" t="s">
        <v>34</v>
      </c>
      <c r="F3906" t="s">
        <v>11</v>
      </c>
      <c r="G3906" t="s">
        <v>12</v>
      </c>
      <c r="H3906">
        <v>3473.56</v>
      </c>
      <c r="I3906" s="8" t="str" cm="1">
        <f t="array" ref="I3906">_xlfn.IFS(C3906&lt;=15,"Children and Young Adolescents", C3906&gt;64, "Seniors", TRUE, "Working Age")</f>
        <v>Children and Young Adolescents</v>
      </c>
      <c r="J3906" s="6">
        <f>VLOOKUP(F3906,Analysis!$F$1:$G$5,2,FALSE)</f>
        <v>2503.6022787783854</v>
      </c>
      <c r="K3906">
        <f t="shared" si="240"/>
        <v>3820.91</v>
      </c>
      <c r="L3906">
        <f t="shared" si="241"/>
        <v>3820.92</v>
      </c>
      <c r="M3906">
        <f t="shared" si="242"/>
        <v>3820.92</v>
      </c>
      <c r="N3906" s="5" t="str">
        <f t="shared" si="243"/>
        <v>July 2023</v>
      </c>
    </row>
    <row r="3907" spans="1:14" x14ac:dyDescent="0.25">
      <c r="A3907" s="1">
        <v>45131</v>
      </c>
      <c r="B3907" t="s">
        <v>144</v>
      </c>
      <c r="C3907">
        <v>36</v>
      </c>
      <c r="D3907" t="s">
        <v>9</v>
      </c>
      <c r="E3907" t="s">
        <v>15</v>
      </c>
      <c r="F3907" t="s">
        <v>11</v>
      </c>
      <c r="G3907" t="s">
        <v>12</v>
      </c>
      <c r="H3907">
        <v>2476.2600000000002</v>
      </c>
      <c r="I3907" s="8" t="str" cm="1">
        <f t="array" ref="I3907">_xlfn.IFS(C3907&lt;=15,"Children and Young Adolescents", C3907&gt;64, "Seniors", TRUE, "Working Age")</f>
        <v>Working Age</v>
      </c>
      <c r="J3907" s="6">
        <f>VLOOKUP(F3907,Analysis!$F$1:$G$5,2,FALSE)</f>
        <v>2503.6022787783854</v>
      </c>
      <c r="K3907">
        <f t="shared" ref="K3907:K3970" si="244">ROUNDDOWN(H3907*1.1,2)</f>
        <v>2723.88</v>
      </c>
      <c r="L3907">
        <f t="shared" ref="L3907:L3970" si="245">ROUNDUP(H3907*1.1,2)</f>
        <v>2723.8900000000003</v>
      </c>
      <c r="M3907">
        <f t="shared" ref="M3907:M3970" si="246">ROUND(H3907*1.1,2)</f>
        <v>2723.89</v>
      </c>
      <c r="N3907" s="5" t="str">
        <f t="shared" ref="N3907:N3970" si="247">TEXT(A3907,"mmmm yyyy")</f>
        <v>July 2023</v>
      </c>
    </row>
    <row r="3908" spans="1:14" x14ac:dyDescent="0.25">
      <c r="A3908" s="1">
        <v>45131</v>
      </c>
      <c r="B3908" t="s">
        <v>4592</v>
      </c>
      <c r="C3908">
        <v>15</v>
      </c>
      <c r="D3908" t="s">
        <v>14</v>
      </c>
      <c r="E3908" t="s">
        <v>10</v>
      </c>
      <c r="F3908" t="s">
        <v>23</v>
      </c>
      <c r="G3908" t="s">
        <v>27</v>
      </c>
      <c r="H3908">
        <v>3239.47</v>
      </c>
      <c r="I3908" s="8" t="str" cm="1">
        <f t="array" ref="I3908">_xlfn.IFS(C3908&lt;=15,"Children and Young Adolescents", C3908&gt;64, "Seniors", TRUE, "Working Age")</f>
        <v>Children and Young Adolescents</v>
      </c>
      <c r="J3908" s="6">
        <f>VLOOKUP(F3908,Analysis!$F$1:$G$5,2,FALSE)</f>
        <v>2440.2966694490838</v>
      </c>
      <c r="K3908">
        <f t="shared" si="244"/>
        <v>3563.41</v>
      </c>
      <c r="L3908">
        <f t="shared" si="245"/>
        <v>3563.42</v>
      </c>
      <c r="M3908">
        <f t="shared" si="246"/>
        <v>3563.42</v>
      </c>
      <c r="N3908" s="5" t="str">
        <f t="shared" si="247"/>
        <v>July 2023</v>
      </c>
    </row>
    <row r="3909" spans="1:14" x14ac:dyDescent="0.25">
      <c r="A3909" s="1">
        <v>45131</v>
      </c>
      <c r="B3909" t="s">
        <v>720</v>
      </c>
      <c r="C3909">
        <v>57</v>
      </c>
      <c r="D3909" t="s">
        <v>14</v>
      </c>
      <c r="E3909" t="s">
        <v>32</v>
      </c>
      <c r="F3909" t="s">
        <v>23</v>
      </c>
      <c r="G3909" t="s">
        <v>17</v>
      </c>
      <c r="H3909">
        <v>1728.5</v>
      </c>
      <c r="I3909" s="8" t="str" cm="1">
        <f t="array" ref="I3909">_xlfn.IFS(C3909&lt;=15,"Children and Young Adolescents", C3909&gt;64, "Seniors", TRUE, "Working Age")</f>
        <v>Working Age</v>
      </c>
      <c r="J3909" s="6">
        <f>VLOOKUP(F3909,Analysis!$F$1:$G$5,2,FALSE)</f>
        <v>2440.2966694490838</v>
      </c>
      <c r="K3909">
        <f t="shared" si="244"/>
        <v>1901.35</v>
      </c>
      <c r="L3909">
        <f t="shared" si="245"/>
        <v>1901.35</v>
      </c>
      <c r="M3909">
        <f t="shared" si="246"/>
        <v>1901.35</v>
      </c>
      <c r="N3909" s="5" t="str">
        <f t="shared" si="247"/>
        <v>July 2023</v>
      </c>
    </row>
    <row r="3910" spans="1:14" x14ac:dyDescent="0.25">
      <c r="A3910" s="1">
        <v>45131</v>
      </c>
      <c r="B3910" t="s">
        <v>4759</v>
      </c>
      <c r="C3910">
        <v>0</v>
      </c>
      <c r="D3910" t="s">
        <v>9</v>
      </c>
      <c r="E3910" t="s">
        <v>22</v>
      </c>
      <c r="F3910" t="s">
        <v>29</v>
      </c>
      <c r="G3910" t="s">
        <v>39</v>
      </c>
      <c r="H3910">
        <v>2140.91</v>
      </c>
      <c r="I3910" s="8" t="str" cm="1">
        <f t="array" ref="I3910">_xlfn.IFS(C3910&lt;=15,"Children and Young Adolescents", C3910&gt;64, "Seniors", TRUE, "Working Age")</f>
        <v>Children and Young Adolescents</v>
      </c>
      <c r="J3910" s="6">
        <f>VLOOKUP(F3910,Analysis!$F$1:$G$5,2,FALSE)</f>
        <v>2496.7676064256989</v>
      </c>
      <c r="K3910">
        <f t="shared" si="244"/>
        <v>2355</v>
      </c>
      <c r="L3910">
        <f t="shared" si="245"/>
        <v>2355.0100000000002</v>
      </c>
      <c r="M3910">
        <f t="shared" si="246"/>
        <v>2355</v>
      </c>
      <c r="N3910" s="5" t="str">
        <f t="shared" si="247"/>
        <v>July 2023</v>
      </c>
    </row>
    <row r="3911" spans="1:14" x14ac:dyDescent="0.25">
      <c r="A3911" s="1">
        <v>45131</v>
      </c>
      <c r="B3911" t="s">
        <v>801</v>
      </c>
      <c r="C3911">
        <v>90</v>
      </c>
      <c r="D3911" t="s">
        <v>9</v>
      </c>
      <c r="E3911" t="s">
        <v>34</v>
      </c>
      <c r="F3911" t="s">
        <v>23</v>
      </c>
      <c r="G3911" t="s">
        <v>36</v>
      </c>
      <c r="H3911">
        <v>718.77</v>
      </c>
      <c r="I3911" s="8" t="str" cm="1">
        <f t="array" ref="I3911">_xlfn.IFS(C3911&lt;=15,"Children and Young Adolescents", C3911&gt;64, "Seniors", TRUE, "Working Age")</f>
        <v>Seniors</v>
      </c>
      <c r="J3911" s="6">
        <f>VLOOKUP(F3911,Analysis!$F$1:$G$5,2,FALSE)</f>
        <v>2440.2966694490838</v>
      </c>
      <c r="K3911">
        <f t="shared" si="244"/>
        <v>790.64</v>
      </c>
      <c r="L3911">
        <f t="shared" si="245"/>
        <v>790.65</v>
      </c>
      <c r="M3911">
        <f t="shared" si="246"/>
        <v>790.65</v>
      </c>
      <c r="N3911" s="5" t="str">
        <f t="shared" si="247"/>
        <v>July 2023</v>
      </c>
    </row>
    <row r="3912" spans="1:14" x14ac:dyDescent="0.25">
      <c r="A3912" s="1">
        <v>45132</v>
      </c>
      <c r="B3912" t="s">
        <v>1520</v>
      </c>
      <c r="C3912">
        <v>4</v>
      </c>
      <c r="D3912" t="s">
        <v>21</v>
      </c>
      <c r="E3912" t="s">
        <v>32</v>
      </c>
      <c r="F3912" t="s">
        <v>11</v>
      </c>
      <c r="G3912" t="s">
        <v>36</v>
      </c>
      <c r="H3912">
        <v>2563.06</v>
      </c>
      <c r="I3912" s="8" t="str" cm="1">
        <f t="array" ref="I3912">_xlfn.IFS(C3912&lt;=15,"Children and Young Adolescents", C3912&gt;64, "Seniors", TRUE, "Working Age")</f>
        <v>Children and Young Adolescents</v>
      </c>
      <c r="J3912" s="6">
        <f>VLOOKUP(F3912,Analysis!$F$1:$G$5,2,FALSE)</f>
        <v>2503.6022787783854</v>
      </c>
      <c r="K3912">
        <f t="shared" si="244"/>
        <v>2819.36</v>
      </c>
      <c r="L3912">
        <f t="shared" si="245"/>
        <v>2819.3700000000003</v>
      </c>
      <c r="M3912">
        <f t="shared" si="246"/>
        <v>2819.37</v>
      </c>
      <c r="N3912" s="5" t="str">
        <f t="shared" si="247"/>
        <v>July 2023</v>
      </c>
    </row>
    <row r="3913" spans="1:14" x14ac:dyDescent="0.25">
      <c r="A3913" s="1">
        <v>45132</v>
      </c>
      <c r="B3913" t="s">
        <v>4503</v>
      </c>
      <c r="C3913">
        <v>45</v>
      </c>
      <c r="D3913" t="s">
        <v>9</v>
      </c>
      <c r="E3913" t="s">
        <v>32</v>
      </c>
      <c r="F3913" t="s">
        <v>29</v>
      </c>
      <c r="G3913" t="s">
        <v>39</v>
      </c>
      <c r="H3913">
        <v>1699.57</v>
      </c>
      <c r="I3913" s="8" t="str" cm="1">
        <f t="array" ref="I3913">_xlfn.IFS(C3913&lt;=15,"Children and Young Adolescents", C3913&gt;64, "Seniors", TRUE, "Working Age")</f>
        <v>Working Age</v>
      </c>
      <c r="J3913" s="6">
        <f>VLOOKUP(F3913,Analysis!$F$1:$G$5,2,FALSE)</f>
        <v>2496.7676064256989</v>
      </c>
      <c r="K3913">
        <f t="shared" si="244"/>
        <v>1869.52</v>
      </c>
      <c r="L3913">
        <f t="shared" si="245"/>
        <v>1869.53</v>
      </c>
      <c r="M3913">
        <f t="shared" si="246"/>
        <v>1869.53</v>
      </c>
      <c r="N3913" s="5" t="str">
        <f t="shared" si="247"/>
        <v>July 2023</v>
      </c>
    </row>
    <row r="3914" spans="1:14" x14ac:dyDescent="0.25">
      <c r="A3914" s="1">
        <v>45132</v>
      </c>
      <c r="B3914" t="s">
        <v>54</v>
      </c>
      <c r="C3914">
        <v>53</v>
      </c>
      <c r="D3914" t="s">
        <v>14</v>
      </c>
      <c r="E3914" t="s">
        <v>10</v>
      </c>
      <c r="F3914" t="s">
        <v>29</v>
      </c>
      <c r="G3914" t="s">
        <v>27</v>
      </c>
      <c r="H3914">
        <v>4149.75</v>
      </c>
      <c r="I3914" s="8" t="str" cm="1">
        <f t="array" ref="I3914">_xlfn.IFS(C3914&lt;=15,"Children and Young Adolescents", C3914&gt;64, "Seniors", TRUE, "Working Age")</f>
        <v>Working Age</v>
      </c>
      <c r="J3914" s="6">
        <f>VLOOKUP(F3914,Analysis!$F$1:$G$5,2,FALSE)</f>
        <v>2496.7676064256989</v>
      </c>
      <c r="K3914">
        <f t="shared" si="244"/>
        <v>4564.72</v>
      </c>
      <c r="L3914">
        <f t="shared" si="245"/>
        <v>4564.7300000000005</v>
      </c>
      <c r="M3914">
        <f t="shared" si="246"/>
        <v>4564.7299999999996</v>
      </c>
      <c r="N3914" s="5" t="str">
        <f t="shared" si="247"/>
        <v>July 2023</v>
      </c>
    </row>
    <row r="3915" spans="1:14" x14ac:dyDescent="0.25">
      <c r="A3915" s="1">
        <v>45132</v>
      </c>
      <c r="B3915" t="s">
        <v>1766</v>
      </c>
      <c r="C3915">
        <v>76</v>
      </c>
      <c r="D3915" t="s">
        <v>9</v>
      </c>
      <c r="E3915" t="s">
        <v>5032</v>
      </c>
      <c r="F3915" t="s">
        <v>29</v>
      </c>
      <c r="G3915" t="s">
        <v>27</v>
      </c>
      <c r="H3915">
        <v>3858.04</v>
      </c>
      <c r="I3915" s="8" t="str" cm="1">
        <f t="array" ref="I3915">_xlfn.IFS(C3915&lt;=15,"Children and Young Adolescents", C3915&gt;64, "Seniors", TRUE, "Working Age")</f>
        <v>Seniors</v>
      </c>
      <c r="J3915" s="6">
        <f>VLOOKUP(F3915,Analysis!$F$1:$G$5,2,FALSE)</f>
        <v>2496.7676064256989</v>
      </c>
      <c r="K3915">
        <f t="shared" si="244"/>
        <v>4243.84</v>
      </c>
      <c r="L3915">
        <f t="shared" si="245"/>
        <v>4243.8500000000004</v>
      </c>
      <c r="M3915">
        <f t="shared" si="246"/>
        <v>4243.84</v>
      </c>
      <c r="N3915" s="5" t="str">
        <f t="shared" si="247"/>
        <v>July 2023</v>
      </c>
    </row>
    <row r="3916" spans="1:14" x14ac:dyDescent="0.25">
      <c r="A3916" s="1">
        <v>45133</v>
      </c>
      <c r="B3916" t="s">
        <v>4187</v>
      </c>
      <c r="C3916">
        <v>85</v>
      </c>
      <c r="D3916" t="s">
        <v>9</v>
      </c>
      <c r="E3916" t="s">
        <v>34</v>
      </c>
      <c r="F3916" t="s">
        <v>11</v>
      </c>
      <c r="G3916" t="s">
        <v>39</v>
      </c>
      <c r="H3916">
        <v>2348.84</v>
      </c>
      <c r="I3916" s="8" t="str" cm="1">
        <f t="array" ref="I3916">_xlfn.IFS(C3916&lt;=15,"Children and Young Adolescents", C3916&gt;64, "Seniors", TRUE, "Working Age")</f>
        <v>Seniors</v>
      </c>
      <c r="J3916" s="6">
        <f>VLOOKUP(F3916,Analysis!$F$1:$G$5,2,FALSE)</f>
        <v>2503.6022787783854</v>
      </c>
      <c r="K3916">
        <f t="shared" si="244"/>
        <v>2583.7199999999998</v>
      </c>
      <c r="L3916">
        <f t="shared" si="245"/>
        <v>2583.73</v>
      </c>
      <c r="M3916">
        <f t="shared" si="246"/>
        <v>2583.7199999999998</v>
      </c>
      <c r="N3916" s="5" t="str">
        <f t="shared" si="247"/>
        <v>July 2023</v>
      </c>
    </row>
    <row r="3917" spans="1:14" x14ac:dyDescent="0.25">
      <c r="A3917" s="1">
        <v>45133</v>
      </c>
      <c r="B3917" t="s">
        <v>4039</v>
      </c>
      <c r="C3917">
        <v>12</v>
      </c>
      <c r="D3917" t="s">
        <v>21</v>
      </c>
      <c r="E3917" t="s">
        <v>5032</v>
      </c>
      <c r="F3917" t="s">
        <v>11</v>
      </c>
      <c r="G3917" t="s">
        <v>36</v>
      </c>
      <c r="H3917">
        <v>3578.24</v>
      </c>
      <c r="I3917" s="8" t="str" cm="1">
        <f t="array" ref="I3917">_xlfn.IFS(C3917&lt;=15,"Children and Young Adolescents", C3917&gt;64, "Seniors", TRUE, "Working Age")</f>
        <v>Children and Young Adolescents</v>
      </c>
      <c r="J3917" s="6">
        <f>VLOOKUP(F3917,Analysis!$F$1:$G$5,2,FALSE)</f>
        <v>2503.6022787783854</v>
      </c>
      <c r="K3917">
        <f t="shared" si="244"/>
        <v>3936.06</v>
      </c>
      <c r="L3917">
        <f t="shared" si="245"/>
        <v>3936.07</v>
      </c>
      <c r="M3917">
        <f t="shared" si="246"/>
        <v>3936.06</v>
      </c>
      <c r="N3917" s="5" t="str">
        <f t="shared" si="247"/>
        <v>July 2023</v>
      </c>
    </row>
    <row r="3918" spans="1:14" x14ac:dyDescent="0.25">
      <c r="A3918" s="1">
        <v>45133</v>
      </c>
      <c r="B3918" t="s">
        <v>3477</v>
      </c>
      <c r="C3918">
        <v>88</v>
      </c>
      <c r="D3918" t="s">
        <v>21</v>
      </c>
      <c r="E3918" t="s">
        <v>25</v>
      </c>
      <c r="F3918" t="s">
        <v>23</v>
      </c>
      <c r="G3918" t="s">
        <v>17</v>
      </c>
      <c r="H3918">
        <v>963.96</v>
      </c>
      <c r="I3918" s="8" t="str" cm="1">
        <f t="array" ref="I3918">_xlfn.IFS(C3918&lt;=15,"Children and Young Adolescents", C3918&gt;64, "Seniors", TRUE, "Working Age")</f>
        <v>Seniors</v>
      </c>
      <c r="J3918" s="6">
        <f>VLOOKUP(F3918,Analysis!$F$1:$G$5,2,FALSE)</f>
        <v>2440.2966694490838</v>
      </c>
      <c r="K3918">
        <f t="shared" si="244"/>
        <v>1060.3499999999999</v>
      </c>
      <c r="L3918">
        <f t="shared" si="245"/>
        <v>1060.3599999999999</v>
      </c>
      <c r="M3918">
        <f t="shared" si="246"/>
        <v>1060.3599999999999</v>
      </c>
      <c r="N3918" s="5" t="str">
        <f t="shared" si="247"/>
        <v>July 2023</v>
      </c>
    </row>
    <row r="3919" spans="1:14" x14ac:dyDescent="0.25">
      <c r="A3919" s="1">
        <v>45133</v>
      </c>
      <c r="B3919" t="s">
        <v>486</v>
      </c>
      <c r="C3919">
        <v>55</v>
      </c>
      <c r="D3919" t="s">
        <v>21</v>
      </c>
      <c r="E3919" t="s">
        <v>10</v>
      </c>
      <c r="F3919" t="s">
        <v>23</v>
      </c>
      <c r="G3919" t="s">
        <v>12</v>
      </c>
      <c r="H3919">
        <v>3670.86</v>
      </c>
      <c r="I3919" s="8" t="str" cm="1">
        <f t="array" ref="I3919">_xlfn.IFS(C3919&lt;=15,"Children and Young Adolescents", C3919&gt;64, "Seniors", TRUE, "Working Age")</f>
        <v>Working Age</v>
      </c>
      <c r="J3919" s="6">
        <f>VLOOKUP(F3919,Analysis!$F$1:$G$5,2,FALSE)</f>
        <v>2440.2966694490838</v>
      </c>
      <c r="K3919">
        <f t="shared" si="244"/>
        <v>4037.94</v>
      </c>
      <c r="L3919">
        <f t="shared" si="245"/>
        <v>4037.9500000000003</v>
      </c>
      <c r="M3919">
        <f t="shared" si="246"/>
        <v>4037.95</v>
      </c>
      <c r="N3919" s="5" t="str">
        <f t="shared" si="247"/>
        <v>July 2023</v>
      </c>
    </row>
    <row r="3920" spans="1:14" x14ac:dyDescent="0.25">
      <c r="A3920" s="1">
        <v>45133</v>
      </c>
      <c r="B3920" t="s">
        <v>1940</v>
      </c>
      <c r="C3920">
        <v>80</v>
      </c>
      <c r="D3920" t="s">
        <v>21</v>
      </c>
      <c r="E3920" t="s">
        <v>19</v>
      </c>
      <c r="F3920" t="s">
        <v>11</v>
      </c>
      <c r="G3920" t="s">
        <v>17</v>
      </c>
      <c r="H3920">
        <v>4246.42</v>
      </c>
      <c r="I3920" s="8" t="str" cm="1">
        <f t="array" ref="I3920">_xlfn.IFS(C3920&lt;=15,"Children and Young Adolescents", C3920&gt;64, "Seniors", TRUE, "Working Age")</f>
        <v>Seniors</v>
      </c>
      <c r="J3920" s="6">
        <f>VLOOKUP(F3920,Analysis!$F$1:$G$5,2,FALSE)</f>
        <v>2503.6022787783854</v>
      </c>
      <c r="K3920">
        <f t="shared" si="244"/>
        <v>4671.0600000000004</v>
      </c>
      <c r="L3920">
        <f t="shared" si="245"/>
        <v>4671.0700000000006</v>
      </c>
      <c r="M3920">
        <f t="shared" si="246"/>
        <v>4671.0600000000004</v>
      </c>
      <c r="N3920" s="5" t="str">
        <f t="shared" si="247"/>
        <v>July 2023</v>
      </c>
    </row>
    <row r="3921" spans="1:14" x14ac:dyDescent="0.25">
      <c r="A3921" s="1">
        <v>45133</v>
      </c>
      <c r="B3921" t="s">
        <v>4030</v>
      </c>
      <c r="C3921">
        <v>30</v>
      </c>
      <c r="D3921" t="s">
        <v>21</v>
      </c>
      <c r="E3921" t="s">
        <v>10</v>
      </c>
      <c r="F3921" t="s">
        <v>11</v>
      </c>
      <c r="G3921" t="s">
        <v>27</v>
      </c>
      <c r="H3921">
        <v>1314.77</v>
      </c>
      <c r="I3921" s="8" t="str" cm="1">
        <f t="array" ref="I3921">_xlfn.IFS(C3921&lt;=15,"Children and Young Adolescents", C3921&gt;64, "Seniors", TRUE, "Working Age")</f>
        <v>Working Age</v>
      </c>
      <c r="J3921" s="6">
        <f>VLOOKUP(F3921,Analysis!$F$1:$G$5,2,FALSE)</f>
        <v>2503.6022787783854</v>
      </c>
      <c r="K3921">
        <f t="shared" si="244"/>
        <v>1446.24</v>
      </c>
      <c r="L3921">
        <f t="shared" si="245"/>
        <v>1446.25</v>
      </c>
      <c r="M3921">
        <f t="shared" si="246"/>
        <v>1446.25</v>
      </c>
      <c r="N3921" s="5" t="str">
        <f t="shared" si="247"/>
        <v>July 2023</v>
      </c>
    </row>
    <row r="3922" spans="1:14" x14ac:dyDescent="0.25">
      <c r="A3922" s="1">
        <v>45133</v>
      </c>
      <c r="B3922" t="s">
        <v>3819</v>
      </c>
      <c r="C3922">
        <v>77</v>
      </c>
      <c r="D3922" t="s">
        <v>21</v>
      </c>
      <c r="E3922" t="s">
        <v>22</v>
      </c>
      <c r="F3922" t="s">
        <v>16</v>
      </c>
      <c r="G3922" t="s">
        <v>17</v>
      </c>
      <c r="H3922">
        <v>4855.3500000000004</v>
      </c>
      <c r="I3922" s="8" t="str" cm="1">
        <f t="array" ref="I3922">_xlfn.IFS(C3922&lt;=15,"Children and Young Adolescents", C3922&gt;64, "Seniors", TRUE, "Working Age")</f>
        <v>Seniors</v>
      </c>
      <c r="J3922" s="6">
        <f>VLOOKUP(F3922,Analysis!$F$1:$G$5,2,FALSE)</f>
        <v>2509.1716796874912</v>
      </c>
      <c r="K3922">
        <f t="shared" si="244"/>
        <v>5340.88</v>
      </c>
      <c r="L3922">
        <f t="shared" si="245"/>
        <v>5340.89</v>
      </c>
      <c r="M3922">
        <f t="shared" si="246"/>
        <v>5340.89</v>
      </c>
      <c r="N3922" s="5" t="str">
        <f t="shared" si="247"/>
        <v>July 2023</v>
      </c>
    </row>
    <row r="3923" spans="1:14" x14ac:dyDescent="0.25">
      <c r="A3923" s="1">
        <v>45134</v>
      </c>
      <c r="B3923" t="s">
        <v>2495</v>
      </c>
      <c r="C3923">
        <v>79</v>
      </c>
      <c r="D3923" t="s">
        <v>14</v>
      </c>
      <c r="E3923" t="s">
        <v>19</v>
      </c>
      <c r="F3923" t="s">
        <v>16</v>
      </c>
      <c r="G3923" t="s">
        <v>17</v>
      </c>
      <c r="H3923">
        <v>4937.0200000000004</v>
      </c>
      <c r="I3923" s="8" t="str" cm="1">
        <f t="array" ref="I3923">_xlfn.IFS(C3923&lt;=15,"Children and Young Adolescents", C3923&gt;64, "Seniors", TRUE, "Working Age")</f>
        <v>Seniors</v>
      </c>
      <c r="J3923" s="6">
        <f>VLOOKUP(F3923,Analysis!$F$1:$G$5,2,FALSE)</f>
        <v>2509.1716796874912</v>
      </c>
      <c r="K3923">
        <f t="shared" si="244"/>
        <v>5430.72</v>
      </c>
      <c r="L3923">
        <f t="shared" si="245"/>
        <v>5430.7300000000005</v>
      </c>
      <c r="M3923">
        <f t="shared" si="246"/>
        <v>5430.72</v>
      </c>
      <c r="N3923" s="5" t="str">
        <f t="shared" si="247"/>
        <v>July 2023</v>
      </c>
    </row>
    <row r="3924" spans="1:14" x14ac:dyDescent="0.25">
      <c r="A3924" s="1">
        <v>45134</v>
      </c>
      <c r="B3924" t="s">
        <v>4168</v>
      </c>
      <c r="C3924">
        <v>65</v>
      </c>
      <c r="D3924" t="s">
        <v>21</v>
      </c>
      <c r="E3924" t="s">
        <v>22</v>
      </c>
      <c r="F3924" t="s">
        <v>16</v>
      </c>
      <c r="G3924" t="s">
        <v>12</v>
      </c>
      <c r="H3924">
        <v>3909.73</v>
      </c>
      <c r="I3924" s="8" t="str" cm="1">
        <f t="array" ref="I3924">_xlfn.IFS(C3924&lt;=15,"Children and Young Adolescents", C3924&gt;64, "Seniors", TRUE, "Working Age")</f>
        <v>Seniors</v>
      </c>
      <c r="J3924" s="6">
        <f>VLOOKUP(F3924,Analysis!$F$1:$G$5,2,FALSE)</f>
        <v>2509.1716796874912</v>
      </c>
      <c r="K3924">
        <f t="shared" si="244"/>
        <v>4300.7</v>
      </c>
      <c r="L3924">
        <f t="shared" si="245"/>
        <v>4300.71</v>
      </c>
      <c r="M3924">
        <f t="shared" si="246"/>
        <v>4300.7</v>
      </c>
      <c r="N3924" s="5" t="str">
        <f t="shared" si="247"/>
        <v>July 2023</v>
      </c>
    </row>
    <row r="3925" spans="1:14" x14ac:dyDescent="0.25">
      <c r="A3925" s="1">
        <v>45134</v>
      </c>
      <c r="B3925" t="s">
        <v>1611</v>
      </c>
      <c r="C3925">
        <v>81</v>
      </c>
      <c r="D3925" t="s">
        <v>14</v>
      </c>
      <c r="E3925" t="s">
        <v>22</v>
      </c>
      <c r="F3925" t="s">
        <v>11</v>
      </c>
      <c r="G3925" t="s">
        <v>39</v>
      </c>
      <c r="H3925">
        <v>314.95</v>
      </c>
      <c r="I3925" s="8" t="str" cm="1">
        <f t="array" ref="I3925">_xlfn.IFS(C3925&lt;=15,"Children and Young Adolescents", C3925&gt;64, "Seniors", TRUE, "Working Age")</f>
        <v>Seniors</v>
      </c>
      <c r="J3925" s="6">
        <f>VLOOKUP(F3925,Analysis!$F$1:$G$5,2,FALSE)</f>
        <v>2503.6022787783854</v>
      </c>
      <c r="K3925">
        <f t="shared" si="244"/>
        <v>346.44</v>
      </c>
      <c r="L3925">
        <f t="shared" si="245"/>
        <v>346.45</v>
      </c>
      <c r="M3925">
        <f t="shared" si="246"/>
        <v>346.45</v>
      </c>
      <c r="N3925" s="5" t="str">
        <f t="shared" si="247"/>
        <v>July 2023</v>
      </c>
    </row>
    <row r="3926" spans="1:14" x14ac:dyDescent="0.25">
      <c r="A3926" s="1">
        <v>45134</v>
      </c>
      <c r="B3926" t="s">
        <v>671</v>
      </c>
      <c r="C3926">
        <v>69</v>
      </c>
      <c r="D3926" t="s">
        <v>21</v>
      </c>
      <c r="E3926" t="s">
        <v>32</v>
      </c>
      <c r="F3926" t="s">
        <v>29</v>
      </c>
      <c r="G3926" t="s">
        <v>39</v>
      </c>
      <c r="H3926">
        <v>4388.88</v>
      </c>
      <c r="I3926" s="8" t="str" cm="1">
        <f t="array" ref="I3926">_xlfn.IFS(C3926&lt;=15,"Children and Young Adolescents", C3926&gt;64, "Seniors", TRUE, "Working Age")</f>
        <v>Seniors</v>
      </c>
      <c r="J3926" s="6">
        <f>VLOOKUP(F3926,Analysis!$F$1:$G$5,2,FALSE)</f>
        <v>2496.7676064256989</v>
      </c>
      <c r="K3926">
        <f t="shared" si="244"/>
        <v>4827.76</v>
      </c>
      <c r="L3926">
        <f t="shared" si="245"/>
        <v>4827.7700000000004</v>
      </c>
      <c r="M3926">
        <f t="shared" si="246"/>
        <v>4827.7700000000004</v>
      </c>
      <c r="N3926" s="5" t="str">
        <f t="shared" si="247"/>
        <v>July 2023</v>
      </c>
    </row>
    <row r="3927" spans="1:14" x14ac:dyDescent="0.25">
      <c r="A3927" s="1">
        <v>45135</v>
      </c>
      <c r="B3927" t="s">
        <v>1536</v>
      </c>
      <c r="C3927">
        <v>92</v>
      </c>
      <c r="D3927" t="s">
        <v>14</v>
      </c>
      <c r="E3927" t="s">
        <v>25</v>
      </c>
      <c r="F3927" t="s">
        <v>23</v>
      </c>
      <c r="G3927" t="s">
        <v>27</v>
      </c>
      <c r="H3927">
        <v>183.58</v>
      </c>
      <c r="I3927" s="8" t="str" cm="1">
        <f t="array" ref="I3927">_xlfn.IFS(C3927&lt;=15,"Children and Young Adolescents", C3927&gt;64, "Seniors", TRUE, "Working Age")</f>
        <v>Seniors</v>
      </c>
      <c r="J3927" s="6">
        <f>VLOOKUP(F3927,Analysis!$F$1:$G$5,2,FALSE)</f>
        <v>2440.2966694490838</v>
      </c>
      <c r="K3927">
        <f t="shared" si="244"/>
        <v>201.93</v>
      </c>
      <c r="L3927">
        <f t="shared" si="245"/>
        <v>201.94</v>
      </c>
      <c r="M3927">
        <f t="shared" si="246"/>
        <v>201.94</v>
      </c>
      <c r="N3927" s="5" t="str">
        <f t="shared" si="247"/>
        <v>July 2023</v>
      </c>
    </row>
    <row r="3928" spans="1:14" x14ac:dyDescent="0.25">
      <c r="A3928" s="1">
        <v>45135</v>
      </c>
      <c r="B3928" t="s">
        <v>2041</v>
      </c>
      <c r="C3928">
        <v>73</v>
      </c>
      <c r="D3928" t="s">
        <v>14</v>
      </c>
      <c r="E3928" t="s">
        <v>25</v>
      </c>
      <c r="F3928" t="s">
        <v>29</v>
      </c>
      <c r="G3928" t="s">
        <v>39</v>
      </c>
      <c r="H3928">
        <v>622.21</v>
      </c>
      <c r="I3928" s="8" t="str" cm="1">
        <f t="array" ref="I3928">_xlfn.IFS(C3928&lt;=15,"Children and Young Adolescents", C3928&gt;64, "Seniors", TRUE, "Working Age")</f>
        <v>Seniors</v>
      </c>
      <c r="J3928" s="6">
        <f>VLOOKUP(F3928,Analysis!$F$1:$G$5,2,FALSE)</f>
        <v>2496.7676064256989</v>
      </c>
      <c r="K3928">
        <f t="shared" si="244"/>
        <v>684.43</v>
      </c>
      <c r="L3928">
        <f t="shared" si="245"/>
        <v>684.43999999999994</v>
      </c>
      <c r="M3928">
        <f t="shared" si="246"/>
        <v>684.43</v>
      </c>
      <c r="N3928" s="5" t="str">
        <f t="shared" si="247"/>
        <v>July 2023</v>
      </c>
    </row>
    <row r="3929" spans="1:14" x14ac:dyDescent="0.25">
      <c r="A3929" s="1">
        <v>45135</v>
      </c>
      <c r="B3929" t="s">
        <v>3971</v>
      </c>
      <c r="C3929">
        <v>43</v>
      </c>
      <c r="D3929" t="s">
        <v>14</v>
      </c>
      <c r="E3929" t="s">
        <v>25</v>
      </c>
      <c r="F3929" t="s">
        <v>11</v>
      </c>
      <c r="G3929" t="s">
        <v>36</v>
      </c>
      <c r="H3929">
        <v>160.88999999999999</v>
      </c>
      <c r="I3929" s="8" t="str" cm="1">
        <f t="array" ref="I3929">_xlfn.IFS(C3929&lt;=15,"Children and Young Adolescents", C3929&gt;64, "Seniors", TRUE, "Working Age")</f>
        <v>Working Age</v>
      </c>
      <c r="J3929" s="6">
        <f>VLOOKUP(F3929,Analysis!$F$1:$G$5,2,FALSE)</f>
        <v>2503.6022787783854</v>
      </c>
      <c r="K3929">
        <f t="shared" si="244"/>
        <v>176.97</v>
      </c>
      <c r="L3929">
        <f t="shared" si="245"/>
        <v>176.98</v>
      </c>
      <c r="M3929">
        <f t="shared" si="246"/>
        <v>176.98</v>
      </c>
      <c r="N3929" s="5" t="str">
        <f t="shared" si="247"/>
        <v>July 2023</v>
      </c>
    </row>
    <row r="3930" spans="1:14" x14ac:dyDescent="0.25">
      <c r="A3930" s="1">
        <v>45135</v>
      </c>
      <c r="B3930" t="s">
        <v>953</v>
      </c>
      <c r="C3930">
        <v>7</v>
      </c>
      <c r="D3930" t="s">
        <v>9</v>
      </c>
      <c r="E3930" t="s">
        <v>5032</v>
      </c>
      <c r="F3930" t="s">
        <v>29</v>
      </c>
      <c r="G3930" t="s">
        <v>5033</v>
      </c>
      <c r="H3930">
        <v>1865.92</v>
      </c>
      <c r="I3930" s="8" t="str" cm="1">
        <f t="array" ref="I3930">_xlfn.IFS(C3930&lt;=15,"Children and Young Adolescents", C3930&gt;64, "Seniors", TRUE, "Working Age")</f>
        <v>Children and Young Adolescents</v>
      </c>
      <c r="J3930" s="6">
        <f>VLOOKUP(F3930,Analysis!$F$1:$G$5,2,FALSE)</f>
        <v>2496.7676064256989</v>
      </c>
      <c r="K3930">
        <f t="shared" si="244"/>
        <v>2052.5100000000002</v>
      </c>
      <c r="L3930">
        <f t="shared" si="245"/>
        <v>2052.5200000000004</v>
      </c>
      <c r="M3930">
        <f t="shared" si="246"/>
        <v>2052.5100000000002</v>
      </c>
      <c r="N3930" s="5" t="str">
        <f t="shared" si="247"/>
        <v>July 2023</v>
      </c>
    </row>
    <row r="3931" spans="1:14" x14ac:dyDescent="0.25">
      <c r="A3931" s="1">
        <v>45135</v>
      </c>
      <c r="B3931" t="s">
        <v>4188</v>
      </c>
      <c r="C3931">
        <v>11</v>
      </c>
      <c r="D3931" t="s">
        <v>14</v>
      </c>
      <c r="E3931" t="s">
        <v>5032</v>
      </c>
      <c r="F3931" t="s">
        <v>16</v>
      </c>
      <c r="G3931" t="s">
        <v>12</v>
      </c>
      <c r="H3931">
        <v>4945.3599999999997</v>
      </c>
      <c r="I3931" s="8" t="str" cm="1">
        <f t="array" ref="I3931">_xlfn.IFS(C3931&lt;=15,"Children and Young Adolescents", C3931&gt;64, "Seniors", TRUE, "Working Age")</f>
        <v>Children and Young Adolescents</v>
      </c>
      <c r="J3931" s="6">
        <f>VLOOKUP(F3931,Analysis!$F$1:$G$5,2,FALSE)</f>
        <v>2509.1716796874912</v>
      </c>
      <c r="K3931">
        <f t="shared" si="244"/>
        <v>5439.89</v>
      </c>
      <c r="L3931">
        <f t="shared" si="245"/>
        <v>5439.9000000000005</v>
      </c>
      <c r="M3931">
        <f t="shared" si="246"/>
        <v>5439.9</v>
      </c>
      <c r="N3931" s="5" t="str">
        <f t="shared" si="247"/>
        <v>July 2023</v>
      </c>
    </row>
    <row r="3932" spans="1:14" x14ac:dyDescent="0.25">
      <c r="A3932" s="1">
        <v>45135</v>
      </c>
      <c r="B3932" t="s">
        <v>4465</v>
      </c>
      <c r="C3932">
        <v>98</v>
      </c>
      <c r="D3932" t="s">
        <v>14</v>
      </c>
      <c r="E3932" t="s">
        <v>19</v>
      </c>
      <c r="F3932" t="s">
        <v>29</v>
      </c>
      <c r="G3932" t="s">
        <v>27</v>
      </c>
      <c r="H3932">
        <v>2635.79</v>
      </c>
      <c r="I3932" s="8" t="str" cm="1">
        <f t="array" ref="I3932">_xlfn.IFS(C3932&lt;=15,"Children and Young Adolescents", C3932&gt;64, "Seniors", TRUE, "Working Age")</f>
        <v>Seniors</v>
      </c>
      <c r="J3932" s="6">
        <f>VLOOKUP(F3932,Analysis!$F$1:$G$5,2,FALSE)</f>
        <v>2496.7676064256989</v>
      </c>
      <c r="K3932">
        <f t="shared" si="244"/>
        <v>2899.36</v>
      </c>
      <c r="L3932">
        <f t="shared" si="245"/>
        <v>2899.3700000000003</v>
      </c>
      <c r="M3932">
        <f t="shared" si="246"/>
        <v>2899.37</v>
      </c>
      <c r="N3932" s="5" t="str">
        <f t="shared" si="247"/>
        <v>July 2023</v>
      </c>
    </row>
    <row r="3933" spans="1:14" x14ac:dyDescent="0.25">
      <c r="A3933" s="1">
        <v>45135</v>
      </c>
      <c r="B3933" t="s">
        <v>3112</v>
      </c>
      <c r="C3933">
        <v>84</v>
      </c>
      <c r="D3933" t="s">
        <v>14</v>
      </c>
      <c r="E3933" t="s">
        <v>15</v>
      </c>
      <c r="F3933" t="s">
        <v>23</v>
      </c>
      <c r="G3933" t="s">
        <v>17</v>
      </c>
      <c r="H3933">
        <v>1846.66</v>
      </c>
      <c r="I3933" s="8" t="str" cm="1">
        <f t="array" ref="I3933">_xlfn.IFS(C3933&lt;=15,"Children and Young Adolescents", C3933&gt;64, "Seniors", TRUE, "Working Age")</f>
        <v>Seniors</v>
      </c>
      <c r="J3933" s="6">
        <f>VLOOKUP(F3933,Analysis!$F$1:$G$5,2,FALSE)</f>
        <v>2440.2966694490838</v>
      </c>
      <c r="K3933">
        <f t="shared" si="244"/>
        <v>2031.32</v>
      </c>
      <c r="L3933">
        <f t="shared" si="245"/>
        <v>2031.33</v>
      </c>
      <c r="M3933">
        <f t="shared" si="246"/>
        <v>2031.33</v>
      </c>
      <c r="N3933" s="5" t="str">
        <f t="shared" si="247"/>
        <v>July 2023</v>
      </c>
    </row>
    <row r="3934" spans="1:14" x14ac:dyDescent="0.25">
      <c r="A3934" s="1">
        <v>45136</v>
      </c>
      <c r="B3934" t="s">
        <v>1173</v>
      </c>
      <c r="C3934">
        <v>63</v>
      </c>
      <c r="D3934" t="s">
        <v>21</v>
      </c>
      <c r="E3934" t="s">
        <v>10</v>
      </c>
      <c r="F3934" t="s">
        <v>16</v>
      </c>
      <c r="G3934" t="s">
        <v>39</v>
      </c>
      <c r="H3934">
        <v>2627.6</v>
      </c>
      <c r="I3934" s="8" t="str" cm="1">
        <f t="array" ref="I3934">_xlfn.IFS(C3934&lt;=15,"Children and Young Adolescents", C3934&gt;64, "Seniors", TRUE, "Working Age")</f>
        <v>Working Age</v>
      </c>
      <c r="J3934" s="6">
        <f>VLOOKUP(F3934,Analysis!$F$1:$G$5,2,FALSE)</f>
        <v>2509.1716796874912</v>
      </c>
      <c r="K3934">
        <f t="shared" si="244"/>
        <v>2890.36</v>
      </c>
      <c r="L3934">
        <f t="shared" si="245"/>
        <v>2890.36</v>
      </c>
      <c r="M3934">
        <f t="shared" si="246"/>
        <v>2890.36</v>
      </c>
      <c r="N3934" s="5" t="str">
        <f t="shared" si="247"/>
        <v>July 2023</v>
      </c>
    </row>
    <row r="3935" spans="1:14" x14ac:dyDescent="0.25">
      <c r="A3935" s="1">
        <v>45136</v>
      </c>
      <c r="B3935" t="s">
        <v>2682</v>
      </c>
      <c r="C3935">
        <v>47</v>
      </c>
      <c r="D3935" t="s">
        <v>14</v>
      </c>
      <c r="E3935" t="s">
        <v>34</v>
      </c>
      <c r="F3935" t="s">
        <v>23</v>
      </c>
      <c r="G3935" t="s">
        <v>36</v>
      </c>
      <c r="H3935">
        <v>4175.5200000000004</v>
      </c>
      <c r="I3935" s="8" t="str" cm="1">
        <f t="array" ref="I3935">_xlfn.IFS(C3935&lt;=15,"Children and Young Adolescents", C3935&gt;64, "Seniors", TRUE, "Working Age")</f>
        <v>Working Age</v>
      </c>
      <c r="J3935" s="6">
        <f>VLOOKUP(F3935,Analysis!$F$1:$G$5,2,FALSE)</f>
        <v>2440.2966694490838</v>
      </c>
      <c r="K3935">
        <f t="shared" si="244"/>
        <v>4593.07</v>
      </c>
      <c r="L3935">
        <f t="shared" si="245"/>
        <v>4593.08</v>
      </c>
      <c r="M3935">
        <f t="shared" si="246"/>
        <v>4593.07</v>
      </c>
      <c r="N3935" s="5" t="str">
        <f t="shared" si="247"/>
        <v>July 2023</v>
      </c>
    </row>
    <row r="3936" spans="1:14" x14ac:dyDescent="0.25">
      <c r="A3936" s="1">
        <v>45136</v>
      </c>
      <c r="B3936" t="s">
        <v>2737</v>
      </c>
      <c r="C3936">
        <v>86</v>
      </c>
      <c r="D3936" t="s">
        <v>21</v>
      </c>
      <c r="E3936" t="s">
        <v>19</v>
      </c>
      <c r="F3936" t="s">
        <v>23</v>
      </c>
      <c r="G3936" t="s">
        <v>17</v>
      </c>
      <c r="H3936">
        <v>342.59</v>
      </c>
      <c r="I3936" s="8" t="str" cm="1">
        <f t="array" ref="I3936">_xlfn.IFS(C3936&lt;=15,"Children and Young Adolescents", C3936&gt;64, "Seniors", TRUE, "Working Age")</f>
        <v>Seniors</v>
      </c>
      <c r="J3936" s="6">
        <f>VLOOKUP(F3936,Analysis!$F$1:$G$5,2,FALSE)</f>
        <v>2440.2966694490838</v>
      </c>
      <c r="K3936">
        <f t="shared" si="244"/>
        <v>376.84</v>
      </c>
      <c r="L3936">
        <f t="shared" si="245"/>
        <v>376.84999999999997</v>
      </c>
      <c r="M3936">
        <f t="shared" si="246"/>
        <v>376.85</v>
      </c>
      <c r="N3936" s="5" t="str">
        <f t="shared" si="247"/>
        <v>July 2023</v>
      </c>
    </row>
    <row r="3937" spans="1:14" x14ac:dyDescent="0.25">
      <c r="A3937" s="1">
        <v>45136</v>
      </c>
      <c r="B3937" t="s">
        <v>1106</v>
      </c>
      <c r="C3937">
        <v>55</v>
      </c>
      <c r="D3937" t="s">
        <v>21</v>
      </c>
      <c r="E3937" t="s">
        <v>32</v>
      </c>
      <c r="F3937" t="s">
        <v>29</v>
      </c>
      <c r="G3937" t="s">
        <v>39</v>
      </c>
      <c r="H3937">
        <v>2343.48</v>
      </c>
      <c r="I3937" s="8" t="str" cm="1">
        <f t="array" ref="I3937">_xlfn.IFS(C3937&lt;=15,"Children and Young Adolescents", C3937&gt;64, "Seniors", TRUE, "Working Age")</f>
        <v>Working Age</v>
      </c>
      <c r="J3937" s="6">
        <f>VLOOKUP(F3937,Analysis!$F$1:$G$5,2,FALSE)</f>
        <v>2496.7676064256989</v>
      </c>
      <c r="K3937">
        <f t="shared" si="244"/>
        <v>2577.8200000000002</v>
      </c>
      <c r="L3937">
        <f t="shared" si="245"/>
        <v>2577.8300000000004</v>
      </c>
      <c r="M3937">
        <f t="shared" si="246"/>
        <v>2577.83</v>
      </c>
      <c r="N3937" s="5" t="str">
        <f t="shared" si="247"/>
        <v>July 2023</v>
      </c>
    </row>
    <row r="3938" spans="1:14" x14ac:dyDescent="0.25">
      <c r="A3938" s="1">
        <v>45136</v>
      </c>
      <c r="B3938" t="s">
        <v>4016</v>
      </c>
      <c r="C3938">
        <v>81</v>
      </c>
      <c r="D3938" t="s">
        <v>9</v>
      </c>
      <c r="E3938" t="s">
        <v>22</v>
      </c>
      <c r="F3938" t="s">
        <v>23</v>
      </c>
      <c r="G3938" t="s">
        <v>17</v>
      </c>
      <c r="H3938">
        <v>2958.71</v>
      </c>
      <c r="I3938" s="8" t="str" cm="1">
        <f t="array" ref="I3938">_xlfn.IFS(C3938&lt;=15,"Children and Young Adolescents", C3938&gt;64, "Seniors", TRUE, "Working Age")</f>
        <v>Seniors</v>
      </c>
      <c r="J3938" s="6">
        <f>VLOOKUP(F3938,Analysis!$F$1:$G$5,2,FALSE)</f>
        <v>2440.2966694490838</v>
      </c>
      <c r="K3938">
        <f t="shared" si="244"/>
        <v>3254.58</v>
      </c>
      <c r="L3938">
        <f t="shared" si="245"/>
        <v>3254.59</v>
      </c>
      <c r="M3938">
        <f t="shared" si="246"/>
        <v>3254.58</v>
      </c>
      <c r="N3938" s="5" t="str">
        <f t="shared" si="247"/>
        <v>July 2023</v>
      </c>
    </row>
    <row r="3939" spans="1:14" x14ac:dyDescent="0.25">
      <c r="A3939" s="1">
        <v>45136</v>
      </c>
      <c r="B3939" t="s">
        <v>485</v>
      </c>
      <c r="C3939">
        <v>50</v>
      </c>
      <c r="D3939" t="s">
        <v>9</v>
      </c>
      <c r="E3939" t="s">
        <v>22</v>
      </c>
      <c r="F3939" t="s">
        <v>29</v>
      </c>
      <c r="G3939" t="s">
        <v>39</v>
      </c>
      <c r="H3939">
        <v>814.09</v>
      </c>
      <c r="I3939" s="8" t="str" cm="1">
        <f t="array" ref="I3939">_xlfn.IFS(C3939&lt;=15,"Children and Young Adolescents", C3939&gt;64, "Seniors", TRUE, "Working Age")</f>
        <v>Working Age</v>
      </c>
      <c r="J3939" s="6">
        <f>VLOOKUP(F3939,Analysis!$F$1:$G$5,2,FALSE)</f>
        <v>2496.7676064256989</v>
      </c>
      <c r="K3939">
        <f t="shared" si="244"/>
        <v>895.49</v>
      </c>
      <c r="L3939">
        <f t="shared" si="245"/>
        <v>895.5</v>
      </c>
      <c r="M3939">
        <f t="shared" si="246"/>
        <v>895.5</v>
      </c>
      <c r="N3939" s="5" t="str">
        <f t="shared" si="247"/>
        <v>July 2023</v>
      </c>
    </row>
    <row r="3940" spans="1:14" x14ac:dyDescent="0.25">
      <c r="A3940" s="1">
        <v>45136</v>
      </c>
      <c r="B3940" t="s">
        <v>4813</v>
      </c>
      <c r="C3940">
        <v>28</v>
      </c>
      <c r="D3940" t="s">
        <v>14</v>
      </c>
      <c r="E3940" t="s">
        <v>25</v>
      </c>
      <c r="F3940" t="s">
        <v>23</v>
      </c>
      <c r="G3940" t="s">
        <v>17</v>
      </c>
      <c r="H3940">
        <v>2842.39</v>
      </c>
      <c r="I3940" s="8" t="str" cm="1">
        <f t="array" ref="I3940">_xlfn.IFS(C3940&lt;=15,"Children and Young Adolescents", C3940&gt;64, "Seniors", TRUE, "Working Age")</f>
        <v>Working Age</v>
      </c>
      <c r="J3940" s="6">
        <f>VLOOKUP(F3940,Analysis!$F$1:$G$5,2,FALSE)</f>
        <v>2440.2966694490838</v>
      </c>
      <c r="K3940">
        <f t="shared" si="244"/>
        <v>3126.62</v>
      </c>
      <c r="L3940">
        <f t="shared" si="245"/>
        <v>3126.63</v>
      </c>
      <c r="M3940">
        <f t="shared" si="246"/>
        <v>3126.63</v>
      </c>
      <c r="N3940" s="5" t="str">
        <f t="shared" si="247"/>
        <v>July 2023</v>
      </c>
    </row>
    <row r="3941" spans="1:14" x14ac:dyDescent="0.25">
      <c r="A3941" s="1">
        <v>45136</v>
      </c>
      <c r="B3941" t="s">
        <v>1570</v>
      </c>
      <c r="C3941">
        <v>42</v>
      </c>
      <c r="D3941" t="s">
        <v>14</v>
      </c>
      <c r="E3941" t="s">
        <v>32</v>
      </c>
      <c r="F3941" t="s">
        <v>23</v>
      </c>
      <c r="G3941" t="s">
        <v>39</v>
      </c>
      <c r="H3941">
        <v>1987.02</v>
      </c>
      <c r="I3941" s="8" t="str" cm="1">
        <f t="array" ref="I3941">_xlfn.IFS(C3941&lt;=15,"Children and Young Adolescents", C3941&gt;64, "Seniors", TRUE, "Working Age")</f>
        <v>Working Age</v>
      </c>
      <c r="J3941" s="6">
        <f>VLOOKUP(F3941,Analysis!$F$1:$G$5,2,FALSE)</f>
        <v>2440.2966694490838</v>
      </c>
      <c r="K3941">
        <f t="shared" si="244"/>
        <v>2185.7199999999998</v>
      </c>
      <c r="L3941">
        <f t="shared" si="245"/>
        <v>2185.73</v>
      </c>
      <c r="M3941">
        <f t="shared" si="246"/>
        <v>2185.7199999999998</v>
      </c>
      <c r="N3941" s="5" t="str">
        <f t="shared" si="247"/>
        <v>July 2023</v>
      </c>
    </row>
    <row r="3942" spans="1:14" x14ac:dyDescent="0.25">
      <c r="A3942" s="1">
        <v>45137</v>
      </c>
      <c r="B3942" t="s">
        <v>4729</v>
      </c>
      <c r="C3942">
        <v>90</v>
      </c>
      <c r="D3942" t="s">
        <v>9</v>
      </c>
      <c r="E3942" t="s">
        <v>25</v>
      </c>
      <c r="F3942" t="s">
        <v>29</v>
      </c>
      <c r="G3942" t="s">
        <v>17</v>
      </c>
      <c r="H3942">
        <v>3885.7</v>
      </c>
      <c r="I3942" s="8" t="str" cm="1">
        <f t="array" ref="I3942">_xlfn.IFS(C3942&lt;=15,"Children and Young Adolescents", C3942&gt;64, "Seniors", TRUE, "Working Age")</f>
        <v>Seniors</v>
      </c>
      <c r="J3942" s="6">
        <f>VLOOKUP(F3942,Analysis!$F$1:$G$5,2,FALSE)</f>
        <v>2496.7676064256989</v>
      </c>
      <c r="K3942">
        <f t="shared" si="244"/>
        <v>4274.2700000000004</v>
      </c>
      <c r="L3942">
        <f t="shared" si="245"/>
        <v>4274.2700000000004</v>
      </c>
      <c r="M3942">
        <f t="shared" si="246"/>
        <v>4274.2700000000004</v>
      </c>
      <c r="N3942" s="5" t="str">
        <f t="shared" si="247"/>
        <v>July 2023</v>
      </c>
    </row>
    <row r="3943" spans="1:14" x14ac:dyDescent="0.25">
      <c r="A3943" s="1">
        <v>45137</v>
      </c>
      <c r="B3943" t="s">
        <v>2356</v>
      </c>
      <c r="C3943">
        <v>36</v>
      </c>
      <c r="D3943" t="s">
        <v>9</v>
      </c>
      <c r="E3943" t="s">
        <v>15</v>
      </c>
      <c r="F3943" t="s">
        <v>29</v>
      </c>
      <c r="G3943" t="s">
        <v>36</v>
      </c>
      <c r="H3943">
        <v>2737.41</v>
      </c>
      <c r="I3943" s="8" t="str" cm="1">
        <f t="array" ref="I3943">_xlfn.IFS(C3943&lt;=15,"Children and Young Adolescents", C3943&gt;64, "Seniors", TRUE, "Working Age")</f>
        <v>Working Age</v>
      </c>
      <c r="J3943" s="6">
        <f>VLOOKUP(F3943,Analysis!$F$1:$G$5,2,FALSE)</f>
        <v>2496.7676064256989</v>
      </c>
      <c r="K3943">
        <f t="shared" si="244"/>
        <v>3011.15</v>
      </c>
      <c r="L3943">
        <f t="shared" si="245"/>
        <v>3011.1600000000003</v>
      </c>
      <c r="M3943">
        <f t="shared" si="246"/>
        <v>3011.15</v>
      </c>
      <c r="N3943" s="5" t="str">
        <f t="shared" si="247"/>
        <v>July 2023</v>
      </c>
    </row>
    <row r="3944" spans="1:14" x14ac:dyDescent="0.25">
      <c r="A3944" s="1">
        <v>45137</v>
      </c>
      <c r="B3944" t="s">
        <v>1692</v>
      </c>
      <c r="C3944">
        <v>83</v>
      </c>
      <c r="D3944" t="s">
        <v>14</v>
      </c>
      <c r="E3944" t="s">
        <v>25</v>
      </c>
      <c r="F3944" t="s">
        <v>11</v>
      </c>
      <c r="G3944" t="s">
        <v>27</v>
      </c>
      <c r="H3944">
        <v>3165.83</v>
      </c>
      <c r="I3944" s="8" t="str" cm="1">
        <f t="array" ref="I3944">_xlfn.IFS(C3944&lt;=15,"Children and Young Adolescents", C3944&gt;64, "Seniors", TRUE, "Working Age")</f>
        <v>Seniors</v>
      </c>
      <c r="J3944" s="6">
        <f>VLOOKUP(F3944,Analysis!$F$1:$G$5,2,FALSE)</f>
        <v>2503.6022787783854</v>
      </c>
      <c r="K3944">
        <f t="shared" si="244"/>
        <v>3482.41</v>
      </c>
      <c r="L3944">
        <f t="shared" si="245"/>
        <v>3482.42</v>
      </c>
      <c r="M3944">
        <f t="shared" si="246"/>
        <v>3482.41</v>
      </c>
      <c r="N3944" s="5" t="str">
        <f t="shared" si="247"/>
        <v>July 2023</v>
      </c>
    </row>
    <row r="3945" spans="1:14" x14ac:dyDescent="0.25">
      <c r="A3945" s="1">
        <v>45137</v>
      </c>
      <c r="B3945" t="s">
        <v>2642</v>
      </c>
      <c r="C3945">
        <v>73</v>
      </c>
      <c r="D3945" t="s">
        <v>14</v>
      </c>
      <c r="E3945" t="s">
        <v>25</v>
      </c>
      <c r="F3945" t="s">
        <v>16</v>
      </c>
      <c r="G3945" t="s">
        <v>36</v>
      </c>
      <c r="H3945">
        <v>1332.03</v>
      </c>
      <c r="I3945" s="8" t="str" cm="1">
        <f t="array" ref="I3945">_xlfn.IFS(C3945&lt;=15,"Children and Young Adolescents", C3945&gt;64, "Seniors", TRUE, "Working Age")</f>
        <v>Seniors</v>
      </c>
      <c r="J3945" s="6">
        <f>VLOOKUP(F3945,Analysis!$F$1:$G$5,2,FALSE)</f>
        <v>2509.1716796874912</v>
      </c>
      <c r="K3945">
        <f t="shared" si="244"/>
        <v>1465.23</v>
      </c>
      <c r="L3945">
        <f t="shared" si="245"/>
        <v>1465.24</v>
      </c>
      <c r="M3945">
        <f t="shared" si="246"/>
        <v>1465.23</v>
      </c>
      <c r="N3945" s="5" t="str">
        <f t="shared" si="247"/>
        <v>July 2023</v>
      </c>
    </row>
    <row r="3946" spans="1:14" x14ac:dyDescent="0.25">
      <c r="A3946" s="1">
        <v>45137</v>
      </c>
      <c r="B3946" t="s">
        <v>2266</v>
      </c>
      <c r="C3946">
        <v>16</v>
      </c>
      <c r="D3946" t="s">
        <v>14</v>
      </c>
      <c r="E3946" t="s">
        <v>19</v>
      </c>
      <c r="F3946" t="s">
        <v>16</v>
      </c>
      <c r="G3946" t="s">
        <v>36</v>
      </c>
      <c r="H3946">
        <v>1286.21</v>
      </c>
      <c r="I3946" s="8" t="str" cm="1">
        <f t="array" ref="I3946">_xlfn.IFS(C3946&lt;=15,"Children and Young Adolescents", C3946&gt;64, "Seniors", TRUE, "Working Age")</f>
        <v>Working Age</v>
      </c>
      <c r="J3946" s="6">
        <f>VLOOKUP(F3946,Analysis!$F$1:$G$5,2,FALSE)</f>
        <v>2509.1716796874912</v>
      </c>
      <c r="K3946">
        <f t="shared" si="244"/>
        <v>1414.83</v>
      </c>
      <c r="L3946">
        <f t="shared" si="245"/>
        <v>1414.84</v>
      </c>
      <c r="M3946">
        <f t="shared" si="246"/>
        <v>1414.83</v>
      </c>
      <c r="N3946" s="5" t="str">
        <f t="shared" si="247"/>
        <v>July 2023</v>
      </c>
    </row>
    <row r="3947" spans="1:14" x14ac:dyDescent="0.25">
      <c r="A3947" s="1">
        <v>45137</v>
      </c>
      <c r="B3947" t="s">
        <v>439</v>
      </c>
      <c r="C3947">
        <v>12</v>
      </c>
      <c r="D3947" t="s">
        <v>14</v>
      </c>
      <c r="E3947" t="s">
        <v>5032</v>
      </c>
      <c r="F3947" t="s">
        <v>16</v>
      </c>
      <c r="G3947" t="s">
        <v>17</v>
      </c>
      <c r="H3947">
        <v>3078.98</v>
      </c>
      <c r="I3947" s="8" t="str" cm="1">
        <f t="array" ref="I3947">_xlfn.IFS(C3947&lt;=15,"Children and Young Adolescents", C3947&gt;64, "Seniors", TRUE, "Working Age")</f>
        <v>Children and Young Adolescents</v>
      </c>
      <c r="J3947" s="6">
        <f>VLOOKUP(F3947,Analysis!$F$1:$G$5,2,FALSE)</f>
        <v>2509.1716796874912</v>
      </c>
      <c r="K3947">
        <f t="shared" si="244"/>
        <v>3386.87</v>
      </c>
      <c r="L3947">
        <f t="shared" si="245"/>
        <v>3386.88</v>
      </c>
      <c r="M3947">
        <f t="shared" si="246"/>
        <v>3386.88</v>
      </c>
      <c r="N3947" s="5" t="str">
        <f t="shared" si="247"/>
        <v>July 2023</v>
      </c>
    </row>
    <row r="3948" spans="1:14" x14ac:dyDescent="0.25">
      <c r="A3948" s="1">
        <v>45138</v>
      </c>
      <c r="B3948" t="s">
        <v>3592</v>
      </c>
      <c r="C3948">
        <v>24</v>
      </c>
      <c r="D3948" t="s">
        <v>14</v>
      </c>
      <c r="E3948" t="s">
        <v>10</v>
      </c>
      <c r="F3948" t="s">
        <v>16</v>
      </c>
      <c r="G3948" t="s">
        <v>17</v>
      </c>
      <c r="H3948">
        <v>889.07</v>
      </c>
      <c r="I3948" s="8" t="str" cm="1">
        <f t="array" ref="I3948">_xlfn.IFS(C3948&lt;=15,"Children and Young Adolescents", C3948&gt;64, "Seniors", TRUE, "Working Age")</f>
        <v>Working Age</v>
      </c>
      <c r="J3948" s="6">
        <f>VLOOKUP(F3948,Analysis!$F$1:$G$5,2,FALSE)</f>
        <v>2509.1716796874912</v>
      </c>
      <c r="K3948">
        <f t="shared" si="244"/>
        <v>977.97</v>
      </c>
      <c r="L3948">
        <f t="shared" si="245"/>
        <v>977.98</v>
      </c>
      <c r="M3948">
        <f t="shared" si="246"/>
        <v>977.98</v>
      </c>
      <c r="N3948" s="5" t="str">
        <f t="shared" si="247"/>
        <v>July 2023</v>
      </c>
    </row>
    <row r="3949" spans="1:14" x14ac:dyDescent="0.25">
      <c r="A3949" s="1">
        <v>45138</v>
      </c>
      <c r="B3949" t="s">
        <v>1653</v>
      </c>
      <c r="C3949">
        <v>3</v>
      </c>
      <c r="D3949" t="s">
        <v>14</v>
      </c>
      <c r="E3949" t="s">
        <v>15</v>
      </c>
      <c r="F3949" t="s">
        <v>11</v>
      </c>
      <c r="G3949" t="s">
        <v>27</v>
      </c>
      <c r="H3949">
        <v>1382.27</v>
      </c>
      <c r="I3949" s="8" t="str" cm="1">
        <f t="array" ref="I3949">_xlfn.IFS(C3949&lt;=15,"Children and Young Adolescents", C3949&gt;64, "Seniors", TRUE, "Working Age")</f>
        <v>Children and Young Adolescents</v>
      </c>
      <c r="J3949" s="6">
        <f>VLOOKUP(F3949,Analysis!$F$1:$G$5,2,FALSE)</f>
        <v>2503.6022787783854</v>
      </c>
      <c r="K3949">
        <f t="shared" si="244"/>
        <v>1520.49</v>
      </c>
      <c r="L3949">
        <f t="shared" si="245"/>
        <v>1520.5</v>
      </c>
      <c r="M3949">
        <f t="shared" si="246"/>
        <v>1520.5</v>
      </c>
      <c r="N3949" s="5" t="str">
        <f t="shared" si="247"/>
        <v>July 2023</v>
      </c>
    </row>
    <row r="3950" spans="1:14" x14ac:dyDescent="0.25">
      <c r="A3950" s="1">
        <v>45138</v>
      </c>
      <c r="B3950" t="s">
        <v>735</v>
      </c>
      <c r="C3950">
        <v>5</v>
      </c>
      <c r="D3950" t="s">
        <v>21</v>
      </c>
      <c r="E3950" t="s">
        <v>15</v>
      </c>
      <c r="F3950" t="s">
        <v>16</v>
      </c>
      <c r="G3950" t="s">
        <v>36</v>
      </c>
      <c r="H3950">
        <v>4469.8</v>
      </c>
      <c r="I3950" s="8" t="str" cm="1">
        <f t="array" ref="I3950">_xlfn.IFS(C3950&lt;=15,"Children and Young Adolescents", C3950&gt;64, "Seniors", TRUE, "Working Age")</f>
        <v>Children and Young Adolescents</v>
      </c>
      <c r="J3950" s="6">
        <f>VLOOKUP(F3950,Analysis!$F$1:$G$5,2,FALSE)</f>
        <v>2509.1716796874912</v>
      </c>
      <c r="K3950">
        <f t="shared" si="244"/>
        <v>4916.78</v>
      </c>
      <c r="L3950">
        <f t="shared" si="245"/>
        <v>4916.78</v>
      </c>
      <c r="M3950">
        <f t="shared" si="246"/>
        <v>4916.78</v>
      </c>
      <c r="N3950" s="5" t="str">
        <f t="shared" si="247"/>
        <v>July 2023</v>
      </c>
    </row>
    <row r="3951" spans="1:14" x14ac:dyDescent="0.25">
      <c r="A3951" s="1">
        <v>45138</v>
      </c>
      <c r="B3951" t="s">
        <v>1768</v>
      </c>
      <c r="C3951">
        <v>1</v>
      </c>
      <c r="D3951" t="s">
        <v>14</v>
      </c>
      <c r="E3951" t="s">
        <v>19</v>
      </c>
      <c r="F3951" t="s">
        <v>11</v>
      </c>
      <c r="G3951" t="s">
        <v>39</v>
      </c>
      <c r="H3951">
        <v>3956.81</v>
      </c>
      <c r="I3951" s="8" t="str" cm="1">
        <f t="array" ref="I3951">_xlfn.IFS(C3951&lt;=15,"Children and Young Adolescents", C3951&gt;64, "Seniors", TRUE, "Working Age")</f>
        <v>Children and Young Adolescents</v>
      </c>
      <c r="J3951" s="6">
        <f>VLOOKUP(F3951,Analysis!$F$1:$G$5,2,FALSE)</f>
        <v>2503.6022787783854</v>
      </c>
      <c r="K3951">
        <f t="shared" si="244"/>
        <v>4352.49</v>
      </c>
      <c r="L3951">
        <f t="shared" si="245"/>
        <v>4352.5</v>
      </c>
      <c r="M3951">
        <f t="shared" si="246"/>
        <v>4352.49</v>
      </c>
      <c r="N3951" s="5" t="str">
        <f t="shared" si="247"/>
        <v>July 2023</v>
      </c>
    </row>
    <row r="3952" spans="1:14" x14ac:dyDescent="0.25">
      <c r="A3952" s="1">
        <v>45138</v>
      </c>
      <c r="B3952" t="s">
        <v>3758</v>
      </c>
      <c r="C3952">
        <v>18</v>
      </c>
      <c r="D3952" t="s">
        <v>14</v>
      </c>
      <c r="E3952" t="s">
        <v>32</v>
      </c>
      <c r="F3952" t="s">
        <v>11</v>
      </c>
      <c r="G3952" t="s">
        <v>12</v>
      </c>
      <c r="H3952">
        <v>268.02999999999997</v>
      </c>
      <c r="I3952" s="8" t="str" cm="1">
        <f t="array" ref="I3952">_xlfn.IFS(C3952&lt;=15,"Children and Young Adolescents", C3952&gt;64, "Seniors", TRUE, "Working Age")</f>
        <v>Working Age</v>
      </c>
      <c r="J3952" s="6">
        <f>VLOOKUP(F3952,Analysis!$F$1:$G$5,2,FALSE)</f>
        <v>2503.6022787783854</v>
      </c>
      <c r="K3952">
        <f t="shared" si="244"/>
        <v>294.83</v>
      </c>
      <c r="L3952">
        <f t="shared" si="245"/>
        <v>294.83999999999997</v>
      </c>
      <c r="M3952">
        <f t="shared" si="246"/>
        <v>294.83</v>
      </c>
      <c r="N3952" s="5" t="str">
        <f t="shared" si="247"/>
        <v>July 2023</v>
      </c>
    </row>
    <row r="3953" spans="1:14" x14ac:dyDescent="0.25">
      <c r="A3953" s="1">
        <v>45138</v>
      </c>
      <c r="B3953" t="s">
        <v>652</v>
      </c>
      <c r="C3953">
        <v>4</v>
      </c>
      <c r="D3953" t="s">
        <v>14</v>
      </c>
      <c r="E3953" t="s">
        <v>34</v>
      </c>
      <c r="F3953" t="s">
        <v>16</v>
      </c>
      <c r="G3953" t="s">
        <v>27</v>
      </c>
      <c r="H3953">
        <v>3278.51</v>
      </c>
      <c r="I3953" s="8" t="str" cm="1">
        <f t="array" ref="I3953">_xlfn.IFS(C3953&lt;=15,"Children and Young Adolescents", C3953&gt;64, "Seniors", TRUE, "Working Age")</f>
        <v>Children and Young Adolescents</v>
      </c>
      <c r="J3953" s="6">
        <f>VLOOKUP(F3953,Analysis!$F$1:$G$5,2,FALSE)</f>
        <v>2509.1716796874912</v>
      </c>
      <c r="K3953">
        <f t="shared" si="244"/>
        <v>3606.36</v>
      </c>
      <c r="L3953">
        <f t="shared" si="245"/>
        <v>3606.3700000000003</v>
      </c>
      <c r="M3953">
        <f t="shared" si="246"/>
        <v>3606.36</v>
      </c>
      <c r="N3953" s="5" t="str">
        <f t="shared" si="247"/>
        <v>July 2023</v>
      </c>
    </row>
    <row r="3954" spans="1:14" x14ac:dyDescent="0.25">
      <c r="A3954" s="1">
        <v>45138</v>
      </c>
      <c r="B3954" t="s">
        <v>2325</v>
      </c>
      <c r="C3954">
        <v>67</v>
      </c>
      <c r="D3954" t="s">
        <v>9</v>
      </c>
      <c r="E3954" t="s">
        <v>34</v>
      </c>
      <c r="F3954" t="s">
        <v>16</v>
      </c>
      <c r="G3954" t="s">
        <v>36</v>
      </c>
      <c r="H3954">
        <v>1121.55</v>
      </c>
      <c r="I3954" s="8" t="str" cm="1">
        <f t="array" ref="I3954">_xlfn.IFS(C3954&lt;=15,"Children and Young Adolescents", C3954&gt;64, "Seniors", TRUE, "Working Age")</f>
        <v>Seniors</v>
      </c>
      <c r="J3954" s="6">
        <f>VLOOKUP(F3954,Analysis!$F$1:$G$5,2,FALSE)</f>
        <v>2509.1716796874912</v>
      </c>
      <c r="K3954">
        <f t="shared" si="244"/>
        <v>1233.7</v>
      </c>
      <c r="L3954">
        <f t="shared" si="245"/>
        <v>1233.71</v>
      </c>
      <c r="M3954">
        <f t="shared" si="246"/>
        <v>1233.71</v>
      </c>
      <c r="N3954" s="5" t="str">
        <f t="shared" si="247"/>
        <v>July 2023</v>
      </c>
    </row>
    <row r="3955" spans="1:14" x14ac:dyDescent="0.25">
      <c r="A3955" s="1">
        <v>45138</v>
      </c>
      <c r="B3955" t="s">
        <v>1148</v>
      </c>
      <c r="C3955">
        <v>5</v>
      </c>
      <c r="D3955" t="s">
        <v>14</v>
      </c>
      <c r="E3955" t="s">
        <v>19</v>
      </c>
      <c r="F3955" t="s">
        <v>29</v>
      </c>
      <c r="G3955" t="s">
        <v>5033</v>
      </c>
      <c r="H3955">
        <v>3910.86</v>
      </c>
      <c r="I3955" s="8" t="str" cm="1">
        <f t="array" ref="I3955">_xlfn.IFS(C3955&lt;=15,"Children and Young Adolescents", C3955&gt;64, "Seniors", TRUE, "Working Age")</f>
        <v>Children and Young Adolescents</v>
      </c>
      <c r="J3955" s="6">
        <f>VLOOKUP(F3955,Analysis!$F$1:$G$5,2,FALSE)</f>
        <v>2496.7676064256989</v>
      </c>
      <c r="K3955">
        <f t="shared" si="244"/>
        <v>4301.9399999999996</v>
      </c>
      <c r="L3955">
        <f t="shared" si="245"/>
        <v>4301.95</v>
      </c>
      <c r="M3955">
        <f t="shared" si="246"/>
        <v>4301.95</v>
      </c>
      <c r="N3955" s="5" t="str">
        <f t="shared" si="247"/>
        <v>July 2023</v>
      </c>
    </row>
    <row r="3956" spans="1:14" x14ac:dyDescent="0.25">
      <c r="A3956" s="1">
        <v>45138</v>
      </c>
      <c r="B3956" t="s">
        <v>184</v>
      </c>
      <c r="C3956">
        <v>76</v>
      </c>
      <c r="D3956" t="s">
        <v>9</v>
      </c>
      <c r="E3956" t="s">
        <v>10</v>
      </c>
      <c r="F3956" t="s">
        <v>29</v>
      </c>
      <c r="G3956" t="s">
        <v>12</v>
      </c>
      <c r="H3956">
        <v>3887.5</v>
      </c>
      <c r="I3956" s="8" t="str" cm="1">
        <f t="array" ref="I3956">_xlfn.IFS(C3956&lt;=15,"Children and Young Adolescents", C3956&gt;64, "Seniors", TRUE, "Working Age")</f>
        <v>Seniors</v>
      </c>
      <c r="J3956" s="6">
        <f>VLOOKUP(F3956,Analysis!$F$1:$G$5,2,FALSE)</f>
        <v>2496.7676064256989</v>
      </c>
      <c r="K3956">
        <f t="shared" si="244"/>
        <v>4276.25</v>
      </c>
      <c r="L3956">
        <f t="shared" si="245"/>
        <v>4276.25</v>
      </c>
      <c r="M3956">
        <f t="shared" si="246"/>
        <v>4276.25</v>
      </c>
      <c r="N3956" s="5" t="str">
        <f t="shared" si="247"/>
        <v>July 2023</v>
      </c>
    </row>
    <row r="3957" spans="1:14" x14ac:dyDescent="0.25">
      <c r="A3957" s="1">
        <v>45139</v>
      </c>
      <c r="B3957" t="s">
        <v>1271</v>
      </c>
      <c r="C3957">
        <v>59</v>
      </c>
      <c r="D3957" t="s">
        <v>9</v>
      </c>
      <c r="E3957" t="s">
        <v>34</v>
      </c>
      <c r="F3957" t="s">
        <v>29</v>
      </c>
      <c r="G3957" t="s">
        <v>17</v>
      </c>
      <c r="H3957">
        <v>1315.1</v>
      </c>
      <c r="I3957" s="8" t="str" cm="1">
        <f t="array" ref="I3957">_xlfn.IFS(C3957&lt;=15,"Children and Young Adolescents", C3957&gt;64, "Seniors", TRUE, "Working Age")</f>
        <v>Working Age</v>
      </c>
      <c r="J3957" s="6">
        <f>VLOOKUP(F3957,Analysis!$F$1:$G$5,2,FALSE)</f>
        <v>2496.7676064256989</v>
      </c>
      <c r="K3957">
        <f t="shared" si="244"/>
        <v>1446.61</v>
      </c>
      <c r="L3957">
        <f t="shared" si="245"/>
        <v>1446.61</v>
      </c>
      <c r="M3957">
        <f t="shared" si="246"/>
        <v>1446.61</v>
      </c>
      <c r="N3957" s="5" t="str">
        <f t="shared" si="247"/>
        <v>August 2023</v>
      </c>
    </row>
    <row r="3958" spans="1:14" x14ac:dyDescent="0.25">
      <c r="A3958" s="1">
        <v>45139</v>
      </c>
      <c r="B3958" t="s">
        <v>1847</v>
      </c>
      <c r="C3958">
        <v>32</v>
      </c>
      <c r="D3958" t="s">
        <v>9</v>
      </c>
      <c r="E3958" t="s">
        <v>25</v>
      </c>
      <c r="F3958" t="s">
        <v>29</v>
      </c>
      <c r="G3958" t="s">
        <v>39</v>
      </c>
      <c r="H3958">
        <v>936.67</v>
      </c>
      <c r="I3958" s="8" t="str" cm="1">
        <f t="array" ref="I3958">_xlfn.IFS(C3958&lt;=15,"Children and Young Adolescents", C3958&gt;64, "Seniors", TRUE, "Working Age")</f>
        <v>Working Age</v>
      </c>
      <c r="J3958" s="6">
        <f>VLOOKUP(F3958,Analysis!$F$1:$G$5,2,FALSE)</f>
        <v>2496.7676064256989</v>
      </c>
      <c r="K3958">
        <f t="shared" si="244"/>
        <v>1030.33</v>
      </c>
      <c r="L3958">
        <f t="shared" si="245"/>
        <v>1030.3399999999999</v>
      </c>
      <c r="M3958">
        <f t="shared" si="246"/>
        <v>1030.3399999999999</v>
      </c>
      <c r="N3958" s="5" t="str">
        <f t="shared" si="247"/>
        <v>August 2023</v>
      </c>
    </row>
    <row r="3959" spans="1:14" x14ac:dyDescent="0.25">
      <c r="A3959" s="1">
        <v>45139</v>
      </c>
      <c r="B3959" t="s">
        <v>843</v>
      </c>
      <c r="C3959">
        <v>27</v>
      </c>
      <c r="D3959" t="s">
        <v>9</v>
      </c>
      <c r="E3959" t="s">
        <v>19</v>
      </c>
      <c r="F3959" t="s">
        <v>16</v>
      </c>
      <c r="G3959" t="s">
        <v>36</v>
      </c>
      <c r="H3959">
        <v>4081.64</v>
      </c>
      <c r="I3959" s="8" t="str" cm="1">
        <f t="array" ref="I3959">_xlfn.IFS(C3959&lt;=15,"Children and Young Adolescents", C3959&gt;64, "Seniors", TRUE, "Working Age")</f>
        <v>Working Age</v>
      </c>
      <c r="J3959" s="6">
        <f>VLOOKUP(F3959,Analysis!$F$1:$G$5,2,FALSE)</f>
        <v>2509.1716796874912</v>
      </c>
      <c r="K3959">
        <f t="shared" si="244"/>
        <v>4489.8</v>
      </c>
      <c r="L3959">
        <f t="shared" si="245"/>
        <v>4489.8100000000004</v>
      </c>
      <c r="M3959">
        <f t="shared" si="246"/>
        <v>4489.8</v>
      </c>
      <c r="N3959" s="5" t="str">
        <f t="shared" si="247"/>
        <v>August 2023</v>
      </c>
    </row>
    <row r="3960" spans="1:14" x14ac:dyDescent="0.25">
      <c r="A3960" s="1">
        <v>45139</v>
      </c>
      <c r="B3960" t="s">
        <v>503</v>
      </c>
      <c r="C3960">
        <v>89</v>
      </c>
      <c r="D3960" t="s">
        <v>21</v>
      </c>
      <c r="E3960" t="s">
        <v>22</v>
      </c>
      <c r="F3960" t="s">
        <v>23</v>
      </c>
      <c r="G3960" t="s">
        <v>27</v>
      </c>
      <c r="H3960">
        <v>3517.51</v>
      </c>
      <c r="I3960" s="8" t="str" cm="1">
        <f t="array" ref="I3960">_xlfn.IFS(C3960&lt;=15,"Children and Young Adolescents", C3960&gt;64, "Seniors", TRUE, "Working Age")</f>
        <v>Seniors</v>
      </c>
      <c r="J3960" s="6">
        <f>VLOOKUP(F3960,Analysis!$F$1:$G$5,2,FALSE)</f>
        <v>2440.2966694490838</v>
      </c>
      <c r="K3960">
        <f t="shared" si="244"/>
        <v>3869.26</v>
      </c>
      <c r="L3960">
        <f t="shared" si="245"/>
        <v>3869.2700000000004</v>
      </c>
      <c r="M3960">
        <f t="shared" si="246"/>
        <v>3869.26</v>
      </c>
      <c r="N3960" s="5" t="str">
        <f t="shared" si="247"/>
        <v>August 2023</v>
      </c>
    </row>
    <row r="3961" spans="1:14" x14ac:dyDescent="0.25">
      <c r="A3961" s="1">
        <v>45140</v>
      </c>
      <c r="B3961" t="s">
        <v>2854</v>
      </c>
      <c r="C3961">
        <v>61</v>
      </c>
      <c r="D3961" t="s">
        <v>9</v>
      </c>
      <c r="E3961" t="s">
        <v>19</v>
      </c>
      <c r="F3961" t="s">
        <v>29</v>
      </c>
      <c r="G3961" t="s">
        <v>17</v>
      </c>
      <c r="H3961">
        <v>3028.41</v>
      </c>
      <c r="I3961" s="8" t="str" cm="1">
        <f t="array" ref="I3961">_xlfn.IFS(C3961&lt;=15,"Children and Young Adolescents", C3961&gt;64, "Seniors", TRUE, "Working Age")</f>
        <v>Working Age</v>
      </c>
      <c r="J3961" s="6">
        <f>VLOOKUP(F3961,Analysis!$F$1:$G$5,2,FALSE)</f>
        <v>2496.7676064256989</v>
      </c>
      <c r="K3961">
        <f t="shared" si="244"/>
        <v>3331.25</v>
      </c>
      <c r="L3961">
        <f t="shared" si="245"/>
        <v>3331.26</v>
      </c>
      <c r="M3961">
        <f t="shared" si="246"/>
        <v>3331.25</v>
      </c>
      <c r="N3961" s="5" t="str">
        <f t="shared" si="247"/>
        <v>August 2023</v>
      </c>
    </row>
    <row r="3962" spans="1:14" x14ac:dyDescent="0.25">
      <c r="A3962" s="1">
        <v>45140</v>
      </c>
      <c r="B3962" t="s">
        <v>5023</v>
      </c>
      <c r="C3962">
        <v>97</v>
      </c>
      <c r="D3962" t="s">
        <v>21</v>
      </c>
      <c r="E3962" t="s">
        <v>34</v>
      </c>
      <c r="F3962" t="s">
        <v>11</v>
      </c>
      <c r="G3962" t="s">
        <v>27</v>
      </c>
      <c r="H3962">
        <v>4639.3900000000003</v>
      </c>
      <c r="I3962" s="8" t="str" cm="1">
        <f t="array" ref="I3962">_xlfn.IFS(C3962&lt;=15,"Children and Young Adolescents", C3962&gt;64, "Seniors", TRUE, "Working Age")</f>
        <v>Seniors</v>
      </c>
      <c r="J3962" s="6">
        <f>VLOOKUP(F3962,Analysis!$F$1:$G$5,2,FALSE)</f>
        <v>2503.6022787783854</v>
      </c>
      <c r="K3962">
        <f t="shared" si="244"/>
        <v>5103.32</v>
      </c>
      <c r="L3962">
        <f t="shared" si="245"/>
        <v>5103.33</v>
      </c>
      <c r="M3962">
        <f t="shared" si="246"/>
        <v>5103.33</v>
      </c>
      <c r="N3962" s="5" t="str">
        <f t="shared" si="247"/>
        <v>August 2023</v>
      </c>
    </row>
    <row r="3963" spans="1:14" x14ac:dyDescent="0.25">
      <c r="A3963" s="1">
        <v>45140</v>
      </c>
      <c r="B3963" t="s">
        <v>1906</v>
      </c>
      <c r="C3963">
        <v>51</v>
      </c>
      <c r="D3963" t="s">
        <v>21</v>
      </c>
      <c r="E3963" t="s">
        <v>19</v>
      </c>
      <c r="F3963" t="s">
        <v>23</v>
      </c>
      <c r="G3963" t="s">
        <v>17</v>
      </c>
      <c r="H3963">
        <v>1203.93</v>
      </c>
      <c r="I3963" s="8" t="str" cm="1">
        <f t="array" ref="I3963">_xlfn.IFS(C3963&lt;=15,"Children and Young Adolescents", C3963&gt;64, "Seniors", TRUE, "Working Age")</f>
        <v>Working Age</v>
      </c>
      <c r="J3963" s="6">
        <f>VLOOKUP(F3963,Analysis!$F$1:$G$5,2,FALSE)</f>
        <v>2440.2966694490838</v>
      </c>
      <c r="K3963">
        <f t="shared" si="244"/>
        <v>1324.32</v>
      </c>
      <c r="L3963">
        <f t="shared" si="245"/>
        <v>1324.33</v>
      </c>
      <c r="M3963">
        <f t="shared" si="246"/>
        <v>1324.32</v>
      </c>
      <c r="N3963" s="5" t="str">
        <f t="shared" si="247"/>
        <v>August 2023</v>
      </c>
    </row>
    <row r="3964" spans="1:14" x14ac:dyDescent="0.25">
      <c r="A3964" s="1">
        <v>45140</v>
      </c>
      <c r="B3964" t="s">
        <v>3261</v>
      </c>
      <c r="C3964">
        <v>82</v>
      </c>
      <c r="D3964" t="s">
        <v>14</v>
      </c>
      <c r="E3964" t="s">
        <v>19</v>
      </c>
      <c r="F3964" t="s">
        <v>11</v>
      </c>
      <c r="G3964" t="s">
        <v>27</v>
      </c>
      <c r="H3964">
        <v>2649.6</v>
      </c>
      <c r="I3964" s="8" t="str" cm="1">
        <f t="array" ref="I3964">_xlfn.IFS(C3964&lt;=15,"Children and Young Adolescents", C3964&gt;64, "Seniors", TRUE, "Working Age")</f>
        <v>Seniors</v>
      </c>
      <c r="J3964" s="6">
        <f>VLOOKUP(F3964,Analysis!$F$1:$G$5,2,FALSE)</f>
        <v>2503.6022787783854</v>
      </c>
      <c r="K3964">
        <f t="shared" si="244"/>
        <v>2914.56</v>
      </c>
      <c r="L3964">
        <f t="shared" si="245"/>
        <v>2914.56</v>
      </c>
      <c r="M3964">
        <f t="shared" si="246"/>
        <v>2914.56</v>
      </c>
      <c r="N3964" s="5" t="str">
        <f t="shared" si="247"/>
        <v>August 2023</v>
      </c>
    </row>
    <row r="3965" spans="1:14" x14ac:dyDescent="0.25">
      <c r="A3965" s="1">
        <v>45140</v>
      </c>
      <c r="B3965" t="s">
        <v>1522</v>
      </c>
      <c r="C3965">
        <v>70</v>
      </c>
      <c r="D3965" t="s">
        <v>14</v>
      </c>
      <c r="E3965" t="s">
        <v>22</v>
      </c>
      <c r="F3965" t="s">
        <v>23</v>
      </c>
      <c r="G3965" t="s">
        <v>27</v>
      </c>
      <c r="H3965">
        <v>3458.85</v>
      </c>
      <c r="I3965" s="8" t="str" cm="1">
        <f t="array" ref="I3965">_xlfn.IFS(C3965&lt;=15,"Children and Young Adolescents", C3965&gt;64, "Seniors", TRUE, "Working Age")</f>
        <v>Seniors</v>
      </c>
      <c r="J3965" s="6">
        <f>VLOOKUP(F3965,Analysis!$F$1:$G$5,2,FALSE)</f>
        <v>2440.2966694490838</v>
      </c>
      <c r="K3965">
        <f t="shared" si="244"/>
        <v>3804.73</v>
      </c>
      <c r="L3965">
        <f t="shared" si="245"/>
        <v>3804.7400000000002</v>
      </c>
      <c r="M3965">
        <f t="shared" si="246"/>
        <v>3804.74</v>
      </c>
      <c r="N3965" s="5" t="str">
        <f t="shared" si="247"/>
        <v>August 2023</v>
      </c>
    </row>
    <row r="3966" spans="1:14" x14ac:dyDescent="0.25">
      <c r="A3966" s="1">
        <v>45141</v>
      </c>
      <c r="B3966" t="s">
        <v>2159</v>
      </c>
      <c r="C3966">
        <v>51</v>
      </c>
      <c r="D3966" t="s">
        <v>14</v>
      </c>
      <c r="E3966" t="s">
        <v>15</v>
      </c>
      <c r="F3966" t="s">
        <v>29</v>
      </c>
      <c r="G3966" t="s">
        <v>36</v>
      </c>
      <c r="H3966">
        <v>213.32</v>
      </c>
      <c r="I3966" s="8" t="str" cm="1">
        <f t="array" ref="I3966">_xlfn.IFS(C3966&lt;=15,"Children and Young Adolescents", C3966&gt;64, "Seniors", TRUE, "Working Age")</f>
        <v>Working Age</v>
      </c>
      <c r="J3966" s="6">
        <f>VLOOKUP(F3966,Analysis!$F$1:$G$5,2,FALSE)</f>
        <v>2496.7676064256989</v>
      </c>
      <c r="K3966">
        <f t="shared" si="244"/>
        <v>234.65</v>
      </c>
      <c r="L3966">
        <f t="shared" si="245"/>
        <v>234.66</v>
      </c>
      <c r="M3966">
        <f t="shared" si="246"/>
        <v>234.65</v>
      </c>
      <c r="N3966" s="5" t="str">
        <f t="shared" si="247"/>
        <v>August 2023</v>
      </c>
    </row>
    <row r="3967" spans="1:14" x14ac:dyDescent="0.25">
      <c r="A3967" s="1">
        <v>45141</v>
      </c>
      <c r="B3967" t="s">
        <v>4878</v>
      </c>
      <c r="C3967">
        <v>59</v>
      </c>
      <c r="D3967" t="s">
        <v>21</v>
      </c>
      <c r="E3967" t="s">
        <v>25</v>
      </c>
      <c r="F3967" t="s">
        <v>29</v>
      </c>
      <c r="G3967" t="s">
        <v>27</v>
      </c>
      <c r="H3967">
        <v>4202.76</v>
      </c>
      <c r="I3967" s="8" t="str" cm="1">
        <f t="array" ref="I3967">_xlfn.IFS(C3967&lt;=15,"Children and Young Adolescents", C3967&gt;64, "Seniors", TRUE, "Working Age")</f>
        <v>Working Age</v>
      </c>
      <c r="J3967" s="6">
        <f>VLOOKUP(F3967,Analysis!$F$1:$G$5,2,FALSE)</f>
        <v>2496.7676064256989</v>
      </c>
      <c r="K3967">
        <f t="shared" si="244"/>
        <v>4623.03</v>
      </c>
      <c r="L3967">
        <f t="shared" si="245"/>
        <v>4623.04</v>
      </c>
      <c r="M3967">
        <f t="shared" si="246"/>
        <v>4623.04</v>
      </c>
      <c r="N3967" s="5" t="str">
        <f t="shared" si="247"/>
        <v>August 2023</v>
      </c>
    </row>
    <row r="3968" spans="1:14" x14ac:dyDescent="0.25">
      <c r="A3968" s="1">
        <v>45141</v>
      </c>
      <c r="B3968" t="s">
        <v>4580</v>
      </c>
      <c r="C3968">
        <v>79</v>
      </c>
      <c r="D3968" t="s">
        <v>9</v>
      </c>
      <c r="E3968" t="s">
        <v>19</v>
      </c>
      <c r="F3968" t="s">
        <v>29</v>
      </c>
      <c r="G3968" t="s">
        <v>39</v>
      </c>
      <c r="H3968">
        <v>1994.65</v>
      </c>
      <c r="I3968" s="8" t="str" cm="1">
        <f t="array" ref="I3968">_xlfn.IFS(C3968&lt;=15,"Children and Young Adolescents", C3968&gt;64, "Seniors", TRUE, "Working Age")</f>
        <v>Seniors</v>
      </c>
      <c r="J3968" s="6">
        <f>VLOOKUP(F3968,Analysis!$F$1:$G$5,2,FALSE)</f>
        <v>2496.7676064256989</v>
      </c>
      <c r="K3968">
        <f t="shared" si="244"/>
        <v>2194.11</v>
      </c>
      <c r="L3968">
        <f t="shared" si="245"/>
        <v>2194.1200000000003</v>
      </c>
      <c r="M3968">
        <f t="shared" si="246"/>
        <v>2194.12</v>
      </c>
      <c r="N3968" s="5" t="str">
        <f t="shared" si="247"/>
        <v>August 2023</v>
      </c>
    </row>
    <row r="3969" spans="1:14" x14ac:dyDescent="0.25">
      <c r="A3969" s="1">
        <v>45141</v>
      </c>
      <c r="B3969" t="s">
        <v>250</v>
      </c>
      <c r="C3969">
        <v>7</v>
      </c>
      <c r="D3969" t="s">
        <v>21</v>
      </c>
      <c r="E3969" t="s">
        <v>5032</v>
      </c>
      <c r="F3969" t="s">
        <v>23</v>
      </c>
      <c r="G3969" t="s">
        <v>5033</v>
      </c>
      <c r="H3969">
        <v>1196.5899999999999</v>
      </c>
      <c r="I3969" s="8" t="str" cm="1">
        <f t="array" ref="I3969">_xlfn.IFS(C3969&lt;=15,"Children and Young Adolescents", C3969&gt;64, "Seniors", TRUE, "Working Age")</f>
        <v>Children and Young Adolescents</v>
      </c>
      <c r="J3969" s="6">
        <f>VLOOKUP(F3969,Analysis!$F$1:$G$5,2,FALSE)</f>
        <v>2440.2966694490838</v>
      </c>
      <c r="K3969">
        <f t="shared" si="244"/>
        <v>1316.24</v>
      </c>
      <c r="L3969">
        <f t="shared" si="245"/>
        <v>1316.25</v>
      </c>
      <c r="M3969">
        <f t="shared" si="246"/>
        <v>1316.25</v>
      </c>
      <c r="N3969" s="5" t="str">
        <f t="shared" si="247"/>
        <v>August 2023</v>
      </c>
    </row>
    <row r="3970" spans="1:14" x14ac:dyDescent="0.25">
      <c r="A3970" s="1">
        <v>45141</v>
      </c>
      <c r="B3970" t="s">
        <v>3178</v>
      </c>
      <c r="C3970">
        <v>25</v>
      </c>
      <c r="D3970" t="s">
        <v>14</v>
      </c>
      <c r="E3970" t="s">
        <v>34</v>
      </c>
      <c r="F3970" t="s">
        <v>11</v>
      </c>
      <c r="G3970" t="s">
        <v>5033</v>
      </c>
      <c r="H3970">
        <v>2562.8200000000002</v>
      </c>
      <c r="I3970" s="8" t="str" cm="1">
        <f t="array" ref="I3970">_xlfn.IFS(C3970&lt;=15,"Children and Young Adolescents", C3970&gt;64, "Seniors", TRUE, "Working Age")</f>
        <v>Working Age</v>
      </c>
      <c r="J3970" s="6">
        <f>VLOOKUP(F3970,Analysis!$F$1:$G$5,2,FALSE)</f>
        <v>2503.6022787783854</v>
      </c>
      <c r="K3970">
        <f t="shared" si="244"/>
        <v>2819.1</v>
      </c>
      <c r="L3970">
        <f t="shared" si="245"/>
        <v>2819.11</v>
      </c>
      <c r="M3970">
        <f t="shared" si="246"/>
        <v>2819.1</v>
      </c>
      <c r="N3970" s="5" t="str">
        <f t="shared" si="247"/>
        <v>August 2023</v>
      </c>
    </row>
    <row r="3971" spans="1:14" x14ac:dyDescent="0.25">
      <c r="A3971" s="1">
        <v>45141</v>
      </c>
      <c r="B3971" t="s">
        <v>3614</v>
      </c>
      <c r="C3971">
        <v>92</v>
      </c>
      <c r="D3971" t="s">
        <v>21</v>
      </c>
      <c r="E3971" t="s">
        <v>15</v>
      </c>
      <c r="F3971" t="s">
        <v>23</v>
      </c>
      <c r="G3971" t="s">
        <v>39</v>
      </c>
      <c r="H3971">
        <v>3410.97</v>
      </c>
      <c r="I3971" s="8" t="str" cm="1">
        <f t="array" ref="I3971">_xlfn.IFS(C3971&lt;=15,"Children and Young Adolescents", C3971&gt;64, "Seniors", TRUE, "Working Age")</f>
        <v>Seniors</v>
      </c>
      <c r="J3971" s="6">
        <f>VLOOKUP(F3971,Analysis!$F$1:$G$5,2,FALSE)</f>
        <v>2440.2966694490838</v>
      </c>
      <c r="K3971">
        <f t="shared" ref="K3971:K4034" si="248">ROUNDDOWN(H3971*1.1,2)</f>
        <v>3752.06</v>
      </c>
      <c r="L3971">
        <f t="shared" ref="L3971:L4034" si="249">ROUNDUP(H3971*1.1,2)</f>
        <v>3752.07</v>
      </c>
      <c r="M3971">
        <f t="shared" ref="M3971:M4034" si="250">ROUND(H3971*1.1,2)</f>
        <v>3752.07</v>
      </c>
      <c r="N3971" s="5" t="str">
        <f t="shared" ref="N3971:N4034" si="251">TEXT(A3971,"mmmm yyyy")</f>
        <v>August 2023</v>
      </c>
    </row>
    <row r="3972" spans="1:14" x14ac:dyDescent="0.25">
      <c r="A3972" s="1">
        <v>45141</v>
      </c>
      <c r="B3972" t="s">
        <v>3658</v>
      </c>
      <c r="C3972">
        <v>13</v>
      </c>
      <c r="D3972" t="s">
        <v>9</v>
      </c>
      <c r="E3972" t="s">
        <v>32</v>
      </c>
      <c r="F3972" t="s">
        <v>16</v>
      </c>
      <c r="G3972" t="s">
        <v>39</v>
      </c>
      <c r="H3972">
        <v>2800</v>
      </c>
      <c r="I3972" s="8" t="str" cm="1">
        <f t="array" ref="I3972">_xlfn.IFS(C3972&lt;=15,"Children and Young Adolescents", C3972&gt;64, "Seniors", TRUE, "Working Age")</f>
        <v>Children and Young Adolescents</v>
      </c>
      <c r="J3972" s="6">
        <f>VLOOKUP(F3972,Analysis!$F$1:$G$5,2,FALSE)</f>
        <v>2509.1716796874912</v>
      </c>
      <c r="K3972">
        <f t="shared" si="248"/>
        <v>3080</v>
      </c>
      <c r="L3972">
        <f t="shared" si="249"/>
        <v>3080</v>
      </c>
      <c r="M3972">
        <f t="shared" si="250"/>
        <v>3080</v>
      </c>
      <c r="N3972" s="5" t="str">
        <f t="shared" si="251"/>
        <v>August 2023</v>
      </c>
    </row>
    <row r="3973" spans="1:14" x14ac:dyDescent="0.25">
      <c r="A3973" s="1">
        <v>45141</v>
      </c>
      <c r="B3973" t="s">
        <v>3925</v>
      </c>
      <c r="C3973">
        <v>20</v>
      </c>
      <c r="D3973" t="s">
        <v>14</v>
      </c>
      <c r="E3973" t="s">
        <v>32</v>
      </c>
      <c r="F3973" t="s">
        <v>29</v>
      </c>
      <c r="G3973" t="s">
        <v>17</v>
      </c>
      <c r="H3973">
        <v>486.61</v>
      </c>
      <c r="I3973" s="8" t="str" cm="1">
        <f t="array" ref="I3973">_xlfn.IFS(C3973&lt;=15,"Children and Young Adolescents", C3973&gt;64, "Seniors", TRUE, "Working Age")</f>
        <v>Working Age</v>
      </c>
      <c r="J3973" s="6">
        <f>VLOOKUP(F3973,Analysis!$F$1:$G$5,2,FALSE)</f>
        <v>2496.7676064256989</v>
      </c>
      <c r="K3973">
        <f t="shared" si="248"/>
        <v>535.27</v>
      </c>
      <c r="L3973">
        <f t="shared" si="249"/>
        <v>535.28</v>
      </c>
      <c r="M3973">
        <f t="shared" si="250"/>
        <v>535.27</v>
      </c>
      <c r="N3973" s="5" t="str">
        <f t="shared" si="251"/>
        <v>August 2023</v>
      </c>
    </row>
    <row r="3974" spans="1:14" x14ac:dyDescent="0.25">
      <c r="A3974" s="1">
        <v>45141</v>
      </c>
      <c r="B3974" t="s">
        <v>3579</v>
      </c>
      <c r="C3974">
        <v>3</v>
      </c>
      <c r="D3974" t="s">
        <v>9</v>
      </c>
      <c r="E3974" t="s">
        <v>25</v>
      </c>
      <c r="F3974" t="s">
        <v>16</v>
      </c>
      <c r="G3974" t="s">
        <v>17</v>
      </c>
      <c r="H3974">
        <v>4008.73</v>
      </c>
      <c r="I3974" s="8" t="str" cm="1">
        <f t="array" ref="I3974">_xlfn.IFS(C3974&lt;=15,"Children and Young Adolescents", C3974&gt;64, "Seniors", TRUE, "Working Age")</f>
        <v>Children and Young Adolescents</v>
      </c>
      <c r="J3974" s="6">
        <f>VLOOKUP(F3974,Analysis!$F$1:$G$5,2,FALSE)</f>
        <v>2509.1716796874912</v>
      </c>
      <c r="K3974">
        <f t="shared" si="248"/>
        <v>4409.6000000000004</v>
      </c>
      <c r="L3974">
        <f t="shared" si="249"/>
        <v>4409.6100000000006</v>
      </c>
      <c r="M3974">
        <f t="shared" si="250"/>
        <v>4409.6000000000004</v>
      </c>
      <c r="N3974" s="5" t="str">
        <f t="shared" si="251"/>
        <v>August 2023</v>
      </c>
    </row>
    <row r="3975" spans="1:14" x14ac:dyDescent="0.25">
      <c r="A3975" s="1">
        <v>45141</v>
      </c>
      <c r="B3975" t="s">
        <v>1710</v>
      </c>
      <c r="C3975">
        <v>34</v>
      </c>
      <c r="D3975" t="s">
        <v>21</v>
      </c>
      <c r="E3975" t="s">
        <v>15</v>
      </c>
      <c r="F3975" t="s">
        <v>29</v>
      </c>
      <c r="G3975" t="s">
        <v>39</v>
      </c>
      <c r="H3975">
        <v>4125.22</v>
      </c>
      <c r="I3975" s="8" t="str" cm="1">
        <f t="array" ref="I3975">_xlfn.IFS(C3975&lt;=15,"Children and Young Adolescents", C3975&gt;64, "Seniors", TRUE, "Working Age")</f>
        <v>Working Age</v>
      </c>
      <c r="J3975" s="6">
        <f>VLOOKUP(F3975,Analysis!$F$1:$G$5,2,FALSE)</f>
        <v>2496.7676064256989</v>
      </c>
      <c r="K3975">
        <f t="shared" si="248"/>
        <v>4537.74</v>
      </c>
      <c r="L3975">
        <f t="shared" si="249"/>
        <v>4537.75</v>
      </c>
      <c r="M3975">
        <f t="shared" si="250"/>
        <v>4537.74</v>
      </c>
      <c r="N3975" s="5" t="str">
        <f t="shared" si="251"/>
        <v>August 2023</v>
      </c>
    </row>
    <row r="3976" spans="1:14" x14ac:dyDescent="0.25">
      <c r="A3976" s="1">
        <v>45141</v>
      </c>
      <c r="B3976" t="s">
        <v>2445</v>
      </c>
      <c r="C3976">
        <v>26</v>
      </c>
      <c r="D3976" t="s">
        <v>14</v>
      </c>
      <c r="E3976" t="s">
        <v>10</v>
      </c>
      <c r="F3976" t="s">
        <v>29</v>
      </c>
      <c r="G3976" t="s">
        <v>36</v>
      </c>
      <c r="H3976">
        <v>1864.71</v>
      </c>
      <c r="I3976" s="8" t="str" cm="1">
        <f t="array" ref="I3976">_xlfn.IFS(C3976&lt;=15,"Children and Young Adolescents", C3976&gt;64, "Seniors", TRUE, "Working Age")</f>
        <v>Working Age</v>
      </c>
      <c r="J3976" s="6">
        <f>VLOOKUP(F3976,Analysis!$F$1:$G$5,2,FALSE)</f>
        <v>2496.7676064256989</v>
      </c>
      <c r="K3976">
        <f t="shared" si="248"/>
        <v>2051.1799999999998</v>
      </c>
      <c r="L3976">
        <f t="shared" si="249"/>
        <v>2051.19</v>
      </c>
      <c r="M3976">
        <f t="shared" si="250"/>
        <v>2051.1799999999998</v>
      </c>
      <c r="N3976" s="5" t="str">
        <f t="shared" si="251"/>
        <v>August 2023</v>
      </c>
    </row>
    <row r="3977" spans="1:14" x14ac:dyDescent="0.25">
      <c r="A3977" s="1">
        <v>45142</v>
      </c>
      <c r="B3977" t="s">
        <v>1821</v>
      </c>
      <c r="C3977">
        <v>61</v>
      </c>
      <c r="D3977" t="s">
        <v>21</v>
      </c>
      <c r="E3977" t="s">
        <v>22</v>
      </c>
      <c r="F3977" t="s">
        <v>29</v>
      </c>
      <c r="G3977" t="s">
        <v>36</v>
      </c>
      <c r="H3977">
        <v>740.31</v>
      </c>
      <c r="I3977" s="8" t="str" cm="1">
        <f t="array" ref="I3977">_xlfn.IFS(C3977&lt;=15,"Children and Young Adolescents", C3977&gt;64, "Seniors", TRUE, "Working Age")</f>
        <v>Working Age</v>
      </c>
      <c r="J3977" s="6">
        <f>VLOOKUP(F3977,Analysis!$F$1:$G$5,2,FALSE)</f>
        <v>2496.7676064256989</v>
      </c>
      <c r="K3977">
        <f t="shared" si="248"/>
        <v>814.34</v>
      </c>
      <c r="L3977">
        <f t="shared" si="249"/>
        <v>814.35</v>
      </c>
      <c r="M3977">
        <f t="shared" si="250"/>
        <v>814.34</v>
      </c>
      <c r="N3977" s="5" t="str">
        <f t="shared" si="251"/>
        <v>August 2023</v>
      </c>
    </row>
    <row r="3978" spans="1:14" x14ac:dyDescent="0.25">
      <c r="A3978" s="1">
        <v>45142</v>
      </c>
      <c r="B3978" t="s">
        <v>4401</v>
      </c>
      <c r="C3978">
        <v>6</v>
      </c>
      <c r="D3978" t="s">
        <v>14</v>
      </c>
      <c r="E3978" t="s">
        <v>22</v>
      </c>
      <c r="F3978" t="s">
        <v>23</v>
      </c>
      <c r="G3978" t="s">
        <v>17</v>
      </c>
      <c r="H3978">
        <v>538.9</v>
      </c>
      <c r="I3978" s="8" t="str" cm="1">
        <f t="array" ref="I3978">_xlfn.IFS(C3978&lt;=15,"Children and Young Adolescents", C3978&gt;64, "Seniors", TRUE, "Working Age")</f>
        <v>Children and Young Adolescents</v>
      </c>
      <c r="J3978" s="6">
        <f>VLOOKUP(F3978,Analysis!$F$1:$G$5,2,FALSE)</f>
        <v>2440.2966694490838</v>
      </c>
      <c r="K3978">
        <f t="shared" si="248"/>
        <v>592.79</v>
      </c>
      <c r="L3978">
        <f t="shared" si="249"/>
        <v>592.79</v>
      </c>
      <c r="M3978">
        <f t="shared" si="250"/>
        <v>592.79</v>
      </c>
      <c r="N3978" s="5" t="str">
        <f t="shared" si="251"/>
        <v>August 2023</v>
      </c>
    </row>
    <row r="3979" spans="1:14" x14ac:dyDescent="0.25">
      <c r="A3979" s="1">
        <v>45142</v>
      </c>
      <c r="B3979" t="s">
        <v>2473</v>
      </c>
      <c r="C3979">
        <v>57</v>
      </c>
      <c r="D3979" t="s">
        <v>21</v>
      </c>
      <c r="E3979" t="s">
        <v>25</v>
      </c>
      <c r="F3979" t="s">
        <v>16</v>
      </c>
      <c r="G3979" t="s">
        <v>27</v>
      </c>
      <c r="H3979">
        <v>4090.59</v>
      </c>
      <c r="I3979" s="8" t="str" cm="1">
        <f t="array" ref="I3979">_xlfn.IFS(C3979&lt;=15,"Children and Young Adolescents", C3979&gt;64, "Seniors", TRUE, "Working Age")</f>
        <v>Working Age</v>
      </c>
      <c r="J3979" s="6">
        <f>VLOOKUP(F3979,Analysis!$F$1:$G$5,2,FALSE)</f>
        <v>2509.1716796874912</v>
      </c>
      <c r="K3979">
        <f t="shared" si="248"/>
        <v>4499.6400000000003</v>
      </c>
      <c r="L3979">
        <f t="shared" si="249"/>
        <v>4499.6500000000005</v>
      </c>
      <c r="M3979">
        <f t="shared" si="250"/>
        <v>4499.6499999999996</v>
      </c>
      <c r="N3979" s="5" t="str">
        <f t="shared" si="251"/>
        <v>August 2023</v>
      </c>
    </row>
    <row r="3980" spans="1:14" x14ac:dyDescent="0.25">
      <c r="A3980" s="1">
        <v>45142</v>
      </c>
      <c r="B3980" t="s">
        <v>1200</v>
      </c>
      <c r="C3980">
        <v>66</v>
      </c>
      <c r="D3980" t="s">
        <v>14</v>
      </c>
      <c r="E3980" t="s">
        <v>22</v>
      </c>
      <c r="F3980" t="s">
        <v>11</v>
      </c>
      <c r="G3980" t="s">
        <v>5033</v>
      </c>
      <c r="H3980">
        <v>3367.13</v>
      </c>
      <c r="I3980" s="8" t="str" cm="1">
        <f t="array" ref="I3980">_xlfn.IFS(C3980&lt;=15,"Children and Young Adolescents", C3980&gt;64, "Seniors", TRUE, "Working Age")</f>
        <v>Seniors</v>
      </c>
      <c r="J3980" s="6">
        <f>VLOOKUP(F3980,Analysis!$F$1:$G$5,2,FALSE)</f>
        <v>2503.6022787783854</v>
      </c>
      <c r="K3980">
        <f t="shared" si="248"/>
        <v>3703.84</v>
      </c>
      <c r="L3980">
        <f t="shared" si="249"/>
        <v>3703.8500000000004</v>
      </c>
      <c r="M3980">
        <f t="shared" si="250"/>
        <v>3703.84</v>
      </c>
      <c r="N3980" s="5" t="str">
        <f t="shared" si="251"/>
        <v>August 2023</v>
      </c>
    </row>
    <row r="3981" spans="1:14" x14ac:dyDescent="0.25">
      <c r="A3981" s="1">
        <v>45142</v>
      </c>
      <c r="B3981" t="s">
        <v>2240</v>
      </c>
      <c r="C3981">
        <v>98</v>
      </c>
      <c r="D3981" t="s">
        <v>9</v>
      </c>
      <c r="E3981" t="s">
        <v>22</v>
      </c>
      <c r="F3981" t="s">
        <v>16</v>
      </c>
      <c r="G3981" t="s">
        <v>12</v>
      </c>
      <c r="H3981">
        <v>3111.39</v>
      </c>
      <c r="I3981" s="8" t="str" cm="1">
        <f t="array" ref="I3981">_xlfn.IFS(C3981&lt;=15,"Children and Young Adolescents", C3981&gt;64, "Seniors", TRUE, "Working Age")</f>
        <v>Seniors</v>
      </c>
      <c r="J3981" s="6">
        <f>VLOOKUP(F3981,Analysis!$F$1:$G$5,2,FALSE)</f>
        <v>2509.1716796874912</v>
      </c>
      <c r="K3981">
        <f t="shared" si="248"/>
        <v>3422.52</v>
      </c>
      <c r="L3981">
        <f t="shared" si="249"/>
        <v>3422.53</v>
      </c>
      <c r="M3981">
        <f t="shared" si="250"/>
        <v>3422.53</v>
      </c>
      <c r="N3981" s="5" t="str">
        <f t="shared" si="251"/>
        <v>August 2023</v>
      </c>
    </row>
    <row r="3982" spans="1:14" x14ac:dyDescent="0.25">
      <c r="A3982" s="1">
        <v>45142</v>
      </c>
      <c r="B3982" t="s">
        <v>2983</v>
      </c>
      <c r="C3982">
        <v>1</v>
      </c>
      <c r="D3982" t="s">
        <v>14</v>
      </c>
      <c r="E3982" t="s">
        <v>32</v>
      </c>
      <c r="F3982" t="s">
        <v>16</v>
      </c>
      <c r="G3982" t="s">
        <v>17</v>
      </c>
      <c r="H3982">
        <v>378.87</v>
      </c>
      <c r="I3982" s="8" t="str" cm="1">
        <f t="array" ref="I3982">_xlfn.IFS(C3982&lt;=15,"Children and Young Adolescents", C3982&gt;64, "Seniors", TRUE, "Working Age")</f>
        <v>Children and Young Adolescents</v>
      </c>
      <c r="J3982" s="6">
        <f>VLOOKUP(F3982,Analysis!$F$1:$G$5,2,FALSE)</f>
        <v>2509.1716796874912</v>
      </c>
      <c r="K3982">
        <f t="shared" si="248"/>
        <v>416.75</v>
      </c>
      <c r="L3982">
        <f t="shared" si="249"/>
        <v>416.76</v>
      </c>
      <c r="M3982">
        <f t="shared" si="250"/>
        <v>416.76</v>
      </c>
      <c r="N3982" s="5" t="str">
        <f t="shared" si="251"/>
        <v>August 2023</v>
      </c>
    </row>
    <row r="3983" spans="1:14" x14ac:dyDescent="0.25">
      <c r="A3983" s="1">
        <v>45143</v>
      </c>
      <c r="B3983" t="s">
        <v>2009</v>
      </c>
      <c r="C3983">
        <v>6</v>
      </c>
      <c r="D3983" t="s">
        <v>14</v>
      </c>
      <c r="E3983" t="s">
        <v>10</v>
      </c>
      <c r="F3983" t="s">
        <v>16</v>
      </c>
      <c r="G3983" t="s">
        <v>36</v>
      </c>
      <c r="H3983">
        <v>3398.46</v>
      </c>
      <c r="I3983" s="8" t="str" cm="1">
        <f t="array" ref="I3983">_xlfn.IFS(C3983&lt;=15,"Children and Young Adolescents", C3983&gt;64, "Seniors", TRUE, "Working Age")</f>
        <v>Children and Young Adolescents</v>
      </c>
      <c r="J3983" s="6">
        <f>VLOOKUP(F3983,Analysis!$F$1:$G$5,2,FALSE)</f>
        <v>2509.1716796874912</v>
      </c>
      <c r="K3983">
        <f t="shared" si="248"/>
        <v>3738.3</v>
      </c>
      <c r="L3983">
        <f t="shared" si="249"/>
        <v>3738.3100000000004</v>
      </c>
      <c r="M3983">
        <f t="shared" si="250"/>
        <v>3738.31</v>
      </c>
      <c r="N3983" s="5" t="str">
        <f t="shared" si="251"/>
        <v>August 2023</v>
      </c>
    </row>
    <row r="3984" spans="1:14" x14ac:dyDescent="0.25">
      <c r="A3984" s="1">
        <v>45143</v>
      </c>
      <c r="B3984" t="s">
        <v>2290</v>
      </c>
      <c r="C3984">
        <v>99</v>
      </c>
      <c r="D3984" t="s">
        <v>9</v>
      </c>
      <c r="E3984" t="s">
        <v>15</v>
      </c>
      <c r="F3984" t="s">
        <v>29</v>
      </c>
      <c r="G3984" t="s">
        <v>27</v>
      </c>
      <c r="H3984">
        <v>3286.18</v>
      </c>
      <c r="I3984" s="8" t="str" cm="1">
        <f t="array" ref="I3984">_xlfn.IFS(C3984&lt;=15,"Children and Young Adolescents", C3984&gt;64, "Seniors", TRUE, "Working Age")</f>
        <v>Seniors</v>
      </c>
      <c r="J3984" s="6">
        <f>VLOOKUP(F3984,Analysis!$F$1:$G$5,2,FALSE)</f>
        <v>2496.7676064256989</v>
      </c>
      <c r="K3984">
        <f t="shared" si="248"/>
        <v>3614.79</v>
      </c>
      <c r="L3984">
        <f t="shared" si="249"/>
        <v>3614.8</v>
      </c>
      <c r="M3984">
        <f t="shared" si="250"/>
        <v>3614.8</v>
      </c>
      <c r="N3984" s="5" t="str">
        <f t="shared" si="251"/>
        <v>August 2023</v>
      </c>
    </row>
    <row r="3985" spans="1:14" x14ac:dyDescent="0.25">
      <c r="A3985" s="1">
        <v>45143</v>
      </c>
      <c r="B3985" t="s">
        <v>1990</v>
      </c>
      <c r="C3985">
        <v>17</v>
      </c>
      <c r="D3985" t="s">
        <v>14</v>
      </c>
      <c r="E3985" t="s">
        <v>10</v>
      </c>
      <c r="F3985" t="s">
        <v>16</v>
      </c>
      <c r="G3985" t="s">
        <v>17</v>
      </c>
      <c r="H3985">
        <v>2317.79</v>
      </c>
      <c r="I3985" s="8" t="str" cm="1">
        <f t="array" ref="I3985">_xlfn.IFS(C3985&lt;=15,"Children and Young Adolescents", C3985&gt;64, "Seniors", TRUE, "Working Age")</f>
        <v>Working Age</v>
      </c>
      <c r="J3985" s="6">
        <f>VLOOKUP(F3985,Analysis!$F$1:$G$5,2,FALSE)</f>
        <v>2509.1716796874912</v>
      </c>
      <c r="K3985">
        <f t="shared" si="248"/>
        <v>2549.56</v>
      </c>
      <c r="L3985">
        <f t="shared" si="249"/>
        <v>2549.5700000000002</v>
      </c>
      <c r="M3985">
        <f t="shared" si="250"/>
        <v>2549.5700000000002</v>
      </c>
      <c r="N3985" s="5" t="str">
        <f t="shared" si="251"/>
        <v>August 2023</v>
      </c>
    </row>
    <row r="3986" spans="1:14" x14ac:dyDescent="0.25">
      <c r="A3986" s="1">
        <v>45143</v>
      </c>
      <c r="B3986" t="s">
        <v>3886</v>
      </c>
      <c r="C3986">
        <v>39</v>
      </c>
      <c r="D3986" t="s">
        <v>9</v>
      </c>
      <c r="E3986" t="s">
        <v>19</v>
      </c>
      <c r="F3986" t="s">
        <v>16</v>
      </c>
      <c r="G3986" t="s">
        <v>39</v>
      </c>
      <c r="H3986">
        <v>3854.94</v>
      </c>
      <c r="I3986" s="8" t="str" cm="1">
        <f t="array" ref="I3986">_xlfn.IFS(C3986&lt;=15,"Children and Young Adolescents", C3986&gt;64, "Seniors", TRUE, "Working Age")</f>
        <v>Working Age</v>
      </c>
      <c r="J3986" s="6">
        <f>VLOOKUP(F3986,Analysis!$F$1:$G$5,2,FALSE)</f>
        <v>2509.1716796874912</v>
      </c>
      <c r="K3986">
        <f t="shared" si="248"/>
        <v>4240.43</v>
      </c>
      <c r="L3986">
        <f t="shared" si="249"/>
        <v>4240.4400000000005</v>
      </c>
      <c r="M3986">
        <f t="shared" si="250"/>
        <v>4240.43</v>
      </c>
      <c r="N3986" s="5" t="str">
        <f t="shared" si="251"/>
        <v>August 2023</v>
      </c>
    </row>
    <row r="3987" spans="1:14" x14ac:dyDescent="0.25">
      <c r="A3987" s="1">
        <v>45143</v>
      </c>
      <c r="B3987" t="s">
        <v>3560</v>
      </c>
      <c r="C3987">
        <v>94</v>
      </c>
      <c r="D3987" t="s">
        <v>9</v>
      </c>
      <c r="E3987" t="s">
        <v>34</v>
      </c>
      <c r="F3987" t="s">
        <v>29</v>
      </c>
      <c r="G3987" t="s">
        <v>36</v>
      </c>
      <c r="H3987">
        <v>2107.56</v>
      </c>
      <c r="I3987" s="8" t="str" cm="1">
        <f t="array" ref="I3987">_xlfn.IFS(C3987&lt;=15,"Children and Young Adolescents", C3987&gt;64, "Seniors", TRUE, "Working Age")</f>
        <v>Seniors</v>
      </c>
      <c r="J3987" s="6">
        <f>VLOOKUP(F3987,Analysis!$F$1:$G$5,2,FALSE)</f>
        <v>2496.7676064256989</v>
      </c>
      <c r="K3987">
        <f t="shared" si="248"/>
        <v>2318.31</v>
      </c>
      <c r="L3987">
        <f t="shared" si="249"/>
        <v>2318.3200000000002</v>
      </c>
      <c r="M3987">
        <f t="shared" si="250"/>
        <v>2318.3200000000002</v>
      </c>
      <c r="N3987" s="5" t="str">
        <f t="shared" si="251"/>
        <v>August 2023</v>
      </c>
    </row>
    <row r="3988" spans="1:14" x14ac:dyDescent="0.25">
      <c r="A3988" s="1">
        <v>45143</v>
      </c>
      <c r="B3988" t="s">
        <v>1193</v>
      </c>
      <c r="C3988">
        <v>74</v>
      </c>
      <c r="D3988" t="s">
        <v>21</v>
      </c>
      <c r="E3988" t="s">
        <v>10</v>
      </c>
      <c r="F3988" t="s">
        <v>11</v>
      </c>
      <c r="G3988" t="s">
        <v>17</v>
      </c>
      <c r="H3988">
        <v>1941.51</v>
      </c>
      <c r="I3988" s="8" t="str" cm="1">
        <f t="array" ref="I3988">_xlfn.IFS(C3988&lt;=15,"Children and Young Adolescents", C3988&gt;64, "Seniors", TRUE, "Working Age")</f>
        <v>Seniors</v>
      </c>
      <c r="J3988" s="6">
        <f>VLOOKUP(F3988,Analysis!$F$1:$G$5,2,FALSE)</f>
        <v>2503.6022787783854</v>
      </c>
      <c r="K3988">
        <f t="shared" si="248"/>
        <v>2135.66</v>
      </c>
      <c r="L3988">
        <f t="shared" si="249"/>
        <v>2135.67</v>
      </c>
      <c r="M3988">
        <f t="shared" si="250"/>
        <v>2135.66</v>
      </c>
      <c r="N3988" s="5" t="str">
        <f t="shared" si="251"/>
        <v>August 2023</v>
      </c>
    </row>
    <row r="3989" spans="1:14" x14ac:dyDescent="0.25">
      <c r="A3989" s="1">
        <v>45143</v>
      </c>
      <c r="B3989" t="s">
        <v>2730</v>
      </c>
      <c r="C3989">
        <v>82</v>
      </c>
      <c r="D3989" t="s">
        <v>14</v>
      </c>
      <c r="E3989" t="s">
        <v>10</v>
      </c>
      <c r="F3989" t="s">
        <v>23</v>
      </c>
      <c r="G3989" t="s">
        <v>36</v>
      </c>
      <c r="H3989">
        <v>1771.23</v>
      </c>
      <c r="I3989" s="8" t="str" cm="1">
        <f t="array" ref="I3989">_xlfn.IFS(C3989&lt;=15,"Children and Young Adolescents", C3989&gt;64, "Seniors", TRUE, "Working Age")</f>
        <v>Seniors</v>
      </c>
      <c r="J3989" s="6">
        <f>VLOOKUP(F3989,Analysis!$F$1:$G$5,2,FALSE)</f>
        <v>2440.2966694490838</v>
      </c>
      <c r="K3989">
        <f t="shared" si="248"/>
        <v>1948.35</v>
      </c>
      <c r="L3989">
        <f t="shared" si="249"/>
        <v>1948.36</v>
      </c>
      <c r="M3989">
        <f t="shared" si="250"/>
        <v>1948.35</v>
      </c>
      <c r="N3989" s="5" t="str">
        <f t="shared" si="251"/>
        <v>August 2023</v>
      </c>
    </row>
    <row r="3990" spans="1:14" x14ac:dyDescent="0.25">
      <c r="A3990" s="1">
        <v>45143</v>
      </c>
      <c r="B3990" t="s">
        <v>1731</v>
      </c>
      <c r="C3990">
        <v>96</v>
      </c>
      <c r="D3990" t="s">
        <v>9</v>
      </c>
      <c r="E3990" t="s">
        <v>22</v>
      </c>
      <c r="F3990" t="s">
        <v>29</v>
      </c>
      <c r="G3990" t="s">
        <v>17</v>
      </c>
      <c r="H3990">
        <v>1147.24</v>
      </c>
      <c r="I3990" s="8" t="str" cm="1">
        <f t="array" ref="I3990">_xlfn.IFS(C3990&lt;=15,"Children and Young Adolescents", C3990&gt;64, "Seniors", TRUE, "Working Age")</f>
        <v>Seniors</v>
      </c>
      <c r="J3990" s="6">
        <f>VLOOKUP(F3990,Analysis!$F$1:$G$5,2,FALSE)</f>
        <v>2496.7676064256989</v>
      </c>
      <c r="K3990">
        <f t="shared" si="248"/>
        <v>1261.96</v>
      </c>
      <c r="L3990">
        <f t="shared" si="249"/>
        <v>1261.97</v>
      </c>
      <c r="M3990">
        <f t="shared" si="250"/>
        <v>1261.96</v>
      </c>
      <c r="N3990" s="5" t="str">
        <f t="shared" si="251"/>
        <v>August 2023</v>
      </c>
    </row>
    <row r="3991" spans="1:14" x14ac:dyDescent="0.25">
      <c r="A3991" s="1">
        <v>45143</v>
      </c>
      <c r="B3991" t="s">
        <v>3795</v>
      </c>
      <c r="C3991">
        <v>61</v>
      </c>
      <c r="D3991" t="s">
        <v>21</v>
      </c>
      <c r="E3991" t="s">
        <v>22</v>
      </c>
      <c r="F3991" t="s">
        <v>23</v>
      </c>
      <c r="G3991" t="s">
        <v>17</v>
      </c>
      <c r="H3991">
        <v>2250.96</v>
      </c>
      <c r="I3991" s="8" t="str" cm="1">
        <f t="array" ref="I3991">_xlfn.IFS(C3991&lt;=15,"Children and Young Adolescents", C3991&gt;64, "Seniors", TRUE, "Working Age")</f>
        <v>Working Age</v>
      </c>
      <c r="J3991" s="6">
        <f>VLOOKUP(F3991,Analysis!$F$1:$G$5,2,FALSE)</f>
        <v>2440.2966694490838</v>
      </c>
      <c r="K3991">
        <f t="shared" si="248"/>
        <v>2476.0500000000002</v>
      </c>
      <c r="L3991">
        <f t="shared" si="249"/>
        <v>2476.0600000000004</v>
      </c>
      <c r="M3991">
        <f t="shared" si="250"/>
        <v>2476.06</v>
      </c>
      <c r="N3991" s="5" t="str">
        <f t="shared" si="251"/>
        <v>August 2023</v>
      </c>
    </row>
    <row r="3992" spans="1:14" x14ac:dyDescent="0.25">
      <c r="A3992" s="1">
        <v>45143</v>
      </c>
      <c r="B3992" t="s">
        <v>1702</v>
      </c>
      <c r="C3992">
        <v>82</v>
      </c>
      <c r="D3992" t="s">
        <v>9</v>
      </c>
      <c r="E3992" t="s">
        <v>22</v>
      </c>
      <c r="F3992" t="s">
        <v>29</v>
      </c>
      <c r="G3992" t="s">
        <v>17</v>
      </c>
      <c r="H3992">
        <v>4379.83</v>
      </c>
      <c r="I3992" s="8" t="str" cm="1">
        <f t="array" ref="I3992">_xlfn.IFS(C3992&lt;=15,"Children and Young Adolescents", C3992&gt;64, "Seniors", TRUE, "Working Age")</f>
        <v>Seniors</v>
      </c>
      <c r="J3992" s="6">
        <f>VLOOKUP(F3992,Analysis!$F$1:$G$5,2,FALSE)</f>
        <v>2496.7676064256989</v>
      </c>
      <c r="K3992">
        <f t="shared" si="248"/>
        <v>4817.8100000000004</v>
      </c>
      <c r="L3992">
        <f t="shared" si="249"/>
        <v>4817.8200000000006</v>
      </c>
      <c r="M3992">
        <f t="shared" si="250"/>
        <v>4817.8100000000004</v>
      </c>
      <c r="N3992" s="5" t="str">
        <f t="shared" si="251"/>
        <v>August 2023</v>
      </c>
    </row>
    <row r="3993" spans="1:14" x14ac:dyDescent="0.25">
      <c r="A3993" s="1">
        <v>45143</v>
      </c>
      <c r="B3993" t="s">
        <v>4123</v>
      </c>
      <c r="C3993">
        <v>99</v>
      </c>
      <c r="D3993" t="s">
        <v>9</v>
      </c>
      <c r="E3993" t="s">
        <v>15</v>
      </c>
      <c r="F3993" t="s">
        <v>16</v>
      </c>
      <c r="G3993" t="s">
        <v>39</v>
      </c>
      <c r="H3993">
        <v>356.29</v>
      </c>
      <c r="I3993" s="8" t="str" cm="1">
        <f t="array" ref="I3993">_xlfn.IFS(C3993&lt;=15,"Children and Young Adolescents", C3993&gt;64, "Seniors", TRUE, "Working Age")</f>
        <v>Seniors</v>
      </c>
      <c r="J3993" s="6">
        <f>VLOOKUP(F3993,Analysis!$F$1:$G$5,2,FALSE)</f>
        <v>2509.1716796874912</v>
      </c>
      <c r="K3993">
        <f t="shared" si="248"/>
        <v>391.91</v>
      </c>
      <c r="L3993">
        <f t="shared" si="249"/>
        <v>391.92</v>
      </c>
      <c r="M3993">
        <f t="shared" si="250"/>
        <v>391.92</v>
      </c>
      <c r="N3993" s="5" t="str">
        <f t="shared" si="251"/>
        <v>August 2023</v>
      </c>
    </row>
    <row r="3994" spans="1:14" x14ac:dyDescent="0.25">
      <c r="A3994" s="1">
        <v>45143</v>
      </c>
      <c r="B3994" t="s">
        <v>397</v>
      </c>
      <c r="C3994">
        <v>62</v>
      </c>
      <c r="D3994" t="s">
        <v>21</v>
      </c>
      <c r="E3994" t="s">
        <v>15</v>
      </c>
      <c r="F3994" t="s">
        <v>23</v>
      </c>
      <c r="G3994" t="s">
        <v>12</v>
      </c>
      <c r="H3994">
        <v>748.08</v>
      </c>
      <c r="I3994" s="8" t="str" cm="1">
        <f t="array" ref="I3994">_xlfn.IFS(C3994&lt;=15,"Children and Young Adolescents", C3994&gt;64, "Seniors", TRUE, "Working Age")</f>
        <v>Working Age</v>
      </c>
      <c r="J3994" s="6">
        <f>VLOOKUP(F3994,Analysis!$F$1:$G$5,2,FALSE)</f>
        <v>2440.2966694490838</v>
      </c>
      <c r="K3994">
        <f t="shared" si="248"/>
        <v>822.88</v>
      </c>
      <c r="L3994">
        <f t="shared" si="249"/>
        <v>822.89</v>
      </c>
      <c r="M3994">
        <f t="shared" si="250"/>
        <v>822.89</v>
      </c>
      <c r="N3994" s="5" t="str">
        <f t="shared" si="251"/>
        <v>August 2023</v>
      </c>
    </row>
    <row r="3995" spans="1:14" x14ac:dyDescent="0.25">
      <c r="A3995" s="1">
        <v>45144</v>
      </c>
      <c r="B3995" t="s">
        <v>3469</v>
      </c>
      <c r="C3995">
        <v>53</v>
      </c>
      <c r="D3995" t="s">
        <v>9</v>
      </c>
      <c r="E3995" t="s">
        <v>22</v>
      </c>
      <c r="F3995" t="s">
        <v>16</v>
      </c>
      <c r="G3995" t="s">
        <v>27</v>
      </c>
      <c r="H3995">
        <v>4449.01</v>
      </c>
      <c r="I3995" s="8" t="str" cm="1">
        <f t="array" ref="I3995">_xlfn.IFS(C3995&lt;=15,"Children and Young Adolescents", C3995&gt;64, "Seniors", TRUE, "Working Age")</f>
        <v>Working Age</v>
      </c>
      <c r="J3995" s="6">
        <f>VLOOKUP(F3995,Analysis!$F$1:$G$5,2,FALSE)</f>
        <v>2509.1716796874912</v>
      </c>
      <c r="K3995">
        <f t="shared" si="248"/>
        <v>4893.91</v>
      </c>
      <c r="L3995">
        <f t="shared" si="249"/>
        <v>4893.92</v>
      </c>
      <c r="M3995">
        <f t="shared" si="250"/>
        <v>4893.91</v>
      </c>
      <c r="N3995" s="5" t="str">
        <f t="shared" si="251"/>
        <v>August 2023</v>
      </c>
    </row>
    <row r="3996" spans="1:14" x14ac:dyDescent="0.25">
      <c r="A3996" s="1">
        <v>45144</v>
      </c>
      <c r="B3996" t="s">
        <v>4839</v>
      </c>
      <c r="C3996">
        <v>47</v>
      </c>
      <c r="D3996" t="s">
        <v>21</v>
      </c>
      <c r="E3996" t="s">
        <v>22</v>
      </c>
      <c r="F3996" t="s">
        <v>23</v>
      </c>
      <c r="G3996" t="s">
        <v>12</v>
      </c>
      <c r="H3996">
        <v>1898.95</v>
      </c>
      <c r="I3996" s="8" t="str" cm="1">
        <f t="array" ref="I3996">_xlfn.IFS(C3996&lt;=15,"Children and Young Adolescents", C3996&gt;64, "Seniors", TRUE, "Working Age")</f>
        <v>Working Age</v>
      </c>
      <c r="J3996" s="6">
        <f>VLOOKUP(F3996,Analysis!$F$1:$G$5,2,FALSE)</f>
        <v>2440.2966694490838</v>
      </c>
      <c r="K3996">
        <f t="shared" si="248"/>
        <v>2088.84</v>
      </c>
      <c r="L3996">
        <f t="shared" si="249"/>
        <v>2088.8500000000004</v>
      </c>
      <c r="M3996">
        <f t="shared" si="250"/>
        <v>2088.85</v>
      </c>
      <c r="N3996" s="5" t="str">
        <f t="shared" si="251"/>
        <v>August 2023</v>
      </c>
    </row>
    <row r="3997" spans="1:14" x14ac:dyDescent="0.25">
      <c r="A3997" s="1">
        <v>45144</v>
      </c>
      <c r="B3997" t="s">
        <v>4964</v>
      </c>
      <c r="C3997">
        <v>65</v>
      </c>
      <c r="D3997" t="s">
        <v>21</v>
      </c>
      <c r="E3997" t="s">
        <v>32</v>
      </c>
      <c r="F3997" t="s">
        <v>29</v>
      </c>
      <c r="G3997" t="s">
        <v>5033</v>
      </c>
      <c r="H3997">
        <v>4787.6099999999997</v>
      </c>
      <c r="I3997" s="8" t="str" cm="1">
        <f t="array" ref="I3997">_xlfn.IFS(C3997&lt;=15,"Children and Young Adolescents", C3997&gt;64, "Seniors", TRUE, "Working Age")</f>
        <v>Seniors</v>
      </c>
      <c r="J3997" s="6">
        <f>VLOOKUP(F3997,Analysis!$F$1:$G$5,2,FALSE)</f>
        <v>2496.7676064256989</v>
      </c>
      <c r="K3997">
        <f t="shared" si="248"/>
        <v>5266.37</v>
      </c>
      <c r="L3997">
        <f t="shared" si="249"/>
        <v>5266.38</v>
      </c>
      <c r="M3997">
        <f t="shared" si="250"/>
        <v>5266.37</v>
      </c>
      <c r="N3997" s="5" t="str">
        <f t="shared" si="251"/>
        <v>August 2023</v>
      </c>
    </row>
    <row r="3998" spans="1:14" x14ac:dyDescent="0.25">
      <c r="A3998" s="1">
        <v>45144</v>
      </c>
      <c r="B3998" t="s">
        <v>2548</v>
      </c>
      <c r="C3998">
        <v>29</v>
      </c>
      <c r="D3998" t="s">
        <v>9</v>
      </c>
      <c r="E3998" t="s">
        <v>19</v>
      </c>
      <c r="F3998" t="s">
        <v>11</v>
      </c>
      <c r="G3998" t="s">
        <v>27</v>
      </c>
      <c r="H3998">
        <v>4784.1099999999997</v>
      </c>
      <c r="I3998" s="8" t="str" cm="1">
        <f t="array" ref="I3998">_xlfn.IFS(C3998&lt;=15,"Children and Young Adolescents", C3998&gt;64, "Seniors", TRUE, "Working Age")</f>
        <v>Working Age</v>
      </c>
      <c r="J3998" s="6">
        <f>VLOOKUP(F3998,Analysis!$F$1:$G$5,2,FALSE)</f>
        <v>2503.6022787783854</v>
      </c>
      <c r="K3998">
        <f t="shared" si="248"/>
        <v>5262.52</v>
      </c>
      <c r="L3998">
        <f t="shared" si="249"/>
        <v>5262.5300000000007</v>
      </c>
      <c r="M3998">
        <f t="shared" si="250"/>
        <v>5262.52</v>
      </c>
      <c r="N3998" s="5" t="str">
        <f t="shared" si="251"/>
        <v>August 2023</v>
      </c>
    </row>
    <row r="3999" spans="1:14" x14ac:dyDescent="0.25">
      <c r="A3999" s="1">
        <v>45144</v>
      </c>
      <c r="B3999" t="s">
        <v>2225</v>
      </c>
      <c r="C3999">
        <v>97</v>
      </c>
      <c r="D3999" t="s">
        <v>9</v>
      </c>
      <c r="E3999" t="s">
        <v>15</v>
      </c>
      <c r="F3999" t="s">
        <v>23</v>
      </c>
      <c r="G3999" t="s">
        <v>36</v>
      </c>
      <c r="H3999">
        <v>701.15</v>
      </c>
      <c r="I3999" s="8" t="str" cm="1">
        <f t="array" ref="I3999">_xlfn.IFS(C3999&lt;=15,"Children and Young Adolescents", C3999&gt;64, "Seniors", TRUE, "Working Age")</f>
        <v>Seniors</v>
      </c>
      <c r="J3999" s="6">
        <f>VLOOKUP(F3999,Analysis!$F$1:$G$5,2,FALSE)</f>
        <v>2440.2966694490838</v>
      </c>
      <c r="K3999">
        <f t="shared" si="248"/>
        <v>771.26</v>
      </c>
      <c r="L3999">
        <f t="shared" si="249"/>
        <v>771.27</v>
      </c>
      <c r="M3999">
        <f t="shared" si="250"/>
        <v>771.27</v>
      </c>
      <c r="N3999" s="5" t="str">
        <f t="shared" si="251"/>
        <v>August 2023</v>
      </c>
    </row>
    <row r="4000" spans="1:14" x14ac:dyDescent="0.25">
      <c r="A4000" s="1">
        <v>45144</v>
      </c>
      <c r="B4000" t="s">
        <v>1471</v>
      </c>
      <c r="C4000">
        <v>78</v>
      </c>
      <c r="D4000" t="s">
        <v>21</v>
      </c>
      <c r="E4000" t="s">
        <v>19</v>
      </c>
      <c r="F4000" t="s">
        <v>16</v>
      </c>
      <c r="G4000" t="s">
        <v>27</v>
      </c>
      <c r="H4000">
        <v>654.41999999999996</v>
      </c>
      <c r="I4000" s="8" t="str" cm="1">
        <f t="array" ref="I4000">_xlfn.IFS(C4000&lt;=15,"Children and Young Adolescents", C4000&gt;64, "Seniors", TRUE, "Working Age")</f>
        <v>Seniors</v>
      </c>
      <c r="J4000" s="6">
        <f>VLOOKUP(F4000,Analysis!$F$1:$G$5,2,FALSE)</f>
        <v>2509.1716796874912</v>
      </c>
      <c r="K4000">
        <f t="shared" si="248"/>
        <v>719.86</v>
      </c>
      <c r="L4000">
        <f t="shared" si="249"/>
        <v>719.87</v>
      </c>
      <c r="M4000">
        <f t="shared" si="250"/>
        <v>719.86</v>
      </c>
      <c r="N4000" s="5" t="str">
        <f t="shared" si="251"/>
        <v>August 2023</v>
      </c>
    </row>
    <row r="4001" spans="1:14" x14ac:dyDescent="0.25">
      <c r="A4001" s="1">
        <v>45144</v>
      </c>
      <c r="B4001" t="s">
        <v>2128</v>
      </c>
      <c r="C4001">
        <v>65</v>
      </c>
      <c r="D4001" t="s">
        <v>9</v>
      </c>
      <c r="E4001" t="s">
        <v>34</v>
      </c>
      <c r="F4001" t="s">
        <v>29</v>
      </c>
      <c r="G4001" t="s">
        <v>39</v>
      </c>
      <c r="H4001">
        <v>3243.25</v>
      </c>
      <c r="I4001" s="8" t="str" cm="1">
        <f t="array" ref="I4001">_xlfn.IFS(C4001&lt;=15,"Children and Young Adolescents", C4001&gt;64, "Seniors", TRUE, "Working Age")</f>
        <v>Seniors</v>
      </c>
      <c r="J4001" s="6">
        <f>VLOOKUP(F4001,Analysis!$F$1:$G$5,2,FALSE)</f>
        <v>2496.7676064256989</v>
      </c>
      <c r="K4001">
        <f t="shared" si="248"/>
        <v>3567.57</v>
      </c>
      <c r="L4001">
        <f t="shared" si="249"/>
        <v>3567.5800000000004</v>
      </c>
      <c r="M4001">
        <f t="shared" si="250"/>
        <v>3567.58</v>
      </c>
      <c r="N4001" s="5" t="str">
        <f t="shared" si="251"/>
        <v>August 2023</v>
      </c>
    </row>
    <row r="4002" spans="1:14" x14ac:dyDescent="0.25">
      <c r="A4002" s="1">
        <v>45145</v>
      </c>
      <c r="B4002" t="s">
        <v>1125</v>
      </c>
      <c r="C4002">
        <v>72</v>
      </c>
      <c r="D4002" t="s">
        <v>9</v>
      </c>
      <c r="E4002" t="s">
        <v>10</v>
      </c>
      <c r="F4002" t="s">
        <v>16</v>
      </c>
      <c r="G4002" t="s">
        <v>39</v>
      </c>
      <c r="H4002">
        <v>2135.64</v>
      </c>
      <c r="I4002" s="8" t="str" cm="1">
        <f t="array" ref="I4002">_xlfn.IFS(C4002&lt;=15,"Children and Young Adolescents", C4002&gt;64, "Seniors", TRUE, "Working Age")</f>
        <v>Seniors</v>
      </c>
      <c r="J4002" s="6">
        <f>VLOOKUP(F4002,Analysis!$F$1:$G$5,2,FALSE)</f>
        <v>2509.1716796874912</v>
      </c>
      <c r="K4002">
        <f t="shared" si="248"/>
        <v>2349.1999999999998</v>
      </c>
      <c r="L4002">
        <f t="shared" si="249"/>
        <v>2349.21</v>
      </c>
      <c r="M4002">
        <f t="shared" si="250"/>
        <v>2349.1999999999998</v>
      </c>
      <c r="N4002" s="5" t="str">
        <f t="shared" si="251"/>
        <v>August 2023</v>
      </c>
    </row>
    <row r="4003" spans="1:14" x14ac:dyDescent="0.25">
      <c r="A4003" s="1">
        <v>45145</v>
      </c>
      <c r="B4003" t="s">
        <v>3852</v>
      </c>
      <c r="C4003">
        <v>19</v>
      </c>
      <c r="D4003" t="s">
        <v>21</v>
      </c>
      <c r="E4003" t="s">
        <v>5032</v>
      </c>
      <c r="F4003" t="s">
        <v>29</v>
      </c>
      <c r="G4003" t="s">
        <v>27</v>
      </c>
      <c r="H4003">
        <v>3004.67</v>
      </c>
      <c r="I4003" s="8" t="str" cm="1">
        <f t="array" ref="I4003">_xlfn.IFS(C4003&lt;=15,"Children and Young Adolescents", C4003&gt;64, "Seniors", TRUE, "Working Age")</f>
        <v>Working Age</v>
      </c>
      <c r="J4003" s="6">
        <f>VLOOKUP(F4003,Analysis!$F$1:$G$5,2,FALSE)</f>
        <v>2496.7676064256989</v>
      </c>
      <c r="K4003">
        <f t="shared" si="248"/>
        <v>3305.13</v>
      </c>
      <c r="L4003">
        <f t="shared" si="249"/>
        <v>3305.1400000000003</v>
      </c>
      <c r="M4003">
        <f t="shared" si="250"/>
        <v>3305.14</v>
      </c>
      <c r="N4003" s="5" t="str">
        <f t="shared" si="251"/>
        <v>August 2023</v>
      </c>
    </row>
    <row r="4004" spans="1:14" x14ac:dyDescent="0.25">
      <c r="A4004" s="1">
        <v>45145</v>
      </c>
      <c r="B4004" t="s">
        <v>4527</v>
      </c>
      <c r="C4004">
        <v>72</v>
      </c>
      <c r="D4004" t="s">
        <v>9</v>
      </c>
      <c r="E4004" t="s">
        <v>19</v>
      </c>
      <c r="F4004" t="s">
        <v>16</v>
      </c>
      <c r="G4004" t="s">
        <v>12</v>
      </c>
      <c r="H4004">
        <v>2183.31</v>
      </c>
      <c r="I4004" s="8" t="str" cm="1">
        <f t="array" ref="I4004">_xlfn.IFS(C4004&lt;=15,"Children and Young Adolescents", C4004&gt;64, "Seniors", TRUE, "Working Age")</f>
        <v>Seniors</v>
      </c>
      <c r="J4004" s="6">
        <f>VLOOKUP(F4004,Analysis!$F$1:$G$5,2,FALSE)</f>
        <v>2509.1716796874912</v>
      </c>
      <c r="K4004">
        <f t="shared" si="248"/>
        <v>2401.64</v>
      </c>
      <c r="L4004">
        <f t="shared" si="249"/>
        <v>2401.65</v>
      </c>
      <c r="M4004">
        <f t="shared" si="250"/>
        <v>2401.64</v>
      </c>
      <c r="N4004" s="5" t="str">
        <f t="shared" si="251"/>
        <v>August 2023</v>
      </c>
    </row>
    <row r="4005" spans="1:14" x14ac:dyDescent="0.25">
      <c r="A4005" s="1">
        <v>45145</v>
      </c>
      <c r="B4005" t="s">
        <v>3479</v>
      </c>
      <c r="C4005">
        <v>89</v>
      </c>
      <c r="D4005" t="s">
        <v>14</v>
      </c>
      <c r="E4005" t="s">
        <v>15</v>
      </c>
      <c r="F4005" t="s">
        <v>11</v>
      </c>
      <c r="G4005" t="s">
        <v>39</v>
      </c>
      <c r="H4005">
        <v>3987.41</v>
      </c>
      <c r="I4005" s="8" t="str" cm="1">
        <f t="array" ref="I4005">_xlfn.IFS(C4005&lt;=15,"Children and Young Adolescents", C4005&gt;64, "Seniors", TRUE, "Working Age")</f>
        <v>Seniors</v>
      </c>
      <c r="J4005" s="6">
        <f>VLOOKUP(F4005,Analysis!$F$1:$G$5,2,FALSE)</f>
        <v>2503.6022787783854</v>
      </c>
      <c r="K4005">
        <f t="shared" si="248"/>
        <v>4386.1499999999996</v>
      </c>
      <c r="L4005">
        <f t="shared" si="249"/>
        <v>4386.16</v>
      </c>
      <c r="M4005">
        <f t="shared" si="250"/>
        <v>4386.1499999999996</v>
      </c>
      <c r="N4005" s="5" t="str">
        <f t="shared" si="251"/>
        <v>August 2023</v>
      </c>
    </row>
    <row r="4006" spans="1:14" x14ac:dyDescent="0.25">
      <c r="A4006" s="1">
        <v>45145</v>
      </c>
      <c r="B4006" t="s">
        <v>1968</v>
      </c>
      <c r="C4006">
        <v>43</v>
      </c>
      <c r="D4006" t="s">
        <v>9</v>
      </c>
      <c r="E4006" t="s">
        <v>19</v>
      </c>
      <c r="F4006" t="s">
        <v>11</v>
      </c>
      <c r="G4006" t="s">
        <v>36</v>
      </c>
      <c r="H4006">
        <v>4588.24</v>
      </c>
      <c r="I4006" s="8" t="str" cm="1">
        <f t="array" ref="I4006">_xlfn.IFS(C4006&lt;=15,"Children and Young Adolescents", C4006&gt;64, "Seniors", TRUE, "Working Age")</f>
        <v>Working Age</v>
      </c>
      <c r="J4006" s="6">
        <f>VLOOKUP(F4006,Analysis!$F$1:$G$5,2,FALSE)</f>
        <v>2503.6022787783854</v>
      </c>
      <c r="K4006">
        <f t="shared" si="248"/>
        <v>5047.0600000000004</v>
      </c>
      <c r="L4006">
        <f t="shared" si="249"/>
        <v>5047.0700000000006</v>
      </c>
      <c r="M4006">
        <f t="shared" si="250"/>
        <v>5047.0600000000004</v>
      </c>
      <c r="N4006" s="5" t="str">
        <f t="shared" si="251"/>
        <v>August 2023</v>
      </c>
    </row>
    <row r="4007" spans="1:14" x14ac:dyDescent="0.25">
      <c r="A4007" s="1">
        <v>45145</v>
      </c>
      <c r="B4007" t="s">
        <v>2997</v>
      </c>
      <c r="C4007">
        <v>31</v>
      </c>
      <c r="D4007" t="s">
        <v>21</v>
      </c>
      <c r="E4007" t="s">
        <v>5032</v>
      </c>
      <c r="F4007" t="s">
        <v>11</v>
      </c>
      <c r="G4007" t="s">
        <v>17</v>
      </c>
      <c r="H4007">
        <v>747.73</v>
      </c>
      <c r="I4007" s="8" t="str" cm="1">
        <f t="array" ref="I4007">_xlfn.IFS(C4007&lt;=15,"Children and Young Adolescents", C4007&gt;64, "Seniors", TRUE, "Working Age")</f>
        <v>Working Age</v>
      </c>
      <c r="J4007" s="6">
        <f>VLOOKUP(F4007,Analysis!$F$1:$G$5,2,FALSE)</f>
        <v>2503.6022787783854</v>
      </c>
      <c r="K4007">
        <f t="shared" si="248"/>
        <v>822.5</v>
      </c>
      <c r="L4007">
        <f t="shared" si="249"/>
        <v>822.51</v>
      </c>
      <c r="M4007">
        <f t="shared" si="250"/>
        <v>822.5</v>
      </c>
      <c r="N4007" s="5" t="str">
        <f t="shared" si="251"/>
        <v>August 2023</v>
      </c>
    </row>
    <row r="4008" spans="1:14" x14ac:dyDescent="0.25">
      <c r="A4008" s="1">
        <v>45145</v>
      </c>
      <c r="B4008" t="s">
        <v>2379</v>
      </c>
      <c r="C4008">
        <v>32</v>
      </c>
      <c r="D4008" t="s">
        <v>21</v>
      </c>
      <c r="E4008" t="s">
        <v>10</v>
      </c>
      <c r="F4008" t="s">
        <v>16</v>
      </c>
      <c r="G4008" t="s">
        <v>27</v>
      </c>
      <c r="H4008">
        <v>3659.5</v>
      </c>
      <c r="I4008" s="8" t="str" cm="1">
        <f t="array" ref="I4008">_xlfn.IFS(C4008&lt;=15,"Children and Young Adolescents", C4008&gt;64, "Seniors", TRUE, "Working Age")</f>
        <v>Working Age</v>
      </c>
      <c r="J4008" s="6">
        <f>VLOOKUP(F4008,Analysis!$F$1:$G$5,2,FALSE)</f>
        <v>2509.1716796874912</v>
      </c>
      <c r="K4008">
        <f t="shared" si="248"/>
        <v>4025.45</v>
      </c>
      <c r="L4008">
        <f t="shared" si="249"/>
        <v>4025.45</v>
      </c>
      <c r="M4008">
        <f t="shared" si="250"/>
        <v>4025.45</v>
      </c>
      <c r="N4008" s="5" t="str">
        <f t="shared" si="251"/>
        <v>August 2023</v>
      </c>
    </row>
    <row r="4009" spans="1:14" x14ac:dyDescent="0.25">
      <c r="A4009" s="1">
        <v>45145</v>
      </c>
      <c r="B4009" t="s">
        <v>4358</v>
      </c>
      <c r="C4009">
        <v>66</v>
      </c>
      <c r="D4009" t="s">
        <v>21</v>
      </c>
      <c r="E4009" t="s">
        <v>25</v>
      </c>
      <c r="F4009" t="s">
        <v>16</v>
      </c>
      <c r="G4009" t="s">
        <v>17</v>
      </c>
      <c r="H4009">
        <v>2807.8</v>
      </c>
      <c r="I4009" s="8" t="str" cm="1">
        <f t="array" ref="I4009">_xlfn.IFS(C4009&lt;=15,"Children and Young Adolescents", C4009&gt;64, "Seniors", TRUE, "Working Age")</f>
        <v>Seniors</v>
      </c>
      <c r="J4009" s="6">
        <f>VLOOKUP(F4009,Analysis!$F$1:$G$5,2,FALSE)</f>
        <v>2509.1716796874912</v>
      </c>
      <c r="K4009">
        <f t="shared" si="248"/>
        <v>3088.58</v>
      </c>
      <c r="L4009">
        <f t="shared" si="249"/>
        <v>3088.58</v>
      </c>
      <c r="M4009">
        <f t="shared" si="250"/>
        <v>3088.58</v>
      </c>
      <c r="N4009" s="5" t="str">
        <f t="shared" si="251"/>
        <v>August 2023</v>
      </c>
    </row>
    <row r="4010" spans="1:14" x14ac:dyDescent="0.25">
      <c r="A4010" s="1">
        <v>45145</v>
      </c>
      <c r="B4010" t="s">
        <v>2666</v>
      </c>
      <c r="C4010">
        <v>31</v>
      </c>
      <c r="D4010" t="s">
        <v>14</v>
      </c>
      <c r="E4010" t="s">
        <v>5032</v>
      </c>
      <c r="F4010" t="s">
        <v>23</v>
      </c>
      <c r="G4010" t="s">
        <v>36</v>
      </c>
      <c r="H4010">
        <v>411.32</v>
      </c>
      <c r="I4010" s="8" t="str" cm="1">
        <f t="array" ref="I4010">_xlfn.IFS(C4010&lt;=15,"Children and Young Adolescents", C4010&gt;64, "Seniors", TRUE, "Working Age")</f>
        <v>Working Age</v>
      </c>
      <c r="J4010" s="6">
        <f>VLOOKUP(F4010,Analysis!$F$1:$G$5,2,FALSE)</f>
        <v>2440.2966694490838</v>
      </c>
      <c r="K4010">
        <f t="shared" si="248"/>
        <v>452.45</v>
      </c>
      <c r="L4010">
        <f t="shared" si="249"/>
        <v>452.46</v>
      </c>
      <c r="M4010">
        <f t="shared" si="250"/>
        <v>452.45</v>
      </c>
      <c r="N4010" s="5" t="str">
        <f t="shared" si="251"/>
        <v>August 2023</v>
      </c>
    </row>
    <row r="4011" spans="1:14" x14ac:dyDescent="0.25">
      <c r="A4011" s="1">
        <v>45145</v>
      </c>
      <c r="B4011" t="s">
        <v>924</v>
      </c>
      <c r="C4011">
        <v>30</v>
      </c>
      <c r="D4011" t="s">
        <v>21</v>
      </c>
      <c r="E4011" t="s">
        <v>5032</v>
      </c>
      <c r="F4011" t="s">
        <v>11</v>
      </c>
      <c r="G4011" t="s">
        <v>17</v>
      </c>
      <c r="H4011">
        <v>2861.83</v>
      </c>
      <c r="I4011" s="8" t="str" cm="1">
        <f t="array" ref="I4011">_xlfn.IFS(C4011&lt;=15,"Children and Young Adolescents", C4011&gt;64, "Seniors", TRUE, "Working Age")</f>
        <v>Working Age</v>
      </c>
      <c r="J4011" s="6">
        <f>VLOOKUP(F4011,Analysis!$F$1:$G$5,2,FALSE)</f>
        <v>2503.6022787783854</v>
      </c>
      <c r="K4011">
        <f t="shared" si="248"/>
        <v>3148.01</v>
      </c>
      <c r="L4011">
        <f t="shared" si="249"/>
        <v>3148.0200000000004</v>
      </c>
      <c r="M4011">
        <f t="shared" si="250"/>
        <v>3148.01</v>
      </c>
      <c r="N4011" s="5" t="str">
        <f t="shared" si="251"/>
        <v>August 2023</v>
      </c>
    </row>
    <row r="4012" spans="1:14" x14ac:dyDescent="0.25">
      <c r="A4012" s="1">
        <v>45145</v>
      </c>
      <c r="B4012" t="s">
        <v>2019</v>
      </c>
      <c r="C4012">
        <v>70</v>
      </c>
      <c r="D4012" t="s">
        <v>14</v>
      </c>
      <c r="E4012" t="s">
        <v>34</v>
      </c>
      <c r="F4012" t="s">
        <v>16</v>
      </c>
      <c r="G4012" t="s">
        <v>36</v>
      </c>
      <c r="H4012">
        <v>188.23</v>
      </c>
      <c r="I4012" s="8" t="str" cm="1">
        <f t="array" ref="I4012">_xlfn.IFS(C4012&lt;=15,"Children and Young Adolescents", C4012&gt;64, "Seniors", TRUE, "Working Age")</f>
        <v>Seniors</v>
      </c>
      <c r="J4012" s="6">
        <f>VLOOKUP(F4012,Analysis!$F$1:$G$5,2,FALSE)</f>
        <v>2509.1716796874912</v>
      </c>
      <c r="K4012">
        <f t="shared" si="248"/>
        <v>207.05</v>
      </c>
      <c r="L4012">
        <f t="shared" si="249"/>
        <v>207.06</v>
      </c>
      <c r="M4012">
        <f t="shared" si="250"/>
        <v>207.05</v>
      </c>
      <c r="N4012" s="5" t="str">
        <f t="shared" si="251"/>
        <v>August 2023</v>
      </c>
    </row>
    <row r="4013" spans="1:14" x14ac:dyDescent="0.25">
      <c r="A4013" s="1">
        <v>45145</v>
      </c>
      <c r="B4013" t="s">
        <v>698</v>
      </c>
      <c r="C4013">
        <v>74</v>
      </c>
      <c r="D4013" t="s">
        <v>9</v>
      </c>
      <c r="E4013" t="s">
        <v>32</v>
      </c>
      <c r="F4013" t="s">
        <v>11</v>
      </c>
      <c r="G4013" t="s">
        <v>17</v>
      </c>
      <c r="H4013">
        <v>2429.04</v>
      </c>
      <c r="I4013" s="8" t="str" cm="1">
        <f t="array" ref="I4013">_xlfn.IFS(C4013&lt;=15,"Children and Young Adolescents", C4013&gt;64, "Seniors", TRUE, "Working Age")</f>
        <v>Seniors</v>
      </c>
      <c r="J4013" s="6">
        <f>VLOOKUP(F4013,Analysis!$F$1:$G$5,2,FALSE)</f>
        <v>2503.6022787783854</v>
      </c>
      <c r="K4013">
        <f t="shared" si="248"/>
        <v>2671.94</v>
      </c>
      <c r="L4013">
        <f t="shared" si="249"/>
        <v>2671.9500000000003</v>
      </c>
      <c r="M4013">
        <f t="shared" si="250"/>
        <v>2671.94</v>
      </c>
      <c r="N4013" s="5" t="str">
        <f t="shared" si="251"/>
        <v>August 2023</v>
      </c>
    </row>
    <row r="4014" spans="1:14" x14ac:dyDescent="0.25">
      <c r="A4014" s="1">
        <v>45146</v>
      </c>
      <c r="B4014" t="s">
        <v>1027</v>
      </c>
      <c r="C4014">
        <v>56</v>
      </c>
      <c r="D4014" t="s">
        <v>9</v>
      </c>
      <c r="E4014" t="s">
        <v>22</v>
      </c>
      <c r="F4014" t="s">
        <v>23</v>
      </c>
      <c r="G4014" t="s">
        <v>27</v>
      </c>
      <c r="H4014">
        <v>415.13</v>
      </c>
      <c r="I4014" s="8" t="str" cm="1">
        <f t="array" ref="I4014">_xlfn.IFS(C4014&lt;=15,"Children and Young Adolescents", C4014&gt;64, "Seniors", TRUE, "Working Age")</f>
        <v>Working Age</v>
      </c>
      <c r="J4014" s="6">
        <f>VLOOKUP(F4014,Analysis!$F$1:$G$5,2,FALSE)</f>
        <v>2440.2966694490838</v>
      </c>
      <c r="K4014">
        <f t="shared" si="248"/>
        <v>456.64</v>
      </c>
      <c r="L4014">
        <f t="shared" si="249"/>
        <v>456.65</v>
      </c>
      <c r="M4014">
        <f t="shared" si="250"/>
        <v>456.64</v>
      </c>
      <c r="N4014" s="5" t="str">
        <f t="shared" si="251"/>
        <v>August 2023</v>
      </c>
    </row>
    <row r="4015" spans="1:14" x14ac:dyDescent="0.25">
      <c r="A4015" s="1">
        <v>45146</v>
      </c>
      <c r="B4015" t="s">
        <v>1138</v>
      </c>
      <c r="C4015">
        <v>57</v>
      </c>
      <c r="D4015" t="s">
        <v>21</v>
      </c>
      <c r="E4015" t="s">
        <v>19</v>
      </c>
      <c r="F4015" t="s">
        <v>16</v>
      </c>
      <c r="G4015" t="s">
        <v>17</v>
      </c>
      <c r="H4015">
        <v>120.06</v>
      </c>
      <c r="I4015" s="8" t="str" cm="1">
        <f t="array" ref="I4015">_xlfn.IFS(C4015&lt;=15,"Children and Young Adolescents", C4015&gt;64, "Seniors", TRUE, "Working Age")</f>
        <v>Working Age</v>
      </c>
      <c r="J4015" s="6">
        <f>VLOOKUP(F4015,Analysis!$F$1:$G$5,2,FALSE)</f>
        <v>2509.1716796874912</v>
      </c>
      <c r="K4015">
        <f t="shared" si="248"/>
        <v>132.06</v>
      </c>
      <c r="L4015">
        <f t="shared" si="249"/>
        <v>132.07</v>
      </c>
      <c r="M4015">
        <f t="shared" si="250"/>
        <v>132.07</v>
      </c>
      <c r="N4015" s="5" t="str">
        <f t="shared" si="251"/>
        <v>August 2023</v>
      </c>
    </row>
    <row r="4016" spans="1:14" x14ac:dyDescent="0.25">
      <c r="A4016" s="1">
        <v>45146</v>
      </c>
      <c r="B4016" t="s">
        <v>4795</v>
      </c>
      <c r="C4016">
        <v>64</v>
      </c>
      <c r="D4016" t="s">
        <v>14</v>
      </c>
      <c r="E4016" t="s">
        <v>22</v>
      </c>
      <c r="F4016" t="s">
        <v>16</v>
      </c>
      <c r="G4016" t="s">
        <v>12</v>
      </c>
      <c r="H4016">
        <v>1828.35</v>
      </c>
      <c r="I4016" s="8" t="str" cm="1">
        <f t="array" ref="I4016">_xlfn.IFS(C4016&lt;=15,"Children and Young Adolescents", C4016&gt;64, "Seniors", TRUE, "Working Age")</f>
        <v>Working Age</v>
      </c>
      <c r="J4016" s="6">
        <f>VLOOKUP(F4016,Analysis!$F$1:$G$5,2,FALSE)</f>
        <v>2509.1716796874912</v>
      </c>
      <c r="K4016">
        <f t="shared" si="248"/>
        <v>2011.18</v>
      </c>
      <c r="L4016">
        <f t="shared" si="249"/>
        <v>2011.19</v>
      </c>
      <c r="M4016">
        <f t="shared" si="250"/>
        <v>2011.19</v>
      </c>
      <c r="N4016" s="5" t="str">
        <f t="shared" si="251"/>
        <v>August 2023</v>
      </c>
    </row>
    <row r="4017" spans="1:14" x14ac:dyDescent="0.25">
      <c r="A4017" s="1">
        <v>45146</v>
      </c>
      <c r="B4017" t="s">
        <v>2386</v>
      </c>
      <c r="C4017">
        <v>12</v>
      </c>
      <c r="D4017" t="s">
        <v>9</v>
      </c>
      <c r="E4017" t="s">
        <v>10</v>
      </c>
      <c r="F4017" t="s">
        <v>16</v>
      </c>
      <c r="G4017" t="s">
        <v>12</v>
      </c>
      <c r="H4017">
        <v>3561.59</v>
      </c>
      <c r="I4017" s="8" t="str" cm="1">
        <f t="array" ref="I4017">_xlfn.IFS(C4017&lt;=15,"Children and Young Adolescents", C4017&gt;64, "Seniors", TRUE, "Working Age")</f>
        <v>Children and Young Adolescents</v>
      </c>
      <c r="J4017" s="6">
        <f>VLOOKUP(F4017,Analysis!$F$1:$G$5,2,FALSE)</f>
        <v>2509.1716796874912</v>
      </c>
      <c r="K4017">
        <f t="shared" si="248"/>
        <v>3917.74</v>
      </c>
      <c r="L4017">
        <f t="shared" si="249"/>
        <v>3917.75</v>
      </c>
      <c r="M4017">
        <f t="shared" si="250"/>
        <v>3917.75</v>
      </c>
      <c r="N4017" s="5" t="str">
        <f t="shared" si="251"/>
        <v>August 2023</v>
      </c>
    </row>
    <row r="4018" spans="1:14" x14ac:dyDescent="0.25">
      <c r="A4018" s="1">
        <v>45146</v>
      </c>
      <c r="B4018" t="s">
        <v>415</v>
      </c>
      <c r="C4018">
        <v>22</v>
      </c>
      <c r="D4018" t="s">
        <v>21</v>
      </c>
      <c r="E4018" t="s">
        <v>10</v>
      </c>
      <c r="F4018" t="s">
        <v>11</v>
      </c>
      <c r="G4018" t="s">
        <v>27</v>
      </c>
      <c r="H4018">
        <v>1141.0899999999999</v>
      </c>
      <c r="I4018" s="8" t="str" cm="1">
        <f t="array" ref="I4018">_xlfn.IFS(C4018&lt;=15,"Children and Young Adolescents", C4018&gt;64, "Seniors", TRUE, "Working Age")</f>
        <v>Working Age</v>
      </c>
      <c r="J4018" s="6">
        <f>VLOOKUP(F4018,Analysis!$F$1:$G$5,2,FALSE)</f>
        <v>2503.6022787783854</v>
      </c>
      <c r="K4018">
        <f t="shared" si="248"/>
        <v>1255.19</v>
      </c>
      <c r="L4018">
        <f t="shared" si="249"/>
        <v>1255.2</v>
      </c>
      <c r="M4018">
        <f t="shared" si="250"/>
        <v>1255.2</v>
      </c>
      <c r="N4018" s="5" t="str">
        <f t="shared" si="251"/>
        <v>August 2023</v>
      </c>
    </row>
    <row r="4019" spans="1:14" x14ac:dyDescent="0.25">
      <c r="A4019" s="1">
        <v>45146</v>
      </c>
      <c r="B4019" t="s">
        <v>4290</v>
      </c>
      <c r="C4019">
        <v>11</v>
      </c>
      <c r="D4019" t="s">
        <v>21</v>
      </c>
      <c r="E4019" t="s">
        <v>5032</v>
      </c>
      <c r="F4019" t="s">
        <v>23</v>
      </c>
      <c r="G4019" t="s">
        <v>12</v>
      </c>
      <c r="H4019">
        <v>2955.54</v>
      </c>
      <c r="I4019" s="8" t="str" cm="1">
        <f t="array" ref="I4019">_xlfn.IFS(C4019&lt;=15,"Children and Young Adolescents", C4019&gt;64, "Seniors", TRUE, "Working Age")</f>
        <v>Children and Young Adolescents</v>
      </c>
      <c r="J4019" s="6">
        <f>VLOOKUP(F4019,Analysis!$F$1:$G$5,2,FALSE)</f>
        <v>2440.2966694490838</v>
      </c>
      <c r="K4019">
        <f t="shared" si="248"/>
        <v>3251.09</v>
      </c>
      <c r="L4019">
        <f t="shared" si="249"/>
        <v>3251.1000000000004</v>
      </c>
      <c r="M4019">
        <f t="shared" si="250"/>
        <v>3251.09</v>
      </c>
      <c r="N4019" s="5" t="str">
        <f t="shared" si="251"/>
        <v>August 2023</v>
      </c>
    </row>
    <row r="4020" spans="1:14" x14ac:dyDescent="0.25">
      <c r="A4020" s="1">
        <v>45146</v>
      </c>
      <c r="B4020" t="s">
        <v>1998</v>
      </c>
      <c r="C4020">
        <v>32</v>
      </c>
      <c r="D4020" t="s">
        <v>9</v>
      </c>
      <c r="E4020" t="s">
        <v>32</v>
      </c>
      <c r="F4020" t="s">
        <v>16</v>
      </c>
      <c r="G4020" t="s">
        <v>39</v>
      </c>
      <c r="H4020">
        <v>799.02</v>
      </c>
      <c r="I4020" s="8" t="str" cm="1">
        <f t="array" ref="I4020">_xlfn.IFS(C4020&lt;=15,"Children and Young Adolescents", C4020&gt;64, "Seniors", TRUE, "Working Age")</f>
        <v>Working Age</v>
      </c>
      <c r="J4020" s="6">
        <f>VLOOKUP(F4020,Analysis!$F$1:$G$5,2,FALSE)</f>
        <v>2509.1716796874912</v>
      </c>
      <c r="K4020">
        <f t="shared" si="248"/>
        <v>878.92</v>
      </c>
      <c r="L4020">
        <f t="shared" si="249"/>
        <v>878.93</v>
      </c>
      <c r="M4020">
        <f t="shared" si="250"/>
        <v>878.92</v>
      </c>
      <c r="N4020" s="5" t="str">
        <f t="shared" si="251"/>
        <v>August 2023</v>
      </c>
    </row>
    <row r="4021" spans="1:14" x14ac:dyDescent="0.25">
      <c r="A4021" s="1">
        <v>45146</v>
      </c>
      <c r="B4021" t="s">
        <v>1833</v>
      </c>
      <c r="C4021">
        <v>10</v>
      </c>
      <c r="D4021" t="s">
        <v>9</v>
      </c>
      <c r="E4021" t="s">
        <v>15</v>
      </c>
      <c r="F4021" t="s">
        <v>23</v>
      </c>
      <c r="G4021" t="s">
        <v>12</v>
      </c>
      <c r="H4021">
        <v>1821.93</v>
      </c>
      <c r="I4021" s="8" t="str" cm="1">
        <f t="array" ref="I4021">_xlfn.IFS(C4021&lt;=15,"Children and Young Adolescents", C4021&gt;64, "Seniors", TRUE, "Working Age")</f>
        <v>Children and Young Adolescents</v>
      </c>
      <c r="J4021" s="6">
        <f>VLOOKUP(F4021,Analysis!$F$1:$G$5,2,FALSE)</f>
        <v>2440.2966694490838</v>
      </c>
      <c r="K4021">
        <f t="shared" si="248"/>
        <v>2004.12</v>
      </c>
      <c r="L4021">
        <f t="shared" si="249"/>
        <v>2004.1299999999999</v>
      </c>
      <c r="M4021">
        <f t="shared" si="250"/>
        <v>2004.12</v>
      </c>
      <c r="N4021" s="5" t="str">
        <f t="shared" si="251"/>
        <v>August 2023</v>
      </c>
    </row>
    <row r="4022" spans="1:14" x14ac:dyDescent="0.25">
      <c r="A4022" s="1">
        <v>45146</v>
      </c>
      <c r="B4022" t="s">
        <v>543</v>
      </c>
      <c r="C4022">
        <v>20</v>
      </c>
      <c r="D4022" t="s">
        <v>21</v>
      </c>
      <c r="E4022" t="s">
        <v>32</v>
      </c>
      <c r="F4022" t="s">
        <v>23</v>
      </c>
      <c r="G4022" t="s">
        <v>27</v>
      </c>
      <c r="H4022">
        <v>799.13</v>
      </c>
      <c r="I4022" s="8" t="str" cm="1">
        <f t="array" ref="I4022">_xlfn.IFS(C4022&lt;=15,"Children and Young Adolescents", C4022&gt;64, "Seniors", TRUE, "Working Age")</f>
        <v>Working Age</v>
      </c>
      <c r="J4022" s="6">
        <f>VLOOKUP(F4022,Analysis!$F$1:$G$5,2,FALSE)</f>
        <v>2440.2966694490838</v>
      </c>
      <c r="K4022">
        <f t="shared" si="248"/>
        <v>879.04</v>
      </c>
      <c r="L4022">
        <f t="shared" si="249"/>
        <v>879.05</v>
      </c>
      <c r="M4022">
        <f t="shared" si="250"/>
        <v>879.04</v>
      </c>
      <c r="N4022" s="5" t="str">
        <f t="shared" si="251"/>
        <v>August 2023</v>
      </c>
    </row>
    <row r="4023" spans="1:14" x14ac:dyDescent="0.25">
      <c r="A4023" s="1">
        <v>45146</v>
      </c>
      <c r="B4023" t="s">
        <v>4246</v>
      </c>
      <c r="C4023">
        <v>19</v>
      </c>
      <c r="D4023" t="s">
        <v>9</v>
      </c>
      <c r="E4023" t="s">
        <v>19</v>
      </c>
      <c r="F4023" t="s">
        <v>23</v>
      </c>
      <c r="G4023" t="s">
        <v>17</v>
      </c>
      <c r="H4023">
        <v>4978.53</v>
      </c>
      <c r="I4023" s="8" t="str" cm="1">
        <f t="array" ref="I4023">_xlfn.IFS(C4023&lt;=15,"Children and Young Adolescents", C4023&gt;64, "Seniors", TRUE, "Working Age")</f>
        <v>Working Age</v>
      </c>
      <c r="J4023" s="6">
        <f>VLOOKUP(F4023,Analysis!$F$1:$G$5,2,FALSE)</f>
        <v>2440.2966694490838</v>
      </c>
      <c r="K4023">
        <f t="shared" si="248"/>
        <v>5476.38</v>
      </c>
      <c r="L4023">
        <f t="shared" si="249"/>
        <v>5476.39</v>
      </c>
      <c r="M4023">
        <f t="shared" si="250"/>
        <v>5476.38</v>
      </c>
      <c r="N4023" s="5" t="str">
        <f t="shared" si="251"/>
        <v>August 2023</v>
      </c>
    </row>
    <row r="4024" spans="1:14" x14ac:dyDescent="0.25">
      <c r="A4024" s="1">
        <v>45146</v>
      </c>
      <c r="B4024" t="s">
        <v>1025</v>
      </c>
      <c r="C4024">
        <v>72</v>
      </c>
      <c r="D4024" t="s">
        <v>9</v>
      </c>
      <c r="E4024" t="s">
        <v>34</v>
      </c>
      <c r="F4024" t="s">
        <v>29</v>
      </c>
      <c r="G4024" t="s">
        <v>17</v>
      </c>
      <c r="H4024">
        <v>3015.96</v>
      </c>
      <c r="I4024" s="8" t="str" cm="1">
        <f t="array" ref="I4024">_xlfn.IFS(C4024&lt;=15,"Children and Young Adolescents", C4024&gt;64, "Seniors", TRUE, "Working Age")</f>
        <v>Seniors</v>
      </c>
      <c r="J4024" s="6">
        <f>VLOOKUP(F4024,Analysis!$F$1:$G$5,2,FALSE)</f>
        <v>2496.7676064256989</v>
      </c>
      <c r="K4024">
        <f t="shared" si="248"/>
        <v>3317.55</v>
      </c>
      <c r="L4024">
        <f t="shared" si="249"/>
        <v>3317.5600000000004</v>
      </c>
      <c r="M4024">
        <f t="shared" si="250"/>
        <v>3317.56</v>
      </c>
      <c r="N4024" s="5" t="str">
        <f t="shared" si="251"/>
        <v>August 2023</v>
      </c>
    </row>
    <row r="4025" spans="1:14" x14ac:dyDescent="0.25">
      <c r="A4025" s="1">
        <v>45146</v>
      </c>
      <c r="B4025" t="s">
        <v>1140</v>
      </c>
      <c r="C4025">
        <v>36</v>
      </c>
      <c r="D4025" t="s">
        <v>9</v>
      </c>
      <c r="E4025" t="s">
        <v>22</v>
      </c>
      <c r="F4025" t="s">
        <v>16</v>
      </c>
      <c r="G4025" t="s">
        <v>27</v>
      </c>
      <c r="H4025">
        <v>4060.08</v>
      </c>
      <c r="I4025" s="8" t="str" cm="1">
        <f t="array" ref="I4025">_xlfn.IFS(C4025&lt;=15,"Children and Young Adolescents", C4025&gt;64, "Seniors", TRUE, "Working Age")</f>
        <v>Working Age</v>
      </c>
      <c r="J4025" s="6">
        <f>VLOOKUP(F4025,Analysis!$F$1:$G$5,2,FALSE)</f>
        <v>2509.1716796874912</v>
      </c>
      <c r="K4025">
        <f t="shared" si="248"/>
        <v>4466.08</v>
      </c>
      <c r="L4025">
        <f t="shared" si="249"/>
        <v>4466.09</v>
      </c>
      <c r="M4025">
        <f t="shared" si="250"/>
        <v>4466.09</v>
      </c>
      <c r="N4025" s="5" t="str">
        <f t="shared" si="251"/>
        <v>August 2023</v>
      </c>
    </row>
    <row r="4026" spans="1:14" x14ac:dyDescent="0.25">
      <c r="A4026" s="1">
        <v>45146</v>
      </c>
      <c r="B4026" t="s">
        <v>4475</v>
      </c>
      <c r="C4026">
        <v>9</v>
      </c>
      <c r="D4026" t="s">
        <v>14</v>
      </c>
      <c r="E4026" t="s">
        <v>34</v>
      </c>
      <c r="F4026" t="s">
        <v>11</v>
      </c>
      <c r="G4026" t="s">
        <v>27</v>
      </c>
      <c r="H4026">
        <v>266.27</v>
      </c>
      <c r="I4026" s="8" t="str" cm="1">
        <f t="array" ref="I4026">_xlfn.IFS(C4026&lt;=15,"Children and Young Adolescents", C4026&gt;64, "Seniors", TRUE, "Working Age")</f>
        <v>Children and Young Adolescents</v>
      </c>
      <c r="J4026" s="6">
        <f>VLOOKUP(F4026,Analysis!$F$1:$G$5,2,FALSE)</f>
        <v>2503.6022787783854</v>
      </c>
      <c r="K4026">
        <f t="shared" si="248"/>
        <v>292.89</v>
      </c>
      <c r="L4026">
        <f t="shared" si="249"/>
        <v>292.89999999999998</v>
      </c>
      <c r="M4026">
        <f t="shared" si="250"/>
        <v>292.89999999999998</v>
      </c>
      <c r="N4026" s="5" t="str">
        <f t="shared" si="251"/>
        <v>August 2023</v>
      </c>
    </row>
    <row r="4027" spans="1:14" x14ac:dyDescent="0.25">
      <c r="A4027" s="1">
        <v>45146</v>
      </c>
      <c r="B4027" t="s">
        <v>1028</v>
      </c>
      <c r="C4027">
        <v>25</v>
      </c>
      <c r="D4027" t="s">
        <v>21</v>
      </c>
      <c r="E4027" t="s">
        <v>15</v>
      </c>
      <c r="F4027" t="s">
        <v>16</v>
      </c>
      <c r="G4027" t="s">
        <v>27</v>
      </c>
      <c r="H4027">
        <v>2903.02</v>
      </c>
      <c r="I4027" s="8" t="str" cm="1">
        <f t="array" ref="I4027">_xlfn.IFS(C4027&lt;=15,"Children and Young Adolescents", C4027&gt;64, "Seniors", TRUE, "Working Age")</f>
        <v>Working Age</v>
      </c>
      <c r="J4027" s="6">
        <f>VLOOKUP(F4027,Analysis!$F$1:$G$5,2,FALSE)</f>
        <v>2509.1716796874912</v>
      </c>
      <c r="K4027">
        <f t="shared" si="248"/>
        <v>3193.32</v>
      </c>
      <c r="L4027">
        <f t="shared" si="249"/>
        <v>3193.3300000000004</v>
      </c>
      <c r="M4027">
        <f t="shared" si="250"/>
        <v>3193.32</v>
      </c>
      <c r="N4027" s="5" t="str">
        <f t="shared" si="251"/>
        <v>August 2023</v>
      </c>
    </row>
    <row r="4028" spans="1:14" x14ac:dyDescent="0.25">
      <c r="A4028" s="1">
        <v>45147</v>
      </c>
      <c r="B4028" t="s">
        <v>2168</v>
      </c>
      <c r="C4028">
        <v>3</v>
      </c>
      <c r="D4028" t="s">
        <v>21</v>
      </c>
      <c r="E4028" t="s">
        <v>22</v>
      </c>
      <c r="F4028" t="s">
        <v>11</v>
      </c>
      <c r="G4028" t="s">
        <v>17</v>
      </c>
      <c r="H4028">
        <v>640.51</v>
      </c>
      <c r="I4028" s="8" t="str" cm="1">
        <f t="array" ref="I4028">_xlfn.IFS(C4028&lt;=15,"Children and Young Adolescents", C4028&gt;64, "Seniors", TRUE, "Working Age")</f>
        <v>Children and Young Adolescents</v>
      </c>
      <c r="J4028" s="6">
        <f>VLOOKUP(F4028,Analysis!$F$1:$G$5,2,FALSE)</f>
        <v>2503.6022787783854</v>
      </c>
      <c r="K4028">
        <f t="shared" si="248"/>
        <v>704.56</v>
      </c>
      <c r="L4028">
        <f t="shared" si="249"/>
        <v>704.56999999999994</v>
      </c>
      <c r="M4028">
        <f t="shared" si="250"/>
        <v>704.56</v>
      </c>
      <c r="N4028" s="5" t="str">
        <f t="shared" si="251"/>
        <v>August 2023</v>
      </c>
    </row>
    <row r="4029" spans="1:14" x14ac:dyDescent="0.25">
      <c r="A4029" s="1">
        <v>45147</v>
      </c>
      <c r="B4029" t="s">
        <v>957</v>
      </c>
      <c r="C4029">
        <v>74</v>
      </c>
      <c r="D4029" t="s">
        <v>21</v>
      </c>
      <c r="E4029" t="s">
        <v>34</v>
      </c>
      <c r="F4029" t="s">
        <v>16</v>
      </c>
      <c r="G4029" t="s">
        <v>36</v>
      </c>
      <c r="H4029">
        <v>908.51</v>
      </c>
      <c r="I4029" s="8" t="str" cm="1">
        <f t="array" ref="I4029">_xlfn.IFS(C4029&lt;=15,"Children and Young Adolescents", C4029&gt;64, "Seniors", TRUE, "Working Age")</f>
        <v>Seniors</v>
      </c>
      <c r="J4029" s="6">
        <f>VLOOKUP(F4029,Analysis!$F$1:$G$5,2,FALSE)</f>
        <v>2509.1716796874912</v>
      </c>
      <c r="K4029">
        <f t="shared" si="248"/>
        <v>999.36</v>
      </c>
      <c r="L4029">
        <f t="shared" si="249"/>
        <v>999.37</v>
      </c>
      <c r="M4029">
        <f t="shared" si="250"/>
        <v>999.36</v>
      </c>
      <c r="N4029" s="5" t="str">
        <f t="shared" si="251"/>
        <v>August 2023</v>
      </c>
    </row>
    <row r="4030" spans="1:14" x14ac:dyDescent="0.25">
      <c r="A4030" s="1">
        <v>45147</v>
      </c>
      <c r="B4030" t="s">
        <v>1238</v>
      </c>
      <c r="C4030">
        <v>46</v>
      </c>
      <c r="D4030" t="s">
        <v>9</v>
      </c>
      <c r="E4030" t="s">
        <v>22</v>
      </c>
      <c r="F4030" t="s">
        <v>11</v>
      </c>
      <c r="G4030" t="s">
        <v>27</v>
      </c>
      <c r="H4030">
        <v>3740.42</v>
      </c>
      <c r="I4030" s="8" t="str" cm="1">
        <f t="array" ref="I4030">_xlfn.IFS(C4030&lt;=15,"Children and Young Adolescents", C4030&gt;64, "Seniors", TRUE, "Working Age")</f>
        <v>Working Age</v>
      </c>
      <c r="J4030" s="6">
        <f>VLOOKUP(F4030,Analysis!$F$1:$G$5,2,FALSE)</f>
        <v>2503.6022787783854</v>
      </c>
      <c r="K4030">
        <f t="shared" si="248"/>
        <v>4114.46</v>
      </c>
      <c r="L4030">
        <f t="shared" si="249"/>
        <v>4114.47</v>
      </c>
      <c r="M4030">
        <f t="shared" si="250"/>
        <v>4114.46</v>
      </c>
      <c r="N4030" s="5" t="str">
        <f t="shared" si="251"/>
        <v>August 2023</v>
      </c>
    </row>
    <row r="4031" spans="1:14" x14ac:dyDescent="0.25">
      <c r="A4031" s="1">
        <v>45147</v>
      </c>
      <c r="B4031" t="s">
        <v>4896</v>
      </c>
      <c r="C4031">
        <v>33</v>
      </c>
      <c r="D4031" t="s">
        <v>9</v>
      </c>
      <c r="E4031" t="s">
        <v>25</v>
      </c>
      <c r="F4031" t="s">
        <v>29</v>
      </c>
      <c r="G4031" t="s">
        <v>36</v>
      </c>
      <c r="H4031">
        <v>2286.79</v>
      </c>
      <c r="I4031" s="8" t="str" cm="1">
        <f t="array" ref="I4031">_xlfn.IFS(C4031&lt;=15,"Children and Young Adolescents", C4031&gt;64, "Seniors", TRUE, "Working Age")</f>
        <v>Working Age</v>
      </c>
      <c r="J4031" s="6">
        <f>VLOOKUP(F4031,Analysis!$F$1:$G$5,2,FALSE)</f>
        <v>2496.7676064256989</v>
      </c>
      <c r="K4031">
        <f t="shared" si="248"/>
        <v>2515.46</v>
      </c>
      <c r="L4031">
        <f t="shared" si="249"/>
        <v>2515.4700000000003</v>
      </c>
      <c r="M4031">
        <f t="shared" si="250"/>
        <v>2515.4699999999998</v>
      </c>
      <c r="N4031" s="5" t="str">
        <f t="shared" si="251"/>
        <v>August 2023</v>
      </c>
    </row>
    <row r="4032" spans="1:14" x14ac:dyDescent="0.25">
      <c r="A4032" s="1">
        <v>45147</v>
      </c>
      <c r="B4032" t="s">
        <v>2823</v>
      </c>
      <c r="C4032">
        <v>16</v>
      </c>
      <c r="D4032" t="s">
        <v>9</v>
      </c>
      <c r="E4032" t="s">
        <v>15</v>
      </c>
      <c r="F4032" t="s">
        <v>23</v>
      </c>
      <c r="G4032" t="s">
        <v>39</v>
      </c>
      <c r="H4032">
        <v>4303.1099999999997</v>
      </c>
      <c r="I4032" s="8" t="str" cm="1">
        <f t="array" ref="I4032">_xlfn.IFS(C4032&lt;=15,"Children and Young Adolescents", C4032&gt;64, "Seniors", TRUE, "Working Age")</f>
        <v>Working Age</v>
      </c>
      <c r="J4032" s="6">
        <f>VLOOKUP(F4032,Analysis!$F$1:$G$5,2,FALSE)</f>
        <v>2440.2966694490838</v>
      </c>
      <c r="K4032">
        <f t="shared" si="248"/>
        <v>4733.42</v>
      </c>
      <c r="L4032">
        <f t="shared" si="249"/>
        <v>4733.43</v>
      </c>
      <c r="M4032">
        <f t="shared" si="250"/>
        <v>4733.42</v>
      </c>
      <c r="N4032" s="5" t="str">
        <f t="shared" si="251"/>
        <v>August 2023</v>
      </c>
    </row>
    <row r="4033" spans="1:14" x14ac:dyDescent="0.25">
      <c r="A4033" s="1">
        <v>45147</v>
      </c>
      <c r="B4033" t="s">
        <v>1225</v>
      </c>
      <c r="C4033">
        <v>19</v>
      </c>
      <c r="D4033" t="s">
        <v>9</v>
      </c>
      <c r="E4033" t="s">
        <v>19</v>
      </c>
      <c r="F4033" t="s">
        <v>16</v>
      </c>
      <c r="G4033" t="s">
        <v>27</v>
      </c>
      <c r="H4033">
        <v>1247.32</v>
      </c>
      <c r="I4033" s="8" t="str" cm="1">
        <f t="array" ref="I4033">_xlfn.IFS(C4033&lt;=15,"Children and Young Adolescents", C4033&gt;64, "Seniors", TRUE, "Working Age")</f>
        <v>Working Age</v>
      </c>
      <c r="J4033" s="6">
        <f>VLOOKUP(F4033,Analysis!$F$1:$G$5,2,FALSE)</f>
        <v>2509.1716796874912</v>
      </c>
      <c r="K4033">
        <f t="shared" si="248"/>
        <v>1372.05</v>
      </c>
      <c r="L4033">
        <f t="shared" si="249"/>
        <v>1372.06</v>
      </c>
      <c r="M4033">
        <f t="shared" si="250"/>
        <v>1372.05</v>
      </c>
      <c r="N4033" s="5" t="str">
        <f t="shared" si="251"/>
        <v>August 2023</v>
      </c>
    </row>
    <row r="4034" spans="1:14" x14ac:dyDescent="0.25">
      <c r="A4034" s="1">
        <v>45147</v>
      </c>
      <c r="B4034" t="s">
        <v>3276</v>
      </c>
      <c r="C4034">
        <v>86</v>
      </c>
      <c r="D4034" t="s">
        <v>9</v>
      </c>
      <c r="E4034" t="s">
        <v>15</v>
      </c>
      <c r="F4034" t="s">
        <v>23</v>
      </c>
      <c r="G4034" t="s">
        <v>36</v>
      </c>
      <c r="H4034">
        <v>4561.01</v>
      </c>
      <c r="I4034" s="8" t="str" cm="1">
        <f t="array" ref="I4034">_xlfn.IFS(C4034&lt;=15,"Children and Young Adolescents", C4034&gt;64, "Seniors", TRUE, "Working Age")</f>
        <v>Seniors</v>
      </c>
      <c r="J4034" s="6">
        <f>VLOOKUP(F4034,Analysis!$F$1:$G$5,2,FALSE)</f>
        <v>2440.2966694490838</v>
      </c>
      <c r="K4034">
        <f t="shared" si="248"/>
        <v>5017.1099999999997</v>
      </c>
      <c r="L4034">
        <f t="shared" si="249"/>
        <v>5017.12</v>
      </c>
      <c r="M4034">
        <f t="shared" si="250"/>
        <v>5017.1099999999997</v>
      </c>
      <c r="N4034" s="5" t="str">
        <f t="shared" si="251"/>
        <v>August 2023</v>
      </c>
    </row>
    <row r="4035" spans="1:14" x14ac:dyDescent="0.25">
      <c r="A4035" s="1">
        <v>45147</v>
      </c>
      <c r="B4035" t="s">
        <v>697</v>
      </c>
      <c r="C4035">
        <v>37</v>
      </c>
      <c r="D4035" t="s">
        <v>14</v>
      </c>
      <c r="E4035" t="s">
        <v>22</v>
      </c>
      <c r="F4035" t="s">
        <v>23</v>
      </c>
      <c r="G4035" t="s">
        <v>39</v>
      </c>
      <c r="H4035">
        <v>4406.17</v>
      </c>
      <c r="I4035" s="8" t="str" cm="1">
        <f t="array" ref="I4035">_xlfn.IFS(C4035&lt;=15,"Children and Young Adolescents", C4035&gt;64, "Seniors", TRUE, "Working Age")</f>
        <v>Working Age</v>
      </c>
      <c r="J4035" s="6">
        <f>VLOOKUP(F4035,Analysis!$F$1:$G$5,2,FALSE)</f>
        <v>2440.2966694490838</v>
      </c>
      <c r="K4035">
        <f t="shared" ref="K4035:K4098" si="252">ROUNDDOWN(H4035*1.1,2)</f>
        <v>4846.78</v>
      </c>
      <c r="L4035">
        <f t="shared" ref="L4035:L4098" si="253">ROUNDUP(H4035*1.1,2)</f>
        <v>4846.79</v>
      </c>
      <c r="M4035">
        <f t="shared" ref="M4035:M4098" si="254">ROUND(H4035*1.1,2)</f>
        <v>4846.79</v>
      </c>
      <c r="N4035" s="5" t="str">
        <f t="shared" ref="N4035:N4098" si="255">TEXT(A4035,"mmmm yyyy")</f>
        <v>August 2023</v>
      </c>
    </row>
    <row r="4036" spans="1:14" x14ac:dyDescent="0.25">
      <c r="A4036" s="1">
        <v>45147</v>
      </c>
      <c r="B4036" t="s">
        <v>4404</v>
      </c>
      <c r="C4036">
        <v>21</v>
      </c>
      <c r="D4036" t="s">
        <v>21</v>
      </c>
      <c r="E4036" t="s">
        <v>19</v>
      </c>
      <c r="F4036" t="s">
        <v>29</v>
      </c>
      <c r="G4036" t="s">
        <v>17</v>
      </c>
      <c r="H4036">
        <v>704.75</v>
      </c>
      <c r="I4036" s="8" t="str" cm="1">
        <f t="array" ref="I4036">_xlfn.IFS(C4036&lt;=15,"Children and Young Adolescents", C4036&gt;64, "Seniors", TRUE, "Working Age")</f>
        <v>Working Age</v>
      </c>
      <c r="J4036" s="6">
        <f>VLOOKUP(F4036,Analysis!$F$1:$G$5,2,FALSE)</f>
        <v>2496.7676064256989</v>
      </c>
      <c r="K4036">
        <f t="shared" si="252"/>
        <v>775.22</v>
      </c>
      <c r="L4036">
        <f t="shared" si="253"/>
        <v>775.23</v>
      </c>
      <c r="M4036">
        <f t="shared" si="254"/>
        <v>775.23</v>
      </c>
      <c r="N4036" s="5" t="str">
        <f t="shared" si="255"/>
        <v>August 2023</v>
      </c>
    </row>
    <row r="4037" spans="1:14" x14ac:dyDescent="0.25">
      <c r="A4037" s="1">
        <v>45148</v>
      </c>
      <c r="B4037" t="s">
        <v>1334</v>
      </c>
      <c r="C4037">
        <v>88</v>
      </c>
      <c r="D4037" t="s">
        <v>14</v>
      </c>
      <c r="E4037" t="s">
        <v>32</v>
      </c>
      <c r="F4037" t="s">
        <v>23</v>
      </c>
      <c r="G4037" t="s">
        <v>17</v>
      </c>
      <c r="H4037">
        <v>2188.62</v>
      </c>
      <c r="I4037" s="8" t="str" cm="1">
        <f t="array" ref="I4037">_xlfn.IFS(C4037&lt;=15,"Children and Young Adolescents", C4037&gt;64, "Seniors", TRUE, "Working Age")</f>
        <v>Seniors</v>
      </c>
      <c r="J4037" s="6">
        <f>VLOOKUP(F4037,Analysis!$F$1:$G$5,2,FALSE)</f>
        <v>2440.2966694490838</v>
      </c>
      <c r="K4037">
        <f t="shared" si="252"/>
        <v>2407.48</v>
      </c>
      <c r="L4037">
        <f t="shared" si="253"/>
        <v>2407.4900000000002</v>
      </c>
      <c r="M4037">
        <f t="shared" si="254"/>
        <v>2407.48</v>
      </c>
      <c r="N4037" s="5" t="str">
        <f t="shared" si="255"/>
        <v>August 2023</v>
      </c>
    </row>
    <row r="4038" spans="1:14" x14ac:dyDescent="0.25">
      <c r="A4038" s="1">
        <v>45148</v>
      </c>
      <c r="B4038" t="s">
        <v>1335</v>
      </c>
      <c r="C4038">
        <v>80</v>
      </c>
      <c r="D4038" t="s">
        <v>9</v>
      </c>
      <c r="E4038" t="s">
        <v>22</v>
      </c>
      <c r="F4038" t="s">
        <v>29</v>
      </c>
      <c r="G4038" t="s">
        <v>39</v>
      </c>
      <c r="H4038">
        <v>205.93</v>
      </c>
      <c r="I4038" s="8" t="str" cm="1">
        <f t="array" ref="I4038">_xlfn.IFS(C4038&lt;=15,"Children and Young Adolescents", C4038&gt;64, "Seniors", TRUE, "Working Age")</f>
        <v>Seniors</v>
      </c>
      <c r="J4038" s="6">
        <f>VLOOKUP(F4038,Analysis!$F$1:$G$5,2,FALSE)</f>
        <v>2496.7676064256989</v>
      </c>
      <c r="K4038">
        <f t="shared" si="252"/>
        <v>226.52</v>
      </c>
      <c r="L4038">
        <f t="shared" si="253"/>
        <v>226.53</v>
      </c>
      <c r="M4038">
        <f t="shared" si="254"/>
        <v>226.52</v>
      </c>
      <c r="N4038" s="5" t="str">
        <f t="shared" si="255"/>
        <v>August 2023</v>
      </c>
    </row>
    <row r="4039" spans="1:14" x14ac:dyDescent="0.25">
      <c r="A4039" s="1">
        <v>45148</v>
      </c>
      <c r="B4039" t="s">
        <v>3203</v>
      </c>
      <c r="C4039">
        <v>30</v>
      </c>
      <c r="D4039" t="s">
        <v>21</v>
      </c>
      <c r="E4039" t="s">
        <v>15</v>
      </c>
      <c r="F4039" t="s">
        <v>16</v>
      </c>
      <c r="G4039" t="s">
        <v>39</v>
      </c>
      <c r="H4039">
        <v>146.63</v>
      </c>
      <c r="I4039" s="8" t="str" cm="1">
        <f t="array" ref="I4039">_xlfn.IFS(C4039&lt;=15,"Children and Young Adolescents", C4039&gt;64, "Seniors", TRUE, "Working Age")</f>
        <v>Working Age</v>
      </c>
      <c r="J4039" s="6">
        <f>VLOOKUP(F4039,Analysis!$F$1:$G$5,2,FALSE)</f>
        <v>2509.1716796874912</v>
      </c>
      <c r="K4039">
        <f t="shared" si="252"/>
        <v>161.29</v>
      </c>
      <c r="L4039">
        <f t="shared" si="253"/>
        <v>161.29999999999998</v>
      </c>
      <c r="M4039">
        <f t="shared" si="254"/>
        <v>161.29</v>
      </c>
      <c r="N4039" s="5" t="str">
        <f t="shared" si="255"/>
        <v>August 2023</v>
      </c>
    </row>
    <row r="4040" spans="1:14" x14ac:dyDescent="0.25">
      <c r="A4040" s="1">
        <v>45148</v>
      </c>
      <c r="B4040" t="s">
        <v>165</v>
      </c>
      <c r="C4040">
        <v>24</v>
      </c>
      <c r="D4040" t="s">
        <v>9</v>
      </c>
      <c r="E4040" t="s">
        <v>15</v>
      </c>
      <c r="F4040" t="s">
        <v>11</v>
      </c>
      <c r="G4040" t="s">
        <v>17</v>
      </c>
      <c r="H4040">
        <v>2202.29</v>
      </c>
      <c r="I4040" s="8" t="str" cm="1">
        <f t="array" ref="I4040">_xlfn.IFS(C4040&lt;=15,"Children and Young Adolescents", C4040&gt;64, "Seniors", TRUE, "Working Age")</f>
        <v>Working Age</v>
      </c>
      <c r="J4040" s="6">
        <f>VLOOKUP(F4040,Analysis!$F$1:$G$5,2,FALSE)</f>
        <v>2503.6022787783854</v>
      </c>
      <c r="K4040">
        <f t="shared" si="252"/>
        <v>2422.5100000000002</v>
      </c>
      <c r="L4040">
        <f t="shared" si="253"/>
        <v>2422.5200000000004</v>
      </c>
      <c r="M4040">
        <f t="shared" si="254"/>
        <v>2422.52</v>
      </c>
      <c r="N4040" s="5" t="str">
        <f t="shared" si="255"/>
        <v>August 2023</v>
      </c>
    </row>
    <row r="4041" spans="1:14" x14ac:dyDescent="0.25">
      <c r="A4041" s="1">
        <v>45148</v>
      </c>
      <c r="B4041" t="s">
        <v>2228</v>
      </c>
      <c r="C4041">
        <v>18</v>
      </c>
      <c r="D4041" t="s">
        <v>21</v>
      </c>
      <c r="E4041" t="s">
        <v>19</v>
      </c>
      <c r="F4041" t="s">
        <v>29</v>
      </c>
      <c r="G4041" t="s">
        <v>39</v>
      </c>
      <c r="H4041">
        <v>4075.59</v>
      </c>
      <c r="I4041" s="8" t="str" cm="1">
        <f t="array" ref="I4041">_xlfn.IFS(C4041&lt;=15,"Children and Young Adolescents", C4041&gt;64, "Seniors", TRUE, "Working Age")</f>
        <v>Working Age</v>
      </c>
      <c r="J4041" s="6">
        <f>VLOOKUP(F4041,Analysis!$F$1:$G$5,2,FALSE)</f>
        <v>2496.7676064256989</v>
      </c>
      <c r="K4041">
        <f t="shared" si="252"/>
        <v>4483.1400000000003</v>
      </c>
      <c r="L4041">
        <f t="shared" si="253"/>
        <v>4483.1500000000005</v>
      </c>
      <c r="M4041">
        <f t="shared" si="254"/>
        <v>4483.1499999999996</v>
      </c>
      <c r="N4041" s="5" t="str">
        <f t="shared" si="255"/>
        <v>August 2023</v>
      </c>
    </row>
    <row r="4042" spans="1:14" x14ac:dyDescent="0.25">
      <c r="A4042" s="1">
        <v>45149</v>
      </c>
      <c r="B4042" t="s">
        <v>2359</v>
      </c>
      <c r="C4042">
        <v>1</v>
      </c>
      <c r="D4042" t="s">
        <v>14</v>
      </c>
      <c r="E4042" t="s">
        <v>10</v>
      </c>
      <c r="F4042" t="s">
        <v>29</v>
      </c>
      <c r="G4042" t="s">
        <v>36</v>
      </c>
      <c r="H4042">
        <v>3252.41</v>
      </c>
      <c r="I4042" s="8" t="str" cm="1">
        <f t="array" ref="I4042">_xlfn.IFS(C4042&lt;=15,"Children and Young Adolescents", C4042&gt;64, "Seniors", TRUE, "Working Age")</f>
        <v>Children and Young Adolescents</v>
      </c>
      <c r="J4042" s="6">
        <f>VLOOKUP(F4042,Analysis!$F$1:$G$5,2,FALSE)</f>
        <v>2496.7676064256989</v>
      </c>
      <c r="K4042">
        <f t="shared" si="252"/>
        <v>3577.65</v>
      </c>
      <c r="L4042">
        <f t="shared" si="253"/>
        <v>3577.6600000000003</v>
      </c>
      <c r="M4042">
        <f t="shared" si="254"/>
        <v>3577.65</v>
      </c>
      <c r="N4042" s="5" t="str">
        <f t="shared" si="255"/>
        <v>August 2023</v>
      </c>
    </row>
    <row r="4043" spans="1:14" x14ac:dyDescent="0.25">
      <c r="A4043" s="1">
        <v>45149</v>
      </c>
      <c r="B4043" t="s">
        <v>4396</v>
      </c>
      <c r="C4043">
        <v>30</v>
      </c>
      <c r="D4043" t="s">
        <v>14</v>
      </c>
      <c r="E4043" t="s">
        <v>32</v>
      </c>
      <c r="F4043" t="s">
        <v>16</v>
      </c>
      <c r="G4043" t="s">
        <v>17</v>
      </c>
      <c r="H4043">
        <v>2767.11</v>
      </c>
      <c r="I4043" s="8" t="str" cm="1">
        <f t="array" ref="I4043">_xlfn.IFS(C4043&lt;=15,"Children and Young Adolescents", C4043&gt;64, "Seniors", TRUE, "Working Age")</f>
        <v>Working Age</v>
      </c>
      <c r="J4043" s="6">
        <f>VLOOKUP(F4043,Analysis!$F$1:$G$5,2,FALSE)</f>
        <v>2509.1716796874912</v>
      </c>
      <c r="K4043">
        <f t="shared" si="252"/>
        <v>3043.82</v>
      </c>
      <c r="L4043">
        <f t="shared" si="253"/>
        <v>3043.8300000000004</v>
      </c>
      <c r="M4043">
        <f t="shared" si="254"/>
        <v>3043.82</v>
      </c>
      <c r="N4043" s="5" t="str">
        <f t="shared" si="255"/>
        <v>August 2023</v>
      </c>
    </row>
    <row r="4044" spans="1:14" x14ac:dyDescent="0.25">
      <c r="A4044" s="1">
        <v>45149</v>
      </c>
      <c r="B4044" t="s">
        <v>328</v>
      </c>
      <c r="C4044">
        <v>9</v>
      </c>
      <c r="D4044" t="s">
        <v>9</v>
      </c>
      <c r="E4044" t="s">
        <v>5032</v>
      </c>
      <c r="F4044" t="s">
        <v>16</v>
      </c>
      <c r="G4044" t="s">
        <v>5033</v>
      </c>
      <c r="H4044">
        <v>40.42</v>
      </c>
      <c r="I4044" s="8" t="str" cm="1">
        <f t="array" ref="I4044">_xlfn.IFS(C4044&lt;=15,"Children and Young Adolescents", C4044&gt;64, "Seniors", TRUE, "Working Age")</f>
        <v>Children and Young Adolescents</v>
      </c>
      <c r="J4044" s="6">
        <f>VLOOKUP(F4044,Analysis!$F$1:$G$5,2,FALSE)</f>
        <v>2509.1716796874912</v>
      </c>
      <c r="K4044">
        <f t="shared" si="252"/>
        <v>44.46</v>
      </c>
      <c r="L4044">
        <f t="shared" si="253"/>
        <v>44.47</v>
      </c>
      <c r="M4044">
        <f t="shared" si="254"/>
        <v>44.46</v>
      </c>
      <c r="N4044" s="5" t="str">
        <f t="shared" si="255"/>
        <v>August 2023</v>
      </c>
    </row>
    <row r="4045" spans="1:14" x14ac:dyDescent="0.25">
      <c r="A4045" s="1">
        <v>45149</v>
      </c>
      <c r="B4045" t="s">
        <v>4285</v>
      </c>
      <c r="C4045">
        <v>99</v>
      </c>
      <c r="D4045" t="s">
        <v>21</v>
      </c>
      <c r="E4045" t="s">
        <v>25</v>
      </c>
      <c r="F4045" t="s">
        <v>11</v>
      </c>
      <c r="G4045" t="s">
        <v>36</v>
      </c>
      <c r="H4045">
        <v>1090.77</v>
      </c>
      <c r="I4045" s="8" t="str" cm="1">
        <f t="array" ref="I4045">_xlfn.IFS(C4045&lt;=15,"Children and Young Adolescents", C4045&gt;64, "Seniors", TRUE, "Working Age")</f>
        <v>Seniors</v>
      </c>
      <c r="J4045" s="6">
        <f>VLOOKUP(F4045,Analysis!$F$1:$G$5,2,FALSE)</f>
        <v>2503.6022787783854</v>
      </c>
      <c r="K4045">
        <f t="shared" si="252"/>
        <v>1199.8399999999999</v>
      </c>
      <c r="L4045">
        <f t="shared" si="253"/>
        <v>1199.8499999999999</v>
      </c>
      <c r="M4045">
        <f t="shared" si="254"/>
        <v>1199.8499999999999</v>
      </c>
      <c r="N4045" s="5" t="str">
        <f t="shared" si="255"/>
        <v>August 2023</v>
      </c>
    </row>
    <row r="4046" spans="1:14" x14ac:dyDescent="0.25">
      <c r="A4046" s="1">
        <v>45149</v>
      </c>
      <c r="B4046" t="s">
        <v>1972</v>
      </c>
      <c r="C4046">
        <v>0</v>
      </c>
      <c r="D4046" t="s">
        <v>14</v>
      </c>
      <c r="E4046" t="s">
        <v>19</v>
      </c>
      <c r="F4046" t="s">
        <v>11</v>
      </c>
      <c r="G4046" t="s">
        <v>27</v>
      </c>
      <c r="H4046">
        <v>1699.18</v>
      </c>
      <c r="I4046" s="8" t="str" cm="1">
        <f t="array" ref="I4046">_xlfn.IFS(C4046&lt;=15,"Children and Young Adolescents", C4046&gt;64, "Seniors", TRUE, "Working Age")</f>
        <v>Children and Young Adolescents</v>
      </c>
      <c r="J4046" s="6">
        <f>VLOOKUP(F4046,Analysis!$F$1:$G$5,2,FALSE)</f>
        <v>2503.6022787783854</v>
      </c>
      <c r="K4046">
        <f t="shared" si="252"/>
        <v>1869.09</v>
      </c>
      <c r="L4046">
        <f t="shared" si="253"/>
        <v>1869.1</v>
      </c>
      <c r="M4046">
        <f t="shared" si="254"/>
        <v>1869.1</v>
      </c>
      <c r="N4046" s="5" t="str">
        <f t="shared" si="255"/>
        <v>August 2023</v>
      </c>
    </row>
    <row r="4047" spans="1:14" x14ac:dyDescent="0.25">
      <c r="A4047" s="1">
        <v>45149</v>
      </c>
      <c r="B4047" t="s">
        <v>4944</v>
      </c>
      <c r="C4047">
        <v>91</v>
      </c>
      <c r="D4047" t="s">
        <v>9</v>
      </c>
      <c r="E4047" t="s">
        <v>25</v>
      </c>
      <c r="F4047" t="s">
        <v>11</v>
      </c>
      <c r="G4047" t="s">
        <v>12</v>
      </c>
      <c r="H4047">
        <v>4523.01</v>
      </c>
      <c r="I4047" s="8" t="str" cm="1">
        <f t="array" ref="I4047">_xlfn.IFS(C4047&lt;=15,"Children and Young Adolescents", C4047&gt;64, "Seniors", TRUE, "Working Age")</f>
        <v>Seniors</v>
      </c>
      <c r="J4047" s="6">
        <f>VLOOKUP(F4047,Analysis!$F$1:$G$5,2,FALSE)</f>
        <v>2503.6022787783854</v>
      </c>
      <c r="K4047">
        <f t="shared" si="252"/>
        <v>4975.3100000000004</v>
      </c>
      <c r="L4047">
        <f t="shared" si="253"/>
        <v>4975.3200000000006</v>
      </c>
      <c r="M4047">
        <f t="shared" si="254"/>
        <v>4975.3100000000004</v>
      </c>
      <c r="N4047" s="5" t="str">
        <f t="shared" si="255"/>
        <v>August 2023</v>
      </c>
    </row>
    <row r="4048" spans="1:14" x14ac:dyDescent="0.25">
      <c r="A4048" s="1">
        <v>45149</v>
      </c>
      <c r="B4048" t="s">
        <v>2515</v>
      </c>
      <c r="C4048">
        <v>81</v>
      </c>
      <c r="D4048" t="s">
        <v>21</v>
      </c>
      <c r="E4048" t="s">
        <v>5032</v>
      </c>
      <c r="F4048" t="s">
        <v>29</v>
      </c>
      <c r="G4048" t="s">
        <v>17</v>
      </c>
      <c r="H4048">
        <v>2212.63</v>
      </c>
      <c r="I4048" s="8" t="str" cm="1">
        <f t="array" ref="I4048">_xlfn.IFS(C4048&lt;=15,"Children and Young Adolescents", C4048&gt;64, "Seniors", TRUE, "Working Age")</f>
        <v>Seniors</v>
      </c>
      <c r="J4048" s="6">
        <f>VLOOKUP(F4048,Analysis!$F$1:$G$5,2,FALSE)</f>
        <v>2496.7676064256989</v>
      </c>
      <c r="K4048">
        <f t="shared" si="252"/>
        <v>2433.89</v>
      </c>
      <c r="L4048">
        <f t="shared" si="253"/>
        <v>2433.9</v>
      </c>
      <c r="M4048">
        <f t="shared" si="254"/>
        <v>2433.89</v>
      </c>
      <c r="N4048" s="5" t="str">
        <f t="shared" si="255"/>
        <v>August 2023</v>
      </c>
    </row>
    <row r="4049" spans="1:14" x14ac:dyDescent="0.25">
      <c r="A4049" s="1">
        <v>45149</v>
      </c>
      <c r="B4049" t="s">
        <v>2259</v>
      </c>
      <c r="C4049">
        <v>52</v>
      </c>
      <c r="D4049" t="s">
        <v>9</v>
      </c>
      <c r="E4049" t="s">
        <v>34</v>
      </c>
      <c r="F4049" t="s">
        <v>11</v>
      </c>
      <c r="G4049" t="s">
        <v>17</v>
      </c>
      <c r="H4049">
        <v>2129.08</v>
      </c>
      <c r="I4049" s="8" t="str" cm="1">
        <f t="array" ref="I4049">_xlfn.IFS(C4049&lt;=15,"Children and Young Adolescents", C4049&gt;64, "Seniors", TRUE, "Working Age")</f>
        <v>Working Age</v>
      </c>
      <c r="J4049" s="6">
        <f>VLOOKUP(F4049,Analysis!$F$1:$G$5,2,FALSE)</f>
        <v>2503.6022787783854</v>
      </c>
      <c r="K4049">
        <f t="shared" si="252"/>
        <v>2341.98</v>
      </c>
      <c r="L4049">
        <f t="shared" si="253"/>
        <v>2341.9900000000002</v>
      </c>
      <c r="M4049">
        <f t="shared" si="254"/>
        <v>2341.9899999999998</v>
      </c>
      <c r="N4049" s="5" t="str">
        <f t="shared" si="255"/>
        <v>August 2023</v>
      </c>
    </row>
    <row r="4050" spans="1:14" x14ac:dyDescent="0.25">
      <c r="A4050" s="1">
        <v>45149</v>
      </c>
      <c r="B4050" t="s">
        <v>963</v>
      </c>
      <c r="C4050">
        <v>87</v>
      </c>
      <c r="D4050" t="s">
        <v>21</v>
      </c>
      <c r="E4050" t="s">
        <v>5032</v>
      </c>
      <c r="F4050" t="s">
        <v>16</v>
      </c>
      <c r="G4050" t="s">
        <v>12</v>
      </c>
      <c r="H4050">
        <v>2662.07</v>
      </c>
      <c r="I4050" s="8" t="str" cm="1">
        <f t="array" ref="I4050">_xlfn.IFS(C4050&lt;=15,"Children and Young Adolescents", C4050&gt;64, "Seniors", TRUE, "Working Age")</f>
        <v>Seniors</v>
      </c>
      <c r="J4050" s="6">
        <f>VLOOKUP(F4050,Analysis!$F$1:$G$5,2,FALSE)</f>
        <v>2509.1716796874912</v>
      </c>
      <c r="K4050">
        <f t="shared" si="252"/>
        <v>2928.27</v>
      </c>
      <c r="L4050">
        <f t="shared" si="253"/>
        <v>2928.28</v>
      </c>
      <c r="M4050">
        <f t="shared" si="254"/>
        <v>2928.28</v>
      </c>
      <c r="N4050" s="5" t="str">
        <f t="shared" si="255"/>
        <v>August 2023</v>
      </c>
    </row>
    <row r="4051" spans="1:14" x14ac:dyDescent="0.25">
      <c r="A4051" s="1">
        <v>45150</v>
      </c>
      <c r="B4051" t="s">
        <v>2870</v>
      </c>
      <c r="C4051">
        <v>4</v>
      </c>
      <c r="D4051" t="s">
        <v>21</v>
      </c>
      <c r="E4051" t="s">
        <v>25</v>
      </c>
      <c r="F4051" t="s">
        <v>11</v>
      </c>
      <c r="G4051" t="s">
        <v>39</v>
      </c>
      <c r="H4051">
        <v>3097.63</v>
      </c>
      <c r="I4051" s="8" t="str" cm="1">
        <f t="array" ref="I4051">_xlfn.IFS(C4051&lt;=15,"Children and Young Adolescents", C4051&gt;64, "Seniors", TRUE, "Working Age")</f>
        <v>Children and Young Adolescents</v>
      </c>
      <c r="J4051" s="6">
        <f>VLOOKUP(F4051,Analysis!$F$1:$G$5,2,FALSE)</f>
        <v>2503.6022787783854</v>
      </c>
      <c r="K4051">
        <f t="shared" si="252"/>
        <v>3407.39</v>
      </c>
      <c r="L4051">
        <f t="shared" si="253"/>
        <v>3407.4</v>
      </c>
      <c r="M4051">
        <f t="shared" si="254"/>
        <v>3407.39</v>
      </c>
      <c r="N4051" s="5" t="str">
        <f t="shared" si="255"/>
        <v>August 2023</v>
      </c>
    </row>
    <row r="4052" spans="1:14" x14ac:dyDescent="0.25">
      <c r="A4052" s="1">
        <v>45150</v>
      </c>
      <c r="B4052" t="s">
        <v>1691</v>
      </c>
      <c r="C4052">
        <v>46</v>
      </c>
      <c r="D4052" t="s">
        <v>9</v>
      </c>
      <c r="E4052" t="s">
        <v>32</v>
      </c>
      <c r="F4052" t="s">
        <v>23</v>
      </c>
      <c r="G4052" t="s">
        <v>39</v>
      </c>
      <c r="H4052">
        <v>3462.37</v>
      </c>
      <c r="I4052" s="8" t="str" cm="1">
        <f t="array" ref="I4052">_xlfn.IFS(C4052&lt;=15,"Children and Young Adolescents", C4052&gt;64, "Seniors", TRUE, "Working Age")</f>
        <v>Working Age</v>
      </c>
      <c r="J4052" s="6">
        <f>VLOOKUP(F4052,Analysis!$F$1:$G$5,2,FALSE)</f>
        <v>2440.2966694490838</v>
      </c>
      <c r="K4052">
        <f t="shared" si="252"/>
        <v>3808.6</v>
      </c>
      <c r="L4052">
        <f t="shared" si="253"/>
        <v>3808.61</v>
      </c>
      <c r="M4052">
        <f t="shared" si="254"/>
        <v>3808.61</v>
      </c>
      <c r="N4052" s="5" t="str">
        <f t="shared" si="255"/>
        <v>August 2023</v>
      </c>
    </row>
    <row r="4053" spans="1:14" x14ac:dyDescent="0.25">
      <c r="A4053" s="1">
        <v>45150</v>
      </c>
      <c r="B4053" t="s">
        <v>1427</v>
      </c>
      <c r="C4053">
        <v>26</v>
      </c>
      <c r="D4053" t="s">
        <v>9</v>
      </c>
      <c r="E4053" t="s">
        <v>19</v>
      </c>
      <c r="F4053" t="s">
        <v>11</v>
      </c>
      <c r="G4053" t="s">
        <v>39</v>
      </c>
      <c r="H4053">
        <v>145.4</v>
      </c>
      <c r="I4053" s="8" t="str" cm="1">
        <f t="array" ref="I4053">_xlfn.IFS(C4053&lt;=15,"Children and Young Adolescents", C4053&gt;64, "Seniors", TRUE, "Working Age")</f>
        <v>Working Age</v>
      </c>
      <c r="J4053" s="6">
        <f>VLOOKUP(F4053,Analysis!$F$1:$G$5,2,FALSE)</f>
        <v>2503.6022787783854</v>
      </c>
      <c r="K4053">
        <f t="shared" si="252"/>
        <v>159.94</v>
      </c>
      <c r="L4053">
        <f t="shared" si="253"/>
        <v>159.94</v>
      </c>
      <c r="M4053">
        <f t="shared" si="254"/>
        <v>159.94</v>
      </c>
      <c r="N4053" s="5" t="str">
        <f t="shared" si="255"/>
        <v>August 2023</v>
      </c>
    </row>
    <row r="4054" spans="1:14" x14ac:dyDescent="0.25">
      <c r="A4054" s="1">
        <v>45150</v>
      </c>
      <c r="B4054" t="s">
        <v>2568</v>
      </c>
      <c r="C4054">
        <v>71</v>
      </c>
      <c r="D4054" t="s">
        <v>21</v>
      </c>
      <c r="E4054" t="s">
        <v>5032</v>
      </c>
      <c r="F4054" t="s">
        <v>23</v>
      </c>
      <c r="G4054" t="s">
        <v>39</v>
      </c>
      <c r="H4054">
        <v>4115.6899999999996</v>
      </c>
      <c r="I4054" s="8" t="str" cm="1">
        <f t="array" ref="I4054">_xlfn.IFS(C4054&lt;=15,"Children and Young Adolescents", C4054&gt;64, "Seniors", TRUE, "Working Age")</f>
        <v>Seniors</v>
      </c>
      <c r="J4054" s="6">
        <f>VLOOKUP(F4054,Analysis!$F$1:$G$5,2,FALSE)</f>
        <v>2440.2966694490838</v>
      </c>
      <c r="K4054">
        <f t="shared" si="252"/>
        <v>4527.25</v>
      </c>
      <c r="L4054">
        <f t="shared" si="253"/>
        <v>4527.26</v>
      </c>
      <c r="M4054">
        <f t="shared" si="254"/>
        <v>4527.26</v>
      </c>
      <c r="N4054" s="5" t="str">
        <f t="shared" si="255"/>
        <v>August 2023</v>
      </c>
    </row>
    <row r="4055" spans="1:14" x14ac:dyDescent="0.25">
      <c r="A4055" s="1">
        <v>45150</v>
      </c>
      <c r="B4055" t="s">
        <v>1535</v>
      </c>
      <c r="C4055">
        <v>14</v>
      </c>
      <c r="D4055" t="s">
        <v>14</v>
      </c>
      <c r="E4055" t="s">
        <v>25</v>
      </c>
      <c r="F4055" t="s">
        <v>11</v>
      </c>
      <c r="G4055" t="s">
        <v>17</v>
      </c>
      <c r="H4055">
        <v>4100.3900000000003</v>
      </c>
      <c r="I4055" s="8" t="str" cm="1">
        <f t="array" ref="I4055">_xlfn.IFS(C4055&lt;=15,"Children and Young Adolescents", C4055&gt;64, "Seniors", TRUE, "Working Age")</f>
        <v>Children and Young Adolescents</v>
      </c>
      <c r="J4055" s="6">
        <f>VLOOKUP(F4055,Analysis!$F$1:$G$5,2,FALSE)</f>
        <v>2503.6022787783854</v>
      </c>
      <c r="K4055">
        <f t="shared" si="252"/>
        <v>4510.42</v>
      </c>
      <c r="L4055">
        <f t="shared" si="253"/>
        <v>4510.43</v>
      </c>
      <c r="M4055">
        <f t="shared" si="254"/>
        <v>4510.43</v>
      </c>
      <c r="N4055" s="5" t="str">
        <f t="shared" si="255"/>
        <v>August 2023</v>
      </c>
    </row>
    <row r="4056" spans="1:14" x14ac:dyDescent="0.25">
      <c r="A4056" s="1">
        <v>45151</v>
      </c>
      <c r="B4056" t="s">
        <v>4738</v>
      </c>
      <c r="C4056">
        <v>7</v>
      </c>
      <c r="D4056" t="s">
        <v>14</v>
      </c>
      <c r="E4056" t="s">
        <v>32</v>
      </c>
      <c r="F4056" t="s">
        <v>29</v>
      </c>
      <c r="G4056" t="s">
        <v>17</v>
      </c>
      <c r="H4056">
        <v>3218.47</v>
      </c>
      <c r="I4056" s="8" t="str" cm="1">
        <f t="array" ref="I4056">_xlfn.IFS(C4056&lt;=15,"Children and Young Adolescents", C4056&gt;64, "Seniors", TRUE, "Working Age")</f>
        <v>Children and Young Adolescents</v>
      </c>
      <c r="J4056" s="6">
        <f>VLOOKUP(F4056,Analysis!$F$1:$G$5,2,FALSE)</f>
        <v>2496.7676064256989</v>
      </c>
      <c r="K4056">
        <f t="shared" si="252"/>
        <v>3540.31</v>
      </c>
      <c r="L4056">
        <f t="shared" si="253"/>
        <v>3540.32</v>
      </c>
      <c r="M4056">
        <f t="shared" si="254"/>
        <v>3540.32</v>
      </c>
      <c r="N4056" s="5" t="str">
        <f t="shared" si="255"/>
        <v>August 2023</v>
      </c>
    </row>
    <row r="4057" spans="1:14" x14ac:dyDescent="0.25">
      <c r="A4057" s="1">
        <v>45151</v>
      </c>
      <c r="B4057" t="s">
        <v>3417</v>
      </c>
      <c r="C4057">
        <v>13</v>
      </c>
      <c r="D4057" t="s">
        <v>14</v>
      </c>
      <c r="E4057" t="s">
        <v>15</v>
      </c>
      <c r="F4057" t="s">
        <v>16</v>
      </c>
      <c r="G4057" t="s">
        <v>27</v>
      </c>
      <c r="H4057">
        <v>1100.8599999999999</v>
      </c>
      <c r="I4057" s="8" t="str" cm="1">
        <f t="array" ref="I4057">_xlfn.IFS(C4057&lt;=15,"Children and Young Adolescents", C4057&gt;64, "Seniors", TRUE, "Working Age")</f>
        <v>Children and Young Adolescents</v>
      </c>
      <c r="J4057" s="6">
        <f>VLOOKUP(F4057,Analysis!$F$1:$G$5,2,FALSE)</f>
        <v>2509.1716796874912</v>
      </c>
      <c r="K4057">
        <f t="shared" si="252"/>
        <v>1210.94</v>
      </c>
      <c r="L4057">
        <f t="shared" si="253"/>
        <v>1210.95</v>
      </c>
      <c r="M4057">
        <f t="shared" si="254"/>
        <v>1210.95</v>
      </c>
      <c r="N4057" s="5" t="str">
        <f t="shared" si="255"/>
        <v>August 2023</v>
      </c>
    </row>
    <row r="4058" spans="1:14" x14ac:dyDescent="0.25">
      <c r="A4058" s="1">
        <v>45151</v>
      </c>
      <c r="B4058" t="s">
        <v>2392</v>
      </c>
      <c r="C4058">
        <v>6</v>
      </c>
      <c r="D4058" t="s">
        <v>9</v>
      </c>
      <c r="E4058" t="s">
        <v>32</v>
      </c>
      <c r="F4058" t="s">
        <v>23</v>
      </c>
      <c r="G4058" t="s">
        <v>36</v>
      </c>
      <c r="H4058">
        <v>1006.53</v>
      </c>
      <c r="I4058" s="8" t="str" cm="1">
        <f t="array" ref="I4058">_xlfn.IFS(C4058&lt;=15,"Children and Young Adolescents", C4058&gt;64, "Seniors", TRUE, "Working Age")</f>
        <v>Children and Young Adolescents</v>
      </c>
      <c r="J4058" s="6">
        <f>VLOOKUP(F4058,Analysis!$F$1:$G$5,2,FALSE)</f>
        <v>2440.2966694490838</v>
      </c>
      <c r="K4058">
        <f t="shared" si="252"/>
        <v>1107.18</v>
      </c>
      <c r="L4058">
        <f t="shared" si="253"/>
        <v>1107.19</v>
      </c>
      <c r="M4058">
        <f t="shared" si="254"/>
        <v>1107.18</v>
      </c>
      <c r="N4058" s="5" t="str">
        <f t="shared" si="255"/>
        <v>August 2023</v>
      </c>
    </row>
    <row r="4059" spans="1:14" x14ac:dyDescent="0.25">
      <c r="A4059" s="1">
        <v>45151</v>
      </c>
      <c r="B4059" t="s">
        <v>4281</v>
      </c>
      <c r="C4059">
        <v>56</v>
      </c>
      <c r="D4059" t="s">
        <v>9</v>
      </c>
      <c r="E4059" t="s">
        <v>25</v>
      </c>
      <c r="F4059" t="s">
        <v>16</v>
      </c>
      <c r="G4059" t="s">
        <v>12</v>
      </c>
      <c r="H4059">
        <v>1291.0899999999999</v>
      </c>
      <c r="I4059" s="8" t="str" cm="1">
        <f t="array" ref="I4059">_xlfn.IFS(C4059&lt;=15,"Children and Young Adolescents", C4059&gt;64, "Seniors", TRUE, "Working Age")</f>
        <v>Working Age</v>
      </c>
      <c r="J4059" s="6">
        <f>VLOOKUP(F4059,Analysis!$F$1:$G$5,2,FALSE)</f>
        <v>2509.1716796874912</v>
      </c>
      <c r="K4059">
        <f t="shared" si="252"/>
        <v>1420.19</v>
      </c>
      <c r="L4059">
        <f t="shared" si="253"/>
        <v>1420.2</v>
      </c>
      <c r="M4059">
        <f t="shared" si="254"/>
        <v>1420.2</v>
      </c>
      <c r="N4059" s="5" t="str">
        <f t="shared" si="255"/>
        <v>August 2023</v>
      </c>
    </row>
    <row r="4060" spans="1:14" x14ac:dyDescent="0.25">
      <c r="A4060" s="1">
        <v>45151</v>
      </c>
      <c r="B4060" t="s">
        <v>3281</v>
      </c>
      <c r="C4060">
        <v>97</v>
      </c>
      <c r="D4060" t="s">
        <v>14</v>
      </c>
      <c r="E4060" t="s">
        <v>15</v>
      </c>
      <c r="F4060" t="s">
        <v>11</v>
      </c>
      <c r="G4060" t="s">
        <v>17</v>
      </c>
      <c r="H4060">
        <v>1608.04</v>
      </c>
      <c r="I4060" s="8" t="str" cm="1">
        <f t="array" ref="I4060">_xlfn.IFS(C4060&lt;=15,"Children and Young Adolescents", C4060&gt;64, "Seniors", TRUE, "Working Age")</f>
        <v>Seniors</v>
      </c>
      <c r="J4060" s="6">
        <f>VLOOKUP(F4060,Analysis!$F$1:$G$5,2,FALSE)</f>
        <v>2503.6022787783854</v>
      </c>
      <c r="K4060">
        <f t="shared" si="252"/>
        <v>1768.84</v>
      </c>
      <c r="L4060">
        <f t="shared" si="253"/>
        <v>1768.85</v>
      </c>
      <c r="M4060">
        <f t="shared" si="254"/>
        <v>1768.84</v>
      </c>
      <c r="N4060" s="5" t="str">
        <f t="shared" si="255"/>
        <v>August 2023</v>
      </c>
    </row>
    <row r="4061" spans="1:14" x14ac:dyDescent="0.25">
      <c r="A4061" s="1">
        <v>45151</v>
      </c>
      <c r="B4061" t="s">
        <v>2138</v>
      </c>
      <c r="C4061">
        <v>2</v>
      </c>
      <c r="D4061" t="s">
        <v>9</v>
      </c>
      <c r="E4061" t="s">
        <v>10</v>
      </c>
      <c r="F4061" t="s">
        <v>23</v>
      </c>
      <c r="G4061" t="s">
        <v>36</v>
      </c>
      <c r="H4061">
        <v>2484.44</v>
      </c>
      <c r="I4061" s="8" t="str" cm="1">
        <f t="array" ref="I4061">_xlfn.IFS(C4061&lt;=15,"Children and Young Adolescents", C4061&gt;64, "Seniors", TRUE, "Working Age")</f>
        <v>Children and Young Adolescents</v>
      </c>
      <c r="J4061" s="6">
        <f>VLOOKUP(F4061,Analysis!$F$1:$G$5,2,FALSE)</f>
        <v>2440.2966694490838</v>
      </c>
      <c r="K4061">
        <f t="shared" si="252"/>
        <v>2732.88</v>
      </c>
      <c r="L4061">
        <f t="shared" si="253"/>
        <v>2732.8900000000003</v>
      </c>
      <c r="M4061">
        <f t="shared" si="254"/>
        <v>2732.88</v>
      </c>
      <c r="N4061" s="5" t="str">
        <f t="shared" si="255"/>
        <v>August 2023</v>
      </c>
    </row>
    <row r="4062" spans="1:14" x14ac:dyDescent="0.25">
      <c r="A4062" s="1">
        <v>45151</v>
      </c>
      <c r="B4062" t="s">
        <v>2992</v>
      </c>
      <c r="C4062">
        <v>64</v>
      </c>
      <c r="D4062" t="s">
        <v>21</v>
      </c>
      <c r="E4062" t="s">
        <v>19</v>
      </c>
      <c r="F4062" t="s">
        <v>23</v>
      </c>
      <c r="G4062" t="s">
        <v>39</v>
      </c>
      <c r="H4062">
        <v>286.51</v>
      </c>
      <c r="I4062" s="8" t="str" cm="1">
        <f t="array" ref="I4062">_xlfn.IFS(C4062&lt;=15,"Children and Young Adolescents", C4062&gt;64, "Seniors", TRUE, "Working Age")</f>
        <v>Working Age</v>
      </c>
      <c r="J4062" s="6">
        <f>VLOOKUP(F4062,Analysis!$F$1:$G$5,2,FALSE)</f>
        <v>2440.2966694490838</v>
      </c>
      <c r="K4062">
        <f t="shared" si="252"/>
        <v>315.16000000000003</v>
      </c>
      <c r="L4062">
        <f t="shared" si="253"/>
        <v>315.17</v>
      </c>
      <c r="M4062">
        <f t="shared" si="254"/>
        <v>315.16000000000003</v>
      </c>
      <c r="N4062" s="5" t="str">
        <f t="shared" si="255"/>
        <v>August 2023</v>
      </c>
    </row>
    <row r="4063" spans="1:14" x14ac:dyDescent="0.25">
      <c r="A4063" s="1">
        <v>45151</v>
      </c>
      <c r="B4063" t="s">
        <v>4717</v>
      </c>
      <c r="C4063">
        <v>71</v>
      </c>
      <c r="D4063" t="s">
        <v>14</v>
      </c>
      <c r="E4063" t="s">
        <v>22</v>
      </c>
      <c r="F4063" t="s">
        <v>11</v>
      </c>
      <c r="G4063" t="s">
        <v>27</v>
      </c>
      <c r="H4063">
        <v>4570.2700000000004</v>
      </c>
      <c r="I4063" s="8" t="str" cm="1">
        <f t="array" ref="I4063">_xlfn.IFS(C4063&lt;=15,"Children and Young Adolescents", C4063&gt;64, "Seniors", TRUE, "Working Age")</f>
        <v>Seniors</v>
      </c>
      <c r="J4063" s="6">
        <f>VLOOKUP(F4063,Analysis!$F$1:$G$5,2,FALSE)</f>
        <v>2503.6022787783854</v>
      </c>
      <c r="K4063">
        <f t="shared" si="252"/>
        <v>5027.29</v>
      </c>
      <c r="L4063">
        <f t="shared" si="253"/>
        <v>5027.3</v>
      </c>
      <c r="M4063">
        <f t="shared" si="254"/>
        <v>5027.3</v>
      </c>
      <c r="N4063" s="5" t="str">
        <f t="shared" si="255"/>
        <v>August 2023</v>
      </c>
    </row>
    <row r="4064" spans="1:14" x14ac:dyDescent="0.25">
      <c r="A4064" s="1">
        <v>45151</v>
      </c>
      <c r="B4064" t="s">
        <v>4509</v>
      </c>
      <c r="C4064">
        <v>39</v>
      </c>
      <c r="D4064" t="s">
        <v>9</v>
      </c>
      <c r="E4064" t="s">
        <v>34</v>
      </c>
      <c r="F4064" t="s">
        <v>29</v>
      </c>
      <c r="G4064" t="s">
        <v>27</v>
      </c>
      <c r="H4064">
        <v>1974.03</v>
      </c>
      <c r="I4064" s="8" t="str" cm="1">
        <f t="array" ref="I4064">_xlfn.IFS(C4064&lt;=15,"Children and Young Adolescents", C4064&gt;64, "Seniors", TRUE, "Working Age")</f>
        <v>Working Age</v>
      </c>
      <c r="J4064" s="6">
        <f>VLOOKUP(F4064,Analysis!$F$1:$G$5,2,FALSE)</f>
        <v>2496.7676064256989</v>
      </c>
      <c r="K4064">
        <f t="shared" si="252"/>
        <v>2171.4299999999998</v>
      </c>
      <c r="L4064">
        <f t="shared" si="253"/>
        <v>2171.44</v>
      </c>
      <c r="M4064">
        <f t="shared" si="254"/>
        <v>2171.4299999999998</v>
      </c>
      <c r="N4064" s="5" t="str">
        <f t="shared" si="255"/>
        <v>August 2023</v>
      </c>
    </row>
    <row r="4065" spans="1:14" x14ac:dyDescent="0.25">
      <c r="A4065" s="1">
        <v>45151</v>
      </c>
      <c r="B4065" t="s">
        <v>372</v>
      </c>
      <c r="C4065">
        <v>31</v>
      </c>
      <c r="D4065" t="s">
        <v>21</v>
      </c>
      <c r="E4065" t="s">
        <v>34</v>
      </c>
      <c r="F4065" t="s">
        <v>23</v>
      </c>
      <c r="G4065" t="s">
        <v>27</v>
      </c>
      <c r="H4065">
        <v>92.59</v>
      </c>
      <c r="I4065" s="8" t="str" cm="1">
        <f t="array" ref="I4065">_xlfn.IFS(C4065&lt;=15,"Children and Young Adolescents", C4065&gt;64, "Seniors", TRUE, "Working Age")</f>
        <v>Working Age</v>
      </c>
      <c r="J4065" s="6">
        <f>VLOOKUP(F4065,Analysis!$F$1:$G$5,2,FALSE)</f>
        <v>2440.2966694490838</v>
      </c>
      <c r="K4065">
        <f t="shared" si="252"/>
        <v>101.84</v>
      </c>
      <c r="L4065">
        <f t="shared" si="253"/>
        <v>101.85000000000001</v>
      </c>
      <c r="M4065">
        <f t="shared" si="254"/>
        <v>101.85</v>
      </c>
      <c r="N4065" s="5" t="str">
        <f t="shared" si="255"/>
        <v>August 2023</v>
      </c>
    </row>
    <row r="4066" spans="1:14" x14ac:dyDescent="0.25">
      <c r="A4066" s="1">
        <v>45152</v>
      </c>
      <c r="B4066" t="s">
        <v>1624</v>
      </c>
      <c r="C4066">
        <v>90</v>
      </c>
      <c r="D4066" t="s">
        <v>9</v>
      </c>
      <c r="E4066" t="s">
        <v>5032</v>
      </c>
      <c r="F4066" t="s">
        <v>29</v>
      </c>
      <c r="G4066" t="s">
        <v>5033</v>
      </c>
      <c r="H4066">
        <v>4134.97</v>
      </c>
      <c r="I4066" s="8" t="str" cm="1">
        <f t="array" ref="I4066">_xlfn.IFS(C4066&lt;=15,"Children and Young Adolescents", C4066&gt;64, "Seniors", TRUE, "Working Age")</f>
        <v>Seniors</v>
      </c>
      <c r="J4066" s="6">
        <f>VLOOKUP(F4066,Analysis!$F$1:$G$5,2,FALSE)</f>
        <v>2496.7676064256989</v>
      </c>
      <c r="K4066">
        <f t="shared" si="252"/>
        <v>4548.46</v>
      </c>
      <c r="L4066">
        <f t="shared" si="253"/>
        <v>4548.47</v>
      </c>
      <c r="M4066">
        <f t="shared" si="254"/>
        <v>4548.47</v>
      </c>
      <c r="N4066" s="5" t="str">
        <f t="shared" si="255"/>
        <v>August 2023</v>
      </c>
    </row>
    <row r="4067" spans="1:14" x14ac:dyDescent="0.25">
      <c r="A4067" s="1">
        <v>45152</v>
      </c>
      <c r="B4067" t="s">
        <v>3914</v>
      </c>
      <c r="C4067">
        <v>24</v>
      </c>
      <c r="D4067" t="s">
        <v>14</v>
      </c>
      <c r="E4067" t="s">
        <v>25</v>
      </c>
      <c r="F4067" t="s">
        <v>29</v>
      </c>
      <c r="G4067" t="s">
        <v>27</v>
      </c>
      <c r="H4067">
        <v>2327.81</v>
      </c>
      <c r="I4067" s="8" t="str" cm="1">
        <f t="array" ref="I4067">_xlfn.IFS(C4067&lt;=15,"Children and Young Adolescents", C4067&gt;64, "Seniors", TRUE, "Working Age")</f>
        <v>Working Age</v>
      </c>
      <c r="J4067" s="6">
        <f>VLOOKUP(F4067,Analysis!$F$1:$G$5,2,FALSE)</f>
        <v>2496.7676064256989</v>
      </c>
      <c r="K4067">
        <f t="shared" si="252"/>
        <v>2560.59</v>
      </c>
      <c r="L4067">
        <f t="shared" si="253"/>
        <v>2560.6000000000004</v>
      </c>
      <c r="M4067">
        <f t="shared" si="254"/>
        <v>2560.59</v>
      </c>
      <c r="N4067" s="5" t="str">
        <f t="shared" si="255"/>
        <v>August 2023</v>
      </c>
    </row>
    <row r="4068" spans="1:14" x14ac:dyDescent="0.25">
      <c r="A4068" s="1">
        <v>45152</v>
      </c>
      <c r="B4068" t="s">
        <v>1329</v>
      </c>
      <c r="C4068">
        <v>0</v>
      </c>
      <c r="D4068" t="s">
        <v>14</v>
      </c>
      <c r="E4068" t="s">
        <v>22</v>
      </c>
      <c r="F4068" t="s">
        <v>29</v>
      </c>
      <c r="G4068" t="s">
        <v>12</v>
      </c>
      <c r="H4068">
        <v>3449.92</v>
      </c>
      <c r="I4068" s="8" t="str" cm="1">
        <f t="array" ref="I4068">_xlfn.IFS(C4068&lt;=15,"Children and Young Adolescents", C4068&gt;64, "Seniors", TRUE, "Working Age")</f>
        <v>Children and Young Adolescents</v>
      </c>
      <c r="J4068" s="6">
        <f>VLOOKUP(F4068,Analysis!$F$1:$G$5,2,FALSE)</f>
        <v>2496.7676064256989</v>
      </c>
      <c r="K4068">
        <f t="shared" si="252"/>
        <v>3794.91</v>
      </c>
      <c r="L4068">
        <f t="shared" si="253"/>
        <v>3794.92</v>
      </c>
      <c r="M4068">
        <f t="shared" si="254"/>
        <v>3794.91</v>
      </c>
      <c r="N4068" s="5" t="str">
        <f t="shared" si="255"/>
        <v>August 2023</v>
      </c>
    </row>
    <row r="4069" spans="1:14" x14ac:dyDescent="0.25">
      <c r="A4069" s="1">
        <v>45152</v>
      </c>
      <c r="B4069" t="s">
        <v>1712</v>
      </c>
      <c r="C4069">
        <v>52</v>
      </c>
      <c r="D4069" t="s">
        <v>21</v>
      </c>
      <c r="E4069" t="s">
        <v>15</v>
      </c>
      <c r="F4069" t="s">
        <v>11</v>
      </c>
      <c r="G4069" t="s">
        <v>36</v>
      </c>
      <c r="H4069">
        <v>4143.3599999999997</v>
      </c>
      <c r="I4069" s="8" t="str" cm="1">
        <f t="array" ref="I4069">_xlfn.IFS(C4069&lt;=15,"Children and Young Adolescents", C4069&gt;64, "Seniors", TRUE, "Working Age")</f>
        <v>Working Age</v>
      </c>
      <c r="J4069" s="6">
        <f>VLOOKUP(F4069,Analysis!$F$1:$G$5,2,FALSE)</f>
        <v>2503.6022787783854</v>
      </c>
      <c r="K4069">
        <f t="shared" si="252"/>
        <v>4557.6899999999996</v>
      </c>
      <c r="L4069">
        <f t="shared" si="253"/>
        <v>4557.7</v>
      </c>
      <c r="M4069">
        <f t="shared" si="254"/>
        <v>4557.7</v>
      </c>
      <c r="N4069" s="5" t="str">
        <f t="shared" si="255"/>
        <v>August 2023</v>
      </c>
    </row>
    <row r="4070" spans="1:14" x14ac:dyDescent="0.25">
      <c r="A4070" s="1">
        <v>45152</v>
      </c>
      <c r="B4070" t="s">
        <v>4674</v>
      </c>
      <c r="C4070">
        <v>73</v>
      </c>
      <c r="D4070" t="s">
        <v>14</v>
      </c>
      <c r="E4070" t="s">
        <v>10</v>
      </c>
      <c r="F4070" t="s">
        <v>11</v>
      </c>
      <c r="G4070" t="s">
        <v>36</v>
      </c>
      <c r="H4070">
        <v>3445.21</v>
      </c>
      <c r="I4070" s="8" t="str" cm="1">
        <f t="array" ref="I4070">_xlfn.IFS(C4070&lt;=15,"Children and Young Adolescents", C4070&gt;64, "Seniors", TRUE, "Working Age")</f>
        <v>Seniors</v>
      </c>
      <c r="J4070" s="6">
        <f>VLOOKUP(F4070,Analysis!$F$1:$G$5,2,FALSE)</f>
        <v>2503.6022787783854</v>
      </c>
      <c r="K4070">
        <f t="shared" si="252"/>
        <v>3789.73</v>
      </c>
      <c r="L4070">
        <f t="shared" si="253"/>
        <v>3789.7400000000002</v>
      </c>
      <c r="M4070">
        <f t="shared" si="254"/>
        <v>3789.73</v>
      </c>
      <c r="N4070" s="5" t="str">
        <f t="shared" si="255"/>
        <v>August 2023</v>
      </c>
    </row>
    <row r="4071" spans="1:14" x14ac:dyDescent="0.25">
      <c r="A4071" s="1">
        <v>45152</v>
      </c>
      <c r="B4071" t="s">
        <v>2925</v>
      </c>
      <c r="C4071">
        <v>39</v>
      </c>
      <c r="D4071" t="s">
        <v>9</v>
      </c>
      <c r="E4071" t="s">
        <v>34</v>
      </c>
      <c r="F4071" t="s">
        <v>16</v>
      </c>
      <c r="G4071" t="s">
        <v>17</v>
      </c>
      <c r="H4071">
        <v>4932.2</v>
      </c>
      <c r="I4071" s="8" t="str" cm="1">
        <f t="array" ref="I4071">_xlfn.IFS(C4071&lt;=15,"Children and Young Adolescents", C4071&gt;64, "Seniors", TRUE, "Working Age")</f>
        <v>Working Age</v>
      </c>
      <c r="J4071" s="6">
        <f>VLOOKUP(F4071,Analysis!$F$1:$G$5,2,FALSE)</f>
        <v>2509.1716796874912</v>
      </c>
      <c r="K4071">
        <f t="shared" si="252"/>
        <v>5425.42</v>
      </c>
      <c r="L4071">
        <f t="shared" si="253"/>
        <v>5425.42</v>
      </c>
      <c r="M4071">
        <f t="shared" si="254"/>
        <v>5425.42</v>
      </c>
      <c r="N4071" s="5" t="str">
        <f t="shared" si="255"/>
        <v>August 2023</v>
      </c>
    </row>
    <row r="4072" spans="1:14" x14ac:dyDescent="0.25">
      <c r="A4072" s="1">
        <v>45152</v>
      </c>
      <c r="B4072" t="s">
        <v>1099</v>
      </c>
      <c r="C4072">
        <v>69</v>
      </c>
      <c r="D4072" t="s">
        <v>9</v>
      </c>
      <c r="E4072" t="s">
        <v>10</v>
      </c>
      <c r="F4072" t="s">
        <v>29</v>
      </c>
      <c r="G4072" t="s">
        <v>17</v>
      </c>
      <c r="H4072">
        <v>804.3</v>
      </c>
      <c r="I4072" s="8" t="str" cm="1">
        <f t="array" ref="I4072">_xlfn.IFS(C4072&lt;=15,"Children and Young Adolescents", C4072&gt;64, "Seniors", TRUE, "Working Age")</f>
        <v>Seniors</v>
      </c>
      <c r="J4072" s="6">
        <f>VLOOKUP(F4072,Analysis!$F$1:$G$5,2,FALSE)</f>
        <v>2496.7676064256989</v>
      </c>
      <c r="K4072">
        <f t="shared" si="252"/>
        <v>884.73</v>
      </c>
      <c r="L4072">
        <f t="shared" si="253"/>
        <v>884.73</v>
      </c>
      <c r="M4072">
        <f t="shared" si="254"/>
        <v>884.73</v>
      </c>
      <c r="N4072" s="5" t="str">
        <f t="shared" si="255"/>
        <v>August 2023</v>
      </c>
    </row>
    <row r="4073" spans="1:14" x14ac:dyDescent="0.25">
      <c r="A4073" s="1">
        <v>45153</v>
      </c>
      <c r="B4073" t="s">
        <v>453</v>
      </c>
      <c r="C4073">
        <v>43</v>
      </c>
      <c r="D4073" t="s">
        <v>14</v>
      </c>
      <c r="E4073" t="s">
        <v>10</v>
      </c>
      <c r="F4073" t="s">
        <v>11</v>
      </c>
      <c r="G4073" t="s">
        <v>12</v>
      </c>
      <c r="H4073">
        <v>3501.53</v>
      </c>
      <c r="I4073" s="8" t="str" cm="1">
        <f t="array" ref="I4073">_xlfn.IFS(C4073&lt;=15,"Children and Young Adolescents", C4073&gt;64, "Seniors", TRUE, "Working Age")</f>
        <v>Working Age</v>
      </c>
      <c r="J4073" s="6">
        <f>VLOOKUP(F4073,Analysis!$F$1:$G$5,2,FALSE)</f>
        <v>2503.6022787783854</v>
      </c>
      <c r="K4073">
        <f t="shared" si="252"/>
        <v>3851.68</v>
      </c>
      <c r="L4073">
        <f t="shared" si="253"/>
        <v>3851.69</v>
      </c>
      <c r="M4073">
        <f t="shared" si="254"/>
        <v>3851.68</v>
      </c>
      <c r="N4073" s="5" t="str">
        <f t="shared" si="255"/>
        <v>August 2023</v>
      </c>
    </row>
    <row r="4074" spans="1:14" x14ac:dyDescent="0.25">
      <c r="A4074" s="1">
        <v>45153</v>
      </c>
      <c r="B4074" t="s">
        <v>1660</v>
      </c>
      <c r="C4074">
        <v>26</v>
      </c>
      <c r="D4074" t="s">
        <v>9</v>
      </c>
      <c r="E4074" t="s">
        <v>34</v>
      </c>
      <c r="F4074" t="s">
        <v>16</v>
      </c>
      <c r="G4074" t="s">
        <v>36</v>
      </c>
      <c r="H4074">
        <v>584.79</v>
      </c>
      <c r="I4074" s="8" t="str" cm="1">
        <f t="array" ref="I4074">_xlfn.IFS(C4074&lt;=15,"Children and Young Adolescents", C4074&gt;64, "Seniors", TRUE, "Working Age")</f>
        <v>Working Age</v>
      </c>
      <c r="J4074" s="6">
        <f>VLOOKUP(F4074,Analysis!$F$1:$G$5,2,FALSE)</f>
        <v>2509.1716796874912</v>
      </c>
      <c r="K4074">
        <f t="shared" si="252"/>
        <v>643.26</v>
      </c>
      <c r="L4074">
        <f t="shared" si="253"/>
        <v>643.27</v>
      </c>
      <c r="M4074">
        <f t="shared" si="254"/>
        <v>643.27</v>
      </c>
      <c r="N4074" s="5" t="str">
        <f t="shared" si="255"/>
        <v>August 2023</v>
      </c>
    </row>
    <row r="4075" spans="1:14" x14ac:dyDescent="0.25">
      <c r="A4075" s="1">
        <v>45153</v>
      </c>
      <c r="B4075" t="s">
        <v>1973</v>
      </c>
      <c r="C4075">
        <v>74</v>
      </c>
      <c r="D4075" t="s">
        <v>21</v>
      </c>
      <c r="E4075" t="s">
        <v>34</v>
      </c>
      <c r="F4075" t="s">
        <v>11</v>
      </c>
      <c r="G4075" t="s">
        <v>12</v>
      </c>
      <c r="H4075">
        <v>1442.46</v>
      </c>
      <c r="I4075" s="8" t="str" cm="1">
        <f t="array" ref="I4075">_xlfn.IFS(C4075&lt;=15,"Children and Young Adolescents", C4075&gt;64, "Seniors", TRUE, "Working Age")</f>
        <v>Seniors</v>
      </c>
      <c r="J4075" s="6">
        <f>VLOOKUP(F4075,Analysis!$F$1:$G$5,2,FALSE)</f>
        <v>2503.6022787783854</v>
      </c>
      <c r="K4075">
        <f t="shared" si="252"/>
        <v>1586.7</v>
      </c>
      <c r="L4075">
        <f t="shared" si="253"/>
        <v>1586.71</v>
      </c>
      <c r="M4075">
        <f t="shared" si="254"/>
        <v>1586.71</v>
      </c>
      <c r="N4075" s="5" t="str">
        <f t="shared" si="255"/>
        <v>August 2023</v>
      </c>
    </row>
    <row r="4076" spans="1:14" x14ac:dyDescent="0.25">
      <c r="A4076" s="1">
        <v>45153</v>
      </c>
      <c r="B4076" t="s">
        <v>3385</v>
      </c>
      <c r="C4076">
        <v>32</v>
      </c>
      <c r="D4076" t="s">
        <v>9</v>
      </c>
      <c r="E4076" t="s">
        <v>22</v>
      </c>
      <c r="F4076" t="s">
        <v>11</v>
      </c>
      <c r="G4076" t="s">
        <v>12</v>
      </c>
      <c r="H4076">
        <v>2774.13</v>
      </c>
      <c r="I4076" s="8" t="str" cm="1">
        <f t="array" ref="I4076">_xlfn.IFS(C4076&lt;=15,"Children and Young Adolescents", C4076&gt;64, "Seniors", TRUE, "Working Age")</f>
        <v>Working Age</v>
      </c>
      <c r="J4076" s="6">
        <f>VLOOKUP(F4076,Analysis!$F$1:$G$5,2,FALSE)</f>
        <v>2503.6022787783854</v>
      </c>
      <c r="K4076">
        <f t="shared" si="252"/>
        <v>3051.54</v>
      </c>
      <c r="L4076">
        <f t="shared" si="253"/>
        <v>3051.55</v>
      </c>
      <c r="M4076">
        <f t="shared" si="254"/>
        <v>3051.54</v>
      </c>
      <c r="N4076" s="5" t="str">
        <f t="shared" si="255"/>
        <v>August 2023</v>
      </c>
    </row>
    <row r="4077" spans="1:14" x14ac:dyDescent="0.25">
      <c r="A4077" s="1">
        <v>45153</v>
      </c>
      <c r="B4077" t="s">
        <v>1582</v>
      </c>
      <c r="C4077">
        <v>56</v>
      </c>
      <c r="D4077" t="s">
        <v>21</v>
      </c>
      <c r="E4077" t="s">
        <v>19</v>
      </c>
      <c r="F4077" t="s">
        <v>11</v>
      </c>
      <c r="G4077" t="s">
        <v>27</v>
      </c>
      <c r="H4077">
        <v>1212.42</v>
      </c>
      <c r="I4077" s="8" t="str" cm="1">
        <f t="array" ref="I4077">_xlfn.IFS(C4077&lt;=15,"Children and Young Adolescents", C4077&gt;64, "Seniors", TRUE, "Working Age")</f>
        <v>Working Age</v>
      </c>
      <c r="J4077" s="6">
        <f>VLOOKUP(F4077,Analysis!$F$1:$G$5,2,FALSE)</f>
        <v>2503.6022787783854</v>
      </c>
      <c r="K4077">
        <f t="shared" si="252"/>
        <v>1333.66</v>
      </c>
      <c r="L4077">
        <f t="shared" si="253"/>
        <v>1333.67</v>
      </c>
      <c r="M4077">
        <f t="shared" si="254"/>
        <v>1333.66</v>
      </c>
      <c r="N4077" s="5" t="str">
        <f t="shared" si="255"/>
        <v>August 2023</v>
      </c>
    </row>
    <row r="4078" spans="1:14" x14ac:dyDescent="0.25">
      <c r="A4078" s="1">
        <v>45153</v>
      </c>
      <c r="B4078" t="s">
        <v>1051</v>
      </c>
      <c r="C4078">
        <v>90</v>
      </c>
      <c r="D4078" t="s">
        <v>9</v>
      </c>
      <c r="E4078" t="s">
        <v>5032</v>
      </c>
      <c r="F4078" t="s">
        <v>16</v>
      </c>
      <c r="G4078" t="s">
        <v>39</v>
      </c>
      <c r="H4078">
        <v>4995.8</v>
      </c>
      <c r="I4078" s="8" t="str" cm="1">
        <f t="array" ref="I4078">_xlfn.IFS(C4078&lt;=15,"Children and Young Adolescents", C4078&gt;64, "Seniors", TRUE, "Working Age")</f>
        <v>Seniors</v>
      </c>
      <c r="J4078" s="6">
        <f>VLOOKUP(F4078,Analysis!$F$1:$G$5,2,FALSE)</f>
        <v>2509.1716796874912</v>
      </c>
      <c r="K4078">
        <f t="shared" si="252"/>
        <v>5495.38</v>
      </c>
      <c r="L4078">
        <f t="shared" si="253"/>
        <v>5495.38</v>
      </c>
      <c r="M4078">
        <f t="shared" si="254"/>
        <v>5495.38</v>
      </c>
      <c r="N4078" s="5" t="str">
        <f t="shared" si="255"/>
        <v>August 2023</v>
      </c>
    </row>
    <row r="4079" spans="1:14" x14ac:dyDescent="0.25">
      <c r="A4079" s="1">
        <v>45153</v>
      </c>
      <c r="B4079" t="s">
        <v>105</v>
      </c>
      <c r="C4079">
        <v>70</v>
      </c>
      <c r="D4079" t="s">
        <v>9</v>
      </c>
      <c r="E4079" t="s">
        <v>34</v>
      </c>
      <c r="F4079" t="s">
        <v>11</v>
      </c>
      <c r="G4079" t="s">
        <v>12</v>
      </c>
      <c r="H4079">
        <v>785.38</v>
      </c>
      <c r="I4079" s="8" t="str" cm="1">
        <f t="array" ref="I4079">_xlfn.IFS(C4079&lt;=15,"Children and Young Adolescents", C4079&gt;64, "Seniors", TRUE, "Working Age")</f>
        <v>Seniors</v>
      </c>
      <c r="J4079" s="6">
        <f>VLOOKUP(F4079,Analysis!$F$1:$G$5,2,FALSE)</f>
        <v>2503.6022787783854</v>
      </c>
      <c r="K4079">
        <f t="shared" si="252"/>
        <v>863.91</v>
      </c>
      <c r="L4079">
        <f t="shared" si="253"/>
        <v>863.92</v>
      </c>
      <c r="M4079">
        <f t="shared" si="254"/>
        <v>863.92</v>
      </c>
      <c r="N4079" s="5" t="str">
        <f t="shared" si="255"/>
        <v>August 2023</v>
      </c>
    </row>
    <row r="4080" spans="1:14" x14ac:dyDescent="0.25">
      <c r="A4080" s="1">
        <v>45154</v>
      </c>
      <c r="B4080" t="s">
        <v>3102</v>
      </c>
      <c r="C4080">
        <v>65</v>
      </c>
      <c r="D4080" t="s">
        <v>9</v>
      </c>
      <c r="E4080" t="s">
        <v>32</v>
      </c>
      <c r="F4080" t="s">
        <v>11</v>
      </c>
      <c r="G4080" t="s">
        <v>12</v>
      </c>
      <c r="H4080">
        <v>240.86</v>
      </c>
      <c r="I4080" s="8" t="str" cm="1">
        <f t="array" ref="I4080">_xlfn.IFS(C4080&lt;=15,"Children and Young Adolescents", C4080&gt;64, "Seniors", TRUE, "Working Age")</f>
        <v>Seniors</v>
      </c>
      <c r="J4080" s="6">
        <f>VLOOKUP(F4080,Analysis!$F$1:$G$5,2,FALSE)</f>
        <v>2503.6022787783854</v>
      </c>
      <c r="K4080">
        <f t="shared" si="252"/>
        <v>264.94</v>
      </c>
      <c r="L4080">
        <f t="shared" si="253"/>
        <v>264.95</v>
      </c>
      <c r="M4080">
        <f t="shared" si="254"/>
        <v>264.95</v>
      </c>
      <c r="N4080" s="5" t="str">
        <f t="shared" si="255"/>
        <v>August 2023</v>
      </c>
    </row>
    <row r="4081" spans="1:14" x14ac:dyDescent="0.25">
      <c r="A4081" s="1">
        <v>45154</v>
      </c>
      <c r="B4081" t="s">
        <v>3380</v>
      </c>
      <c r="C4081">
        <v>64</v>
      </c>
      <c r="D4081" t="s">
        <v>14</v>
      </c>
      <c r="E4081" t="s">
        <v>34</v>
      </c>
      <c r="F4081" t="s">
        <v>11</v>
      </c>
      <c r="G4081" t="s">
        <v>36</v>
      </c>
      <c r="H4081">
        <v>4256.6899999999996</v>
      </c>
      <c r="I4081" s="8" t="str" cm="1">
        <f t="array" ref="I4081">_xlfn.IFS(C4081&lt;=15,"Children and Young Adolescents", C4081&gt;64, "Seniors", TRUE, "Working Age")</f>
        <v>Working Age</v>
      </c>
      <c r="J4081" s="6">
        <f>VLOOKUP(F4081,Analysis!$F$1:$G$5,2,FALSE)</f>
        <v>2503.6022787783854</v>
      </c>
      <c r="K4081">
        <f t="shared" si="252"/>
        <v>4682.3500000000004</v>
      </c>
      <c r="L4081">
        <f t="shared" si="253"/>
        <v>4682.3600000000006</v>
      </c>
      <c r="M4081">
        <f t="shared" si="254"/>
        <v>4682.3599999999997</v>
      </c>
      <c r="N4081" s="5" t="str">
        <f t="shared" si="255"/>
        <v>August 2023</v>
      </c>
    </row>
    <row r="4082" spans="1:14" x14ac:dyDescent="0.25">
      <c r="A4082" s="1">
        <v>45154</v>
      </c>
      <c r="B4082" t="s">
        <v>610</v>
      </c>
      <c r="C4082">
        <v>93</v>
      </c>
      <c r="D4082" t="s">
        <v>14</v>
      </c>
      <c r="E4082" t="s">
        <v>22</v>
      </c>
      <c r="F4082" t="s">
        <v>16</v>
      </c>
      <c r="G4082" t="s">
        <v>17</v>
      </c>
      <c r="H4082">
        <v>1517.69</v>
      </c>
      <c r="I4082" s="8" t="str" cm="1">
        <f t="array" ref="I4082">_xlfn.IFS(C4082&lt;=15,"Children and Young Adolescents", C4082&gt;64, "Seniors", TRUE, "Working Age")</f>
        <v>Seniors</v>
      </c>
      <c r="J4082" s="6">
        <f>VLOOKUP(F4082,Analysis!$F$1:$G$5,2,FALSE)</f>
        <v>2509.1716796874912</v>
      </c>
      <c r="K4082">
        <f t="shared" si="252"/>
        <v>1669.45</v>
      </c>
      <c r="L4082">
        <f t="shared" si="253"/>
        <v>1669.46</v>
      </c>
      <c r="M4082">
        <f t="shared" si="254"/>
        <v>1669.46</v>
      </c>
      <c r="N4082" s="5" t="str">
        <f t="shared" si="255"/>
        <v>August 2023</v>
      </c>
    </row>
    <row r="4083" spans="1:14" x14ac:dyDescent="0.25">
      <c r="A4083" s="1">
        <v>45154</v>
      </c>
      <c r="B4083" t="s">
        <v>2470</v>
      </c>
      <c r="C4083">
        <v>35</v>
      </c>
      <c r="D4083" t="s">
        <v>14</v>
      </c>
      <c r="E4083" t="s">
        <v>19</v>
      </c>
      <c r="F4083" t="s">
        <v>16</v>
      </c>
      <c r="G4083" t="s">
        <v>12</v>
      </c>
      <c r="H4083">
        <v>4738.09</v>
      </c>
      <c r="I4083" s="8" t="str" cm="1">
        <f t="array" ref="I4083">_xlfn.IFS(C4083&lt;=15,"Children and Young Adolescents", C4083&gt;64, "Seniors", TRUE, "Working Age")</f>
        <v>Working Age</v>
      </c>
      <c r="J4083" s="6">
        <f>VLOOKUP(F4083,Analysis!$F$1:$G$5,2,FALSE)</f>
        <v>2509.1716796874912</v>
      </c>
      <c r="K4083">
        <f t="shared" si="252"/>
        <v>5211.8900000000003</v>
      </c>
      <c r="L4083">
        <f t="shared" si="253"/>
        <v>5211.9000000000005</v>
      </c>
      <c r="M4083">
        <f t="shared" si="254"/>
        <v>5211.8999999999996</v>
      </c>
      <c r="N4083" s="5" t="str">
        <f t="shared" si="255"/>
        <v>August 2023</v>
      </c>
    </row>
    <row r="4084" spans="1:14" x14ac:dyDescent="0.25">
      <c r="A4084" s="1">
        <v>45154</v>
      </c>
      <c r="B4084" t="s">
        <v>4953</v>
      </c>
      <c r="C4084">
        <v>82</v>
      </c>
      <c r="D4084" t="s">
        <v>14</v>
      </c>
      <c r="E4084" t="s">
        <v>32</v>
      </c>
      <c r="F4084" t="s">
        <v>16</v>
      </c>
      <c r="G4084" t="s">
        <v>17</v>
      </c>
      <c r="H4084">
        <v>1721.57</v>
      </c>
      <c r="I4084" s="8" t="str" cm="1">
        <f t="array" ref="I4084">_xlfn.IFS(C4084&lt;=15,"Children and Young Adolescents", C4084&gt;64, "Seniors", TRUE, "Working Age")</f>
        <v>Seniors</v>
      </c>
      <c r="J4084" s="6">
        <f>VLOOKUP(F4084,Analysis!$F$1:$G$5,2,FALSE)</f>
        <v>2509.1716796874912</v>
      </c>
      <c r="K4084">
        <f t="shared" si="252"/>
        <v>1893.72</v>
      </c>
      <c r="L4084">
        <f t="shared" si="253"/>
        <v>1893.73</v>
      </c>
      <c r="M4084">
        <f t="shared" si="254"/>
        <v>1893.73</v>
      </c>
      <c r="N4084" s="5" t="str">
        <f t="shared" si="255"/>
        <v>August 2023</v>
      </c>
    </row>
    <row r="4085" spans="1:14" x14ac:dyDescent="0.25">
      <c r="A4085" s="1">
        <v>45154</v>
      </c>
      <c r="B4085" t="s">
        <v>1076</v>
      </c>
      <c r="C4085">
        <v>6</v>
      </c>
      <c r="D4085" t="s">
        <v>21</v>
      </c>
      <c r="E4085" t="s">
        <v>32</v>
      </c>
      <c r="F4085" t="s">
        <v>11</v>
      </c>
      <c r="G4085" t="s">
        <v>36</v>
      </c>
      <c r="H4085">
        <v>991.45</v>
      </c>
      <c r="I4085" s="8" t="str" cm="1">
        <f t="array" ref="I4085">_xlfn.IFS(C4085&lt;=15,"Children and Young Adolescents", C4085&gt;64, "Seniors", TRUE, "Working Age")</f>
        <v>Children and Young Adolescents</v>
      </c>
      <c r="J4085" s="6">
        <f>VLOOKUP(F4085,Analysis!$F$1:$G$5,2,FALSE)</f>
        <v>2503.6022787783854</v>
      </c>
      <c r="K4085">
        <f t="shared" si="252"/>
        <v>1090.5899999999999</v>
      </c>
      <c r="L4085">
        <f t="shared" si="253"/>
        <v>1090.5999999999999</v>
      </c>
      <c r="M4085">
        <f t="shared" si="254"/>
        <v>1090.5999999999999</v>
      </c>
      <c r="N4085" s="5" t="str">
        <f t="shared" si="255"/>
        <v>August 2023</v>
      </c>
    </row>
    <row r="4086" spans="1:14" x14ac:dyDescent="0.25">
      <c r="A4086" s="1">
        <v>45154</v>
      </c>
      <c r="B4086" t="s">
        <v>1373</v>
      </c>
      <c r="C4086">
        <v>79</v>
      </c>
      <c r="D4086" t="s">
        <v>21</v>
      </c>
      <c r="E4086" t="s">
        <v>25</v>
      </c>
      <c r="F4086" t="s">
        <v>29</v>
      </c>
      <c r="G4086" t="s">
        <v>39</v>
      </c>
      <c r="H4086">
        <v>1614.51</v>
      </c>
      <c r="I4086" s="8" t="str" cm="1">
        <f t="array" ref="I4086">_xlfn.IFS(C4086&lt;=15,"Children and Young Adolescents", C4086&gt;64, "Seniors", TRUE, "Working Age")</f>
        <v>Seniors</v>
      </c>
      <c r="J4086" s="6">
        <f>VLOOKUP(F4086,Analysis!$F$1:$G$5,2,FALSE)</f>
        <v>2496.7676064256989</v>
      </c>
      <c r="K4086">
        <f t="shared" si="252"/>
        <v>1775.96</v>
      </c>
      <c r="L4086">
        <f t="shared" si="253"/>
        <v>1775.97</v>
      </c>
      <c r="M4086">
        <f t="shared" si="254"/>
        <v>1775.96</v>
      </c>
      <c r="N4086" s="5" t="str">
        <f t="shared" si="255"/>
        <v>August 2023</v>
      </c>
    </row>
    <row r="4087" spans="1:14" x14ac:dyDescent="0.25">
      <c r="A4087" s="1">
        <v>45154</v>
      </c>
      <c r="B4087" t="s">
        <v>2614</v>
      </c>
      <c r="C4087">
        <v>90</v>
      </c>
      <c r="D4087" t="s">
        <v>9</v>
      </c>
      <c r="E4087" t="s">
        <v>15</v>
      </c>
      <c r="F4087" t="s">
        <v>23</v>
      </c>
      <c r="G4087" t="s">
        <v>17</v>
      </c>
      <c r="H4087">
        <v>3414.37</v>
      </c>
      <c r="I4087" s="8" t="str" cm="1">
        <f t="array" ref="I4087">_xlfn.IFS(C4087&lt;=15,"Children and Young Adolescents", C4087&gt;64, "Seniors", TRUE, "Working Age")</f>
        <v>Seniors</v>
      </c>
      <c r="J4087" s="6">
        <f>VLOOKUP(F4087,Analysis!$F$1:$G$5,2,FALSE)</f>
        <v>2440.2966694490838</v>
      </c>
      <c r="K4087">
        <f t="shared" si="252"/>
        <v>3755.8</v>
      </c>
      <c r="L4087">
        <f t="shared" si="253"/>
        <v>3755.8100000000004</v>
      </c>
      <c r="M4087">
        <f t="shared" si="254"/>
        <v>3755.81</v>
      </c>
      <c r="N4087" s="5" t="str">
        <f t="shared" si="255"/>
        <v>August 2023</v>
      </c>
    </row>
    <row r="4088" spans="1:14" x14ac:dyDescent="0.25">
      <c r="A4088" s="1">
        <v>45155</v>
      </c>
      <c r="B4088" t="s">
        <v>2880</v>
      </c>
      <c r="C4088">
        <v>7</v>
      </c>
      <c r="D4088" t="s">
        <v>9</v>
      </c>
      <c r="E4088" t="s">
        <v>5032</v>
      </c>
      <c r="F4088" t="s">
        <v>23</v>
      </c>
      <c r="G4088" t="s">
        <v>27</v>
      </c>
      <c r="H4088">
        <v>878.71</v>
      </c>
      <c r="I4088" s="8" t="str" cm="1">
        <f t="array" ref="I4088">_xlfn.IFS(C4088&lt;=15,"Children and Young Adolescents", C4088&gt;64, "Seniors", TRUE, "Working Age")</f>
        <v>Children and Young Adolescents</v>
      </c>
      <c r="J4088" s="6">
        <f>VLOOKUP(F4088,Analysis!$F$1:$G$5,2,FALSE)</f>
        <v>2440.2966694490838</v>
      </c>
      <c r="K4088">
        <f t="shared" si="252"/>
        <v>966.58</v>
      </c>
      <c r="L4088">
        <f t="shared" si="253"/>
        <v>966.59</v>
      </c>
      <c r="M4088">
        <f t="shared" si="254"/>
        <v>966.58</v>
      </c>
      <c r="N4088" s="5" t="str">
        <f t="shared" si="255"/>
        <v>August 2023</v>
      </c>
    </row>
    <row r="4089" spans="1:14" x14ac:dyDescent="0.25">
      <c r="A4089" s="1">
        <v>45155</v>
      </c>
      <c r="B4089" t="s">
        <v>436</v>
      </c>
      <c r="C4089">
        <v>86</v>
      </c>
      <c r="D4089" t="s">
        <v>21</v>
      </c>
      <c r="E4089" t="s">
        <v>32</v>
      </c>
      <c r="F4089" t="s">
        <v>23</v>
      </c>
      <c r="G4089" t="s">
        <v>5033</v>
      </c>
      <c r="H4089">
        <v>4231.08</v>
      </c>
      <c r="I4089" s="8" t="str" cm="1">
        <f t="array" ref="I4089">_xlfn.IFS(C4089&lt;=15,"Children and Young Adolescents", C4089&gt;64, "Seniors", TRUE, "Working Age")</f>
        <v>Seniors</v>
      </c>
      <c r="J4089" s="6">
        <f>VLOOKUP(F4089,Analysis!$F$1:$G$5,2,FALSE)</f>
        <v>2440.2966694490838</v>
      </c>
      <c r="K4089">
        <f t="shared" si="252"/>
        <v>4654.18</v>
      </c>
      <c r="L4089">
        <f t="shared" si="253"/>
        <v>4654.1900000000005</v>
      </c>
      <c r="M4089">
        <f t="shared" si="254"/>
        <v>4654.1899999999996</v>
      </c>
      <c r="N4089" s="5" t="str">
        <f t="shared" si="255"/>
        <v>August 2023</v>
      </c>
    </row>
    <row r="4090" spans="1:14" x14ac:dyDescent="0.25">
      <c r="A4090" s="1">
        <v>45155</v>
      </c>
      <c r="B4090" t="s">
        <v>2795</v>
      </c>
      <c r="C4090">
        <v>10</v>
      </c>
      <c r="D4090" t="s">
        <v>9</v>
      </c>
      <c r="E4090" t="s">
        <v>19</v>
      </c>
      <c r="F4090" t="s">
        <v>29</v>
      </c>
      <c r="G4090" t="s">
        <v>27</v>
      </c>
      <c r="H4090">
        <v>290.44</v>
      </c>
      <c r="I4090" s="8" t="str" cm="1">
        <f t="array" ref="I4090">_xlfn.IFS(C4090&lt;=15,"Children and Young Adolescents", C4090&gt;64, "Seniors", TRUE, "Working Age")</f>
        <v>Children and Young Adolescents</v>
      </c>
      <c r="J4090" s="6">
        <f>VLOOKUP(F4090,Analysis!$F$1:$G$5,2,FALSE)</f>
        <v>2496.7676064256989</v>
      </c>
      <c r="K4090">
        <f t="shared" si="252"/>
        <v>319.48</v>
      </c>
      <c r="L4090">
        <f t="shared" si="253"/>
        <v>319.49</v>
      </c>
      <c r="M4090">
        <f t="shared" si="254"/>
        <v>319.48</v>
      </c>
      <c r="N4090" s="5" t="str">
        <f t="shared" si="255"/>
        <v>August 2023</v>
      </c>
    </row>
    <row r="4091" spans="1:14" x14ac:dyDescent="0.25">
      <c r="A4091" s="1">
        <v>45155</v>
      </c>
      <c r="B4091" t="s">
        <v>2984</v>
      </c>
      <c r="C4091">
        <v>36</v>
      </c>
      <c r="D4091" t="s">
        <v>9</v>
      </c>
      <c r="E4091" t="s">
        <v>22</v>
      </c>
      <c r="F4091" t="s">
        <v>29</v>
      </c>
      <c r="G4091" t="s">
        <v>17</v>
      </c>
      <c r="H4091">
        <v>4981.22</v>
      </c>
      <c r="I4091" s="8" t="str" cm="1">
        <f t="array" ref="I4091">_xlfn.IFS(C4091&lt;=15,"Children and Young Adolescents", C4091&gt;64, "Seniors", TRUE, "Working Age")</f>
        <v>Working Age</v>
      </c>
      <c r="J4091" s="6">
        <f>VLOOKUP(F4091,Analysis!$F$1:$G$5,2,FALSE)</f>
        <v>2496.7676064256989</v>
      </c>
      <c r="K4091">
        <f t="shared" si="252"/>
        <v>5479.34</v>
      </c>
      <c r="L4091">
        <f t="shared" si="253"/>
        <v>5479.35</v>
      </c>
      <c r="M4091">
        <f t="shared" si="254"/>
        <v>5479.34</v>
      </c>
      <c r="N4091" s="5" t="str">
        <f t="shared" si="255"/>
        <v>August 2023</v>
      </c>
    </row>
    <row r="4092" spans="1:14" x14ac:dyDescent="0.25">
      <c r="A4092" s="1">
        <v>45155</v>
      </c>
      <c r="B4092" t="s">
        <v>1318</v>
      </c>
      <c r="C4092">
        <v>23</v>
      </c>
      <c r="D4092" t="s">
        <v>9</v>
      </c>
      <c r="E4092" t="s">
        <v>19</v>
      </c>
      <c r="F4092" t="s">
        <v>11</v>
      </c>
      <c r="G4092" t="s">
        <v>17</v>
      </c>
      <c r="H4092">
        <v>4753.3500000000004</v>
      </c>
      <c r="I4092" s="8" t="str" cm="1">
        <f t="array" ref="I4092">_xlfn.IFS(C4092&lt;=15,"Children and Young Adolescents", C4092&gt;64, "Seniors", TRUE, "Working Age")</f>
        <v>Working Age</v>
      </c>
      <c r="J4092" s="6">
        <f>VLOOKUP(F4092,Analysis!$F$1:$G$5,2,FALSE)</f>
        <v>2503.6022787783854</v>
      </c>
      <c r="K4092">
        <f t="shared" si="252"/>
        <v>5228.68</v>
      </c>
      <c r="L4092">
        <f t="shared" si="253"/>
        <v>5228.6900000000005</v>
      </c>
      <c r="M4092">
        <f t="shared" si="254"/>
        <v>5228.6899999999996</v>
      </c>
      <c r="N4092" s="5" t="str">
        <f t="shared" si="255"/>
        <v>August 2023</v>
      </c>
    </row>
    <row r="4093" spans="1:14" x14ac:dyDescent="0.25">
      <c r="A4093" s="1">
        <v>45155</v>
      </c>
      <c r="B4093" t="s">
        <v>965</v>
      </c>
      <c r="C4093">
        <v>38</v>
      </c>
      <c r="D4093" t="s">
        <v>21</v>
      </c>
      <c r="E4093" t="s">
        <v>22</v>
      </c>
      <c r="F4093" t="s">
        <v>29</v>
      </c>
      <c r="G4093" t="s">
        <v>17</v>
      </c>
      <c r="H4093">
        <v>588.14</v>
      </c>
      <c r="I4093" s="8" t="str" cm="1">
        <f t="array" ref="I4093">_xlfn.IFS(C4093&lt;=15,"Children and Young Adolescents", C4093&gt;64, "Seniors", TRUE, "Working Age")</f>
        <v>Working Age</v>
      </c>
      <c r="J4093" s="6">
        <f>VLOOKUP(F4093,Analysis!$F$1:$G$5,2,FALSE)</f>
        <v>2496.7676064256989</v>
      </c>
      <c r="K4093">
        <f t="shared" si="252"/>
        <v>646.95000000000005</v>
      </c>
      <c r="L4093">
        <f t="shared" si="253"/>
        <v>646.96</v>
      </c>
      <c r="M4093">
        <f t="shared" si="254"/>
        <v>646.95000000000005</v>
      </c>
      <c r="N4093" s="5" t="str">
        <f t="shared" si="255"/>
        <v>August 2023</v>
      </c>
    </row>
    <row r="4094" spans="1:14" x14ac:dyDescent="0.25">
      <c r="A4094" s="1">
        <v>45155</v>
      </c>
      <c r="B4094" t="s">
        <v>3071</v>
      </c>
      <c r="C4094">
        <v>93</v>
      </c>
      <c r="D4094" t="s">
        <v>14</v>
      </c>
      <c r="E4094" t="s">
        <v>15</v>
      </c>
      <c r="F4094" t="s">
        <v>11</v>
      </c>
      <c r="G4094" t="s">
        <v>39</v>
      </c>
      <c r="H4094">
        <v>2395.96</v>
      </c>
      <c r="I4094" s="8" t="str" cm="1">
        <f t="array" ref="I4094">_xlfn.IFS(C4094&lt;=15,"Children and Young Adolescents", C4094&gt;64, "Seniors", TRUE, "Working Age")</f>
        <v>Seniors</v>
      </c>
      <c r="J4094" s="6">
        <f>VLOOKUP(F4094,Analysis!$F$1:$G$5,2,FALSE)</f>
        <v>2503.6022787783854</v>
      </c>
      <c r="K4094">
        <f t="shared" si="252"/>
        <v>2635.55</v>
      </c>
      <c r="L4094">
        <f t="shared" si="253"/>
        <v>2635.5600000000004</v>
      </c>
      <c r="M4094">
        <f t="shared" si="254"/>
        <v>2635.56</v>
      </c>
      <c r="N4094" s="5" t="str">
        <f t="shared" si="255"/>
        <v>August 2023</v>
      </c>
    </row>
    <row r="4095" spans="1:14" x14ac:dyDescent="0.25">
      <c r="A4095" s="1">
        <v>45155</v>
      </c>
      <c r="B4095" t="s">
        <v>428</v>
      </c>
      <c r="C4095">
        <v>83</v>
      </c>
      <c r="D4095" t="s">
        <v>14</v>
      </c>
      <c r="E4095" t="s">
        <v>19</v>
      </c>
      <c r="F4095" t="s">
        <v>23</v>
      </c>
      <c r="G4095" t="s">
        <v>39</v>
      </c>
      <c r="H4095">
        <v>1859.69</v>
      </c>
      <c r="I4095" s="8" t="str" cm="1">
        <f t="array" ref="I4095">_xlfn.IFS(C4095&lt;=15,"Children and Young Adolescents", C4095&gt;64, "Seniors", TRUE, "Working Age")</f>
        <v>Seniors</v>
      </c>
      <c r="J4095" s="6">
        <f>VLOOKUP(F4095,Analysis!$F$1:$G$5,2,FALSE)</f>
        <v>2440.2966694490838</v>
      </c>
      <c r="K4095">
        <f t="shared" si="252"/>
        <v>2045.65</v>
      </c>
      <c r="L4095">
        <f t="shared" si="253"/>
        <v>2045.66</v>
      </c>
      <c r="M4095">
        <f t="shared" si="254"/>
        <v>2045.66</v>
      </c>
      <c r="N4095" s="5" t="str">
        <f t="shared" si="255"/>
        <v>August 2023</v>
      </c>
    </row>
    <row r="4096" spans="1:14" x14ac:dyDescent="0.25">
      <c r="A4096" s="1">
        <v>45156</v>
      </c>
      <c r="B4096" t="s">
        <v>1577</v>
      </c>
      <c r="C4096">
        <v>37</v>
      </c>
      <c r="D4096" t="s">
        <v>21</v>
      </c>
      <c r="E4096" t="s">
        <v>25</v>
      </c>
      <c r="F4096" t="s">
        <v>11</v>
      </c>
      <c r="G4096" t="s">
        <v>27</v>
      </c>
      <c r="H4096">
        <v>3919.8</v>
      </c>
      <c r="I4096" s="8" t="str" cm="1">
        <f t="array" ref="I4096">_xlfn.IFS(C4096&lt;=15,"Children and Young Adolescents", C4096&gt;64, "Seniors", TRUE, "Working Age")</f>
        <v>Working Age</v>
      </c>
      <c r="J4096" s="6">
        <f>VLOOKUP(F4096,Analysis!$F$1:$G$5,2,FALSE)</f>
        <v>2503.6022787783854</v>
      </c>
      <c r="K4096">
        <f t="shared" si="252"/>
        <v>4311.78</v>
      </c>
      <c r="L4096">
        <f t="shared" si="253"/>
        <v>4311.78</v>
      </c>
      <c r="M4096">
        <f t="shared" si="254"/>
        <v>4311.78</v>
      </c>
      <c r="N4096" s="5" t="str">
        <f t="shared" si="255"/>
        <v>August 2023</v>
      </c>
    </row>
    <row r="4097" spans="1:14" x14ac:dyDescent="0.25">
      <c r="A4097" s="1">
        <v>45156</v>
      </c>
      <c r="B4097" t="s">
        <v>2600</v>
      </c>
      <c r="C4097">
        <v>92</v>
      </c>
      <c r="D4097" t="s">
        <v>9</v>
      </c>
      <c r="E4097" t="s">
        <v>32</v>
      </c>
      <c r="F4097" t="s">
        <v>16</v>
      </c>
      <c r="G4097" t="s">
        <v>27</v>
      </c>
      <c r="H4097">
        <v>4023.05</v>
      </c>
      <c r="I4097" s="8" t="str" cm="1">
        <f t="array" ref="I4097">_xlfn.IFS(C4097&lt;=15,"Children and Young Adolescents", C4097&gt;64, "Seniors", TRUE, "Working Age")</f>
        <v>Seniors</v>
      </c>
      <c r="J4097" s="6">
        <f>VLOOKUP(F4097,Analysis!$F$1:$G$5,2,FALSE)</f>
        <v>2509.1716796874912</v>
      </c>
      <c r="K4097">
        <f t="shared" si="252"/>
        <v>4425.3500000000004</v>
      </c>
      <c r="L4097">
        <f t="shared" si="253"/>
        <v>4425.3600000000006</v>
      </c>
      <c r="M4097">
        <f t="shared" si="254"/>
        <v>4425.3599999999997</v>
      </c>
      <c r="N4097" s="5" t="str">
        <f t="shared" si="255"/>
        <v>August 2023</v>
      </c>
    </row>
    <row r="4098" spans="1:14" x14ac:dyDescent="0.25">
      <c r="A4098" s="1">
        <v>45156</v>
      </c>
      <c r="B4098" t="s">
        <v>2285</v>
      </c>
      <c r="C4098">
        <v>94</v>
      </c>
      <c r="D4098" t="s">
        <v>9</v>
      </c>
      <c r="E4098" t="s">
        <v>25</v>
      </c>
      <c r="F4098" t="s">
        <v>16</v>
      </c>
      <c r="G4098" t="s">
        <v>39</v>
      </c>
      <c r="H4098">
        <v>3956.42</v>
      </c>
      <c r="I4098" s="8" t="str" cm="1">
        <f t="array" ref="I4098">_xlfn.IFS(C4098&lt;=15,"Children and Young Adolescents", C4098&gt;64, "Seniors", TRUE, "Working Age")</f>
        <v>Seniors</v>
      </c>
      <c r="J4098" s="6">
        <f>VLOOKUP(F4098,Analysis!$F$1:$G$5,2,FALSE)</f>
        <v>2509.1716796874912</v>
      </c>
      <c r="K4098">
        <f t="shared" si="252"/>
        <v>4352.0600000000004</v>
      </c>
      <c r="L4098">
        <f t="shared" si="253"/>
        <v>4352.0700000000006</v>
      </c>
      <c r="M4098">
        <f t="shared" si="254"/>
        <v>4352.0600000000004</v>
      </c>
      <c r="N4098" s="5" t="str">
        <f t="shared" si="255"/>
        <v>August 2023</v>
      </c>
    </row>
    <row r="4099" spans="1:14" x14ac:dyDescent="0.25">
      <c r="A4099" s="1">
        <v>45156</v>
      </c>
      <c r="B4099" t="s">
        <v>2002</v>
      </c>
      <c r="C4099">
        <v>38</v>
      </c>
      <c r="D4099" t="s">
        <v>9</v>
      </c>
      <c r="E4099" t="s">
        <v>34</v>
      </c>
      <c r="F4099" t="s">
        <v>29</v>
      </c>
      <c r="G4099" t="s">
        <v>39</v>
      </c>
      <c r="H4099">
        <v>1068.5899999999999</v>
      </c>
      <c r="I4099" s="8" t="str" cm="1">
        <f t="array" ref="I4099">_xlfn.IFS(C4099&lt;=15,"Children and Young Adolescents", C4099&gt;64, "Seniors", TRUE, "Working Age")</f>
        <v>Working Age</v>
      </c>
      <c r="J4099" s="6">
        <f>VLOOKUP(F4099,Analysis!$F$1:$G$5,2,FALSE)</f>
        <v>2496.7676064256989</v>
      </c>
      <c r="K4099">
        <f t="shared" ref="K4099:K4162" si="256">ROUNDDOWN(H4099*1.1,2)</f>
        <v>1175.44</v>
      </c>
      <c r="L4099">
        <f t="shared" ref="L4099:L4162" si="257">ROUNDUP(H4099*1.1,2)</f>
        <v>1175.45</v>
      </c>
      <c r="M4099">
        <f t="shared" ref="M4099:M4162" si="258">ROUND(H4099*1.1,2)</f>
        <v>1175.45</v>
      </c>
      <c r="N4099" s="5" t="str">
        <f t="shared" ref="N4099:N4162" si="259">TEXT(A4099,"mmmm yyyy")</f>
        <v>August 2023</v>
      </c>
    </row>
    <row r="4100" spans="1:14" x14ac:dyDescent="0.25">
      <c r="A4100" s="1">
        <v>45156</v>
      </c>
      <c r="B4100" t="s">
        <v>4875</v>
      </c>
      <c r="C4100">
        <v>46</v>
      </c>
      <c r="D4100" t="s">
        <v>14</v>
      </c>
      <c r="E4100" t="s">
        <v>15</v>
      </c>
      <c r="F4100" t="s">
        <v>23</v>
      </c>
      <c r="G4100" t="s">
        <v>39</v>
      </c>
      <c r="H4100">
        <v>4305.01</v>
      </c>
      <c r="I4100" s="8" t="str" cm="1">
        <f t="array" ref="I4100">_xlfn.IFS(C4100&lt;=15,"Children and Young Adolescents", C4100&gt;64, "Seniors", TRUE, "Working Age")</f>
        <v>Working Age</v>
      </c>
      <c r="J4100" s="6">
        <f>VLOOKUP(F4100,Analysis!$F$1:$G$5,2,FALSE)</f>
        <v>2440.2966694490838</v>
      </c>
      <c r="K4100">
        <f t="shared" si="256"/>
        <v>4735.51</v>
      </c>
      <c r="L4100">
        <f t="shared" si="257"/>
        <v>4735.5200000000004</v>
      </c>
      <c r="M4100">
        <f t="shared" si="258"/>
        <v>4735.51</v>
      </c>
      <c r="N4100" s="5" t="str">
        <f t="shared" si="259"/>
        <v>August 2023</v>
      </c>
    </row>
    <row r="4101" spans="1:14" x14ac:dyDescent="0.25">
      <c r="A4101" s="1">
        <v>45157</v>
      </c>
      <c r="B4101" t="s">
        <v>4251</v>
      </c>
      <c r="C4101">
        <v>10</v>
      </c>
      <c r="D4101" t="s">
        <v>9</v>
      </c>
      <c r="E4101" t="s">
        <v>34</v>
      </c>
      <c r="F4101" t="s">
        <v>11</v>
      </c>
      <c r="G4101" t="s">
        <v>39</v>
      </c>
      <c r="H4101">
        <v>3247.17</v>
      </c>
      <c r="I4101" s="8" t="str" cm="1">
        <f t="array" ref="I4101">_xlfn.IFS(C4101&lt;=15,"Children and Young Adolescents", C4101&gt;64, "Seniors", TRUE, "Working Age")</f>
        <v>Children and Young Adolescents</v>
      </c>
      <c r="J4101" s="6">
        <f>VLOOKUP(F4101,Analysis!$F$1:$G$5,2,FALSE)</f>
        <v>2503.6022787783854</v>
      </c>
      <c r="K4101">
        <f t="shared" si="256"/>
        <v>3571.88</v>
      </c>
      <c r="L4101">
        <f t="shared" si="257"/>
        <v>3571.8900000000003</v>
      </c>
      <c r="M4101">
        <f t="shared" si="258"/>
        <v>3571.89</v>
      </c>
      <c r="N4101" s="5" t="str">
        <f t="shared" si="259"/>
        <v>August 2023</v>
      </c>
    </row>
    <row r="4102" spans="1:14" x14ac:dyDescent="0.25">
      <c r="A4102" s="1">
        <v>45157</v>
      </c>
      <c r="B4102" t="s">
        <v>972</v>
      </c>
      <c r="C4102">
        <v>77</v>
      </c>
      <c r="D4102" t="s">
        <v>21</v>
      </c>
      <c r="E4102" t="s">
        <v>15</v>
      </c>
      <c r="F4102" t="s">
        <v>23</v>
      </c>
      <c r="G4102" t="s">
        <v>36</v>
      </c>
      <c r="H4102">
        <v>452.73</v>
      </c>
      <c r="I4102" s="8" t="str" cm="1">
        <f t="array" ref="I4102">_xlfn.IFS(C4102&lt;=15,"Children and Young Adolescents", C4102&gt;64, "Seniors", TRUE, "Working Age")</f>
        <v>Seniors</v>
      </c>
      <c r="J4102" s="6">
        <f>VLOOKUP(F4102,Analysis!$F$1:$G$5,2,FALSE)</f>
        <v>2440.2966694490838</v>
      </c>
      <c r="K4102">
        <f t="shared" si="256"/>
        <v>498</v>
      </c>
      <c r="L4102">
        <f t="shared" si="257"/>
        <v>498.01</v>
      </c>
      <c r="M4102">
        <f t="shared" si="258"/>
        <v>498</v>
      </c>
      <c r="N4102" s="5" t="str">
        <f t="shared" si="259"/>
        <v>August 2023</v>
      </c>
    </row>
    <row r="4103" spans="1:14" x14ac:dyDescent="0.25">
      <c r="A4103" s="1">
        <v>45157</v>
      </c>
      <c r="B4103" t="s">
        <v>3490</v>
      </c>
      <c r="C4103">
        <v>1</v>
      </c>
      <c r="D4103" t="s">
        <v>14</v>
      </c>
      <c r="E4103" t="s">
        <v>15</v>
      </c>
      <c r="F4103" t="s">
        <v>16</v>
      </c>
      <c r="G4103" t="s">
        <v>17</v>
      </c>
      <c r="H4103">
        <v>1815.17</v>
      </c>
      <c r="I4103" s="8" t="str" cm="1">
        <f t="array" ref="I4103">_xlfn.IFS(C4103&lt;=15,"Children and Young Adolescents", C4103&gt;64, "Seniors", TRUE, "Working Age")</f>
        <v>Children and Young Adolescents</v>
      </c>
      <c r="J4103" s="6">
        <f>VLOOKUP(F4103,Analysis!$F$1:$G$5,2,FALSE)</f>
        <v>2509.1716796874912</v>
      </c>
      <c r="K4103">
        <f t="shared" si="256"/>
        <v>1996.68</v>
      </c>
      <c r="L4103">
        <f t="shared" si="257"/>
        <v>1996.69</v>
      </c>
      <c r="M4103">
        <f t="shared" si="258"/>
        <v>1996.69</v>
      </c>
      <c r="N4103" s="5" t="str">
        <f t="shared" si="259"/>
        <v>August 2023</v>
      </c>
    </row>
    <row r="4104" spans="1:14" x14ac:dyDescent="0.25">
      <c r="A4104" s="1">
        <v>45157</v>
      </c>
      <c r="B4104" t="s">
        <v>1403</v>
      </c>
      <c r="C4104">
        <v>63</v>
      </c>
      <c r="D4104" t="s">
        <v>21</v>
      </c>
      <c r="E4104" t="s">
        <v>22</v>
      </c>
      <c r="F4104" t="s">
        <v>23</v>
      </c>
      <c r="G4104" t="s">
        <v>17</v>
      </c>
      <c r="H4104">
        <v>4157.3500000000004</v>
      </c>
      <c r="I4104" s="8" t="str" cm="1">
        <f t="array" ref="I4104">_xlfn.IFS(C4104&lt;=15,"Children and Young Adolescents", C4104&gt;64, "Seniors", TRUE, "Working Age")</f>
        <v>Working Age</v>
      </c>
      <c r="J4104" s="6">
        <f>VLOOKUP(F4104,Analysis!$F$1:$G$5,2,FALSE)</f>
        <v>2440.2966694490838</v>
      </c>
      <c r="K4104">
        <f t="shared" si="256"/>
        <v>4573.08</v>
      </c>
      <c r="L4104">
        <f t="shared" si="257"/>
        <v>4573.09</v>
      </c>
      <c r="M4104">
        <f t="shared" si="258"/>
        <v>4573.09</v>
      </c>
      <c r="N4104" s="5" t="str">
        <f t="shared" si="259"/>
        <v>August 2023</v>
      </c>
    </row>
    <row r="4105" spans="1:14" x14ac:dyDescent="0.25">
      <c r="A4105" s="1">
        <v>45157</v>
      </c>
      <c r="B4105" t="s">
        <v>1573</v>
      </c>
      <c r="C4105">
        <v>30</v>
      </c>
      <c r="D4105" t="s">
        <v>9</v>
      </c>
      <c r="E4105" t="s">
        <v>32</v>
      </c>
      <c r="F4105" t="s">
        <v>11</v>
      </c>
      <c r="G4105" t="s">
        <v>17</v>
      </c>
      <c r="H4105">
        <v>184.4</v>
      </c>
      <c r="I4105" s="8" t="str" cm="1">
        <f t="array" ref="I4105">_xlfn.IFS(C4105&lt;=15,"Children and Young Adolescents", C4105&gt;64, "Seniors", TRUE, "Working Age")</f>
        <v>Working Age</v>
      </c>
      <c r="J4105" s="6">
        <f>VLOOKUP(F4105,Analysis!$F$1:$G$5,2,FALSE)</f>
        <v>2503.6022787783854</v>
      </c>
      <c r="K4105">
        <f t="shared" si="256"/>
        <v>202.84</v>
      </c>
      <c r="L4105">
        <f t="shared" si="257"/>
        <v>202.84</v>
      </c>
      <c r="M4105">
        <f t="shared" si="258"/>
        <v>202.84</v>
      </c>
      <c r="N4105" s="5" t="str">
        <f t="shared" si="259"/>
        <v>August 2023</v>
      </c>
    </row>
    <row r="4106" spans="1:14" x14ac:dyDescent="0.25">
      <c r="A4106" s="1">
        <v>45157</v>
      </c>
      <c r="B4106" t="s">
        <v>510</v>
      </c>
      <c r="C4106">
        <v>60</v>
      </c>
      <c r="D4106" t="s">
        <v>21</v>
      </c>
      <c r="E4106" t="s">
        <v>34</v>
      </c>
      <c r="F4106" t="s">
        <v>29</v>
      </c>
      <c r="G4106" t="s">
        <v>17</v>
      </c>
      <c r="H4106">
        <v>2992.17</v>
      </c>
      <c r="I4106" s="8" t="str" cm="1">
        <f t="array" ref="I4106">_xlfn.IFS(C4106&lt;=15,"Children and Young Adolescents", C4106&gt;64, "Seniors", TRUE, "Working Age")</f>
        <v>Working Age</v>
      </c>
      <c r="J4106" s="6">
        <f>VLOOKUP(F4106,Analysis!$F$1:$G$5,2,FALSE)</f>
        <v>2496.7676064256989</v>
      </c>
      <c r="K4106">
        <f t="shared" si="256"/>
        <v>3291.38</v>
      </c>
      <c r="L4106">
        <f t="shared" si="257"/>
        <v>3291.3900000000003</v>
      </c>
      <c r="M4106">
        <f t="shared" si="258"/>
        <v>3291.39</v>
      </c>
      <c r="N4106" s="5" t="str">
        <f t="shared" si="259"/>
        <v>August 2023</v>
      </c>
    </row>
    <row r="4107" spans="1:14" x14ac:dyDescent="0.25">
      <c r="A4107" s="1">
        <v>45158</v>
      </c>
      <c r="B4107" t="s">
        <v>1411</v>
      </c>
      <c r="C4107">
        <v>33</v>
      </c>
      <c r="D4107" t="s">
        <v>14</v>
      </c>
      <c r="E4107" t="s">
        <v>22</v>
      </c>
      <c r="F4107" t="s">
        <v>11</v>
      </c>
      <c r="G4107" t="s">
        <v>39</v>
      </c>
      <c r="H4107">
        <v>818.18</v>
      </c>
      <c r="I4107" s="8" t="str" cm="1">
        <f t="array" ref="I4107">_xlfn.IFS(C4107&lt;=15,"Children and Young Adolescents", C4107&gt;64, "Seniors", TRUE, "Working Age")</f>
        <v>Working Age</v>
      </c>
      <c r="J4107" s="6">
        <f>VLOOKUP(F4107,Analysis!$F$1:$G$5,2,FALSE)</f>
        <v>2503.6022787783854</v>
      </c>
      <c r="K4107">
        <f t="shared" si="256"/>
        <v>899.99</v>
      </c>
      <c r="L4107">
        <f t="shared" si="257"/>
        <v>900</v>
      </c>
      <c r="M4107">
        <f t="shared" si="258"/>
        <v>900</v>
      </c>
      <c r="N4107" s="5" t="str">
        <f t="shared" si="259"/>
        <v>August 2023</v>
      </c>
    </row>
    <row r="4108" spans="1:14" x14ac:dyDescent="0.25">
      <c r="A4108" s="1">
        <v>45158</v>
      </c>
      <c r="B4108" t="s">
        <v>484</v>
      </c>
      <c r="C4108">
        <v>65</v>
      </c>
      <c r="D4108" t="s">
        <v>14</v>
      </c>
      <c r="E4108" t="s">
        <v>22</v>
      </c>
      <c r="F4108" t="s">
        <v>29</v>
      </c>
      <c r="G4108" t="s">
        <v>27</v>
      </c>
      <c r="H4108">
        <v>3486.03</v>
      </c>
      <c r="I4108" s="8" t="str" cm="1">
        <f t="array" ref="I4108">_xlfn.IFS(C4108&lt;=15,"Children and Young Adolescents", C4108&gt;64, "Seniors", TRUE, "Working Age")</f>
        <v>Seniors</v>
      </c>
      <c r="J4108" s="6">
        <f>VLOOKUP(F4108,Analysis!$F$1:$G$5,2,FALSE)</f>
        <v>2496.7676064256989</v>
      </c>
      <c r="K4108">
        <f t="shared" si="256"/>
        <v>3834.63</v>
      </c>
      <c r="L4108">
        <f t="shared" si="257"/>
        <v>3834.6400000000003</v>
      </c>
      <c r="M4108">
        <f t="shared" si="258"/>
        <v>3834.63</v>
      </c>
      <c r="N4108" s="5" t="str">
        <f t="shared" si="259"/>
        <v>August 2023</v>
      </c>
    </row>
    <row r="4109" spans="1:14" x14ac:dyDescent="0.25">
      <c r="A4109" s="1">
        <v>45158</v>
      </c>
      <c r="B4109" t="s">
        <v>471</v>
      </c>
      <c r="C4109">
        <v>8</v>
      </c>
      <c r="D4109" t="s">
        <v>14</v>
      </c>
      <c r="E4109" t="s">
        <v>34</v>
      </c>
      <c r="F4109" t="s">
        <v>29</v>
      </c>
      <c r="G4109" t="s">
        <v>17</v>
      </c>
      <c r="H4109">
        <v>2506.0500000000002</v>
      </c>
      <c r="I4109" s="8" t="str" cm="1">
        <f t="array" ref="I4109">_xlfn.IFS(C4109&lt;=15,"Children and Young Adolescents", C4109&gt;64, "Seniors", TRUE, "Working Age")</f>
        <v>Children and Young Adolescents</v>
      </c>
      <c r="J4109" s="6">
        <f>VLOOKUP(F4109,Analysis!$F$1:$G$5,2,FALSE)</f>
        <v>2496.7676064256989</v>
      </c>
      <c r="K4109">
        <f t="shared" si="256"/>
        <v>2756.65</v>
      </c>
      <c r="L4109">
        <f t="shared" si="257"/>
        <v>2756.6600000000003</v>
      </c>
      <c r="M4109">
        <f t="shared" si="258"/>
        <v>2756.66</v>
      </c>
      <c r="N4109" s="5" t="str">
        <f t="shared" si="259"/>
        <v>August 2023</v>
      </c>
    </row>
    <row r="4110" spans="1:14" x14ac:dyDescent="0.25">
      <c r="A4110" s="1">
        <v>45158</v>
      </c>
      <c r="B4110" t="s">
        <v>2662</v>
      </c>
      <c r="C4110">
        <v>51</v>
      </c>
      <c r="D4110" t="s">
        <v>14</v>
      </c>
      <c r="E4110" t="s">
        <v>10</v>
      </c>
      <c r="F4110" t="s">
        <v>11</v>
      </c>
      <c r="G4110" t="s">
        <v>27</v>
      </c>
      <c r="H4110">
        <v>636.91999999999996</v>
      </c>
      <c r="I4110" s="8" t="str" cm="1">
        <f t="array" ref="I4110">_xlfn.IFS(C4110&lt;=15,"Children and Young Adolescents", C4110&gt;64, "Seniors", TRUE, "Working Age")</f>
        <v>Working Age</v>
      </c>
      <c r="J4110" s="6">
        <f>VLOOKUP(F4110,Analysis!$F$1:$G$5,2,FALSE)</f>
        <v>2503.6022787783854</v>
      </c>
      <c r="K4110">
        <f t="shared" si="256"/>
        <v>700.61</v>
      </c>
      <c r="L4110">
        <f t="shared" si="257"/>
        <v>700.62</v>
      </c>
      <c r="M4110">
        <f t="shared" si="258"/>
        <v>700.61</v>
      </c>
      <c r="N4110" s="5" t="str">
        <f t="shared" si="259"/>
        <v>August 2023</v>
      </c>
    </row>
    <row r="4111" spans="1:14" x14ac:dyDescent="0.25">
      <c r="A4111" s="1">
        <v>45158</v>
      </c>
      <c r="B4111" t="s">
        <v>2320</v>
      </c>
      <c r="C4111">
        <v>69</v>
      </c>
      <c r="D4111" t="s">
        <v>9</v>
      </c>
      <c r="E4111" t="s">
        <v>10</v>
      </c>
      <c r="F4111" t="s">
        <v>23</v>
      </c>
      <c r="G4111" t="s">
        <v>17</v>
      </c>
      <c r="H4111">
        <v>962.31</v>
      </c>
      <c r="I4111" s="8" t="str" cm="1">
        <f t="array" ref="I4111">_xlfn.IFS(C4111&lt;=15,"Children and Young Adolescents", C4111&gt;64, "Seniors", TRUE, "Working Age")</f>
        <v>Seniors</v>
      </c>
      <c r="J4111" s="6">
        <f>VLOOKUP(F4111,Analysis!$F$1:$G$5,2,FALSE)</f>
        <v>2440.2966694490838</v>
      </c>
      <c r="K4111">
        <f t="shared" si="256"/>
        <v>1058.54</v>
      </c>
      <c r="L4111">
        <f t="shared" si="257"/>
        <v>1058.55</v>
      </c>
      <c r="M4111">
        <f t="shared" si="258"/>
        <v>1058.54</v>
      </c>
      <c r="N4111" s="5" t="str">
        <f t="shared" si="259"/>
        <v>August 2023</v>
      </c>
    </row>
    <row r="4112" spans="1:14" x14ac:dyDescent="0.25">
      <c r="A4112" s="1">
        <v>45159</v>
      </c>
      <c r="B4112" t="s">
        <v>1978</v>
      </c>
      <c r="C4112">
        <v>35</v>
      </c>
      <c r="D4112" t="s">
        <v>14</v>
      </c>
      <c r="E4112" t="s">
        <v>5032</v>
      </c>
      <c r="F4112" t="s">
        <v>16</v>
      </c>
      <c r="G4112" t="s">
        <v>12</v>
      </c>
      <c r="H4112">
        <v>960.31</v>
      </c>
      <c r="I4112" s="8" t="str" cm="1">
        <f t="array" ref="I4112">_xlfn.IFS(C4112&lt;=15,"Children and Young Adolescents", C4112&gt;64, "Seniors", TRUE, "Working Age")</f>
        <v>Working Age</v>
      </c>
      <c r="J4112" s="6">
        <f>VLOOKUP(F4112,Analysis!$F$1:$G$5,2,FALSE)</f>
        <v>2509.1716796874912</v>
      </c>
      <c r="K4112">
        <f t="shared" si="256"/>
        <v>1056.3399999999999</v>
      </c>
      <c r="L4112">
        <f t="shared" si="257"/>
        <v>1056.3499999999999</v>
      </c>
      <c r="M4112">
        <f t="shared" si="258"/>
        <v>1056.3399999999999</v>
      </c>
      <c r="N4112" s="5" t="str">
        <f t="shared" si="259"/>
        <v>August 2023</v>
      </c>
    </row>
    <row r="4113" spans="1:14" x14ac:dyDescent="0.25">
      <c r="A4113" s="1">
        <v>45159</v>
      </c>
      <c r="B4113" t="s">
        <v>4271</v>
      </c>
      <c r="C4113">
        <v>59</v>
      </c>
      <c r="D4113" t="s">
        <v>21</v>
      </c>
      <c r="E4113" t="s">
        <v>10</v>
      </c>
      <c r="F4113" t="s">
        <v>11</v>
      </c>
      <c r="G4113" t="s">
        <v>36</v>
      </c>
      <c r="H4113">
        <v>3544.69</v>
      </c>
      <c r="I4113" s="8" t="str" cm="1">
        <f t="array" ref="I4113">_xlfn.IFS(C4113&lt;=15,"Children and Young Adolescents", C4113&gt;64, "Seniors", TRUE, "Working Age")</f>
        <v>Working Age</v>
      </c>
      <c r="J4113" s="6">
        <f>VLOOKUP(F4113,Analysis!$F$1:$G$5,2,FALSE)</f>
        <v>2503.6022787783854</v>
      </c>
      <c r="K4113">
        <f t="shared" si="256"/>
        <v>3899.15</v>
      </c>
      <c r="L4113">
        <f t="shared" si="257"/>
        <v>3899.1600000000003</v>
      </c>
      <c r="M4113">
        <f t="shared" si="258"/>
        <v>3899.16</v>
      </c>
      <c r="N4113" s="5" t="str">
        <f t="shared" si="259"/>
        <v>August 2023</v>
      </c>
    </row>
    <row r="4114" spans="1:14" x14ac:dyDescent="0.25">
      <c r="A4114" s="1">
        <v>45159</v>
      </c>
      <c r="B4114" t="s">
        <v>2442</v>
      </c>
      <c r="C4114">
        <v>95</v>
      </c>
      <c r="D4114" t="s">
        <v>14</v>
      </c>
      <c r="E4114" t="s">
        <v>22</v>
      </c>
      <c r="F4114" t="s">
        <v>23</v>
      </c>
      <c r="G4114" t="s">
        <v>39</v>
      </c>
      <c r="H4114">
        <v>4049.49</v>
      </c>
      <c r="I4114" s="8" t="str" cm="1">
        <f t="array" ref="I4114">_xlfn.IFS(C4114&lt;=15,"Children and Young Adolescents", C4114&gt;64, "Seniors", TRUE, "Working Age")</f>
        <v>Seniors</v>
      </c>
      <c r="J4114" s="6">
        <f>VLOOKUP(F4114,Analysis!$F$1:$G$5,2,FALSE)</f>
        <v>2440.2966694490838</v>
      </c>
      <c r="K4114">
        <f t="shared" si="256"/>
        <v>4454.43</v>
      </c>
      <c r="L4114">
        <f t="shared" si="257"/>
        <v>4454.4400000000005</v>
      </c>
      <c r="M4114">
        <f t="shared" si="258"/>
        <v>4454.4399999999996</v>
      </c>
      <c r="N4114" s="5" t="str">
        <f t="shared" si="259"/>
        <v>August 2023</v>
      </c>
    </row>
    <row r="4115" spans="1:14" x14ac:dyDescent="0.25">
      <c r="A4115" s="1">
        <v>45159</v>
      </c>
      <c r="B4115" t="s">
        <v>1050</v>
      </c>
      <c r="C4115">
        <v>55</v>
      </c>
      <c r="D4115" t="s">
        <v>9</v>
      </c>
      <c r="E4115" t="s">
        <v>15</v>
      </c>
      <c r="F4115" t="s">
        <v>23</v>
      </c>
      <c r="G4115" t="s">
        <v>36</v>
      </c>
      <c r="H4115">
        <v>4013.73</v>
      </c>
      <c r="I4115" s="8" t="str" cm="1">
        <f t="array" ref="I4115">_xlfn.IFS(C4115&lt;=15,"Children and Young Adolescents", C4115&gt;64, "Seniors", TRUE, "Working Age")</f>
        <v>Working Age</v>
      </c>
      <c r="J4115" s="6">
        <f>VLOOKUP(F4115,Analysis!$F$1:$G$5,2,FALSE)</f>
        <v>2440.2966694490838</v>
      </c>
      <c r="K4115">
        <f t="shared" si="256"/>
        <v>4415.1000000000004</v>
      </c>
      <c r="L4115">
        <f t="shared" si="257"/>
        <v>4415.1100000000006</v>
      </c>
      <c r="M4115">
        <f t="shared" si="258"/>
        <v>4415.1000000000004</v>
      </c>
      <c r="N4115" s="5" t="str">
        <f t="shared" si="259"/>
        <v>August 2023</v>
      </c>
    </row>
    <row r="4116" spans="1:14" x14ac:dyDescent="0.25">
      <c r="A4116" s="1">
        <v>45159</v>
      </c>
      <c r="B4116" t="s">
        <v>4536</v>
      </c>
      <c r="C4116">
        <v>16</v>
      </c>
      <c r="D4116" t="s">
        <v>9</v>
      </c>
      <c r="E4116" t="s">
        <v>2990</v>
      </c>
      <c r="F4116" t="s">
        <v>29</v>
      </c>
      <c r="G4116" t="s">
        <v>12</v>
      </c>
      <c r="H4116">
        <v>3323.6</v>
      </c>
      <c r="I4116" s="8" t="str" cm="1">
        <f t="array" ref="I4116">_xlfn.IFS(C4116&lt;=15,"Children and Young Adolescents", C4116&gt;64, "Seniors", TRUE, "Working Age")</f>
        <v>Working Age</v>
      </c>
      <c r="J4116" s="6">
        <f>VLOOKUP(F4116,Analysis!$F$1:$G$5,2,FALSE)</f>
        <v>2496.7676064256989</v>
      </c>
      <c r="K4116">
        <f t="shared" si="256"/>
        <v>3655.96</v>
      </c>
      <c r="L4116">
        <f t="shared" si="257"/>
        <v>3655.96</v>
      </c>
      <c r="M4116">
        <f t="shared" si="258"/>
        <v>3655.96</v>
      </c>
      <c r="N4116" s="5" t="str">
        <f t="shared" si="259"/>
        <v>August 2023</v>
      </c>
    </row>
    <row r="4117" spans="1:14" x14ac:dyDescent="0.25">
      <c r="A4117" s="1">
        <v>45160</v>
      </c>
      <c r="B4117" t="s">
        <v>3776</v>
      </c>
      <c r="C4117">
        <v>94</v>
      </c>
      <c r="D4117" t="s">
        <v>14</v>
      </c>
      <c r="E4117" t="s">
        <v>22</v>
      </c>
      <c r="F4117" t="s">
        <v>29</v>
      </c>
      <c r="G4117" t="s">
        <v>12</v>
      </c>
      <c r="H4117">
        <v>761.83</v>
      </c>
      <c r="I4117" s="8" t="str" cm="1">
        <f t="array" ref="I4117">_xlfn.IFS(C4117&lt;=15,"Children and Young Adolescents", C4117&gt;64, "Seniors", TRUE, "Working Age")</f>
        <v>Seniors</v>
      </c>
      <c r="J4117" s="6">
        <f>VLOOKUP(F4117,Analysis!$F$1:$G$5,2,FALSE)</f>
        <v>2496.7676064256989</v>
      </c>
      <c r="K4117">
        <f t="shared" si="256"/>
        <v>838.01</v>
      </c>
      <c r="L4117">
        <f t="shared" si="257"/>
        <v>838.02</v>
      </c>
      <c r="M4117">
        <f t="shared" si="258"/>
        <v>838.01</v>
      </c>
      <c r="N4117" s="5" t="str">
        <f t="shared" si="259"/>
        <v>August 2023</v>
      </c>
    </row>
    <row r="4118" spans="1:14" x14ac:dyDescent="0.25">
      <c r="A4118" s="1">
        <v>45160</v>
      </c>
      <c r="B4118" t="s">
        <v>368</v>
      </c>
      <c r="C4118">
        <v>89</v>
      </c>
      <c r="D4118" t="s">
        <v>9</v>
      </c>
      <c r="E4118" t="s">
        <v>10</v>
      </c>
      <c r="F4118" t="s">
        <v>29</v>
      </c>
      <c r="G4118" t="s">
        <v>12</v>
      </c>
      <c r="H4118">
        <v>578.89</v>
      </c>
      <c r="I4118" s="8" t="str" cm="1">
        <f t="array" ref="I4118">_xlfn.IFS(C4118&lt;=15,"Children and Young Adolescents", C4118&gt;64, "Seniors", TRUE, "Working Age")</f>
        <v>Seniors</v>
      </c>
      <c r="J4118" s="6">
        <f>VLOOKUP(F4118,Analysis!$F$1:$G$5,2,FALSE)</f>
        <v>2496.7676064256989</v>
      </c>
      <c r="K4118">
        <f t="shared" si="256"/>
        <v>636.77</v>
      </c>
      <c r="L4118">
        <f t="shared" si="257"/>
        <v>636.78</v>
      </c>
      <c r="M4118">
        <f t="shared" si="258"/>
        <v>636.78</v>
      </c>
      <c r="N4118" s="5" t="str">
        <f t="shared" si="259"/>
        <v>August 2023</v>
      </c>
    </row>
    <row r="4119" spans="1:14" x14ac:dyDescent="0.25">
      <c r="A4119" s="1">
        <v>45160</v>
      </c>
      <c r="B4119" t="s">
        <v>2941</v>
      </c>
      <c r="C4119">
        <v>57</v>
      </c>
      <c r="D4119" t="s">
        <v>14</v>
      </c>
      <c r="E4119" t="s">
        <v>19</v>
      </c>
      <c r="F4119" t="s">
        <v>29</v>
      </c>
      <c r="G4119" t="s">
        <v>27</v>
      </c>
      <c r="H4119">
        <v>2215.64</v>
      </c>
      <c r="I4119" s="8" t="str" cm="1">
        <f t="array" ref="I4119">_xlfn.IFS(C4119&lt;=15,"Children and Young Adolescents", C4119&gt;64, "Seniors", TRUE, "Working Age")</f>
        <v>Working Age</v>
      </c>
      <c r="J4119" s="6">
        <f>VLOOKUP(F4119,Analysis!$F$1:$G$5,2,FALSE)</f>
        <v>2496.7676064256989</v>
      </c>
      <c r="K4119">
        <f t="shared" si="256"/>
        <v>2437.1999999999998</v>
      </c>
      <c r="L4119">
        <f t="shared" si="257"/>
        <v>2437.21</v>
      </c>
      <c r="M4119">
        <f t="shared" si="258"/>
        <v>2437.1999999999998</v>
      </c>
      <c r="N4119" s="5" t="str">
        <f t="shared" si="259"/>
        <v>August 2023</v>
      </c>
    </row>
    <row r="4120" spans="1:14" x14ac:dyDescent="0.25">
      <c r="A4120" s="1">
        <v>45160</v>
      </c>
      <c r="B4120" t="s">
        <v>213</v>
      </c>
      <c r="C4120">
        <v>36</v>
      </c>
      <c r="D4120" t="s">
        <v>21</v>
      </c>
      <c r="E4120" t="s">
        <v>22</v>
      </c>
      <c r="F4120" t="s">
        <v>11</v>
      </c>
      <c r="G4120" t="s">
        <v>17</v>
      </c>
      <c r="H4120">
        <v>2618.13</v>
      </c>
      <c r="I4120" s="8" t="str" cm="1">
        <f t="array" ref="I4120">_xlfn.IFS(C4120&lt;=15,"Children and Young Adolescents", C4120&gt;64, "Seniors", TRUE, "Working Age")</f>
        <v>Working Age</v>
      </c>
      <c r="J4120" s="6">
        <f>VLOOKUP(F4120,Analysis!$F$1:$G$5,2,FALSE)</f>
        <v>2503.6022787783854</v>
      </c>
      <c r="K4120">
        <f t="shared" si="256"/>
        <v>2879.94</v>
      </c>
      <c r="L4120">
        <f t="shared" si="257"/>
        <v>2879.9500000000003</v>
      </c>
      <c r="M4120">
        <f t="shared" si="258"/>
        <v>2879.94</v>
      </c>
      <c r="N4120" s="5" t="str">
        <f t="shared" si="259"/>
        <v>August 2023</v>
      </c>
    </row>
    <row r="4121" spans="1:14" x14ac:dyDescent="0.25">
      <c r="A4121" s="1">
        <v>45160</v>
      </c>
      <c r="B4121" t="s">
        <v>1123</v>
      </c>
      <c r="C4121">
        <v>74</v>
      </c>
      <c r="D4121" t="s">
        <v>14</v>
      </c>
      <c r="E4121" t="s">
        <v>34</v>
      </c>
      <c r="F4121" t="s">
        <v>16</v>
      </c>
      <c r="G4121" t="s">
        <v>12</v>
      </c>
      <c r="H4121">
        <v>770.86</v>
      </c>
      <c r="I4121" s="8" t="str" cm="1">
        <f t="array" ref="I4121">_xlfn.IFS(C4121&lt;=15,"Children and Young Adolescents", C4121&gt;64, "Seniors", TRUE, "Working Age")</f>
        <v>Seniors</v>
      </c>
      <c r="J4121" s="6">
        <f>VLOOKUP(F4121,Analysis!$F$1:$G$5,2,FALSE)</f>
        <v>2509.1716796874912</v>
      </c>
      <c r="K4121">
        <f t="shared" si="256"/>
        <v>847.94</v>
      </c>
      <c r="L4121">
        <f t="shared" si="257"/>
        <v>847.95</v>
      </c>
      <c r="M4121">
        <f t="shared" si="258"/>
        <v>847.95</v>
      </c>
      <c r="N4121" s="5" t="str">
        <f t="shared" si="259"/>
        <v>August 2023</v>
      </c>
    </row>
    <row r="4122" spans="1:14" x14ac:dyDescent="0.25">
      <c r="A4122" s="1">
        <v>45161</v>
      </c>
      <c r="B4122" t="s">
        <v>3142</v>
      </c>
      <c r="C4122">
        <v>36</v>
      </c>
      <c r="D4122" t="s">
        <v>14</v>
      </c>
      <c r="E4122" t="s">
        <v>34</v>
      </c>
      <c r="F4122" t="s">
        <v>11</v>
      </c>
      <c r="G4122" t="s">
        <v>17</v>
      </c>
      <c r="H4122">
        <v>2962.61</v>
      </c>
      <c r="I4122" s="8" t="str" cm="1">
        <f t="array" ref="I4122">_xlfn.IFS(C4122&lt;=15,"Children and Young Adolescents", C4122&gt;64, "Seniors", TRUE, "Working Age")</f>
        <v>Working Age</v>
      </c>
      <c r="J4122" s="6">
        <f>VLOOKUP(F4122,Analysis!$F$1:$G$5,2,FALSE)</f>
        <v>2503.6022787783854</v>
      </c>
      <c r="K4122">
        <f t="shared" si="256"/>
        <v>3258.87</v>
      </c>
      <c r="L4122">
        <f t="shared" si="257"/>
        <v>3258.88</v>
      </c>
      <c r="M4122">
        <f t="shared" si="258"/>
        <v>3258.87</v>
      </c>
      <c r="N4122" s="5" t="str">
        <f t="shared" si="259"/>
        <v>August 2023</v>
      </c>
    </row>
    <row r="4123" spans="1:14" x14ac:dyDescent="0.25">
      <c r="A4123" s="1">
        <v>45161</v>
      </c>
      <c r="B4123" t="s">
        <v>2893</v>
      </c>
      <c r="C4123">
        <v>30</v>
      </c>
      <c r="D4123" t="s">
        <v>21</v>
      </c>
      <c r="E4123" t="s">
        <v>5032</v>
      </c>
      <c r="F4123" t="s">
        <v>29</v>
      </c>
      <c r="G4123" t="s">
        <v>27</v>
      </c>
      <c r="H4123">
        <v>3036.75</v>
      </c>
      <c r="I4123" s="8" t="str" cm="1">
        <f t="array" ref="I4123">_xlfn.IFS(C4123&lt;=15,"Children and Young Adolescents", C4123&gt;64, "Seniors", TRUE, "Working Age")</f>
        <v>Working Age</v>
      </c>
      <c r="J4123" s="6">
        <f>VLOOKUP(F4123,Analysis!$F$1:$G$5,2,FALSE)</f>
        <v>2496.7676064256989</v>
      </c>
      <c r="K4123">
        <f t="shared" si="256"/>
        <v>3340.42</v>
      </c>
      <c r="L4123">
        <f t="shared" si="257"/>
        <v>3340.4300000000003</v>
      </c>
      <c r="M4123">
        <f t="shared" si="258"/>
        <v>3340.43</v>
      </c>
      <c r="N4123" s="5" t="str">
        <f t="shared" si="259"/>
        <v>August 2023</v>
      </c>
    </row>
    <row r="4124" spans="1:14" x14ac:dyDescent="0.25">
      <c r="A4124" s="1">
        <v>45161</v>
      </c>
      <c r="B4124" t="s">
        <v>3430</v>
      </c>
      <c r="C4124">
        <v>68</v>
      </c>
      <c r="D4124" t="s">
        <v>9</v>
      </c>
      <c r="E4124" t="s">
        <v>25</v>
      </c>
      <c r="F4124" t="s">
        <v>23</v>
      </c>
      <c r="G4124" t="s">
        <v>12</v>
      </c>
      <c r="H4124">
        <v>1703.25</v>
      </c>
      <c r="I4124" s="8" t="str" cm="1">
        <f t="array" ref="I4124">_xlfn.IFS(C4124&lt;=15,"Children and Young Adolescents", C4124&gt;64, "Seniors", TRUE, "Working Age")</f>
        <v>Seniors</v>
      </c>
      <c r="J4124" s="6">
        <f>VLOOKUP(F4124,Analysis!$F$1:$G$5,2,FALSE)</f>
        <v>2440.2966694490838</v>
      </c>
      <c r="K4124">
        <f t="shared" si="256"/>
        <v>1873.57</v>
      </c>
      <c r="L4124">
        <f t="shared" si="257"/>
        <v>1873.58</v>
      </c>
      <c r="M4124">
        <f t="shared" si="258"/>
        <v>1873.58</v>
      </c>
      <c r="N4124" s="5" t="str">
        <f t="shared" si="259"/>
        <v>August 2023</v>
      </c>
    </row>
    <row r="4125" spans="1:14" x14ac:dyDescent="0.25">
      <c r="A4125" s="1">
        <v>45161</v>
      </c>
      <c r="B4125" t="s">
        <v>2761</v>
      </c>
      <c r="C4125">
        <v>17</v>
      </c>
      <c r="D4125" t="s">
        <v>21</v>
      </c>
      <c r="E4125" t="s">
        <v>10</v>
      </c>
      <c r="F4125" t="s">
        <v>11</v>
      </c>
      <c r="G4125" t="s">
        <v>17</v>
      </c>
      <c r="H4125">
        <v>1014.73</v>
      </c>
      <c r="I4125" s="8" t="str" cm="1">
        <f t="array" ref="I4125">_xlfn.IFS(C4125&lt;=15,"Children and Young Adolescents", C4125&gt;64, "Seniors", TRUE, "Working Age")</f>
        <v>Working Age</v>
      </c>
      <c r="J4125" s="6">
        <f>VLOOKUP(F4125,Analysis!$F$1:$G$5,2,FALSE)</f>
        <v>2503.6022787783854</v>
      </c>
      <c r="K4125">
        <f t="shared" si="256"/>
        <v>1116.2</v>
      </c>
      <c r="L4125">
        <f t="shared" si="257"/>
        <v>1116.21</v>
      </c>
      <c r="M4125">
        <f t="shared" si="258"/>
        <v>1116.2</v>
      </c>
      <c r="N4125" s="5" t="str">
        <f t="shared" si="259"/>
        <v>August 2023</v>
      </c>
    </row>
    <row r="4126" spans="1:14" x14ac:dyDescent="0.25">
      <c r="A4126" s="1">
        <v>45161</v>
      </c>
      <c r="B4126" t="s">
        <v>2685</v>
      </c>
      <c r="C4126">
        <v>83</v>
      </c>
      <c r="D4126" t="s">
        <v>21</v>
      </c>
      <c r="E4126" t="s">
        <v>34</v>
      </c>
      <c r="F4126" t="s">
        <v>29</v>
      </c>
      <c r="G4126" t="s">
        <v>36</v>
      </c>
      <c r="H4126">
        <v>1211.1500000000001</v>
      </c>
      <c r="I4126" s="8" t="str" cm="1">
        <f t="array" ref="I4126">_xlfn.IFS(C4126&lt;=15,"Children and Young Adolescents", C4126&gt;64, "Seniors", TRUE, "Working Age")</f>
        <v>Seniors</v>
      </c>
      <c r="J4126" s="6">
        <f>VLOOKUP(F4126,Analysis!$F$1:$G$5,2,FALSE)</f>
        <v>2496.7676064256989</v>
      </c>
      <c r="K4126">
        <f t="shared" si="256"/>
        <v>1332.26</v>
      </c>
      <c r="L4126">
        <f t="shared" si="257"/>
        <v>1332.27</v>
      </c>
      <c r="M4126">
        <f t="shared" si="258"/>
        <v>1332.27</v>
      </c>
      <c r="N4126" s="5" t="str">
        <f t="shared" si="259"/>
        <v>August 2023</v>
      </c>
    </row>
    <row r="4127" spans="1:14" x14ac:dyDescent="0.25">
      <c r="A4127" s="1">
        <v>45161</v>
      </c>
      <c r="B4127" t="s">
        <v>4176</v>
      </c>
      <c r="C4127">
        <v>6</v>
      </c>
      <c r="D4127" t="s">
        <v>14</v>
      </c>
      <c r="E4127" t="s">
        <v>10</v>
      </c>
      <c r="F4127" t="s">
        <v>11</v>
      </c>
      <c r="G4127" t="s">
        <v>27</v>
      </c>
      <c r="H4127">
        <v>4949.1400000000003</v>
      </c>
      <c r="I4127" s="8" t="str" cm="1">
        <f t="array" ref="I4127">_xlfn.IFS(C4127&lt;=15,"Children and Young Adolescents", C4127&gt;64, "Seniors", TRUE, "Working Age")</f>
        <v>Children and Young Adolescents</v>
      </c>
      <c r="J4127" s="6">
        <f>VLOOKUP(F4127,Analysis!$F$1:$G$5,2,FALSE)</f>
        <v>2503.6022787783854</v>
      </c>
      <c r="K4127">
        <f t="shared" si="256"/>
        <v>5444.05</v>
      </c>
      <c r="L4127">
        <f t="shared" si="257"/>
        <v>5444.06</v>
      </c>
      <c r="M4127">
        <f t="shared" si="258"/>
        <v>5444.05</v>
      </c>
      <c r="N4127" s="5" t="str">
        <f t="shared" si="259"/>
        <v>August 2023</v>
      </c>
    </row>
    <row r="4128" spans="1:14" x14ac:dyDescent="0.25">
      <c r="A4128" s="1">
        <v>45162</v>
      </c>
      <c r="B4128" t="s">
        <v>3698</v>
      </c>
      <c r="C4128">
        <v>68</v>
      </c>
      <c r="D4128" t="s">
        <v>21</v>
      </c>
      <c r="E4128" t="s">
        <v>5032</v>
      </c>
      <c r="F4128" t="s">
        <v>29</v>
      </c>
      <c r="G4128" t="s">
        <v>17</v>
      </c>
      <c r="H4128">
        <v>4808.7299999999996</v>
      </c>
      <c r="I4128" s="8" t="str" cm="1">
        <f t="array" ref="I4128">_xlfn.IFS(C4128&lt;=15,"Children and Young Adolescents", C4128&gt;64, "Seniors", TRUE, "Working Age")</f>
        <v>Seniors</v>
      </c>
      <c r="J4128" s="6">
        <f>VLOOKUP(F4128,Analysis!$F$1:$G$5,2,FALSE)</f>
        <v>2496.7676064256989</v>
      </c>
      <c r="K4128">
        <f t="shared" si="256"/>
        <v>5289.6</v>
      </c>
      <c r="L4128">
        <f t="shared" si="257"/>
        <v>5289.6100000000006</v>
      </c>
      <c r="M4128">
        <f t="shared" si="258"/>
        <v>5289.6</v>
      </c>
      <c r="N4128" s="5" t="str">
        <f t="shared" si="259"/>
        <v>August 2023</v>
      </c>
    </row>
    <row r="4129" spans="1:14" x14ac:dyDescent="0.25">
      <c r="A4129" s="1">
        <v>45162</v>
      </c>
      <c r="B4129" t="s">
        <v>4500</v>
      </c>
      <c r="C4129">
        <v>2</v>
      </c>
      <c r="D4129" t="s">
        <v>9</v>
      </c>
      <c r="E4129" t="s">
        <v>19</v>
      </c>
      <c r="F4129" t="s">
        <v>29</v>
      </c>
      <c r="G4129" t="s">
        <v>39</v>
      </c>
      <c r="H4129">
        <v>2416.85</v>
      </c>
      <c r="I4129" s="8" t="str" cm="1">
        <f t="array" ref="I4129">_xlfn.IFS(C4129&lt;=15,"Children and Young Adolescents", C4129&gt;64, "Seniors", TRUE, "Working Age")</f>
        <v>Children and Young Adolescents</v>
      </c>
      <c r="J4129" s="6">
        <f>VLOOKUP(F4129,Analysis!$F$1:$G$5,2,FALSE)</f>
        <v>2496.7676064256989</v>
      </c>
      <c r="K4129">
        <f t="shared" si="256"/>
        <v>2658.53</v>
      </c>
      <c r="L4129">
        <f t="shared" si="257"/>
        <v>2658.5400000000004</v>
      </c>
      <c r="M4129">
        <f t="shared" si="258"/>
        <v>2658.54</v>
      </c>
      <c r="N4129" s="5" t="str">
        <f t="shared" si="259"/>
        <v>August 2023</v>
      </c>
    </row>
    <row r="4130" spans="1:14" x14ac:dyDescent="0.25">
      <c r="A4130" s="1">
        <v>45162</v>
      </c>
      <c r="B4130" t="s">
        <v>170</v>
      </c>
      <c r="C4130">
        <v>31</v>
      </c>
      <c r="D4130" t="s">
        <v>9</v>
      </c>
      <c r="E4130" t="s">
        <v>34</v>
      </c>
      <c r="F4130" t="s">
        <v>11</v>
      </c>
      <c r="G4130" t="s">
        <v>27</v>
      </c>
      <c r="H4130">
        <v>3064.48</v>
      </c>
      <c r="I4130" s="8" t="str" cm="1">
        <f t="array" ref="I4130">_xlfn.IFS(C4130&lt;=15,"Children and Young Adolescents", C4130&gt;64, "Seniors", TRUE, "Working Age")</f>
        <v>Working Age</v>
      </c>
      <c r="J4130" s="6">
        <f>VLOOKUP(F4130,Analysis!$F$1:$G$5,2,FALSE)</f>
        <v>2503.6022787783854</v>
      </c>
      <c r="K4130">
        <f t="shared" si="256"/>
        <v>3370.92</v>
      </c>
      <c r="L4130">
        <f t="shared" si="257"/>
        <v>3370.9300000000003</v>
      </c>
      <c r="M4130">
        <f t="shared" si="258"/>
        <v>3370.93</v>
      </c>
      <c r="N4130" s="5" t="str">
        <f t="shared" si="259"/>
        <v>August 2023</v>
      </c>
    </row>
    <row r="4131" spans="1:14" x14ac:dyDescent="0.25">
      <c r="A4131" s="1">
        <v>45162</v>
      </c>
      <c r="B4131" t="s">
        <v>2559</v>
      </c>
      <c r="C4131">
        <v>2</v>
      </c>
      <c r="D4131" t="s">
        <v>14</v>
      </c>
      <c r="E4131" t="s">
        <v>10</v>
      </c>
      <c r="F4131" t="s">
        <v>11</v>
      </c>
      <c r="G4131" t="s">
        <v>12</v>
      </c>
      <c r="H4131">
        <v>2052.64</v>
      </c>
      <c r="I4131" s="8" t="str" cm="1">
        <f t="array" ref="I4131">_xlfn.IFS(C4131&lt;=15,"Children and Young Adolescents", C4131&gt;64, "Seniors", TRUE, "Working Age")</f>
        <v>Children and Young Adolescents</v>
      </c>
      <c r="J4131" s="6">
        <f>VLOOKUP(F4131,Analysis!$F$1:$G$5,2,FALSE)</f>
        <v>2503.6022787783854</v>
      </c>
      <c r="K4131">
        <f t="shared" si="256"/>
        <v>2257.9</v>
      </c>
      <c r="L4131">
        <f t="shared" si="257"/>
        <v>2257.9100000000003</v>
      </c>
      <c r="M4131">
        <f t="shared" si="258"/>
        <v>2257.9</v>
      </c>
      <c r="N4131" s="5" t="str">
        <f t="shared" si="259"/>
        <v>August 2023</v>
      </c>
    </row>
    <row r="4132" spans="1:14" x14ac:dyDescent="0.25">
      <c r="A4132" s="1">
        <v>45162</v>
      </c>
      <c r="B4132" t="s">
        <v>5014</v>
      </c>
      <c r="C4132">
        <v>35</v>
      </c>
      <c r="D4132" t="s">
        <v>14</v>
      </c>
      <c r="E4132" t="s">
        <v>34</v>
      </c>
      <c r="F4132" t="s">
        <v>23</v>
      </c>
      <c r="G4132" t="s">
        <v>39</v>
      </c>
      <c r="H4132">
        <v>712.55</v>
      </c>
      <c r="I4132" s="8" t="str" cm="1">
        <f t="array" ref="I4132">_xlfn.IFS(C4132&lt;=15,"Children and Young Adolescents", C4132&gt;64, "Seniors", TRUE, "Working Age")</f>
        <v>Working Age</v>
      </c>
      <c r="J4132" s="6">
        <f>VLOOKUP(F4132,Analysis!$F$1:$G$5,2,FALSE)</f>
        <v>2440.2966694490838</v>
      </c>
      <c r="K4132">
        <f t="shared" si="256"/>
        <v>783.8</v>
      </c>
      <c r="L4132">
        <f t="shared" si="257"/>
        <v>783.81</v>
      </c>
      <c r="M4132">
        <f t="shared" si="258"/>
        <v>783.81</v>
      </c>
      <c r="N4132" s="5" t="str">
        <f t="shared" si="259"/>
        <v>August 2023</v>
      </c>
    </row>
    <row r="4133" spans="1:14" x14ac:dyDescent="0.25">
      <c r="A4133" s="1">
        <v>45162</v>
      </c>
      <c r="B4133" t="s">
        <v>3395</v>
      </c>
      <c r="C4133">
        <v>5</v>
      </c>
      <c r="D4133" t="s">
        <v>9</v>
      </c>
      <c r="E4133" t="s">
        <v>15</v>
      </c>
      <c r="F4133" t="s">
        <v>16</v>
      </c>
      <c r="G4133" t="s">
        <v>27</v>
      </c>
      <c r="H4133">
        <v>3639.91</v>
      </c>
      <c r="I4133" s="8" t="str" cm="1">
        <f t="array" ref="I4133">_xlfn.IFS(C4133&lt;=15,"Children and Young Adolescents", C4133&gt;64, "Seniors", TRUE, "Working Age")</f>
        <v>Children and Young Adolescents</v>
      </c>
      <c r="J4133" s="6">
        <f>VLOOKUP(F4133,Analysis!$F$1:$G$5,2,FALSE)</f>
        <v>2509.1716796874912</v>
      </c>
      <c r="K4133">
        <f t="shared" si="256"/>
        <v>4003.9</v>
      </c>
      <c r="L4133">
        <f t="shared" si="257"/>
        <v>4003.9100000000003</v>
      </c>
      <c r="M4133">
        <f t="shared" si="258"/>
        <v>4003.9</v>
      </c>
      <c r="N4133" s="5" t="str">
        <f t="shared" si="259"/>
        <v>August 2023</v>
      </c>
    </row>
    <row r="4134" spans="1:14" x14ac:dyDescent="0.25">
      <c r="A4134" s="1">
        <v>45163</v>
      </c>
      <c r="B4134" t="s">
        <v>726</v>
      </c>
      <c r="C4134">
        <v>79</v>
      </c>
      <c r="D4134" t="s">
        <v>14</v>
      </c>
      <c r="E4134" t="s">
        <v>10</v>
      </c>
      <c r="F4134" t="s">
        <v>11</v>
      </c>
      <c r="G4134" t="s">
        <v>39</v>
      </c>
      <c r="H4134">
        <v>3132.47</v>
      </c>
      <c r="I4134" s="8" t="str" cm="1">
        <f t="array" ref="I4134">_xlfn.IFS(C4134&lt;=15,"Children and Young Adolescents", C4134&gt;64, "Seniors", TRUE, "Working Age")</f>
        <v>Seniors</v>
      </c>
      <c r="J4134" s="6">
        <f>VLOOKUP(F4134,Analysis!$F$1:$G$5,2,FALSE)</f>
        <v>2503.6022787783854</v>
      </c>
      <c r="K4134">
        <f t="shared" si="256"/>
        <v>3445.71</v>
      </c>
      <c r="L4134">
        <f t="shared" si="257"/>
        <v>3445.7200000000003</v>
      </c>
      <c r="M4134">
        <f t="shared" si="258"/>
        <v>3445.72</v>
      </c>
      <c r="N4134" s="5" t="str">
        <f t="shared" si="259"/>
        <v>August 2023</v>
      </c>
    </row>
    <row r="4135" spans="1:14" x14ac:dyDescent="0.25">
      <c r="A4135" s="1">
        <v>45163</v>
      </c>
      <c r="B4135" t="s">
        <v>2346</v>
      </c>
      <c r="C4135">
        <v>77</v>
      </c>
      <c r="D4135" t="s">
        <v>21</v>
      </c>
      <c r="E4135" t="s">
        <v>19</v>
      </c>
      <c r="F4135" t="s">
        <v>16</v>
      </c>
      <c r="G4135" t="s">
        <v>27</v>
      </c>
      <c r="H4135">
        <v>3191.32</v>
      </c>
      <c r="I4135" s="8" t="str" cm="1">
        <f t="array" ref="I4135">_xlfn.IFS(C4135&lt;=15,"Children and Young Adolescents", C4135&gt;64, "Seniors", TRUE, "Working Age")</f>
        <v>Seniors</v>
      </c>
      <c r="J4135" s="6">
        <f>VLOOKUP(F4135,Analysis!$F$1:$G$5,2,FALSE)</f>
        <v>2509.1716796874912</v>
      </c>
      <c r="K4135">
        <f t="shared" si="256"/>
        <v>3510.45</v>
      </c>
      <c r="L4135">
        <f t="shared" si="257"/>
        <v>3510.46</v>
      </c>
      <c r="M4135">
        <f t="shared" si="258"/>
        <v>3510.45</v>
      </c>
      <c r="N4135" s="5" t="str">
        <f t="shared" si="259"/>
        <v>August 2023</v>
      </c>
    </row>
    <row r="4136" spans="1:14" x14ac:dyDescent="0.25">
      <c r="A4136" s="1">
        <v>45163</v>
      </c>
      <c r="B4136" t="s">
        <v>4136</v>
      </c>
      <c r="C4136">
        <v>31</v>
      </c>
      <c r="D4136" t="s">
        <v>14</v>
      </c>
      <c r="E4136" t="s">
        <v>15</v>
      </c>
      <c r="F4136" t="s">
        <v>11</v>
      </c>
      <c r="G4136" t="s">
        <v>17</v>
      </c>
      <c r="H4136">
        <v>1806.13</v>
      </c>
      <c r="I4136" s="8" t="str" cm="1">
        <f t="array" ref="I4136">_xlfn.IFS(C4136&lt;=15,"Children and Young Adolescents", C4136&gt;64, "Seniors", TRUE, "Working Age")</f>
        <v>Working Age</v>
      </c>
      <c r="J4136" s="6">
        <f>VLOOKUP(F4136,Analysis!$F$1:$G$5,2,FALSE)</f>
        <v>2503.6022787783854</v>
      </c>
      <c r="K4136">
        <f t="shared" si="256"/>
        <v>1986.74</v>
      </c>
      <c r="L4136">
        <f t="shared" si="257"/>
        <v>1986.75</v>
      </c>
      <c r="M4136">
        <f t="shared" si="258"/>
        <v>1986.74</v>
      </c>
      <c r="N4136" s="5" t="str">
        <f t="shared" si="259"/>
        <v>August 2023</v>
      </c>
    </row>
    <row r="4137" spans="1:14" x14ac:dyDescent="0.25">
      <c r="A4137" s="1">
        <v>45163</v>
      </c>
      <c r="B4137" t="s">
        <v>374</v>
      </c>
      <c r="C4137">
        <v>81</v>
      </c>
      <c r="D4137" t="s">
        <v>21</v>
      </c>
      <c r="E4137" t="s">
        <v>34</v>
      </c>
      <c r="F4137" t="s">
        <v>16</v>
      </c>
      <c r="G4137" t="s">
        <v>12</v>
      </c>
      <c r="H4137">
        <v>1041.8399999999999</v>
      </c>
      <c r="I4137" s="8" t="str" cm="1">
        <f t="array" ref="I4137">_xlfn.IFS(C4137&lt;=15,"Children and Young Adolescents", C4137&gt;64, "Seniors", TRUE, "Working Age")</f>
        <v>Seniors</v>
      </c>
      <c r="J4137" s="6">
        <f>VLOOKUP(F4137,Analysis!$F$1:$G$5,2,FALSE)</f>
        <v>2509.1716796874912</v>
      </c>
      <c r="K4137">
        <f t="shared" si="256"/>
        <v>1146.02</v>
      </c>
      <c r="L4137">
        <f t="shared" si="257"/>
        <v>1146.03</v>
      </c>
      <c r="M4137">
        <f t="shared" si="258"/>
        <v>1146.02</v>
      </c>
      <c r="N4137" s="5" t="str">
        <f t="shared" si="259"/>
        <v>August 2023</v>
      </c>
    </row>
    <row r="4138" spans="1:14" x14ac:dyDescent="0.25">
      <c r="A4138" s="1">
        <v>45163</v>
      </c>
      <c r="B4138" t="s">
        <v>4099</v>
      </c>
      <c r="C4138">
        <v>91</v>
      </c>
      <c r="D4138" t="s">
        <v>21</v>
      </c>
      <c r="E4138" t="s">
        <v>32</v>
      </c>
      <c r="F4138" t="s">
        <v>29</v>
      </c>
      <c r="G4138" t="s">
        <v>36</v>
      </c>
      <c r="H4138">
        <v>585.82000000000005</v>
      </c>
      <c r="I4138" s="8" t="str" cm="1">
        <f t="array" ref="I4138">_xlfn.IFS(C4138&lt;=15,"Children and Young Adolescents", C4138&gt;64, "Seniors", TRUE, "Working Age")</f>
        <v>Seniors</v>
      </c>
      <c r="J4138" s="6">
        <f>VLOOKUP(F4138,Analysis!$F$1:$G$5,2,FALSE)</f>
        <v>2496.7676064256989</v>
      </c>
      <c r="K4138">
        <f t="shared" si="256"/>
        <v>644.4</v>
      </c>
      <c r="L4138">
        <f t="shared" si="257"/>
        <v>644.41</v>
      </c>
      <c r="M4138">
        <f t="shared" si="258"/>
        <v>644.4</v>
      </c>
      <c r="N4138" s="5" t="str">
        <f t="shared" si="259"/>
        <v>August 2023</v>
      </c>
    </row>
    <row r="4139" spans="1:14" x14ac:dyDescent="0.25">
      <c r="A4139" s="1">
        <v>45163</v>
      </c>
      <c r="B4139" t="s">
        <v>2460</v>
      </c>
      <c r="C4139">
        <v>99</v>
      </c>
      <c r="D4139" t="s">
        <v>14</v>
      </c>
      <c r="E4139" t="s">
        <v>15</v>
      </c>
      <c r="F4139" t="s">
        <v>23</v>
      </c>
      <c r="G4139" t="s">
        <v>39</v>
      </c>
      <c r="H4139">
        <v>3640.99</v>
      </c>
      <c r="I4139" s="8" t="str" cm="1">
        <f t="array" ref="I4139">_xlfn.IFS(C4139&lt;=15,"Children and Young Adolescents", C4139&gt;64, "Seniors", TRUE, "Working Age")</f>
        <v>Seniors</v>
      </c>
      <c r="J4139" s="6">
        <f>VLOOKUP(F4139,Analysis!$F$1:$G$5,2,FALSE)</f>
        <v>2440.2966694490838</v>
      </c>
      <c r="K4139">
        <f t="shared" si="256"/>
        <v>4005.08</v>
      </c>
      <c r="L4139">
        <f t="shared" si="257"/>
        <v>4005.09</v>
      </c>
      <c r="M4139">
        <f t="shared" si="258"/>
        <v>4005.09</v>
      </c>
      <c r="N4139" s="5" t="str">
        <f t="shared" si="259"/>
        <v>August 2023</v>
      </c>
    </row>
    <row r="4140" spans="1:14" x14ac:dyDescent="0.25">
      <c r="A4140" s="1">
        <v>45163</v>
      </c>
      <c r="B4140" t="s">
        <v>4531</v>
      </c>
      <c r="C4140">
        <v>29</v>
      </c>
      <c r="D4140" t="s">
        <v>9</v>
      </c>
      <c r="E4140" t="s">
        <v>22</v>
      </c>
      <c r="F4140" t="s">
        <v>16</v>
      </c>
      <c r="G4140" t="s">
        <v>17</v>
      </c>
      <c r="H4140">
        <v>2473.62</v>
      </c>
      <c r="I4140" s="8" t="str" cm="1">
        <f t="array" ref="I4140">_xlfn.IFS(C4140&lt;=15,"Children and Young Adolescents", C4140&gt;64, "Seniors", TRUE, "Working Age")</f>
        <v>Working Age</v>
      </c>
      <c r="J4140" s="6">
        <f>VLOOKUP(F4140,Analysis!$F$1:$G$5,2,FALSE)</f>
        <v>2509.1716796874912</v>
      </c>
      <c r="K4140">
        <f t="shared" si="256"/>
        <v>2720.98</v>
      </c>
      <c r="L4140">
        <f t="shared" si="257"/>
        <v>2720.9900000000002</v>
      </c>
      <c r="M4140">
        <f t="shared" si="258"/>
        <v>2720.98</v>
      </c>
      <c r="N4140" s="5" t="str">
        <f t="shared" si="259"/>
        <v>August 2023</v>
      </c>
    </row>
    <row r="4141" spans="1:14" x14ac:dyDescent="0.25">
      <c r="A4141" s="1">
        <v>45163</v>
      </c>
      <c r="B4141" t="s">
        <v>1435</v>
      </c>
      <c r="C4141">
        <v>51</v>
      </c>
      <c r="D4141" t="s">
        <v>21</v>
      </c>
      <c r="E4141" t="s">
        <v>22</v>
      </c>
      <c r="F4141" t="s">
        <v>23</v>
      </c>
      <c r="G4141" t="s">
        <v>17</v>
      </c>
      <c r="H4141">
        <v>2234.62</v>
      </c>
      <c r="I4141" s="8" t="str" cm="1">
        <f t="array" ref="I4141">_xlfn.IFS(C4141&lt;=15,"Children and Young Adolescents", C4141&gt;64, "Seniors", TRUE, "Working Age")</f>
        <v>Working Age</v>
      </c>
      <c r="J4141" s="6">
        <f>VLOOKUP(F4141,Analysis!$F$1:$G$5,2,FALSE)</f>
        <v>2440.2966694490838</v>
      </c>
      <c r="K4141">
        <f t="shared" si="256"/>
        <v>2458.08</v>
      </c>
      <c r="L4141">
        <f t="shared" si="257"/>
        <v>2458.09</v>
      </c>
      <c r="M4141">
        <f t="shared" si="258"/>
        <v>2458.08</v>
      </c>
      <c r="N4141" s="5" t="str">
        <f t="shared" si="259"/>
        <v>August 2023</v>
      </c>
    </row>
    <row r="4142" spans="1:14" x14ac:dyDescent="0.25">
      <c r="A4142" s="1">
        <v>45164</v>
      </c>
      <c r="B4142" t="s">
        <v>3325</v>
      </c>
      <c r="C4142">
        <v>43</v>
      </c>
      <c r="D4142" t="s">
        <v>14</v>
      </c>
      <c r="E4142" t="s">
        <v>22</v>
      </c>
      <c r="F4142" t="s">
        <v>11</v>
      </c>
      <c r="G4142" t="s">
        <v>39</v>
      </c>
      <c r="H4142">
        <v>3267.37</v>
      </c>
      <c r="I4142" s="8" t="str" cm="1">
        <f t="array" ref="I4142">_xlfn.IFS(C4142&lt;=15,"Children and Young Adolescents", C4142&gt;64, "Seniors", TRUE, "Working Age")</f>
        <v>Working Age</v>
      </c>
      <c r="J4142" s="6">
        <f>VLOOKUP(F4142,Analysis!$F$1:$G$5,2,FALSE)</f>
        <v>2503.6022787783854</v>
      </c>
      <c r="K4142">
        <f t="shared" si="256"/>
        <v>3594.1</v>
      </c>
      <c r="L4142">
        <f t="shared" si="257"/>
        <v>3594.11</v>
      </c>
      <c r="M4142">
        <f t="shared" si="258"/>
        <v>3594.11</v>
      </c>
      <c r="N4142" s="5" t="str">
        <f t="shared" si="259"/>
        <v>August 2023</v>
      </c>
    </row>
    <row r="4143" spans="1:14" x14ac:dyDescent="0.25">
      <c r="A4143" s="1">
        <v>45164</v>
      </c>
      <c r="B4143" t="s">
        <v>2115</v>
      </c>
      <c r="C4143">
        <v>50</v>
      </c>
      <c r="D4143" t="s">
        <v>21</v>
      </c>
      <c r="E4143" t="s">
        <v>10</v>
      </c>
      <c r="F4143" t="s">
        <v>29</v>
      </c>
      <c r="G4143" t="s">
        <v>17</v>
      </c>
      <c r="H4143">
        <v>4811.46</v>
      </c>
      <c r="I4143" s="8" t="str" cm="1">
        <f t="array" ref="I4143">_xlfn.IFS(C4143&lt;=15,"Children and Young Adolescents", C4143&gt;64, "Seniors", TRUE, "Working Age")</f>
        <v>Working Age</v>
      </c>
      <c r="J4143" s="6">
        <f>VLOOKUP(F4143,Analysis!$F$1:$G$5,2,FALSE)</f>
        <v>2496.7676064256989</v>
      </c>
      <c r="K4143">
        <f t="shared" si="256"/>
        <v>5292.6</v>
      </c>
      <c r="L4143">
        <f t="shared" si="257"/>
        <v>5292.6100000000006</v>
      </c>
      <c r="M4143">
        <f t="shared" si="258"/>
        <v>5292.61</v>
      </c>
      <c r="N4143" s="5" t="str">
        <f t="shared" si="259"/>
        <v>August 2023</v>
      </c>
    </row>
    <row r="4144" spans="1:14" x14ac:dyDescent="0.25">
      <c r="A4144" s="1">
        <v>45164</v>
      </c>
      <c r="B4144" t="s">
        <v>4004</v>
      </c>
      <c r="C4144">
        <v>3</v>
      </c>
      <c r="D4144" t="s">
        <v>14</v>
      </c>
      <c r="E4144" t="s">
        <v>5032</v>
      </c>
      <c r="F4144" t="s">
        <v>16</v>
      </c>
      <c r="G4144" t="s">
        <v>36</v>
      </c>
      <c r="H4144">
        <v>3228.01</v>
      </c>
      <c r="I4144" s="8" t="str" cm="1">
        <f t="array" ref="I4144">_xlfn.IFS(C4144&lt;=15,"Children and Young Adolescents", C4144&gt;64, "Seniors", TRUE, "Working Age")</f>
        <v>Children and Young Adolescents</v>
      </c>
      <c r="J4144" s="6">
        <f>VLOOKUP(F4144,Analysis!$F$1:$G$5,2,FALSE)</f>
        <v>2509.1716796874912</v>
      </c>
      <c r="K4144">
        <f t="shared" si="256"/>
        <v>3550.81</v>
      </c>
      <c r="L4144">
        <f t="shared" si="257"/>
        <v>3550.82</v>
      </c>
      <c r="M4144">
        <f t="shared" si="258"/>
        <v>3550.81</v>
      </c>
      <c r="N4144" s="5" t="str">
        <f t="shared" si="259"/>
        <v>August 2023</v>
      </c>
    </row>
    <row r="4145" spans="1:14" x14ac:dyDescent="0.25">
      <c r="A4145" s="1">
        <v>45164</v>
      </c>
      <c r="B4145" t="s">
        <v>4685</v>
      </c>
      <c r="C4145">
        <v>15</v>
      </c>
      <c r="D4145" t="s">
        <v>9</v>
      </c>
      <c r="E4145" t="s">
        <v>25</v>
      </c>
      <c r="F4145" t="s">
        <v>16</v>
      </c>
      <c r="G4145" t="s">
        <v>36</v>
      </c>
      <c r="H4145">
        <v>4149.6499999999996</v>
      </c>
      <c r="I4145" s="8" t="str" cm="1">
        <f t="array" ref="I4145">_xlfn.IFS(C4145&lt;=15,"Children and Young Adolescents", C4145&gt;64, "Seniors", TRUE, "Working Age")</f>
        <v>Children and Young Adolescents</v>
      </c>
      <c r="J4145" s="6">
        <f>VLOOKUP(F4145,Analysis!$F$1:$G$5,2,FALSE)</f>
        <v>2509.1716796874912</v>
      </c>
      <c r="K4145">
        <f t="shared" si="256"/>
        <v>4564.6099999999997</v>
      </c>
      <c r="L4145">
        <f t="shared" si="257"/>
        <v>4564.62</v>
      </c>
      <c r="M4145">
        <f t="shared" si="258"/>
        <v>4564.62</v>
      </c>
      <c r="N4145" s="5" t="str">
        <f t="shared" si="259"/>
        <v>August 2023</v>
      </c>
    </row>
    <row r="4146" spans="1:14" x14ac:dyDescent="0.25">
      <c r="A4146" s="1">
        <v>45164</v>
      </c>
      <c r="B4146" t="s">
        <v>1398</v>
      </c>
      <c r="C4146">
        <v>62</v>
      </c>
      <c r="D4146" t="s">
        <v>14</v>
      </c>
      <c r="E4146" t="s">
        <v>22</v>
      </c>
      <c r="F4146" t="s">
        <v>29</v>
      </c>
      <c r="G4146" t="s">
        <v>12</v>
      </c>
      <c r="H4146">
        <v>2338.8200000000002</v>
      </c>
      <c r="I4146" s="8" t="str" cm="1">
        <f t="array" ref="I4146">_xlfn.IFS(C4146&lt;=15,"Children and Young Adolescents", C4146&gt;64, "Seniors", TRUE, "Working Age")</f>
        <v>Working Age</v>
      </c>
      <c r="J4146" s="6">
        <f>VLOOKUP(F4146,Analysis!$F$1:$G$5,2,FALSE)</f>
        <v>2496.7676064256989</v>
      </c>
      <c r="K4146">
        <f t="shared" si="256"/>
        <v>2572.6999999999998</v>
      </c>
      <c r="L4146">
        <f t="shared" si="257"/>
        <v>2572.71</v>
      </c>
      <c r="M4146">
        <f t="shared" si="258"/>
        <v>2572.6999999999998</v>
      </c>
      <c r="N4146" s="5" t="str">
        <f t="shared" si="259"/>
        <v>August 2023</v>
      </c>
    </row>
    <row r="4147" spans="1:14" x14ac:dyDescent="0.25">
      <c r="A4147" s="1">
        <v>45165</v>
      </c>
      <c r="B4147" t="s">
        <v>2608</v>
      </c>
      <c r="C4147">
        <v>53</v>
      </c>
      <c r="D4147" t="s">
        <v>14</v>
      </c>
      <c r="E4147" t="s">
        <v>10</v>
      </c>
      <c r="F4147" t="s">
        <v>16</v>
      </c>
      <c r="G4147" t="s">
        <v>27</v>
      </c>
      <c r="H4147">
        <v>707.31</v>
      </c>
      <c r="I4147" s="8" t="str" cm="1">
        <f t="array" ref="I4147">_xlfn.IFS(C4147&lt;=15,"Children and Young Adolescents", C4147&gt;64, "Seniors", TRUE, "Working Age")</f>
        <v>Working Age</v>
      </c>
      <c r="J4147" s="6">
        <f>VLOOKUP(F4147,Analysis!$F$1:$G$5,2,FALSE)</f>
        <v>2509.1716796874912</v>
      </c>
      <c r="K4147">
        <f t="shared" si="256"/>
        <v>778.04</v>
      </c>
      <c r="L4147">
        <f t="shared" si="257"/>
        <v>778.05</v>
      </c>
      <c r="M4147">
        <f t="shared" si="258"/>
        <v>778.04</v>
      </c>
      <c r="N4147" s="5" t="str">
        <f t="shared" si="259"/>
        <v>August 2023</v>
      </c>
    </row>
    <row r="4148" spans="1:14" x14ac:dyDescent="0.25">
      <c r="A4148" s="1">
        <v>45165</v>
      </c>
      <c r="B4148" t="s">
        <v>1700</v>
      </c>
      <c r="C4148">
        <v>72</v>
      </c>
      <c r="D4148" t="s">
        <v>9</v>
      </c>
      <c r="E4148" t="s">
        <v>22</v>
      </c>
      <c r="F4148" t="s">
        <v>29</v>
      </c>
      <c r="G4148" t="s">
        <v>12</v>
      </c>
      <c r="H4148">
        <v>776.37</v>
      </c>
      <c r="I4148" s="8" t="str" cm="1">
        <f t="array" ref="I4148">_xlfn.IFS(C4148&lt;=15,"Children and Young Adolescents", C4148&gt;64, "Seniors", TRUE, "Working Age")</f>
        <v>Seniors</v>
      </c>
      <c r="J4148" s="6">
        <f>VLOOKUP(F4148,Analysis!$F$1:$G$5,2,FALSE)</f>
        <v>2496.7676064256989</v>
      </c>
      <c r="K4148">
        <f t="shared" si="256"/>
        <v>854</v>
      </c>
      <c r="L4148">
        <f t="shared" si="257"/>
        <v>854.01</v>
      </c>
      <c r="M4148">
        <f t="shared" si="258"/>
        <v>854.01</v>
      </c>
      <c r="N4148" s="5" t="str">
        <f t="shared" si="259"/>
        <v>August 2023</v>
      </c>
    </row>
    <row r="4149" spans="1:14" x14ac:dyDescent="0.25">
      <c r="A4149" s="1">
        <v>45165</v>
      </c>
      <c r="B4149" t="s">
        <v>733</v>
      </c>
      <c r="C4149">
        <v>16</v>
      </c>
      <c r="D4149" t="s">
        <v>14</v>
      </c>
      <c r="E4149" t="s">
        <v>34</v>
      </c>
      <c r="F4149" t="s">
        <v>23</v>
      </c>
      <c r="G4149" t="s">
        <v>12</v>
      </c>
      <c r="H4149">
        <v>2065.5100000000002</v>
      </c>
      <c r="I4149" s="8" t="str" cm="1">
        <f t="array" ref="I4149">_xlfn.IFS(C4149&lt;=15,"Children and Young Adolescents", C4149&gt;64, "Seniors", TRUE, "Working Age")</f>
        <v>Working Age</v>
      </c>
      <c r="J4149" s="6">
        <f>VLOOKUP(F4149,Analysis!$F$1:$G$5,2,FALSE)</f>
        <v>2440.2966694490838</v>
      </c>
      <c r="K4149">
        <f t="shared" si="256"/>
        <v>2272.06</v>
      </c>
      <c r="L4149">
        <f t="shared" si="257"/>
        <v>2272.0700000000002</v>
      </c>
      <c r="M4149">
        <f t="shared" si="258"/>
        <v>2272.06</v>
      </c>
      <c r="N4149" s="5" t="str">
        <f t="shared" si="259"/>
        <v>August 2023</v>
      </c>
    </row>
    <row r="4150" spans="1:14" x14ac:dyDescent="0.25">
      <c r="A4150" s="1">
        <v>45165</v>
      </c>
      <c r="B4150" t="s">
        <v>4073</v>
      </c>
      <c r="C4150">
        <v>16</v>
      </c>
      <c r="D4150" t="s">
        <v>9</v>
      </c>
      <c r="E4150" t="s">
        <v>15</v>
      </c>
      <c r="F4150" t="s">
        <v>11</v>
      </c>
      <c r="G4150" t="s">
        <v>27</v>
      </c>
      <c r="H4150">
        <v>2065.73</v>
      </c>
      <c r="I4150" s="8" t="str" cm="1">
        <f t="array" ref="I4150">_xlfn.IFS(C4150&lt;=15,"Children and Young Adolescents", C4150&gt;64, "Seniors", TRUE, "Working Age")</f>
        <v>Working Age</v>
      </c>
      <c r="J4150" s="6">
        <f>VLOOKUP(F4150,Analysis!$F$1:$G$5,2,FALSE)</f>
        <v>2503.6022787783854</v>
      </c>
      <c r="K4150">
        <f t="shared" si="256"/>
        <v>2272.3000000000002</v>
      </c>
      <c r="L4150">
        <f t="shared" si="257"/>
        <v>2272.3100000000004</v>
      </c>
      <c r="M4150">
        <f t="shared" si="258"/>
        <v>2272.3000000000002</v>
      </c>
      <c r="N4150" s="5" t="str">
        <f t="shared" si="259"/>
        <v>August 2023</v>
      </c>
    </row>
    <row r="4151" spans="1:14" x14ac:dyDescent="0.25">
      <c r="A4151" s="1">
        <v>45165</v>
      </c>
      <c r="B4151" t="s">
        <v>461</v>
      </c>
      <c r="C4151">
        <v>84</v>
      </c>
      <c r="D4151" t="s">
        <v>9</v>
      </c>
      <c r="E4151" t="s">
        <v>22</v>
      </c>
      <c r="F4151" t="s">
        <v>29</v>
      </c>
      <c r="G4151" t="s">
        <v>36</v>
      </c>
      <c r="H4151">
        <v>1057.45</v>
      </c>
      <c r="I4151" s="8" t="str" cm="1">
        <f t="array" ref="I4151">_xlfn.IFS(C4151&lt;=15,"Children and Young Adolescents", C4151&gt;64, "Seniors", TRUE, "Working Age")</f>
        <v>Seniors</v>
      </c>
      <c r="J4151" s="6">
        <f>VLOOKUP(F4151,Analysis!$F$1:$G$5,2,FALSE)</f>
        <v>2496.7676064256989</v>
      </c>
      <c r="K4151">
        <f t="shared" si="256"/>
        <v>1163.19</v>
      </c>
      <c r="L4151">
        <f t="shared" si="257"/>
        <v>1163.2</v>
      </c>
      <c r="M4151">
        <f t="shared" si="258"/>
        <v>1163.2</v>
      </c>
      <c r="N4151" s="5" t="str">
        <f t="shared" si="259"/>
        <v>August 2023</v>
      </c>
    </row>
    <row r="4152" spans="1:14" x14ac:dyDescent="0.25">
      <c r="A4152" s="1">
        <v>45165</v>
      </c>
      <c r="B4152" t="s">
        <v>3129</v>
      </c>
      <c r="C4152">
        <v>96</v>
      </c>
      <c r="D4152" t="s">
        <v>9</v>
      </c>
      <c r="E4152" t="s">
        <v>32</v>
      </c>
      <c r="F4152" t="s">
        <v>29</v>
      </c>
      <c r="G4152" t="s">
        <v>27</v>
      </c>
      <c r="H4152">
        <v>1490.69</v>
      </c>
      <c r="I4152" s="8" t="str" cm="1">
        <f t="array" ref="I4152">_xlfn.IFS(C4152&lt;=15,"Children and Young Adolescents", C4152&gt;64, "Seniors", TRUE, "Working Age")</f>
        <v>Seniors</v>
      </c>
      <c r="J4152" s="6">
        <f>VLOOKUP(F4152,Analysis!$F$1:$G$5,2,FALSE)</f>
        <v>2496.7676064256989</v>
      </c>
      <c r="K4152">
        <f t="shared" si="256"/>
        <v>1639.75</v>
      </c>
      <c r="L4152">
        <f t="shared" si="257"/>
        <v>1639.76</v>
      </c>
      <c r="M4152">
        <f t="shared" si="258"/>
        <v>1639.76</v>
      </c>
      <c r="N4152" s="5" t="str">
        <f t="shared" si="259"/>
        <v>August 2023</v>
      </c>
    </row>
    <row r="4153" spans="1:14" x14ac:dyDescent="0.25">
      <c r="A4153" s="1">
        <v>45166</v>
      </c>
      <c r="B4153" t="s">
        <v>4012</v>
      </c>
      <c r="C4153">
        <v>89</v>
      </c>
      <c r="D4153" t="s">
        <v>14</v>
      </c>
      <c r="E4153" t="s">
        <v>22</v>
      </c>
      <c r="F4153" t="s">
        <v>23</v>
      </c>
      <c r="G4153" t="s">
        <v>36</v>
      </c>
      <c r="H4153">
        <v>902.14</v>
      </c>
      <c r="I4153" s="8" t="str" cm="1">
        <f t="array" ref="I4153">_xlfn.IFS(C4153&lt;=15,"Children and Young Adolescents", C4153&gt;64, "Seniors", TRUE, "Working Age")</f>
        <v>Seniors</v>
      </c>
      <c r="J4153" s="6">
        <f>VLOOKUP(F4153,Analysis!$F$1:$G$5,2,FALSE)</f>
        <v>2440.2966694490838</v>
      </c>
      <c r="K4153">
        <f t="shared" si="256"/>
        <v>992.35</v>
      </c>
      <c r="L4153">
        <f t="shared" si="257"/>
        <v>992.36</v>
      </c>
      <c r="M4153">
        <f t="shared" si="258"/>
        <v>992.35</v>
      </c>
      <c r="N4153" s="5" t="str">
        <f t="shared" si="259"/>
        <v>August 2023</v>
      </c>
    </row>
    <row r="4154" spans="1:14" x14ac:dyDescent="0.25">
      <c r="A4154" s="1">
        <v>45166</v>
      </c>
      <c r="B4154" t="s">
        <v>1247</v>
      </c>
      <c r="C4154">
        <v>7</v>
      </c>
      <c r="D4154" t="s">
        <v>14</v>
      </c>
      <c r="E4154" t="s">
        <v>22</v>
      </c>
      <c r="F4154" t="s">
        <v>16</v>
      </c>
      <c r="G4154" t="s">
        <v>12</v>
      </c>
      <c r="H4154">
        <v>4272.1099999999997</v>
      </c>
      <c r="I4154" s="8" t="str" cm="1">
        <f t="array" ref="I4154">_xlfn.IFS(C4154&lt;=15,"Children and Young Adolescents", C4154&gt;64, "Seniors", TRUE, "Working Age")</f>
        <v>Children and Young Adolescents</v>
      </c>
      <c r="J4154" s="6">
        <f>VLOOKUP(F4154,Analysis!$F$1:$G$5,2,FALSE)</f>
        <v>2509.1716796874912</v>
      </c>
      <c r="K4154">
        <f t="shared" si="256"/>
        <v>4699.32</v>
      </c>
      <c r="L4154">
        <f t="shared" si="257"/>
        <v>4699.33</v>
      </c>
      <c r="M4154">
        <f t="shared" si="258"/>
        <v>4699.32</v>
      </c>
      <c r="N4154" s="5" t="str">
        <f t="shared" si="259"/>
        <v>August 2023</v>
      </c>
    </row>
    <row r="4155" spans="1:14" x14ac:dyDescent="0.25">
      <c r="A4155" s="1">
        <v>45166</v>
      </c>
      <c r="B4155" t="s">
        <v>4308</v>
      </c>
      <c r="C4155">
        <v>93</v>
      </c>
      <c r="D4155" t="s">
        <v>14</v>
      </c>
      <c r="E4155" t="s">
        <v>32</v>
      </c>
      <c r="F4155" t="s">
        <v>11</v>
      </c>
      <c r="G4155" t="s">
        <v>12</v>
      </c>
      <c r="H4155">
        <v>3880.03</v>
      </c>
      <c r="I4155" s="8" t="str" cm="1">
        <f t="array" ref="I4155">_xlfn.IFS(C4155&lt;=15,"Children and Young Adolescents", C4155&gt;64, "Seniors", TRUE, "Working Age")</f>
        <v>Seniors</v>
      </c>
      <c r="J4155" s="6">
        <f>VLOOKUP(F4155,Analysis!$F$1:$G$5,2,FALSE)</f>
        <v>2503.6022787783854</v>
      </c>
      <c r="K4155">
        <f t="shared" si="256"/>
        <v>4268.03</v>
      </c>
      <c r="L4155">
        <f t="shared" si="257"/>
        <v>4268.04</v>
      </c>
      <c r="M4155">
        <f t="shared" si="258"/>
        <v>4268.03</v>
      </c>
      <c r="N4155" s="5" t="str">
        <f t="shared" si="259"/>
        <v>August 2023</v>
      </c>
    </row>
    <row r="4156" spans="1:14" x14ac:dyDescent="0.25">
      <c r="A4156" s="1">
        <v>45166</v>
      </c>
      <c r="B4156" t="s">
        <v>396</v>
      </c>
      <c r="C4156">
        <v>2</v>
      </c>
      <c r="D4156" t="s">
        <v>21</v>
      </c>
      <c r="E4156" t="s">
        <v>25</v>
      </c>
      <c r="F4156" t="s">
        <v>11</v>
      </c>
      <c r="G4156" t="s">
        <v>12</v>
      </c>
      <c r="H4156">
        <v>3441.05</v>
      </c>
      <c r="I4156" s="8" t="str" cm="1">
        <f t="array" ref="I4156">_xlfn.IFS(C4156&lt;=15,"Children and Young Adolescents", C4156&gt;64, "Seniors", TRUE, "Working Age")</f>
        <v>Children and Young Adolescents</v>
      </c>
      <c r="J4156" s="6">
        <f>VLOOKUP(F4156,Analysis!$F$1:$G$5,2,FALSE)</f>
        <v>2503.6022787783854</v>
      </c>
      <c r="K4156">
        <f t="shared" si="256"/>
        <v>3785.15</v>
      </c>
      <c r="L4156">
        <f t="shared" si="257"/>
        <v>3785.1600000000003</v>
      </c>
      <c r="M4156">
        <f t="shared" si="258"/>
        <v>3785.16</v>
      </c>
      <c r="N4156" s="5" t="str">
        <f t="shared" si="259"/>
        <v>August 2023</v>
      </c>
    </row>
    <row r="4157" spans="1:14" x14ac:dyDescent="0.25">
      <c r="A4157" s="1">
        <v>45166</v>
      </c>
      <c r="B4157" t="s">
        <v>3692</v>
      </c>
      <c r="C4157">
        <v>71</v>
      </c>
      <c r="D4157" t="s">
        <v>21</v>
      </c>
      <c r="E4157" t="s">
        <v>15</v>
      </c>
      <c r="F4157" t="s">
        <v>23</v>
      </c>
      <c r="G4157" t="s">
        <v>39</v>
      </c>
      <c r="H4157">
        <v>4187.4399999999996</v>
      </c>
      <c r="I4157" s="8" t="str" cm="1">
        <f t="array" ref="I4157">_xlfn.IFS(C4157&lt;=15,"Children and Young Adolescents", C4157&gt;64, "Seniors", TRUE, "Working Age")</f>
        <v>Seniors</v>
      </c>
      <c r="J4157" s="6">
        <f>VLOOKUP(F4157,Analysis!$F$1:$G$5,2,FALSE)</f>
        <v>2440.2966694490838</v>
      </c>
      <c r="K4157">
        <f t="shared" si="256"/>
        <v>4606.18</v>
      </c>
      <c r="L4157">
        <f t="shared" si="257"/>
        <v>4606.1900000000005</v>
      </c>
      <c r="M4157">
        <f t="shared" si="258"/>
        <v>4606.18</v>
      </c>
      <c r="N4157" s="5" t="str">
        <f t="shared" si="259"/>
        <v>August 2023</v>
      </c>
    </row>
    <row r="4158" spans="1:14" x14ac:dyDescent="0.25">
      <c r="A4158" s="1">
        <v>45166</v>
      </c>
      <c r="B4158" t="s">
        <v>4549</v>
      </c>
      <c r="C4158">
        <v>51</v>
      </c>
      <c r="D4158" t="s">
        <v>9</v>
      </c>
      <c r="E4158" t="s">
        <v>19</v>
      </c>
      <c r="F4158" t="s">
        <v>23</v>
      </c>
      <c r="G4158" t="s">
        <v>27</v>
      </c>
      <c r="H4158">
        <v>676.97</v>
      </c>
      <c r="I4158" s="8" t="str" cm="1">
        <f t="array" ref="I4158">_xlfn.IFS(C4158&lt;=15,"Children and Young Adolescents", C4158&gt;64, "Seniors", TRUE, "Working Age")</f>
        <v>Working Age</v>
      </c>
      <c r="J4158" s="6">
        <f>VLOOKUP(F4158,Analysis!$F$1:$G$5,2,FALSE)</f>
        <v>2440.2966694490838</v>
      </c>
      <c r="K4158">
        <f t="shared" si="256"/>
        <v>744.66</v>
      </c>
      <c r="L4158">
        <f t="shared" si="257"/>
        <v>744.67</v>
      </c>
      <c r="M4158">
        <f t="shared" si="258"/>
        <v>744.67</v>
      </c>
      <c r="N4158" s="5" t="str">
        <f t="shared" si="259"/>
        <v>August 2023</v>
      </c>
    </row>
    <row r="4159" spans="1:14" x14ac:dyDescent="0.25">
      <c r="A4159" s="1">
        <v>45167</v>
      </c>
      <c r="B4159" t="s">
        <v>1189</v>
      </c>
      <c r="C4159">
        <v>49</v>
      </c>
      <c r="D4159" t="s">
        <v>14</v>
      </c>
      <c r="E4159" t="s">
        <v>19</v>
      </c>
      <c r="F4159" t="s">
        <v>29</v>
      </c>
      <c r="G4159" t="s">
        <v>36</v>
      </c>
      <c r="H4159">
        <v>3485.08</v>
      </c>
      <c r="I4159" s="8" t="str" cm="1">
        <f t="array" ref="I4159">_xlfn.IFS(C4159&lt;=15,"Children and Young Adolescents", C4159&gt;64, "Seniors", TRUE, "Working Age")</f>
        <v>Working Age</v>
      </c>
      <c r="J4159" s="6">
        <f>VLOOKUP(F4159,Analysis!$F$1:$G$5,2,FALSE)</f>
        <v>2496.7676064256989</v>
      </c>
      <c r="K4159">
        <f t="shared" si="256"/>
        <v>3833.58</v>
      </c>
      <c r="L4159">
        <f t="shared" si="257"/>
        <v>3833.59</v>
      </c>
      <c r="M4159">
        <f t="shared" si="258"/>
        <v>3833.59</v>
      </c>
      <c r="N4159" s="5" t="str">
        <f t="shared" si="259"/>
        <v>August 2023</v>
      </c>
    </row>
    <row r="4160" spans="1:14" x14ac:dyDescent="0.25">
      <c r="A4160" s="1">
        <v>45167</v>
      </c>
      <c r="B4160" t="s">
        <v>135</v>
      </c>
      <c r="C4160">
        <v>13</v>
      </c>
      <c r="D4160" t="s">
        <v>14</v>
      </c>
      <c r="E4160" t="s">
        <v>19</v>
      </c>
      <c r="F4160" t="s">
        <v>16</v>
      </c>
      <c r="G4160" t="s">
        <v>12</v>
      </c>
      <c r="H4160">
        <v>3553.92</v>
      </c>
      <c r="I4160" s="8" t="str" cm="1">
        <f t="array" ref="I4160">_xlfn.IFS(C4160&lt;=15,"Children and Young Adolescents", C4160&gt;64, "Seniors", TRUE, "Working Age")</f>
        <v>Children and Young Adolescents</v>
      </c>
      <c r="J4160" s="6">
        <f>VLOOKUP(F4160,Analysis!$F$1:$G$5,2,FALSE)</f>
        <v>2509.1716796874912</v>
      </c>
      <c r="K4160">
        <f t="shared" si="256"/>
        <v>3909.31</v>
      </c>
      <c r="L4160">
        <f t="shared" si="257"/>
        <v>3909.32</v>
      </c>
      <c r="M4160">
        <f t="shared" si="258"/>
        <v>3909.31</v>
      </c>
      <c r="N4160" s="5" t="str">
        <f t="shared" si="259"/>
        <v>August 2023</v>
      </c>
    </row>
    <row r="4161" spans="1:14" x14ac:dyDescent="0.25">
      <c r="A4161" s="1">
        <v>45167</v>
      </c>
      <c r="B4161" t="s">
        <v>4847</v>
      </c>
      <c r="C4161">
        <v>2</v>
      </c>
      <c r="D4161" t="s">
        <v>9</v>
      </c>
      <c r="E4161" t="s">
        <v>25</v>
      </c>
      <c r="F4161" t="s">
        <v>23</v>
      </c>
      <c r="G4161" t="s">
        <v>39</v>
      </c>
      <c r="H4161">
        <v>2252.0100000000002</v>
      </c>
      <c r="I4161" s="8" t="str" cm="1">
        <f t="array" ref="I4161">_xlfn.IFS(C4161&lt;=15,"Children and Young Adolescents", C4161&gt;64, "Seniors", TRUE, "Working Age")</f>
        <v>Children and Young Adolescents</v>
      </c>
      <c r="J4161" s="6">
        <f>VLOOKUP(F4161,Analysis!$F$1:$G$5,2,FALSE)</f>
        <v>2440.2966694490838</v>
      </c>
      <c r="K4161">
        <f t="shared" si="256"/>
        <v>2477.21</v>
      </c>
      <c r="L4161">
        <f t="shared" si="257"/>
        <v>2477.2200000000003</v>
      </c>
      <c r="M4161">
        <f t="shared" si="258"/>
        <v>2477.21</v>
      </c>
      <c r="N4161" s="5" t="str">
        <f t="shared" si="259"/>
        <v>August 2023</v>
      </c>
    </row>
    <row r="4162" spans="1:14" x14ac:dyDescent="0.25">
      <c r="A4162" s="1">
        <v>45167</v>
      </c>
      <c r="B4162" t="s">
        <v>542</v>
      </c>
      <c r="C4162">
        <v>0</v>
      </c>
      <c r="D4162" t="s">
        <v>14</v>
      </c>
      <c r="E4162" t="s">
        <v>5032</v>
      </c>
      <c r="F4162" t="s">
        <v>11</v>
      </c>
      <c r="G4162" t="s">
        <v>27</v>
      </c>
      <c r="H4162">
        <v>1351.32</v>
      </c>
      <c r="I4162" s="8" t="str" cm="1">
        <f t="array" ref="I4162">_xlfn.IFS(C4162&lt;=15,"Children and Young Adolescents", C4162&gt;64, "Seniors", TRUE, "Working Age")</f>
        <v>Children and Young Adolescents</v>
      </c>
      <c r="J4162" s="6">
        <f>VLOOKUP(F4162,Analysis!$F$1:$G$5,2,FALSE)</f>
        <v>2503.6022787783854</v>
      </c>
      <c r="K4162">
        <f t="shared" si="256"/>
        <v>1486.45</v>
      </c>
      <c r="L4162">
        <f t="shared" si="257"/>
        <v>1486.46</v>
      </c>
      <c r="M4162">
        <f t="shared" si="258"/>
        <v>1486.45</v>
      </c>
      <c r="N4162" s="5" t="str">
        <f t="shared" si="259"/>
        <v>August 2023</v>
      </c>
    </row>
    <row r="4163" spans="1:14" x14ac:dyDescent="0.25">
      <c r="A4163" s="1">
        <v>45167</v>
      </c>
      <c r="B4163" t="s">
        <v>2663</v>
      </c>
      <c r="C4163">
        <v>88</v>
      </c>
      <c r="D4163" t="s">
        <v>9</v>
      </c>
      <c r="E4163" t="s">
        <v>25</v>
      </c>
      <c r="F4163" t="s">
        <v>29</v>
      </c>
      <c r="G4163" t="s">
        <v>39</v>
      </c>
      <c r="H4163">
        <v>1827.29</v>
      </c>
      <c r="I4163" s="8" t="str" cm="1">
        <f t="array" ref="I4163">_xlfn.IFS(C4163&lt;=15,"Children and Young Adolescents", C4163&gt;64, "Seniors", TRUE, "Working Age")</f>
        <v>Seniors</v>
      </c>
      <c r="J4163" s="6">
        <f>VLOOKUP(F4163,Analysis!$F$1:$G$5,2,FALSE)</f>
        <v>2496.7676064256989</v>
      </c>
      <c r="K4163">
        <f t="shared" ref="K4163:K4226" si="260">ROUNDDOWN(H4163*1.1,2)</f>
        <v>2010.01</v>
      </c>
      <c r="L4163">
        <f t="shared" ref="L4163:L4226" si="261">ROUNDUP(H4163*1.1,2)</f>
        <v>2010.02</v>
      </c>
      <c r="M4163">
        <f t="shared" ref="M4163:M4226" si="262">ROUND(H4163*1.1,2)</f>
        <v>2010.02</v>
      </c>
      <c r="N4163" s="5" t="str">
        <f t="shared" ref="N4163:N4226" si="263">TEXT(A4163,"mmmm yyyy")</f>
        <v>August 2023</v>
      </c>
    </row>
    <row r="4164" spans="1:14" x14ac:dyDescent="0.25">
      <c r="A4164" s="1">
        <v>45167</v>
      </c>
      <c r="B4164" t="s">
        <v>4304</v>
      </c>
      <c r="C4164">
        <v>9</v>
      </c>
      <c r="D4164" t="s">
        <v>9</v>
      </c>
      <c r="E4164" t="s">
        <v>34</v>
      </c>
      <c r="F4164" t="s">
        <v>11</v>
      </c>
      <c r="G4164" t="s">
        <v>39</v>
      </c>
      <c r="H4164">
        <v>3432.81</v>
      </c>
      <c r="I4164" s="8" t="str" cm="1">
        <f t="array" ref="I4164">_xlfn.IFS(C4164&lt;=15,"Children and Young Adolescents", C4164&gt;64, "Seniors", TRUE, "Working Age")</f>
        <v>Children and Young Adolescents</v>
      </c>
      <c r="J4164" s="6">
        <f>VLOOKUP(F4164,Analysis!$F$1:$G$5,2,FALSE)</f>
        <v>2503.6022787783854</v>
      </c>
      <c r="K4164">
        <f t="shared" si="260"/>
        <v>3776.09</v>
      </c>
      <c r="L4164">
        <f t="shared" si="261"/>
        <v>3776.1000000000004</v>
      </c>
      <c r="M4164">
        <f t="shared" si="262"/>
        <v>3776.09</v>
      </c>
      <c r="N4164" s="5" t="str">
        <f t="shared" si="263"/>
        <v>August 2023</v>
      </c>
    </row>
    <row r="4165" spans="1:14" x14ac:dyDescent="0.25">
      <c r="A4165" s="1">
        <v>45167</v>
      </c>
      <c r="B4165" t="s">
        <v>4021</v>
      </c>
      <c r="C4165">
        <v>38</v>
      </c>
      <c r="D4165" t="s">
        <v>9</v>
      </c>
      <c r="E4165" t="s">
        <v>25</v>
      </c>
      <c r="F4165" t="s">
        <v>11</v>
      </c>
      <c r="G4165" t="s">
        <v>12</v>
      </c>
      <c r="H4165">
        <v>262.06</v>
      </c>
      <c r="I4165" s="8" t="str" cm="1">
        <f t="array" ref="I4165">_xlfn.IFS(C4165&lt;=15,"Children and Young Adolescents", C4165&gt;64, "Seniors", TRUE, "Working Age")</f>
        <v>Working Age</v>
      </c>
      <c r="J4165" s="6">
        <f>VLOOKUP(F4165,Analysis!$F$1:$G$5,2,FALSE)</f>
        <v>2503.6022787783854</v>
      </c>
      <c r="K4165">
        <f t="shared" si="260"/>
        <v>288.26</v>
      </c>
      <c r="L4165">
        <f t="shared" si="261"/>
        <v>288.27</v>
      </c>
      <c r="M4165">
        <f t="shared" si="262"/>
        <v>288.27</v>
      </c>
      <c r="N4165" s="5" t="str">
        <f t="shared" si="263"/>
        <v>August 2023</v>
      </c>
    </row>
    <row r="4166" spans="1:14" x14ac:dyDescent="0.25">
      <c r="A4166" s="1">
        <v>45167</v>
      </c>
      <c r="B4166" t="s">
        <v>863</v>
      </c>
      <c r="C4166">
        <v>58</v>
      </c>
      <c r="D4166" t="s">
        <v>9</v>
      </c>
      <c r="E4166" t="s">
        <v>34</v>
      </c>
      <c r="F4166" t="s">
        <v>29</v>
      </c>
      <c r="G4166" t="s">
        <v>12</v>
      </c>
      <c r="H4166">
        <v>281.88</v>
      </c>
      <c r="I4166" s="8" t="str" cm="1">
        <f t="array" ref="I4166">_xlfn.IFS(C4166&lt;=15,"Children and Young Adolescents", C4166&gt;64, "Seniors", TRUE, "Working Age")</f>
        <v>Working Age</v>
      </c>
      <c r="J4166" s="6">
        <f>VLOOKUP(F4166,Analysis!$F$1:$G$5,2,FALSE)</f>
        <v>2496.7676064256989</v>
      </c>
      <c r="K4166">
        <f t="shared" si="260"/>
        <v>310.06</v>
      </c>
      <c r="L4166">
        <f t="shared" si="261"/>
        <v>310.07</v>
      </c>
      <c r="M4166">
        <f t="shared" si="262"/>
        <v>310.07</v>
      </c>
      <c r="N4166" s="5" t="str">
        <f t="shared" si="263"/>
        <v>August 2023</v>
      </c>
    </row>
    <row r="4167" spans="1:14" x14ac:dyDescent="0.25">
      <c r="A4167" s="1">
        <v>45167</v>
      </c>
      <c r="B4167" t="s">
        <v>493</v>
      </c>
      <c r="C4167">
        <v>93</v>
      </c>
      <c r="D4167" t="s">
        <v>14</v>
      </c>
      <c r="E4167" t="s">
        <v>10</v>
      </c>
      <c r="F4167" t="s">
        <v>11</v>
      </c>
      <c r="G4167" t="s">
        <v>17</v>
      </c>
      <c r="H4167">
        <v>2778.81</v>
      </c>
      <c r="I4167" s="8" t="str" cm="1">
        <f t="array" ref="I4167">_xlfn.IFS(C4167&lt;=15,"Children and Young Adolescents", C4167&gt;64, "Seniors", TRUE, "Working Age")</f>
        <v>Seniors</v>
      </c>
      <c r="J4167" s="6">
        <f>VLOOKUP(F4167,Analysis!$F$1:$G$5,2,FALSE)</f>
        <v>2503.6022787783854</v>
      </c>
      <c r="K4167">
        <f t="shared" si="260"/>
        <v>3056.69</v>
      </c>
      <c r="L4167">
        <f t="shared" si="261"/>
        <v>3056.7000000000003</v>
      </c>
      <c r="M4167">
        <f t="shared" si="262"/>
        <v>3056.69</v>
      </c>
      <c r="N4167" s="5" t="str">
        <f t="shared" si="263"/>
        <v>August 2023</v>
      </c>
    </row>
    <row r="4168" spans="1:14" x14ac:dyDescent="0.25">
      <c r="A4168" s="1">
        <v>45167</v>
      </c>
      <c r="B4168" t="s">
        <v>3206</v>
      </c>
      <c r="C4168">
        <v>14</v>
      </c>
      <c r="D4168" t="s">
        <v>14</v>
      </c>
      <c r="E4168" t="s">
        <v>22</v>
      </c>
      <c r="F4168" t="s">
        <v>29</v>
      </c>
      <c r="G4168" t="s">
        <v>36</v>
      </c>
      <c r="H4168">
        <v>1602.11</v>
      </c>
      <c r="I4168" s="8" t="str" cm="1">
        <f t="array" ref="I4168">_xlfn.IFS(C4168&lt;=15,"Children and Young Adolescents", C4168&gt;64, "Seniors", TRUE, "Working Age")</f>
        <v>Children and Young Adolescents</v>
      </c>
      <c r="J4168" s="6">
        <f>VLOOKUP(F4168,Analysis!$F$1:$G$5,2,FALSE)</f>
        <v>2496.7676064256989</v>
      </c>
      <c r="K4168">
        <f t="shared" si="260"/>
        <v>1762.32</v>
      </c>
      <c r="L4168">
        <f t="shared" si="261"/>
        <v>1762.33</v>
      </c>
      <c r="M4168">
        <f t="shared" si="262"/>
        <v>1762.32</v>
      </c>
      <c r="N4168" s="5" t="str">
        <f t="shared" si="263"/>
        <v>August 2023</v>
      </c>
    </row>
    <row r="4169" spans="1:14" x14ac:dyDescent="0.25">
      <c r="A4169" s="1">
        <v>45167</v>
      </c>
      <c r="B4169" t="s">
        <v>2298</v>
      </c>
      <c r="C4169">
        <v>88</v>
      </c>
      <c r="D4169" t="s">
        <v>9</v>
      </c>
      <c r="E4169" t="s">
        <v>15</v>
      </c>
      <c r="F4169" t="s">
        <v>23</v>
      </c>
      <c r="G4169" t="s">
        <v>12</v>
      </c>
      <c r="H4169">
        <v>4065.85</v>
      </c>
      <c r="I4169" s="8" t="str" cm="1">
        <f t="array" ref="I4169">_xlfn.IFS(C4169&lt;=15,"Children and Young Adolescents", C4169&gt;64, "Seniors", TRUE, "Working Age")</f>
        <v>Seniors</v>
      </c>
      <c r="J4169" s="6">
        <f>VLOOKUP(F4169,Analysis!$F$1:$G$5,2,FALSE)</f>
        <v>2440.2966694490838</v>
      </c>
      <c r="K4169">
        <f t="shared" si="260"/>
        <v>4472.43</v>
      </c>
      <c r="L4169">
        <f t="shared" si="261"/>
        <v>4472.4400000000005</v>
      </c>
      <c r="M4169">
        <f t="shared" si="262"/>
        <v>4472.4399999999996</v>
      </c>
      <c r="N4169" s="5" t="str">
        <f t="shared" si="263"/>
        <v>August 2023</v>
      </c>
    </row>
    <row r="4170" spans="1:14" x14ac:dyDescent="0.25">
      <c r="A4170" s="1">
        <v>45168</v>
      </c>
      <c r="B4170" t="s">
        <v>4338</v>
      </c>
      <c r="C4170">
        <v>47</v>
      </c>
      <c r="D4170" t="s">
        <v>21</v>
      </c>
      <c r="E4170" t="s">
        <v>34</v>
      </c>
      <c r="F4170" t="s">
        <v>11</v>
      </c>
      <c r="G4170" t="s">
        <v>5033</v>
      </c>
      <c r="H4170">
        <v>1668.03</v>
      </c>
      <c r="I4170" s="8" t="str" cm="1">
        <f t="array" ref="I4170">_xlfn.IFS(C4170&lt;=15,"Children and Young Adolescents", C4170&gt;64, "Seniors", TRUE, "Working Age")</f>
        <v>Working Age</v>
      </c>
      <c r="J4170" s="6">
        <f>VLOOKUP(F4170,Analysis!$F$1:$G$5,2,FALSE)</f>
        <v>2503.6022787783854</v>
      </c>
      <c r="K4170">
        <f t="shared" si="260"/>
        <v>1834.83</v>
      </c>
      <c r="L4170">
        <f t="shared" si="261"/>
        <v>1834.84</v>
      </c>
      <c r="M4170">
        <f t="shared" si="262"/>
        <v>1834.83</v>
      </c>
      <c r="N4170" s="5" t="str">
        <f t="shared" si="263"/>
        <v>August 2023</v>
      </c>
    </row>
    <row r="4171" spans="1:14" x14ac:dyDescent="0.25">
      <c r="A4171" s="1">
        <v>45168</v>
      </c>
      <c r="B4171" t="s">
        <v>2410</v>
      </c>
      <c r="C4171">
        <v>90</v>
      </c>
      <c r="D4171" t="s">
        <v>14</v>
      </c>
      <c r="E4171" t="s">
        <v>10</v>
      </c>
      <c r="F4171" t="s">
        <v>29</v>
      </c>
      <c r="G4171" t="s">
        <v>39</v>
      </c>
      <c r="H4171">
        <v>3473.46</v>
      </c>
      <c r="I4171" s="8" t="str" cm="1">
        <f t="array" ref="I4171">_xlfn.IFS(C4171&lt;=15,"Children and Young Adolescents", C4171&gt;64, "Seniors", TRUE, "Working Age")</f>
        <v>Seniors</v>
      </c>
      <c r="J4171" s="6">
        <f>VLOOKUP(F4171,Analysis!$F$1:$G$5,2,FALSE)</f>
        <v>2496.7676064256989</v>
      </c>
      <c r="K4171">
        <f t="shared" si="260"/>
        <v>3820.8</v>
      </c>
      <c r="L4171">
        <f t="shared" si="261"/>
        <v>3820.8100000000004</v>
      </c>
      <c r="M4171">
        <f t="shared" si="262"/>
        <v>3820.81</v>
      </c>
      <c r="N4171" s="5" t="str">
        <f t="shared" si="263"/>
        <v>August 2023</v>
      </c>
    </row>
    <row r="4172" spans="1:14" x14ac:dyDescent="0.25">
      <c r="A4172" s="1">
        <v>45168</v>
      </c>
      <c r="B4172" t="s">
        <v>853</v>
      </c>
      <c r="C4172">
        <v>32</v>
      </c>
      <c r="D4172" t="s">
        <v>21</v>
      </c>
      <c r="E4172" t="s">
        <v>15</v>
      </c>
      <c r="F4172" t="s">
        <v>11</v>
      </c>
      <c r="G4172" t="s">
        <v>36</v>
      </c>
      <c r="H4172">
        <v>2453.7399999999998</v>
      </c>
      <c r="I4172" s="8" t="str" cm="1">
        <f t="array" ref="I4172">_xlfn.IFS(C4172&lt;=15,"Children and Young Adolescents", C4172&gt;64, "Seniors", TRUE, "Working Age")</f>
        <v>Working Age</v>
      </c>
      <c r="J4172" s="6">
        <f>VLOOKUP(F4172,Analysis!$F$1:$G$5,2,FALSE)</f>
        <v>2503.6022787783854</v>
      </c>
      <c r="K4172">
        <f t="shared" si="260"/>
        <v>2699.11</v>
      </c>
      <c r="L4172">
        <f t="shared" si="261"/>
        <v>2699.1200000000003</v>
      </c>
      <c r="M4172">
        <f t="shared" si="262"/>
        <v>2699.11</v>
      </c>
      <c r="N4172" s="5" t="str">
        <f t="shared" si="263"/>
        <v>August 2023</v>
      </c>
    </row>
    <row r="4173" spans="1:14" x14ac:dyDescent="0.25">
      <c r="A4173" s="1">
        <v>45168</v>
      </c>
      <c r="B4173" t="s">
        <v>378</v>
      </c>
      <c r="C4173">
        <v>68</v>
      </c>
      <c r="D4173" t="s">
        <v>21</v>
      </c>
      <c r="E4173" t="s">
        <v>15</v>
      </c>
      <c r="F4173" t="s">
        <v>16</v>
      </c>
      <c r="G4173" t="s">
        <v>5033</v>
      </c>
      <c r="H4173">
        <v>1164.97</v>
      </c>
      <c r="I4173" s="8" t="str" cm="1">
        <f t="array" ref="I4173">_xlfn.IFS(C4173&lt;=15,"Children and Young Adolescents", C4173&gt;64, "Seniors", TRUE, "Working Age")</f>
        <v>Seniors</v>
      </c>
      <c r="J4173" s="6">
        <f>VLOOKUP(F4173,Analysis!$F$1:$G$5,2,FALSE)</f>
        <v>2509.1716796874912</v>
      </c>
      <c r="K4173">
        <f t="shared" si="260"/>
        <v>1281.46</v>
      </c>
      <c r="L4173">
        <f t="shared" si="261"/>
        <v>1281.47</v>
      </c>
      <c r="M4173">
        <f t="shared" si="262"/>
        <v>1281.47</v>
      </c>
      <c r="N4173" s="5" t="str">
        <f t="shared" si="263"/>
        <v>August 2023</v>
      </c>
    </row>
    <row r="4174" spans="1:14" x14ac:dyDescent="0.25">
      <c r="A4174" s="1">
        <v>45168</v>
      </c>
      <c r="B4174" t="s">
        <v>3669</v>
      </c>
      <c r="C4174">
        <v>77</v>
      </c>
      <c r="D4174" t="s">
        <v>9</v>
      </c>
      <c r="E4174" t="s">
        <v>19</v>
      </c>
      <c r="F4174" t="s">
        <v>11</v>
      </c>
      <c r="G4174" t="s">
        <v>36</v>
      </c>
      <c r="H4174">
        <v>1284.19</v>
      </c>
      <c r="I4174" s="8" t="str" cm="1">
        <f t="array" ref="I4174">_xlfn.IFS(C4174&lt;=15,"Children and Young Adolescents", C4174&gt;64, "Seniors", TRUE, "Working Age")</f>
        <v>Seniors</v>
      </c>
      <c r="J4174" s="6">
        <f>VLOOKUP(F4174,Analysis!$F$1:$G$5,2,FALSE)</f>
        <v>2503.6022787783854</v>
      </c>
      <c r="K4174">
        <f t="shared" si="260"/>
        <v>1412.6</v>
      </c>
      <c r="L4174">
        <f t="shared" si="261"/>
        <v>1412.61</v>
      </c>
      <c r="M4174">
        <f t="shared" si="262"/>
        <v>1412.61</v>
      </c>
      <c r="N4174" s="5" t="str">
        <f t="shared" si="263"/>
        <v>August 2023</v>
      </c>
    </row>
    <row r="4175" spans="1:14" x14ac:dyDescent="0.25">
      <c r="A4175" s="1">
        <v>45168</v>
      </c>
      <c r="B4175" t="s">
        <v>3621</v>
      </c>
      <c r="C4175">
        <v>69</v>
      </c>
      <c r="D4175" t="s">
        <v>14</v>
      </c>
      <c r="E4175" t="s">
        <v>25</v>
      </c>
      <c r="F4175" t="s">
        <v>29</v>
      </c>
      <c r="G4175" t="s">
        <v>36</v>
      </c>
      <c r="H4175">
        <v>3245.34</v>
      </c>
      <c r="I4175" s="8" t="str" cm="1">
        <f t="array" ref="I4175">_xlfn.IFS(C4175&lt;=15,"Children and Young Adolescents", C4175&gt;64, "Seniors", TRUE, "Working Age")</f>
        <v>Seniors</v>
      </c>
      <c r="J4175" s="6">
        <f>VLOOKUP(F4175,Analysis!$F$1:$G$5,2,FALSE)</f>
        <v>2496.7676064256989</v>
      </c>
      <c r="K4175">
        <f t="shared" si="260"/>
        <v>3569.87</v>
      </c>
      <c r="L4175">
        <f t="shared" si="261"/>
        <v>3569.88</v>
      </c>
      <c r="M4175">
        <f t="shared" si="262"/>
        <v>3569.87</v>
      </c>
      <c r="N4175" s="5" t="str">
        <f t="shared" si="263"/>
        <v>August 2023</v>
      </c>
    </row>
    <row r="4176" spans="1:14" x14ac:dyDescent="0.25">
      <c r="A4176" s="1">
        <v>45169</v>
      </c>
      <c r="B4176" t="s">
        <v>4573</v>
      </c>
      <c r="C4176">
        <v>6</v>
      </c>
      <c r="D4176" t="s">
        <v>14</v>
      </c>
      <c r="E4176" t="s">
        <v>25</v>
      </c>
      <c r="F4176" t="s">
        <v>16</v>
      </c>
      <c r="G4176" t="s">
        <v>27</v>
      </c>
      <c r="H4176">
        <v>1336.43</v>
      </c>
      <c r="I4176" s="8" t="str" cm="1">
        <f t="array" ref="I4176">_xlfn.IFS(C4176&lt;=15,"Children and Young Adolescents", C4176&gt;64, "Seniors", TRUE, "Working Age")</f>
        <v>Children and Young Adolescents</v>
      </c>
      <c r="J4176" s="6">
        <f>VLOOKUP(F4176,Analysis!$F$1:$G$5,2,FALSE)</f>
        <v>2509.1716796874912</v>
      </c>
      <c r="K4176">
        <f t="shared" si="260"/>
        <v>1470.07</v>
      </c>
      <c r="L4176">
        <f t="shared" si="261"/>
        <v>1470.08</v>
      </c>
      <c r="M4176">
        <f t="shared" si="262"/>
        <v>1470.07</v>
      </c>
      <c r="N4176" s="5" t="str">
        <f t="shared" si="263"/>
        <v>August 2023</v>
      </c>
    </row>
    <row r="4177" spans="1:14" x14ac:dyDescent="0.25">
      <c r="A4177" s="1">
        <v>45169</v>
      </c>
      <c r="B4177" t="s">
        <v>33</v>
      </c>
      <c r="C4177">
        <v>31</v>
      </c>
      <c r="D4177" t="s">
        <v>21</v>
      </c>
      <c r="E4177" t="s">
        <v>34</v>
      </c>
      <c r="F4177" t="s">
        <v>23</v>
      </c>
      <c r="G4177" t="s">
        <v>12</v>
      </c>
      <c r="H4177">
        <v>2025.12</v>
      </c>
      <c r="I4177" s="8" t="str" cm="1">
        <f t="array" ref="I4177">_xlfn.IFS(C4177&lt;=15,"Children and Young Adolescents", C4177&gt;64, "Seniors", TRUE, "Working Age")</f>
        <v>Working Age</v>
      </c>
      <c r="J4177" s="6">
        <f>VLOOKUP(F4177,Analysis!$F$1:$G$5,2,FALSE)</f>
        <v>2440.2966694490838</v>
      </c>
      <c r="K4177">
        <f t="shared" si="260"/>
        <v>2227.63</v>
      </c>
      <c r="L4177">
        <f t="shared" si="261"/>
        <v>2227.6400000000003</v>
      </c>
      <c r="M4177">
        <f t="shared" si="262"/>
        <v>2227.63</v>
      </c>
      <c r="N4177" s="5" t="str">
        <f t="shared" si="263"/>
        <v>August 2023</v>
      </c>
    </row>
    <row r="4178" spans="1:14" x14ac:dyDescent="0.25">
      <c r="A4178" s="1">
        <v>45169</v>
      </c>
      <c r="B4178" t="s">
        <v>3367</v>
      </c>
      <c r="C4178">
        <v>46</v>
      </c>
      <c r="D4178" t="s">
        <v>14</v>
      </c>
      <c r="E4178" t="s">
        <v>32</v>
      </c>
      <c r="F4178" t="s">
        <v>16</v>
      </c>
      <c r="G4178" t="s">
        <v>5033</v>
      </c>
      <c r="H4178">
        <v>2421.37</v>
      </c>
      <c r="I4178" s="8" t="str" cm="1">
        <f t="array" ref="I4178">_xlfn.IFS(C4178&lt;=15,"Children and Young Adolescents", C4178&gt;64, "Seniors", TRUE, "Working Age")</f>
        <v>Working Age</v>
      </c>
      <c r="J4178" s="6">
        <f>VLOOKUP(F4178,Analysis!$F$1:$G$5,2,FALSE)</f>
        <v>2509.1716796874912</v>
      </c>
      <c r="K4178">
        <f t="shared" si="260"/>
        <v>2663.5</v>
      </c>
      <c r="L4178">
        <f t="shared" si="261"/>
        <v>2663.51</v>
      </c>
      <c r="M4178">
        <f t="shared" si="262"/>
        <v>2663.51</v>
      </c>
      <c r="N4178" s="5" t="str">
        <f t="shared" si="263"/>
        <v>August 2023</v>
      </c>
    </row>
    <row r="4179" spans="1:14" x14ac:dyDescent="0.25">
      <c r="A4179" s="1">
        <v>45169</v>
      </c>
      <c r="B4179" t="s">
        <v>1445</v>
      </c>
      <c r="C4179">
        <v>36</v>
      </c>
      <c r="D4179" t="s">
        <v>9</v>
      </c>
      <c r="E4179" t="s">
        <v>22</v>
      </c>
      <c r="F4179" t="s">
        <v>29</v>
      </c>
      <c r="G4179" t="s">
        <v>39</v>
      </c>
      <c r="H4179">
        <v>939.37</v>
      </c>
      <c r="I4179" s="8" t="str" cm="1">
        <f t="array" ref="I4179">_xlfn.IFS(C4179&lt;=15,"Children and Young Adolescents", C4179&gt;64, "Seniors", TRUE, "Working Age")</f>
        <v>Working Age</v>
      </c>
      <c r="J4179" s="6">
        <f>VLOOKUP(F4179,Analysis!$F$1:$G$5,2,FALSE)</f>
        <v>2496.7676064256989</v>
      </c>
      <c r="K4179">
        <f t="shared" si="260"/>
        <v>1033.3</v>
      </c>
      <c r="L4179">
        <f t="shared" si="261"/>
        <v>1033.31</v>
      </c>
      <c r="M4179">
        <f t="shared" si="262"/>
        <v>1033.31</v>
      </c>
      <c r="N4179" s="5" t="str">
        <f t="shared" si="263"/>
        <v>August 2023</v>
      </c>
    </row>
    <row r="4180" spans="1:14" x14ac:dyDescent="0.25">
      <c r="A4180" s="1">
        <v>45169</v>
      </c>
      <c r="B4180" t="s">
        <v>492</v>
      </c>
      <c r="C4180">
        <v>67</v>
      </c>
      <c r="D4180" t="s">
        <v>21</v>
      </c>
      <c r="E4180" t="s">
        <v>32</v>
      </c>
      <c r="F4180" t="s">
        <v>23</v>
      </c>
      <c r="G4180" t="s">
        <v>36</v>
      </c>
      <c r="H4180">
        <v>4351.55</v>
      </c>
      <c r="I4180" s="8" t="str" cm="1">
        <f t="array" ref="I4180">_xlfn.IFS(C4180&lt;=15,"Children and Young Adolescents", C4180&gt;64, "Seniors", TRUE, "Working Age")</f>
        <v>Seniors</v>
      </c>
      <c r="J4180" s="6">
        <f>VLOOKUP(F4180,Analysis!$F$1:$G$5,2,FALSE)</f>
        <v>2440.2966694490838</v>
      </c>
      <c r="K4180">
        <f t="shared" si="260"/>
        <v>4786.7</v>
      </c>
      <c r="L4180">
        <f t="shared" si="261"/>
        <v>4786.71</v>
      </c>
      <c r="M4180">
        <f t="shared" si="262"/>
        <v>4786.71</v>
      </c>
      <c r="N4180" s="5" t="str">
        <f t="shared" si="263"/>
        <v>August 2023</v>
      </c>
    </row>
    <row r="4181" spans="1:14" x14ac:dyDescent="0.25">
      <c r="A4181" s="1">
        <v>45170</v>
      </c>
      <c r="B4181" t="s">
        <v>3533</v>
      </c>
      <c r="C4181">
        <v>65</v>
      </c>
      <c r="D4181" t="s">
        <v>9</v>
      </c>
      <c r="E4181" t="s">
        <v>22</v>
      </c>
      <c r="F4181" t="s">
        <v>23</v>
      </c>
      <c r="G4181" t="s">
        <v>17</v>
      </c>
      <c r="H4181">
        <v>945.95</v>
      </c>
      <c r="I4181" s="8" t="str" cm="1">
        <f t="array" ref="I4181">_xlfn.IFS(C4181&lt;=15,"Children and Young Adolescents", C4181&gt;64, "Seniors", TRUE, "Working Age")</f>
        <v>Seniors</v>
      </c>
      <c r="J4181" s="6">
        <f>VLOOKUP(F4181,Analysis!$F$1:$G$5,2,FALSE)</f>
        <v>2440.2966694490838</v>
      </c>
      <c r="K4181">
        <f t="shared" si="260"/>
        <v>1040.54</v>
      </c>
      <c r="L4181">
        <f t="shared" si="261"/>
        <v>1040.55</v>
      </c>
      <c r="M4181">
        <f t="shared" si="262"/>
        <v>1040.55</v>
      </c>
      <c r="N4181" s="5" t="str">
        <f t="shared" si="263"/>
        <v>September 2023</v>
      </c>
    </row>
    <row r="4182" spans="1:14" x14ac:dyDescent="0.25">
      <c r="A4182" s="1">
        <v>45170</v>
      </c>
      <c r="B4182" t="s">
        <v>334</v>
      </c>
      <c r="C4182">
        <v>84</v>
      </c>
      <c r="D4182" t="s">
        <v>21</v>
      </c>
      <c r="E4182" t="s">
        <v>19</v>
      </c>
      <c r="F4182" t="s">
        <v>11</v>
      </c>
      <c r="G4182" t="s">
        <v>5033</v>
      </c>
      <c r="H4182">
        <v>3419.94</v>
      </c>
      <c r="I4182" s="8" t="str" cm="1">
        <f t="array" ref="I4182">_xlfn.IFS(C4182&lt;=15,"Children and Young Adolescents", C4182&gt;64, "Seniors", TRUE, "Working Age")</f>
        <v>Seniors</v>
      </c>
      <c r="J4182" s="6">
        <f>VLOOKUP(F4182,Analysis!$F$1:$G$5,2,FALSE)</f>
        <v>2503.6022787783854</v>
      </c>
      <c r="K4182">
        <f t="shared" si="260"/>
        <v>3761.93</v>
      </c>
      <c r="L4182">
        <f t="shared" si="261"/>
        <v>3761.94</v>
      </c>
      <c r="M4182">
        <f t="shared" si="262"/>
        <v>3761.93</v>
      </c>
      <c r="N4182" s="5" t="str">
        <f t="shared" si="263"/>
        <v>September 2023</v>
      </c>
    </row>
    <row r="4183" spans="1:14" x14ac:dyDescent="0.25">
      <c r="A4183" s="1">
        <v>45170</v>
      </c>
      <c r="B4183" t="s">
        <v>3025</v>
      </c>
      <c r="C4183">
        <v>80</v>
      </c>
      <c r="D4183" t="s">
        <v>21</v>
      </c>
      <c r="E4183" t="s">
        <v>19</v>
      </c>
      <c r="F4183" t="s">
        <v>29</v>
      </c>
      <c r="G4183" t="s">
        <v>12</v>
      </c>
      <c r="H4183">
        <v>1820.3</v>
      </c>
      <c r="I4183" s="8" t="str" cm="1">
        <f t="array" ref="I4183">_xlfn.IFS(C4183&lt;=15,"Children and Young Adolescents", C4183&gt;64, "Seniors", TRUE, "Working Age")</f>
        <v>Seniors</v>
      </c>
      <c r="J4183" s="6">
        <f>VLOOKUP(F4183,Analysis!$F$1:$G$5,2,FALSE)</f>
        <v>2496.7676064256989</v>
      </c>
      <c r="K4183">
        <f t="shared" si="260"/>
        <v>2002.33</v>
      </c>
      <c r="L4183">
        <f t="shared" si="261"/>
        <v>2002.33</v>
      </c>
      <c r="M4183">
        <f t="shared" si="262"/>
        <v>2002.33</v>
      </c>
      <c r="N4183" s="5" t="str">
        <f t="shared" si="263"/>
        <v>September 2023</v>
      </c>
    </row>
    <row r="4184" spans="1:14" x14ac:dyDescent="0.25">
      <c r="A4184" s="1">
        <v>45170</v>
      </c>
      <c r="B4184" t="s">
        <v>333</v>
      </c>
      <c r="C4184">
        <v>12</v>
      </c>
      <c r="D4184" t="s">
        <v>9</v>
      </c>
      <c r="E4184" t="s">
        <v>34</v>
      </c>
      <c r="F4184" t="s">
        <v>16</v>
      </c>
      <c r="G4184" t="s">
        <v>17</v>
      </c>
      <c r="H4184">
        <v>4211.0200000000004</v>
      </c>
      <c r="I4184" s="8" t="str" cm="1">
        <f t="array" ref="I4184">_xlfn.IFS(C4184&lt;=15,"Children and Young Adolescents", C4184&gt;64, "Seniors", TRUE, "Working Age")</f>
        <v>Children and Young Adolescents</v>
      </c>
      <c r="J4184" s="6">
        <f>VLOOKUP(F4184,Analysis!$F$1:$G$5,2,FALSE)</f>
        <v>2509.1716796874912</v>
      </c>
      <c r="K4184">
        <f t="shared" si="260"/>
        <v>4632.12</v>
      </c>
      <c r="L4184">
        <f t="shared" si="261"/>
        <v>4632.13</v>
      </c>
      <c r="M4184">
        <f t="shared" si="262"/>
        <v>4632.12</v>
      </c>
      <c r="N4184" s="5" t="str">
        <f t="shared" si="263"/>
        <v>September 2023</v>
      </c>
    </row>
    <row r="4185" spans="1:14" x14ac:dyDescent="0.25">
      <c r="A4185" s="1">
        <v>45170</v>
      </c>
      <c r="B4185" t="s">
        <v>737</v>
      </c>
      <c r="C4185">
        <v>57</v>
      </c>
      <c r="D4185" t="s">
        <v>14</v>
      </c>
      <c r="E4185" t="s">
        <v>25</v>
      </c>
      <c r="F4185" t="s">
        <v>11</v>
      </c>
      <c r="G4185" t="s">
        <v>27</v>
      </c>
      <c r="H4185">
        <v>1660.8</v>
      </c>
      <c r="I4185" s="8" t="str" cm="1">
        <f t="array" ref="I4185">_xlfn.IFS(C4185&lt;=15,"Children and Young Adolescents", C4185&gt;64, "Seniors", TRUE, "Working Age")</f>
        <v>Working Age</v>
      </c>
      <c r="J4185" s="6">
        <f>VLOOKUP(F4185,Analysis!$F$1:$G$5,2,FALSE)</f>
        <v>2503.6022787783854</v>
      </c>
      <c r="K4185">
        <f t="shared" si="260"/>
        <v>1826.88</v>
      </c>
      <c r="L4185">
        <f t="shared" si="261"/>
        <v>1826.88</v>
      </c>
      <c r="M4185">
        <f t="shared" si="262"/>
        <v>1826.88</v>
      </c>
      <c r="N4185" s="5" t="str">
        <f t="shared" si="263"/>
        <v>September 2023</v>
      </c>
    </row>
    <row r="4186" spans="1:14" x14ac:dyDescent="0.25">
      <c r="A4186" s="1">
        <v>45170</v>
      </c>
      <c r="B4186" t="s">
        <v>1227</v>
      </c>
      <c r="C4186">
        <v>17</v>
      </c>
      <c r="D4186" t="s">
        <v>21</v>
      </c>
      <c r="E4186" t="s">
        <v>22</v>
      </c>
      <c r="F4186" t="s">
        <v>23</v>
      </c>
      <c r="G4186" t="s">
        <v>27</v>
      </c>
      <c r="H4186">
        <v>4059.45</v>
      </c>
      <c r="I4186" s="8" t="str" cm="1">
        <f t="array" ref="I4186">_xlfn.IFS(C4186&lt;=15,"Children and Young Adolescents", C4186&gt;64, "Seniors", TRUE, "Working Age")</f>
        <v>Working Age</v>
      </c>
      <c r="J4186" s="6">
        <f>VLOOKUP(F4186,Analysis!$F$1:$G$5,2,FALSE)</f>
        <v>2440.2966694490838</v>
      </c>
      <c r="K4186">
        <f t="shared" si="260"/>
        <v>4465.3900000000003</v>
      </c>
      <c r="L4186">
        <f t="shared" si="261"/>
        <v>4465.4000000000005</v>
      </c>
      <c r="M4186">
        <f t="shared" si="262"/>
        <v>4465.3999999999996</v>
      </c>
      <c r="N4186" s="5" t="str">
        <f t="shared" si="263"/>
        <v>September 2023</v>
      </c>
    </row>
    <row r="4187" spans="1:14" x14ac:dyDescent="0.25">
      <c r="A4187" s="1">
        <v>45170</v>
      </c>
      <c r="B4187" t="s">
        <v>3436</v>
      </c>
      <c r="C4187">
        <v>76</v>
      </c>
      <c r="D4187" t="s">
        <v>14</v>
      </c>
      <c r="E4187" t="s">
        <v>15</v>
      </c>
      <c r="F4187" t="s">
        <v>16</v>
      </c>
      <c r="G4187" t="s">
        <v>36</v>
      </c>
      <c r="H4187">
        <v>522.61</v>
      </c>
      <c r="I4187" s="8" t="str" cm="1">
        <f t="array" ref="I4187">_xlfn.IFS(C4187&lt;=15,"Children and Young Adolescents", C4187&gt;64, "Seniors", TRUE, "Working Age")</f>
        <v>Seniors</v>
      </c>
      <c r="J4187" s="6">
        <f>VLOOKUP(F4187,Analysis!$F$1:$G$5,2,FALSE)</f>
        <v>2509.1716796874912</v>
      </c>
      <c r="K4187">
        <f t="shared" si="260"/>
        <v>574.87</v>
      </c>
      <c r="L4187">
        <f t="shared" si="261"/>
        <v>574.88</v>
      </c>
      <c r="M4187">
        <f t="shared" si="262"/>
        <v>574.87</v>
      </c>
      <c r="N4187" s="5" t="str">
        <f t="shared" si="263"/>
        <v>September 2023</v>
      </c>
    </row>
    <row r="4188" spans="1:14" x14ac:dyDescent="0.25">
      <c r="A4188" s="1">
        <v>45170</v>
      </c>
      <c r="B4188" t="s">
        <v>1113</v>
      </c>
      <c r="C4188">
        <v>49</v>
      </c>
      <c r="D4188" t="s">
        <v>9</v>
      </c>
      <c r="E4188" t="s">
        <v>22</v>
      </c>
      <c r="F4188" t="s">
        <v>23</v>
      </c>
      <c r="G4188" t="s">
        <v>12</v>
      </c>
      <c r="H4188">
        <v>4634.6400000000003</v>
      </c>
      <c r="I4188" s="8" t="str" cm="1">
        <f t="array" ref="I4188">_xlfn.IFS(C4188&lt;=15,"Children and Young Adolescents", C4188&gt;64, "Seniors", TRUE, "Working Age")</f>
        <v>Working Age</v>
      </c>
      <c r="J4188" s="6">
        <f>VLOOKUP(F4188,Analysis!$F$1:$G$5,2,FALSE)</f>
        <v>2440.2966694490838</v>
      </c>
      <c r="K4188">
        <f t="shared" si="260"/>
        <v>5098.1000000000004</v>
      </c>
      <c r="L4188">
        <f t="shared" si="261"/>
        <v>5098.1100000000006</v>
      </c>
      <c r="M4188">
        <f t="shared" si="262"/>
        <v>5098.1000000000004</v>
      </c>
      <c r="N4188" s="5" t="str">
        <f t="shared" si="263"/>
        <v>September 2023</v>
      </c>
    </row>
    <row r="4189" spans="1:14" x14ac:dyDescent="0.25">
      <c r="A4189" s="1">
        <v>45170</v>
      </c>
      <c r="B4189" t="s">
        <v>1322</v>
      </c>
      <c r="C4189">
        <v>80</v>
      </c>
      <c r="D4189" t="s">
        <v>21</v>
      </c>
      <c r="E4189" t="s">
        <v>19</v>
      </c>
      <c r="F4189" t="s">
        <v>16</v>
      </c>
      <c r="G4189" t="s">
        <v>39</v>
      </c>
      <c r="H4189">
        <v>4681.34</v>
      </c>
      <c r="I4189" s="8" t="str" cm="1">
        <f t="array" ref="I4189">_xlfn.IFS(C4189&lt;=15,"Children and Young Adolescents", C4189&gt;64, "Seniors", TRUE, "Working Age")</f>
        <v>Seniors</v>
      </c>
      <c r="J4189" s="6">
        <f>VLOOKUP(F4189,Analysis!$F$1:$G$5,2,FALSE)</f>
        <v>2509.1716796874912</v>
      </c>
      <c r="K4189">
        <f t="shared" si="260"/>
        <v>5149.47</v>
      </c>
      <c r="L4189">
        <f t="shared" si="261"/>
        <v>5149.4800000000005</v>
      </c>
      <c r="M4189">
        <f t="shared" si="262"/>
        <v>5149.47</v>
      </c>
      <c r="N4189" s="5" t="str">
        <f t="shared" si="263"/>
        <v>September 2023</v>
      </c>
    </row>
    <row r="4190" spans="1:14" x14ac:dyDescent="0.25">
      <c r="A4190" s="1">
        <v>45171</v>
      </c>
      <c r="B4190" t="s">
        <v>1719</v>
      </c>
      <c r="C4190">
        <v>96</v>
      </c>
      <c r="D4190" t="s">
        <v>21</v>
      </c>
      <c r="E4190" t="s">
        <v>19</v>
      </c>
      <c r="F4190" t="s">
        <v>16</v>
      </c>
      <c r="G4190" t="s">
        <v>17</v>
      </c>
      <c r="H4190">
        <v>2141.69</v>
      </c>
      <c r="I4190" s="8" t="str" cm="1">
        <f t="array" ref="I4190">_xlfn.IFS(C4190&lt;=15,"Children and Young Adolescents", C4190&gt;64, "Seniors", TRUE, "Working Age")</f>
        <v>Seniors</v>
      </c>
      <c r="J4190" s="6">
        <f>VLOOKUP(F4190,Analysis!$F$1:$G$5,2,FALSE)</f>
        <v>2509.1716796874912</v>
      </c>
      <c r="K4190">
        <f t="shared" si="260"/>
        <v>2355.85</v>
      </c>
      <c r="L4190">
        <f t="shared" si="261"/>
        <v>2355.86</v>
      </c>
      <c r="M4190">
        <f t="shared" si="262"/>
        <v>2355.86</v>
      </c>
      <c r="N4190" s="5" t="str">
        <f t="shared" si="263"/>
        <v>September 2023</v>
      </c>
    </row>
    <row r="4191" spans="1:14" x14ac:dyDescent="0.25">
      <c r="A4191" s="1">
        <v>45171</v>
      </c>
      <c r="B4191" t="s">
        <v>1169</v>
      </c>
      <c r="C4191">
        <v>13</v>
      </c>
      <c r="D4191" t="s">
        <v>21</v>
      </c>
      <c r="E4191" t="s">
        <v>19</v>
      </c>
      <c r="F4191" t="s">
        <v>16</v>
      </c>
      <c r="G4191" t="s">
        <v>39</v>
      </c>
      <c r="H4191">
        <v>1978.06</v>
      </c>
      <c r="I4191" s="8" t="str" cm="1">
        <f t="array" ref="I4191">_xlfn.IFS(C4191&lt;=15,"Children and Young Adolescents", C4191&gt;64, "Seniors", TRUE, "Working Age")</f>
        <v>Children and Young Adolescents</v>
      </c>
      <c r="J4191" s="6">
        <f>VLOOKUP(F4191,Analysis!$F$1:$G$5,2,FALSE)</f>
        <v>2509.1716796874912</v>
      </c>
      <c r="K4191">
        <f t="shared" si="260"/>
        <v>2175.86</v>
      </c>
      <c r="L4191">
        <f t="shared" si="261"/>
        <v>2175.8700000000003</v>
      </c>
      <c r="M4191">
        <f t="shared" si="262"/>
        <v>2175.87</v>
      </c>
      <c r="N4191" s="5" t="str">
        <f t="shared" si="263"/>
        <v>September 2023</v>
      </c>
    </row>
    <row r="4192" spans="1:14" x14ac:dyDescent="0.25">
      <c r="A4192" s="1">
        <v>45171</v>
      </c>
      <c r="B4192" t="s">
        <v>2262</v>
      </c>
      <c r="C4192">
        <v>99</v>
      </c>
      <c r="D4192" t="s">
        <v>9</v>
      </c>
      <c r="E4192" t="s">
        <v>34</v>
      </c>
      <c r="F4192" t="s">
        <v>29</v>
      </c>
      <c r="G4192" t="s">
        <v>12</v>
      </c>
      <c r="H4192">
        <v>996.34</v>
      </c>
      <c r="I4192" s="8" t="str" cm="1">
        <f t="array" ref="I4192">_xlfn.IFS(C4192&lt;=15,"Children and Young Adolescents", C4192&gt;64, "Seniors", TRUE, "Working Age")</f>
        <v>Seniors</v>
      </c>
      <c r="J4192" s="6">
        <f>VLOOKUP(F4192,Analysis!$F$1:$G$5,2,FALSE)</f>
        <v>2496.7676064256989</v>
      </c>
      <c r="K4192">
        <f t="shared" si="260"/>
        <v>1095.97</v>
      </c>
      <c r="L4192">
        <f t="shared" si="261"/>
        <v>1095.98</v>
      </c>
      <c r="M4192">
        <f t="shared" si="262"/>
        <v>1095.97</v>
      </c>
      <c r="N4192" s="5" t="str">
        <f t="shared" si="263"/>
        <v>September 2023</v>
      </c>
    </row>
    <row r="4193" spans="1:14" x14ac:dyDescent="0.25">
      <c r="A4193" s="1">
        <v>45171</v>
      </c>
      <c r="B4193" t="s">
        <v>1614</v>
      </c>
      <c r="C4193">
        <v>42</v>
      </c>
      <c r="D4193" t="s">
        <v>21</v>
      </c>
      <c r="E4193" t="s">
        <v>34</v>
      </c>
      <c r="F4193" t="s">
        <v>29</v>
      </c>
      <c r="G4193" t="s">
        <v>27</v>
      </c>
      <c r="H4193">
        <v>2030.32</v>
      </c>
      <c r="I4193" s="8" t="str" cm="1">
        <f t="array" ref="I4193">_xlfn.IFS(C4193&lt;=15,"Children and Young Adolescents", C4193&gt;64, "Seniors", TRUE, "Working Age")</f>
        <v>Working Age</v>
      </c>
      <c r="J4193" s="6">
        <f>VLOOKUP(F4193,Analysis!$F$1:$G$5,2,FALSE)</f>
        <v>2496.7676064256989</v>
      </c>
      <c r="K4193">
        <f t="shared" si="260"/>
        <v>2233.35</v>
      </c>
      <c r="L4193">
        <f t="shared" si="261"/>
        <v>2233.36</v>
      </c>
      <c r="M4193">
        <f t="shared" si="262"/>
        <v>2233.35</v>
      </c>
      <c r="N4193" s="5" t="str">
        <f t="shared" si="263"/>
        <v>September 2023</v>
      </c>
    </row>
    <row r="4194" spans="1:14" x14ac:dyDescent="0.25">
      <c r="A4194" s="1">
        <v>45171</v>
      </c>
      <c r="B4194" t="s">
        <v>4165</v>
      </c>
      <c r="C4194">
        <v>26</v>
      </c>
      <c r="D4194" t="s">
        <v>14</v>
      </c>
      <c r="E4194" t="s">
        <v>15</v>
      </c>
      <c r="F4194" t="s">
        <v>16</v>
      </c>
      <c r="G4194" t="s">
        <v>36</v>
      </c>
      <c r="H4194">
        <v>3695.61</v>
      </c>
      <c r="I4194" s="8" t="str" cm="1">
        <f t="array" ref="I4194">_xlfn.IFS(C4194&lt;=15,"Children and Young Adolescents", C4194&gt;64, "Seniors", TRUE, "Working Age")</f>
        <v>Working Age</v>
      </c>
      <c r="J4194" s="6">
        <f>VLOOKUP(F4194,Analysis!$F$1:$G$5,2,FALSE)</f>
        <v>2509.1716796874912</v>
      </c>
      <c r="K4194">
        <f t="shared" si="260"/>
        <v>4065.17</v>
      </c>
      <c r="L4194">
        <f t="shared" si="261"/>
        <v>4065.1800000000003</v>
      </c>
      <c r="M4194">
        <f t="shared" si="262"/>
        <v>4065.17</v>
      </c>
      <c r="N4194" s="5" t="str">
        <f t="shared" si="263"/>
        <v>September 2023</v>
      </c>
    </row>
    <row r="4195" spans="1:14" x14ac:dyDescent="0.25">
      <c r="A4195" s="1">
        <v>45171</v>
      </c>
      <c r="B4195" t="s">
        <v>1327</v>
      </c>
      <c r="C4195">
        <v>84</v>
      </c>
      <c r="D4195" t="s">
        <v>9</v>
      </c>
      <c r="E4195" t="s">
        <v>22</v>
      </c>
      <c r="F4195" t="s">
        <v>11</v>
      </c>
      <c r="G4195" t="s">
        <v>27</v>
      </c>
      <c r="H4195">
        <v>4521.8100000000004</v>
      </c>
      <c r="I4195" s="8" t="str" cm="1">
        <f t="array" ref="I4195">_xlfn.IFS(C4195&lt;=15,"Children and Young Adolescents", C4195&gt;64, "Seniors", TRUE, "Working Age")</f>
        <v>Seniors</v>
      </c>
      <c r="J4195" s="6">
        <f>VLOOKUP(F4195,Analysis!$F$1:$G$5,2,FALSE)</f>
        <v>2503.6022787783854</v>
      </c>
      <c r="K4195">
        <f t="shared" si="260"/>
        <v>4973.99</v>
      </c>
      <c r="L4195">
        <f t="shared" si="261"/>
        <v>4974</v>
      </c>
      <c r="M4195">
        <f t="shared" si="262"/>
        <v>4973.99</v>
      </c>
      <c r="N4195" s="5" t="str">
        <f t="shared" si="263"/>
        <v>September 2023</v>
      </c>
    </row>
    <row r="4196" spans="1:14" x14ac:dyDescent="0.25">
      <c r="A4196" s="1">
        <v>45171</v>
      </c>
      <c r="B4196" t="s">
        <v>781</v>
      </c>
      <c r="C4196">
        <v>83</v>
      </c>
      <c r="D4196" t="s">
        <v>9</v>
      </c>
      <c r="E4196" t="s">
        <v>34</v>
      </c>
      <c r="F4196" t="s">
        <v>16</v>
      </c>
      <c r="G4196" t="s">
        <v>5033</v>
      </c>
      <c r="H4196">
        <v>2315.6799999999998</v>
      </c>
      <c r="I4196" s="8" t="str" cm="1">
        <f t="array" ref="I4196">_xlfn.IFS(C4196&lt;=15,"Children and Young Adolescents", C4196&gt;64, "Seniors", TRUE, "Working Age")</f>
        <v>Seniors</v>
      </c>
      <c r="J4196" s="6">
        <f>VLOOKUP(F4196,Analysis!$F$1:$G$5,2,FALSE)</f>
        <v>2509.1716796874912</v>
      </c>
      <c r="K4196">
        <f t="shared" si="260"/>
        <v>2547.2399999999998</v>
      </c>
      <c r="L4196">
        <f t="shared" si="261"/>
        <v>2547.25</v>
      </c>
      <c r="M4196">
        <f t="shared" si="262"/>
        <v>2547.25</v>
      </c>
      <c r="N4196" s="5" t="str">
        <f t="shared" si="263"/>
        <v>September 2023</v>
      </c>
    </row>
    <row r="4197" spans="1:14" x14ac:dyDescent="0.25">
      <c r="A4197" s="1">
        <v>45171</v>
      </c>
      <c r="B4197" t="s">
        <v>3315</v>
      </c>
      <c r="C4197">
        <v>24</v>
      </c>
      <c r="D4197" t="s">
        <v>14</v>
      </c>
      <c r="E4197" t="s">
        <v>19</v>
      </c>
      <c r="F4197" t="s">
        <v>11</v>
      </c>
      <c r="G4197" t="s">
        <v>27</v>
      </c>
      <c r="H4197">
        <v>4290.03</v>
      </c>
      <c r="I4197" s="8" t="str" cm="1">
        <f t="array" ref="I4197">_xlfn.IFS(C4197&lt;=15,"Children and Young Adolescents", C4197&gt;64, "Seniors", TRUE, "Working Age")</f>
        <v>Working Age</v>
      </c>
      <c r="J4197" s="6">
        <f>VLOOKUP(F4197,Analysis!$F$1:$G$5,2,FALSE)</f>
        <v>2503.6022787783854</v>
      </c>
      <c r="K4197">
        <f t="shared" si="260"/>
        <v>4719.03</v>
      </c>
      <c r="L4197">
        <f t="shared" si="261"/>
        <v>4719.04</v>
      </c>
      <c r="M4197">
        <f t="shared" si="262"/>
        <v>4719.03</v>
      </c>
      <c r="N4197" s="5" t="str">
        <f t="shared" si="263"/>
        <v>September 2023</v>
      </c>
    </row>
    <row r="4198" spans="1:14" x14ac:dyDescent="0.25">
      <c r="A4198" s="1">
        <v>45171</v>
      </c>
      <c r="B4198" t="s">
        <v>5030</v>
      </c>
      <c r="C4198">
        <v>48</v>
      </c>
      <c r="D4198" t="s">
        <v>21</v>
      </c>
      <c r="E4198" t="s">
        <v>15</v>
      </c>
      <c r="F4198" t="s">
        <v>23</v>
      </c>
      <c r="G4198" t="s">
        <v>36</v>
      </c>
      <c r="H4198">
        <v>1127.01</v>
      </c>
      <c r="I4198" s="8" t="str" cm="1">
        <f t="array" ref="I4198">_xlfn.IFS(C4198&lt;=15,"Children and Young Adolescents", C4198&gt;64, "Seniors", TRUE, "Working Age")</f>
        <v>Working Age</v>
      </c>
      <c r="J4198" s="6">
        <f>VLOOKUP(F4198,Analysis!$F$1:$G$5,2,FALSE)</f>
        <v>2440.2966694490838</v>
      </c>
      <c r="K4198">
        <f t="shared" si="260"/>
        <v>1239.71</v>
      </c>
      <c r="L4198">
        <f t="shared" si="261"/>
        <v>1239.72</v>
      </c>
      <c r="M4198">
        <f t="shared" si="262"/>
        <v>1239.71</v>
      </c>
      <c r="N4198" s="5" t="str">
        <f t="shared" si="263"/>
        <v>September 2023</v>
      </c>
    </row>
    <row r="4199" spans="1:14" x14ac:dyDescent="0.25">
      <c r="A4199" s="1">
        <v>45171</v>
      </c>
      <c r="B4199" t="s">
        <v>2406</v>
      </c>
      <c r="C4199">
        <v>30</v>
      </c>
      <c r="D4199" t="s">
        <v>21</v>
      </c>
      <c r="E4199" t="s">
        <v>15</v>
      </c>
      <c r="F4199" t="s">
        <v>16</v>
      </c>
      <c r="G4199" t="s">
        <v>17</v>
      </c>
      <c r="H4199">
        <v>3072.63</v>
      </c>
      <c r="I4199" s="8" t="str" cm="1">
        <f t="array" ref="I4199">_xlfn.IFS(C4199&lt;=15,"Children and Young Adolescents", C4199&gt;64, "Seniors", TRUE, "Working Age")</f>
        <v>Working Age</v>
      </c>
      <c r="J4199" s="6">
        <f>VLOOKUP(F4199,Analysis!$F$1:$G$5,2,FALSE)</f>
        <v>2509.1716796874912</v>
      </c>
      <c r="K4199">
        <f t="shared" si="260"/>
        <v>3379.89</v>
      </c>
      <c r="L4199">
        <f t="shared" si="261"/>
        <v>3379.9</v>
      </c>
      <c r="M4199">
        <f t="shared" si="262"/>
        <v>3379.89</v>
      </c>
      <c r="N4199" s="5" t="str">
        <f t="shared" si="263"/>
        <v>September 2023</v>
      </c>
    </row>
    <row r="4200" spans="1:14" x14ac:dyDescent="0.25">
      <c r="A4200" s="1">
        <v>45172</v>
      </c>
      <c r="B4200" t="s">
        <v>707</v>
      </c>
      <c r="C4200">
        <v>15</v>
      </c>
      <c r="D4200" t="s">
        <v>9</v>
      </c>
      <c r="E4200" t="s">
        <v>32</v>
      </c>
      <c r="F4200" t="s">
        <v>29</v>
      </c>
      <c r="G4200" t="s">
        <v>12</v>
      </c>
      <c r="H4200">
        <v>2689.88</v>
      </c>
      <c r="I4200" s="8" t="str" cm="1">
        <f t="array" ref="I4200">_xlfn.IFS(C4200&lt;=15,"Children and Young Adolescents", C4200&gt;64, "Seniors", TRUE, "Working Age")</f>
        <v>Children and Young Adolescents</v>
      </c>
      <c r="J4200" s="6">
        <f>VLOOKUP(F4200,Analysis!$F$1:$G$5,2,FALSE)</f>
        <v>2496.7676064256989</v>
      </c>
      <c r="K4200">
        <f t="shared" si="260"/>
        <v>2958.86</v>
      </c>
      <c r="L4200">
        <f t="shared" si="261"/>
        <v>2958.8700000000003</v>
      </c>
      <c r="M4200">
        <f t="shared" si="262"/>
        <v>2958.87</v>
      </c>
      <c r="N4200" s="5" t="str">
        <f t="shared" si="263"/>
        <v>September 2023</v>
      </c>
    </row>
    <row r="4201" spans="1:14" x14ac:dyDescent="0.25">
      <c r="A4201" s="1">
        <v>45172</v>
      </c>
      <c r="B4201" t="s">
        <v>1839</v>
      </c>
      <c r="C4201">
        <v>29</v>
      </c>
      <c r="D4201" t="s">
        <v>21</v>
      </c>
      <c r="E4201" t="s">
        <v>22</v>
      </c>
      <c r="F4201" t="s">
        <v>23</v>
      </c>
      <c r="G4201" t="s">
        <v>12</v>
      </c>
      <c r="H4201">
        <v>589.37</v>
      </c>
      <c r="I4201" s="8" t="str" cm="1">
        <f t="array" ref="I4201">_xlfn.IFS(C4201&lt;=15,"Children and Young Adolescents", C4201&gt;64, "Seniors", TRUE, "Working Age")</f>
        <v>Working Age</v>
      </c>
      <c r="J4201" s="6">
        <f>VLOOKUP(F4201,Analysis!$F$1:$G$5,2,FALSE)</f>
        <v>2440.2966694490838</v>
      </c>
      <c r="K4201">
        <f t="shared" si="260"/>
        <v>648.29999999999995</v>
      </c>
      <c r="L4201">
        <f t="shared" si="261"/>
        <v>648.30999999999995</v>
      </c>
      <c r="M4201">
        <f t="shared" si="262"/>
        <v>648.30999999999995</v>
      </c>
      <c r="N4201" s="5" t="str">
        <f t="shared" si="263"/>
        <v>September 2023</v>
      </c>
    </row>
    <row r="4202" spans="1:14" x14ac:dyDescent="0.25">
      <c r="A4202" s="1">
        <v>45173</v>
      </c>
      <c r="B4202" t="s">
        <v>2488</v>
      </c>
      <c r="C4202">
        <v>35</v>
      </c>
      <c r="D4202" t="s">
        <v>14</v>
      </c>
      <c r="E4202" t="s">
        <v>25</v>
      </c>
      <c r="F4202" t="s">
        <v>11</v>
      </c>
      <c r="G4202" t="s">
        <v>39</v>
      </c>
      <c r="H4202">
        <v>1398.84</v>
      </c>
      <c r="I4202" s="8" t="str" cm="1">
        <f t="array" ref="I4202">_xlfn.IFS(C4202&lt;=15,"Children and Young Adolescents", C4202&gt;64, "Seniors", TRUE, "Working Age")</f>
        <v>Working Age</v>
      </c>
      <c r="J4202" s="6">
        <f>VLOOKUP(F4202,Analysis!$F$1:$G$5,2,FALSE)</f>
        <v>2503.6022787783854</v>
      </c>
      <c r="K4202">
        <f t="shared" si="260"/>
        <v>1538.72</v>
      </c>
      <c r="L4202">
        <f t="shared" si="261"/>
        <v>1538.73</v>
      </c>
      <c r="M4202">
        <f t="shared" si="262"/>
        <v>1538.72</v>
      </c>
      <c r="N4202" s="5" t="str">
        <f t="shared" si="263"/>
        <v>September 2023</v>
      </c>
    </row>
    <row r="4203" spans="1:14" x14ac:dyDescent="0.25">
      <c r="A4203" s="1">
        <v>45173</v>
      </c>
      <c r="B4203" t="s">
        <v>4466</v>
      </c>
      <c r="C4203">
        <v>63</v>
      </c>
      <c r="D4203" t="s">
        <v>14</v>
      </c>
      <c r="E4203" t="s">
        <v>22</v>
      </c>
      <c r="F4203" t="s">
        <v>16</v>
      </c>
      <c r="G4203" t="s">
        <v>12</v>
      </c>
      <c r="H4203">
        <v>3989.54</v>
      </c>
      <c r="I4203" s="8" t="str" cm="1">
        <f t="array" ref="I4203">_xlfn.IFS(C4203&lt;=15,"Children and Young Adolescents", C4203&gt;64, "Seniors", TRUE, "Working Age")</f>
        <v>Working Age</v>
      </c>
      <c r="J4203" s="6">
        <f>VLOOKUP(F4203,Analysis!$F$1:$G$5,2,FALSE)</f>
        <v>2509.1716796874912</v>
      </c>
      <c r="K4203">
        <f t="shared" si="260"/>
        <v>4388.49</v>
      </c>
      <c r="L4203">
        <f t="shared" si="261"/>
        <v>4388.5</v>
      </c>
      <c r="M4203">
        <f t="shared" si="262"/>
        <v>4388.49</v>
      </c>
      <c r="N4203" s="5" t="str">
        <f t="shared" si="263"/>
        <v>September 2023</v>
      </c>
    </row>
    <row r="4204" spans="1:14" x14ac:dyDescent="0.25">
      <c r="A4204" s="1">
        <v>45173</v>
      </c>
      <c r="B4204" t="s">
        <v>50</v>
      </c>
      <c r="C4204">
        <v>33</v>
      </c>
      <c r="D4204" t="s">
        <v>21</v>
      </c>
      <c r="E4204" t="s">
        <v>10</v>
      </c>
      <c r="F4204" t="s">
        <v>29</v>
      </c>
      <c r="G4204" t="s">
        <v>39</v>
      </c>
      <c r="H4204">
        <v>1755.98</v>
      </c>
      <c r="I4204" s="8" t="str" cm="1">
        <f t="array" ref="I4204">_xlfn.IFS(C4204&lt;=15,"Children and Young Adolescents", C4204&gt;64, "Seniors", TRUE, "Working Age")</f>
        <v>Working Age</v>
      </c>
      <c r="J4204" s="6">
        <f>VLOOKUP(F4204,Analysis!$F$1:$G$5,2,FALSE)</f>
        <v>2496.7676064256989</v>
      </c>
      <c r="K4204">
        <f t="shared" si="260"/>
        <v>1931.57</v>
      </c>
      <c r="L4204">
        <f t="shared" si="261"/>
        <v>1931.58</v>
      </c>
      <c r="M4204">
        <f t="shared" si="262"/>
        <v>1931.58</v>
      </c>
      <c r="N4204" s="5" t="str">
        <f t="shared" si="263"/>
        <v>September 2023</v>
      </c>
    </row>
    <row r="4205" spans="1:14" x14ac:dyDescent="0.25">
      <c r="A4205" s="1">
        <v>45173</v>
      </c>
      <c r="B4205" t="s">
        <v>1881</v>
      </c>
      <c r="C4205">
        <v>34</v>
      </c>
      <c r="D4205" t="s">
        <v>9</v>
      </c>
      <c r="E4205" t="s">
        <v>5032</v>
      </c>
      <c r="F4205" t="s">
        <v>23</v>
      </c>
      <c r="G4205" t="s">
        <v>12</v>
      </c>
      <c r="H4205">
        <v>4521.2</v>
      </c>
      <c r="I4205" s="8" t="str" cm="1">
        <f t="array" ref="I4205">_xlfn.IFS(C4205&lt;=15,"Children and Young Adolescents", C4205&gt;64, "Seniors", TRUE, "Working Age")</f>
        <v>Working Age</v>
      </c>
      <c r="J4205" s="6">
        <f>VLOOKUP(F4205,Analysis!$F$1:$G$5,2,FALSE)</f>
        <v>2440.2966694490838</v>
      </c>
      <c r="K4205">
        <f t="shared" si="260"/>
        <v>4973.32</v>
      </c>
      <c r="L4205">
        <f t="shared" si="261"/>
        <v>4973.32</v>
      </c>
      <c r="M4205">
        <f t="shared" si="262"/>
        <v>4973.32</v>
      </c>
      <c r="N4205" s="5" t="str">
        <f t="shared" si="263"/>
        <v>September 2023</v>
      </c>
    </row>
    <row r="4206" spans="1:14" x14ac:dyDescent="0.25">
      <c r="A4206" s="1">
        <v>45173</v>
      </c>
      <c r="B4206" t="s">
        <v>2087</v>
      </c>
      <c r="C4206">
        <v>71</v>
      </c>
      <c r="D4206" t="s">
        <v>9</v>
      </c>
      <c r="E4206" t="s">
        <v>19</v>
      </c>
      <c r="F4206" t="s">
        <v>23</v>
      </c>
      <c r="G4206" t="s">
        <v>12</v>
      </c>
      <c r="H4206">
        <v>952.63</v>
      </c>
      <c r="I4206" s="8" t="str" cm="1">
        <f t="array" ref="I4206">_xlfn.IFS(C4206&lt;=15,"Children and Young Adolescents", C4206&gt;64, "Seniors", TRUE, "Working Age")</f>
        <v>Seniors</v>
      </c>
      <c r="J4206" s="6">
        <f>VLOOKUP(F4206,Analysis!$F$1:$G$5,2,FALSE)</f>
        <v>2440.2966694490838</v>
      </c>
      <c r="K4206">
        <f t="shared" si="260"/>
        <v>1047.8900000000001</v>
      </c>
      <c r="L4206">
        <f t="shared" si="261"/>
        <v>1047.9000000000001</v>
      </c>
      <c r="M4206">
        <f t="shared" si="262"/>
        <v>1047.8900000000001</v>
      </c>
      <c r="N4206" s="5" t="str">
        <f t="shared" si="263"/>
        <v>September 2023</v>
      </c>
    </row>
    <row r="4207" spans="1:14" x14ac:dyDescent="0.25">
      <c r="A4207" s="1">
        <v>45173</v>
      </c>
      <c r="B4207" t="s">
        <v>1618</v>
      </c>
      <c r="C4207">
        <v>9</v>
      </c>
      <c r="D4207" t="s">
        <v>9</v>
      </c>
      <c r="E4207" t="s">
        <v>19</v>
      </c>
      <c r="F4207" t="s">
        <v>23</v>
      </c>
      <c r="G4207" t="s">
        <v>27</v>
      </c>
      <c r="H4207">
        <v>1386.43</v>
      </c>
      <c r="I4207" s="8" t="str" cm="1">
        <f t="array" ref="I4207">_xlfn.IFS(C4207&lt;=15,"Children and Young Adolescents", C4207&gt;64, "Seniors", TRUE, "Working Age")</f>
        <v>Children and Young Adolescents</v>
      </c>
      <c r="J4207" s="6">
        <f>VLOOKUP(F4207,Analysis!$F$1:$G$5,2,FALSE)</f>
        <v>2440.2966694490838</v>
      </c>
      <c r="K4207">
        <f t="shared" si="260"/>
        <v>1525.07</v>
      </c>
      <c r="L4207">
        <f t="shared" si="261"/>
        <v>1525.08</v>
      </c>
      <c r="M4207">
        <f t="shared" si="262"/>
        <v>1525.07</v>
      </c>
      <c r="N4207" s="5" t="str">
        <f t="shared" si="263"/>
        <v>September 2023</v>
      </c>
    </row>
    <row r="4208" spans="1:14" x14ac:dyDescent="0.25">
      <c r="A4208" s="1">
        <v>45173</v>
      </c>
      <c r="B4208" t="s">
        <v>2085</v>
      </c>
      <c r="C4208">
        <v>34</v>
      </c>
      <c r="D4208" t="s">
        <v>9</v>
      </c>
      <c r="E4208" t="s">
        <v>5032</v>
      </c>
      <c r="F4208" t="s">
        <v>29</v>
      </c>
      <c r="G4208" t="s">
        <v>36</v>
      </c>
      <c r="H4208">
        <v>4277.5</v>
      </c>
      <c r="I4208" s="8" t="str" cm="1">
        <f t="array" ref="I4208">_xlfn.IFS(C4208&lt;=15,"Children and Young Adolescents", C4208&gt;64, "Seniors", TRUE, "Working Age")</f>
        <v>Working Age</v>
      </c>
      <c r="J4208" s="6">
        <f>VLOOKUP(F4208,Analysis!$F$1:$G$5,2,FALSE)</f>
        <v>2496.7676064256989</v>
      </c>
      <c r="K4208">
        <f t="shared" si="260"/>
        <v>4705.25</v>
      </c>
      <c r="L4208">
        <f t="shared" si="261"/>
        <v>4705.25</v>
      </c>
      <c r="M4208">
        <f t="shared" si="262"/>
        <v>4705.25</v>
      </c>
      <c r="N4208" s="5" t="str">
        <f t="shared" si="263"/>
        <v>September 2023</v>
      </c>
    </row>
    <row r="4209" spans="1:14" x14ac:dyDescent="0.25">
      <c r="A4209" s="1">
        <v>45173</v>
      </c>
      <c r="B4209" t="s">
        <v>519</v>
      </c>
      <c r="C4209">
        <v>7</v>
      </c>
      <c r="D4209" t="s">
        <v>9</v>
      </c>
      <c r="E4209" t="s">
        <v>22</v>
      </c>
      <c r="F4209" t="s">
        <v>29</v>
      </c>
      <c r="G4209" t="s">
        <v>36</v>
      </c>
      <c r="H4209">
        <v>2496.58</v>
      </c>
      <c r="I4209" s="8" t="str" cm="1">
        <f t="array" ref="I4209">_xlfn.IFS(C4209&lt;=15,"Children and Young Adolescents", C4209&gt;64, "Seniors", TRUE, "Working Age")</f>
        <v>Children and Young Adolescents</v>
      </c>
      <c r="J4209" s="6">
        <f>VLOOKUP(F4209,Analysis!$F$1:$G$5,2,FALSE)</f>
        <v>2496.7676064256989</v>
      </c>
      <c r="K4209">
        <f t="shared" si="260"/>
        <v>2746.23</v>
      </c>
      <c r="L4209">
        <f t="shared" si="261"/>
        <v>2746.2400000000002</v>
      </c>
      <c r="M4209">
        <f t="shared" si="262"/>
        <v>2746.24</v>
      </c>
      <c r="N4209" s="5" t="str">
        <f t="shared" si="263"/>
        <v>September 2023</v>
      </c>
    </row>
    <row r="4210" spans="1:14" x14ac:dyDescent="0.25">
      <c r="A4210" s="1">
        <v>45174</v>
      </c>
      <c r="B4210" t="s">
        <v>1544</v>
      </c>
      <c r="C4210">
        <v>21</v>
      </c>
      <c r="D4210" t="s">
        <v>21</v>
      </c>
      <c r="E4210" t="s">
        <v>10</v>
      </c>
      <c r="F4210" t="s">
        <v>23</v>
      </c>
      <c r="G4210" t="s">
        <v>27</v>
      </c>
      <c r="H4210">
        <v>557.03</v>
      </c>
      <c r="I4210" s="8" t="str" cm="1">
        <f t="array" ref="I4210">_xlfn.IFS(C4210&lt;=15,"Children and Young Adolescents", C4210&gt;64, "Seniors", TRUE, "Working Age")</f>
        <v>Working Age</v>
      </c>
      <c r="J4210" s="6">
        <f>VLOOKUP(F4210,Analysis!$F$1:$G$5,2,FALSE)</f>
        <v>2440.2966694490838</v>
      </c>
      <c r="K4210">
        <f t="shared" si="260"/>
        <v>612.73</v>
      </c>
      <c r="L4210">
        <f t="shared" si="261"/>
        <v>612.74</v>
      </c>
      <c r="M4210">
        <f t="shared" si="262"/>
        <v>612.73</v>
      </c>
      <c r="N4210" s="5" t="str">
        <f t="shared" si="263"/>
        <v>September 2023</v>
      </c>
    </row>
    <row r="4211" spans="1:14" x14ac:dyDescent="0.25">
      <c r="A4211" s="1">
        <v>45174</v>
      </c>
      <c r="B4211" t="s">
        <v>1994</v>
      </c>
      <c r="C4211">
        <v>7</v>
      </c>
      <c r="D4211" t="s">
        <v>14</v>
      </c>
      <c r="E4211" t="s">
        <v>10</v>
      </c>
      <c r="F4211" t="s">
        <v>29</v>
      </c>
      <c r="G4211" t="s">
        <v>36</v>
      </c>
      <c r="H4211">
        <v>2861.66</v>
      </c>
      <c r="I4211" s="8" t="str" cm="1">
        <f t="array" ref="I4211">_xlfn.IFS(C4211&lt;=15,"Children and Young Adolescents", C4211&gt;64, "Seniors", TRUE, "Working Age")</f>
        <v>Children and Young Adolescents</v>
      </c>
      <c r="J4211" s="6">
        <f>VLOOKUP(F4211,Analysis!$F$1:$G$5,2,FALSE)</f>
        <v>2496.7676064256989</v>
      </c>
      <c r="K4211">
        <f t="shared" si="260"/>
        <v>3147.82</v>
      </c>
      <c r="L4211">
        <f t="shared" si="261"/>
        <v>3147.8300000000004</v>
      </c>
      <c r="M4211">
        <f t="shared" si="262"/>
        <v>3147.83</v>
      </c>
      <c r="N4211" s="5" t="str">
        <f t="shared" si="263"/>
        <v>September 2023</v>
      </c>
    </row>
    <row r="4212" spans="1:14" x14ac:dyDescent="0.25">
      <c r="A4212" s="1">
        <v>45174</v>
      </c>
      <c r="B4212" t="s">
        <v>3192</v>
      </c>
      <c r="C4212">
        <v>80</v>
      </c>
      <c r="D4212" t="s">
        <v>21</v>
      </c>
      <c r="E4212" t="s">
        <v>32</v>
      </c>
      <c r="F4212" t="s">
        <v>29</v>
      </c>
      <c r="G4212" t="s">
        <v>12</v>
      </c>
      <c r="H4212">
        <v>2147.0300000000002</v>
      </c>
      <c r="I4212" s="8" t="str" cm="1">
        <f t="array" ref="I4212">_xlfn.IFS(C4212&lt;=15,"Children and Young Adolescents", C4212&gt;64, "Seniors", TRUE, "Working Age")</f>
        <v>Seniors</v>
      </c>
      <c r="J4212" s="6">
        <f>VLOOKUP(F4212,Analysis!$F$1:$G$5,2,FALSE)</f>
        <v>2496.7676064256989</v>
      </c>
      <c r="K4212">
        <f t="shared" si="260"/>
        <v>2361.73</v>
      </c>
      <c r="L4212">
        <f t="shared" si="261"/>
        <v>2361.7400000000002</v>
      </c>
      <c r="M4212">
        <f t="shared" si="262"/>
        <v>2361.73</v>
      </c>
      <c r="N4212" s="5" t="str">
        <f t="shared" si="263"/>
        <v>September 2023</v>
      </c>
    </row>
    <row r="4213" spans="1:14" x14ac:dyDescent="0.25">
      <c r="A4213" s="1">
        <v>45174</v>
      </c>
      <c r="B4213" t="s">
        <v>4262</v>
      </c>
      <c r="C4213">
        <v>80</v>
      </c>
      <c r="D4213" t="s">
        <v>21</v>
      </c>
      <c r="E4213" t="s">
        <v>19</v>
      </c>
      <c r="F4213" t="s">
        <v>23</v>
      </c>
      <c r="G4213" t="s">
        <v>5033</v>
      </c>
      <c r="H4213">
        <v>3138.35</v>
      </c>
      <c r="I4213" s="8" t="str" cm="1">
        <f t="array" ref="I4213">_xlfn.IFS(C4213&lt;=15,"Children and Young Adolescents", C4213&gt;64, "Seniors", TRUE, "Working Age")</f>
        <v>Seniors</v>
      </c>
      <c r="J4213" s="6">
        <f>VLOOKUP(F4213,Analysis!$F$1:$G$5,2,FALSE)</f>
        <v>2440.2966694490838</v>
      </c>
      <c r="K4213">
        <f t="shared" si="260"/>
        <v>3452.18</v>
      </c>
      <c r="L4213">
        <f t="shared" si="261"/>
        <v>3452.19</v>
      </c>
      <c r="M4213">
        <f t="shared" si="262"/>
        <v>3452.19</v>
      </c>
      <c r="N4213" s="5" t="str">
        <f t="shared" si="263"/>
        <v>September 2023</v>
      </c>
    </row>
    <row r="4214" spans="1:14" x14ac:dyDescent="0.25">
      <c r="A4214" s="1">
        <v>45174</v>
      </c>
      <c r="B4214" t="s">
        <v>2699</v>
      </c>
      <c r="C4214">
        <v>78</v>
      </c>
      <c r="D4214" t="s">
        <v>21</v>
      </c>
      <c r="E4214" t="s">
        <v>25</v>
      </c>
      <c r="F4214" t="s">
        <v>11</v>
      </c>
      <c r="G4214" t="s">
        <v>12</v>
      </c>
      <c r="H4214">
        <v>4339.96</v>
      </c>
      <c r="I4214" s="8" t="str" cm="1">
        <f t="array" ref="I4214">_xlfn.IFS(C4214&lt;=15,"Children and Young Adolescents", C4214&gt;64, "Seniors", TRUE, "Working Age")</f>
        <v>Seniors</v>
      </c>
      <c r="J4214" s="6">
        <f>VLOOKUP(F4214,Analysis!$F$1:$G$5,2,FALSE)</f>
        <v>2503.6022787783854</v>
      </c>
      <c r="K4214">
        <f t="shared" si="260"/>
        <v>4773.95</v>
      </c>
      <c r="L4214">
        <f t="shared" si="261"/>
        <v>4773.96</v>
      </c>
      <c r="M4214">
        <f t="shared" si="262"/>
        <v>4773.96</v>
      </c>
      <c r="N4214" s="5" t="str">
        <f t="shared" si="263"/>
        <v>September 2023</v>
      </c>
    </row>
    <row r="4215" spans="1:14" x14ac:dyDescent="0.25">
      <c r="A4215" s="1">
        <v>45175</v>
      </c>
      <c r="B4215" t="s">
        <v>2887</v>
      </c>
      <c r="C4215">
        <v>36</v>
      </c>
      <c r="D4215" t="s">
        <v>14</v>
      </c>
      <c r="E4215" t="s">
        <v>19</v>
      </c>
      <c r="F4215" t="s">
        <v>16</v>
      </c>
      <c r="G4215" t="s">
        <v>12</v>
      </c>
      <c r="H4215">
        <v>989.79</v>
      </c>
      <c r="I4215" s="8" t="str" cm="1">
        <f t="array" ref="I4215">_xlfn.IFS(C4215&lt;=15,"Children and Young Adolescents", C4215&gt;64, "Seniors", TRUE, "Working Age")</f>
        <v>Working Age</v>
      </c>
      <c r="J4215" s="6">
        <f>VLOOKUP(F4215,Analysis!$F$1:$G$5,2,FALSE)</f>
        <v>2509.1716796874912</v>
      </c>
      <c r="K4215">
        <f t="shared" si="260"/>
        <v>1088.76</v>
      </c>
      <c r="L4215">
        <f t="shared" si="261"/>
        <v>1088.77</v>
      </c>
      <c r="M4215">
        <f t="shared" si="262"/>
        <v>1088.77</v>
      </c>
      <c r="N4215" s="5" t="str">
        <f t="shared" si="263"/>
        <v>September 2023</v>
      </c>
    </row>
    <row r="4216" spans="1:14" x14ac:dyDescent="0.25">
      <c r="A4216" s="1">
        <v>45175</v>
      </c>
      <c r="B4216" t="s">
        <v>1848</v>
      </c>
      <c r="C4216">
        <v>91</v>
      </c>
      <c r="D4216" t="s">
        <v>14</v>
      </c>
      <c r="E4216" t="s">
        <v>34</v>
      </c>
      <c r="F4216" t="s">
        <v>16</v>
      </c>
      <c r="G4216" t="s">
        <v>27</v>
      </c>
      <c r="H4216">
        <v>4504.24</v>
      </c>
      <c r="I4216" s="8" t="str" cm="1">
        <f t="array" ref="I4216">_xlfn.IFS(C4216&lt;=15,"Children and Young Adolescents", C4216&gt;64, "Seniors", TRUE, "Working Age")</f>
        <v>Seniors</v>
      </c>
      <c r="J4216" s="6">
        <f>VLOOKUP(F4216,Analysis!$F$1:$G$5,2,FALSE)</f>
        <v>2509.1716796874912</v>
      </c>
      <c r="K4216">
        <f t="shared" si="260"/>
        <v>4954.66</v>
      </c>
      <c r="L4216">
        <f t="shared" si="261"/>
        <v>4954.67</v>
      </c>
      <c r="M4216">
        <f t="shared" si="262"/>
        <v>4954.66</v>
      </c>
      <c r="N4216" s="5" t="str">
        <f t="shared" si="263"/>
        <v>September 2023</v>
      </c>
    </row>
    <row r="4217" spans="1:14" x14ac:dyDescent="0.25">
      <c r="A4217" s="1">
        <v>45175</v>
      </c>
      <c r="B4217" t="s">
        <v>4379</v>
      </c>
      <c r="C4217">
        <v>86</v>
      </c>
      <c r="D4217" t="s">
        <v>14</v>
      </c>
      <c r="E4217" t="s">
        <v>34</v>
      </c>
      <c r="F4217" t="s">
        <v>11</v>
      </c>
      <c r="G4217" t="s">
        <v>12</v>
      </c>
      <c r="H4217">
        <v>362.13</v>
      </c>
      <c r="I4217" s="8" t="str" cm="1">
        <f t="array" ref="I4217">_xlfn.IFS(C4217&lt;=15,"Children and Young Adolescents", C4217&gt;64, "Seniors", TRUE, "Working Age")</f>
        <v>Seniors</v>
      </c>
      <c r="J4217" s="6">
        <f>VLOOKUP(F4217,Analysis!$F$1:$G$5,2,FALSE)</f>
        <v>2503.6022787783854</v>
      </c>
      <c r="K4217">
        <f t="shared" si="260"/>
        <v>398.34</v>
      </c>
      <c r="L4217">
        <f t="shared" si="261"/>
        <v>398.34999999999997</v>
      </c>
      <c r="M4217">
        <f t="shared" si="262"/>
        <v>398.34</v>
      </c>
      <c r="N4217" s="5" t="str">
        <f t="shared" si="263"/>
        <v>September 2023</v>
      </c>
    </row>
    <row r="4218" spans="1:14" x14ac:dyDescent="0.25">
      <c r="A4218" s="1">
        <v>45175</v>
      </c>
      <c r="B4218" t="s">
        <v>892</v>
      </c>
      <c r="C4218">
        <v>61</v>
      </c>
      <c r="D4218" t="s">
        <v>9</v>
      </c>
      <c r="E4218" t="s">
        <v>32</v>
      </c>
      <c r="F4218" t="s">
        <v>11</v>
      </c>
      <c r="G4218" t="s">
        <v>27</v>
      </c>
      <c r="H4218">
        <v>3196.43</v>
      </c>
      <c r="I4218" s="8" t="str" cm="1">
        <f t="array" ref="I4218">_xlfn.IFS(C4218&lt;=15,"Children and Young Adolescents", C4218&gt;64, "Seniors", TRUE, "Working Age")</f>
        <v>Working Age</v>
      </c>
      <c r="J4218" s="6">
        <f>VLOOKUP(F4218,Analysis!$F$1:$G$5,2,FALSE)</f>
        <v>2503.6022787783854</v>
      </c>
      <c r="K4218">
        <f t="shared" si="260"/>
        <v>3516.07</v>
      </c>
      <c r="L4218">
        <f t="shared" si="261"/>
        <v>3516.0800000000004</v>
      </c>
      <c r="M4218">
        <f t="shared" si="262"/>
        <v>3516.07</v>
      </c>
      <c r="N4218" s="5" t="str">
        <f t="shared" si="263"/>
        <v>September 2023</v>
      </c>
    </row>
    <row r="4219" spans="1:14" x14ac:dyDescent="0.25">
      <c r="A4219" s="1">
        <v>45175</v>
      </c>
      <c r="B4219" t="s">
        <v>2300</v>
      </c>
      <c r="C4219">
        <v>49</v>
      </c>
      <c r="D4219" t="s">
        <v>21</v>
      </c>
      <c r="E4219" t="s">
        <v>22</v>
      </c>
      <c r="F4219" t="s">
        <v>29</v>
      </c>
      <c r="G4219" t="s">
        <v>12</v>
      </c>
      <c r="H4219">
        <v>3904.82</v>
      </c>
      <c r="I4219" s="8" t="str" cm="1">
        <f t="array" ref="I4219">_xlfn.IFS(C4219&lt;=15,"Children and Young Adolescents", C4219&gt;64, "Seniors", TRUE, "Working Age")</f>
        <v>Working Age</v>
      </c>
      <c r="J4219" s="6">
        <f>VLOOKUP(F4219,Analysis!$F$1:$G$5,2,FALSE)</f>
        <v>2496.7676064256989</v>
      </c>
      <c r="K4219">
        <f t="shared" si="260"/>
        <v>4295.3</v>
      </c>
      <c r="L4219">
        <f t="shared" si="261"/>
        <v>4295.3100000000004</v>
      </c>
      <c r="M4219">
        <f t="shared" si="262"/>
        <v>4295.3</v>
      </c>
      <c r="N4219" s="5" t="str">
        <f t="shared" si="263"/>
        <v>September 2023</v>
      </c>
    </row>
    <row r="4220" spans="1:14" x14ac:dyDescent="0.25">
      <c r="A4220" s="1">
        <v>45175</v>
      </c>
      <c r="B4220" t="s">
        <v>4554</v>
      </c>
      <c r="C4220">
        <v>92</v>
      </c>
      <c r="D4220" t="s">
        <v>21</v>
      </c>
      <c r="E4220" t="s">
        <v>32</v>
      </c>
      <c r="F4220" t="s">
        <v>29</v>
      </c>
      <c r="G4220" t="s">
        <v>39</v>
      </c>
      <c r="H4220">
        <v>1130.76</v>
      </c>
      <c r="I4220" s="8" t="str" cm="1">
        <f t="array" ref="I4220">_xlfn.IFS(C4220&lt;=15,"Children and Young Adolescents", C4220&gt;64, "Seniors", TRUE, "Working Age")</f>
        <v>Seniors</v>
      </c>
      <c r="J4220" s="6">
        <f>VLOOKUP(F4220,Analysis!$F$1:$G$5,2,FALSE)</f>
        <v>2496.7676064256989</v>
      </c>
      <c r="K4220">
        <f t="shared" si="260"/>
        <v>1243.83</v>
      </c>
      <c r="L4220">
        <f t="shared" si="261"/>
        <v>1243.8399999999999</v>
      </c>
      <c r="M4220">
        <f t="shared" si="262"/>
        <v>1243.8399999999999</v>
      </c>
      <c r="N4220" s="5" t="str">
        <f t="shared" si="263"/>
        <v>September 2023</v>
      </c>
    </row>
    <row r="4221" spans="1:14" x14ac:dyDescent="0.25">
      <c r="A4221" s="1">
        <v>45176</v>
      </c>
      <c r="B4221" t="s">
        <v>1745</v>
      </c>
      <c r="C4221">
        <v>6</v>
      </c>
      <c r="D4221" t="s">
        <v>21</v>
      </c>
      <c r="E4221" t="s">
        <v>5032</v>
      </c>
      <c r="F4221" t="s">
        <v>29</v>
      </c>
      <c r="G4221" t="s">
        <v>12</v>
      </c>
      <c r="H4221">
        <v>743.67</v>
      </c>
      <c r="I4221" s="8" t="str" cm="1">
        <f t="array" ref="I4221">_xlfn.IFS(C4221&lt;=15,"Children and Young Adolescents", C4221&gt;64, "Seniors", TRUE, "Working Age")</f>
        <v>Children and Young Adolescents</v>
      </c>
      <c r="J4221" s="6">
        <f>VLOOKUP(F4221,Analysis!$F$1:$G$5,2,FALSE)</f>
        <v>2496.7676064256989</v>
      </c>
      <c r="K4221">
        <f t="shared" si="260"/>
        <v>818.03</v>
      </c>
      <c r="L4221">
        <f t="shared" si="261"/>
        <v>818.04</v>
      </c>
      <c r="M4221">
        <f t="shared" si="262"/>
        <v>818.04</v>
      </c>
      <c r="N4221" s="5" t="str">
        <f t="shared" si="263"/>
        <v>September 2023</v>
      </c>
    </row>
    <row r="4222" spans="1:14" x14ac:dyDescent="0.25">
      <c r="A4222" s="1">
        <v>45176</v>
      </c>
      <c r="B4222" t="s">
        <v>875</v>
      </c>
      <c r="C4222">
        <v>93</v>
      </c>
      <c r="D4222" t="s">
        <v>9</v>
      </c>
      <c r="E4222" t="s">
        <v>25</v>
      </c>
      <c r="F4222" t="s">
        <v>23</v>
      </c>
      <c r="G4222" t="s">
        <v>36</v>
      </c>
      <c r="H4222">
        <v>1220.4000000000001</v>
      </c>
      <c r="I4222" s="8" t="str" cm="1">
        <f t="array" ref="I4222">_xlfn.IFS(C4222&lt;=15,"Children and Young Adolescents", C4222&gt;64, "Seniors", TRUE, "Working Age")</f>
        <v>Seniors</v>
      </c>
      <c r="J4222" s="6">
        <f>VLOOKUP(F4222,Analysis!$F$1:$G$5,2,FALSE)</f>
        <v>2440.2966694490838</v>
      </c>
      <c r="K4222">
        <f t="shared" si="260"/>
        <v>1342.44</v>
      </c>
      <c r="L4222">
        <f t="shared" si="261"/>
        <v>1342.44</v>
      </c>
      <c r="M4222">
        <f t="shared" si="262"/>
        <v>1342.44</v>
      </c>
      <c r="N4222" s="5" t="str">
        <f t="shared" si="263"/>
        <v>September 2023</v>
      </c>
    </row>
    <row r="4223" spans="1:14" x14ac:dyDescent="0.25">
      <c r="A4223" s="1">
        <v>45176</v>
      </c>
      <c r="B4223" t="s">
        <v>4678</v>
      </c>
      <c r="C4223">
        <v>15</v>
      </c>
      <c r="D4223" t="s">
        <v>9</v>
      </c>
      <c r="E4223" t="s">
        <v>15</v>
      </c>
      <c r="F4223" t="s">
        <v>23</v>
      </c>
      <c r="G4223" t="s">
        <v>39</v>
      </c>
      <c r="H4223">
        <v>2174.64</v>
      </c>
      <c r="I4223" s="8" t="str" cm="1">
        <f t="array" ref="I4223">_xlfn.IFS(C4223&lt;=15,"Children and Young Adolescents", C4223&gt;64, "Seniors", TRUE, "Working Age")</f>
        <v>Children and Young Adolescents</v>
      </c>
      <c r="J4223" s="6">
        <f>VLOOKUP(F4223,Analysis!$F$1:$G$5,2,FALSE)</f>
        <v>2440.2966694490838</v>
      </c>
      <c r="K4223">
        <f t="shared" si="260"/>
        <v>2392.1</v>
      </c>
      <c r="L4223">
        <f t="shared" si="261"/>
        <v>2392.11</v>
      </c>
      <c r="M4223">
        <f t="shared" si="262"/>
        <v>2392.1</v>
      </c>
      <c r="N4223" s="5" t="str">
        <f t="shared" si="263"/>
        <v>September 2023</v>
      </c>
    </row>
    <row r="4224" spans="1:14" x14ac:dyDescent="0.25">
      <c r="A4224" s="1">
        <v>45176</v>
      </c>
      <c r="B4224" t="s">
        <v>2413</v>
      </c>
      <c r="C4224">
        <v>7</v>
      </c>
      <c r="D4224" t="s">
        <v>21</v>
      </c>
      <c r="E4224" t="s">
        <v>32</v>
      </c>
      <c r="F4224" t="s">
        <v>11</v>
      </c>
      <c r="G4224" t="s">
        <v>27</v>
      </c>
      <c r="H4224">
        <v>2755.45</v>
      </c>
      <c r="I4224" s="8" t="str" cm="1">
        <f t="array" ref="I4224">_xlfn.IFS(C4224&lt;=15,"Children and Young Adolescents", C4224&gt;64, "Seniors", TRUE, "Working Age")</f>
        <v>Children and Young Adolescents</v>
      </c>
      <c r="J4224" s="6">
        <f>VLOOKUP(F4224,Analysis!$F$1:$G$5,2,FALSE)</f>
        <v>2503.6022787783854</v>
      </c>
      <c r="K4224">
        <f t="shared" si="260"/>
        <v>3030.99</v>
      </c>
      <c r="L4224">
        <f t="shared" si="261"/>
        <v>3031</v>
      </c>
      <c r="M4224">
        <f t="shared" si="262"/>
        <v>3031</v>
      </c>
      <c r="N4224" s="5" t="str">
        <f t="shared" si="263"/>
        <v>September 2023</v>
      </c>
    </row>
    <row r="4225" spans="1:14" x14ac:dyDescent="0.25">
      <c r="A4225" s="1">
        <v>45176</v>
      </c>
      <c r="B4225" t="s">
        <v>1079</v>
      </c>
      <c r="C4225">
        <v>97</v>
      </c>
      <c r="D4225" t="s">
        <v>21</v>
      </c>
      <c r="E4225" t="s">
        <v>32</v>
      </c>
      <c r="F4225" t="s">
        <v>11</v>
      </c>
      <c r="G4225" t="s">
        <v>36</v>
      </c>
      <c r="H4225">
        <v>65.48</v>
      </c>
      <c r="I4225" s="8" t="str" cm="1">
        <f t="array" ref="I4225">_xlfn.IFS(C4225&lt;=15,"Children and Young Adolescents", C4225&gt;64, "Seniors", TRUE, "Working Age")</f>
        <v>Seniors</v>
      </c>
      <c r="J4225" s="6">
        <f>VLOOKUP(F4225,Analysis!$F$1:$G$5,2,FALSE)</f>
        <v>2503.6022787783854</v>
      </c>
      <c r="K4225">
        <f t="shared" si="260"/>
        <v>72.02</v>
      </c>
      <c r="L4225">
        <f t="shared" si="261"/>
        <v>72.03</v>
      </c>
      <c r="M4225">
        <f t="shared" si="262"/>
        <v>72.03</v>
      </c>
      <c r="N4225" s="5" t="str">
        <f t="shared" si="263"/>
        <v>September 2023</v>
      </c>
    </row>
    <row r="4226" spans="1:14" x14ac:dyDescent="0.25">
      <c r="A4226" s="1">
        <v>45177</v>
      </c>
      <c r="B4226" t="s">
        <v>2441</v>
      </c>
      <c r="C4226">
        <v>15</v>
      </c>
      <c r="D4226" t="s">
        <v>14</v>
      </c>
      <c r="E4226" t="s">
        <v>19</v>
      </c>
      <c r="F4226" t="s">
        <v>11</v>
      </c>
      <c r="G4226" t="s">
        <v>27</v>
      </c>
      <c r="H4226">
        <v>917.92</v>
      </c>
      <c r="I4226" s="8" t="str" cm="1">
        <f t="array" ref="I4226">_xlfn.IFS(C4226&lt;=15,"Children and Young Adolescents", C4226&gt;64, "Seniors", TRUE, "Working Age")</f>
        <v>Children and Young Adolescents</v>
      </c>
      <c r="J4226" s="6">
        <f>VLOOKUP(F4226,Analysis!$F$1:$G$5,2,FALSE)</f>
        <v>2503.6022787783854</v>
      </c>
      <c r="K4226">
        <f t="shared" si="260"/>
        <v>1009.71</v>
      </c>
      <c r="L4226">
        <f t="shared" si="261"/>
        <v>1009.72</v>
      </c>
      <c r="M4226">
        <f t="shared" si="262"/>
        <v>1009.71</v>
      </c>
      <c r="N4226" s="5" t="str">
        <f t="shared" si="263"/>
        <v>September 2023</v>
      </c>
    </row>
    <row r="4227" spans="1:14" x14ac:dyDescent="0.25">
      <c r="A4227" s="1">
        <v>45177</v>
      </c>
      <c r="B4227" t="s">
        <v>3289</v>
      </c>
      <c r="C4227">
        <v>16</v>
      </c>
      <c r="D4227" t="s">
        <v>9</v>
      </c>
      <c r="E4227" t="s">
        <v>32</v>
      </c>
      <c r="F4227" t="s">
        <v>11</v>
      </c>
      <c r="G4227" t="s">
        <v>27</v>
      </c>
      <c r="H4227">
        <v>3029.02</v>
      </c>
      <c r="I4227" s="8" t="str" cm="1">
        <f t="array" ref="I4227">_xlfn.IFS(C4227&lt;=15,"Children and Young Adolescents", C4227&gt;64, "Seniors", TRUE, "Working Age")</f>
        <v>Working Age</v>
      </c>
      <c r="J4227" s="6">
        <f>VLOOKUP(F4227,Analysis!$F$1:$G$5,2,FALSE)</f>
        <v>2503.6022787783854</v>
      </c>
      <c r="K4227">
        <f t="shared" ref="K4227:K4290" si="264">ROUNDDOWN(H4227*1.1,2)</f>
        <v>3331.92</v>
      </c>
      <c r="L4227">
        <f t="shared" ref="L4227:L4290" si="265">ROUNDUP(H4227*1.1,2)</f>
        <v>3331.9300000000003</v>
      </c>
      <c r="M4227">
        <f t="shared" ref="M4227:M4290" si="266">ROUND(H4227*1.1,2)</f>
        <v>3331.92</v>
      </c>
      <c r="N4227" s="5" t="str">
        <f t="shared" ref="N4227:N4290" si="267">TEXT(A4227,"mmmm yyyy")</f>
        <v>September 2023</v>
      </c>
    </row>
    <row r="4228" spans="1:14" x14ac:dyDescent="0.25">
      <c r="A4228" s="1">
        <v>45177</v>
      </c>
      <c r="B4228" t="s">
        <v>3752</v>
      </c>
      <c r="C4228">
        <v>93</v>
      </c>
      <c r="D4228" t="s">
        <v>9</v>
      </c>
      <c r="E4228" t="s">
        <v>10</v>
      </c>
      <c r="F4228" t="s">
        <v>23</v>
      </c>
      <c r="G4228" t="s">
        <v>36</v>
      </c>
      <c r="H4228">
        <v>130.77000000000001</v>
      </c>
      <c r="I4228" s="8" t="str" cm="1">
        <f t="array" ref="I4228">_xlfn.IFS(C4228&lt;=15,"Children and Young Adolescents", C4228&gt;64, "Seniors", TRUE, "Working Age")</f>
        <v>Seniors</v>
      </c>
      <c r="J4228" s="6">
        <f>VLOOKUP(F4228,Analysis!$F$1:$G$5,2,FALSE)</f>
        <v>2440.2966694490838</v>
      </c>
      <c r="K4228">
        <f t="shared" si="264"/>
        <v>143.84</v>
      </c>
      <c r="L4228">
        <f t="shared" si="265"/>
        <v>143.85</v>
      </c>
      <c r="M4228">
        <f t="shared" si="266"/>
        <v>143.85</v>
      </c>
      <c r="N4228" s="5" t="str">
        <f t="shared" si="267"/>
        <v>September 2023</v>
      </c>
    </row>
    <row r="4229" spans="1:14" x14ac:dyDescent="0.25">
      <c r="A4229" s="1">
        <v>45177</v>
      </c>
      <c r="B4229" t="s">
        <v>1555</v>
      </c>
      <c r="C4229">
        <v>43</v>
      </c>
      <c r="D4229" t="s">
        <v>9</v>
      </c>
      <c r="E4229" t="s">
        <v>25</v>
      </c>
      <c r="F4229" t="s">
        <v>23</v>
      </c>
      <c r="G4229" t="s">
        <v>17</v>
      </c>
      <c r="H4229">
        <v>799.19</v>
      </c>
      <c r="I4229" s="8" t="str" cm="1">
        <f t="array" ref="I4229">_xlfn.IFS(C4229&lt;=15,"Children and Young Adolescents", C4229&gt;64, "Seniors", TRUE, "Working Age")</f>
        <v>Working Age</v>
      </c>
      <c r="J4229" s="6">
        <f>VLOOKUP(F4229,Analysis!$F$1:$G$5,2,FALSE)</f>
        <v>2440.2966694490838</v>
      </c>
      <c r="K4229">
        <f t="shared" si="264"/>
        <v>879.1</v>
      </c>
      <c r="L4229">
        <f t="shared" si="265"/>
        <v>879.11</v>
      </c>
      <c r="M4229">
        <f t="shared" si="266"/>
        <v>879.11</v>
      </c>
      <c r="N4229" s="5" t="str">
        <f t="shared" si="267"/>
        <v>September 2023</v>
      </c>
    </row>
    <row r="4230" spans="1:14" x14ac:dyDescent="0.25">
      <c r="A4230" s="1">
        <v>45177</v>
      </c>
      <c r="B4230" t="s">
        <v>2644</v>
      </c>
      <c r="C4230">
        <v>44</v>
      </c>
      <c r="D4230" t="s">
        <v>9</v>
      </c>
      <c r="E4230" t="s">
        <v>10</v>
      </c>
      <c r="F4230" t="s">
        <v>23</v>
      </c>
      <c r="G4230" t="s">
        <v>12</v>
      </c>
      <c r="H4230">
        <v>4059.99</v>
      </c>
      <c r="I4230" s="8" t="str" cm="1">
        <f t="array" ref="I4230">_xlfn.IFS(C4230&lt;=15,"Children and Young Adolescents", C4230&gt;64, "Seniors", TRUE, "Working Age")</f>
        <v>Working Age</v>
      </c>
      <c r="J4230" s="6">
        <f>VLOOKUP(F4230,Analysis!$F$1:$G$5,2,FALSE)</f>
        <v>2440.2966694490838</v>
      </c>
      <c r="K4230">
        <f t="shared" si="264"/>
        <v>4465.9799999999996</v>
      </c>
      <c r="L4230">
        <f t="shared" si="265"/>
        <v>4465.99</v>
      </c>
      <c r="M4230">
        <f t="shared" si="266"/>
        <v>4465.99</v>
      </c>
      <c r="N4230" s="5" t="str">
        <f t="shared" si="267"/>
        <v>September 2023</v>
      </c>
    </row>
    <row r="4231" spans="1:14" x14ac:dyDescent="0.25">
      <c r="A4231" s="1">
        <v>45177</v>
      </c>
      <c r="B4231" t="s">
        <v>4397</v>
      </c>
      <c r="C4231">
        <v>0</v>
      </c>
      <c r="D4231" t="s">
        <v>14</v>
      </c>
      <c r="E4231" t="s">
        <v>34</v>
      </c>
      <c r="F4231" t="s">
        <v>11</v>
      </c>
      <c r="G4231" t="s">
        <v>36</v>
      </c>
      <c r="H4231">
        <v>1868.57</v>
      </c>
      <c r="I4231" s="8" t="str" cm="1">
        <f t="array" ref="I4231">_xlfn.IFS(C4231&lt;=15,"Children and Young Adolescents", C4231&gt;64, "Seniors", TRUE, "Working Age")</f>
        <v>Children and Young Adolescents</v>
      </c>
      <c r="J4231" s="6">
        <f>VLOOKUP(F4231,Analysis!$F$1:$G$5,2,FALSE)</f>
        <v>2503.6022787783854</v>
      </c>
      <c r="K4231">
        <f t="shared" si="264"/>
        <v>2055.42</v>
      </c>
      <c r="L4231">
        <f t="shared" si="265"/>
        <v>2055.4300000000003</v>
      </c>
      <c r="M4231">
        <f t="shared" si="266"/>
        <v>2055.4299999999998</v>
      </c>
      <c r="N4231" s="5" t="str">
        <f t="shared" si="267"/>
        <v>September 2023</v>
      </c>
    </row>
    <row r="4232" spans="1:14" x14ac:dyDescent="0.25">
      <c r="A4232" s="1">
        <v>45178</v>
      </c>
      <c r="B4232" t="s">
        <v>1167</v>
      </c>
      <c r="C4232">
        <v>48</v>
      </c>
      <c r="D4232" t="s">
        <v>9</v>
      </c>
      <c r="E4232" t="s">
        <v>25</v>
      </c>
      <c r="F4232" t="s">
        <v>29</v>
      </c>
      <c r="G4232" t="s">
        <v>17</v>
      </c>
      <c r="H4232">
        <v>4732.6400000000003</v>
      </c>
      <c r="I4232" s="8" t="str" cm="1">
        <f t="array" ref="I4232">_xlfn.IFS(C4232&lt;=15,"Children and Young Adolescents", C4232&gt;64, "Seniors", TRUE, "Working Age")</f>
        <v>Working Age</v>
      </c>
      <c r="J4232" s="6">
        <f>VLOOKUP(F4232,Analysis!$F$1:$G$5,2,FALSE)</f>
        <v>2496.7676064256989</v>
      </c>
      <c r="K4232">
        <f t="shared" si="264"/>
        <v>5205.8999999999996</v>
      </c>
      <c r="L4232">
        <f t="shared" si="265"/>
        <v>5205.91</v>
      </c>
      <c r="M4232">
        <f t="shared" si="266"/>
        <v>5205.8999999999996</v>
      </c>
      <c r="N4232" s="5" t="str">
        <f t="shared" si="267"/>
        <v>September 2023</v>
      </c>
    </row>
    <row r="4233" spans="1:14" x14ac:dyDescent="0.25">
      <c r="A4233" s="1">
        <v>45178</v>
      </c>
      <c r="B4233" t="s">
        <v>2656</v>
      </c>
      <c r="C4233">
        <v>36</v>
      </c>
      <c r="D4233" t="s">
        <v>9</v>
      </c>
      <c r="E4233" t="s">
        <v>32</v>
      </c>
      <c r="F4233" t="s">
        <v>11</v>
      </c>
      <c r="G4233" t="s">
        <v>17</v>
      </c>
      <c r="H4233">
        <v>1478.77</v>
      </c>
      <c r="I4233" s="8" t="str" cm="1">
        <f t="array" ref="I4233">_xlfn.IFS(C4233&lt;=15,"Children and Young Adolescents", C4233&gt;64, "Seniors", TRUE, "Working Age")</f>
        <v>Working Age</v>
      </c>
      <c r="J4233" s="6">
        <f>VLOOKUP(F4233,Analysis!$F$1:$G$5,2,FALSE)</f>
        <v>2503.6022787783854</v>
      </c>
      <c r="K4233">
        <f t="shared" si="264"/>
        <v>1626.64</v>
      </c>
      <c r="L4233">
        <f t="shared" si="265"/>
        <v>1626.65</v>
      </c>
      <c r="M4233">
        <f t="shared" si="266"/>
        <v>1626.65</v>
      </c>
      <c r="N4233" s="5" t="str">
        <f t="shared" si="267"/>
        <v>September 2023</v>
      </c>
    </row>
    <row r="4234" spans="1:14" x14ac:dyDescent="0.25">
      <c r="A4234" s="1">
        <v>45178</v>
      </c>
      <c r="B4234" t="s">
        <v>2721</v>
      </c>
      <c r="C4234">
        <v>21</v>
      </c>
      <c r="D4234" t="s">
        <v>21</v>
      </c>
      <c r="E4234" t="s">
        <v>32</v>
      </c>
      <c r="F4234" t="s">
        <v>23</v>
      </c>
      <c r="G4234" t="s">
        <v>17</v>
      </c>
      <c r="H4234">
        <v>4292.9399999999996</v>
      </c>
      <c r="I4234" s="8" t="str" cm="1">
        <f t="array" ref="I4234">_xlfn.IFS(C4234&lt;=15,"Children and Young Adolescents", C4234&gt;64, "Seniors", TRUE, "Working Age")</f>
        <v>Working Age</v>
      </c>
      <c r="J4234" s="6">
        <f>VLOOKUP(F4234,Analysis!$F$1:$G$5,2,FALSE)</f>
        <v>2440.2966694490838</v>
      </c>
      <c r="K4234">
        <f t="shared" si="264"/>
        <v>4722.2299999999996</v>
      </c>
      <c r="L4234">
        <f t="shared" si="265"/>
        <v>4722.24</v>
      </c>
      <c r="M4234">
        <f t="shared" si="266"/>
        <v>4722.2299999999996</v>
      </c>
      <c r="N4234" s="5" t="str">
        <f t="shared" si="267"/>
        <v>September 2023</v>
      </c>
    </row>
    <row r="4235" spans="1:14" x14ac:dyDescent="0.25">
      <c r="A4235" s="1">
        <v>45178</v>
      </c>
      <c r="B4235" t="s">
        <v>1468</v>
      </c>
      <c r="C4235">
        <v>32</v>
      </c>
      <c r="D4235" t="s">
        <v>21</v>
      </c>
      <c r="E4235" t="s">
        <v>25</v>
      </c>
      <c r="F4235" t="s">
        <v>23</v>
      </c>
      <c r="G4235" t="s">
        <v>27</v>
      </c>
      <c r="H4235">
        <v>1540.12</v>
      </c>
      <c r="I4235" s="8" t="str" cm="1">
        <f t="array" ref="I4235">_xlfn.IFS(C4235&lt;=15,"Children and Young Adolescents", C4235&gt;64, "Seniors", TRUE, "Working Age")</f>
        <v>Working Age</v>
      </c>
      <c r="J4235" s="6">
        <f>VLOOKUP(F4235,Analysis!$F$1:$G$5,2,FALSE)</f>
        <v>2440.2966694490838</v>
      </c>
      <c r="K4235">
        <f t="shared" si="264"/>
        <v>1694.13</v>
      </c>
      <c r="L4235">
        <f t="shared" si="265"/>
        <v>1694.14</v>
      </c>
      <c r="M4235">
        <f t="shared" si="266"/>
        <v>1694.13</v>
      </c>
      <c r="N4235" s="5" t="str">
        <f t="shared" si="267"/>
        <v>September 2023</v>
      </c>
    </row>
    <row r="4236" spans="1:14" x14ac:dyDescent="0.25">
      <c r="A4236" s="1">
        <v>45178</v>
      </c>
      <c r="B4236" t="s">
        <v>3499</v>
      </c>
      <c r="C4236">
        <v>37</v>
      </c>
      <c r="D4236" t="s">
        <v>9</v>
      </c>
      <c r="E4236" t="s">
        <v>34</v>
      </c>
      <c r="F4236" t="s">
        <v>16</v>
      </c>
      <c r="G4236" t="s">
        <v>39</v>
      </c>
      <c r="H4236">
        <v>4488.92</v>
      </c>
      <c r="I4236" s="8" t="str" cm="1">
        <f t="array" ref="I4236">_xlfn.IFS(C4236&lt;=15,"Children and Young Adolescents", C4236&gt;64, "Seniors", TRUE, "Working Age")</f>
        <v>Working Age</v>
      </c>
      <c r="J4236" s="6">
        <f>VLOOKUP(F4236,Analysis!$F$1:$G$5,2,FALSE)</f>
        <v>2509.1716796874912</v>
      </c>
      <c r="K4236">
        <f t="shared" si="264"/>
        <v>4937.8100000000004</v>
      </c>
      <c r="L4236">
        <f t="shared" si="265"/>
        <v>4937.8200000000006</v>
      </c>
      <c r="M4236">
        <f t="shared" si="266"/>
        <v>4937.8100000000004</v>
      </c>
      <c r="N4236" s="5" t="str">
        <f t="shared" si="267"/>
        <v>September 2023</v>
      </c>
    </row>
    <row r="4237" spans="1:14" x14ac:dyDescent="0.25">
      <c r="A4237" s="1">
        <v>45178</v>
      </c>
      <c r="B4237" t="s">
        <v>3159</v>
      </c>
      <c r="C4237">
        <v>56</v>
      </c>
      <c r="D4237" t="s">
        <v>9</v>
      </c>
      <c r="E4237" t="s">
        <v>25</v>
      </c>
      <c r="F4237" t="s">
        <v>29</v>
      </c>
      <c r="G4237" t="s">
        <v>27</v>
      </c>
      <c r="H4237">
        <v>4861.33</v>
      </c>
      <c r="I4237" s="8" t="str" cm="1">
        <f t="array" ref="I4237">_xlfn.IFS(C4237&lt;=15,"Children and Young Adolescents", C4237&gt;64, "Seniors", TRUE, "Working Age")</f>
        <v>Working Age</v>
      </c>
      <c r="J4237" s="6">
        <f>VLOOKUP(F4237,Analysis!$F$1:$G$5,2,FALSE)</f>
        <v>2496.7676064256989</v>
      </c>
      <c r="K4237">
        <f t="shared" si="264"/>
        <v>5347.46</v>
      </c>
      <c r="L4237">
        <f t="shared" si="265"/>
        <v>5347.47</v>
      </c>
      <c r="M4237">
        <f t="shared" si="266"/>
        <v>5347.46</v>
      </c>
      <c r="N4237" s="5" t="str">
        <f t="shared" si="267"/>
        <v>September 2023</v>
      </c>
    </row>
    <row r="4238" spans="1:14" x14ac:dyDescent="0.25">
      <c r="A4238" s="1">
        <v>45178</v>
      </c>
      <c r="B4238" t="s">
        <v>640</v>
      </c>
      <c r="C4238">
        <v>27</v>
      </c>
      <c r="D4238" t="s">
        <v>14</v>
      </c>
      <c r="E4238" t="s">
        <v>34</v>
      </c>
      <c r="F4238" t="s">
        <v>23</v>
      </c>
      <c r="G4238" t="s">
        <v>39</v>
      </c>
      <c r="H4238">
        <v>3664.16</v>
      </c>
      <c r="I4238" s="8" t="str" cm="1">
        <f t="array" ref="I4238">_xlfn.IFS(C4238&lt;=15,"Children and Young Adolescents", C4238&gt;64, "Seniors", TRUE, "Working Age")</f>
        <v>Working Age</v>
      </c>
      <c r="J4238" s="6">
        <f>VLOOKUP(F4238,Analysis!$F$1:$G$5,2,FALSE)</f>
        <v>2440.2966694490838</v>
      </c>
      <c r="K4238">
        <f t="shared" si="264"/>
        <v>4030.57</v>
      </c>
      <c r="L4238">
        <f t="shared" si="265"/>
        <v>4030.5800000000004</v>
      </c>
      <c r="M4238">
        <f t="shared" si="266"/>
        <v>4030.58</v>
      </c>
      <c r="N4238" s="5" t="str">
        <f t="shared" si="267"/>
        <v>September 2023</v>
      </c>
    </row>
    <row r="4239" spans="1:14" x14ac:dyDescent="0.25">
      <c r="A4239" s="1">
        <v>45178</v>
      </c>
      <c r="B4239" t="s">
        <v>3806</v>
      </c>
      <c r="C4239">
        <v>28</v>
      </c>
      <c r="D4239" t="s">
        <v>9</v>
      </c>
      <c r="E4239" t="s">
        <v>15</v>
      </c>
      <c r="F4239" t="s">
        <v>11</v>
      </c>
      <c r="G4239" t="s">
        <v>27</v>
      </c>
      <c r="H4239">
        <v>198.73</v>
      </c>
      <c r="I4239" s="8" t="str" cm="1">
        <f t="array" ref="I4239">_xlfn.IFS(C4239&lt;=15,"Children and Young Adolescents", C4239&gt;64, "Seniors", TRUE, "Working Age")</f>
        <v>Working Age</v>
      </c>
      <c r="J4239" s="6">
        <f>VLOOKUP(F4239,Analysis!$F$1:$G$5,2,FALSE)</f>
        <v>2503.6022787783854</v>
      </c>
      <c r="K4239">
        <f t="shared" si="264"/>
        <v>218.6</v>
      </c>
      <c r="L4239">
        <f t="shared" si="265"/>
        <v>218.60999999999999</v>
      </c>
      <c r="M4239">
        <f t="shared" si="266"/>
        <v>218.6</v>
      </c>
      <c r="N4239" s="5" t="str">
        <f t="shared" si="267"/>
        <v>September 2023</v>
      </c>
    </row>
    <row r="4240" spans="1:14" x14ac:dyDescent="0.25">
      <c r="A4240" s="1">
        <v>45180</v>
      </c>
      <c r="B4240" t="s">
        <v>4241</v>
      </c>
      <c r="C4240">
        <v>93</v>
      </c>
      <c r="D4240" t="s">
        <v>9</v>
      </c>
      <c r="E4240" t="s">
        <v>19</v>
      </c>
      <c r="F4240" t="s">
        <v>23</v>
      </c>
      <c r="G4240" t="s">
        <v>12</v>
      </c>
      <c r="H4240">
        <v>4071.53</v>
      </c>
      <c r="I4240" s="8" t="str" cm="1">
        <f t="array" ref="I4240">_xlfn.IFS(C4240&lt;=15,"Children and Young Adolescents", C4240&gt;64, "Seniors", TRUE, "Working Age")</f>
        <v>Seniors</v>
      </c>
      <c r="J4240" s="6">
        <f>VLOOKUP(F4240,Analysis!$F$1:$G$5,2,FALSE)</f>
        <v>2440.2966694490838</v>
      </c>
      <c r="K4240">
        <f t="shared" si="264"/>
        <v>4478.68</v>
      </c>
      <c r="L4240">
        <f t="shared" si="265"/>
        <v>4478.6900000000005</v>
      </c>
      <c r="M4240">
        <f t="shared" si="266"/>
        <v>4478.68</v>
      </c>
      <c r="N4240" s="5" t="str">
        <f t="shared" si="267"/>
        <v>September 2023</v>
      </c>
    </row>
    <row r="4241" spans="1:14" x14ac:dyDescent="0.25">
      <c r="A4241" s="1">
        <v>45180</v>
      </c>
      <c r="B4241" t="s">
        <v>935</v>
      </c>
      <c r="C4241">
        <v>57</v>
      </c>
      <c r="D4241" t="s">
        <v>14</v>
      </c>
      <c r="E4241" t="s">
        <v>32</v>
      </c>
      <c r="F4241" t="s">
        <v>11</v>
      </c>
      <c r="G4241" t="s">
        <v>27</v>
      </c>
      <c r="H4241">
        <v>2012.67</v>
      </c>
      <c r="I4241" s="8" t="str" cm="1">
        <f t="array" ref="I4241">_xlfn.IFS(C4241&lt;=15,"Children and Young Adolescents", C4241&gt;64, "Seniors", TRUE, "Working Age")</f>
        <v>Working Age</v>
      </c>
      <c r="J4241" s="6">
        <f>VLOOKUP(F4241,Analysis!$F$1:$G$5,2,FALSE)</f>
        <v>2503.6022787783854</v>
      </c>
      <c r="K4241">
        <f t="shared" si="264"/>
        <v>2213.9299999999998</v>
      </c>
      <c r="L4241">
        <f t="shared" si="265"/>
        <v>2213.94</v>
      </c>
      <c r="M4241">
        <f t="shared" si="266"/>
        <v>2213.94</v>
      </c>
      <c r="N4241" s="5" t="str">
        <f t="shared" si="267"/>
        <v>September 2023</v>
      </c>
    </row>
    <row r="4242" spans="1:14" x14ac:dyDescent="0.25">
      <c r="A4242" s="1">
        <v>45180</v>
      </c>
      <c r="B4242" t="s">
        <v>4801</v>
      </c>
      <c r="C4242">
        <v>77</v>
      </c>
      <c r="D4242" t="s">
        <v>14</v>
      </c>
      <c r="E4242" t="s">
        <v>34</v>
      </c>
      <c r="F4242" t="s">
        <v>11</v>
      </c>
      <c r="G4242" t="s">
        <v>12</v>
      </c>
      <c r="H4242">
        <v>4202.07</v>
      </c>
      <c r="I4242" s="8" t="str" cm="1">
        <f t="array" ref="I4242">_xlfn.IFS(C4242&lt;=15,"Children and Young Adolescents", C4242&gt;64, "Seniors", TRUE, "Working Age")</f>
        <v>Seniors</v>
      </c>
      <c r="J4242" s="6">
        <f>VLOOKUP(F4242,Analysis!$F$1:$G$5,2,FALSE)</f>
        <v>2503.6022787783854</v>
      </c>
      <c r="K4242">
        <f t="shared" si="264"/>
        <v>4622.2700000000004</v>
      </c>
      <c r="L4242">
        <f t="shared" si="265"/>
        <v>4622.2800000000007</v>
      </c>
      <c r="M4242">
        <f t="shared" si="266"/>
        <v>4622.28</v>
      </c>
      <c r="N4242" s="5" t="str">
        <f t="shared" si="267"/>
        <v>September 2023</v>
      </c>
    </row>
    <row r="4243" spans="1:14" x14ac:dyDescent="0.25">
      <c r="A4243" s="1">
        <v>45180</v>
      </c>
      <c r="B4243" t="s">
        <v>285</v>
      </c>
      <c r="C4243">
        <v>43</v>
      </c>
      <c r="D4243" t="s">
        <v>14</v>
      </c>
      <c r="E4243" t="s">
        <v>286</v>
      </c>
      <c r="F4243" t="s">
        <v>23</v>
      </c>
      <c r="G4243" t="s">
        <v>27</v>
      </c>
      <c r="H4243">
        <v>3588.98</v>
      </c>
      <c r="I4243" s="8" t="str" cm="1">
        <f t="array" ref="I4243">_xlfn.IFS(C4243&lt;=15,"Children and Young Adolescents", C4243&gt;64, "Seniors", TRUE, "Working Age")</f>
        <v>Working Age</v>
      </c>
      <c r="J4243" s="6">
        <f>VLOOKUP(F4243,Analysis!$F$1:$G$5,2,FALSE)</f>
        <v>2440.2966694490838</v>
      </c>
      <c r="K4243">
        <f t="shared" si="264"/>
        <v>3947.87</v>
      </c>
      <c r="L4243">
        <f t="shared" si="265"/>
        <v>3947.88</v>
      </c>
      <c r="M4243">
        <f t="shared" si="266"/>
        <v>3947.88</v>
      </c>
      <c r="N4243" s="5" t="str">
        <f t="shared" si="267"/>
        <v>September 2023</v>
      </c>
    </row>
    <row r="4244" spans="1:14" x14ac:dyDescent="0.25">
      <c r="A4244" s="1">
        <v>45180</v>
      </c>
      <c r="B4244" t="s">
        <v>1586</v>
      </c>
      <c r="C4244">
        <v>19</v>
      </c>
      <c r="D4244" t="s">
        <v>21</v>
      </c>
      <c r="E4244" t="s">
        <v>10</v>
      </c>
      <c r="F4244" t="s">
        <v>16</v>
      </c>
      <c r="G4244" t="s">
        <v>12</v>
      </c>
      <c r="H4244">
        <v>492.84</v>
      </c>
      <c r="I4244" s="8" t="str" cm="1">
        <f t="array" ref="I4244">_xlfn.IFS(C4244&lt;=15,"Children and Young Adolescents", C4244&gt;64, "Seniors", TRUE, "Working Age")</f>
        <v>Working Age</v>
      </c>
      <c r="J4244" s="6">
        <f>VLOOKUP(F4244,Analysis!$F$1:$G$5,2,FALSE)</f>
        <v>2509.1716796874912</v>
      </c>
      <c r="K4244">
        <f t="shared" si="264"/>
        <v>542.12</v>
      </c>
      <c r="L4244">
        <f t="shared" si="265"/>
        <v>542.13</v>
      </c>
      <c r="M4244">
        <f t="shared" si="266"/>
        <v>542.12</v>
      </c>
      <c r="N4244" s="5" t="str">
        <f t="shared" si="267"/>
        <v>September 2023</v>
      </c>
    </row>
    <row r="4245" spans="1:14" x14ac:dyDescent="0.25">
      <c r="A4245" s="1">
        <v>45180</v>
      </c>
      <c r="B4245" t="s">
        <v>1508</v>
      </c>
      <c r="C4245">
        <v>78</v>
      </c>
      <c r="D4245" t="s">
        <v>21</v>
      </c>
      <c r="E4245" t="s">
        <v>15</v>
      </c>
      <c r="F4245" t="s">
        <v>16</v>
      </c>
      <c r="G4245" t="s">
        <v>39</v>
      </c>
      <c r="H4245">
        <v>3327.55</v>
      </c>
      <c r="I4245" s="8" t="str" cm="1">
        <f t="array" ref="I4245">_xlfn.IFS(C4245&lt;=15,"Children and Young Adolescents", C4245&gt;64, "Seniors", TRUE, "Working Age")</f>
        <v>Seniors</v>
      </c>
      <c r="J4245" s="6">
        <f>VLOOKUP(F4245,Analysis!$F$1:$G$5,2,FALSE)</f>
        <v>2509.1716796874912</v>
      </c>
      <c r="K4245">
        <f t="shared" si="264"/>
        <v>3660.3</v>
      </c>
      <c r="L4245">
        <f t="shared" si="265"/>
        <v>3660.3100000000004</v>
      </c>
      <c r="M4245">
        <f t="shared" si="266"/>
        <v>3660.31</v>
      </c>
      <c r="N4245" s="5" t="str">
        <f t="shared" si="267"/>
        <v>September 2023</v>
      </c>
    </row>
    <row r="4246" spans="1:14" x14ac:dyDescent="0.25">
      <c r="A4246" s="1">
        <v>45181</v>
      </c>
      <c r="B4246" t="s">
        <v>1118</v>
      </c>
      <c r="C4246">
        <v>89</v>
      </c>
      <c r="D4246" t="s">
        <v>9</v>
      </c>
      <c r="E4246" t="s">
        <v>25</v>
      </c>
      <c r="F4246" t="s">
        <v>29</v>
      </c>
      <c r="G4246" t="s">
        <v>12</v>
      </c>
      <c r="H4246">
        <v>4311.38</v>
      </c>
      <c r="I4246" s="8" t="str" cm="1">
        <f t="array" ref="I4246">_xlfn.IFS(C4246&lt;=15,"Children and Young Adolescents", C4246&gt;64, "Seniors", TRUE, "Working Age")</f>
        <v>Seniors</v>
      </c>
      <c r="J4246" s="6">
        <f>VLOOKUP(F4246,Analysis!$F$1:$G$5,2,FALSE)</f>
        <v>2496.7676064256989</v>
      </c>
      <c r="K4246">
        <f t="shared" si="264"/>
        <v>4742.51</v>
      </c>
      <c r="L4246">
        <f t="shared" si="265"/>
        <v>4742.5200000000004</v>
      </c>
      <c r="M4246">
        <f t="shared" si="266"/>
        <v>4742.5200000000004</v>
      </c>
      <c r="N4246" s="5" t="str">
        <f t="shared" si="267"/>
        <v>September 2023</v>
      </c>
    </row>
    <row r="4247" spans="1:14" x14ac:dyDescent="0.25">
      <c r="A4247" s="1">
        <v>45181</v>
      </c>
      <c r="B4247" t="s">
        <v>4726</v>
      </c>
      <c r="C4247">
        <v>74</v>
      </c>
      <c r="D4247" t="s">
        <v>14</v>
      </c>
      <c r="E4247" t="s">
        <v>15</v>
      </c>
      <c r="F4247" t="s">
        <v>11</v>
      </c>
      <c r="G4247" t="s">
        <v>39</v>
      </c>
      <c r="H4247">
        <v>2924.88</v>
      </c>
      <c r="I4247" s="8" t="str" cm="1">
        <f t="array" ref="I4247">_xlfn.IFS(C4247&lt;=15,"Children and Young Adolescents", C4247&gt;64, "Seniors", TRUE, "Working Age")</f>
        <v>Seniors</v>
      </c>
      <c r="J4247" s="6">
        <f>VLOOKUP(F4247,Analysis!$F$1:$G$5,2,FALSE)</f>
        <v>2503.6022787783854</v>
      </c>
      <c r="K4247">
        <f t="shared" si="264"/>
        <v>3217.36</v>
      </c>
      <c r="L4247">
        <f t="shared" si="265"/>
        <v>3217.3700000000003</v>
      </c>
      <c r="M4247">
        <f t="shared" si="266"/>
        <v>3217.37</v>
      </c>
      <c r="N4247" s="5" t="str">
        <f t="shared" si="267"/>
        <v>September 2023</v>
      </c>
    </row>
    <row r="4248" spans="1:14" x14ac:dyDescent="0.25">
      <c r="A4248" s="1">
        <v>45181</v>
      </c>
      <c r="B4248" t="s">
        <v>4798</v>
      </c>
      <c r="C4248">
        <v>80</v>
      </c>
      <c r="D4248" t="s">
        <v>14</v>
      </c>
      <c r="E4248" t="s">
        <v>19</v>
      </c>
      <c r="F4248" t="s">
        <v>16</v>
      </c>
      <c r="G4248" t="s">
        <v>27</v>
      </c>
      <c r="H4248">
        <v>4183.6400000000003</v>
      </c>
      <c r="I4248" s="8" t="str" cm="1">
        <f t="array" ref="I4248">_xlfn.IFS(C4248&lt;=15,"Children and Young Adolescents", C4248&gt;64, "Seniors", TRUE, "Working Age")</f>
        <v>Seniors</v>
      </c>
      <c r="J4248" s="6">
        <f>VLOOKUP(F4248,Analysis!$F$1:$G$5,2,FALSE)</f>
        <v>2509.1716796874912</v>
      </c>
      <c r="K4248">
        <f t="shared" si="264"/>
        <v>4602</v>
      </c>
      <c r="L4248">
        <f t="shared" si="265"/>
        <v>4602.01</v>
      </c>
      <c r="M4248">
        <f t="shared" si="266"/>
        <v>4602</v>
      </c>
      <c r="N4248" s="5" t="str">
        <f t="shared" si="267"/>
        <v>September 2023</v>
      </c>
    </row>
    <row r="4249" spans="1:14" x14ac:dyDescent="0.25">
      <c r="A4249" s="1">
        <v>45182</v>
      </c>
      <c r="B4249" t="s">
        <v>2876</v>
      </c>
      <c r="C4249">
        <v>7</v>
      </c>
      <c r="D4249" t="s">
        <v>9</v>
      </c>
      <c r="E4249" t="s">
        <v>32</v>
      </c>
      <c r="F4249" t="s">
        <v>16</v>
      </c>
      <c r="G4249" t="s">
        <v>36</v>
      </c>
      <c r="H4249">
        <v>3980.82</v>
      </c>
      <c r="I4249" s="8" t="str" cm="1">
        <f t="array" ref="I4249">_xlfn.IFS(C4249&lt;=15,"Children and Young Adolescents", C4249&gt;64, "Seniors", TRUE, "Working Age")</f>
        <v>Children and Young Adolescents</v>
      </c>
      <c r="J4249" s="6">
        <f>VLOOKUP(F4249,Analysis!$F$1:$G$5,2,FALSE)</f>
        <v>2509.1716796874912</v>
      </c>
      <c r="K4249">
        <f t="shared" si="264"/>
        <v>4378.8999999999996</v>
      </c>
      <c r="L4249">
        <f t="shared" si="265"/>
        <v>4378.91</v>
      </c>
      <c r="M4249">
        <f t="shared" si="266"/>
        <v>4378.8999999999996</v>
      </c>
      <c r="N4249" s="5" t="str">
        <f t="shared" si="267"/>
        <v>September 2023</v>
      </c>
    </row>
    <row r="4250" spans="1:14" x14ac:dyDescent="0.25">
      <c r="A4250" s="1">
        <v>45182</v>
      </c>
      <c r="B4250" t="s">
        <v>3131</v>
      </c>
      <c r="C4250">
        <v>59</v>
      </c>
      <c r="D4250" t="s">
        <v>9</v>
      </c>
      <c r="E4250" t="s">
        <v>15</v>
      </c>
      <c r="F4250" t="s">
        <v>11</v>
      </c>
      <c r="G4250" t="s">
        <v>12</v>
      </c>
      <c r="H4250">
        <v>368.1</v>
      </c>
      <c r="I4250" s="8" t="str" cm="1">
        <f t="array" ref="I4250">_xlfn.IFS(C4250&lt;=15,"Children and Young Adolescents", C4250&gt;64, "Seniors", TRUE, "Working Age")</f>
        <v>Working Age</v>
      </c>
      <c r="J4250" s="6">
        <f>VLOOKUP(F4250,Analysis!$F$1:$G$5,2,FALSE)</f>
        <v>2503.6022787783854</v>
      </c>
      <c r="K4250">
        <f t="shared" si="264"/>
        <v>404.91</v>
      </c>
      <c r="L4250">
        <f t="shared" si="265"/>
        <v>404.91</v>
      </c>
      <c r="M4250">
        <f t="shared" si="266"/>
        <v>404.91</v>
      </c>
      <c r="N4250" s="5" t="str">
        <f t="shared" si="267"/>
        <v>September 2023</v>
      </c>
    </row>
    <row r="4251" spans="1:14" x14ac:dyDescent="0.25">
      <c r="A4251" s="1">
        <v>45182</v>
      </c>
      <c r="B4251" t="s">
        <v>1141</v>
      </c>
      <c r="C4251">
        <v>18</v>
      </c>
      <c r="D4251" t="s">
        <v>9</v>
      </c>
      <c r="E4251" t="s">
        <v>19</v>
      </c>
      <c r="F4251" t="s">
        <v>16</v>
      </c>
      <c r="G4251" t="s">
        <v>17</v>
      </c>
      <c r="H4251">
        <v>2764.75</v>
      </c>
      <c r="I4251" s="8" t="str" cm="1">
        <f t="array" ref="I4251">_xlfn.IFS(C4251&lt;=15,"Children and Young Adolescents", C4251&gt;64, "Seniors", TRUE, "Working Age")</f>
        <v>Working Age</v>
      </c>
      <c r="J4251" s="6">
        <f>VLOOKUP(F4251,Analysis!$F$1:$G$5,2,FALSE)</f>
        <v>2509.1716796874912</v>
      </c>
      <c r="K4251">
        <f t="shared" si="264"/>
        <v>3041.22</v>
      </c>
      <c r="L4251">
        <f t="shared" si="265"/>
        <v>3041.23</v>
      </c>
      <c r="M4251">
        <f t="shared" si="266"/>
        <v>3041.23</v>
      </c>
      <c r="N4251" s="5" t="str">
        <f t="shared" si="267"/>
        <v>September 2023</v>
      </c>
    </row>
    <row r="4252" spans="1:14" x14ac:dyDescent="0.25">
      <c r="A4252" s="1">
        <v>45182</v>
      </c>
      <c r="B4252" t="s">
        <v>2279</v>
      </c>
      <c r="C4252">
        <v>27</v>
      </c>
      <c r="D4252" t="s">
        <v>9</v>
      </c>
      <c r="E4252" t="s">
        <v>15</v>
      </c>
      <c r="F4252" t="s">
        <v>11</v>
      </c>
      <c r="G4252" t="s">
        <v>27</v>
      </c>
      <c r="H4252">
        <v>892.6</v>
      </c>
      <c r="I4252" s="8" t="str" cm="1">
        <f t="array" ref="I4252">_xlfn.IFS(C4252&lt;=15,"Children and Young Adolescents", C4252&gt;64, "Seniors", TRUE, "Working Age")</f>
        <v>Working Age</v>
      </c>
      <c r="J4252" s="6">
        <f>VLOOKUP(F4252,Analysis!$F$1:$G$5,2,FALSE)</f>
        <v>2503.6022787783854</v>
      </c>
      <c r="K4252">
        <f t="shared" si="264"/>
        <v>981.86</v>
      </c>
      <c r="L4252">
        <f t="shared" si="265"/>
        <v>981.86</v>
      </c>
      <c r="M4252">
        <f t="shared" si="266"/>
        <v>981.86</v>
      </c>
      <c r="N4252" s="5" t="str">
        <f t="shared" si="267"/>
        <v>September 2023</v>
      </c>
    </row>
    <row r="4253" spans="1:14" x14ac:dyDescent="0.25">
      <c r="A4253" s="1">
        <v>45182</v>
      </c>
      <c r="B4253" t="s">
        <v>1215</v>
      </c>
      <c r="C4253">
        <v>28</v>
      </c>
      <c r="D4253" t="s">
        <v>14</v>
      </c>
      <c r="E4253" t="s">
        <v>32</v>
      </c>
      <c r="F4253" t="s">
        <v>11</v>
      </c>
      <c r="G4253" t="s">
        <v>39</v>
      </c>
      <c r="H4253">
        <v>3933.85</v>
      </c>
      <c r="I4253" s="8" t="str" cm="1">
        <f t="array" ref="I4253">_xlfn.IFS(C4253&lt;=15,"Children and Young Adolescents", C4253&gt;64, "Seniors", TRUE, "Working Age")</f>
        <v>Working Age</v>
      </c>
      <c r="J4253" s="6">
        <f>VLOOKUP(F4253,Analysis!$F$1:$G$5,2,FALSE)</f>
        <v>2503.6022787783854</v>
      </c>
      <c r="K4253">
        <f t="shared" si="264"/>
        <v>4327.2299999999996</v>
      </c>
      <c r="L4253">
        <f t="shared" si="265"/>
        <v>4327.24</v>
      </c>
      <c r="M4253">
        <f t="shared" si="266"/>
        <v>4327.24</v>
      </c>
      <c r="N4253" s="5" t="str">
        <f t="shared" si="267"/>
        <v>September 2023</v>
      </c>
    </row>
    <row r="4254" spans="1:14" x14ac:dyDescent="0.25">
      <c r="A4254" s="1">
        <v>45182</v>
      </c>
      <c r="B4254" t="s">
        <v>2645</v>
      </c>
      <c r="C4254">
        <v>83</v>
      </c>
      <c r="D4254" t="s">
        <v>21</v>
      </c>
      <c r="E4254" t="s">
        <v>22</v>
      </c>
      <c r="F4254" t="s">
        <v>16</v>
      </c>
      <c r="G4254" t="s">
        <v>36</v>
      </c>
      <c r="H4254">
        <v>1357.33</v>
      </c>
      <c r="I4254" s="8" t="str" cm="1">
        <f t="array" ref="I4254">_xlfn.IFS(C4254&lt;=15,"Children and Young Adolescents", C4254&gt;64, "Seniors", TRUE, "Working Age")</f>
        <v>Seniors</v>
      </c>
      <c r="J4254" s="6">
        <f>VLOOKUP(F4254,Analysis!$F$1:$G$5,2,FALSE)</f>
        <v>2509.1716796874912</v>
      </c>
      <c r="K4254">
        <f t="shared" si="264"/>
        <v>1493.06</v>
      </c>
      <c r="L4254">
        <f t="shared" si="265"/>
        <v>1493.07</v>
      </c>
      <c r="M4254">
        <f t="shared" si="266"/>
        <v>1493.06</v>
      </c>
      <c r="N4254" s="5" t="str">
        <f t="shared" si="267"/>
        <v>September 2023</v>
      </c>
    </row>
    <row r="4255" spans="1:14" x14ac:dyDescent="0.25">
      <c r="A4255" s="1">
        <v>45182</v>
      </c>
      <c r="B4255" t="s">
        <v>1982</v>
      </c>
      <c r="C4255">
        <v>72</v>
      </c>
      <c r="D4255" t="s">
        <v>9</v>
      </c>
      <c r="E4255" t="s">
        <v>22</v>
      </c>
      <c r="F4255" t="s">
        <v>16</v>
      </c>
      <c r="G4255" t="s">
        <v>27</v>
      </c>
      <c r="H4255">
        <v>3184.32</v>
      </c>
      <c r="I4255" s="8" t="str" cm="1">
        <f t="array" ref="I4255">_xlfn.IFS(C4255&lt;=15,"Children and Young Adolescents", C4255&gt;64, "Seniors", TRUE, "Working Age")</f>
        <v>Seniors</v>
      </c>
      <c r="J4255" s="6">
        <f>VLOOKUP(F4255,Analysis!$F$1:$G$5,2,FALSE)</f>
        <v>2509.1716796874912</v>
      </c>
      <c r="K4255">
        <f t="shared" si="264"/>
        <v>3502.75</v>
      </c>
      <c r="L4255">
        <f t="shared" si="265"/>
        <v>3502.76</v>
      </c>
      <c r="M4255">
        <f t="shared" si="266"/>
        <v>3502.75</v>
      </c>
      <c r="N4255" s="5" t="str">
        <f t="shared" si="267"/>
        <v>September 2023</v>
      </c>
    </row>
    <row r="4256" spans="1:14" x14ac:dyDescent="0.25">
      <c r="A4256" s="1">
        <v>45182</v>
      </c>
      <c r="B4256" t="s">
        <v>2049</v>
      </c>
      <c r="C4256">
        <v>15</v>
      </c>
      <c r="D4256" t="s">
        <v>21</v>
      </c>
      <c r="E4256" t="s">
        <v>22</v>
      </c>
      <c r="F4256" t="s">
        <v>11</v>
      </c>
      <c r="G4256" t="s">
        <v>39</v>
      </c>
      <c r="H4256">
        <v>2997.33</v>
      </c>
      <c r="I4256" s="8" t="str" cm="1">
        <f t="array" ref="I4256">_xlfn.IFS(C4256&lt;=15,"Children and Young Adolescents", C4256&gt;64, "Seniors", TRUE, "Working Age")</f>
        <v>Children and Young Adolescents</v>
      </c>
      <c r="J4256" s="6">
        <f>VLOOKUP(F4256,Analysis!$F$1:$G$5,2,FALSE)</f>
        <v>2503.6022787783854</v>
      </c>
      <c r="K4256">
        <f t="shared" si="264"/>
        <v>3297.06</v>
      </c>
      <c r="L4256">
        <f t="shared" si="265"/>
        <v>3297.07</v>
      </c>
      <c r="M4256">
        <f t="shared" si="266"/>
        <v>3297.06</v>
      </c>
      <c r="N4256" s="5" t="str">
        <f t="shared" si="267"/>
        <v>September 2023</v>
      </c>
    </row>
    <row r="4257" spans="1:14" x14ac:dyDescent="0.25">
      <c r="A4257" s="1">
        <v>45183</v>
      </c>
      <c r="B4257" t="s">
        <v>1242</v>
      </c>
      <c r="C4257">
        <v>37</v>
      </c>
      <c r="D4257" t="s">
        <v>9</v>
      </c>
      <c r="E4257" t="s">
        <v>22</v>
      </c>
      <c r="F4257" t="s">
        <v>16</v>
      </c>
      <c r="G4257" t="s">
        <v>17</v>
      </c>
      <c r="H4257">
        <v>3654.72</v>
      </c>
      <c r="I4257" s="8" t="str" cm="1">
        <f t="array" ref="I4257">_xlfn.IFS(C4257&lt;=15,"Children and Young Adolescents", C4257&gt;64, "Seniors", TRUE, "Working Age")</f>
        <v>Working Age</v>
      </c>
      <c r="J4257" s="6">
        <f>VLOOKUP(F4257,Analysis!$F$1:$G$5,2,FALSE)</f>
        <v>2509.1716796874912</v>
      </c>
      <c r="K4257">
        <f t="shared" si="264"/>
        <v>4020.19</v>
      </c>
      <c r="L4257">
        <f t="shared" si="265"/>
        <v>4020.2000000000003</v>
      </c>
      <c r="M4257">
        <f t="shared" si="266"/>
        <v>4020.19</v>
      </c>
      <c r="N4257" s="5" t="str">
        <f t="shared" si="267"/>
        <v>September 2023</v>
      </c>
    </row>
    <row r="4258" spans="1:14" x14ac:dyDescent="0.25">
      <c r="A4258" s="1">
        <v>45183</v>
      </c>
      <c r="B4258" t="s">
        <v>974</v>
      </c>
      <c r="C4258">
        <v>59</v>
      </c>
      <c r="D4258" t="s">
        <v>14</v>
      </c>
      <c r="E4258" t="s">
        <v>19</v>
      </c>
      <c r="F4258" t="s">
        <v>29</v>
      </c>
      <c r="G4258" t="s">
        <v>36</v>
      </c>
      <c r="H4258">
        <v>4934.67</v>
      </c>
      <c r="I4258" s="8" t="str" cm="1">
        <f t="array" ref="I4258">_xlfn.IFS(C4258&lt;=15,"Children and Young Adolescents", C4258&gt;64, "Seniors", TRUE, "Working Age")</f>
        <v>Working Age</v>
      </c>
      <c r="J4258" s="6">
        <f>VLOOKUP(F4258,Analysis!$F$1:$G$5,2,FALSE)</f>
        <v>2496.7676064256989</v>
      </c>
      <c r="K4258">
        <f t="shared" si="264"/>
        <v>5428.13</v>
      </c>
      <c r="L4258">
        <f t="shared" si="265"/>
        <v>5428.14</v>
      </c>
      <c r="M4258">
        <f t="shared" si="266"/>
        <v>5428.14</v>
      </c>
      <c r="N4258" s="5" t="str">
        <f t="shared" si="267"/>
        <v>September 2023</v>
      </c>
    </row>
    <row r="4259" spans="1:14" x14ac:dyDescent="0.25">
      <c r="A4259" s="1">
        <v>45183</v>
      </c>
      <c r="B4259" t="s">
        <v>1561</v>
      </c>
      <c r="C4259">
        <v>93</v>
      </c>
      <c r="D4259" t="s">
        <v>9</v>
      </c>
      <c r="E4259" t="s">
        <v>5032</v>
      </c>
      <c r="F4259" t="s">
        <v>29</v>
      </c>
      <c r="G4259" t="s">
        <v>27</v>
      </c>
      <c r="H4259">
        <v>262.58999999999997</v>
      </c>
      <c r="I4259" s="8" t="str" cm="1">
        <f t="array" ref="I4259">_xlfn.IFS(C4259&lt;=15,"Children and Young Adolescents", C4259&gt;64, "Seniors", TRUE, "Working Age")</f>
        <v>Seniors</v>
      </c>
      <c r="J4259" s="6">
        <f>VLOOKUP(F4259,Analysis!$F$1:$G$5,2,FALSE)</f>
        <v>2496.7676064256989</v>
      </c>
      <c r="K4259">
        <f t="shared" si="264"/>
        <v>288.83999999999997</v>
      </c>
      <c r="L4259">
        <f t="shared" si="265"/>
        <v>288.84999999999997</v>
      </c>
      <c r="M4259">
        <f t="shared" si="266"/>
        <v>288.85000000000002</v>
      </c>
      <c r="N4259" s="5" t="str">
        <f t="shared" si="267"/>
        <v>September 2023</v>
      </c>
    </row>
    <row r="4260" spans="1:14" x14ac:dyDescent="0.25">
      <c r="A4260" s="1">
        <v>45183</v>
      </c>
      <c r="B4260" t="s">
        <v>2010</v>
      </c>
      <c r="C4260">
        <v>86</v>
      </c>
      <c r="D4260" t="s">
        <v>9</v>
      </c>
      <c r="E4260" t="s">
        <v>10</v>
      </c>
      <c r="F4260" t="s">
        <v>11</v>
      </c>
      <c r="G4260" t="s">
        <v>36</v>
      </c>
      <c r="H4260">
        <v>705.32</v>
      </c>
      <c r="I4260" s="8" t="str" cm="1">
        <f t="array" ref="I4260">_xlfn.IFS(C4260&lt;=15,"Children and Young Adolescents", C4260&gt;64, "Seniors", TRUE, "Working Age")</f>
        <v>Seniors</v>
      </c>
      <c r="J4260" s="6">
        <f>VLOOKUP(F4260,Analysis!$F$1:$G$5,2,FALSE)</f>
        <v>2503.6022787783854</v>
      </c>
      <c r="K4260">
        <f t="shared" si="264"/>
        <v>775.85</v>
      </c>
      <c r="L4260">
        <f t="shared" si="265"/>
        <v>775.86</v>
      </c>
      <c r="M4260">
        <f t="shared" si="266"/>
        <v>775.85</v>
      </c>
      <c r="N4260" s="5" t="str">
        <f t="shared" si="267"/>
        <v>September 2023</v>
      </c>
    </row>
    <row r="4261" spans="1:14" x14ac:dyDescent="0.25">
      <c r="A4261" s="1">
        <v>45183</v>
      </c>
      <c r="B4261" t="s">
        <v>2701</v>
      </c>
      <c r="C4261">
        <v>17</v>
      </c>
      <c r="D4261" t="s">
        <v>21</v>
      </c>
      <c r="E4261" t="s">
        <v>32</v>
      </c>
      <c r="F4261" t="s">
        <v>23</v>
      </c>
      <c r="G4261" t="s">
        <v>27</v>
      </c>
      <c r="H4261">
        <v>3046.37</v>
      </c>
      <c r="I4261" s="8" t="str" cm="1">
        <f t="array" ref="I4261">_xlfn.IFS(C4261&lt;=15,"Children and Young Adolescents", C4261&gt;64, "Seniors", TRUE, "Working Age")</f>
        <v>Working Age</v>
      </c>
      <c r="J4261" s="6">
        <f>VLOOKUP(F4261,Analysis!$F$1:$G$5,2,FALSE)</f>
        <v>2440.2966694490838</v>
      </c>
      <c r="K4261">
        <f t="shared" si="264"/>
        <v>3351</v>
      </c>
      <c r="L4261">
        <f t="shared" si="265"/>
        <v>3351.01</v>
      </c>
      <c r="M4261">
        <f t="shared" si="266"/>
        <v>3351.01</v>
      </c>
      <c r="N4261" s="5" t="str">
        <f t="shared" si="267"/>
        <v>September 2023</v>
      </c>
    </row>
    <row r="4262" spans="1:14" x14ac:dyDescent="0.25">
      <c r="A4262" s="1">
        <v>45183</v>
      </c>
      <c r="B4262" t="s">
        <v>2044</v>
      </c>
      <c r="C4262">
        <v>17</v>
      </c>
      <c r="D4262" t="s">
        <v>9</v>
      </c>
      <c r="E4262" t="s">
        <v>32</v>
      </c>
      <c r="F4262" t="s">
        <v>29</v>
      </c>
      <c r="G4262" t="s">
        <v>27</v>
      </c>
      <c r="H4262">
        <v>4818.54</v>
      </c>
      <c r="I4262" s="8" t="str" cm="1">
        <f t="array" ref="I4262">_xlfn.IFS(C4262&lt;=15,"Children and Young Adolescents", C4262&gt;64, "Seniors", TRUE, "Working Age")</f>
        <v>Working Age</v>
      </c>
      <c r="J4262" s="6">
        <f>VLOOKUP(F4262,Analysis!$F$1:$G$5,2,FALSE)</f>
        <v>2496.7676064256989</v>
      </c>
      <c r="K4262">
        <f t="shared" si="264"/>
        <v>5300.39</v>
      </c>
      <c r="L4262">
        <f t="shared" si="265"/>
        <v>5300.4000000000005</v>
      </c>
      <c r="M4262">
        <f t="shared" si="266"/>
        <v>5300.39</v>
      </c>
      <c r="N4262" s="5" t="str">
        <f t="shared" si="267"/>
        <v>September 2023</v>
      </c>
    </row>
    <row r="4263" spans="1:14" x14ac:dyDescent="0.25">
      <c r="A4263" s="1">
        <v>45183</v>
      </c>
      <c r="B4263" t="s">
        <v>1623</v>
      </c>
      <c r="C4263">
        <v>30</v>
      </c>
      <c r="D4263" t="s">
        <v>9</v>
      </c>
      <c r="E4263" t="s">
        <v>19</v>
      </c>
      <c r="F4263" t="s">
        <v>16</v>
      </c>
      <c r="G4263" t="s">
        <v>12</v>
      </c>
      <c r="H4263">
        <v>425.32</v>
      </c>
      <c r="I4263" s="8" t="str" cm="1">
        <f t="array" ref="I4263">_xlfn.IFS(C4263&lt;=15,"Children and Young Adolescents", C4263&gt;64, "Seniors", TRUE, "Working Age")</f>
        <v>Working Age</v>
      </c>
      <c r="J4263" s="6">
        <f>VLOOKUP(F4263,Analysis!$F$1:$G$5,2,FALSE)</f>
        <v>2509.1716796874912</v>
      </c>
      <c r="K4263">
        <f t="shared" si="264"/>
        <v>467.85</v>
      </c>
      <c r="L4263">
        <f t="shared" si="265"/>
        <v>467.86</v>
      </c>
      <c r="M4263">
        <f t="shared" si="266"/>
        <v>467.85</v>
      </c>
      <c r="N4263" s="5" t="str">
        <f t="shared" si="267"/>
        <v>September 2023</v>
      </c>
    </row>
    <row r="4264" spans="1:14" x14ac:dyDescent="0.25">
      <c r="A4264" s="1">
        <v>45184</v>
      </c>
      <c r="B4264" t="s">
        <v>375</v>
      </c>
      <c r="C4264">
        <v>61</v>
      </c>
      <c r="D4264" t="s">
        <v>21</v>
      </c>
      <c r="E4264" t="s">
        <v>34</v>
      </c>
      <c r="F4264" t="s">
        <v>16</v>
      </c>
      <c r="G4264" t="s">
        <v>17</v>
      </c>
      <c r="H4264">
        <v>3694.23</v>
      </c>
      <c r="I4264" s="8" t="str" cm="1">
        <f t="array" ref="I4264">_xlfn.IFS(C4264&lt;=15,"Children and Young Adolescents", C4264&gt;64, "Seniors", TRUE, "Working Age")</f>
        <v>Working Age</v>
      </c>
      <c r="J4264" s="6">
        <f>VLOOKUP(F4264,Analysis!$F$1:$G$5,2,FALSE)</f>
        <v>2509.1716796874912</v>
      </c>
      <c r="K4264">
        <f t="shared" si="264"/>
        <v>4063.65</v>
      </c>
      <c r="L4264">
        <f t="shared" si="265"/>
        <v>4063.6600000000003</v>
      </c>
      <c r="M4264">
        <f t="shared" si="266"/>
        <v>4063.65</v>
      </c>
      <c r="N4264" s="5" t="str">
        <f t="shared" si="267"/>
        <v>September 2023</v>
      </c>
    </row>
    <row r="4265" spans="1:14" x14ac:dyDescent="0.25">
      <c r="A4265" s="1">
        <v>45184</v>
      </c>
      <c r="B4265" t="s">
        <v>2824</v>
      </c>
      <c r="C4265">
        <v>84</v>
      </c>
      <c r="D4265" t="s">
        <v>14</v>
      </c>
      <c r="E4265" t="s">
        <v>19</v>
      </c>
      <c r="F4265" t="s">
        <v>29</v>
      </c>
      <c r="G4265" t="s">
        <v>17</v>
      </c>
      <c r="H4265">
        <v>3521.16</v>
      </c>
      <c r="I4265" s="8" t="str" cm="1">
        <f t="array" ref="I4265">_xlfn.IFS(C4265&lt;=15,"Children and Young Adolescents", C4265&gt;64, "Seniors", TRUE, "Working Age")</f>
        <v>Seniors</v>
      </c>
      <c r="J4265" s="6">
        <f>VLOOKUP(F4265,Analysis!$F$1:$G$5,2,FALSE)</f>
        <v>2496.7676064256989</v>
      </c>
      <c r="K4265">
        <f t="shared" si="264"/>
        <v>3873.27</v>
      </c>
      <c r="L4265">
        <f t="shared" si="265"/>
        <v>3873.28</v>
      </c>
      <c r="M4265">
        <f t="shared" si="266"/>
        <v>3873.28</v>
      </c>
      <c r="N4265" s="5" t="str">
        <f t="shared" si="267"/>
        <v>September 2023</v>
      </c>
    </row>
    <row r="4266" spans="1:14" x14ac:dyDescent="0.25">
      <c r="A4266" s="1">
        <v>45184</v>
      </c>
      <c r="B4266" t="s">
        <v>4911</v>
      </c>
      <c r="C4266">
        <v>38</v>
      </c>
      <c r="D4266" t="s">
        <v>9</v>
      </c>
      <c r="E4266" t="s">
        <v>5032</v>
      </c>
      <c r="F4266" t="s">
        <v>23</v>
      </c>
      <c r="G4266" t="s">
        <v>39</v>
      </c>
      <c r="H4266">
        <v>3803.54</v>
      </c>
      <c r="I4266" s="8" t="str" cm="1">
        <f t="array" ref="I4266">_xlfn.IFS(C4266&lt;=15,"Children and Young Adolescents", C4266&gt;64, "Seniors", TRUE, "Working Age")</f>
        <v>Working Age</v>
      </c>
      <c r="J4266" s="6">
        <f>VLOOKUP(F4266,Analysis!$F$1:$G$5,2,FALSE)</f>
        <v>2440.2966694490838</v>
      </c>
      <c r="K4266">
        <f t="shared" si="264"/>
        <v>4183.8900000000003</v>
      </c>
      <c r="L4266">
        <f t="shared" si="265"/>
        <v>4183.9000000000005</v>
      </c>
      <c r="M4266">
        <f t="shared" si="266"/>
        <v>4183.8900000000003</v>
      </c>
      <c r="N4266" s="5" t="str">
        <f t="shared" si="267"/>
        <v>September 2023</v>
      </c>
    </row>
    <row r="4267" spans="1:14" x14ac:dyDescent="0.25">
      <c r="A4267" s="1">
        <v>45185</v>
      </c>
      <c r="B4267" t="s">
        <v>362</v>
      </c>
      <c r="C4267">
        <v>97</v>
      </c>
      <c r="D4267" t="s">
        <v>21</v>
      </c>
      <c r="E4267" t="s">
        <v>19</v>
      </c>
      <c r="F4267" t="s">
        <v>11</v>
      </c>
      <c r="G4267" t="s">
        <v>36</v>
      </c>
      <c r="H4267">
        <v>3658.69</v>
      </c>
      <c r="I4267" s="8" t="str" cm="1">
        <f t="array" ref="I4267">_xlfn.IFS(C4267&lt;=15,"Children and Young Adolescents", C4267&gt;64, "Seniors", TRUE, "Working Age")</f>
        <v>Seniors</v>
      </c>
      <c r="J4267" s="6">
        <f>VLOOKUP(F4267,Analysis!$F$1:$G$5,2,FALSE)</f>
        <v>2503.6022787783854</v>
      </c>
      <c r="K4267">
        <f t="shared" si="264"/>
        <v>4024.55</v>
      </c>
      <c r="L4267">
        <f t="shared" si="265"/>
        <v>4024.5600000000004</v>
      </c>
      <c r="M4267">
        <f t="shared" si="266"/>
        <v>4024.56</v>
      </c>
      <c r="N4267" s="5" t="str">
        <f t="shared" si="267"/>
        <v>September 2023</v>
      </c>
    </row>
    <row r="4268" spans="1:14" x14ac:dyDescent="0.25">
      <c r="A4268" s="1">
        <v>45185</v>
      </c>
      <c r="B4268" t="s">
        <v>1088</v>
      </c>
      <c r="C4268">
        <v>58</v>
      </c>
      <c r="D4268" t="s">
        <v>21</v>
      </c>
      <c r="E4268" t="s">
        <v>32</v>
      </c>
      <c r="F4268" t="s">
        <v>11</v>
      </c>
      <c r="G4268" t="s">
        <v>27</v>
      </c>
      <c r="H4268">
        <v>2923.87</v>
      </c>
      <c r="I4268" s="8" t="str" cm="1">
        <f t="array" ref="I4268">_xlfn.IFS(C4268&lt;=15,"Children and Young Adolescents", C4268&gt;64, "Seniors", TRUE, "Working Age")</f>
        <v>Working Age</v>
      </c>
      <c r="J4268" s="6">
        <f>VLOOKUP(F4268,Analysis!$F$1:$G$5,2,FALSE)</f>
        <v>2503.6022787783854</v>
      </c>
      <c r="K4268">
        <f t="shared" si="264"/>
        <v>3216.25</v>
      </c>
      <c r="L4268">
        <f t="shared" si="265"/>
        <v>3216.26</v>
      </c>
      <c r="M4268">
        <f t="shared" si="266"/>
        <v>3216.26</v>
      </c>
      <c r="N4268" s="5" t="str">
        <f t="shared" si="267"/>
        <v>September 2023</v>
      </c>
    </row>
    <row r="4269" spans="1:14" x14ac:dyDescent="0.25">
      <c r="A4269" s="1">
        <v>45185</v>
      </c>
      <c r="B4269" t="s">
        <v>1801</v>
      </c>
      <c r="C4269">
        <v>33</v>
      </c>
      <c r="D4269" t="s">
        <v>9</v>
      </c>
      <c r="E4269" t="s">
        <v>15</v>
      </c>
      <c r="F4269" t="s">
        <v>11</v>
      </c>
      <c r="G4269" t="s">
        <v>39</v>
      </c>
      <c r="H4269">
        <v>729.02</v>
      </c>
      <c r="I4269" s="8" t="str" cm="1">
        <f t="array" ref="I4269">_xlfn.IFS(C4269&lt;=15,"Children and Young Adolescents", C4269&gt;64, "Seniors", TRUE, "Working Age")</f>
        <v>Working Age</v>
      </c>
      <c r="J4269" s="6">
        <f>VLOOKUP(F4269,Analysis!$F$1:$G$5,2,FALSE)</f>
        <v>2503.6022787783854</v>
      </c>
      <c r="K4269">
        <f t="shared" si="264"/>
        <v>801.92</v>
      </c>
      <c r="L4269">
        <f t="shared" si="265"/>
        <v>801.93</v>
      </c>
      <c r="M4269">
        <f t="shared" si="266"/>
        <v>801.92</v>
      </c>
      <c r="N4269" s="5" t="str">
        <f t="shared" si="267"/>
        <v>September 2023</v>
      </c>
    </row>
    <row r="4270" spans="1:14" x14ac:dyDescent="0.25">
      <c r="A4270" s="1">
        <v>45185</v>
      </c>
      <c r="B4270" t="s">
        <v>3539</v>
      </c>
      <c r="C4270">
        <v>76</v>
      </c>
      <c r="D4270" t="s">
        <v>21</v>
      </c>
      <c r="E4270" t="s">
        <v>5032</v>
      </c>
      <c r="F4270" t="s">
        <v>16</v>
      </c>
      <c r="G4270" t="s">
        <v>36</v>
      </c>
      <c r="H4270">
        <v>2785.8</v>
      </c>
      <c r="I4270" s="8" t="str" cm="1">
        <f t="array" ref="I4270">_xlfn.IFS(C4270&lt;=15,"Children and Young Adolescents", C4270&gt;64, "Seniors", TRUE, "Working Age")</f>
        <v>Seniors</v>
      </c>
      <c r="J4270" s="6">
        <f>VLOOKUP(F4270,Analysis!$F$1:$G$5,2,FALSE)</f>
        <v>2509.1716796874912</v>
      </c>
      <c r="K4270">
        <f t="shared" si="264"/>
        <v>3064.38</v>
      </c>
      <c r="L4270">
        <f t="shared" si="265"/>
        <v>3064.38</v>
      </c>
      <c r="M4270">
        <f t="shared" si="266"/>
        <v>3064.38</v>
      </c>
      <c r="N4270" s="5" t="str">
        <f t="shared" si="267"/>
        <v>September 2023</v>
      </c>
    </row>
    <row r="4271" spans="1:14" x14ac:dyDescent="0.25">
      <c r="A4271" s="1">
        <v>45185</v>
      </c>
      <c r="B4271" t="s">
        <v>535</v>
      </c>
      <c r="C4271">
        <v>29</v>
      </c>
      <c r="D4271" t="s">
        <v>9</v>
      </c>
      <c r="E4271" t="s">
        <v>34</v>
      </c>
      <c r="F4271" t="s">
        <v>23</v>
      </c>
      <c r="G4271" t="s">
        <v>39</v>
      </c>
      <c r="H4271">
        <v>1711.9</v>
      </c>
      <c r="I4271" s="8" t="str" cm="1">
        <f t="array" ref="I4271">_xlfn.IFS(C4271&lt;=15,"Children and Young Adolescents", C4271&gt;64, "Seniors", TRUE, "Working Age")</f>
        <v>Working Age</v>
      </c>
      <c r="J4271" s="6">
        <f>VLOOKUP(F4271,Analysis!$F$1:$G$5,2,FALSE)</f>
        <v>2440.2966694490838</v>
      </c>
      <c r="K4271">
        <f t="shared" si="264"/>
        <v>1883.09</v>
      </c>
      <c r="L4271">
        <f t="shared" si="265"/>
        <v>1883.09</v>
      </c>
      <c r="M4271">
        <f t="shared" si="266"/>
        <v>1883.09</v>
      </c>
      <c r="N4271" s="5" t="str">
        <f t="shared" si="267"/>
        <v>September 2023</v>
      </c>
    </row>
    <row r="4272" spans="1:14" x14ac:dyDescent="0.25">
      <c r="A4272" s="1">
        <v>45185</v>
      </c>
      <c r="B4272" t="s">
        <v>2536</v>
      </c>
      <c r="C4272">
        <v>94</v>
      </c>
      <c r="D4272" t="s">
        <v>9</v>
      </c>
      <c r="E4272" t="s">
        <v>32</v>
      </c>
      <c r="F4272" t="s">
        <v>29</v>
      </c>
      <c r="G4272" t="s">
        <v>17</v>
      </c>
      <c r="H4272">
        <v>2731.15</v>
      </c>
      <c r="I4272" s="8" t="str" cm="1">
        <f t="array" ref="I4272">_xlfn.IFS(C4272&lt;=15,"Children and Young Adolescents", C4272&gt;64, "Seniors", TRUE, "Working Age")</f>
        <v>Seniors</v>
      </c>
      <c r="J4272" s="6">
        <f>VLOOKUP(F4272,Analysis!$F$1:$G$5,2,FALSE)</f>
        <v>2496.7676064256989</v>
      </c>
      <c r="K4272">
        <f t="shared" si="264"/>
        <v>3004.26</v>
      </c>
      <c r="L4272">
        <f t="shared" si="265"/>
        <v>3004.2700000000004</v>
      </c>
      <c r="M4272">
        <f t="shared" si="266"/>
        <v>3004.27</v>
      </c>
      <c r="N4272" s="5" t="str">
        <f t="shared" si="267"/>
        <v>September 2023</v>
      </c>
    </row>
    <row r="4273" spans="1:14" x14ac:dyDescent="0.25">
      <c r="A4273" s="1">
        <v>45186</v>
      </c>
      <c r="B4273" t="s">
        <v>1594</v>
      </c>
      <c r="C4273">
        <v>38</v>
      </c>
      <c r="D4273" t="s">
        <v>14</v>
      </c>
      <c r="E4273" t="s">
        <v>32</v>
      </c>
      <c r="F4273" t="s">
        <v>16</v>
      </c>
      <c r="G4273" t="s">
        <v>17</v>
      </c>
      <c r="H4273">
        <v>313.7</v>
      </c>
      <c r="I4273" s="8" t="str" cm="1">
        <f t="array" ref="I4273">_xlfn.IFS(C4273&lt;=15,"Children and Young Adolescents", C4273&gt;64, "Seniors", TRUE, "Working Age")</f>
        <v>Working Age</v>
      </c>
      <c r="J4273" s="6">
        <f>VLOOKUP(F4273,Analysis!$F$1:$G$5,2,FALSE)</f>
        <v>2509.1716796874912</v>
      </c>
      <c r="K4273">
        <f t="shared" si="264"/>
        <v>345.07</v>
      </c>
      <c r="L4273">
        <f t="shared" si="265"/>
        <v>345.07</v>
      </c>
      <c r="M4273">
        <f t="shared" si="266"/>
        <v>345.07</v>
      </c>
      <c r="N4273" s="5" t="str">
        <f t="shared" si="267"/>
        <v>September 2023</v>
      </c>
    </row>
    <row r="4274" spans="1:14" x14ac:dyDescent="0.25">
      <c r="A4274" s="1">
        <v>45186</v>
      </c>
      <c r="B4274" t="s">
        <v>3051</v>
      </c>
      <c r="C4274">
        <v>68</v>
      </c>
      <c r="D4274" t="s">
        <v>14</v>
      </c>
      <c r="E4274" t="s">
        <v>25</v>
      </c>
      <c r="F4274" t="s">
        <v>29</v>
      </c>
      <c r="G4274" t="s">
        <v>17</v>
      </c>
      <c r="H4274">
        <v>3209.22</v>
      </c>
      <c r="I4274" s="8" t="str" cm="1">
        <f t="array" ref="I4274">_xlfn.IFS(C4274&lt;=15,"Children and Young Adolescents", C4274&gt;64, "Seniors", TRUE, "Working Age")</f>
        <v>Seniors</v>
      </c>
      <c r="J4274" s="6">
        <f>VLOOKUP(F4274,Analysis!$F$1:$G$5,2,FALSE)</f>
        <v>2496.7676064256989</v>
      </c>
      <c r="K4274">
        <f t="shared" si="264"/>
        <v>3530.14</v>
      </c>
      <c r="L4274">
        <f t="shared" si="265"/>
        <v>3530.15</v>
      </c>
      <c r="M4274">
        <f t="shared" si="266"/>
        <v>3530.14</v>
      </c>
      <c r="N4274" s="5" t="str">
        <f t="shared" si="267"/>
        <v>September 2023</v>
      </c>
    </row>
    <row r="4275" spans="1:14" x14ac:dyDescent="0.25">
      <c r="A4275" s="1">
        <v>45186</v>
      </c>
      <c r="B4275" t="s">
        <v>4089</v>
      </c>
      <c r="C4275">
        <v>38</v>
      </c>
      <c r="D4275" t="s">
        <v>21</v>
      </c>
      <c r="E4275" t="s">
        <v>22</v>
      </c>
      <c r="F4275" t="s">
        <v>29</v>
      </c>
      <c r="G4275" t="s">
        <v>36</v>
      </c>
      <c r="H4275">
        <v>3684.1</v>
      </c>
      <c r="I4275" s="8" t="str" cm="1">
        <f t="array" ref="I4275">_xlfn.IFS(C4275&lt;=15,"Children and Young Adolescents", C4275&gt;64, "Seniors", TRUE, "Working Age")</f>
        <v>Working Age</v>
      </c>
      <c r="J4275" s="6">
        <f>VLOOKUP(F4275,Analysis!$F$1:$G$5,2,FALSE)</f>
        <v>2496.7676064256989</v>
      </c>
      <c r="K4275">
        <f t="shared" si="264"/>
        <v>4052.51</v>
      </c>
      <c r="L4275">
        <f t="shared" si="265"/>
        <v>4052.51</v>
      </c>
      <c r="M4275">
        <f t="shared" si="266"/>
        <v>4052.51</v>
      </c>
      <c r="N4275" s="5" t="str">
        <f t="shared" si="267"/>
        <v>September 2023</v>
      </c>
    </row>
    <row r="4276" spans="1:14" x14ac:dyDescent="0.25">
      <c r="A4276" s="1">
        <v>45186</v>
      </c>
      <c r="B4276" t="s">
        <v>3521</v>
      </c>
      <c r="C4276">
        <v>19</v>
      </c>
      <c r="D4276" t="s">
        <v>9</v>
      </c>
      <c r="E4276" t="s">
        <v>22</v>
      </c>
      <c r="F4276" t="s">
        <v>23</v>
      </c>
      <c r="G4276" t="s">
        <v>12</v>
      </c>
      <c r="H4276">
        <v>1644.46</v>
      </c>
      <c r="I4276" s="8" t="str" cm="1">
        <f t="array" ref="I4276">_xlfn.IFS(C4276&lt;=15,"Children and Young Adolescents", C4276&gt;64, "Seniors", TRUE, "Working Age")</f>
        <v>Working Age</v>
      </c>
      <c r="J4276" s="6">
        <f>VLOOKUP(F4276,Analysis!$F$1:$G$5,2,FALSE)</f>
        <v>2440.2966694490838</v>
      </c>
      <c r="K4276">
        <f t="shared" si="264"/>
        <v>1808.9</v>
      </c>
      <c r="L4276">
        <f t="shared" si="265"/>
        <v>1808.91</v>
      </c>
      <c r="M4276">
        <f t="shared" si="266"/>
        <v>1808.91</v>
      </c>
      <c r="N4276" s="5" t="str">
        <f t="shared" si="267"/>
        <v>September 2023</v>
      </c>
    </row>
    <row r="4277" spans="1:14" x14ac:dyDescent="0.25">
      <c r="A4277" s="1">
        <v>45186</v>
      </c>
      <c r="B4277" t="s">
        <v>2321</v>
      </c>
      <c r="C4277">
        <v>11</v>
      </c>
      <c r="D4277" t="s">
        <v>21</v>
      </c>
      <c r="E4277" t="s">
        <v>19</v>
      </c>
      <c r="F4277" t="s">
        <v>11</v>
      </c>
      <c r="G4277" t="s">
        <v>17</v>
      </c>
      <c r="H4277">
        <v>2247.94</v>
      </c>
      <c r="I4277" s="8" t="str" cm="1">
        <f t="array" ref="I4277">_xlfn.IFS(C4277&lt;=15,"Children and Young Adolescents", C4277&gt;64, "Seniors", TRUE, "Working Age")</f>
        <v>Children and Young Adolescents</v>
      </c>
      <c r="J4277" s="6">
        <f>VLOOKUP(F4277,Analysis!$F$1:$G$5,2,FALSE)</f>
        <v>2503.6022787783854</v>
      </c>
      <c r="K4277">
        <f t="shared" si="264"/>
        <v>2472.73</v>
      </c>
      <c r="L4277">
        <f t="shared" si="265"/>
        <v>2472.7400000000002</v>
      </c>
      <c r="M4277">
        <f t="shared" si="266"/>
        <v>2472.73</v>
      </c>
      <c r="N4277" s="5" t="str">
        <f t="shared" si="267"/>
        <v>September 2023</v>
      </c>
    </row>
    <row r="4278" spans="1:14" x14ac:dyDescent="0.25">
      <c r="A4278" s="1">
        <v>45186</v>
      </c>
      <c r="B4278" t="s">
        <v>2075</v>
      </c>
      <c r="C4278">
        <v>95</v>
      </c>
      <c r="D4278" t="s">
        <v>14</v>
      </c>
      <c r="E4278" t="s">
        <v>5032</v>
      </c>
      <c r="F4278" t="s">
        <v>11</v>
      </c>
      <c r="G4278" t="s">
        <v>36</v>
      </c>
      <c r="H4278">
        <v>1262.8800000000001</v>
      </c>
      <c r="I4278" s="8" t="str" cm="1">
        <f t="array" ref="I4278">_xlfn.IFS(C4278&lt;=15,"Children and Young Adolescents", C4278&gt;64, "Seniors", TRUE, "Working Age")</f>
        <v>Seniors</v>
      </c>
      <c r="J4278" s="6">
        <f>VLOOKUP(F4278,Analysis!$F$1:$G$5,2,FALSE)</f>
        <v>2503.6022787783854</v>
      </c>
      <c r="K4278">
        <f t="shared" si="264"/>
        <v>1389.16</v>
      </c>
      <c r="L4278">
        <f t="shared" si="265"/>
        <v>1389.17</v>
      </c>
      <c r="M4278">
        <f t="shared" si="266"/>
        <v>1389.17</v>
      </c>
      <c r="N4278" s="5" t="str">
        <f t="shared" si="267"/>
        <v>September 2023</v>
      </c>
    </row>
    <row r="4279" spans="1:14" x14ac:dyDescent="0.25">
      <c r="A4279" s="1">
        <v>45186</v>
      </c>
      <c r="B4279" t="s">
        <v>2332</v>
      </c>
      <c r="C4279">
        <v>84</v>
      </c>
      <c r="D4279" t="s">
        <v>14</v>
      </c>
      <c r="E4279" t="s">
        <v>25</v>
      </c>
      <c r="F4279" t="s">
        <v>29</v>
      </c>
      <c r="G4279" t="s">
        <v>17</v>
      </c>
      <c r="H4279">
        <v>1524.01</v>
      </c>
      <c r="I4279" s="8" t="str" cm="1">
        <f t="array" ref="I4279">_xlfn.IFS(C4279&lt;=15,"Children and Young Adolescents", C4279&gt;64, "Seniors", TRUE, "Working Age")</f>
        <v>Seniors</v>
      </c>
      <c r="J4279" s="6">
        <f>VLOOKUP(F4279,Analysis!$F$1:$G$5,2,FALSE)</f>
        <v>2496.7676064256989</v>
      </c>
      <c r="K4279">
        <f t="shared" si="264"/>
        <v>1676.41</v>
      </c>
      <c r="L4279">
        <f t="shared" si="265"/>
        <v>1676.42</v>
      </c>
      <c r="M4279">
        <f t="shared" si="266"/>
        <v>1676.41</v>
      </c>
      <c r="N4279" s="5" t="str">
        <f t="shared" si="267"/>
        <v>September 2023</v>
      </c>
    </row>
    <row r="4280" spans="1:14" x14ac:dyDescent="0.25">
      <c r="A4280" s="1">
        <v>45186</v>
      </c>
      <c r="B4280" t="s">
        <v>4107</v>
      </c>
      <c r="C4280">
        <v>6</v>
      </c>
      <c r="D4280" t="s">
        <v>21</v>
      </c>
      <c r="E4280" t="s">
        <v>10</v>
      </c>
      <c r="F4280" t="s">
        <v>23</v>
      </c>
      <c r="G4280" t="s">
        <v>39</v>
      </c>
      <c r="H4280">
        <v>3581.31</v>
      </c>
      <c r="I4280" s="8" t="str" cm="1">
        <f t="array" ref="I4280">_xlfn.IFS(C4280&lt;=15,"Children and Young Adolescents", C4280&gt;64, "Seniors", TRUE, "Working Age")</f>
        <v>Children and Young Adolescents</v>
      </c>
      <c r="J4280" s="6">
        <f>VLOOKUP(F4280,Analysis!$F$1:$G$5,2,FALSE)</f>
        <v>2440.2966694490838</v>
      </c>
      <c r="K4280">
        <f t="shared" si="264"/>
        <v>3939.44</v>
      </c>
      <c r="L4280">
        <f t="shared" si="265"/>
        <v>3939.4500000000003</v>
      </c>
      <c r="M4280">
        <f t="shared" si="266"/>
        <v>3939.44</v>
      </c>
      <c r="N4280" s="5" t="str">
        <f t="shared" si="267"/>
        <v>September 2023</v>
      </c>
    </row>
    <row r="4281" spans="1:14" x14ac:dyDescent="0.25">
      <c r="A4281" s="1">
        <v>45186</v>
      </c>
      <c r="B4281" t="s">
        <v>4164</v>
      </c>
      <c r="C4281">
        <v>3</v>
      </c>
      <c r="D4281" t="s">
        <v>21</v>
      </c>
      <c r="E4281" t="s">
        <v>15</v>
      </c>
      <c r="F4281" t="s">
        <v>16</v>
      </c>
      <c r="G4281" t="s">
        <v>12</v>
      </c>
      <c r="H4281">
        <v>586.28</v>
      </c>
      <c r="I4281" s="8" t="str" cm="1">
        <f t="array" ref="I4281">_xlfn.IFS(C4281&lt;=15,"Children and Young Adolescents", C4281&gt;64, "Seniors", TRUE, "Working Age")</f>
        <v>Children and Young Adolescents</v>
      </c>
      <c r="J4281" s="6">
        <f>VLOOKUP(F4281,Analysis!$F$1:$G$5,2,FALSE)</f>
        <v>2509.1716796874912</v>
      </c>
      <c r="K4281">
        <f t="shared" si="264"/>
        <v>644.9</v>
      </c>
      <c r="L4281">
        <f t="shared" si="265"/>
        <v>644.91</v>
      </c>
      <c r="M4281">
        <f t="shared" si="266"/>
        <v>644.91</v>
      </c>
      <c r="N4281" s="5" t="str">
        <f t="shared" si="267"/>
        <v>September 2023</v>
      </c>
    </row>
    <row r="4282" spans="1:14" x14ac:dyDescent="0.25">
      <c r="A4282" s="1">
        <v>45187</v>
      </c>
      <c r="B4282" t="s">
        <v>4949</v>
      </c>
      <c r="C4282">
        <v>42</v>
      </c>
      <c r="D4282" t="s">
        <v>14</v>
      </c>
      <c r="E4282" t="s">
        <v>10</v>
      </c>
      <c r="F4282" t="s">
        <v>11</v>
      </c>
      <c r="G4282" t="s">
        <v>39</v>
      </c>
      <c r="H4282">
        <v>3416.75</v>
      </c>
      <c r="I4282" s="8" t="str" cm="1">
        <f t="array" ref="I4282">_xlfn.IFS(C4282&lt;=15,"Children and Young Adolescents", C4282&gt;64, "Seniors", TRUE, "Working Age")</f>
        <v>Working Age</v>
      </c>
      <c r="J4282" s="6">
        <f>VLOOKUP(F4282,Analysis!$F$1:$G$5,2,FALSE)</f>
        <v>2503.6022787783854</v>
      </c>
      <c r="K4282">
        <f t="shared" si="264"/>
        <v>3758.42</v>
      </c>
      <c r="L4282">
        <f t="shared" si="265"/>
        <v>3758.4300000000003</v>
      </c>
      <c r="M4282">
        <f t="shared" si="266"/>
        <v>3758.43</v>
      </c>
      <c r="N4282" s="5" t="str">
        <f t="shared" si="267"/>
        <v>September 2023</v>
      </c>
    </row>
    <row r="4283" spans="1:14" x14ac:dyDescent="0.25">
      <c r="A4283" s="1">
        <v>45187</v>
      </c>
      <c r="B4283" t="s">
        <v>3646</v>
      </c>
      <c r="C4283">
        <v>74</v>
      </c>
      <c r="D4283" t="s">
        <v>21</v>
      </c>
      <c r="E4283" t="s">
        <v>10</v>
      </c>
      <c r="F4283" t="s">
        <v>16</v>
      </c>
      <c r="G4283" t="s">
        <v>27</v>
      </c>
      <c r="H4283">
        <v>2276.4299999999998</v>
      </c>
      <c r="I4283" s="8" t="str" cm="1">
        <f t="array" ref="I4283">_xlfn.IFS(C4283&lt;=15,"Children and Young Adolescents", C4283&gt;64, "Seniors", TRUE, "Working Age")</f>
        <v>Seniors</v>
      </c>
      <c r="J4283" s="6">
        <f>VLOOKUP(F4283,Analysis!$F$1:$G$5,2,FALSE)</f>
        <v>2509.1716796874912</v>
      </c>
      <c r="K4283">
        <f t="shared" si="264"/>
        <v>2504.0700000000002</v>
      </c>
      <c r="L4283">
        <f t="shared" si="265"/>
        <v>2504.0800000000004</v>
      </c>
      <c r="M4283">
        <f t="shared" si="266"/>
        <v>2504.0700000000002</v>
      </c>
      <c r="N4283" s="5" t="str">
        <f t="shared" si="267"/>
        <v>September 2023</v>
      </c>
    </row>
    <row r="4284" spans="1:14" x14ac:dyDescent="0.25">
      <c r="A4284" s="1">
        <v>45188</v>
      </c>
      <c r="B4284" t="s">
        <v>3216</v>
      </c>
      <c r="C4284">
        <v>80</v>
      </c>
      <c r="D4284" t="s">
        <v>21</v>
      </c>
      <c r="E4284" t="s">
        <v>25</v>
      </c>
      <c r="F4284" t="s">
        <v>23</v>
      </c>
      <c r="G4284" t="s">
        <v>27</v>
      </c>
      <c r="H4284">
        <v>1987.46</v>
      </c>
      <c r="I4284" s="8" t="str" cm="1">
        <f t="array" ref="I4284">_xlfn.IFS(C4284&lt;=15,"Children and Young Adolescents", C4284&gt;64, "Seniors", TRUE, "Working Age")</f>
        <v>Seniors</v>
      </c>
      <c r="J4284" s="6">
        <f>VLOOKUP(F4284,Analysis!$F$1:$G$5,2,FALSE)</f>
        <v>2440.2966694490838</v>
      </c>
      <c r="K4284">
        <f t="shared" si="264"/>
        <v>2186.1999999999998</v>
      </c>
      <c r="L4284">
        <f t="shared" si="265"/>
        <v>2186.21</v>
      </c>
      <c r="M4284">
        <f t="shared" si="266"/>
        <v>2186.21</v>
      </c>
      <c r="N4284" s="5" t="str">
        <f t="shared" si="267"/>
        <v>September 2023</v>
      </c>
    </row>
    <row r="4285" spans="1:14" x14ac:dyDescent="0.25">
      <c r="A4285" s="1">
        <v>45188</v>
      </c>
      <c r="B4285" t="s">
        <v>3706</v>
      </c>
      <c r="C4285">
        <v>20</v>
      </c>
      <c r="D4285" t="s">
        <v>14</v>
      </c>
      <c r="E4285" t="s">
        <v>25</v>
      </c>
      <c r="F4285" t="s">
        <v>11</v>
      </c>
      <c r="G4285" t="s">
        <v>27</v>
      </c>
      <c r="H4285">
        <v>1337.1</v>
      </c>
      <c r="I4285" s="8" t="str" cm="1">
        <f t="array" ref="I4285">_xlfn.IFS(C4285&lt;=15,"Children and Young Adolescents", C4285&gt;64, "Seniors", TRUE, "Working Age")</f>
        <v>Working Age</v>
      </c>
      <c r="J4285" s="6">
        <f>VLOOKUP(F4285,Analysis!$F$1:$G$5,2,FALSE)</f>
        <v>2503.6022787783854</v>
      </c>
      <c r="K4285">
        <f t="shared" si="264"/>
        <v>1470.81</v>
      </c>
      <c r="L4285">
        <f t="shared" si="265"/>
        <v>1470.81</v>
      </c>
      <c r="M4285">
        <f t="shared" si="266"/>
        <v>1470.81</v>
      </c>
      <c r="N4285" s="5" t="str">
        <f t="shared" si="267"/>
        <v>September 2023</v>
      </c>
    </row>
    <row r="4286" spans="1:14" x14ac:dyDescent="0.25">
      <c r="A4286" s="1">
        <v>45188</v>
      </c>
      <c r="B4286" t="s">
        <v>1743</v>
      </c>
      <c r="C4286">
        <v>73</v>
      </c>
      <c r="D4286" t="s">
        <v>21</v>
      </c>
      <c r="E4286" t="s">
        <v>34</v>
      </c>
      <c r="F4286" t="s">
        <v>16</v>
      </c>
      <c r="G4286" t="s">
        <v>36</v>
      </c>
      <c r="H4286">
        <v>474.99</v>
      </c>
      <c r="I4286" s="8" t="str" cm="1">
        <f t="array" ref="I4286">_xlfn.IFS(C4286&lt;=15,"Children and Young Adolescents", C4286&gt;64, "Seniors", TRUE, "Working Age")</f>
        <v>Seniors</v>
      </c>
      <c r="J4286" s="6">
        <f>VLOOKUP(F4286,Analysis!$F$1:$G$5,2,FALSE)</f>
        <v>2509.1716796874912</v>
      </c>
      <c r="K4286">
        <f t="shared" si="264"/>
        <v>522.48</v>
      </c>
      <c r="L4286">
        <f t="shared" si="265"/>
        <v>522.49</v>
      </c>
      <c r="M4286">
        <f t="shared" si="266"/>
        <v>522.49</v>
      </c>
      <c r="N4286" s="5" t="str">
        <f t="shared" si="267"/>
        <v>September 2023</v>
      </c>
    </row>
    <row r="4287" spans="1:14" x14ac:dyDescent="0.25">
      <c r="A4287" s="1">
        <v>45188</v>
      </c>
      <c r="B4287" t="s">
        <v>1382</v>
      </c>
      <c r="C4287">
        <v>77</v>
      </c>
      <c r="D4287" t="s">
        <v>9</v>
      </c>
      <c r="E4287" t="s">
        <v>34</v>
      </c>
      <c r="F4287" t="s">
        <v>16</v>
      </c>
      <c r="G4287" t="s">
        <v>12</v>
      </c>
      <c r="H4287">
        <v>794.08</v>
      </c>
      <c r="I4287" s="8" t="str" cm="1">
        <f t="array" ref="I4287">_xlfn.IFS(C4287&lt;=15,"Children and Young Adolescents", C4287&gt;64, "Seniors", TRUE, "Working Age")</f>
        <v>Seniors</v>
      </c>
      <c r="J4287" s="6">
        <f>VLOOKUP(F4287,Analysis!$F$1:$G$5,2,FALSE)</f>
        <v>2509.1716796874912</v>
      </c>
      <c r="K4287">
        <f t="shared" si="264"/>
        <v>873.48</v>
      </c>
      <c r="L4287">
        <f t="shared" si="265"/>
        <v>873.49</v>
      </c>
      <c r="M4287">
        <f t="shared" si="266"/>
        <v>873.49</v>
      </c>
      <c r="N4287" s="5" t="str">
        <f t="shared" si="267"/>
        <v>September 2023</v>
      </c>
    </row>
    <row r="4288" spans="1:14" x14ac:dyDescent="0.25">
      <c r="A4288" s="1">
        <v>45188</v>
      </c>
      <c r="B4288" t="s">
        <v>4576</v>
      </c>
      <c r="C4288">
        <v>43</v>
      </c>
      <c r="D4288" t="s">
        <v>14</v>
      </c>
      <c r="E4288" t="s">
        <v>32</v>
      </c>
      <c r="F4288" t="s">
        <v>29</v>
      </c>
      <c r="G4288" t="s">
        <v>12</v>
      </c>
      <c r="H4288">
        <v>4202.18</v>
      </c>
      <c r="I4288" s="8" t="str" cm="1">
        <f t="array" ref="I4288">_xlfn.IFS(C4288&lt;=15,"Children and Young Adolescents", C4288&gt;64, "Seniors", TRUE, "Working Age")</f>
        <v>Working Age</v>
      </c>
      <c r="J4288" s="6">
        <f>VLOOKUP(F4288,Analysis!$F$1:$G$5,2,FALSE)</f>
        <v>2496.7676064256989</v>
      </c>
      <c r="K4288">
        <f t="shared" si="264"/>
        <v>4622.3900000000003</v>
      </c>
      <c r="L4288">
        <f t="shared" si="265"/>
        <v>4622.4000000000005</v>
      </c>
      <c r="M4288">
        <f t="shared" si="266"/>
        <v>4622.3999999999996</v>
      </c>
      <c r="N4288" s="5" t="str">
        <f t="shared" si="267"/>
        <v>September 2023</v>
      </c>
    </row>
    <row r="4289" spans="1:14" x14ac:dyDescent="0.25">
      <c r="A4289" s="1">
        <v>45188</v>
      </c>
      <c r="B4289" t="s">
        <v>1235</v>
      </c>
      <c r="C4289">
        <v>13</v>
      </c>
      <c r="D4289" t="s">
        <v>14</v>
      </c>
      <c r="E4289" t="s">
        <v>32</v>
      </c>
      <c r="F4289" t="s">
        <v>23</v>
      </c>
      <c r="G4289" t="s">
        <v>12</v>
      </c>
      <c r="H4289">
        <v>180.3</v>
      </c>
      <c r="I4289" s="8" t="str" cm="1">
        <f t="array" ref="I4289">_xlfn.IFS(C4289&lt;=15,"Children and Young Adolescents", C4289&gt;64, "Seniors", TRUE, "Working Age")</f>
        <v>Children and Young Adolescents</v>
      </c>
      <c r="J4289" s="6">
        <f>VLOOKUP(F4289,Analysis!$F$1:$G$5,2,FALSE)</f>
        <v>2440.2966694490838</v>
      </c>
      <c r="K4289">
        <f t="shared" si="264"/>
        <v>198.33</v>
      </c>
      <c r="L4289">
        <f t="shared" si="265"/>
        <v>198.33</v>
      </c>
      <c r="M4289">
        <f t="shared" si="266"/>
        <v>198.33</v>
      </c>
      <c r="N4289" s="5" t="str">
        <f t="shared" si="267"/>
        <v>September 2023</v>
      </c>
    </row>
    <row r="4290" spans="1:14" x14ac:dyDescent="0.25">
      <c r="A4290" s="1">
        <v>45188</v>
      </c>
      <c r="B4290" t="s">
        <v>1779</v>
      </c>
      <c r="C4290">
        <v>28</v>
      </c>
      <c r="D4290" t="s">
        <v>9</v>
      </c>
      <c r="E4290" t="s">
        <v>25</v>
      </c>
      <c r="F4290" t="s">
        <v>29</v>
      </c>
      <c r="G4290" t="s">
        <v>27</v>
      </c>
      <c r="H4290">
        <v>1233.9000000000001</v>
      </c>
      <c r="I4290" s="8" t="str" cm="1">
        <f t="array" ref="I4290">_xlfn.IFS(C4290&lt;=15,"Children and Young Adolescents", C4290&gt;64, "Seniors", TRUE, "Working Age")</f>
        <v>Working Age</v>
      </c>
      <c r="J4290" s="6">
        <f>VLOOKUP(F4290,Analysis!$F$1:$G$5,2,FALSE)</f>
        <v>2496.7676064256989</v>
      </c>
      <c r="K4290">
        <f t="shared" si="264"/>
        <v>1357.29</v>
      </c>
      <c r="L4290">
        <f t="shared" si="265"/>
        <v>1357.29</v>
      </c>
      <c r="M4290">
        <f t="shared" si="266"/>
        <v>1357.29</v>
      </c>
      <c r="N4290" s="5" t="str">
        <f t="shared" si="267"/>
        <v>September 2023</v>
      </c>
    </row>
    <row r="4291" spans="1:14" x14ac:dyDescent="0.25">
      <c r="A4291" s="1">
        <v>45188</v>
      </c>
      <c r="B4291" t="s">
        <v>4758</v>
      </c>
      <c r="C4291">
        <v>76</v>
      </c>
      <c r="D4291" t="s">
        <v>14</v>
      </c>
      <c r="E4291" t="s">
        <v>25</v>
      </c>
      <c r="F4291" t="s">
        <v>11</v>
      </c>
      <c r="G4291" t="s">
        <v>36</v>
      </c>
      <c r="H4291">
        <v>4622.6099999999997</v>
      </c>
      <c r="I4291" s="8" t="str" cm="1">
        <f t="array" ref="I4291">_xlfn.IFS(C4291&lt;=15,"Children and Young Adolescents", C4291&gt;64, "Seniors", TRUE, "Working Age")</f>
        <v>Seniors</v>
      </c>
      <c r="J4291" s="6">
        <f>VLOOKUP(F4291,Analysis!$F$1:$G$5,2,FALSE)</f>
        <v>2503.6022787783854</v>
      </c>
      <c r="K4291">
        <f t="shared" ref="K4291:K4354" si="268">ROUNDDOWN(H4291*1.1,2)</f>
        <v>5084.87</v>
      </c>
      <c r="L4291">
        <f t="shared" ref="L4291:L4354" si="269">ROUNDUP(H4291*1.1,2)</f>
        <v>5084.88</v>
      </c>
      <c r="M4291">
        <f t="shared" ref="M4291:M4354" si="270">ROUND(H4291*1.1,2)</f>
        <v>5084.87</v>
      </c>
      <c r="N4291" s="5" t="str">
        <f t="shared" ref="N4291:N4354" si="271">TEXT(A4291,"mmmm yyyy")</f>
        <v>September 2023</v>
      </c>
    </row>
    <row r="4292" spans="1:14" x14ac:dyDescent="0.25">
      <c r="A4292" s="1">
        <v>45189</v>
      </c>
      <c r="B4292" t="s">
        <v>1617</v>
      </c>
      <c r="C4292">
        <v>15</v>
      </c>
      <c r="D4292" t="s">
        <v>9</v>
      </c>
      <c r="E4292" t="s">
        <v>25</v>
      </c>
      <c r="F4292" t="s">
        <v>16</v>
      </c>
      <c r="G4292" t="s">
        <v>17</v>
      </c>
      <c r="H4292">
        <v>1267.82</v>
      </c>
      <c r="I4292" s="8" t="str" cm="1">
        <f t="array" ref="I4292">_xlfn.IFS(C4292&lt;=15,"Children and Young Adolescents", C4292&gt;64, "Seniors", TRUE, "Working Age")</f>
        <v>Children and Young Adolescents</v>
      </c>
      <c r="J4292" s="6">
        <f>VLOOKUP(F4292,Analysis!$F$1:$G$5,2,FALSE)</f>
        <v>2509.1716796874912</v>
      </c>
      <c r="K4292">
        <f t="shared" si="268"/>
        <v>1394.6</v>
      </c>
      <c r="L4292">
        <f t="shared" si="269"/>
        <v>1394.61</v>
      </c>
      <c r="M4292">
        <f t="shared" si="270"/>
        <v>1394.6</v>
      </c>
      <c r="N4292" s="5" t="str">
        <f t="shared" si="271"/>
        <v>September 2023</v>
      </c>
    </row>
    <row r="4293" spans="1:14" x14ac:dyDescent="0.25">
      <c r="A4293" s="1">
        <v>45189</v>
      </c>
      <c r="B4293" t="s">
        <v>4687</v>
      </c>
      <c r="C4293">
        <v>87</v>
      </c>
      <c r="D4293" t="s">
        <v>21</v>
      </c>
      <c r="E4293" t="s">
        <v>25</v>
      </c>
      <c r="F4293" t="s">
        <v>11</v>
      </c>
      <c r="G4293" t="s">
        <v>12</v>
      </c>
      <c r="H4293">
        <v>452.19</v>
      </c>
      <c r="I4293" s="8" t="str" cm="1">
        <f t="array" ref="I4293">_xlfn.IFS(C4293&lt;=15,"Children and Young Adolescents", C4293&gt;64, "Seniors", TRUE, "Working Age")</f>
        <v>Seniors</v>
      </c>
      <c r="J4293" s="6">
        <f>VLOOKUP(F4293,Analysis!$F$1:$G$5,2,FALSE)</f>
        <v>2503.6022787783854</v>
      </c>
      <c r="K4293">
        <f t="shared" si="268"/>
        <v>497.4</v>
      </c>
      <c r="L4293">
        <f t="shared" si="269"/>
        <v>497.40999999999997</v>
      </c>
      <c r="M4293">
        <f t="shared" si="270"/>
        <v>497.41</v>
      </c>
      <c r="N4293" s="5" t="str">
        <f t="shared" si="271"/>
        <v>September 2023</v>
      </c>
    </row>
    <row r="4294" spans="1:14" x14ac:dyDescent="0.25">
      <c r="A4294" s="1">
        <v>45189</v>
      </c>
      <c r="B4294" t="s">
        <v>3683</v>
      </c>
      <c r="C4294">
        <v>84</v>
      </c>
      <c r="D4294" t="s">
        <v>14</v>
      </c>
      <c r="E4294" t="s">
        <v>22</v>
      </c>
      <c r="F4294" t="s">
        <v>11</v>
      </c>
      <c r="G4294" t="s">
        <v>27</v>
      </c>
      <c r="H4294">
        <v>683.39</v>
      </c>
      <c r="I4294" s="8" t="str" cm="1">
        <f t="array" ref="I4294">_xlfn.IFS(C4294&lt;=15,"Children and Young Adolescents", C4294&gt;64, "Seniors", TRUE, "Working Age")</f>
        <v>Seniors</v>
      </c>
      <c r="J4294" s="6">
        <f>VLOOKUP(F4294,Analysis!$F$1:$G$5,2,FALSE)</f>
        <v>2503.6022787783854</v>
      </c>
      <c r="K4294">
        <f t="shared" si="268"/>
        <v>751.72</v>
      </c>
      <c r="L4294">
        <f t="shared" si="269"/>
        <v>751.73</v>
      </c>
      <c r="M4294">
        <f t="shared" si="270"/>
        <v>751.73</v>
      </c>
      <c r="N4294" s="5" t="str">
        <f t="shared" si="271"/>
        <v>September 2023</v>
      </c>
    </row>
    <row r="4295" spans="1:14" x14ac:dyDescent="0.25">
      <c r="A4295" s="1">
        <v>45189</v>
      </c>
      <c r="B4295" t="s">
        <v>2783</v>
      </c>
      <c r="C4295">
        <v>94</v>
      </c>
      <c r="D4295" t="s">
        <v>14</v>
      </c>
      <c r="E4295" t="s">
        <v>25</v>
      </c>
      <c r="F4295" t="s">
        <v>11</v>
      </c>
      <c r="G4295" t="s">
        <v>12</v>
      </c>
      <c r="H4295">
        <v>4368.37</v>
      </c>
      <c r="I4295" s="8" t="str" cm="1">
        <f t="array" ref="I4295">_xlfn.IFS(C4295&lt;=15,"Children and Young Adolescents", C4295&gt;64, "Seniors", TRUE, "Working Age")</f>
        <v>Seniors</v>
      </c>
      <c r="J4295" s="6">
        <f>VLOOKUP(F4295,Analysis!$F$1:$G$5,2,FALSE)</f>
        <v>2503.6022787783854</v>
      </c>
      <c r="K4295">
        <f t="shared" si="268"/>
        <v>4805.2</v>
      </c>
      <c r="L4295">
        <f t="shared" si="269"/>
        <v>4805.21</v>
      </c>
      <c r="M4295">
        <f t="shared" si="270"/>
        <v>4805.21</v>
      </c>
      <c r="N4295" s="5" t="str">
        <f t="shared" si="271"/>
        <v>September 2023</v>
      </c>
    </row>
    <row r="4296" spans="1:14" x14ac:dyDescent="0.25">
      <c r="A4296" s="1">
        <v>45189</v>
      </c>
      <c r="B4296" t="s">
        <v>2939</v>
      </c>
      <c r="C4296">
        <v>77</v>
      </c>
      <c r="D4296" t="s">
        <v>21</v>
      </c>
      <c r="E4296" t="s">
        <v>25</v>
      </c>
      <c r="F4296" t="s">
        <v>23</v>
      </c>
      <c r="G4296" t="s">
        <v>12</v>
      </c>
      <c r="H4296">
        <v>1475.01</v>
      </c>
      <c r="I4296" s="8" t="str" cm="1">
        <f t="array" ref="I4296">_xlfn.IFS(C4296&lt;=15,"Children and Young Adolescents", C4296&gt;64, "Seniors", TRUE, "Working Age")</f>
        <v>Seniors</v>
      </c>
      <c r="J4296" s="6">
        <f>VLOOKUP(F4296,Analysis!$F$1:$G$5,2,FALSE)</f>
        <v>2440.2966694490838</v>
      </c>
      <c r="K4296">
        <f t="shared" si="268"/>
        <v>1622.51</v>
      </c>
      <c r="L4296">
        <f t="shared" si="269"/>
        <v>1622.52</v>
      </c>
      <c r="M4296">
        <f t="shared" si="270"/>
        <v>1622.51</v>
      </c>
      <c r="N4296" s="5" t="str">
        <f t="shared" si="271"/>
        <v>September 2023</v>
      </c>
    </row>
    <row r="4297" spans="1:14" x14ac:dyDescent="0.25">
      <c r="A4297" s="1">
        <v>45189</v>
      </c>
      <c r="B4297" t="s">
        <v>683</v>
      </c>
      <c r="C4297">
        <v>8</v>
      </c>
      <c r="D4297" t="s">
        <v>21</v>
      </c>
      <c r="E4297" t="s">
        <v>19</v>
      </c>
      <c r="F4297" t="s">
        <v>23</v>
      </c>
      <c r="G4297" t="s">
        <v>12</v>
      </c>
      <c r="H4297">
        <v>153.31</v>
      </c>
      <c r="I4297" s="8" t="str" cm="1">
        <f t="array" ref="I4297">_xlfn.IFS(C4297&lt;=15,"Children and Young Adolescents", C4297&gt;64, "Seniors", TRUE, "Working Age")</f>
        <v>Children and Young Adolescents</v>
      </c>
      <c r="J4297" s="6">
        <f>VLOOKUP(F4297,Analysis!$F$1:$G$5,2,FALSE)</f>
        <v>2440.2966694490838</v>
      </c>
      <c r="K4297">
        <f t="shared" si="268"/>
        <v>168.64</v>
      </c>
      <c r="L4297">
        <f t="shared" si="269"/>
        <v>168.64999999999998</v>
      </c>
      <c r="M4297">
        <f t="shared" si="270"/>
        <v>168.64</v>
      </c>
      <c r="N4297" s="5" t="str">
        <f t="shared" si="271"/>
        <v>September 2023</v>
      </c>
    </row>
    <row r="4298" spans="1:14" x14ac:dyDescent="0.25">
      <c r="A4298" s="1">
        <v>45189</v>
      </c>
      <c r="B4298" t="s">
        <v>3482</v>
      </c>
      <c r="C4298">
        <v>56</v>
      </c>
      <c r="D4298" t="s">
        <v>21</v>
      </c>
      <c r="E4298" t="s">
        <v>19</v>
      </c>
      <c r="F4298" t="s">
        <v>29</v>
      </c>
      <c r="G4298" t="s">
        <v>36</v>
      </c>
      <c r="H4298">
        <v>3107.97</v>
      </c>
      <c r="I4298" s="8" t="str" cm="1">
        <f t="array" ref="I4298">_xlfn.IFS(C4298&lt;=15,"Children and Young Adolescents", C4298&gt;64, "Seniors", TRUE, "Working Age")</f>
        <v>Working Age</v>
      </c>
      <c r="J4298" s="6">
        <f>VLOOKUP(F4298,Analysis!$F$1:$G$5,2,FALSE)</f>
        <v>2496.7676064256989</v>
      </c>
      <c r="K4298">
        <f t="shared" si="268"/>
        <v>3418.76</v>
      </c>
      <c r="L4298">
        <f t="shared" si="269"/>
        <v>3418.7700000000004</v>
      </c>
      <c r="M4298">
        <f t="shared" si="270"/>
        <v>3418.77</v>
      </c>
      <c r="N4298" s="5" t="str">
        <f t="shared" si="271"/>
        <v>September 2023</v>
      </c>
    </row>
    <row r="4299" spans="1:14" x14ac:dyDescent="0.25">
      <c r="A4299" s="1">
        <v>45189</v>
      </c>
      <c r="B4299" t="s">
        <v>751</v>
      </c>
      <c r="C4299">
        <v>62</v>
      </c>
      <c r="D4299" t="s">
        <v>14</v>
      </c>
      <c r="E4299" t="s">
        <v>34</v>
      </c>
      <c r="F4299" t="s">
        <v>11</v>
      </c>
      <c r="G4299" t="s">
        <v>39</v>
      </c>
      <c r="H4299">
        <v>2208.9699999999998</v>
      </c>
      <c r="I4299" s="8" t="str" cm="1">
        <f t="array" ref="I4299">_xlfn.IFS(C4299&lt;=15,"Children and Young Adolescents", C4299&gt;64, "Seniors", TRUE, "Working Age")</f>
        <v>Working Age</v>
      </c>
      <c r="J4299" s="6">
        <f>VLOOKUP(F4299,Analysis!$F$1:$G$5,2,FALSE)</f>
        <v>2503.6022787783854</v>
      </c>
      <c r="K4299">
        <f t="shared" si="268"/>
        <v>2429.86</v>
      </c>
      <c r="L4299">
        <f t="shared" si="269"/>
        <v>2429.8700000000003</v>
      </c>
      <c r="M4299">
        <f t="shared" si="270"/>
        <v>2429.87</v>
      </c>
      <c r="N4299" s="5" t="str">
        <f t="shared" si="271"/>
        <v>September 2023</v>
      </c>
    </row>
    <row r="4300" spans="1:14" x14ac:dyDescent="0.25">
      <c r="A4300" s="1">
        <v>45189</v>
      </c>
      <c r="B4300" t="s">
        <v>2047</v>
      </c>
      <c r="C4300">
        <v>86</v>
      </c>
      <c r="D4300" t="s">
        <v>21</v>
      </c>
      <c r="E4300" t="s">
        <v>10</v>
      </c>
      <c r="F4300" t="s">
        <v>29</v>
      </c>
      <c r="G4300" t="s">
        <v>27</v>
      </c>
      <c r="H4300">
        <v>4773.34</v>
      </c>
      <c r="I4300" s="8" t="str" cm="1">
        <f t="array" ref="I4300">_xlfn.IFS(C4300&lt;=15,"Children and Young Adolescents", C4300&gt;64, "Seniors", TRUE, "Working Age")</f>
        <v>Seniors</v>
      </c>
      <c r="J4300" s="6">
        <f>VLOOKUP(F4300,Analysis!$F$1:$G$5,2,FALSE)</f>
        <v>2496.7676064256989</v>
      </c>
      <c r="K4300">
        <f t="shared" si="268"/>
        <v>5250.67</v>
      </c>
      <c r="L4300">
        <f t="shared" si="269"/>
        <v>5250.68</v>
      </c>
      <c r="M4300">
        <f t="shared" si="270"/>
        <v>5250.67</v>
      </c>
      <c r="N4300" s="5" t="str">
        <f t="shared" si="271"/>
        <v>September 2023</v>
      </c>
    </row>
    <row r="4301" spans="1:14" x14ac:dyDescent="0.25">
      <c r="A4301" s="1">
        <v>45189</v>
      </c>
      <c r="B4301" t="s">
        <v>2687</v>
      </c>
      <c r="C4301">
        <v>40</v>
      </c>
      <c r="D4301" t="s">
        <v>9</v>
      </c>
      <c r="E4301" t="s">
        <v>15</v>
      </c>
      <c r="F4301" t="s">
        <v>29</v>
      </c>
      <c r="G4301" t="s">
        <v>36</v>
      </c>
      <c r="H4301">
        <v>170.24</v>
      </c>
      <c r="I4301" s="8" t="str" cm="1">
        <f t="array" ref="I4301">_xlfn.IFS(C4301&lt;=15,"Children and Young Adolescents", C4301&gt;64, "Seniors", TRUE, "Working Age")</f>
        <v>Working Age</v>
      </c>
      <c r="J4301" s="6">
        <f>VLOOKUP(F4301,Analysis!$F$1:$G$5,2,FALSE)</f>
        <v>2496.7676064256989</v>
      </c>
      <c r="K4301">
        <f t="shared" si="268"/>
        <v>187.26</v>
      </c>
      <c r="L4301">
        <f t="shared" si="269"/>
        <v>187.26999999999998</v>
      </c>
      <c r="M4301">
        <f t="shared" si="270"/>
        <v>187.26</v>
      </c>
      <c r="N4301" s="5" t="str">
        <f t="shared" si="271"/>
        <v>September 2023</v>
      </c>
    </row>
    <row r="4302" spans="1:14" x14ac:dyDescent="0.25">
      <c r="A4302" s="1">
        <v>45190</v>
      </c>
      <c r="B4302" t="s">
        <v>3485</v>
      </c>
      <c r="C4302">
        <v>81</v>
      </c>
      <c r="D4302" t="s">
        <v>14</v>
      </c>
      <c r="E4302" t="s">
        <v>34</v>
      </c>
      <c r="F4302" t="s">
        <v>11</v>
      </c>
      <c r="G4302" t="s">
        <v>17</v>
      </c>
      <c r="H4302">
        <v>71.239999999999995</v>
      </c>
      <c r="I4302" s="8" t="str" cm="1">
        <f t="array" ref="I4302">_xlfn.IFS(C4302&lt;=15,"Children and Young Adolescents", C4302&gt;64, "Seniors", TRUE, "Working Age")</f>
        <v>Seniors</v>
      </c>
      <c r="J4302" s="6">
        <f>VLOOKUP(F4302,Analysis!$F$1:$G$5,2,FALSE)</f>
        <v>2503.6022787783854</v>
      </c>
      <c r="K4302">
        <f t="shared" si="268"/>
        <v>78.36</v>
      </c>
      <c r="L4302">
        <f t="shared" si="269"/>
        <v>78.37</v>
      </c>
      <c r="M4302">
        <f t="shared" si="270"/>
        <v>78.36</v>
      </c>
      <c r="N4302" s="5" t="str">
        <f t="shared" si="271"/>
        <v>September 2023</v>
      </c>
    </row>
    <row r="4303" spans="1:14" x14ac:dyDescent="0.25">
      <c r="A4303" s="1">
        <v>45190</v>
      </c>
      <c r="B4303" t="s">
        <v>2450</v>
      </c>
      <c r="C4303">
        <v>24</v>
      </c>
      <c r="D4303" t="s">
        <v>9</v>
      </c>
      <c r="E4303" t="s">
        <v>34</v>
      </c>
      <c r="F4303" t="s">
        <v>23</v>
      </c>
      <c r="G4303" t="s">
        <v>36</v>
      </c>
      <c r="H4303">
        <v>670.04</v>
      </c>
      <c r="I4303" s="8" t="str" cm="1">
        <f t="array" ref="I4303">_xlfn.IFS(C4303&lt;=15,"Children and Young Adolescents", C4303&gt;64, "Seniors", TRUE, "Working Age")</f>
        <v>Working Age</v>
      </c>
      <c r="J4303" s="6">
        <f>VLOOKUP(F4303,Analysis!$F$1:$G$5,2,FALSE)</f>
        <v>2440.2966694490838</v>
      </c>
      <c r="K4303">
        <f t="shared" si="268"/>
        <v>737.04</v>
      </c>
      <c r="L4303">
        <f t="shared" si="269"/>
        <v>737.05</v>
      </c>
      <c r="M4303">
        <f t="shared" si="270"/>
        <v>737.04</v>
      </c>
      <c r="N4303" s="5" t="str">
        <f t="shared" si="271"/>
        <v>September 2023</v>
      </c>
    </row>
    <row r="4304" spans="1:14" x14ac:dyDescent="0.25">
      <c r="A4304" s="1">
        <v>45190</v>
      </c>
      <c r="B4304" t="s">
        <v>440</v>
      </c>
      <c r="C4304">
        <v>7</v>
      </c>
      <c r="D4304" t="s">
        <v>14</v>
      </c>
      <c r="E4304" t="s">
        <v>10</v>
      </c>
      <c r="F4304" t="s">
        <v>23</v>
      </c>
      <c r="G4304" t="s">
        <v>27</v>
      </c>
      <c r="H4304">
        <v>2232.5500000000002</v>
      </c>
      <c r="I4304" s="8" t="str" cm="1">
        <f t="array" ref="I4304">_xlfn.IFS(C4304&lt;=15,"Children and Young Adolescents", C4304&gt;64, "Seniors", TRUE, "Working Age")</f>
        <v>Children and Young Adolescents</v>
      </c>
      <c r="J4304" s="6">
        <f>VLOOKUP(F4304,Analysis!$F$1:$G$5,2,FALSE)</f>
        <v>2440.2966694490838</v>
      </c>
      <c r="K4304">
        <f t="shared" si="268"/>
        <v>2455.8000000000002</v>
      </c>
      <c r="L4304">
        <f t="shared" si="269"/>
        <v>2455.8100000000004</v>
      </c>
      <c r="M4304">
        <f t="shared" si="270"/>
        <v>2455.81</v>
      </c>
      <c r="N4304" s="5" t="str">
        <f t="shared" si="271"/>
        <v>September 2023</v>
      </c>
    </row>
    <row r="4305" spans="1:14" x14ac:dyDescent="0.25">
      <c r="A4305" s="1">
        <v>45190</v>
      </c>
      <c r="B4305" t="s">
        <v>4903</v>
      </c>
      <c r="C4305">
        <v>46</v>
      </c>
      <c r="D4305" t="s">
        <v>14</v>
      </c>
      <c r="E4305" t="s">
        <v>22</v>
      </c>
      <c r="F4305" t="s">
        <v>23</v>
      </c>
      <c r="G4305" t="s">
        <v>27</v>
      </c>
      <c r="H4305">
        <v>4183.67</v>
      </c>
      <c r="I4305" s="8" t="str" cm="1">
        <f t="array" ref="I4305">_xlfn.IFS(C4305&lt;=15,"Children and Young Adolescents", C4305&gt;64, "Seniors", TRUE, "Working Age")</f>
        <v>Working Age</v>
      </c>
      <c r="J4305" s="6">
        <f>VLOOKUP(F4305,Analysis!$F$1:$G$5,2,FALSE)</f>
        <v>2440.2966694490838</v>
      </c>
      <c r="K4305">
        <f t="shared" si="268"/>
        <v>4602.03</v>
      </c>
      <c r="L4305">
        <f t="shared" si="269"/>
        <v>4602.04</v>
      </c>
      <c r="M4305">
        <f t="shared" si="270"/>
        <v>4602.04</v>
      </c>
      <c r="N4305" s="5" t="str">
        <f t="shared" si="271"/>
        <v>September 2023</v>
      </c>
    </row>
    <row r="4306" spans="1:14" x14ac:dyDescent="0.25">
      <c r="A4306" s="1">
        <v>45190</v>
      </c>
      <c r="B4306" t="s">
        <v>2313</v>
      </c>
      <c r="C4306">
        <v>53</v>
      </c>
      <c r="D4306" t="s">
        <v>21</v>
      </c>
      <c r="E4306" t="s">
        <v>22</v>
      </c>
      <c r="F4306" t="s">
        <v>16</v>
      </c>
      <c r="G4306" t="s">
        <v>17</v>
      </c>
      <c r="H4306">
        <v>3324</v>
      </c>
      <c r="I4306" s="8" t="str" cm="1">
        <f t="array" ref="I4306">_xlfn.IFS(C4306&lt;=15,"Children and Young Adolescents", C4306&gt;64, "Seniors", TRUE, "Working Age")</f>
        <v>Working Age</v>
      </c>
      <c r="J4306" s="6">
        <f>VLOOKUP(F4306,Analysis!$F$1:$G$5,2,FALSE)</f>
        <v>2509.1716796874912</v>
      </c>
      <c r="K4306">
        <f t="shared" si="268"/>
        <v>3656.4</v>
      </c>
      <c r="L4306">
        <f t="shared" si="269"/>
        <v>3656.4</v>
      </c>
      <c r="M4306">
        <f t="shared" si="270"/>
        <v>3656.4</v>
      </c>
      <c r="N4306" s="5" t="str">
        <f t="shared" si="271"/>
        <v>September 2023</v>
      </c>
    </row>
    <row r="4307" spans="1:14" x14ac:dyDescent="0.25">
      <c r="A4307" s="1">
        <v>45190</v>
      </c>
      <c r="B4307" t="s">
        <v>41</v>
      </c>
      <c r="C4307">
        <v>23</v>
      </c>
      <c r="D4307" t="s">
        <v>14</v>
      </c>
      <c r="E4307" t="s">
        <v>15</v>
      </c>
      <c r="F4307" t="s">
        <v>29</v>
      </c>
      <c r="G4307" t="s">
        <v>17</v>
      </c>
      <c r="H4307">
        <v>1495.06</v>
      </c>
      <c r="I4307" s="8" t="str" cm="1">
        <f t="array" ref="I4307">_xlfn.IFS(C4307&lt;=15,"Children and Young Adolescents", C4307&gt;64, "Seniors", TRUE, "Working Age")</f>
        <v>Working Age</v>
      </c>
      <c r="J4307" s="6">
        <f>VLOOKUP(F4307,Analysis!$F$1:$G$5,2,FALSE)</f>
        <v>2496.7676064256989</v>
      </c>
      <c r="K4307">
        <f t="shared" si="268"/>
        <v>1644.56</v>
      </c>
      <c r="L4307">
        <f t="shared" si="269"/>
        <v>1644.57</v>
      </c>
      <c r="M4307">
        <f t="shared" si="270"/>
        <v>1644.57</v>
      </c>
      <c r="N4307" s="5" t="str">
        <f t="shared" si="271"/>
        <v>September 2023</v>
      </c>
    </row>
    <row r="4308" spans="1:14" x14ac:dyDescent="0.25">
      <c r="A4308" s="1">
        <v>45190</v>
      </c>
      <c r="B4308" t="s">
        <v>3748</v>
      </c>
      <c r="C4308">
        <v>36</v>
      </c>
      <c r="D4308" t="s">
        <v>14</v>
      </c>
      <c r="E4308" t="s">
        <v>5032</v>
      </c>
      <c r="F4308" t="s">
        <v>29</v>
      </c>
      <c r="G4308" t="s">
        <v>27</v>
      </c>
      <c r="H4308">
        <v>4393.87</v>
      </c>
      <c r="I4308" s="8" t="str" cm="1">
        <f t="array" ref="I4308">_xlfn.IFS(C4308&lt;=15,"Children and Young Adolescents", C4308&gt;64, "Seniors", TRUE, "Working Age")</f>
        <v>Working Age</v>
      </c>
      <c r="J4308" s="6">
        <f>VLOOKUP(F4308,Analysis!$F$1:$G$5,2,FALSE)</f>
        <v>2496.7676064256989</v>
      </c>
      <c r="K4308">
        <f t="shared" si="268"/>
        <v>4833.25</v>
      </c>
      <c r="L4308">
        <f t="shared" si="269"/>
        <v>4833.26</v>
      </c>
      <c r="M4308">
        <f t="shared" si="270"/>
        <v>4833.26</v>
      </c>
      <c r="N4308" s="5" t="str">
        <f t="shared" si="271"/>
        <v>September 2023</v>
      </c>
    </row>
    <row r="4309" spans="1:14" x14ac:dyDescent="0.25">
      <c r="A4309" s="1">
        <v>45191</v>
      </c>
      <c r="B4309" t="s">
        <v>3190</v>
      </c>
      <c r="C4309">
        <v>28</v>
      </c>
      <c r="D4309" t="s">
        <v>9</v>
      </c>
      <c r="E4309" t="s">
        <v>15</v>
      </c>
      <c r="F4309" t="s">
        <v>11</v>
      </c>
      <c r="G4309" t="s">
        <v>36</v>
      </c>
      <c r="H4309">
        <v>2816.06</v>
      </c>
      <c r="I4309" s="8" t="str" cm="1">
        <f t="array" ref="I4309">_xlfn.IFS(C4309&lt;=15,"Children and Young Adolescents", C4309&gt;64, "Seniors", TRUE, "Working Age")</f>
        <v>Working Age</v>
      </c>
      <c r="J4309" s="6">
        <f>VLOOKUP(F4309,Analysis!$F$1:$G$5,2,FALSE)</f>
        <v>2503.6022787783854</v>
      </c>
      <c r="K4309">
        <f t="shared" si="268"/>
        <v>3097.66</v>
      </c>
      <c r="L4309">
        <f t="shared" si="269"/>
        <v>3097.67</v>
      </c>
      <c r="M4309">
        <f t="shared" si="270"/>
        <v>3097.67</v>
      </c>
      <c r="N4309" s="5" t="str">
        <f t="shared" si="271"/>
        <v>September 2023</v>
      </c>
    </row>
    <row r="4310" spans="1:14" x14ac:dyDescent="0.25">
      <c r="A4310" s="1">
        <v>45191</v>
      </c>
      <c r="B4310" t="s">
        <v>4782</v>
      </c>
      <c r="C4310">
        <v>7</v>
      </c>
      <c r="D4310" t="s">
        <v>14</v>
      </c>
      <c r="E4310" t="s">
        <v>25</v>
      </c>
      <c r="F4310" t="s">
        <v>16</v>
      </c>
      <c r="G4310" t="s">
        <v>17</v>
      </c>
      <c r="H4310">
        <v>2784.08</v>
      </c>
      <c r="I4310" s="8" t="str" cm="1">
        <f t="array" ref="I4310">_xlfn.IFS(C4310&lt;=15,"Children and Young Adolescents", C4310&gt;64, "Seniors", TRUE, "Working Age")</f>
        <v>Children and Young Adolescents</v>
      </c>
      <c r="J4310" s="6">
        <f>VLOOKUP(F4310,Analysis!$F$1:$G$5,2,FALSE)</f>
        <v>2509.1716796874912</v>
      </c>
      <c r="K4310">
        <f t="shared" si="268"/>
        <v>3062.48</v>
      </c>
      <c r="L4310">
        <f t="shared" si="269"/>
        <v>3062.4900000000002</v>
      </c>
      <c r="M4310">
        <f t="shared" si="270"/>
        <v>3062.49</v>
      </c>
      <c r="N4310" s="5" t="str">
        <f t="shared" si="271"/>
        <v>September 2023</v>
      </c>
    </row>
    <row r="4311" spans="1:14" x14ac:dyDescent="0.25">
      <c r="A4311" s="1">
        <v>45191</v>
      </c>
      <c r="B4311" t="s">
        <v>4134</v>
      </c>
      <c r="C4311">
        <v>92</v>
      </c>
      <c r="D4311" t="s">
        <v>21</v>
      </c>
      <c r="E4311" t="s">
        <v>34</v>
      </c>
      <c r="F4311" t="s">
        <v>23</v>
      </c>
      <c r="G4311" t="s">
        <v>27</v>
      </c>
      <c r="H4311">
        <v>4600.01</v>
      </c>
      <c r="I4311" s="8" t="str" cm="1">
        <f t="array" ref="I4311">_xlfn.IFS(C4311&lt;=15,"Children and Young Adolescents", C4311&gt;64, "Seniors", TRUE, "Working Age")</f>
        <v>Seniors</v>
      </c>
      <c r="J4311" s="6">
        <f>VLOOKUP(F4311,Analysis!$F$1:$G$5,2,FALSE)</f>
        <v>2440.2966694490838</v>
      </c>
      <c r="K4311">
        <f t="shared" si="268"/>
        <v>5060.01</v>
      </c>
      <c r="L4311">
        <f t="shared" si="269"/>
        <v>5060.0200000000004</v>
      </c>
      <c r="M4311">
        <f t="shared" si="270"/>
        <v>5060.01</v>
      </c>
      <c r="N4311" s="5" t="str">
        <f t="shared" si="271"/>
        <v>September 2023</v>
      </c>
    </row>
    <row r="4312" spans="1:14" x14ac:dyDescent="0.25">
      <c r="A4312" s="1">
        <v>45191</v>
      </c>
      <c r="B4312" t="s">
        <v>2427</v>
      </c>
      <c r="C4312">
        <v>1</v>
      </c>
      <c r="D4312" t="s">
        <v>9</v>
      </c>
      <c r="E4312" t="s">
        <v>25</v>
      </c>
      <c r="F4312" t="s">
        <v>23</v>
      </c>
      <c r="G4312" t="s">
        <v>12</v>
      </c>
      <c r="H4312">
        <v>2184.0100000000002</v>
      </c>
      <c r="I4312" s="8" t="str" cm="1">
        <f t="array" ref="I4312">_xlfn.IFS(C4312&lt;=15,"Children and Young Adolescents", C4312&gt;64, "Seniors", TRUE, "Working Age")</f>
        <v>Children and Young Adolescents</v>
      </c>
      <c r="J4312" s="6">
        <f>VLOOKUP(F4312,Analysis!$F$1:$G$5,2,FALSE)</f>
        <v>2440.2966694490838</v>
      </c>
      <c r="K4312">
        <f t="shared" si="268"/>
        <v>2402.41</v>
      </c>
      <c r="L4312">
        <f t="shared" si="269"/>
        <v>2402.42</v>
      </c>
      <c r="M4312">
        <f t="shared" si="270"/>
        <v>2402.41</v>
      </c>
      <c r="N4312" s="5" t="str">
        <f t="shared" si="271"/>
        <v>September 2023</v>
      </c>
    </row>
    <row r="4313" spans="1:14" x14ac:dyDescent="0.25">
      <c r="A4313" s="1">
        <v>45191</v>
      </c>
      <c r="B4313" t="s">
        <v>1150</v>
      </c>
      <c r="C4313">
        <v>54</v>
      </c>
      <c r="D4313" t="s">
        <v>9</v>
      </c>
      <c r="E4313" t="s">
        <v>15</v>
      </c>
      <c r="F4313" t="s">
        <v>16</v>
      </c>
      <c r="G4313" t="s">
        <v>36</v>
      </c>
      <c r="H4313">
        <v>4898.03</v>
      </c>
      <c r="I4313" s="8" t="str" cm="1">
        <f t="array" ref="I4313">_xlfn.IFS(C4313&lt;=15,"Children and Young Adolescents", C4313&gt;64, "Seniors", TRUE, "Working Age")</f>
        <v>Working Age</v>
      </c>
      <c r="J4313" s="6">
        <f>VLOOKUP(F4313,Analysis!$F$1:$G$5,2,FALSE)</f>
        <v>2509.1716796874912</v>
      </c>
      <c r="K4313">
        <f t="shared" si="268"/>
        <v>5387.83</v>
      </c>
      <c r="L4313">
        <f t="shared" si="269"/>
        <v>5387.84</v>
      </c>
      <c r="M4313">
        <f t="shared" si="270"/>
        <v>5387.83</v>
      </c>
      <c r="N4313" s="5" t="str">
        <f t="shared" si="271"/>
        <v>September 2023</v>
      </c>
    </row>
    <row r="4314" spans="1:14" x14ac:dyDescent="0.25">
      <c r="A4314" s="1">
        <v>45192</v>
      </c>
      <c r="B4314" t="s">
        <v>4756</v>
      </c>
      <c r="C4314">
        <v>20</v>
      </c>
      <c r="D4314" t="s">
        <v>21</v>
      </c>
      <c r="E4314" t="s">
        <v>10</v>
      </c>
      <c r="F4314" t="s">
        <v>11</v>
      </c>
      <c r="G4314" t="s">
        <v>17</v>
      </c>
      <c r="H4314">
        <v>1276.47</v>
      </c>
      <c r="I4314" s="8" t="str" cm="1">
        <f t="array" ref="I4314">_xlfn.IFS(C4314&lt;=15,"Children and Young Adolescents", C4314&gt;64, "Seniors", TRUE, "Working Age")</f>
        <v>Working Age</v>
      </c>
      <c r="J4314" s="6">
        <f>VLOOKUP(F4314,Analysis!$F$1:$G$5,2,FALSE)</f>
        <v>2503.6022787783854</v>
      </c>
      <c r="K4314">
        <f t="shared" si="268"/>
        <v>1404.11</v>
      </c>
      <c r="L4314">
        <f t="shared" si="269"/>
        <v>1404.12</v>
      </c>
      <c r="M4314">
        <f t="shared" si="270"/>
        <v>1404.12</v>
      </c>
      <c r="N4314" s="5" t="str">
        <f t="shared" si="271"/>
        <v>September 2023</v>
      </c>
    </row>
    <row r="4315" spans="1:14" x14ac:dyDescent="0.25">
      <c r="A4315" s="1">
        <v>45192</v>
      </c>
      <c r="B4315" t="s">
        <v>4282</v>
      </c>
      <c r="C4315">
        <v>64</v>
      </c>
      <c r="D4315" t="s">
        <v>9</v>
      </c>
      <c r="E4315" t="s">
        <v>19</v>
      </c>
      <c r="F4315" t="s">
        <v>23</v>
      </c>
      <c r="G4315" t="s">
        <v>36</v>
      </c>
      <c r="H4315">
        <v>3814.16</v>
      </c>
      <c r="I4315" s="8" t="str" cm="1">
        <f t="array" ref="I4315">_xlfn.IFS(C4315&lt;=15,"Children and Young Adolescents", C4315&gt;64, "Seniors", TRUE, "Working Age")</f>
        <v>Working Age</v>
      </c>
      <c r="J4315" s="6">
        <f>VLOOKUP(F4315,Analysis!$F$1:$G$5,2,FALSE)</f>
        <v>2440.2966694490838</v>
      </c>
      <c r="K4315">
        <f t="shared" si="268"/>
        <v>4195.57</v>
      </c>
      <c r="L4315">
        <f t="shared" si="269"/>
        <v>4195.58</v>
      </c>
      <c r="M4315">
        <f t="shared" si="270"/>
        <v>4195.58</v>
      </c>
      <c r="N4315" s="5" t="str">
        <f t="shared" si="271"/>
        <v>September 2023</v>
      </c>
    </row>
    <row r="4316" spans="1:14" x14ac:dyDescent="0.25">
      <c r="A4316" s="1">
        <v>45192</v>
      </c>
      <c r="B4316" t="s">
        <v>1554</v>
      </c>
      <c r="C4316">
        <v>95</v>
      </c>
      <c r="D4316" t="s">
        <v>14</v>
      </c>
      <c r="E4316" t="s">
        <v>5032</v>
      </c>
      <c r="F4316" t="s">
        <v>16</v>
      </c>
      <c r="G4316" t="s">
        <v>39</v>
      </c>
      <c r="H4316">
        <v>2993.15</v>
      </c>
      <c r="I4316" s="8" t="str" cm="1">
        <f t="array" ref="I4316">_xlfn.IFS(C4316&lt;=15,"Children and Young Adolescents", C4316&gt;64, "Seniors", TRUE, "Working Age")</f>
        <v>Seniors</v>
      </c>
      <c r="J4316" s="6">
        <f>VLOOKUP(F4316,Analysis!$F$1:$G$5,2,FALSE)</f>
        <v>2509.1716796874912</v>
      </c>
      <c r="K4316">
        <f t="shared" si="268"/>
        <v>3292.46</v>
      </c>
      <c r="L4316">
        <f t="shared" si="269"/>
        <v>3292.4700000000003</v>
      </c>
      <c r="M4316">
        <f t="shared" si="270"/>
        <v>3292.47</v>
      </c>
      <c r="N4316" s="5" t="str">
        <f t="shared" si="271"/>
        <v>September 2023</v>
      </c>
    </row>
    <row r="4317" spans="1:14" x14ac:dyDescent="0.25">
      <c r="A4317" s="1">
        <v>45192</v>
      </c>
      <c r="B4317" t="s">
        <v>111</v>
      </c>
      <c r="C4317">
        <v>83</v>
      </c>
      <c r="D4317" t="s">
        <v>14</v>
      </c>
      <c r="E4317" t="s">
        <v>32</v>
      </c>
      <c r="F4317" t="s">
        <v>11</v>
      </c>
      <c r="G4317" t="s">
        <v>36</v>
      </c>
      <c r="H4317">
        <v>1699.52</v>
      </c>
      <c r="I4317" s="8" t="str" cm="1">
        <f t="array" ref="I4317">_xlfn.IFS(C4317&lt;=15,"Children and Young Adolescents", C4317&gt;64, "Seniors", TRUE, "Working Age")</f>
        <v>Seniors</v>
      </c>
      <c r="J4317" s="6">
        <f>VLOOKUP(F4317,Analysis!$F$1:$G$5,2,FALSE)</f>
        <v>2503.6022787783854</v>
      </c>
      <c r="K4317">
        <f t="shared" si="268"/>
        <v>1869.47</v>
      </c>
      <c r="L4317">
        <f t="shared" si="269"/>
        <v>1869.48</v>
      </c>
      <c r="M4317">
        <f t="shared" si="270"/>
        <v>1869.47</v>
      </c>
      <c r="N4317" s="5" t="str">
        <f t="shared" si="271"/>
        <v>September 2023</v>
      </c>
    </row>
    <row r="4318" spans="1:14" x14ac:dyDescent="0.25">
      <c r="A4318" s="1">
        <v>45192</v>
      </c>
      <c r="B4318" t="s">
        <v>4769</v>
      </c>
      <c r="C4318">
        <v>66</v>
      </c>
      <c r="D4318" t="s">
        <v>9</v>
      </c>
      <c r="E4318" t="s">
        <v>32</v>
      </c>
      <c r="F4318" t="s">
        <v>23</v>
      </c>
      <c r="G4318" t="s">
        <v>12</v>
      </c>
      <c r="H4318">
        <v>3172.68</v>
      </c>
      <c r="I4318" s="8" t="str" cm="1">
        <f t="array" ref="I4318">_xlfn.IFS(C4318&lt;=15,"Children and Young Adolescents", C4318&gt;64, "Seniors", TRUE, "Working Age")</f>
        <v>Seniors</v>
      </c>
      <c r="J4318" s="6">
        <f>VLOOKUP(F4318,Analysis!$F$1:$G$5,2,FALSE)</f>
        <v>2440.2966694490838</v>
      </c>
      <c r="K4318">
        <f t="shared" si="268"/>
        <v>3489.94</v>
      </c>
      <c r="L4318">
        <f t="shared" si="269"/>
        <v>3489.9500000000003</v>
      </c>
      <c r="M4318">
        <f t="shared" si="270"/>
        <v>3489.95</v>
      </c>
      <c r="N4318" s="5" t="str">
        <f t="shared" si="271"/>
        <v>September 2023</v>
      </c>
    </row>
    <row r="4319" spans="1:14" x14ac:dyDescent="0.25">
      <c r="A4319" s="1">
        <v>45192</v>
      </c>
      <c r="B4319" t="s">
        <v>4208</v>
      </c>
      <c r="C4319">
        <v>70</v>
      </c>
      <c r="D4319" t="s">
        <v>9</v>
      </c>
      <c r="E4319" t="s">
        <v>22</v>
      </c>
      <c r="F4319" t="s">
        <v>11</v>
      </c>
      <c r="G4319" t="s">
        <v>36</v>
      </c>
      <c r="H4319">
        <v>1005.88</v>
      </c>
      <c r="I4319" s="8" t="str" cm="1">
        <f t="array" ref="I4319">_xlfn.IFS(C4319&lt;=15,"Children and Young Adolescents", C4319&gt;64, "Seniors", TRUE, "Working Age")</f>
        <v>Seniors</v>
      </c>
      <c r="J4319" s="6">
        <f>VLOOKUP(F4319,Analysis!$F$1:$G$5,2,FALSE)</f>
        <v>2503.6022787783854</v>
      </c>
      <c r="K4319">
        <f t="shared" si="268"/>
        <v>1106.46</v>
      </c>
      <c r="L4319">
        <f t="shared" si="269"/>
        <v>1106.47</v>
      </c>
      <c r="M4319">
        <f t="shared" si="270"/>
        <v>1106.47</v>
      </c>
      <c r="N4319" s="5" t="str">
        <f t="shared" si="271"/>
        <v>September 2023</v>
      </c>
    </row>
    <row r="4320" spans="1:14" x14ac:dyDescent="0.25">
      <c r="A4320" s="1">
        <v>45192</v>
      </c>
      <c r="B4320" t="s">
        <v>3471</v>
      </c>
      <c r="C4320">
        <v>85</v>
      </c>
      <c r="D4320" t="s">
        <v>9</v>
      </c>
      <c r="E4320" t="s">
        <v>10</v>
      </c>
      <c r="F4320" t="s">
        <v>29</v>
      </c>
      <c r="G4320" t="s">
        <v>12</v>
      </c>
      <c r="H4320">
        <v>4651.09</v>
      </c>
      <c r="I4320" s="8" t="str" cm="1">
        <f t="array" ref="I4320">_xlfn.IFS(C4320&lt;=15,"Children and Young Adolescents", C4320&gt;64, "Seniors", TRUE, "Working Age")</f>
        <v>Seniors</v>
      </c>
      <c r="J4320" s="6">
        <f>VLOOKUP(F4320,Analysis!$F$1:$G$5,2,FALSE)</f>
        <v>2496.7676064256989</v>
      </c>
      <c r="K4320">
        <f t="shared" si="268"/>
        <v>5116.1899999999996</v>
      </c>
      <c r="L4320">
        <f t="shared" si="269"/>
        <v>5116.2</v>
      </c>
      <c r="M4320">
        <f t="shared" si="270"/>
        <v>5116.2</v>
      </c>
      <c r="N4320" s="5" t="str">
        <f t="shared" si="271"/>
        <v>September 2023</v>
      </c>
    </row>
    <row r="4321" spans="1:14" x14ac:dyDescent="0.25">
      <c r="A4321" s="1">
        <v>45192</v>
      </c>
      <c r="B4321" t="s">
        <v>583</v>
      </c>
      <c r="C4321">
        <v>66</v>
      </c>
      <c r="D4321" t="s">
        <v>21</v>
      </c>
      <c r="E4321" t="s">
        <v>34</v>
      </c>
      <c r="F4321" t="s">
        <v>23</v>
      </c>
      <c r="G4321" t="s">
        <v>39</v>
      </c>
      <c r="H4321">
        <v>3289.42</v>
      </c>
      <c r="I4321" s="8" t="str" cm="1">
        <f t="array" ref="I4321">_xlfn.IFS(C4321&lt;=15,"Children and Young Adolescents", C4321&gt;64, "Seniors", TRUE, "Working Age")</f>
        <v>Seniors</v>
      </c>
      <c r="J4321" s="6">
        <f>VLOOKUP(F4321,Analysis!$F$1:$G$5,2,FALSE)</f>
        <v>2440.2966694490838</v>
      </c>
      <c r="K4321">
        <f t="shared" si="268"/>
        <v>3618.36</v>
      </c>
      <c r="L4321">
        <f t="shared" si="269"/>
        <v>3618.3700000000003</v>
      </c>
      <c r="M4321">
        <f t="shared" si="270"/>
        <v>3618.36</v>
      </c>
      <c r="N4321" s="5" t="str">
        <f t="shared" si="271"/>
        <v>September 2023</v>
      </c>
    </row>
    <row r="4322" spans="1:14" x14ac:dyDescent="0.25">
      <c r="A4322" s="1">
        <v>45193</v>
      </c>
      <c r="B4322" t="s">
        <v>4233</v>
      </c>
      <c r="C4322">
        <v>65</v>
      </c>
      <c r="D4322" t="s">
        <v>9</v>
      </c>
      <c r="E4322" t="s">
        <v>10</v>
      </c>
      <c r="F4322" t="s">
        <v>11</v>
      </c>
      <c r="G4322" t="s">
        <v>17</v>
      </c>
      <c r="H4322">
        <v>782.26</v>
      </c>
      <c r="I4322" s="8" t="str" cm="1">
        <f t="array" ref="I4322">_xlfn.IFS(C4322&lt;=15,"Children and Young Adolescents", C4322&gt;64, "Seniors", TRUE, "Working Age")</f>
        <v>Seniors</v>
      </c>
      <c r="J4322" s="6">
        <f>VLOOKUP(F4322,Analysis!$F$1:$G$5,2,FALSE)</f>
        <v>2503.6022787783854</v>
      </c>
      <c r="K4322">
        <f t="shared" si="268"/>
        <v>860.48</v>
      </c>
      <c r="L4322">
        <f t="shared" si="269"/>
        <v>860.49</v>
      </c>
      <c r="M4322">
        <f t="shared" si="270"/>
        <v>860.49</v>
      </c>
      <c r="N4322" s="5" t="str">
        <f t="shared" si="271"/>
        <v>September 2023</v>
      </c>
    </row>
    <row r="4323" spans="1:14" x14ac:dyDescent="0.25">
      <c r="A4323" s="1">
        <v>45193</v>
      </c>
      <c r="B4323" t="s">
        <v>1849</v>
      </c>
      <c r="C4323">
        <v>94</v>
      </c>
      <c r="D4323" t="s">
        <v>14</v>
      </c>
      <c r="E4323" t="s">
        <v>22</v>
      </c>
      <c r="F4323" t="s">
        <v>11</v>
      </c>
      <c r="G4323" t="s">
        <v>12</v>
      </c>
      <c r="H4323">
        <v>109.42</v>
      </c>
      <c r="I4323" s="8" t="str" cm="1">
        <f t="array" ref="I4323">_xlfn.IFS(C4323&lt;=15,"Children and Young Adolescents", C4323&gt;64, "Seniors", TRUE, "Working Age")</f>
        <v>Seniors</v>
      </c>
      <c r="J4323" s="6">
        <f>VLOOKUP(F4323,Analysis!$F$1:$G$5,2,FALSE)</f>
        <v>2503.6022787783854</v>
      </c>
      <c r="K4323">
        <f t="shared" si="268"/>
        <v>120.36</v>
      </c>
      <c r="L4323">
        <f t="shared" si="269"/>
        <v>120.37</v>
      </c>
      <c r="M4323">
        <f t="shared" si="270"/>
        <v>120.36</v>
      </c>
      <c r="N4323" s="5" t="str">
        <f t="shared" si="271"/>
        <v>September 2023</v>
      </c>
    </row>
    <row r="4324" spans="1:14" x14ac:dyDescent="0.25">
      <c r="A4324" s="1">
        <v>45193</v>
      </c>
      <c r="B4324" t="s">
        <v>1835</v>
      </c>
      <c r="C4324">
        <v>45</v>
      </c>
      <c r="D4324" t="s">
        <v>9</v>
      </c>
      <c r="E4324" t="s">
        <v>19</v>
      </c>
      <c r="F4324" t="s">
        <v>23</v>
      </c>
      <c r="G4324" t="s">
        <v>36</v>
      </c>
      <c r="H4324">
        <v>4818.9399999999996</v>
      </c>
      <c r="I4324" s="8" t="str" cm="1">
        <f t="array" ref="I4324">_xlfn.IFS(C4324&lt;=15,"Children and Young Adolescents", C4324&gt;64, "Seniors", TRUE, "Working Age")</f>
        <v>Working Age</v>
      </c>
      <c r="J4324" s="6">
        <f>VLOOKUP(F4324,Analysis!$F$1:$G$5,2,FALSE)</f>
        <v>2440.2966694490838</v>
      </c>
      <c r="K4324">
        <f t="shared" si="268"/>
        <v>5300.83</v>
      </c>
      <c r="L4324">
        <f t="shared" si="269"/>
        <v>5300.84</v>
      </c>
      <c r="M4324">
        <f t="shared" si="270"/>
        <v>5300.83</v>
      </c>
      <c r="N4324" s="5" t="str">
        <f t="shared" si="271"/>
        <v>September 2023</v>
      </c>
    </row>
    <row r="4325" spans="1:14" x14ac:dyDescent="0.25">
      <c r="A4325" s="1">
        <v>45193</v>
      </c>
      <c r="B4325" t="s">
        <v>2252</v>
      </c>
      <c r="C4325">
        <v>54</v>
      </c>
      <c r="D4325" t="s">
        <v>14</v>
      </c>
      <c r="E4325" t="s">
        <v>10</v>
      </c>
      <c r="F4325" t="s">
        <v>16</v>
      </c>
      <c r="G4325" t="s">
        <v>12</v>
      </c>
      <c r="H4325">
        <v>1122.3699999999999</v>
      </c>
      <c r="I4325" s="8" t="str" cm="1">
        <f t="array" ref="I4325">_xlfn.IFS(C4325&lt;=15,"Children and Young Adolescents", C4325&gt;64, "Seniors", TRUE, "Working Age")</f>
        <v>Working Age</v>
      </c>
      <c r="J4325" s="6">
        <f>VLOOKUP(F4325,Analysis!$F$1:$G$5,2,FALSE)</f>
        <v>2509.1716796874912</v>
      </c>
      <c r="K4325">
        <f t="shared" si="268"/>
        <v>1234.5999999999999</v>
      </c>
      <c r="L4325">
        <f t="shared" si="269"/>
        <v>1234.6099999999999</v>
      </c>
      <c r="M4325">
        <f t="shared" si="270"/>
        <v>1234.6099999999999</v>
      </c>
      <c r="N4325" s="5" t="str">
        <f t="shared" si="271"/>
        <v>September 2023</v>
      </c>
    </row>
    <row r="4326" spans="1:14" x14ac:dyDescent="0.25">
      <c r="A4326" s="1">
        <v>45193</v>
      </c>
      <c r="B4326" t="s">
        <v>2766</v>
      </c>
      <c r="C4326">
        <v>15</v>
      </c>
      <c r="D4326" t="s">
        <v>14</v>
      </c>
      <c r="E4326" t="s">
        <v>25</v>
      </c>
      <c r="F4326" t="s">
        <v>16</v>
      </c>
      <c r="G4326" t="s">
        <v>27</v>
      </c>
      <c r="H4326">
        <v>3819</v>
      </c>
      <c r="I4326" s="8" t="str" cm="1">
        <f t="array" ref="I4326">_xlfn.IFS(C4326&lt;=15,"Children and Young Adolescents", C4326&gt;64, "Seniors", TRUE, "Working Age")</f>
        <v>Children and Young Adolescents</v>
      </c>
      <c r="J4326" s="6">
        <f>VLOOKUP(F4326,Analysis!$F$1:$G$5,2,FALSE)</f>
        <v>2509.1716796874912</v>
      </c>
      <c r="K4326">
        <f t="shared" si="268"/>
        <v>4200.8999999999996</v>
      </c>
      <c r="L4326">
        <f t="shared" si="269"/>
        <v>4200.8999999999996</v>
      </c>
      <c r="M4326">
        <f t="shared" si="270"/>
        <v>4200.8999999999996</v>
      </c>
      <c r="N4326" s="5" t="str">
        <f t="shared" si="271"/>
        <v>September 2023</v>
      </c>
    </row>
    <row r="4327" spans="1:14" x14ac:dyDescent="0.25">
      <c r="A4327" s="1">
        <v>45194</v>
      </c>
      <c r="B4327" t="s">
        <v>571</v>
      </c>
      <c r="C4327">
        <v>2</v>
      </c>
      <c r="D4327" t="s">
        <v>14</v>
      </c>
      <c r="E4327" t="s">
        <v>22</v>
      </c>
      <c r="F4327" t="s">
        <v>11</v>
      </c>
      <c r="G4327" t="s">
        <v>12</v>
      </c>
      <c r="H4327">
        <v>258.85000000000002</v>
      </c>
      <c r="I4327" s="8" t="str" cm="1">
        <f t="array" ref="I4327">_xlfn.IFS(C4327&lt;=15,"Children and Young Adolescents", C4327&gt;64, "Seniors", TRUE, "Working Age")</f>
        <v>Children and Young Adolescents</v>
      </c>
      <c r="J4327" s="6">
        <f>VLOOKUP(F4327,Analysis!$F$1:$G$5,2,FALSE)</f>
        <v>2503.6022787783854</v>
      </c>
      <c r="K4327">
        <f t="shared" si="268"/>
        <v>284.73</v>
      </c>
      <c r="L4327">
        <f t="shared" si="269"/>
        <v>284.74</v>
      </c>
      <c r="M4327">
        <f t="shared" si="270"/>
        <v>284.74</v>
      </c>
      <c r="N4327" s="5" t="str">
        <f t="shared" si="271"/>
        <v>September 2023</v>
      </c>
    </row>
    <row r="4328" spans="1:14" x14ac:dyDescent="0.25">
      <c r="A4328" s="1">
        <v>45194</v>
      </c>
      <c r="B4328" t="s">
        <v>234</v>
      </c>
      <c r="C4328">
        <v>99</v>
      </c>
      <c r="D4328" t="s">
        <v>14</v>
      </c>
      <c r="E4328" t="s">
        <v>34</v>
      </c>
      <c r="F4328" t="s">
        <v>29</v>
      </c>
      <c r="G4328" t="s">
        <v>17</v>
      </c>
      <c r="H4328">
        <v>2178.62</v>
      </c>
      <c r="I4328" s="8" t="str" cm="1">
        <f t="array" ref="I4328">_xlfn.IFS(C4328&lt;=15,"Children and Young Adolescents", C4328&gt;64, "Seniors", TRUE, "Working Age")</f>
        <v>Seniors</v>
      </c>
      <c r="J4328" s="6">
        <f>VLOOKUP(F4328,Analysis!$F$1:$G$5,2,FALSE)</f>
        <v>2496.7676064256989</v>
      </c>
      <c r="K4328">
        <f t="shared" si="268"/>
        <v>2396.48</v>
      </c>
      <c r="L4328">
        <f t="shared" si="269"/>
        <v>2396.4900000000002</v>
      </c>
      <c r="M4328">
        <f t="shared" si="270"/>
        <v>2396.48</v>
      </c>
      <c r="N4328" s="5" t="str">
        <f t="shared" si="271"/>
        <v>September 2023</v>
      </c>
    </row>
    <row r="4329" spans="1:14" x14ac:dyDescent="0.25">
      <c r="A4329" s="1">
        <v>45194</v>
      </c>
      <c r="B4329" t="s">
        <v>3747</v>
      </c>
      <c r="C4329">
        <v>52</v>
      </c>
      <c r="D4329" t="s">
        <v>14</v>
      </c>
      <c r="E4329" t="s">
        <v>10</v>
      </c>
      <c r="F4329" t="s">
        <v>23</v>
      </c>
      <c r="G4329" t="s">
        <v>27</v>
      </c>
      <c r="H4329">
        <v>2790.51</v>
      </c>
      <c r="I4329" s="8" t="str" cm="1">
        <f t="array" ref="I4329">_xlfn.IFS(C4329&lt;=15,"Children and Young Adolescents", C4329&gt;64, "Seniors", TRUE, "Working Age")</f>
        <v>Working Age</v>
      </c>
      <c r="J4329" s="6">
        <f>VLOOKUP(F4329,Analysis!$F$1:$G$5,2,FALSE)</f>
        <v>2440.2966694490838</v>
      </c>
      <c r="K4329">
        <f t="shared" si="268"/>
        <v>3069.56</v>
      </c>
      <c r="L4329">
        <f t="shared" si="269"/>
        <v>3069.57</v>
      </c>
      <c r="M4329">
        <f t="shared" si="270"/>
        <v>3069.56</v>
      </c>
      <c r="N4329" s="5" t="str">
        <f t="shared" si="271"/>
        <v>September 2023</v>
      </c>
    </row>
    <row r="4330" spans="1:14" x14ac:dyDescent="0.25">
      <c r="A4330" s="1">
        <v>45194</v>
      </c>
      <c r="B4330" t="s">
        <v>2705</v>
      </c>
      <c r="C4330">
        <v>26</v>
      </c>
      <c r="D4330" t="s">
        <v>9</v>
      </c>
      <c r="E4330" t="s">
        <v>15</v>
      </c>
      <c r="F4330" t="s">
        <v>29</v>
      </c>
      <c r="G4330" t="s">
        <v>12</v>
      </c>
      <c r="H4330">
        <v>4517.82</v>
      </c>
      <c r="I4330" s="8" t="str" cm="1">
        <f t="array" ref="I4330">_xlfn.IFS(C4330&lt;=15,"Children and Young Adolescents", C4330&gt;64, "Seniors", TRUE, "Working Age")</f>
        <v>Working Age</v>
      </c>
      <c r="J4330" s="6">
        <f>VLOOKUP(F4330,Analysis!$F$1:$G$5,2,FALSE)</f>
        <v>2496.7676064256989</v>
      </c>
      <c r="K4330">
        <f t="shared" si="268"/>
        <v>4969.6000000000004</v>
      </c>
      <c r="L4330">
        <f t="shared" si="269"/>
        <v>4969.6100000000006</v>
      </c>
      <c r="M4330">
        <f t="shared" si="270"/>
        <v>4969.6000000000004</v>
      </c>
      <c r="N4330" s="5" t="str">
        <f t="shared" si="271"/>
        <v>September 2023</v>
      </c>
    </row>
    <row r="4331" spans="1:14" x14ac:dyDescent="0.25">
      <c r="A4331" s="1">
        <v>45194</v>
      </c>
      <c r="B4331" t="s">
        <v>3602</v>
      </c>
      <c r="C4331">
        <v>12</v>
      </c>
      <c r="D4331" t="s">
        <v>9</v>
      </c>
      <c r="E4331" t="s">
        <v>10</v>
      </c>
      <c r="F4331" t="s">
        <v>16</v>
      </c>
      <c r="G4331" t="s">
        <v>39</v>
      </c>
      <c r="H4331">
        <v>352.29</v>
      </c>
      <c r="I4331" s="8" t="str" cm="1">
        <f t="array" ref="I4331">_xlfn.IFS(C4331&lt;=15,"Children and Young Adolescents", C4331&gt;64, "Seniors", TRUE, "Working Age")</f>
        <v>Children and Young Adolescents</v>
      </c>
      <c r="J4331" s="6">
        <f>VLOOKUP(F4331,Analysis!$F$1:$G$5,2,FALSE)</f>
        <v>2509.1716796874912</v>
      </c>
      <c r="K4331">
        <f t="shared" si="268"/>
        <v>387.51</v>
      </c>
      <c r="L4331">
        <f t="shared" si="269"/>
        <v>387.52</v>
      </c>
      <c r="M4331">
        <f t="shared" si="270"/>
        <v>387.52</v>
      </c>
      <c r="N4331" s="5" t="str">
        <f t="shared" si="271"/>
        <v>September 2023</v>
      </c>
    </row>
    <row r="4332" spans="1:14" x14ac:dyDescent="0.25">
      <c r="A4332" s="1">
        <v>45194</v>
      </c>
      <c r="B4332" t="s">
        <v>2048</v>
      </c>
      <c r="C4332">
        <v>25</v>
      </c>
      <c r="D4332" t="s">
        <v>9</v>
      </c>
      <c r="E4332" t="s">
        <v>34</v>
      </c>
      <c r="F4332" t="s">
        <v>16</v>
      </c>
      <c r="G4332" t="s">
        <v>5033</v>
      </c>
      <c r="H4332">
        <v>1899.19</v>
      </c>
      <c r="I4332" s="8" t="str" cm="1">
        <f t="array" ref="I4332">_xlfn.IFS(C4332&lt;=15,"Children and Young Adolescents", C4332&gt;64, "Seniors", TRUE, "Working Age")</f>
        <v>Working Age</v>
      </c>
      <c r="J4332" s="6">
        <f>VLOOKUP(F4332,Analysis!$F$1:$G$5,2,FALSE)</f>
        <v>2509.1716796874912</v>
      </c>
      <c r="K4332">
        <f t="shared" si="268"/>
        <v>2089.1</v>
      </c>
      <c r="L4332">
        <f t="shared" si="269"/>
        <v>2089.11</v>
      </c>
      <c r="M4332">
        <f t="shared" si="270"/>
        <v>2089.11</v>
      </c>
      <c r="N4332" s="5" t="str">
        <f t="shared" si="271"/>
        <v>September 2023</v>
      </c>
    </row>
    <row r="4333" spans="1:14" x14ac:dyDescent="0.25">
      <c r="A4333" s="1">
        <v>45195</v>
      </c>
      <c r="B4333" t="s">
        <v>4653</v>
      </c>
      <c r="C4333">
        <v>99</v>
      </c>
      <c r="D4333" t="s">
        <v>21</v>
      </c>
      <c r="E4333" t="s">
        <v>32</v>
      </c>
      <c r="F4333" t="s">
        <v>11</v>
      </c>
      <c r="G4333" t="s">
        <v>39</v>
      </c>
      <c r="H4333">
        <v>322.04000000000002</v>
      </c>
      <c r="I4333" s="8" t="str" cm="1">
        <f t="array" ref="I4333">_xlfn.IFS(C4333&lt;=15,"Children and Young Adolescents", C4333&gt;64, "Seniors", TRUE, "Working Age")</f>
        <v>Seniors</v>
      </c>
      <c r="J4333" s="6">
        <f>VLOOKUP(F4333,Analysis!$F$1:$G$5,2,FALSE)</f>
        <v>2503.6022787783854</v>
      </c>
      <c r="K4333">
        <f t="shared" si="268"/>
        <v>354.24</v>
      </c>
      <c r="L4333">
        <f t="shared" si="269"/>
        <v>354.25</v>
      </c>
      <c r="M4333">
        <f t="shared" si="270"/>
        <v>354.24</v>
      </c>
      <c r="N4333" s="5" t="str">
        <f t="shared" si="271"/>
        <v>September 2023</v>
      </c>
    </row>
    <row r="4334" spans="1:14" x14ac:dyDescent="0.25">
      <c r="A4334" s="1">
        <v>45195</v>
      </c>
      <c r="B4334" t="s">
        <v>2636</v>
      </c>
      <c r="C4334">
        <v>30</v>
      </c>
      <c r="D4334" t="s">
        <v>9</v>
      </c>
      <c r="E4334" t="s">
        <v>10</v>
      </c>
      <c r="F4334" t="s">
        <v>29</v>
      </c>
      <c r="G4334" t="s">
        <v>17</v>
      </c>
      <c r="H4334">
        <v>4588.8999999999996</v>
      </c>
      <c r="I4334" s="8" t="str" cm="1">
        <f t="array" ref="I4334">_xlfn.IFS(C4334&lt;=15,"Children and Young Adolescents", C4334&gt;64, "Seniors", TRUE, "Working Age")</f>
        <v>Working Age</v>
      </c>
      <c r="J4334" s="6">
        <f>VLOOKUP(F4334,Analysis!$F$1:$G$5,2,FALSE)</f>
        <v>2496.7676064256989</v>
      </c>
      <c r="K4334">
        <f t="shared" si="268"/>
        <v>5047.79</v>
      </c>
      <c r="L4334">
        <f t="shared" si="269"/>
        <v>5047.79</v>
      </c>
      <c r="M4334">
        <f t="shared" si="270"/>
        <v>5047.79</v>
      </c>
      <c r="N4334" s="5" t="str">
        <f t="shared" si="271"/>
        <v>September 2023</v>
      </c>
    </row>
    <row r="4335" spans="1:14" x14ac:dyDescent="0.25">
      <c r="A4335" s="1">
        <v>45195</v>
      </c>
      <c r="B4335" t="s">
        <v>317</v>
      </c>
      <c r="C4335">
        <v>72</v>
      </c>
      <c r="D4335" t="s">
        <v>21</v>
      </c>
      <c r="E4335" t="s">
        <v>32</v>
      </c>
      <c r="F4335" t="s">
        <v>16</v>
      </c>
      <c r="G4335" t="s">
        <v>17</v>
      </c>
      <c r="H4335">
        <v>4516.26</v>
      </c>
      <c r="I4335" s="8" t="str" cm="1">
        <f t="array" ref="I4335">_xlfn.IFS(C4335&lt;=15,"Children and Young Adolescents", C4335&gt;64, "Seniors", TRUE, "Working Age")</f>
        <v>Seniors</v>
      </c>
      <c r="J4335" s="6">
        <f>VLOOKUP(F4335,Analysis!$F$1:$G$5,2,FALSE)</f>
        <v>2509.1716796874912</v>
      </c>
      <c r="K4335">
        <f t="shared" si="268"/>
        <v>4967.88</v>
      </c>
      <c r="L4335">
        <f t="shared" si="269"/>
        <v>4967.8900000000003</v>
      </c>
      <c r="M4335">
        <f t="shared" si="270"/>
        <v>4967.8900000000003</v>
      </c>
      <c r="N4335" s="5" t="str">
        <f t="shared" si="271"/>
        <v>September 2023</v>
      </c>
    </row>
    <row r="4336" spans="1:14" x14ac:dyDescent="0.25">
      <c r="A4336" s="1">
        <v>45195</v>
      </c>
      <c r="B4336" t="s">
        <v>3800</v>
      </c>
      <c r="C4336">
        <v>79</v>
      </c>
      <c r="D4336" t="s">
        <v>14</v>
      </c>
      <c r="E4336" t="s">
        <v>19</v>
      </c>
      <c r="F4336" t="s">
        <v>29</v>
      </c>
      <c r="G4336" t="s">
        <v>27</v>
      </c>
      <c r="H4336">
        <v>1522.95</v>
      </c>
      <c r="I4336" s="8" t="str" cm="1">
        <f t="array" ref="I4336">_xlfn.IFS(C4336&lt;=15,"Children and Young Adolescents", C4336&gt;64, "Seniors", TRUE, "Working Age")</f>
        <v>Seniors</v>
      </c>
      <c r="J4336" s="6">
        <f>VLOOKUP(F4336,Analysis!$F$1:$G$5,2,FALSE)</f>
        <v>2496.7676064256989</v>
      </c>
      <c r="K4336">
        <f t="shared" si="268"/>
        <v>1675.24</v>
      </c>
      <c r="L4336">
        <f t="shared" si="269"/>
        <v>1675.25</v>
      </c>
      <c r="M4336">
        <f t="shared" si="270"/>
        <v>1675.25</v>
      </c>
      <c r="N4336" s="5" t="str">
        <f t="shared" si="271"/>
        <v>September 2023</v>
      </c>
    </row>
    <row r="4337" spans="1:14" x14ac:dyDescent="0.25">
      <c r="A4337" s="1">
        <v>45195</v>
      </c>
      <c r="B4337" t="s">
        <v>4049</v>
      </c>
      <c r="C4337">
        <v>92</v>
      </c>
      <c r="D4337" t="s">
        <v>14</v>
      </c>
      <c r="E4337" t="s">
        <v>10</v>
      </c>
      <c r="F4337" t="s">
        <v>16</v>
      </c>
      <c r="G4337" t="s">
        <v>39</v>
      </c>
      <c r="H4337">
        <v>3490.25</v>
      </c>
      <c r="I4337" s="8" t="str" cm="1">
        <f t="array" ref="I4337">_xlfn.IFS(C4337&lt;=15,"Children and Young Adolescents", C4337&gt;64, "Seniors", TRUE, "Working Age")</f>
        <v>Seniors</v>
      </c>
      <c r="J4337" s="6">
        <f>VLOOKUP(F4337,Analysis!$F$1:$G$5,2,FALSE)</f>
        <v>2509.1716796874912</v>
      </c>
      <c r="K4337">
        <f t="shared" si="268"/>
        <v>3839.27</v>
      </c>
      <c r="L4337">
        <f t="shared" si="269"/>
        <v>3839.28</v>
      </c>
      <c r="M4337">
        <f t="shared" si="270"/>
        <v>3839.28</v>
      </c>
      <c r="N4337" s="5" t="str">
        <f t="shared" si="271"/>
        <v>September 2023</v>
      </c>
    </row>
    <row r="4338" spans="1:14" x14ac:dyDescent="0.25">
      <c r="A4338" s="1">
        <v>45195</v>
      </c>
      <c r="B4338" t="s">
        <v>2505</v>
      </c>
      <c r="C4338">
        <v>50</v>
      </c>
      <c r="D4338" t="s">
        <v>9</v>
      </c>
      <c r="E4338" t="s">
        <v>15</v>
      </c>
      <c r="F4338" t="s">
        <v>29</v>
      </c>
      <c r="G4338" t="s">
        <v>17</v>
      </c>
      <c r="H4338">
        <v>1038.01</v>
      </c>
      <c r="I4338" s="8" t="str" cm="1">
        <f t="array" ref="I4338">_xlfn.IFS(C4338&lt;=15,"Children and Young Adolescents", C4338&gt;64, "Seniors", TRUE, "Working Age")</f>
        <v>Working Age</v>
      </c>
      <c r="J4338" s="6">
        <f>VLOOKUP(F4338,Analysis!$F$1:$G$5,2,FALSE)</f>
        <v>2496.7676064256989</v>
      </c>
      <c r="K4338">
        <f t="shared" si="268"/>
        <v>1141.81</v>
      </c>
      <c r="L4338">
        <f t="shared" si="269"/>
        <v>1141.82</v>
      </c>
      <c r="M4338">
        <f t="shared" si="270"/>
        <v>1141.81</v>
      </c>
      <c r="N4338" s="5" t="str">
        <f t="shared" si="271"/>
        <v>September 2023</v>
      </c>
    </row>
    <row r="4339" spans="1:14" x14ac:dyDescent="0.25">
      <c r="A4339" s="1">
        <v>45196</v>
      </c>
      <c r="B4339" t="s">
        <v>4386</v>
      </c>
      <c r="C4339">
        <v>60</v>
      </c>
      <c r="D4339" t="s">
        <v>14</v>
      </c>
      <c r="E4339" t="s">
        <v>34</v>
      </c>
      <c r="F4339" t="s">
        <v>16</v>
      </c>
      <c r="G4339" t="s">
        <v>36</v>
      </c>
      <c r="H4339">
        <v>4308.5</v>
      </c>
      <c r="I4339" s="8" t="str" cm="1">
        <f t="array" ref="I4339">_xlfn.IFS(C4339&lt;=15,"Children and Young Adolescents", C4339&gt;64, "Seniors", TRUE, "Working Age")</f>
        <v>Working Age</v>
      </c>
      <c r="J4339" s="6">
        <f>VLOOKUP(F4339,Analysis!$F$1:$G$5,2,FALSE)</f>
        <v>2509.1716796874912</v>
      </c>
      <c r="K4339">
        <f t="shared" si="268"/>
        <v>4739.3500000000004</v>
      </c>
      <c r="L4339">
        <f t="shared" si="269"/>
        <v>4739.3500000000004</v>
      </c>
      <c r="M4339">
        <f t="shared" si="270"/>
        <v>4739.3500000000004</v>
      </c>
      <c r="N4339" s="5" t="str">
        <f t="shared" si="271"/>
        <v>September 2023</v>
      </c>
    </row>
    <row r="4340" spans="1:14" x14ac:dyDescent="0.25">
      <c r="A4340" s="1">
        <v>45196</v>
      </c>
      <c r="B4340" t="s">
        <v>4279</v>
      </c>
      <c r="C4340">
        <v>15</v>
      </c>
      <c r="D4340" t="s">
        <v>21</v>
      </c>
      <c r="E4340" t="s">
        <v>5032</v>
      </c>
      <c r="F4340" t="s">
        <v>16</v>
      </c>
      <c r="G4340" t="s">
        <v>17</v>
      </c>
      <c r="H4340">
        <v>2331.4899999999998</v>
      </c>
      <c r="I4340" s="8" t="str" cm="1">
        <f t="array" ref="I4340">_xlfn.IFS(C4340&lt;=15,"Children and Young Adolescents", C4340&gt;64, "Seniors", TRUE, "Working Age")</f>
        <v>Children and Young Adolescents</v>
      </c>
      <c r="J4340" s="6">
        <f>VLOOKUP(F4340,Analysis!$F$1:$G$5,2,FALSE)</f>
        <v>2509.1716796874912</v>
      </c>
      <c r="K4340">
        <f t="shared" si="268"/>
        <v>2564.63</v>
      </c>
      <c r="L4340">
        <f t="shared" si="269"/>
        <v>2564.6400000000003</v>
      </c>
      <c r="M4340">
        <f t="shared" si="270"/>
        <v>2564.64</v>
      </c>
      <c r="N4340" s="5" t="str">
        <f t="shared" si="271"/>
        <v>September 2023</v>
      </c>
    </row>
    <row r="4341" spans="1:14" x14ac:dyDescent="0.25">
      <c r="A4341" s="1">
        <v>45196</v>
      </c>
      <c r="B4341" t="s">
        <v>3523</v>
      </c>
      <c r="C4341">
        <v>19</v>
      </c>
      <c r="D4341" t="s">
        <v>14</v>
      </c>
      <c r="E4341" t="s">
        <v>34</v>
      </c>
      <c r="F4341" t="s">
        <v>11</v>
      </c>
      <c r="G4341" t="s">
        <v>36</v>
      </c>
      <c r="H4341">
        <v>4503.42</v>
      </c>
      <c r="I4341" s="8" t="str" cm="1">
        <f t="array" ref="I4341">_xlfn.IFS(C4341&lt;=15,"Children and Young Adolescents", C4341&gt;64, "Seniors", TRUE, "Working Age")</f>
        <v>Working Age</v>
      </c>
      <c r="J4341" s="6">
        <f>VLOOKUP(F4341,Analysis!$F$1:$G$5,2,FALSE)</f>
        <v>2503.6022787783854</v>
      </c>
      <c r="K4341">
        <f t="shared" si="268"/>
        <v>4953.76</v>
      </c>
      <c r="L4341">
        <f t="shared" si="269"/>
        <v>4953.7700000000004</v>
      </c>
      <c r="M4341">
        <f t="shared" si="270"/>
        <v>4953.76</v>
      </c>
      <c r="N4341" s="5" t="str">
        <f t="shared" si="271"/>
        <v>September 2023</v>
      </c>
    </row>
    <row r="4342" spans="1:14" x14ac:dyDescent="0.25">
      <c r="A4342" s="1">
        <v>45196</v>
      </c>
      <c r="B4342" t="s">
        <v>1726</v>
      </c>
      <c r="C4342">
        <v>32</v>
      </c>
      <c r="D4342" t="s">
        <v>9</v>
      </c>
      <c r="E4342" t="s">
        <v>34</v>
      </c>
      <c r="F4342" t="s">
        <v>11</v>
      </c>
      <c r="G4342" t="s">
        <v>5033</v>
      </c>
      <c r="H4342">
        <v>2126.1799999999998</v>
      </c>
      <c r="I4342" s="8" t="str" cm="1">
        <f t="array" ref="I4342">_xlfn.IFS(C4342&lt;=15,"Children and Young Adolescents", C4342&gt;64, "Seniors", TRUE, "Working Age")</f>
        <v>Working Age</v>
      </c>
      <c r="J4342" s="6">
        <f>VLOOKUP(F4342,Analysis!$F$1:$G$5,2,FALSE)</f>
        <v>2503.6022787783854</v>
      </c>
      <c r="K4342">
        <f t="shared" si="268"/>
        <v>2338.79</v>
      </c>
      <c r="L4342">
        <f t="shared" si="269"/>
        <v>2338.8000000000002</v>
      </c>
      <c r="M4342">
        <f t="shared" si="270"/>
        <v>2338.8000000000002</v>
      </c>
      <c r="N4342" s="5" t="str">
        <f t="shared" si="271"/>
        <v>September 2023</v>
      </c>
    </row>
    <row r="4343" spans="1:14" x14ac:dyDescent="0.25">
      <c r="A4343" s="1">
        <v>45196</v>
      </c>
      <c r="B4343" t="s">
        <v>4914</v>
      </c>
      <c r="C4343">
        <v>14</v>
      </c>
      <c r="D4343" t="s">
        <v>9</v>
      </c>
      <c r="E4343" t="s">
        <v>19</v>
      </c>
      <c r="F4343" t="s">
        <v>11</v>
      </c>
      <c r="G4343" t="s">
        <v>17</v>
      </c>
      <c r="H4343">
        <v>2283.69</v>
      </c>
      <c r="I4343" s="8" t="str" cm="1">
        <f t="array" ref="I4343">_xlfn.IFS(C4343&lt;=15,"Children and Young Adolescents", C4343&gt;64, "Seniors", TRUE, "Working Age")</f>
        <v>Children and Young Adolescents</v>
      </c>
      <c r="J4343" s="6">
        <f>VLOOKUP(F4343,Analysis!$F$1:$G$5,2,FALSE)</f>
        <v>2503.6022787783854</v>
      </c>
      <c r="K4343">
        <f t="shared" si="268"/>
        <v>2512.0500000000002</v>
      </c>
      <c r="L4343">
        <f t="shared" si="269"/>
        <v>2512.0600000000004</v>
      </c>
      <c r="M4343">
        <f t="shared" si="270"/>
        <v>2512.06</v>
      </c>
      <c r="N4343" s="5" t="str">
        <f t="shared" si="271"/>
        <v>September 2023</v>
      </c>
    </row>
    <row r="4344" spans="1:14" x14ac:dyDescent="0.25">
      <c r="A4344" s="1">
        <v>45196</v>
      </c>
      <c r="B4344" t="s">
        <v>1314</v>
      </c>
      <c r="C4344">
        <v>7</v>
      </c>
      <c r="D4344" t="s">
        <v>9</v>
      </c>
      <c r="E4344" t="s">
        <v>32</v>
      </c>
      <c r="F4344" t="s">
        <v>29</v>
      </c>
      <c r="G4344" t="s">
        <v>17</v>
      </c>
      <c r="H4344">
        <v>4548.2</v>
      </c>
      <c r="I4344" s="8" t="str" cm="1">
        <f t="array" ref="I4344">_xlfn.IFS(C4344&lt;=15,"Children and Young Adolescents", C4344&gt;64, "Seniors", TRUE, "Working Age")</f>
        <v>Children and Young Adolescents</v>
      </c>
      <c r="J4344" s="6">
        <f>VLOOKUP(F4344,Analysis!$F$1:$G$5,2,FALSE)</f>
        <v>2496.7676064256989</v>
      </c>
      <c r="K4344">
        <f t="shared" si="268"/>
        <v>5003.0200000000004</v>
      </c>
      <c r="L4344">
        <f t="shared" si="269"/>
        <v>5003.0200000000004</v>
      </c>
      <c r="M4344">
        <f t="shared" si="270"/>
        <v>5003.0200000000004</v>
      </c>
      <c r="N4344" s="5" t="str">
        <f t="shared" si="271"/>
        <v>September 2023</v>
      </c>
    </row>
    <row r="4345" spans="1:14" x14ac:dyDescent="0.25">
      <c r="A4345" s="1">
        <v>45196</v>
      </c>
      <c r="B4345" t="s">
        <v>1815</v>
      </c>
      <c r="C4345">
        <v>9</v>
      </c>
      <c r="D4345" t="s">
        <v>9</v>
      </c>
      <c r="E4345" t="s">
        <v>19</v>
      </c>
      <c r="F4345" t="s">
        <v>29</v>
      </c>
      <c r="G4345" t="s">
        <v>27</v>
      </c>
      <c r="H4345">
        <v>3618.36</v>
      </c>
      <c r="I4345" s="8" t="str" cm="1">
        <f t="array" ref="I4345">_xlfn.IFS(C4345&lt;=15,"Children and Young Adolescents", C4345&gt;64, "Seniors", TRUE, "Working Age")</f>
        <v>Children and Young Adolescents</v>
      </c>
      <c r="J4345" s="6">
        <f>VLOOKUP(F4345,Analysis!$F$1:$G$5,2,FALSE)</f>
        <v>2496.7676064256989</v>
      </c>
      <c r="K4345">
        <f t="shared" si="268"/>
        <v>3980.19</v>
      </c>
      <c r="L4345">
        <f t="shared" si="269"/>
        <v>3980.2000000000003</v>
      </c>
      <c r="M4345">
        <f t="shared" si="270"/>
        <v>3980.2</v>
      </c>
      <c r="N4345" s="5" t="str">
        <f t="shared" si="271"/>
        <v>September 2023</v>
      </c>
    </row>
    <row r="4346" spans="1:14" x14ac:dyDescent="0.25">
      <c r="A4346" s="1">
        <v>45196</v>
      </c>
      <c r="B4346" t="s">
        <v>665</v>
      </c>
      <c r="C4346">
        <v>2</v>
      </c>
      <c r="D4346" t="s">
        <v>21</v>
      </c>
      <c r="E4346" t="s">
        <v>34</v>
      </c>
      <c r="F4346" t="s">
        <v>29</v>
      </c>
      <c r="G4346" t="s">
        <v>17</v>
      </c>
      <c r="H4346">
        <v>3651.56</v>
      </c>
      <c r="I4346" s="8" t="str" cm="1">
        <f t="array" ref="I4346">_xlfn.IFS(C4346&lt;=15,"Children and Young Adolescents", C4346&gt;64, "Seniors", TRUE, "Working Age")</f>
        <v>Children and Young Adolescents</v>
      </c>
      <c r="J4346" s="6">
        <f>VLOOKUP(F4346,Analysis!$F$1:$G$5,2,FALSE)</f>
        <v>2496.7676064256989</v>
      </c>
      <c r="K4346">
        <f t="shared" si="268"/>
        <v>4016.71</v>
      </c>
      <c r="L4346">
        <f t="shared" si="269"/>
        <v>4016.7200000000003</v>
      </c>
      <c r="M4346">
        <f t="shared" si="270"/>
        <v>4016.72</v>
      </c>
      <c r="N4346" s="5" t="str">
        <f t="shared" si="271"/>
        <v>September 2023</v>
      </c>
    </row>
    <row r="4347" spans="1:14" x14ac:dyDescent="0.25">
      <c r="A4347" s="1">
        <v>45196</v>
      </c>
      <c r="B4347" t="s">
        <v>1610</v>
      </c>
      <c r="C4347">
        <v>54</v>
      </c>
      <c r="D4347" t="s">
        <v>9</v>
      </c>
      <c r="E4347" t="s">
        <v>5032</v>
      </c>
      <c r="F4347" t="s">
        <v>16</v>
      </c>
      <c r="G4347" t="s">
        <v>27</v>
      </c>
      <c r="H4347">
        <v>4242.24</v>
      </c>
      <c r="I4347" s="8" t="str" cm="1">
        <f t="array" ref="I4347">_xlfn.IFS(C4347&lt;=15,"Children and Young Adolescents", C4347&gt;64, "Seniors", TRUE, "Working Age")</f>
        <v>Working Age</v>
      </c>
      <c r="J4347" s="6">
        <f>VLOOKUP(F4347,Analysis!$F$1:$G$5,2,FALSE)</f>
        <v>2509.1716796874912</v>
      </c>
      <c r="K4347">
        <f t="shared" si="268"/>
        <v>4666.46</v>
      </c>
      <c r="L4347">
        <f t="shared" si="269"/>
        <v>4666.47</v>
      </c>
      <c r="M4347">
        <f t="shared" si="270"/>
        <v>4666.46</v>
      </c>
      <c r="N4347" s="5" t="str">
        <f t="shared" si="271"/>
        <v>September 2023</v>
      </c>
    </row>
    <row r="4348" spans="1:14" x14ac:dyDescent="0.25">
      <c r="A4348" s="1">
        <v>45196</v>
      </c>
      <c r="B4348" t="s">
        <v>2700</v>
      </c>
      <c r="C4348">
        <v>13</v>
      </c>
      <c r="D4348" t="s">
        <v>14</v>
      </c>
      <c r="E4348" t="s">
        <v>32</v>
      </c>
      <c r="F4348" t="s">
        <v>11</v>
      </c>
      <c r="G4348" t="s">
        <v>17</v>
      </c>
      <c r="H4348">
        <v>158.28</v>
      </c>
      <c r="I4348" s="8" t="str" cm="1">
        <f t="array" ref="I4348">_xlfn.IFS(C4348&lt;=15,"Children and Young Adolescents", C4348&gt;64, "Seniors", TRUE, "Working Age")</f>
        <v>Children and Young Adolescents</v>
      </c>
      <c r="J4348" s="6">
        <f>VLOOKUP(F4348,Analysis!$F$1:$G$5,2,FALSE)</f>
        <v>2503.6022787783854</v>
      </c>
      <c r="K4348">
        <f t="shared" si="268"/>
        <v>174.1</v>
      </c>
      <c r="L4348">
        <f t="shared" si="269"/>
        <v>174.10999999999999</v>
      </c>
      <c r="M4348">
        <f t="shared" si="270"/>
        <v>174.11</v>
      </c>
      <c r="N4348" s="5" t="str">
        <f t="shared" si="271"/>
        <v>September 2023</v>
      </c>
    </row>
    <row r="4349" spans="1:14" x14ac:dyDescent="0.25">
      <c r="A4349" s="1">
        <v>45197</v>
      </c>
      <c r="B4349" t="s">
        <v>3535</v>
      </c>
      <c r="C4349">
        <v>4</v>
      </c>
      <c r="D4349" t="s">
        <v>14</v>
      </c>
      <c r="E4349" t="s">
        <v>19</v>
      </c>
      <c r="F4349" t="s">
        <v>23</v>
      </c>
      <c r="G4349" t="s">
        <v>39</v>
      </c>
      <c r="H4349">
        <v>1415.94</v>
      </c>
      <c r="I4349" s="8" t="str" cm="1">
        <f t="array" ref="I4349">_xlfn.IFS(C4349&lt;=15,"Children and Young Adolescents", C4349&gt;64, "Seniors", TRUE, "Working Age")</f>
        <v>Children and Young Adolescents</v>
      </c>
      <c r="J4349" s="6">
        <f>VLOOKUP(F4349,Analysis!$F$1:$G$5,2,FALSE)</f>
        <v>2440.2966694490838</v>
      </c>
      <c r="K4349">
        <f t="shared" si="268"/>
        <v>1557.53</v>
      </c>
      <c r="L4349">
        <f t="shared" si="269"/>
        <v>1557.54</v>
      </c>
      <c r="M4349">
        <f t="shared" si="270"/>
        <v>1557.53</v>
      </c>
      <c r="N4349" s="5" t="str">
        <f t="shared" si="271"/>
        <v>September 2023</v>
      </c>
    </row>
    <row r="4350" spans="1:14" x14ac:dyDescent="0.25">
      <c r="A4350" s="1">
        <v>45197</v>
      </c>
      <c r="B4350" t="s">
        <v>2804</v>
      </c>
      <c r="C4350">
        <v>87</v>
      </c>
      <c r="D4350" t="s">
        <v>14</v>
      </c>
      <c r="E4350" t="s">
        <v>22</v>
      </c>
      <c r="F4350" t="s">
        <v>23</v>
      </c>
      <c r="G4350" t="s">
        <v>12</v>
      </c>
      <c r="H4350">
        <v>4699.88</v>
      </c>
      <c r="I4350" s="8" t="str" cm="1">
        <f t="array" ref="I4350">_xlfn.IFS(C4350&lt;=15,"Children and Young Adolescents", C4350&gt;64, "Seniors", TRUE, "Working Age")</f>
        <v>Seniors</v>
      </c>
      <c r="J4350" s="6">
        <f>VLOOKUP(F4350,Analysis!$F$1:$G$5,2,FALSE)</f>
        <v>2440.2966694490838</v>
      </c>
      <c r="K4350">
        <f t="shared" si="268"/>
        <v>5169.8599999999997</v>
      </c>
      <c r="L4350">
        <f t="shared" si="269"/>
        <v>5169.87</v>
      </c>
      <c r="M4350">
        <f t="shared" si="270"/>
        <v>5169.87</v>
      </c>
      <c r="N4350" s="5" t="str">
        <f t="shared" si="271"/>
        <v>September 2023</v>
      </c>
    </row>
    <row r="4351" spans="1:14" x14ac:dyDescent="0.25">
      <c r="A4351" s="1">
        <v>45197</v>
      </c>
      <c r="B4351" t="s">
        <v>2791</v>
      </c>
      <c r="C4351">
        <v>44</v>
      </c>
      <c r="D4351" t="s">
        <v>9</v>
      </c>
      <c r="E4351" t="s">
        <v>10</v>
      </c>
      <c r="F4351" t="s">
        <v>16</v>
      </c>
      <c r="G4351" t="s">
        <v>36</v>
      </c>
      <c r="H4351">
        <v>178.46</v>
      </c>
      <c r="I4351" s="8" t="str" cm="1">
        <f t="array" ref="I4351">_xlfn.IFS(C4351&lt;=15,"Children and Young Adolescents", C4351&gt;64, "Seniors", TRUE, "Working Age")</f>
        <v>Working Age</v>
      </c>
      <c r="J4351" s="6">
        <f>VLOOKUP(F4351,Analysis!$F$1:$G$5,2,FALSE)</f>
        <v>2509.1716796874912</v>
      </c>
      <c r="K4351">
        <f t="shared" si="268"/>
        <v>196.3</v>
      </c>
      <c r="L4351">
        <f t="shared" si="269"/>
        <v>196.31</v>
      </c>
      <c r="M4351">
        <f t="shared" si="270"/>
        <v>196.31</v>
      </c>
      <c r="N4351" s="5" t="str">
        <f t="shared" si="271"/>
        <v>September 2023</v>
      </c>
    </row>
    <row r="4352" spans="1:14" x14ac:dyDescent="0.25">
      <c r="A4352" s="1">
        <v>45197</v>
      </c>
      <c r="B4352" t="s">
        <v>2913</v>
      </c>
      <c r="C4352">
        <v>94</v>
      </c>
      <c r="D4352" t="s">
        <v>14</v>
      </c>
      <c r="E4352" t="s">
        <v>15</v>
      </c>
      <c r="F4352" t="s">
        <v>29</v>
      </c>
      <c r="G4352" t="s">
        <v>17</v>
      </c>
      <c r="H4352">
        <v>4637.4799999999996</v>
      </c>
      <c r="I4352" s="8" t="str" cm="1">
        <f t="array" ref="I4352">_xlfn.IFS(C4352&lt;=15,"Children and Young Adolescents", C4352&gt;64, "Seniors", TRUE, "Working Age")</f>
        <v>Seniors</v>
      </c>
      <c r="J4352" s="6">
        <f>VLOOKUP(F4352,Analysis!$F$1:$G$5,2,FALSE)</f>
        <v>2496.7676064256989</v>
      </c>
      <c r="K4352">
        <f t="shared" si="268"/>
        <v>5101.22</v>
      </c>
      <c r="L4352">
        <f t="shared" si="269"/>
        <v>5101.2300000000005</v>
      </c>
      <c r="M4352">
        <f t="shared" si="270"/>
        <v>5101.2299999999996</v>
      </c>
      <c r="N4352" s="5" t="str">
        <f t="shared" si="271"/>
        <v>September 2023</v>
      </c>
    </row>
    <row r="4353" spans="1:14" x14ac:dyDescent="0.25">
      <c r="A4353" s="1">
        <v>45197</v>
      </c>
      <c r="B4353" t="s">
        <v>1627</v>
      </c>
      <c r="C4353">
        <v>31</v>
      </c>
      <c r="D4353" t="s">
        <v>21</v>
      </c>
      <c r="E4353" t="s">
        <v>15</v>
      </c>
      <c r="F4353" t="s">
        <v>29</v>
      </c>
      <c r="G4353" t="s">
        <v>36</v>
      </c>
      <c r="H4353">
        <v>217.27</v>
      </c>
      <c r="I4353" s="8" t="str" cm="1">
        <f t="array" ref="I4353">_xlfn.IFS(C4353&lt;=15,"Children and Young Adolescents", C4353&gt;64, "Seniors", TRUE, "Working Age")</f>
        <v>Working Age</v>
      </c>
      <c r="J4353" s="6">
        <f>VLOOKUP(F4353,Analysis!$F$1:$G$5,2,FALSE)</f>
        <v>2496.7676064256989</v>
      </c>
      <c r="K4353">
        <f t="shared" si="268"/>
        <v>238.99</v>
      </c>
      <c r="L4353">
        <f t="shared" si="269"/>
        <v>239</v>
      </c>
      <c r="M4353">
        <f t="shared" si="270"/>
        <v>239</v>
      </c>
      <c r="N4353" s="5" t="str">
        <f t="shared" si="271"/>
        <v>September 2023</v>
      </c>
    </row>
    <row r="4354" spans="1:14" x14ac:dyDescent="0.25">
      <c r="A4354" s="1">
        <v>45197</v>
      </c>
      <c r="B4354" t="s">
        <v>4702</v>
      </c>
      <c r="C4354">
        <v>88</v>
      </c>
      <c r="D4354" t="s">
        <v>21</v>
      </c>
      <c r="E4354" t="s">
        <v>22</v>
      </c>
      <c r="F4354" t="s">
        <v>29</v>
      </c>
      <c r="G4354" t="s">
        <v>36</v>
      </c>
      <c r="H4354">
        <v>483.3</v>
      </c>
      <c r="I4354" s="8" t="str" cm="1">
        <f t="array" ref="I4354">_xlfn.IFS(C4354&lt;=15,"Children and Young Adolescents", C4354&gt;64, "Seniors", TRUE, "Working Age")</f>
        <v>Seniors</v>
      </c>
      <c r="J4354" s="6">
        <f>VLOOKUP(F4354,Analysis!$F$1:$G$5,2,FALSE)</f>
        <v>2496.7676064256989</v>
      </c>
      <c r="K4354">
        <f t="shared" si="268"/>
        <v>531.63</v>
      </c>
      <c r="L4354">
        <f t="shared" si="269"/>
        <v>531.63</v>
      </c>
      <c r="M4354">
        <f t="shared" si="270"/>
        <v>531.63</v>
      </c>
      <c r="N4354" s="5" t="str">
        <f t="shared" si="271"/>
        <v>September 2023</v>
      </c>
    </row>
    <row r="4355" spans="1:14" x14ac:dyDescent="0.25">
      <c r="A4355" s="1">
        <v>45198</v>
      </c>
      <c r="B4355" t="s">
        <v>241</v>
      </c>
      <c r="C4355">
        <v>8</v>
      </c>
      <c r="D4355" t="s">
        <v>21</v>
      </c>
      <c r="E4355" t="s">
        <v>32</v>
      </c>
      <c r="F4355" t="s">
        <v>16</v>
      </c>
      <c r="G4355" t="s">
        <v>36</v>
      </c>
      <c r="H4355">
        <v>4362.84</v>
      </c>
      <c r="I4355" s="8" t="str" cm="1">
        <f t="array" ref="I4355">_xlfn.IFS(C4355&lt;=15,"Children and Young Adolescents", C4355&gt;64, "Seniors", TRUE, "Working Age")</f>
        <v>Children and Young Adolescents</v>
      </c>
      <c r="J4355" s="6">
        <f>VLOOKUP(F4355,Analysis!$F$1:$G$5,2,FALSE)</f>
        <v>2509.1716796874912</v>
      </c>
      <c r="K4355">
        <f t="shared" ref="K4355:K4418" si="272">ROUNDDOWN(H4355*1.1,2)</f>
        <v>4799.12</v>
      </c>
      <c r="L4355">
        <f t="shared" ref="L4355:L4418" si="273">ROUNDUP(H4355*1.1,2)</f>
        <v>4799.13</v>
      </c>
      <c r="M4355">
        <f t="shared" ref="M4355:M4418" si="274">ROUND(H4355*1.1,2)</f>
        <v>4799.12</v>
      </c>
      <c r="N4355" s="5" t="str">
        <f t="shared" ref="N4355:N4418" si="275">TEXT(A4355,"mmmm yyyy")</f>
        <v>September 2023</v>
      </c>
    </row>
    <row r="4356" spans="1:14" x14ac:dyDescent="0.25">
      <c r="A4356" s="1">
        <v>45198</v>
      </c>
      <c r="B4356" t="s">
        <v>2288</v>
      </c>
      <c r="C4356">
        <v>76</v>
      </c>
      <c r="D4356" t="s">
        <v>21</v>
      </c>
      <c r="E4356" t="s">
        <v>32</v>
      </c>
      <c r="F4356" t="s">
        <v>16</v>
      </c>
      <c r="G4356" t="s">
        <v>39</v>
      </c>
      <c r="H4356">
        <v>21.05</v>
      </c>
      <c r="I4356" s="8" t="str" cm="1">
        <f t="array" ref="I4356">_xlfn.IFS(C4356&lt;=15,"Children and Young Adolescents", C4356&gt;64, "Seniors", TRUE, "Working Age")</f>
        <v>Seniors</v>
      </c>
      <c r="J4356" s="6">
        <f>VLOOKUP(F4356,Analysis!$F$1:$G$5,2,FALSE)</f>
        <v>2509.1716796874912</v>
      </c>
      <c r="K4356">
        <f t="shared" si="272"/>
        <v>23.15</v>
      </c>
      <c r="L4356">
        <f t="shared" si="273"/>
        <v>23.16</v>
      </c>
      <c r="M4356">
        <f t="shared" si="274"/>
        <v>23.16</v>
      </c>
      <c r="N4356" s="5" t="str">
        <f t="shared" si="275"/>
        <v>September 2023</v>
      </c>
    </row>
    <row r="4357" spans="1:14" x14ac:dyDescent="0.25">
      <c r="A4357" s="1">
        <v>45198</v>
      </c>
      <c r="B4357" t="s">
        <v>926</v>
      </c>
      <c r="C4357">
        <v>60</v>
      </c>
      <c r="D4357" t="s">
        <v>21</v>
      </c>
      <c r="E4357" t="s">
        <v>34</v>
      </c>
      <c r="F4357" t="s">
        <v>11</v>
      </c>
      <c r="G4357" t="s">
        <v>27</v>
      </c>
      <c r="H4357">
        <v>3705.51</v>
      </c>
      <c r="I4357" s="8" t="str" cm="1">
        <f t="array" ref="I4357">_xlfn.IFS(C4357&lt;=15,"Children and Young Adolescents", C4357&gt;64, "Seniors", TRUE, "Working Age")</f>
        <v>Working Age</v>
      </c>
      <c r="J4357" s="6">
        <f>VLOOKUP(F4357,Analysis!$F$1:$G$5,2,FALSE)</f>
        <v>2503.6022787783854</v>
      </c>
      <c r="K4357">
        <f t="shared" si="272"/>
        <v>4076.06</v>
      </c>
      <c r="L4357">
        <f t="shared" si="273"/>
        <v>4076.07</v>
      </c>
      <c r="M4357">
        <f t="shared" si="274"/>
        <v>4076.06</v>
      </c>
      <c r="N4357" s="5" t="str">
        <f t="shared" si="275"/>
        <v>September 2023</v>
      </c>
    </row>
    <row r="4358" spans="1:14" x14ac:dyDescent="0.25">
      <c r="A4358" s="1">
        <v>45198</v>
      </c>
      <c r="B4358" t="s">
        <v>3134</v>
      </c>
      <c r="C4358">
        <v>88</v>
      </c>
      <c r="D4358" t="s">
        <v>14</v>
      </c>
      <c r="E4358" t="s">
        <v>34</v>
      </c>
      <c r="F4358" t="s">
        <v>29</v>
      </c>
      <c r="G4358" t="s">
        <v>39</v>
      </c>
      <c r="H4358">
        <v>2364.27</v>
      </c>
      <c r="I4358" s="8" t="str" cm="1">
        <f t="array" ref="I4358">_xlfn.IFS(C4358&lt;=15,"Children and Young Adolescents", C4358&gt;64, "Seniors", TRUE, "Working Age")</f>
        <v>Seniors</v>
      </c>
      <c r="J4358" s="6">
        <f>VLOOKUP(F4358,Analysis!$F$1:$G$5,2,FALSE)</f>
        <v>2496.7676064256989</v>
      </c>
      <c r="K4358">
        <f t="shared" si="272"/>
        <v>2600.69</v>
      </c>
      <c r="L4358">
        <f t="shared" si="273"/>
        <v>2600.7000000000003</v>
      </c>
      <c r="M4358">
        <f t="shared" si="274"/>
        <v>2600.6999999999998</v>
      </c>
      <c r="N4358" s="5" t="str">
        <f t="shared" si="275"/>
        <v>September 2023</v>
      </c>
    </row>
    <row r="4359" spans="1:14" x14ac:dyDescent="0.25">
      <c r="A4359" s="1">
        <v>45198</v>
      </c>
      <c r="B4359" t="s">
        <v>1538</v>
      </c>
      <c r="C4359">
        <v>96</v>
      </c>
      <c r="D4359" t="s">
        <v>14</v>
      </c>
      <c r="E4359" t="s">
        <v>32</v>
      </c>
      <c r="F4359" t="s">
        <v>11</v>
      </c>
      <c r="G4359" t="s">
        <v>12</v>
      </c>
      <c r="H4359">
        <v>1312.94</v>
      </c>
      <c r="I4359" s="8" t="str" cm="1">
        <f t="array" ref="I4359">_xlfn.IFS(C4359&lt;=15,"Children and Young Adolescents", C4359&gt;64, "Seniors", TRUE, "Working Age")</f>
        <v>Seniors</v>
      </c>
      <c r="J4359" s="6">
        <f>VLOOKUP(F4359,Analysis!$F$1:$G$5,2,FALSE)</f>
        <v>2503.6022787783854</v>
      </c>
      <c r="K4359">
        <f t="shared" si="272"/>
        <v>1444.23</v>
      </c>
      <c r="L4359">
        <f t="shared" si="273"/>
        <v>1444.24</v>
      </c>
      <c r="M4359">
        <f t="shared" si="274"/>
        <v>1444.23</v>
      </c>
      <c r="N4359" s="5" t="str">
        <f t="shared" si="275"/>
        <v>September 2023</v>
      </c>
    </row>
    <row r="4360" spans="1:14" x14ac:dyDescent="0.25">
      <c r="A4360" s="1">
        <v>45198</v>
      </c>
      <c r="B4360" t="s">
        <v>4613</v>
      </c>
      <c r="C4360">
        <v>37</v>
      </c>
      <c r="D4360" t="s">
        <v>9</v>
      </c>
      <c r="E4360" t="s">
        <v>32</v>
      </c>
      <c r="F4360" t="s">
        <v>23</v>
      </c>
      <c r="G4360" t="s">
        <v>27</v>
      </c>
      <c r="H4360">
        <v>576</v>
      </c>
      <c r="I4360" s="8" t="str" cm="1">
        <f t="array" ref="I4360">_xlfn.IFS(C4360&lt;=15,"Children and Young Adolescents", C4360&gt;64, "Seniors", TRUE, "Working Age")</f>
        <v>Working Age</v>
      </c>
      <c r="J4360" s="6">
        <f>VLOOKUP(F4360,Analysis!$F$1:$G$5,2,FALSE)</f>
        <v>2440.2966694490838</v>
      </c>
      <c r="K4360">
        <f t="shared" si="272"/>
        <v>633.6</v>
      </c>
      <c r="L4360">
        <f t="shared" si="273"/>
        <v>633.6</v>
      </c>
      <c r="M4360">
        <f t="shared" si="274"/>
        <v>633.6</v>
      </c>
      <c r="N4360" s="5" t="str">
        <f t="shared" si="275"/>
        <v>September 2023</v>
      </c>
    </row>
    <row r="4361" spans="1:14" x14ac:dyDescent="0.25">
      <c r="A4361" s="1">
        <v>45198</v>
      </c>
      <c r="B4361" t="s">
        <v>4623</v>
      </c>
      <c r="C4361">
        <v>91</v>
      </c>
      <c r="D4361" t="s">
        <v>9</v>
      </c>
      <c r="E4361" t="s">
        <v>25</v>
      </c>
      <c r="F4361" t="s">
        <v>16</v>
      </c>
      <c r="G4361" t="s">
        <v>39</v>
      </c>
      <c r="H4361">
        <v>2064.69</v>
      </c>
      <c r="I4361" s="8" t="str" cm="1">
        <f t="array" ref="I4361">_xlfn.IFS(C4361&lt;=15,"Children and Young Adolescents", C4361&gt;64, "Seniors", TRUE, "Working Age")</f>
        <v>Seniors</v>
      </c>
      <c r="J4361" s="6">
        <f>VLOOKUP(F4361,Analysis!$F$1:$G$5,2,FALSE)</f>
        <v>2509.1716796874912</v>
      </c>
      <c r="K4361">
        <f t="shared" si="272"/>
        <v>2271.15</v>
      </c>
      <c r="L4361">
        <f t="shared" si="273"/>
        <v>2271.1600000000003</v>
      </c>
      <c r="M4361">
        <f t="shared" si="274"/>
        <v>2271.16</v>
      </c>
      <c r="N4361" s="5" t="str">
        <f t="shared" si="275"/>
        <v>September 2023</v>
      </c>
    </row>
    <row r="4362" spans="1:14" x14ac:dyDescent="0.25">
      <c r="A4362" s="1">
        <v>45199</v>
      </c>
      <c r="B4362" t="s">
        <v>2472</v>
      </c>
      <c r="C4362">
        <v>21</v>
      </c>
      <c r="D4362" t="s">
        <v>14</v>
      </c>
      <c r="E4362" t="s">
        <v>34</v>
      </c>
      <c r="F4362" t="s">
        <v>16</v>
      </c>
      <c r="G4362" t="s">
        <v>17</v>
      </c>
      <c r="H4362">
        <v>579.82000000000005</v>
      </c>
      <c r="I4362" s="8" t="str" cm="1">
        <f t="array" ref="I4362">_xlfn.IFS(C4362&lt;=15,"Children and Young Adolescents", C4362&gt;64, "Seniors", TRUE, "Working Age")</f>
        <v>Working Age</v>
      </c>
      <c r="J4362" s="6">
        <f>VLOOKUP(F4362,Analysis!$F$1:$G$5,2,FALSE)</f>
        <v>2509.1716796874912</v>
      </c>
      <c r="K4362">
        <f t="shared" si="272"/>
        <v>637.79999999999995</v>
      </c>
      <c r="L4362">
        <f t="shared" si="273"/>
        <v>637.80999999999995</v>
      </c>
      <c r="M4362">
        <f t="shared" si="274"/>
        <v>637.79999999999995</v>
      </c>
      <c r="N4362" s="5" t="str">
        <f t="shared" si="275"/>
        <v>September 2023</v>
      </c>
    </row>
    <row r="4363" spans="1:14" x14ac:dyDescent="0.25">
      <c r="A4363" s="1">
        <v>45199</v>
      </c>
      <c r="B4363" t="s">
        <v>1963</v>
      </c>
      <c r="C4363">
        <v>14</v>
      </c>
      <c r="D4363" t="s">
        <v>21</v>
      </c>
      <c r="E4363" t="s">
        <v>22</v>
      </c>
      <c r="F4363" t="s">
        <v>16</v>
      </c>
      <c r="G4363" t="s">
        <v>27</v>
      </c>
      <c r="H4363">
        <v>1860.32</v>
      </c>
      <c r="I4363" s="8" t="str" cm="1">
        <f t="array" ref="I4363">_xlfn.IFS(C4363&lt;=15,"Children and Young Adolescents", C4363&gt;64, "Seniors", TRUE, "Working Age")</f>
        <v>Children and Young Adolescents</v>
      </c>
      <c r="J4363" s="6">
        <f>VLOOKUP(F4363,Analysis!$F$1:$G$5,2,FALSE)</f>
        <v>2509.1716796874912</v>
      </c>
      <c r="K4363">
        <f t="shared" si="272"/>
        <v>2046.35</v>
      </c>
      <c r="L4363">
        <f t="shared" si="273"/>
        <v>2046.36</v>
      </c>
      <c r="M4363">
        <f t="shared" si="274"/>
        <v>2046.35</v>
      </c>
      <c r="N4363" s="5" t="str">
        <f t="shared" si="275"/>
        <v>September 2023</v>
      </c>
    </row>
    <row r="4364" spans="1:14" x14ac:dyDescent="0.25">
      <c r="A4364" s="1">
        <v>45199</v>
      </c>
      <c r="B4364" t="s">
        <v>4417</v>
      </c>
      <c r="C4364">
        <v>13</v>
      </c>
      <c r="D4364" t="s">
        <v>9</v>
      </c>
      <c r="E4364" t="s">
        <v>32</v>
      </c>
      <c r="F4364" t="s">
        <v>11</v>
      </c>
      <c r="G4364" t="s">
        <v>12</v>
      </c>
      <c r="H4364">
        <v>840.4</v>
      </c>
      <c r="I4364" s="8" t="str" cm="1">
        <f t="array" ref="I4364">_xlfn.IFS(C4364&lt;=15,"Children and Young Adolescents", C4364&gt;64, "Seniors", TRUE, "Working Age")</f>
        <v>Children and Young Adolescents</v>
      </c>
      <c r="J4364" s="6">
        <f>VLOOKUP(F4364,Analysis!$F$1:$G$5,2,FALSE)</f>
        <v>2503.6022787783854</v>
      </c>
      <c r="K4364">
        <f t="shared" si="272"/>
        <v>924.44</v>
      </c>
      <c r="L4364">
        <f t="shared" si="273"/>
        <v>924.44</v>
      </c>
      <c r="M4364">
        <f t="shared" si="274"/>
        <v>924.44</v>
      </c>
      <c r="N4364" s="5" t="str">
        <f t="shared" si="275"/>
        <v>September 2023</v>
      </c>
    </row>
    <row r="4365" spans="1:14" x14ac:dyDescent="0.25">
      <c r="A4365" s="1">
        <v>45199</v>
      </c>
      <c r="B4365" t="s">
        <v>1696</v>
      </c>
      <c r="C4365">
        <v>32</v>
      </c>
      <c r="D4365" t="s">
        <v>21</v>
      </c>
      <c r="E4365" t="s">
        <v>25</v>
      </c>
      <c r="F4365" t="s">
        <v>23</v>
      </c>
      <c r="G4365" t="s">
        <v>27</v>
      </c>
      <c r="H4365">
        <v>451.14</v>
      </c>
      <c r="I4365" s="8" t="str" cm="1">
        <f t="array" ref="I4365">_xlfn.IFS(C4365&lt;=15,"Children and Young Adolescents", C4365&gt;64, "Seniors", TRUE, "Working Age")</f>
        <v>Working Age</v>
      </c>
      <c r="J4365" s="6">
        <f>VLOOKUP(F4365,Analysis!$F$1:$G$5,2,FALSE)</f>
        <v>2440.2966694490838</v>
      </c>
      <c r="K4365">
        <f t="shared" si="272"/>
        <v>496.25</v>
      </c>
      <c r="L4365">
        <f t="shared" si="273"/>
        <v>496.26</v>
      </c>
      <c r="M4365">
        <f t="shared" si="274"/>
        <v>496.25</v>
      </c>
      <c r="N4365" s="5" t="str">
        <f t="shared" si="275"/>
        <v>September 2023</v>
      </c>
    </row>
    <row r="4366" spans="1:14" x14ac:dyDescent="0.25">
      <c r="A4366" s="1">
        <v>45199</v>
      </c>
      <c r="B4366" t="s">
        <v>4662</v>
      </c>
      <c r="C4366">
        <v>68</v>
      </c>
      <c r="D4366" t="s">
        <v>9</v>
      </c>
      <c r="E4366" t="s">
        <v>25</v>
      </c>
      <c r="F4366" t="s">
        <v>29</v>
      </c>
      <c r="G4366" t="s">
        <v>12</v>
      </c>
      <c r="H4366">
        <v>4610.97</v>
      </c>
      <c r="I4366" s="8" t="str" cm="1">
        <f t="array" ref="I4366">_xlfn.IFS(C4366&lt;=15,"Children and Young Adolescents", C4366&gt;64, "Seniors", TRUE, "Working Age")</f>
        <v>Seniors</v>
      </c>
      <c r="J4366" s="6">
        <f>VLOOKUP(F4366,Analysis!$F$1:$G$5,2,FALSE)</f>
        <v>2496.7676064256989</v>
      </c>
      <c r="K4366">
        <f t="shared" si="272"/>
        <v>5072.0600000000004</v>
      </c>
      <c r="L4366">
        <f t="shared" si="273"/>
        <v>5072.0700000000006</v>
      </c>
      <c r="M4366">
        <f t="shared" si="274"/>
        <v>5072.07</v>
      </c>
      <c r="N4366" s="5" t="str">
        <f t="shared" si="275"/>
        <v>September 2023</v>
      </c>
    </row>
    <row r="4367" spans="1:14" x14ac:dyDescent="0.25">
      <c r="A4367" s="1">
        <v>45199</v>
      </c>
      <c r="B4367" t="s">
        <v>3169</v>
      </c>
      <c r="C4367">
        <v>40</v>
      </c>
      <c r="D4367" t="s">
        <v>21</v>
      </c>
      <c r="E4367" t="s">
        <v>10</v>
      </c>
      <c r="F4367" t="s">
        <v>16</v>
      </c>
      <c r="G4367" t="s">
        <v>17</v>
      </c>
      <c r="H4367">
        <v>4130.92</v>
      </c>
      <c r="I4367" s="8" t="str" cm="1">
        <f t="array" ref="I4367">_xlfn.IFS(C4367&lt;=15,"Children and Young Adolescents", C4367&gt;64, "Seniors", TRUE, "Working Age")</f>
        <v>Working Age</v>
      </c>
      <c r="J4367" s="6">
        <f>VLOOKUP(F4367,Analysis!$F$1:$G$5,2,FALSE)</f>
        <v>2509.1716796874912</v>
      </c>
      <c r="K4367">
        <f t="shared" si="272"/>
        <v>4544.01</v>
      </c>
      <c r="L4367">
        <f t="shared" si="273"/>
        <v>4544.0200000000004</v>
      </c>
      <c r="M4367">
        <f t="shared" si="274"/>
        <v>4544.01</v>
      </c>
      <c r="N4367" s="5" t="str">
        <f t="shared" si="275"/>
        <v>September 2023</v>
      </c>
    </row>
    <row r="4368" spans="1:14" x14ac:dyDescent="0.25">
      <c r="A4368" s="1">
        <v>45199</v>
      </c>
      <c r="B4368" t="s">
        <v>2071</v>
      </c>
      <c r="C4368">
        <v>37</v>
      </c>
      <c r="D4368" t="s">
        <v>9</v>
      </c>
      <c r="E4368" t="s">
        <v>25</v>
      </c>
      <c r="F4368" t="s">
        <v>29</v>
      </c>
      <c r="G4368" t="s">
        <v>27</v>
      </c>
      <c r="H4368">
        <v>4303.57</v>
      </c>
      <c r="I4368" s="8" t="str" cm="1">
        <f t="array" ref="I4368">_xlfn.IFS(C4368&lt;=15,"Children and Young Adolescents", C4368&gt;64, "Seniors", TRUE, "Working Age")</f>
        <v>Working Age</v>
      </c>
      <c r="J4368" s="6">
        <f>VLOOKUP(F4368,Analysis!$F$1:$G$5,2,FALSE)</f>
        <v>2496.7676064256989</v>
      </c>
      <c r="K4368">
        <f t="shared" si="272"/>
        <v>4733.92</v>
      </c>
      <c r="L4368">
        <f t="shared" si="273"/>
        <v>4733.93</v>
      </c>
      <c r="M4368">
        <f t="shared" si="274"/>
        <v>4733.93</v>
      </c>
      <c r="N4368" s="5" t="str">
        <f t="shared" si="275"/>
        <v>September 2023</v>
      </c>
    </row>
    <row r="4369" spans="1:14" x14ac:dyDescent="0.25">
      <c r="A4369" s="1">
        <v>45199</v>
      </c>
      <c r="B4369" t="s">
        <v>1116</v>
      </c>
      <c r="C4369">
        <v>83</v>
      </c>
      <c r="D4369" t="s">
        <v>14</v>
      </c>
      <c r="E4369" t="s">
        <v>10</v>
      </c>
      <c r="F4369" t="s">
        <v>11</v>
      </c>
      <c r="G4369" t="s">
        <v>36</v>
      </c>
      <c r="H4369">
        <v>1280.82</v>
      </c>
      <c r="I4369" s="8" t="str" cm="1">
        <f t="array" ref="I4369">_xlfn.IFS(C4369&lt;=15,"Children and Young Adolescents", C4369&gt;64, "Seniors", TRUE, "Working Age")</f>
        <v>Seniors</v>
      </c>
      <c r="J4369" s="6">
        <f>VLOOKUP(F4369,Analysis!$F$1:$G$5,2,FALSE)</f>
        <v>2503.6022787783854</v>
      </c>
      <c r="K4369">
        <f t="shared" si="272"/>
        <v>1408.9</v>
      </c>
      <c r="L4369">
        <f t="shared" si="273"/>
        <v>1408.91</v>
      </c>
      <c r="M4369">
        <f t="shared" si="274"/>
        <v>1408.9</v>
      </c>
      <c r="N4369" s="5" t="str">
        <f t="shared" si="275"/>
        <v>September 2023</v>
      </c>
    </row>
    <row r="4370" spans="1:14" x14ac:dyDescent="0.25">
      <c r="A4370" s="1">
        <v>45199</v>
      </c>
      <c r="B4370" t="s">
        <v>3757</v>
      </c>
      <c r="C4370">
        <v>42</v>
      </c>
      <c r="D4370" t="s">
        <v>14</v>
      </c>
      <c r="E4370" t="s">
        <v>19</v>
      </c>
      <c r="F4370" t="s">
        <v>23</v>
      </c>
      <c r="G4370" t="s">
        <v>27</v>
      </c>
      <c r="H4370">
        <v>2753.23</v>
      </c>
      <c r="I4370" s="8" t="str" cm="1">
        <f t="array" ref="I4370">_xlfn.IFS(C4370&lt;=15,"Children and Young Adolescents", C4370&gt;64, "Seniors", TRUE, "Working Age")</f>
        <v>Working Age</v>
      </c>
      <c r="J4370" s="6">
        <f>VLOOKUP(F4370,Analysis!$F$1:$G$5,2,FALSE)</f>
        <v>2440.2966694490838</v>
      </c>
      <c r="K4370">
        <f t="shared" si="272"/>
        <v>3028.55</v>
      </c>
      <c r="L4370">
        <f t="shared" si="273"/>
        <v>3028.5600000000004</v>
      </c>
      <c r="M4370">
        <f t="shared" si="274"/>
        <v>3028.55</v>
      </c>
      <c r="N4370" s="5" t="str">
        <f t="shared" si="275"/>
        <v>September 2023</v>
      </c>
    </row>
    <row r="4371" spans="1:14" x14ac:dyDescent="0.25">
      <c r="A4371" s="1">
        <v>45199</v>
      </c>
      <c r="B4371" t="s">
        <v>4180</v>
      </c>
      <c r="C4371">
        <v>20</v>
      </c>
      <c r="D4371" t="s">
        <v>14</v>
      </c>
      <c r="E4371" t="s">
        <v>25</v>
      </c>
      <c r="F4371" t="s">
        <v>11</v>
      </c>
      <c r="G4371" t="s">
        <v>17</v>
      </c>
      <c r="H4371">
        <v>3044.43</v>
      </c>
      <c r="I4371" s="8" t="str" cm="1">
        <f t="array" ref="I4371">_xlfn.IFS(C4371&lt;=15,"Children and Young Adolescents", C4371&gt;64, "Seniors", TRUE, "Working Age")</f>
        <v>Working Age</v>
      </c>
      <c r="J4371" s="6">
        <f>VLOOKUP(F4371,Analysis!$F$1:$G$5,2,FALSE)</f>
        <v>2503.6022787783854</v>
      </c>
      <c r="K4371">
        <f t="shared" si="272"/>
        <v>3348.87</v>
      </c>
      <c r="L4371">
        <f t="shared" si="273"/>
        <v>3348.88</v>
      </c>
      <c r="M4371">
        <f t="shared" si="274"/>
        <v>3348.87</v>
      </c>
      <c r="N4371" s="5" t="str">
        <f t="shared" si="275"/>
        <v>September 2023</v>
      </c>
    </row>
    <row r="4372" spans="1:14" x14ac:dyDescent="0.25">
      <c r="A4372" s="1">
        <v>45199</v>
      </c>
      <c r="B4372" t="s">
        <v>1053</v>
      </c>
      <c r="C4372">
        <v>23</v>
      </c>
      <c r="D4372" t="s">
        <v>21</v>
      </c>
      <c r="E4372" t="s">
        <v>25</v>
      </c>
      <c r="F4372" t="s">
        <v>23</v>
      </c>
      <c r="G4372" t="s">
        <v>5033</v>
      </c>
      <c r="H4372">
        <v>2992.14</v>
      </c>
      <c r="I4372" s="8" t="str" cm="1">
        <f t="array" ref="I4372">_xlfn.IFS(C4372&lt;=15,"Children and Young Adolescents", C4372&gt;64, "Seniors", TRUE, "Working Age")</f>
        <v>Working Age</v>
      </c>
      <c r="J4372" s="6">
        <f>VLOOKUP(F4372,Analysis!$F$1:$G$5,2,FALSE)</f>
        <v>2440.2966694490838</v>
      </c>
      <c r="K4372">
        <f t="shared" si="272"/>
        <v>3291.35</v>
      </c>
      <c r="L4372">
        <f t="shared" si="273"/>
        <v>3291.36</v>
      </c>
      <c r="M4372">
        <f t="shared" si="274"/>
        <v>3291.35</v>
      </c>
      <c r="N4372" s="5" t="str">
        <f t="shared" si="275"/>
        <v>September 2023</v>
      </c>
    </row>
    <row r="4373" spans="1:14" x14ac:dyDescent="0.25">
      <c r="A4373" s="1">
        <v>45200</v>
      </c>
      <c r="B4373" t="s">
        <v>4298</v>
      </c>
      <c r="C4373">
        <v>30</v>
      </c>
      <c r="D4373" t="s">
        <v>21</v>
      </c>
      <c r="E4373" t="s">
        <v>34</v>
      </c>
      <c r="F4373" t="s">
        <v>11</v>
      </c>
      <c r="G4373" t="s">
        <v>17</v>
      </c>
      <c r="H4373">
        <v>3483.94</v>
      </c>
      <c r="I4373" s="8" t="str" cm="1">
        <f t="array" ref="I4373">_xlfn.IFS(C4373&lt;=15,"Children and Young Adolescents", C4373&gt;64, "Seniors", TRUE, "Working Age")</f>
        <v>Working Age</v>
      </c>
      <c r="J4373" s="6">
        <f>VLOOKUP(F4373,Analysis!$F$1:$G$5,2,FALSE)</f>
        <v>2503.6022787783854</v>
      </c>
      <c r="K4373">
        <f t="shared" si="272"/>
        <v>3832.33</v>
      </c>
      <c r="L4373">
        <f t="shared" si="273"/>
        <v>3832.34</v>
      </c>
      <c r="M4373">
        <f t="shared" si="274"/>
        <v>3832.33</v>
      </c>
      <c r="N4373" s="5" t="str">
        <f t="shared" si="275"/>
        <v>October 2023</v>
      </c>
    </row>
    <row r="4374" spans="1:14" x14ac:dyDescent="0.25">
      <c r="A4374" s="1">
        <v>45200</v>
      </c>
      <c r="B4374" t="s">
        <v>246</v>
      </c>
      <c r="C4374">
        <v>53</v>
      </c>
      <c r="D4374" t="s">
        <v>21</v>
      </c>
      <c r="E4374" t="s">
        <v>19</v>
      </c>
      <c r="F4374" t="s">
        <v>23</v>
      </c>
      <c r="G4374" t="s">
        <v>27</v>
      </c>
      <c r="H4374">
        <v>490.33</v>
      </c>
      <c r="I4374" s="8" t="str" cm="1">
        <f t="array" ref="I4374">_xlfn.IFS(C4374&lt;=15,"Children and Young Adolescents", C4374&gt;64, "Seniors", TRUE, "Working Age")</f>
        <v>Working Age</v>
      </c>
      <c r="J4374" s="6">
        <f>VLOOKUP(F4374,Analysis!$F$1:$G$5,2,FALSE)</f>
        <v>2440.2966694490838</v>
      </c>
      <c r="K4374">
        <f t="shared" si="272"/>
        <v>539.36</v>
      </c>
      <c r="L4374">
        <f t="shared" si="273"/>
        <v>539.37</v>
      </c>
      <c r="M4374">
        <f t="shared" si="274"/>
        <v>539.36</v>
      </c>
      <c r="N4374" s="5" t="str">
        <f t="shared" si="275"/>
        <v>October 2023</v>
      </c>
    </row>
    <row r="4375" spans="1:14" x14ac:dyDescent="0.25">
      <c r="A4375" s="1">
        <v>45200</v>
      </c>
      <c r="B4375" t="s">
        <v>2269</v>
      </c>
      <c r="C4375">
        <v>95</v>
      </c>
      <c r="D4375" t="s">
        <v>9</v>
      </c>
      <c r="E4375" t="s">
        <v>32</v>
      </c>
      <c r="F4375" t="s">
        <v>16</v>
      </c>
      <c r="G4375" t="s">
        <v>39</v>
      </c>
      <c r="H4375">
        <v>3646.65</v>
      </c>
      <c r="I4375" s="8" t="str" cm="1">
        <f t="array" ref="I4375">_xlfn.IFS(C4375&lt;=15,"Children and Young Adolescents", C4375&gt;64, "Seniors", TRUE, "Working Age")</f>
        <v>Seniors</v>
      </c>
      <c r="J4375" s="6">
        <f>VLOOKUP(F4375,Analysis!$F$1:$G$5,2,FALSE)</f>
        <v>2509.1716796874912</v>
      </c>
      <c r="K4375">
        <f t="shared" si="272"/>
        <v>4011.31</v>
      </c>
      <c r="L4375">
        <f t="shared" si="273"/>
        <v>4011.32</v>
      </c>
      <c r="M4375">
        <f t="shared" si="274"/>
        <v>4011.32</v>
      </c>
      <c r="N4375" s="5" t="str">
        <f t="shared" si="275"/>
        <v>October 2023</v>
      </c>
    </row>
    <row r="4376" spans="1:14" x14ac:dyDescent="0.25">
      <c r="A4376" s="1">
        <v>45200</v>
      </c>
      <c r="B4376" t="s">
        <v>3053</v>
      </c>
      <c r="C4376">
        <v>2</v>
      </c>
      <c r="D4376" t="s">
        <v>21</v>
      </c>
      <c r="E4376" t="s">
        <v>25</v>
      </c>
      <c r="F4376" t="s">
        <v>23</v>
      </c>
      <c r="G4376" t="s">
        <v>17</v>
      </c>
      <c r="H4376">
        <v>4228.24</v>
      </c>
      <c r="I4376" s="8" t="str" cm="1">
        <f t="array" ref="I4376">_xlfn.IFS(C4376&lt;=15,"Children and Young Adolescents", C4376&gt;64, "Seniors", TRUE, "Working Age")</f>
        <v>Children and Young Adolescents</v>
      </c>
      <c r="J4376" s="6">
        <f>VLOOKUP(F4376,Analysis!$F$1:$G$5,2,FALSE)</f>
        <v>2440.2966694490838</v>
      </c>
      <c r="K4376">
        <f t="shared" si="272"/>
        <v>4651.0600000000004</v>
      </c>
      <c r="L4376">
        <f t="shared" si="273"/>
        <v>4651.0700000000006</v>
      </c>
      <c r="M4376">
        <f t="shared" si="274"/>
        <v>4651.0600000000004</v>
      </c>
      <c r="N4376" s="5" t="str">
        <f t="shared" si="275"/>
        <v>October 2023</v>
      </c>
    </row>
    <row r="4377" spans="1:14" x14ac:dyDescent="0.25">
      <c r="A4377" s="1">
        <v>45200</v>
      </c>
      <c r="B4377" t="s">
        <v>2185</v>
      </c>
      <c r="C4377">
        <v>3</v>
      </c>
      <c r="D4377" t="s">
        <v>14</v>
      </c>
      <c r="E4377" t="s">
        <v>25</v>
      </c>
      <c r="F4377" t="s">
        <v>29</v>
      </c>
      <c r="G4377" t="s">
        <v>36</v>
      </c>
      <c r="H4377">
        <v>2773.86</v>
      </c>
      <c r="I4377" s="8" t="str" cm="1">
        <f t="array" ref="I4377">_xlfn.IFS(C4377&lt;=15,"Children and Young Adolescents", C4377&gt;64, "Seniors", TRUE, "Working Age")</f>
        <v>Children and Young Adolescents</v>
      </c>
      <c r="J4377" s="6">
        <f>VLOOKUP(F4377,Analysis!$F$1:$G$5,2,FALSE)</f>
        <v>2496.7676064256989</v>
      </c>
      <c r="K4377">
        <f t="shared" si="272"/>
        <v>3051.24</v>
      </c>
      <c r="L4377">
        <f t="shared" si="273"/>
        <v>3051.25</v>
      </c>
      <c r="M4377">
        <f t="shared" si="274"/>
        <v>3051.25</v>
      </c>
      <c r="N4377" s="5" t="str">
        <f t="shared" si="275"/>
        <v>October 2023</v>
      </c>
    </row>
    <row r="4378" spans="1:14" x14ac:dyDescent="0.25">
      <c r="A4378" s="1">
        <v>45200</v>
      </c>
      <c r="B4378" t="s">
        <v>450</v>
      </c>
      <c r="C4378">
        <v>48</v>
      </c>
      <c r="D4378" t="s">
        <v>9</v>
      </c>
      <c r="E4378" t="s">
        <v>22</v>
      </c>
      <c r="F4378" t="s">
        <v>16</v>
      </c>
      <c r="G4378" t="s">
        <v>36</v>
      </c>
      <c r="H4378">
        <v>4904.28</v>
      </c>
      <c r="I4378" s="8" t="str" cm="1">
        <f t="array" ref="I4378">_xlfn.IFS(C4378&lt;=15,"Children and Young Adolescents", C4378&gt;64, "Seniors", TRUE, "Working Age")</f>
        <v>Working Age</v>
      </c>
      <c r="J4378" s="6">
        <f>VLOOKUP(F4378,Analysis!$F$1:$G$5,2,FALSE)</f>
        <v>2509.1716796874912</v>
      </c>
      <c r="K4378">
        <f t="shared" si="272"/>
        <v>5394.7</v>
      </c>
      <c r="L4378">
        <f t="shared" si="273"/>
        <v>5394.71</v>
      </c>
      <c r="M4378">
        <f t="shared" si="274"/>
        <v>5394.71</v>
      </c>
      <c r="N4378" s="5" t="str">
        <f t="shared" si="275"/>
        <v>October 2023</v>
      </c>
    </row>
    <row r="4379" spans="1:14" x14ac:dyDescent="0.25">
      <c r="A4379" s="1">
        <v>45200</v>
      </c>
      <c r="B4379" t="s">
        <v>2758</v>
      </c>
      <c r="C4379">
        <v>54</v>
      </c>
      <c r="D4379" t="s">
        <v>14</v>
      </c>
      <c r="E4379" t="s">
        <v>34</v>
      </c>
      <c r="F4379" t="s">
        <v>16</v>
      </c>
      <c r="G4379" t="s">
        <v>27</v>
      </c>
      <c r="H4379">
        <v>364.27</v>
      </c>
      <c r="I4379" s="8" t="str" cm="1">
        <f t="array" ref="I4379">_xlfn.IFS(C4379&lt;=15,"Children and Young Adolescents", C4379&gt;64, "Seniors", TRUE, "Working Age")</f>
        <v>Working Age</v>
      </c>
      <c r="J4379" s="6">
        <f>VLOOKUP(F4379,Analysis!$F$1:$G$5,2,FALSE)</f>
        <v>2509.1716796874912</v>
      </c>
      <c r="K4379">
        <f t="shared" si="272"/>
        <v>400.69</v>
      </c>
      <c r="L4379">
        <f t="shared" si="273"/>
        <v>400.7</v>
      </c>
      <c r="M4379">
        <f t="shared" si="274"/>
        <v>400.7</v>
      </c>
      <c r="N4379" s="5" t="str">
        <f t="shared" si="275"/>
        <v>October 2023</v>
      </c>
    </row>
    <row r="4380" spans="1:14" x14ac:dyDescent="0.25">
      <c r="A4380" s="1">
        <v>45201</v>
      </c>
      <c r="B4380" t="s">
        <v>1785</v>
      </c>
      <c r="C4380">
        <v>76</v>
      </c>
      <c r="D4380" t="s">
        <v>21</v>
      </c>
      <c r="E4380" t="s">
        <v>10</v>
      </c>
      <c r="F4380" t="s">
        <v>23</v>
      </c>
      <c r="G4380" t="s">
        <v>12</v>
      </c>
      <c r="H4380">
        <v>4290.8100000000004</v>
      </c>
      <c r="I4380" s="8" t="str" cm="1">
        <f t="array" ref="I4380">_xlfn.IFS(C4380&lt;=15,"Children and Young Adolescents", C4380&gt;64, "Seniors", TRUE, "Working Age")</f>
        <v>Seniors</v>
      </c>
      <c r="J4380" s="6">
        <f>VLOOKUP(F4380,Analysis!$F$1:$G$5,2,FALSE)</f>
        <v>2440.2966694490838</v>
      </c>
      <c r="K4380">
        <f t="shared" si="272"/>
        <v>4719.8900000000003</v>
      </c>
      <c r="L4380">
        <f t="shared" si="273"/>
        <v>4719.9000000000005</v>
      </c>
      <c r="M4380">
        <f t="shared" si="274"/>
        <v>4719.8900000000003</v>
      </c>
      <c r="N4380" s="5" t="str">
        <f t="shared" si="275"/>
        <v>October 2023</v>
      </c>
    </row>
    <row r="4381" spans="1:14" x14ac:dyDescent="0.25">
      <c r="A4381" s="1">
        <v>45201</v>
      </c>
      <c r="B4381" t="s">
        <v>2024</v>
      </c>
      <c r="C4381">
        <v>33</v>
      </c>
      <c r="D4381" t="s">
        <v>9</v>
      </c>
      <c r="E4381" t="s">
        <v>34</v>
      </c>
      <c r="F4381" t="s">
        <v>29</v>
      </c>
      <c r="G4381" t="s">
        <v>12</v>
      </c>
      <c r="H4381">
        <v>780.57</v>
      </c>
      <c r="I4381" s="8" t="str" cm="1">
        <f t="array" ref="I4381">_xlfn.IFS(C4381&lt;=15,"Children and Young Adolescents", C4381&gt;64, "Seniors", TRUE, "Working Age")</f>
        <v>Working Age</v>
      </c>
      <c r="J4381" s="6">
        <f>VLOOKUP(F4381,Analysis!$F$1:$G$5,2,FALSE)</f>
        <v>2496.7676064256989</v>
      </c>
      <c r="K4381">
        <f t="shared" si="272"/>
        <v>858.62</v>
      </c>
      <c r="L4381">
        <f t="shared" si="273"/>
        <v>858.63</v>
      </c>
      <c r="M4381">
        <f t="shared" si="274"/>
        <v>858.63</v>
      </c>
      <c r="N4381" s="5" t="str">
        <f t="shared" si="275"/>
        <v>October 2023</v>
      </c>
    </row>
    <row r="4382" spans="1:14" x14ac:dyDescent="0.25">
      <c r="A4382" s="1">
        <v>45201</v>
      </c>
      <c r="B4382" t="s">
        <v>1826</v>
      </c>
      <c r="C4382">
        <v>83</v>
      </c>
      <c r="D4382" t="s">
        <v>21</v>
      </c>
      <c r="E4382" t="s">
        <v>22</v>
      </c>
      <c r="F4382" t="s">
        <v>23</v>
      </c>
      <c r="G4382" t="s">
        <v>27</v>
      </c>
      <c r="H4382">
        <v>4399.09</v>
      </c>
      <c r="I4382" s="8" t="str" cm="1">
        <f t="array" ref="I4382">_xlfn.IFS(C4382&lt;=15,"Children and Young Adolescents", C4382&gt;64, "Seniors", TRUE, "Working Age")</f>
        <v>Seniors</v>
      </c>
      <c r="J4382" s="6">
        <f>VLOOKUP(F4382,Analysis!$F$1:$G$5,2,FALSE)</f>
        <v>2440.2966694490838</v>
      </c>
      <c r="K4382">
        <f t="shared" si="272"/>
        <v>4838.99</v>
      </c>
      <c r="L4382">
        <f t="shared" si="273"/>
        <v>4839</v>
      </c>
      <c r="M4382">
        <f t="shared" si="274"/>
        <v>4839</v>
      </c>
      <c r="N4382" s="5" t="str">
        <f t="shared" si="275"/>
        <v>October 2023</v>
      </c>
    </row>
    <row r="4383" spans="1:14" x14ac:dyDescent="0.25">
      <c r="A4383" s="1">
        <v>45201</v>
      </c>
      <c r="B4383" t="s">
        <v>4438</v>
      </c>
      <c r="C4383">
        <v>34</v>
      </c>
      <c r="D4383" t="s">
        <v>9</v>
      </c>
      <c r="E4383" t="s">
        <v>32</v>
      </c>
      <c r="F4383" t="s">
        <v>16</v>
      </c>
      <c r="G4383" t="s">
        <v>12</v>
      </c>
      <c r="H4383">
        <v>545.11</v>
      </c>
      <c r="I4383" s="8" t="str" cm="1">
        <f t="array" ref="I4383">_xlfn.IFS(C4383&lt;=15,"Children and Young Adolescents", C4383&gt;64, "Seniors", TRUE, "Working Age")</f>
        <v>Working Age</v>
      </c>
      <c r="J4383" s="6">
        <f>VLOOKUP(F4383,Analysis!$F$1:$G$5,2,FALSE)</f>
        <v>2509.1716796874912</v>
      </c>
      <c r="K4383">
        <f t="shared" si="272"/>
        <v>599.62</v>
      </c>
      <c r="L4383">
        <f t="shared" si="273"/>
        <v>599.63</v>
      </c>
      <c r="M4383">
        <f t="shared" si="274"/>
        <v>599.62</v>
      </c>
      <c r="N4383" s="5" t="str">
        <f t="shared" si="275"/>
        <v>October 2023</v>
      </c>
    </row>
    <row r="4384" spans="1:14" x14ac:dyDescent="0.25">
      <c r="A4384" s="1">
        <v>45201</v>
      </c>
      <c r="B4384" t="s">
        <v>2551</v>
      </c>
      <c r="C4384">
        <v>29</v>
      </c>
      <c r="D4384" t="s">
        <v>14</v>
      </c>
      <c r="E4384" t="s">
        <v>15</v>
      </c>
      <c r="F4384" t="s">
        <v>23</v>
      </c>
      <c r="G4384" t="s">
        <v>12</v>
      </c>
      <c r="H4384">
        <v>4230.87</v>
      </c>
      <c r="I4384" s="8" t="str" cm="1">
        <f t="array" ref="I4384">_xlfn.IFS(C4384&lt;=15,"Children and Young Adolescents", C4384&gt;64, "Seniors", TRUE, "Working Age")</f>
        <v>Working Age</v>
      </c>
      <c r="J4384" s="6">
        <f>VLOOKUP(F4384,Analysis!$F$1:$G$5,2,FALSE)</f>
        <v>2440.2966694490838</v>
      </c>
      <c r="K4384">
        <f t="shared" si="272"/>
        <v>4653.95</v>
      </c>
      <c r="L4384">
        <f t="shared" si="273"/>
        <v>4653.96</v>
      </c>
      <c r="M4384">
        <f t="shared" si="274"/>
        <v>4653.96</v>
      </c>
      <c r="N4384" s="5" t="str">
        <f t="shared" si="275"/>
        <v>October 2023</v>
      </c>
    </row>
    <row r="4385" spans="1:14" x14ac:dyDescent="0.25">
      <c r="A4385" s="1">
        <v>45201</v>
      </c>
      <c r="B4385" t="s">
        <v>3021</v>
      </c>
      <c r="C4385">
        <v>87</v>
      </c>
      <c r="D4385" t="s">
        <v>21</v>
      </c>
      <c r="E4385" t="s">
        <v>34</v>
      </c>
      <c r="F4385" t="s">
        <v>11</v>
      </c>
      <c r="G4385" t="s">
        <v>17</v>
      </c>
      <c r="H4385">
        <v>2124.92</v>
      </c>
      <c r="I4385" s="8" t="str" cm="1">
        <f t="array" ref="I4385">_xlfn.IFS(C4385&lt;=15,"Children and Young Adolescents", C4385&gt;64, "Seniors", TRUE, "Working Age")</f>
        <v>Seniors</v>
      </c>
      <c r="J4385" s="6">
        <f>VLOOKUP(F4385,Analysis!$F$1:$G$5,2,FALSE)</f>
        <v>2503.6022787783854</v>
      </c>
      <c r="K4385">
        <f t="shared" si="272"/>
        <v>2337.41</v>
      </c>
      <c r="L4385">
        <f t="shared" si="273"/>
        <v>2337.42</v>
      </c>
      <c r="M4385">
        <f t="shared" si="274"/>
        <v>2337.41</v>
      </c>
      <c r="N4385" s="5" t="str">
        <f t="shared" si="275"/>
        <v>October 2023</v>
      </c>
    </row>
    <row r="4386" spans="1:14" x14ac:dyDescent="0.25">
      <c r="A4386" s="1">
        <v>45201</v>
      </c>
      <c r="B4386" t="s">
        <v>262</v>
      </c>
      <c r="C4386">
        <v>86</v>
      </c>
      <c r="D4386" t="s">
        <v>9</v>
      </c>
      <c r="E4386" t="s">
        <v>22</v>
      </c>
      <c r="F4386" t="s">
        <v>16</v>
      </c>
      <c r="G4386" t="s">
        <v>36</v>
      </c>
      <c r="H4386">
        <v>2740.49</v>
      </c>
      <c r="I4386" s="8" t="str" cm="1">
        <f t="array" ref="I4386">_xlfn.IFS(C4386&lt;=15,"Children and Young Adolescents", C4386&gt;64, "Seniors", TRUE, "Working Age")</f>
        <v>Seniors</v>
      </c>
      <c r="J4386" s="6">
        <f>VLOOKUP(F4386,Analysis!$F$1:$G$5,2,FALSE)</f>
        <v>2509.1716796874912</v>
      </c>
      <c r="K4386">
        <f t="shared" si="272"/>
        <v>3014.53</v>
      </c>
      <c r="L4386">
        <f t="shared" si="273"/>
        <v>3014.5400000000004</v>
      </c>
      <c r="M4386">
        <f t="shared" si="274"/>
        <v>3014.54</v>
      </c>
      <c r="N4386" s="5" t="str">
        <f t="shared" si="275"/>
        <v>October 2023</v>
      </c>
    </row>
    <row r="4387" spans="1:14" x14ac:dyDescent="0.25">
      <c r="A4387" s="1">
        <v>45201</v>
      </c>
      <c r="B4387" t="s">
        <v>358</v>
      </c>
      <c r="C4387">
        <v>14</v>
      </c>
      <c r="D4387" t="s">
        <v>21</v>
      </c>
      <c r="E4387" t="s">
        <v>22</v>
      </c>
      <c r="F4387" t="s">
        <v>11</v>
      </c>
      <c r="G4387" t="s">
        <v>12</v>
      </c>
      <c r="H4387">
        <v>256.33</v>
      </c>
      <c r="I4387" s="8" t="str" cm="1">
        <f t="array" ref="I4387">_xlfn.IFS(C4387&lt;=15,"Children and Young Adolescents", C4387&gt;64, "Seniors", TRUE, "Working Age")</f>
        <v>Children and Young Adolescents</v>
      </c>
      <c r="J4387" s="6">
        <f>VLOOKUP(F4387,Analysis!$F$1:$G$5,2,FALSE)</f>
        <v>2503.6022787783854</v>
      </c>
      <c r="K4387">
        <f t="shared" si="272"/>
        <v>281.95999999999998</v>
      </c>
      <c r="L4387">
        <f t="shared" si="273"/>
        <v>281.96999999999997</v>
      </c>
      <c r="M4387">
        <f t="shared" si="274"/>
        <v>281.95999999999998</v>
      </c>
      <c r="N4387" s="5" t="str">
        <f t="shared" si="275"/>
        <v>October 2023</v>
      </c>
    </row>
    <row r="4388" spans="1:14" x14ac:dyDescent="0.25">
      <c r="A4388" s="1">
        <v>45202</v>
      </c>
      <c r="B4388" t="s">
        <v>2153</v>
      </c>
      <c r="C4388">
        <v>54</v>
      </c>
      <c r="D4388" t="s">
        <v>21</v>
      </c>
      <c r="E4388" t="s">
        <v>10</v>
      </c>
      <c r="F4388" t="s">
        <v>29</v>
      </c>
      <c r="G4388" t="s">
        <v>27</v>
      </c>
      <c r="H4388">
        <v>1156.04</v>
      </c>
      <c r="I4388" s="8" t="str" cm="1">
        <f t="array" ref="I4388">_xlfn.IFS(C4388&lt;=15,"Children and Young Adolescents", C4388&gt;64, "Seniors", TRUE, "Working Age")</f>
        <v>Working Age</v>
      </c>
      <c r="J4388" s="6">
        <f>VLOOKUP(F4388,Analysis!$F$1:$G$5,2,FALSE)</f>
        <v>2496.7676064256989</v>
      </c>
      <c r="K4388">
        <f t="shared" si="272"/>
        <v>1271.6400000000001</v>
      </c>
      <c r="L4388">
        <f t="shared" si="273"/>
        <v>1271.6500000000001</v>
      </c>
      <c r="M4388">
        <f t="shared" si="274"/>
        <v>1271.6400000000001</v>
      </c>
      <c r="N4388" s="5" t="str">
        <f t="shared" si="275"/>
        <v>October 2023</v>
      </c>
    </row>
    <row r="4389" spans="1:14" x14ac:dyDescent="0.25">
      <c r="A4389" s="1">
        <v>45202</v>
      </c>
      <c r="B4389" t="s">
        <v>3898</v>
      </c>
      <c r="C4389">
        <v>54</v>
      </c>
      <c r="D4389" t="s">
        <v>21</v>
      </c>
      <c r="E4389" t="s">
        <v>22</v>
      </c>
      <c r="F4389" t="s">
        <v>11</v>
      </c>
      <c r="G4389" t="s">
        <v>39</v>
      </c>
      <c r="H4389">
        <v>3289.53</v>
      </c>
      <c r="I4389" s="8" t="str" cm="1">
        <f t="array" ref="I4389">_xlfn.IFS(C4389&lt;=15,"Children and Young Adolescents", C4389&gt;64, "Seniors", TRUE, "Working Age")</f>
        <v>Working Age</v>
      </c>
      <c r="J4389" s="6">
        <f>VLOOKUP(F4389,Analysis!$F$1:$G$5,2,FALSE)</f>
        <v>2503.6022787783854</v>
      </c>
      <c r="K4389">
        <f t="shared" si="272"/>
        <v>3618.48</v>
      </c>
      <c r="L4389">
        <f t="shared" si="273"/>
        <v>3618.4900000000002</v>
      </c>
      <c r="M4389">
        <f t="shared" si="274"/>
        <v>3618.48</v>
      </c>
      <c r="N4389" s="5" t="str">
        <f t="shared" si="275"/>
        <v>October 2023</v>
      </c>
    </row>
    <row r="4390" spans="1:14" x14ac:dyDescent="0.25">
      <c r="A4390" s="1">
        <v>45202</v>
      </c>
      <c r="B4390" t="s">
        <v>2026</v>
      </c>
      <c r="C4390">
        <v>31</v>
      </c>
      <c r="D4390" t="s">
        <v>9</v>
      </c>
      <c r="E4390" t="s">
        <v>5032</v>
      </c>
      <c r="F4390" t="s">
        <v>29</v>
      </c>
      <c r="G4390" t="s">
        <v>12</v>
      </c>
      <c r="H4390">
        <v>4644.7299999999996</v>
      </c>
      <c r="I4390" s="8" t="str" cm="1">
        <f t="array" ref="I4390">_xlfn.IFS(C4390&lt;=15,"Children and Young Adolescents", C4390&gt;64, "Seniors", TRUE, "Working Age")</f>
        <v>Working Age</v>
      </c>
      <c r="J4390" s="6">
        <f>VLOOKUP(F4390,Analysis!$F$1:$G$5,2,FALSE)</f>
        <v>2496.7676064256989</v>
      </c>
      <c r="K4390">
        <f t="shared" si="272"/>
        <v>5109.2</v>
      </c>
      <c r="L4390">
        <f t="shared" si="273"/>
        <v>5109.21</v>
      </c>
      <c r="M4390">
        <f t="shared" si="274"/>
        <v>5109.2</v>
      </c>
      <c r="N4390" s="5" t="str">
        <f t="shared" si="275"/>
        <v>October 2023</v>
      </c>
    </row>
    <row r="4391" spans="1:14" x14ac:dyDescent="0.25">
      <c r="A4391" s="1">
        <v>45202</v>
      </c>
      <c r="B4391" t="s">
        <v>3540</v>
      </c>
      <c r="C4391">
        <v>49</v>
      </c>
      <c r="D4391" t="s">
        <v>21</v>
      </c>
      <c r="E4391" t="s">
        <v>15</v>
      </c>
      <c r="F4391" t="s">
        <v>29</v>
      </c>
      <c r="G4391" t="s">
        <v>39</v>
      </c>
      <c r="H4391">
        <v>2412.36</v>
      </c>
      <c r="I4391" s="8" t="str" cm="1">
        <f t="array" ref="I4391">_xlfn.IFS(C4391&lt;=15,"Children and Young Adolescents", C4391&gt;64, "Seniors", TRUE, "Working Age")</f>
        <v>Working Age</v>
      </c>
      <c r="J4391" s="6">
        <f>VLOOKUP(F4391,Analysis!$F$1:$G$5,2,FALSE)</f>
        <v>2496.7676064256989</v>
      </c>
      <c r="K4391">
        <f t="shared" si="272"/>
        <v>2653.59</v>
      </c>
      <c r="L4391">
        <f t="shared" si="273"/>
        <v>2653.6000000000004</v>
      </c>
      <c r="M4391">
        <f t="shared" si="274"/>
        <v>2653.6</v>
      </c>
      <c r="N4391" s="5" t="str">
        <f t="shared" si="275"/>
        <v>October 2023</v>
      </c>
    </row>
    <row r="4392" spans="1:14" x14ac:dyDescent="0.25">
      <c r="A4392" s="1">
        <v>45202</v>
      </c>
      <c r="B4392" t="s">
        <v>2809</v>
      </c>
      <c r="C4392">
        <v>65</v>
      </c>
      <c r="D4392" t="s">
        <v>9</v>
      </c>
      <c r="E4392" t="s">
        <v>34</v>
      </c>
      <c r="F4392" t="s">
        <v>11</v>
      </c>
      <c r="G4392" t="s">
        <v>39</v>
      </c>
      <c r="H4392">
        <v>646.36</v>
      </c>
      <c r="I4392" s="8" t="str" cm="1">
        <f t="array" ref="I4392">_xlfn.IFS(C4392&lt;=15,"Children and Young Adolescents", C4392&gt;64, "Seniors", TRUE, "Working Age")</f>
        <v>Seniors</v>
      </c>
      <c r="J4392" s="6">
        <f>VLOOKUP(F4392,Analysis!$F$1:$G$5,2,FALSE)</f>
        <v>2503.6022787783854</v>
      </c>
      <c r="K4392">
        <f t="shared" si="272"/>
        <v>710.99</v>
      </c>
      <c r="L4392">
        <f t="shared" si="273"/>
        <v>711</v>
      </c>
      <c r="M4392">
        <f t="shared" si="274"/>
        <v>711</v>
      </c>
      <c r="N4392" s="5" t="str">
        <f t="shared" si="275"/>
        <v>October 2023</v>
      </c>
    </row>
    <row r="4393" spans="1:14" x14ac:dyDescent="0.25">
      <c r="A4393" s="1">
        <v>45202</v>
      </c>
      <c r="B4393" t="s">
        <v>3825</v>
      </c>
      <c r="C4393">
        <v>45</v>
      </c>
      <c r="D4393" t="s">
        <v>14</v>
      </c>
      <c r="E4393" t="s">
        <v>32</v>
      </c>
      <c r="F4393" t="s">
        <v>11</v>
      </c>
      <c r="G4393" t="s">
        <v>39</v>
      </c>
      <c r="H4393">
        <v>646.70000000000005</v>
      </c>
      <c r="I4393" s="8" t="str" cm="1">
        <f t="array" ref="I4393">_xlfn.IFS(C4393&lt;=15,"Children and Young Adolescents", C4393&gt;64, "Seniors", TRUE, "Working Age")</f>
        <v>Working Age</v>
      </c>
      <c r="J4393" s="6">
        <f>VLOOKUP(F4393,Analysis!$F$1:$G$5,2,FALSE)</f>
        <v>2503.6022787783854</v>
      </c>
      <c r="K4393">
        <f t="shared" si="272"/>
        <v>711.37</v>
      </c>
      <c r="L4393">
        <f t="shared" si="273"/>
        <v>711.37</v>
      </c>
      <c r="M4393">
        <f t="shared" si="274"/>
        <v>711.37</v>
      </c>
      <c r="N4393" s="5" t="str">
        <f t="shared" si="275"/>
        <v>October 2023</v>
      </c>
    </row>
    <row r="4394" spans="1:14" x14ac:dyDescent="0.25">
      <c r="A4394" s="1">
        <v>45202</v>
      </c>
      <c r="B4394" t="s">
        <v>3765</v>
      </c>
      <c r="C4394">
        <v>69</v>
      </c>
      <c r="D4394" t="s">
        <v>21</v>
      </c>
      <c r="E4394" t="s">
        <v>22</v>
      </c>
      <c r="F4394" t="s">
        <v>29</v>
      </c>
      <c r="G4394" t="s">
        <v>39</v>
      </c>
      <c r="H4394">
        <v>4874.75</v>
      </c>
      <c r="I4394" s="8" t="str" cm="1">
        <f t="array" ref="I4394">_xlfn.IFS(C4394&lt;=15,"Children and Young Adolescents", C4394&gt;64, "Seniors", TRUE, "Working Age")</f>
        <v>Seniors</v>
      </c>
      <c r="J4394" s="6">
        <f>VLOOKUP(F4394,Analysis!$F$1:$G$5,2,FALSE)</f>
        <v>2496.7676064256989</v>
      </c>
      <c r="K4394">
        <f t="shared" si="272"/>
        <v>5362.22</v>
      </c>
      <c r="L4394">
        <f t="shared" si="273"/>
        <v>5362.2300000000005</v>
      </c>
      <c r="M4394">
        <f t="shared" si="274"/>
        <v>5362.23</v>
      </c>
      <c r="N4394" s="5" t="str">
        <f t="shared" si="275"/>
        <v>October 2023</v>
      </c>
    </row>
    <row r="4395" spans="1:14" x14ac:dyDescent="0.25">
      <c r="A4395" s="1">
        <v>45203</v>
      </c>
      <c r="B4395" t="s">
        <v>457</v>
      </c>
      <c r="C4395">
        <v>9</v>
      </c>
      <c r="D4395" t="s">
        <v>9</v>
      </c>
      <c r="E4395" t="s">
        <v>25</v>
      </c>
      <c r="F4395" t="s">
        <v>16</v>
      </c>
      <c r="G4395" t="s">
        <v>36</v>
      </c>
      <c r="H4395">
        <v>794.96</v>
      </c>
      <c r="I4395" s="8" t="str" cm="1">
        <f t="array" ref="I4395">_xlfn.IFS(C4395&lt;=15,"Children and Young Adolescents", C4395&gt;64, "Seniors", TRUE, "Working Age")</f>
        <v>Children and Young Adolescents</v>
      </c>
      <c r="J4395" s="6">
        <f>VLOOKUP(F4395,Analysis!$F$1:$G$5,2,FALSE)</f>
        <v>2509.1716796874912</v>
      </c>
      <c r="K4395">
        <f t="shared" si="272"/>
        <v>874.45</v>
      </c>
      <c r="L4395">
        <f t="shared" si="273"/>
        <v>874.46</v>
      </c>
      <c r="M4395">
        <f t="shared" si="274"/>
        <v>874.46</v>
      </c>
      <c r="N4395" s="5" t="str">
        <f t="shared" si="275"/>
        <v>October 2023</v>
      </c>
    </row>
    <row r="4396" spans="1:14" x14ac:dyDescent="0.25">
      <c r="A4396" s="1">
        <v>45203</v>
      </c>
      <c r="B4396" t="s">
        <v>3058</v>
      </c>
      <c r="C4396">
        <v>21</v>
      </c>
      <c r="D4396" t="s">
        <v>21</v>
      </c>
      <c r="E4396" t="s">
        <v>32</v>
      </c>
      <c r="F4396" t="s">
        <v>29</v>
      </c>
      <c r="G4396" t="s">
        <v>36</v>
      </c>
      <c r="H4396">
        <v>1124.08</v>
      </c>
      <c r="I4396" s="8" t="str" cm="1">
        <f t="array" ref="I4396">_xlfn.IFS(C4396&lt;=15,"Children and Young Adolescents", C4396&gt;64, "Seniors", TRUE, "Working Age")</f>
        <v>Working Age</v>
      </c>
      <c r="J4396" s="6">
        <f>VLOOKUP(F4396,Analysis!$F$1:$G$5,2,FALSE)</f>
        <v>2496.7676064256989</v>
      </c>
      <c r="K4396">
        <f t="shared" si="272"/>
        <v>1236.48</v>
      </c>
      <c r="L4396">
        <f t="shared" si="273"/>
        <v>1236.49</v>
      </c>
      <c r="M4396">
        <f t="shared" si="274"/>
        <v>1236.49</v>
      </c>
      <c r="N4396" s="5" t="str">
        <f t="shared" si="275"/>
        <v>October 2023</v>
      </c>
    </row>
    <row r="4397" spans="1:14" x14ac:dyDescent="0.25">
      <c r="A4397" s="1">
        <v>45203</v>
      </c>
      <c r="B4397" t="s">
        <v>993</v>
      </c>
      <c r="C4397">
        <v>89</v>
      </c>
      <c r="D4397" t="s">
        <v>21</v>
      </c>
      <c r="E4397" t="s">
        <v>5032</v>
      </c>
      <c r="F4397" t="s">
        <v>11</v>
      </c>
      <c r="G4397" t="s">
        <v>39</v>
      </c>
      <c r="H4397">
        <v>230.35</v>
      </c>
      <c r="I4397" s="8" t="str" cm="1">
        <f t="array" ref="I4397">_xlfn.IFS(C4397&lt;=15,"Children and Young Adolescents", C4397&gt;64, "Seniors", TRUE, "Working Age")</f>
        <v>Seniors</v>
      </c>
      <c r="J4397" s="6">
        <f>VLOOKUP(F4397,Analysis!$F$1:$G$5,2,FALSE)</f>
        <v>2503.6022787783854</v>
      </c>
      <c r="K4397">
        <f t="shared" si="272"/>
        <v>253.38</v>
      </c>
      <c r="L4397">
        <f t="shared" si="273"/>
        <v>253.39</v>
      </c>
      <c r="M4397">
        <f t="shared" si="274"/>
        <v>253.39</v>
      </c>
      <c r="N4397" s="5" t="str">
        <f t="shared" si="275"/>
        <v>October 2023</v>
      </c>
    </row>
    <row r="4398" spans="1:14" x14ac:dyDescent="0.25">
      <c r="A4398" s="1">
        <v>45203</v>
      </c>
      <c r="B4398" t="s">
        <v>3435</v>
      </c>
      <c r="C4398">
        <v>44</v>
      </c>
      <c r="D4398" t="s">
        <v>21</v>
      </c>
      <c r="E4398" t="s">
        <v>25</v>
      </c>
      <c r="F4398" t="s">
        <v>11</v>
      </c>
      <c r="G4398" t="s">
        <v>12</v>
      </c>
      <c r="H4398">
        <v>1122.5999999999999</v>
      </c>
      <c r="I4398" s="8" t="str" cm="1">
        <f t="array" ref="I4398">_xlfn.IFS(C4398&lt;=15,"Children and Young Adolescents", C4398&gt;64, "Seniors", TRUE, "Working Age")</f>
        <v>Working Age</v>
      </c>
      <c r="J4398" s="6">
        <f>VLOOKUP(F4398,Analysis!$F$1:$G$5,2,FALSE)</f>
        <v>2503.6022787783854</v>
      </c>
      <c r="K4398">
        <f t="shared" si="272"/>
        <v>1234.8599999999999</v>
      </c>
      <c r="L4398">
        <f t="shared" si="273"/>
        <v>1234.8599999999999</v>
      </c>
      <c r="M4398">
        <f t="shared" si="274"/>
        <v>1234.8599999999999</v>
      </c>
      <c r="N4398" s="5" t="str">
        <f t="shared" si="275"/>
        <v>October 2023</v>
      </c>
    </row>
    <row r="4399" spans="1:14" x14ac:dyDescent="0.25">
      <c r="A4399" s="1">
        <v>45203</v>
      </c>
      <c r="B4399" t="s">
        <v>4480</v>
      </c>
      <c r="C4399">
        <v>60</v>
      </c>
      <c r="D4399" t="s">
        <v>21</v>
      </c>
      <c r="E4399" t="s">
        <v>34</v>
      </c>
      <c r="F4399" t="s">
        <v>23</v>
      </c>
      <c r="G4399" t="s">
        <v>17</v>
      </c>
      <c r="H4399">
        <v>347.62</v>
      </c>
      <c r="I4399" s="8" t="str" cm="1">
        <f t="array" ref="I4399">_xlfn.IFS(C4399&lt;=15,"Children and Young Adolescents", C4399&gt;64, "Seniors", TRUE, "Working Age")</f>
        <v>Working Age</v>
      </c>
      <c r="J4399" s="6">
        <f>VLOOKUP(F4399,Analysis!$F$1:$G$5,2,FALSE)</f>
        <v>2440.2966694490838</v>
      </c>
      <c r="K4399">
        <f t="shared" si="272"/>
        <v>382.38</v>
      </c>
      <c r="L4399">
        <f t="shared" si="273"/>
        <v>382.39</v>
      </c>
      <c r="M4399">
        <f t="shared" si="274"/>
        <v>382.38</v>
      </c>
      <c r="N4399" s="5" t="str">
        <f t="shared" si="275"/>
        <v>October 2023</v>
      </c>
    </row>
    <row r="4400" spans="1:14" x14ac:dyDescent="0.25">
      <c r="A4400" s="1">
        <v>45203</v>
      </c>
      <c r="B4400" t="s">
        <v>4013</v>
      </c>
      <c r="C4400">
        <v>8</v>
      </c>
      <c r="D4400" t="s">
        <v>21</v>
      </c>
      <c r="E4400" t="s">
        <v>5032</v>
      </c>
      <c r="F4400" t="s">
        <v>16</v>
      </c>
      <c r="G4400" t="s">
        <v>36</v>
      </c>
      <c r="H4400">
        <v>449.88</v>
      </c>
      <c r="I4400" s="8" t="str" cm="1">
        <f t="array" ref="I4400">_xlfn.IFS(C4400&lt;=15,"Children and Young Adolescents", C4400&gt;64, "Seniors", TRUE, "Working Age")</f>
        <v>Children and Young Adolescents</v>
      </c>
      <c r="J4400" s="6">
        <f>VLOOKUP(F4400,Analysis!$F$1:$G$5,2,FALSE)</f>
        <v>2509.1716796874912</v>
      </c>
      <c r="K4400">
        <f t="shared" si="272"/>
        <v>494.86</v>
      </c>
      <c r="L4400">
        <f t="shared" si="273"/>
        <v>494.87</v>
      </c>
      <c r="M4400">
        <f t="shared" si="274"/>
        <v>494.87</v>
      </c>
      <c r="N4400" s="5" t="str">
        <f t="shared" si="275"/>
        <v>October 2023</v>
      </c>
    </row>
    <row r="4401" spans="1:14" x14ac:dyDescent="0.25">
      <c r="A4401" s="1">
        <v>45203</v>
      </c>
      <c r="B4401" t="s">
        <v>4558</v>
      </c>
      <c r="C4401">
        <v>28</v>
      </c>
      <c r="D4401" t="s">
        <v>14</v>
      </c>
      <c r="E4401" t="s">
        <v>10</v>
      </c>
      <c r="F4401" t="s">
        <v>16</v>
      </c>
      <c r="G4401" t="s">
        <v>36</v>
      </c>
      <c r="H4401">
        <v>3636.81</v>
      </c>
      <c r="I4401" s="8" t="str" cm="1">
        <f t="array" ref="I4401">_xlfn.IFS(C4401&lt;=15,"Children and Young Adolescents", C4401&gt;64, "Seniors", TRUE, "Working Age")</f>
        <v>Working Age</v>
      </c>
      <c r="J4401" s="6">
        <f>VLOOKUP(F4401,Analysis!$F$1:$G$5,2,FALSE)</f>
        <v>2509.1716796874912</v>
      </c>
      <c r="K4401">
        <f t="shared" si="272"/>
        <v>4000.49</v>
      </c>
      <c r="L4401">
        <f t="shared" si="273"/>
        <v>4000.5</v>
      </c>
      <c r="M4401">
        <f t="shared" si="274"/>
        <v>4000.49</v>
      </c>
      <c r="N4401" s="5" t="str">
        <f t="shared" si="275"/>
        <v>October 2023</v>
      </c>
    </row>
    <row r="4402" spans="1:14" x14ac:dyDescent="0.25">
      <c r="A4402" s="1">
        <v>45203</v>
      </c>
      <c r="B4402" t="s">
        <v>1439</v>
      </c>
      <c r="C4402">
        <v>72</v>
      </c>
      <c r="D4402" t="s">
        <v>21</v>
      </c>
      <c r="E4402" t="s">
        <v>19</v>
      </c>
      <c r="F4402" t="s">
        <v>29</v>
      </c>
      <c r="G4402" t="s">
        <v>17</v>
      </c>
      <c r="H4402">
        <v>4356.66</v>
      </c>
      <c r="I4402" s="8" t="str" cm="1">
        <f t="array" ref="I4402">_xlfn.IFS(C4402&lt;=15,"Children and Young Adolescents", C4402&gt;64, "Seniors", TRUE, "Working Age")</f>
        <v>Seniors</v>
      </c>
      <c r="J4402" s="6">
        <f>VLOOKUP(F4402,Analysis!$F$1:$G$5,2,FALSE)</f>
        <v>2496.7676064256989</v>
      </c>
      <c r="K4402">
        <f t="shared" si="272"/>
        <v>4792.32</v>
      </c>
      <c r="L4402">
        <f t="shared" si="273"/>
        <v>4792.33</v>
      </c>
      <c r="M4402">
        <f t="shared" si="274"/>
        <v>4792.33</v>
      </c>
      <c r="N4402" s="5" t="str">
        <f t="shared" si="275"/>
        <v>October 2023</v>
      </c>
    </row>
    <row r="4403" spans="1:14" x14ac:dyDescent="0.25">
      <c r="A4403" s="1">
        <v>45203</v>
      </c>
      <c r="B4403" t="s">
        <v>2715</v>
      </c>
      <c r="C4403">
        <v>29</v>
      </c>
      <c r="D4403" t="s">
        <v>14</v>
      </c>
      <c r="E4403" t="s">
        <v>34</v>
      </c>
      <c r="F4403" t="s">
        <v>29</v>
      </c>
      <c r="G4403" t="s">
        <v>36</v>
      </c>
      <c r="H4403">
        <v>699.92</v>
      </c>
      <c r="I4403" s="8" t="str" cm="1">
        <f t="array" ref="I4403">_xlfn.IFS(C4403&lt;=15,"Children and Young Adolescents", C4403&gt;64, "Seniors", TRUE, "Working Age")</f>
        <v>Working Age</v>
      </c>
      <c r="J4403" s="6">
        <f>VLOOKUP(F4403,Analysis!$F$1:$G$5,2,FALSE)</f>
        <v>2496.7676064256989</v>
      </c>
      <c r="K4403">
        <f t="shared" si="272"/>
        <v>769.91</v>
      </c>
      <c r="L4403">
        <f t="shared" si="273"/>
        <v>769.92</v>
      </c>
      <c r="M4403">
        <f t="shared" si="274"/>
        <v>769.91</v>
      </c>
      <c r="N4403" s="5" t="str">
        <f t="shared" si="275"/>
        <v>October 2023</v>
      </c>
    </row>
    <row r="4404" spans="1:14" x14ac:dyDescent="0.25">
      <c r="A4404" s="1">
        <v>45204</v>
      </c>
      <c r="B4404" t="s">
        <v>3353</v>
      </c>
      <c r="C4404">
        <v>97</v>
      </c>
      <c r="D4404" t="s">
        <v>14</v>
      </c>
      <c r="E4404" t="s">
        <v>34</v>
      </c>
      <c r="F4404" t="s">
        <v>23</v>
      </c>
      <c r="G4404" t="s">
        <v>27</v>
      </c>
      <c r="H4404">
        <v>2221.69</v>
      </c>
      <c r="I4404" s="8" t="str" cm="1">
        <f t="array" ref="I4404">_xlfn.IFS(C4404&lt;=15,"Children and Young Adolescents", C4404&gt;64, "Seniors", TRUE, "Working Age")</f>
        <v>Seniors</v>
      </c>
      <c r="J4404" s="6">
        <f>VLOOKUP(F4404,Analysis!$F$1:$G$5,2,FALSE)</f>
        <v>2440.2966694490838</v>
      </c>
      <c r="K4404">
        <f t="shared" si="272"/>
        <v>2443.85</v>
      </c>
      <c r="L4404">
        <f t="shared" si="273"/>
        <v>2443.86</v>
      </c>
      <c r="M4404">
        <f t="shared" si="274"/>
        <v>2443.86</v>
      </c>
      <c r="N4404" s="5" t="str">
        <f t="shared" si="275"/>
        <v>October 2023</v>
      </c>
    </row>
    <row r="4405" spans="1:14" x14ac:dyDescent="0.25">
      <c r="A4405" s="1">
        <v>45204</v>
      </c>
      <c r="B4405" t="s">
        <v>4705</v>
      </c>
      <c r="C4405">
        <v>6</v>
      </c>
      <c r="D4405" t="s">
        <v>21</v>
      </c>
      <c r="E4405" t="s">
        <v>15</v>
      </c>
      <c r="F4405" t="s">
        <v>29</v>
      </c>
      <c r="G4405" t="s">
        <v>12</v>
      </c>
      <c r="H4405">
        <v>1757.96</v>
      </c>
      <c r="I4405" s="8" t="str" cm="1">
        <f t="array" ref="I4405">_xlfn.IFS(C4405&lt;=15,"Children and Young Adolescents", C4405&gt;64, "Seniors", TRUE, "Working Age")</f>
        <v>Children and Young Adolescents</v>
      </c>
      <c r="J4405" s="6">
        <f>VLOOKUP(F4405,Analysis!$F$1:$G$5,2,FALSE)</f>
        <v>2496.7676064256989</v>
      </c>
      <c r="K4405">
        <f t="shared" si="272"/>
        <v>1933.75</v>
      </c>
      <c r="L4405">
        <f t="shared" si="273"/>
        <v>1933.76</v>
      </c>
      <c r="M4405">
        <f t="shared" si="274"/>
        <v>1933.76</v>
      </c>
      <c r="N4405" s="5" t="str">
        <f t="shared" si="275"/>
        <v>October 2023</v>
      </c>
    </row>
    <row r="4406" spans="1:14" x14ac:dyDescent="0.25">
      <c r="A4406" s="1">
        <v>45204</v>
      </c>
      <c r="B4406" t="s">
        <v>574</v>
      </c>
      <c r="C4406">
        <v>36</v>
      </c>
      <c r="D4406" t="s">
        <v>9</v>
      </c>
      <c r="E4406" t="s">
        <v>10</v>
      </c>
      <c r="F4406" t="s">
        <v>11</v>
      </c>
      <c r="G4406" t="s">
        <v>36</v>
      </c>
      <c r="H4406">
        <v>4263.96</v>
      </c>
      <c r="I4406" s="8" t="str" cm="1">
        <f t="array" ref="I4406">_xlfn.IFS(C4406&lt;=15,"Children and Young Adolescents", C4406&gt;64, "Seniors", TRUE, "Working Age")</f>
        <v>Working Age</v>
      </c>
      <c r="J4406" s="6">
        <f>VLOOKUP(F4406,Analysis!$F$1:$G$5,2,FALSE)</f>
        <v>2503.6022787783854</v>
      </c>
      <c r="K4406">
        <f t="shared" si="272"/>
        <v>4690.3500000000004</v>
      </c>
      <c r="L4406">
        <f t="shared" si="273"/>
        <v>4690.3600000000006</v>
      </c>
      <c r="M4406">
        <f t="shared" si="274"/>
        <v>4690.3599999999997</v>
      </c>
      <c r="N4406" s="5" t="str">
        <f t="shared" si="275"/>
        <v>October 2023</v>
      </c>
    </row>
    <row r="4407" spans="1:14" x14ac:dyDescent="0.25">
      <c r="A4407" s="1">
        <v>45204</v>
      </c>
      <c r="B4407" t="s">
        <v>696</v>
      </c>
      <c r="C4407">
        <v>8</v>
      </c>
      <c r="D4407" t="s">
        <v>14</v>
      </c>
      <c r="E4407" t="s">
        <v>34</v>
      </c>
      <c r="F4407" t="s">
        <v>29</v>
      </c>
      <c r="G4407" t="s">
        <v>17</v>
      </c>
      <c r="H4407">
        <v>3632.59</v>
      </c>
      <c r="I4407" s="8" t="str" cm="1">
        <f t="array" ref="I4407">_xlfn.IFS(C4407&lt;=15,"Children and Young Adolescents", C4407&gt;64, "Seniors", TRUE, "Working Age")</f>
        <v>Children and Young Adolescents</v>
      </c>
      <c r="J4407" s="6">
        <f>VLOOKUP(F4407,Analysis!$F$1:$G$5,2,FALSE)</f>
        <v>2496.7676064256989</v>
      </c>
      <c r="K4407">
        <f t="shared" si="272"/>
        <v>3995.84</v>
      </c>
      <c r="L4407">
        <f t="shared" si="273"/>
        <v>3995.8500000000004</v>
      </c>
      <c r="M4407">
        <f t="shared" si="274"/>
        <v>3995.85</v>
      </c>
      <c r="N4407" s="5" t="str">
        <f t="shared" si="275"/>
        <v>October 2023</v>
      </c>
    </row>
    <row r="4408" spans="1:14" x14ac:dyDescent="0.25">
      <c r="A4408" s="1">
        <v>45204</v>
      </c>
      <c r="B4408" t="s">
        <v>2657</v>
      </c>
      <c r="C4408">
        <v>10</v>
      </c>
      <c r="D4408" t="s">
        <v>14</v>
      </c>
      <c r="E4408" t="s">
        <v>22</v>
      </c>
      <c r="F4408" t="s">
        <v>16</v>
      </c>
      <c r="G4408" t="s">
        <v>39</v>
      </c>
      <c r="H4408">
        <v>501.21</v>
      </c>
      <c r="I4408" s="8" t="str" cm="1">
        <f t="array" ref="I4408">_xlfn.IFS(C4408&lt;=15,"Children and Young Adolescents", C4408&gt;64, "Seniors", TRUE, "Working Age")</f>
        <v>Children and Young Adolescents</v>
      </c>
      <c r="J4408" s="6">
        <f>VLOOKUP(F4408,Analysis!$F$1:$G$5,2,FALSE)</f>
        <v>2509.1716796874912</v>
      </c>
      <c r="K4408">
        <f t="shared" si="272"/>
        <v>551.33000000000004</v>
      </c>
      <c r="L4408">
        <f t="shared" si="273"/>
        <v>551.34</v>
      </c>
      <c r="M4408">
        <f t="shared" si="274"/>
        <v>551.33000000000004</v>
      </c>
      <c r="N4408" s="5" t="str">
        <f t="shared" si="275"/>
        <v>October 2023</v>
      </c>
    </row>
    <row r="4409" spans="1:14" x14ac:dyDescent="0.25">
      <c r="A4409" s="1">
        <v>45204</v>
      </c>
      <c r="B4409" t="s">
        <v>2099</v>
      </c>
      <c r="C4409">
        <v>8</v>
      </c>
      <c r="D4409" t="s">
        <v>9</v>
      </c>
      <c r="E4409" t="s">
        <v>34</v>
      </c>
      <c r="F4409" t="s">
        <v>29</v>
      </c>
      <c r="G4409" t="s">
        <v>36</v>
      </c>
      <c r="H4409">
        <v>4545.54</v>
      </c>
      <c r="I4409" s="8" t="str" cm="1">
        <f t="array" ref="I4409">_xlfn.IFS(C4409&lt;=15,"Children and Young Adolescents", C4409&gt;64, "Seniors", TRUE, "Working Age")</f>
        <v>Children and Young Adolescents</v>
      </c>
      <c r="J4409" s="6">
        <f>VLOOKUP(F4409,Analysis!$F$1:$G$5,2,FALSE)</f>
        <v>2496.7676064256989</v>
      </c>
      <c r="K4409">
        <f t="shared" si="272"/>
        <v>5000.09</v>
      </c>
      <c r="L4409">
        <f t="shared" si="273"/>
        <v>5000.1000000000004</v>
      </c>
      <c r="M4409">
        <f t="shared" si="274"/>
        <v>5000.09</v>
      </c>
      <c r="N4409" s="5" t="str">
        <f t="shared" si="275"/>
        <v>October 2023</v>
      </c>
    </row>
    <row r="4410" spans="1:14" x14ac:dyDescent="0.25">
      <c r="A4410" s="1">
        <v>45204</v>
      </c>
      <c r="B4410" t="s">
        <v>4762</v>
      </c>
      <c r="C4410">
        <v>87</v>
      </c>
      <c r="D4410" t="s">
        <v>9</v>
      </c>
      <c r="E4410" t="s">
        <v>34</v>
      </c>
      <c r="F4410" t="s">
        <v>29</v>
      </c>
      <c r="G4410" t="s">
        <v>27</v>
      </c>
      <c r="H4410">
        <v>4719.03</v>
      </c>
      <c r="I4410" s="8" t="str" cm="1">
        <f t="array" ref="I4410">_xlfn.IFS(C4410&lt;=15,"Children and Young Adolescents", C4410&gt;64, "Seniors", TRUE, "Working Age")</f>
        <v>Seniors</v>
      </c>
      <c r="J4410" s="6">
        <f>VLOOKUP(F4410,Analysis!$F$1:$G$5,2,FALSE)</f>
        <v>2496.7676064256989</v>
      </c>
      <c r="K4410">
        <f t="shared" si="272"/>
        <v>5190.93</v>
      </c>
      <c r="L4410">
        <f t="shared" si="273"/>
        <v>5190.9400000000005</v>
      </c>
      <c r="M4410">
        <f t="shared" si="274"/>
        <v>5190.93</v>
      </c>
      <c r="N4410" s="5" t="str">
        <f t="shared" si="275"/>
        <v>October 2023</v>
      </c>
    </row>
    <row r="4411" spans="1:14" x14ac:dyDescent="0.25">
      <c r="A4411" s="1">
        <v>45205</v>
      </c>
      <c r="B4411" t="s">
        <v>4110</v>
      </c>
      <c r="C4411">
        <v>37</v>
      </c>
      <c r="D4411" t="s">
        <v>9</v>
      </c>
      <c r="E4411" t="s">
        <v>15</v>
      </c>
      <c r="F4411" t="s">
        <v>29</v>
      </c>
      <c r="G4411" t="s">
        <v>17</v>
      </c>
      <c r="H4411">
        <v>2909.23</v>
      </c>
      <c r="I4411" s="8" t="str" cm="1">
        <f t="array" ref="I4411">_xlfn.IFS(C4411&lt;=15,"Children and Young Adolescents", C4411&gt;64, "Seniors", TRUE, "Working Age")</f>
        <v>Working Age</v>
      </c>
      <c r="J4411" s="6">
        <f>VLOOKUP(F4411,Analysis!$F$1:$G$5,2,FALSE)</f>
        <v>2496.7676064256989</v>
      </c>
      <c r="K4411">
        <f t="shared" si="272"/>
        <v>3200.15</v>
      </c>
      <c r="L4411">
        <f t="shared" si="273"/>
        <v>3200.1600000000003</v>
      </c>
      <c r="M4411">
        <f t="shared" si="274"/>
        <v>3200.15</v>
      </c>
      <c r="N4411" s="5" t="str">
        <f t="shared" si="275"/>
        <v>October 2023</v>
      </c>
    </row>
    <row r="4412" spans="1:14" x14ac:dyDescent="0.25">
      <c r="A4412" s="1">
        <v>45205</v>
      </c>
      <c r="B4412" t="s">
        <v>1222</v>
      </c>
      <c r="C4412">
        <v>52</v>
      </c>
      <c r="D4412" t="s">
        <v>9</v>
      </c>
      <c r="E4412" t="s">
        <v>32</v>
      </c>
      <c r="F4412" t="s">
        <v>11</v>
      </c>
      <c r="G4412" t="s">
        <v>12</v>
      </c>
      <c r="H4412">
        <v>4354.82</v>
      </c>
      <c r="I4412" s="8" t="str" cm="1">
        <f t="array" ref="I4412">_xlfn.IFS(C4412&lt;=15,"Children and Young Adolescents", C4412&gt;64, "Seniors", TRUE, "Working Age")</f>
        <v>Working Age</v>
      </c>
      <c r="J4412" s="6">
        <f>VLOOKUP(F4412,Analysis!$F$1:$G$5,2,FALSE)</f>
        <v>2503.6022787783854</v>
      </c>
      <c r="K4412">
        <f t="shared" si="272"/>
        <v>4790.3</v>
      </c>
      <c r="L4412">
        <f t="shared" si="273"/>
        <v>4790.3100000000004</v>
      </c>
      <c r="M4412">
        <f t="shared" si="274"/>
        <v>4790.3</v>
      </c>
      <c r="N4412" s="5" t="str">
        <f t="shared" si="275"/>
        <v>October 2023</v>
      </c>
    </row>
    <row r="4413" spans="1:14" x14ac:dyDescent="0.25">
      <c r="A4413" s="1">
        <v>45205</v>
      </c>
      <c r="B4413" t="s">
        <v>4369</v>
      </c>
      <c r="C4413">
        <v>29</v>
      </c>
      <c r="D4413" t="s">
        <v>14</v>
      </c>
      <c r="E4413" t="s">
        <v>10</v>
      </c>
      <c r="F4413" t="s">
        <v>11</v>
      </c>
      <c r="G4413" t="s">
        <v>12</v>
      </c>
      <c r="H4413">
        <v>1718.05</v>
      </c>
      <c r="I4413" s="8" t="str" cm="1">
        <f t="array" ref="I4413">_xlfn.IFS(C4413&lt;=15,"Children and Young Adolescents", C4413&gt;64, "Seniors", TRUE, "Working Age")</f>
        <v>Working Age</v>
      </c>
      <c r="J4413" s="6">
        <f>VLOOKUP(F4413,Analysis!$F$1:$G$5,2,FALSE)</f>
        <v>2503.6022787783854</v>
      </c>
      <c r="K4413">
        <f t="shared" si="272"/>
        <v>1889.85</v>
      </c>
      <c r="L4413">
        <f t="shared" si="273"/>
        <v>1889.86</v>
      </c>
      <c r="M4413">
        <f t="shared" si="274"/>
        <v>1889.86</v>
      </c>
      <c r="N4413" s="5" t="str">
        <f t="shared" si="275"/>
        <v>October 2023</v>
      </c>
    </row>
    <row r="4414" spans="1:14" x14ac:dyDescent="0.25">
      <c r="A4414" s="1">
        <v>45205</v>
      </c>
      <c r="B4414" t="s">
        <v>2327</v>
      </c>
      <c r="C4414">
        <v>97</v>
      </c>
      <c r="D4414" t="s">
        <v>14</v>
      </c>
      <c r="E4414" t="s">
        <v>22</v>
      </c>
      <c r="F4414" t="s">
        <v>16</v>
      </c>
      <c r="G4414" t="s">
        <v>36</v>
      </c>
      <c r="H4414">
        <v>1088.17</v>
      </c>
      <c r="I4414" s="8" t="str" cm="1">
        <f t="array" ref="I4414">_xlfn.IFS(C4414&lt;=15,"Children and Young Adolescents", C4414&gt;64, "Seniors", TRUE, "Working Age")</f>
        <v>Seniors</v>
      </c>
      <c r="J4414" s="6">
        <f>VLOOKUP(F4414,Analysis!$F$1:$G$5,2,FALSE)</f>
        <v>2509.1716796874912</v>
      </c>
      <c r="K4414">
        <f t="shared" si="272"/>
        <v>1196.98</v>
      </c>
      <c r="L4414">
        <f t="shared" si="273"/>
        <v>1196.99</v>
      </c>
      <c r="M4414">
        <f t="shared" si="274"/>
        <v>1196.99</v>
      </c>
      <c r="N4414" s="5" t="str">
        <f t="shared" si="275"/>
        <v>October 2023</v>
      </c>
    </row>
    <row r="4415" spans="1:14" x14ac:dyDescent="0.25">
      <c r="A4415" s="1">
        <v>45205</v>
      </c>
      <c r="B4415" t="s">
        <v>4102</v>
      </c>
      <c r="C4415">
        <v>20</v>
      </c>
      <c r="D4415" t="s">
        <v>21</v>
      </c>
      <c r="E4415" t="s">
        <v>32</v>
      </c>
      <c r="F4415" t="s">
        <v>16</v>
      </c>
      <c r="G4415" t="s">
        <v>12</v>
      </c>
      <c r="H4415">
        <v>3762.16</v>
      </c>
      <c r="I4415" s="8" t="str" cm="1">
        <f t="array" ref="I4415">_xlfn.IFS(C4415&lt;=15,"Children and Young Adolescents", C4415&gt;64, "Seniors", TRUE, "Working Age")</f>
        <v>Working Age</v>
      </c>
      <c r="J4415" s="6">
        <f>VLOOKUP(F4415,Analysis!$F$1:$G$5,2,FALSE)</f>
        <v>2509.1716796874912</v>
      </c>
      <c r="K4415">
        <f t="shared" si="272"/>
        <v>4138.37</v>
      </c>
      <c r="L4415">
        <f t="shared" si="273"/>
        <v>4138.38</v>
      </c>
      <c r="M4415">
        <f t="shared" si="274"/>
        <v>4138.38</v>
      </c>
      <c r="N4415" s="5" t="str">
        <f t="shared" si="275"/>
        <v>October 2023</v>
      </c>
    </row>
    <row r="4416" spans="1:14" x14ac:dyDescent="0.25">
      <c r="A4416" s="1">
        <v>45205</v>
      </c>
      <c r="B4416" t="s">
        <v>1589</v>
      </c>
      <c r="C4416">
        <v>37</v>
      </c>
      <c r="D4416" t="s">
        <v>21</v>
      </c>
      <c r="E4416" t="s">
        <v>32</v>
      </c>
      <c r="F4416" t="s">
        <v>11</v>
      </c>
      <c r="G4416" t="s">
        <v>12</v>
      </c>
      <c r="H4416">
        <v>3521.13</v>
      </c>
      <c r="I4416" s="8" t="str" cm="1">
        <f t="array" ref="I4416">_xlfn.IFS(C4416&lt;=15,"Children and Young Adolescents", C4416&gt;64, "Seniors", TRUE, "Working Age")</f>
        <v>Working Age</v>
      </c>
      <c r="J4416" s="6">
        <f>VLOOKUP(F4416,Analysis!$F$1:$G$5,2,FALSE)</f>
        <v>2503.6022787783854</v>
      </c>
      <c r="K4416">
        <f t="shared" si="272"/>
        <v>3873.24</v>
      </c>
      <c r="L4416">
        <f t="shared" si="273"/>
        <v>3873.25</v>
      </c>
      <c r="M4416">
        <f t="shared" si="274"/>
        <v>3873.24</v>
      </c>
      <c r="N4416" s="5" t="str">
        <f t="shared" si="275"/>
        <v>October 2023</v>
      </c>
    </row>
    <row r="4417" spans="1:14" x14ac:dyDescent="0.25">
      <c r="A4417" s="1">
        <v>45205</v>
      </c>
      <c r="B4417" t="s">
        <v>421</v>
      </c>
      <c r="C4417">
        <v>26</v>
      </c>
      <c r="D4417" t="s">
        <v>21</v>
      </c>
      <c r="E4417" t="s">
        <v>25</v>
      </c>
      <c r="F4417" t="s">
        <v>23</v>
      </c>
      <c r="G4417" t="s">
        <v>36</v>
      </c>
      <c r="H4417">
        <v>3503.58</v>
      </c>
      <c r="I4417" s="8" t="str" cm="1">
        <f t="array" ref="I4417">_xlfn.IFS(C4417&lt;=15,"Children and Young Adolescents", C4417&gt;64, "Seniors", TRUE, "Working Age")</f>
        <v>Working Age</v>
      </c>
      <c r="J4417" s="6">
        <f>VLOOKUP(F4417,Analysis!$F$1:$G$5,2,FALSE)</f>
        <v>2440.2966694490838</v>
      </c>
      <c r="K4417">
        <f t="shared" si="272"/>
        <v>3853.93</v>
      </c>
      <c r="L4417">
        <f t="shared" si="273"/>
        <v>3853.94</v>
      </c>
      <c r="M4417">
        <f t="shared" si="274"/>
        <v>3853.94</v>
      </c>
      <c r="N4417" s="5" t="str">
        <f t="shared" si="275"/>
        <v>October 2023</v>
      </c>
    </row>
    <row r="4418" spans="1:14" x14ac:dyDescent="0.25">
      <c r="A4418" s="1">
        <v>45205</v>
      </c>
      <c r="B4418" t="s">
        <v>1194</v>
      </c>
      <c r="C4418">
        <v>36</v>
      </c>
      <c r="D4418" t="s">
        <v>9</v>
      </c>
      <c r="E4418" t="s">
        <v>25</v>
      </c>
      <c r="F4418" t="s">
        <v>29</v>
      </c>
      <c r="G4418" t="s">
        <v>39</v>
      </c>
      <c r="H4418">
        <v>1610.77</v>
      </c>
      <c r="I4418" s="8" t="str" cm="1">
        <f t="array" ref="I4418">_xlfn.IFS(C4418&lt;=15,"Children and Young Adolescents", C4418&gt;64, "Seniors", TRUE, "Working Age")</f>
        <v>Working Age</v>
      </c>
      <c r="J4418" s="6">
        <f>VLOOKUP(F4418,Analysis!$F$1:$G$5,2,FALSE)</f>
        <v>2496.7676064256989</v>
      </c>
      <c r="K4418">
        <f t="shared" si="272"/>
        <v>1771.84</v>
      </c>
      <c r="L4418">
        <f t="shared" si="273"/>
        <v>1771.85</v>
      </c>
      <c r="M4418">
        <f t="shared" si="274"/>
        <v>1771.85</v>
      </c>
      <c r="N4418" s="5" t="str">
        <f t="shared" si="275"/>
        <v>October 2023</v>
      </c>
    </row>
    <row r="4419" spans="1:14" x14ac:dyDescent="0.25">
      <c r="A4419" s="1">
        <v>45206</v>
      </c>
      <c r="B4419" t="s">
        <v>3174</v>
      </c>
      <c r="C4419">
        <v>37</v>
      </c>
      <c r="D4419" t="s">
        <v>14</v>
      </c>
      <c r="E4419" t="s">
        <v>10</v>
      </c>
      <c r="F4419" t="s">
        <v>23</v>
      </c>
      <c r="G4419" t="s">
        <v>17</v>
      </c>
      <c r="H4419">
        <v>2448.8000000000002</v>
      </c>
      <c r="I4419" s="8" t="str" cm="1">
        <f t="array" ref="I4419">_xlfn.IFS(C4419&lt;=15,"Children and Young Adolescents", C4419&gt;64, "Seniors", TRUE, "Working Age")</f>
        <v>Working Age</v>
      </c>
      <c r="J4419" s="6">
        <f>VLOOKUP(F4419,Analysis!$F$1:$G$5,2,FALSE)</f>
        <v>2440.2966694490838</v>
      </c>
      <c r="K4419">
        <f t="shared" ref="K4419:K4482" si="276">ROUNDDOWN(H4419*1.1,2)</f>
        <v>2693.68</v>
      </c>
      <c r="L4419">
        <f t="shared" ref="L4419:L4482" si="277">ROUNDUP(H4419*1.1,2)</f>
        <v>2693.68</v>
      </c>
      <c r="M4419">
        <f t="shared" ref="M4419:M4482" si="278">ROUND(H4419*1.1,2)</f>
        <v>2693.68</v>
      </c>
      <c r="N4419" s="5" t="str">
        <f t="shared" ref="N4419:N4482" si="279">TEXT(A4419,"mmmm yyyy")</f>
        <v>October 2023</v>
      </c>
    </row>
    <row r="4420" spans="1:14" x14ac:dyDescent="0.25">
      <c r="A4420" s="1">
        <v>45206</v>
      </c>
      <c r="B4420" t="s">
        <v>2873</v>
      </c>
      <c r="C4420">
        <v>2</v>
      </c>
      <c r="D4420" t="s">
        <v>21</v>
      </c>
      <c r="E4420" t="s">
        <v>15</v>
      </c>
      <c r="F4420" t="s">
        <v>11</v>
      </c>
      <c r="G4420" t="s">
        <v>39</v>
      </c>
      <c r="H4420">
        <v>2633.92</v>
      </c>
      <c r="I4420" s="8" t="str" cm="1">
        <f t="array" ref="I4420">_xlfn.IFS(C4420&lt;=15,"Children and Young Adolescents", C4420&gt;64, "Seniors", TRUE, "Working Age")</f>
        <v>Children and Young Adolescents</v>
      </c>
      <c r="J4420" s="6">
        <f>VLOOKUP(F4420,Analysis!$F$1:$G$5,2,FALSE)</f>
        <v>2503.6022787783854</v>
      </c>
      <c r="K4420">
        <f t="shared" si="276"/>
        <v>2897.31</v>
      </c>
      <c r="L4420">
        <f t="shared" si="277"/>
        <v>2897.32</v>
      </c>
      <c r="M4420">
        <f t="shared" si="278"/>
        <v>2897.31</v>
      </c>
      <c r="N4420" s="5" t="str">
        <f t="shared" si="279"/>
        <v>October 2023</v>
      </c>
    </row>
    <row r="4421" spans="1:14" x14ac:dyDescent="0.25">
      <c r="A4421" s="1">
        <v>45206</v>
      </c>
      <c r="B4421" t="s">
        <v>901</v>
      </c>
      <c r="C4421">
        <v>82</v>
      </c>
      <c r="D4421" t="s">
        <v>14</v>
      </c>
      <c r="E4421" t="s">
        <v>32</v>
      </c>
      <c r="F4421" t="s">
        <v>16</v>
      </c>
      <c r="G4421" t="s">
        <v>12</v>
      </c>
      <c r="H4421">
        <v>1012.96</v>
      </c>
      <c r="I4421" s="8" t="str" cm="1">
        <f t="array" ref="I4421">_xlfn.IFS(C4421&lt;=15,"Children and Young Adolescents", C4421&gt;64, "Seniors", TRUE, "Working Age")</f>
        <v>Seniors</v>
      </c>
      <c r="J4421" s="6">
        <f>VLOOKUP(F4421,Analysis!$F$1:$G$5,2,FALSE)</f>
        <v>2509.1716796874912</v>
      </c>
      <c r="K4421">
        <f t="shared" si="276"/>
        <v>1114.25</v>
      </c>
      <c r="L4421">
        <f t="shared" si="277"/>
        <v>1114.26</v>
      </c>
      <c r="M4421">
        <f t="shared" si="278"/>
        <v>1114.26</v>
      </c>
      <c r="N4421" s="5" t="str">
        <f t="shared" si="279"/>
        <v>October 2023</v>
      </c>
    </row>
    <row r="4422" spans="1:14" x14ac:dyDescent="0.25">
      <c r="A4422" s="1">
        <v>45206</v>
      </c>
      <c r="B4422" t="s">
        <v>1751</v>
      </c>
      <c r="C4422">
        <v>45</v>
      </c>
      <c r="D4422" t="s">
        <v>21</v>
      </c>
      <c r="E4422" t="s">
        <v>34</v>
      </c>
      <c r="F4422" t="s">
        <v>11</v>
      </c>
      <c r="G4422" t="s">
        <v>12</v>
      </c>
      <c r="H4422">
        <v>1000.35</v>
      </c>
      <c r="I4422" s="8" t="str" cm="1">
        <f t="array" ref="I4422">_xlfn.IFS(C4422&lt;=15,"Children and Young Adolescents", C4422&gt;64, "Seniors", TRUE, "Working Age")</f>
        <v>Working Age</v>
      </c>
      <c r="J4422" s="6">
        <f>VLOOKUP(F4422,Analysis!$F$1:$G$5,2,FALSE)</f>
        <v>2503.6022787783854</v>
      </c>
      <c r="K4422">
        <f t="shared" si="276"/>
        <v>1100.3800000000001</v>
      </c>
      <c r="L4422">
        <f t="shared" si="277"/>
        <v>1100.3900000000001</v>
      </c>
      <c r="M4422">
        <f t="shared" si="278"/>
        <v>1100.3900000000001</v>
      </c>
      <c r="N4422" s="5" t="str">
        <f t="shared" si="279"/>
        <v>October 2023</v>
      </c>
    </row>
    <row r="4423" spans="1:14" x14ac:dyDescent="0.25">
      <c r="A4423" s="1">
        <v>45206</v>
      </c>
      <c r="B4423" t="s">
        <v>891</v>
      </c>
      <c r="C4423">
        <v>82</v>
      </c>
      <c r="D4423" t="s">
        <v>9</v>
      </c>
      <c r="E4423" t="s">
        <v>22</v>
      </c>
      <c r="F4423" t="s">
        <v>16</v>
      </c>
      <c r="G4423" t="s">
        <v>12</v>
      </c>
      <c r="H4423">
        <v>1754.32</v>
      </c>
      <c r="I4423" s="8" t="str" cm="1">
        <f t="array" ref="I4423">_xlfn.IFS(C4423&lt;=15,"Children and Young Adolescents", C4423&gt;64, "Seniors", TRUE, "Working Age")</f>
        <v>Seniors</v>
      </c>
      <c r="J4423" s="6">
        <f>VLOOKUP(F4423,Analysis!$F$1:$G$5,2,FALSE)</f>
        <v>2509.1716796874912</v>
      </c>
      <c r="K4423">
        <f t="shared" si="276"/>
        <v>1929.75</v>
      </c>
      <c r="L4423">
        <f t="shared" si="277"/>
        <v>1929.76</v>
      </c>
      <c r="M4423">
        <f t="shared" si="278"/>
        <v>1929.75</v>
      </c>
      <c r="N4423" s="5" t="str">
        <f t="shared" si="279"/>
        <v>October 2023</v>
      </c>
    </row>
    <row r="4424" spans="1:14" x14ac:dyDescent="0.25">
      <c r="A4424" s="1">
        <v>45206</v>
      </c>
      <c r="B4424" t="s">
        <v>4147</v>
      </c>
      <c r="C4424">
        <v>19</v>
      </c>
      <c r="D4424" t="s">
        <v>9</v>
      </c>
      <c r="E4424" t="s">
        <v>19</v>
      </c>
      <c r="F4424" t="s">
        <v>16</v>
      </c>
      <c r="G4424" t="s">
        <v>39</v>
      </c>
      <c r="H4424">
        <v>1494.13</v>
      </c>
      <c r="I4424" s="8" t="str" cm="1">
        <f t="array" ref="I4424">_xlfn.IFS(C4424&lt;=15,"Children and Young Adolescents", C4424&gt;64, "Seniors", TRUE, "Working Age")</f>
        <v>Working Age</v>
      </c>
      <c r="J4424" s="6">
        <f>VLOOKUP(F4424,Analysis!$F$1:$G$5,2,FALSE)</f>
        <v>2509.1716796874912</v>
      </c>
      <c r="K4424">
        <f t="shared" si="276"/>
        <v>1643.54</v>
      </c>
      <c r="L4424">
        <f t="shared" si="277"/>
        <v>1643.55</v>
      </c>
      <c r="M4424">
        <f t="shared" si="278"/>
        <v>1643.54</v>
      </c>
      <c r="N4424" s="5" t="str">
        <f t="shared" si="279"/>
        <v>October 2023</v>
      </c>
    </row>
    <row r="4425" spans="1:14" x14ac:dyDescent="0.25">
      <c r="A4425" s="1">
        <v>45206</v>
      </c>
      <c r="B4425" t="s">
        <v>3708</v>
      </c>
      <c r="C4425">
        <v>70</v>
      </c>
      <c r="D4425" t="s">
        <v>9</v>
      </c>
      <c r="E4425" t="s">
        <v>34</v>
      </c>
      <c r="F4425" t="s">
        <v>29</v>
      </c>
      <c r="G4425" t="s">
        <v>17</v>
      </c>
      <c r="H4425">
        <v>3894.1</v>
      </c>
      <c r="I4425" s="8" t="str" cm="1">
        <f t="array" ref="I4425">_xlfn.IFS(C4425&lt;=15,"Children and Young Adolescents", C4425&gt;64, "Seniors", TRUE, "Working Age")</f>
        <v>Seniors</v>
      </c>
      <c r="J4425" s="6">
        <f>VLOOKUP(F4425,Analysis!$F$1:$G$5,2,FALSE)</f>
        <v>2496.7676064256989</v>
      </c>
      <c r="K4425">
        <f t="shared" si="276"/>
        <v>4283.51</v>
      </c>
      <c r="L4425">
        <f t="shared" si="277"/>
        <v>4283.51</v>
      </c>
      <c r="M4425">
        <f t="shared" si="278"/>
        <v>4283.51</v>
      </c>
      <c r="N4425" s="5" t="str">
        <f t="shared" si="279"/>
        <v>October 2023</v>
      </c>
    </row>
    <row r="4426" spans="1:14" x14ac:dyDescent="0.25">
      <c r="A4426" s="1">
        <v>45206</v>
      </c>
      <c r="B4426" t="s">
        <v>1069</v>
      </c>
      <c r="C4426">
        <v>11</v>
      </c>
      <c r="D4426" t="s">
        <v>9</v>
      </c>
      <c r="E4426" t="s">
        <v>10</v>
      </c>
      <c r="F4426" t="s">
        <v>23</v>
      </c>
      <c r="G4426" t="s">
        <v>27</v>
      </c>
      <c r="H4426">
        <v>715.42</v>
      </c>
      <c r="I4426" s="8" t="str" cm="1">
        <f t="array" ref="I4426">_xlfn.IFS(C4426&lt;=15,"Children and Young Adolescents", C4426&gt;64, "Seniors", TRUE, "Working Age")</f>
        <v>Children and Young Adolescents</v>
      </c>
      <c r="J4426" s="6">
        <f>VLOOKUP(F4426,Analysis!$F$1:$G$5,2,FALSE)</f>
        <v>2440.2966694490838</v>
      </c>
      <c r="K4426">
        <f t="shared" si="276"/>
        <v>786.96</v>
      </c>
      <c r="L4426">
        <f t="shared" si="277"/>
        <v>786.97</v>
      </c>
      <c r="M4426">
        <f t="shared" si="278"/>
        <v>786.96</v>
      </c>
      <c r="N4426" s="5" t="str">
        <f t="shared" si="279"/>
        <v>October 2023</v>
      </c>
    </row>
    <row r="4427" spans="1:14" x14ac:dyDescent="0.25">
      <c r="A4427" s="1">
        <v>45206</v>
      </c>
      <c r="B4427" t="s">
        <v>2937</v>
      </c>
      <c r="C4427">
        <v>80</v>
      </c>
      <c r="D4427" t="s">
        <v>21</v>
      </c>
      <c r="E4427" t="s">
        <v>19</v>
      </c>
      <c r="F4427" t="s">
        <v>29</v>
      </c>
      <c r="G4427" t="s">
        <v>39</v>
      </c>
      <c r="H4427">
        <v>3441.45</v>
      </c>
      <c r="I4427" s="8" t="str" cm="1">
        <f t="array" ref="I4427">_xlfn.IFS(C4427&lt;=15,"Children and Young Adolescents", C4427&gt;64, "Seniors", TRUE, "Working Age")</f>
        <v>Seniors</v>
      </c>
      <c r="J4427" s="6">
        <f>VLOOKUP(F4427,Analysis!$F$1:$G$5,2,FALSE)</f>
        <v>2496.7676064256989</v>
      </c>
      <c r="K4427">
        <f t="shared" si="276"/>
        <v>3785.59</v>
      </c>
      <c r="L4427">
        <f t="shared" si="277"/>
        <v>3785.6000000000004</v>
      </c>
      <c r="M4427">
        <f t="shared" si="278"/>
        <v>3785.6</v>
      </c>
      <c r="N4427" s="5" t="str">
        <f t="shared" si="279"/>
        <v>October 2023</v>
      </c>
    </row>
    <row r="4428" spans="1:14" x14ac:dyDescent="0.25">
      <c r="A4428" s="1">
        <v>45207</v>
      </c>
      <c r="B4428" t="s">
        <v>3969</v>
      </c>
      <c r="C4428">
        <v>6</v>
      </c>
      <c r="D4428" t="s">
        <v>14</v>
      </c>
      <c r="E4428" t="s">
        <v>25</v>
      </c>
      <c r="F4428" t="s">
        <v>23</v>
      </c>
      <c r="G4428" t="s">
        <v>39</v>
      </c>
      <c r="H4428">
        <v>4076.51</v>
      </c>
      <c r="I4428" s="8" t="str" cm="1">
        <f t="array" ref="I4428">_xlfn.IFS(C4428&lt;=15,"Children and Young Adolescents", C4428&gt;64, "Seniors", TRUE, "Working Age")</f>
        <v>Children and Young Adolescents</v>
      </c>
      <c r="J4428" s="6">
        <f>VLOOKUP(F4428,Analysis!$F$1:$G$5,2,FALSE)</f>
        <v>2440.2966694490838</v>
      </c>
      <c r="K4428">
        <f t="shared" si="276"/>
        <v>4484.16</v>
      </c>
      <c r="L4428">
        <f t="shared" si="277"/>
        <v>4484.17</v>
      </c>
      <c r="M4428">
        <f t="shared" si="278"/>
        <v>4484.16</v>
      </c>
      <c r="N4428" s="5" t="str">
        <f t="shared" si="279"/>
        <v>October 2023</v>
      </c>
    </row>
    <row r="4429" spans="1:14" x14ac:dyDescent="0.25">
      <c r="A4429" s="1">
        <v>45207</v>
      </c>
      <c r="B4429" t="s">
        <v>4534</v>
      </c>
      <c r="C4429">
        <v>74</v>
      </c>
      <c r="D4429" t="s">
        <v>9</v>
      </c>
      <c r="E4429" t="s">
        <v>15</v>
      </c>
      <c r="F4429" t="s">
        <v>11</v>
      </c>
      <c r="G4429" t="s">
        <v>36</v>
      </c>
      <c r="H4429">
        <v>4561.4399999999996</v>
      </c>
      <c r="I4429" s="8" t="str" cm="1">
        <f t="array" ref="I4429">_xlfn.IFS(C4429&lt;=15,"Children and Young Adolescents", C4429&gt;64, "Seniors", TRUE, "Working Age")</f>
        <v>Seniors</v>
      </c>
      <c r="J4429" s="6">
        <f>VLOOKUP(F4429,Analysis!$F$1:$G$5,2,FALSE)</f>
        <v>2503.6022787783854</v>
      </c>
      <c r="K4429">
        <f t="shared" si="276"/>
        <v>5017.58</v>
      </c>
      <c r="L4429">
        <f t="shared" si="277"/>
        <v>5017.59</v>
      </c>
      <c r="M4429">
        <f t="shared" si="278"/>
        <v>5017.58</v>
      </c>
      <c r="N4429" s="5" t="str">
        <f t="shared" si="279"/>
        <v>October 2023</v>
      </c>
    </row>
    <row r="4430" spans="1:14" x14ac:dyDescent="0.25">
      <c r="A4430" s="1">
        <v>45207</v>
      </c>
      <c r="B4430" t="s">
        <v>4730</v>
      </c>
      <c r="C4430">
        <v>71</v>
      </c>
      <c r="D4430" t="s">
        <v>14</v>
      </c>
      <c r="E4430" t="s">
        <v>19</v>
      </c>
      <c r="F4430" t="s">
        <v>11</v>
      </c>
      <c r="G4430" t="s">
        <v>36</v>
      </c>
      <c r="H4430">
        <v>2766.65</v>
      </c>
      <c r="I4430" s="8" t="str" cm="1">
        <f t="array" ref="I4430">_xlfn.IFS(C4430&lt;=15,"Children and Young Adolescents", C4430&gt;64, "Seniors", TRUE, "Working Age")</f>
        <v>Seniors</v>
      </c>
      <c r="J4430" s="6">
        <f>VLOOKUP(F4430,Analysis!$F$1:$G$5,2,FALSE)</f>
        <v>2503.6022787783854</v>
      </c>
      <c r="K4430">
        <f t="shared" si="276"/>
        <v>3043.31</v>
      </c>
      <c r="L4430">
        <f t="shared" si="277"/>
        <v>3043.32</v>
      </c>
      <c r="M4430">
        <f t="shared" si="278"/>
        <v>3043.32</v>
      </c>
      <c r="N4430" s="5" t="str">
        <f t="shared" si="279"/>
        <v>October 2023</v>
      </c>
    </row>
    <row r="4431" spans="1:14" x14ac:dyDescent="0.25">
      <c r="A4431" s="1">
        <v>45207</v>
      </c>
      <c r="B4431" t="s">
        <v>1922</v>
      </c>
      <c r="C4431">
        <v>89</v>
      </c>
      <c r="D4431" t="s">
        <v>21</v>
      </c>
      <c r="E4431" t="s">
        <v>19</v>
      </c>
      <c r="F4431" t="s">
        <v>23</v>
      </c>
      <c r="G4431" t="s">
        <v>12</v>
      </c>
      <c r="H4431">
        <v>3444.43</v>
      </c>
      <c r="I4431" s="8" t="str" cm="1">
        <f t="array" ref="I4431">_xlfn.IFS(C4431&lt;=15,"Children and Young Adolescents", C4431&gt;64, "Seniors", TRUE, "Working Age")</f>
        <v>Seniors</v>
      </c>
      <c r="J4431" s="6">
        <f>VLOOKUP(F4431,Analysis!$F$1:$G$5,2,FALSE)</f>
        <v>2440.2966694490838</v>
      </c>
      <c r="K4431">
        <f t="shared" si="276"/>
        <v>3788.87</v>
      </c>
      <c r="L4431">
        <f t="shared" si="277"/>
        <v>3788.88</v>
      </c>
      <c r="M4431">
        <f t="shared" si="278"/>
        <v>3788.87</v>
      </c>
      <c r="N4431" s="5" t="str">
        <f t="shared" si="279"/>
        <v>October 2023</v>
      </c>
    </row>
    <row r="4432" spans="1:14" x14ac:dyDescent="0.25">
      <c r="A4432" s="1">
        <v>45207</v>
      </c>
      <c r="B4432" t="s">
        <v>2345</v>
      </c>
      <c r="C4432">
        <v>16</v>
      </c>
      <c r="D4432" t="s">
        <v>9</v>
      </c>
      <c r="E4432" t="s">
        <v>10</v>
      </c>
      <c r="F4432" t="s">
        <v>29</v>
      </c>
      <c r="G4432" t="s">
        <v>17</v>
      </c>
      <c r="H4432">
        <v>1305.06</v>
      </c>
      <c r="I4432" s="8" t="str" cm="1">
        <f t="array" ref="I4432">_xlfn.IFS(C4432&lt;=15,"Children and Young Adolescents", C4432&gt;64, "Seniors", TRUE, "Working Age")</f>
        <v>Working Age</v>
      </c>
      <c r="J4432" s="6">
        <f>VLOOKUP(F4432,Analysis!$F$1:$G$5,2,FALSE)</f>
        <v>2496.7676064256989</v>
      </c>
      <c r="K4432">
        <f t="shared" si="276"/>
        <v>1435.56</v>
      </c>
      <c r="L4432">
        <f t="shared" si="277"/>
        <v>1435.57</v>
      </c>
      <c r="M4432">
        <f t="shared" si="278"/>
        <v>1435.57</v>
      </c>
      <c r="N4432" s="5" t="str">
        <f t="shared" si="279"/>
        <v>October 2023</v>
      </c>
    </row>
    <row r="4433" spans="1:14" x14ac:dyDescent="0.25">
      <c r="A4433" s="1">
        <v>45207</v>
      </c>
      <c r="B4433" t="s">
        <v>3098</v>
      </c>
      <c r="C4433">
        <v>32</v>
      </c>
      <c r="D4433" t="s">
        <v>9</v>
      </c>
      <c r="E4433" t="s">
        <v>25</v>
      </c>
      <c r="F4433" t="s">
        <v>16</v>
      </c>
      <c r="G4433" t="s">
        <v>17</v>
      </c>
      <c r="H4433">
        <v>3902.91</v>
      </c>
      <c r="I4433" s="8" t="str" cm="1">
        <f t="array" ref="I4433">_xlfn.IFS(C4433&lt;=15,"Children and Young Adolescents", C4433&gt;64, "Seniors", TRUE, "Working Age")</f>
        <v>Working Age</v>
      </c>
      <c r="J4433" s="6">
        <f>VLOOKUP(F4433,Analysis!$F$1:$G$5,2,FALSE)</f>
        <v>2509.1716796874912</v>
      </c>
      <c r="K4433">
        <f t="shared" si="276"/>
        <v>4293.2</v>
      </c>
      <c r="L4433">
        <f t="shared" si="277"/>
        <v>4293.21</v>
      </c>
      <c r="M4433">
        <f t="shared" si="278"/>
        <v>4293.2</v>
      </c>
      <c r="N4433" s="5" t="str">
        <f t="shared" si="279"/>
        <v>October 2023</v>
      </c>
    </row>
    <row r="4434" spans="1:14" x14ac:dyDescent="0.25">
      <c r="A4434" s="1">
        <v>45207</v>
      </c>
      <c r="B4434" t="s">
        <v>3459</v>
      </c>
      <c r="C4434">
        <v>96</v>
      </c>
      <c r="D4434" t="s">
        <v>9</v>
      </c>
      <c r="E4434" t="s">
        <v>25</v>
      </c>
      <c r="F4434" t="s">
        <v>11</v>
      </c>
      <c r="G4434" t="s">
        <v>36</v>
      </c>
      <c r="H4434">
        <v>935.45</v>
      </c>
      <c r="I4434" s="8" t="str" cm="1">
        <f t="array" ref="I4434">_xlfn.IFS(C4434&lt;=15,"Children and Young Adolescents", C4434&gt;64, "Seniors", TRUE, "Working Age")</f>
        <v>Seniors</v>
      </c>
      <c r="J4434" s="6">
        <f>VLOOKUP(F4434,Analysis!$F$1:$G$5,2,FALSE)</f>
        <v>2503.6022787783854</v>
      </c>
      <c r="K4434">
        <f t="shared" si="276"/>
        <v>1028.99</v>
      </c>
      <c r="L4434">
        <f t="shared" si="277"/>
        <v>1029</v>
      </c>
      <c r="M4434">
        <f t="shared" si="278"/>
        <v>1029</v>
      </c>
      <c r="N4434" s="5" t="str">
        <f t="shared" si="279"/>
        <v>October 2023</v>
      </c>
    </row>
    <row r="4435" spans="1:14" x14ac:dyDescent="0.25">
      <c r="A4435" s="1">
        <v>45207</v>
      </c>
      <c r="B4435" t="s">
        <v>127</v>
      </c>
      <c r="C4435">
        <v>55</v>
      </c>
      <c r="D4435" t="s">
        <v>9</v>
      </c>
      <c r="E4435" t="s">
        <v>22</v>
      </c>
      <c r="F4435" t="s">
        <v>29</v>
      </c>
      <c r="G4435" t="s">
        <v>12</v>
      </c>
      <c r="H4435">
        <v>1220.83</v>
      </c>
      <c r="I4435" s="8" t="str" cm="1">
        <f t="array" ref="I4435">_xlfn.IFS(C4435&lt;=15,"Children and Young Adolescents", C4435&gt;64, "Seniors", TRUE, "Working Age")</f>
        <v>Working Age</v>
      </c>
      <c r="J4435" s="6">
        <f>VLOOKUP(F4435,Analysis!$F$1:$G$5,2,FALSE)</f>
        <v>2496.7676064256989</v>
      </c>
      <c r="K4435">
        <f t="shared" si="276"/>
        <v>1342.91</v>
      </c>
      <c r="L4435">
        <f t="shared" si="277"/>
        <v>1342.92</v>
      </c>
      <c r="M4435">
        <f t="shared" si="278"/>
        <v>1342.91</v>
      </c>
      <c r="N4435" s="5" t="str">
        <f t="shared" si="279"/>
        <v>October 2023</v>
      </c>
    </row>
    <row r="4436" spans="1:14" x14ac:dyDescent="0.25">
      <c r="A4436" s="1">
        <v>45207</v>
      </c>
      <c r="B4436" t="s">
        <v>2845</v>
      </c>
      <c r="C4436">
        <v>76</v>
      </c>
      <c r="D4436" t="s">
        <v>14</v>
      </c>
      <c r="E4436" t="s">
        <v>22</v>
      </c>
      <c r="F4436" t="s">
        <v>29</v>
      </c>
      <c r="G4436" t="s">
        <v>17</v>
      </c>
      <c r="H4436">
        <v>2962.1</v>
      </c>
      <c r="I4436" s="8" t="str" cm="1">
        <f t="array" ref="I4436">_xlfn.IFS(C4436&lt;=15,"Children and Young Adolescents", C4436&gt;64, "Seniors", TRUE, "Working Age")</f>
        <v>Seniors</v>
      </c>
      <c r="J4436" s="6">
        <f>VLOOKUP(F4436,Analysis!$F$1:$G$5,2,FALSE)</f>
        <v>2496.7676064256989</v>
      </c>
      <c r="K4436">
        <f t="shared" si="276"/>
        <v>3258.31</v>
      </c>
      <c r="L4436">
        <f t="shared" si="277"/>
        <v>3258.31</v>
      </c>
      <c r="M4436">
        <f t="shared" si="278"/>
        <v>3258.31</v>
      </c>
      <c r="N4436" s="5" t="str">
        <f t="shared" si="279"/>
        <v>October 2023</v>
      </c>
    </row>
    <row r="4437" spans="1:14" x14ac:dyDescent="0.25">
      <c r="A4437" s="1">
        <v>45208</v>
      </c>
      <c r="B4437" t="s">
        <v>3871</v>
      </c>
      <c r="C4437">
        <v>79</v>
      </c>
      <c r="D4437" t="s">
        <v>9</v>
      </c>
      <c r="E4437" t="s">
        <v>34</v>
      </c>
      <c r="F4437" t="s">
        <v>23</v>
      </c>
      <c r="G4437" t="s">
        <v>17</v>
      </c>
      <c r="H4437">
        <v>2760.26</v>
      </c>
      <c r="I4437" s="8" t="str" cm="1">
        <f t="array" ref="I4437">_xlfn.IFS(C4437&lt;=15,"Children and Young Adolescents", C4437&gt;64, "Seniors", TRUE, "Working Age")</f>
        <v>Seniors</v>
      </c>
      <c r="J4437" s="6">
        <f>VLOOKUP(F4437,Analysis!$F$1:$G$5,2,FALSE)</f>
        <v>2440.2966694490838</v>
      </c>
      <c r="K4437">
        <f t="shared" si="276"/>
        <v>3036.28</v>
      </c>
      <c r="L4437">
        <f t="shared" si="277"/>
        <v>3036.2900000000004</v>
      </c>
      <c r="M4437">
        <f t="shared" si="278"/>
        <v>3036.29</v>
      </c>
      <c r="N4437" s="5" t="str">
        <f t="shared" si="279"/>
        <v>October 2023</v>
      </c>
    </row>
    <row r="4438" spans="1:14" x14ac:dyDescent="0.25">
      <c r="A4438" s="1">
        <v>45208</v>
      </c>
      <c r="B4438" t="s">
        <v>1580</v>
      </c>
      <c r="C4438">
        <v>83</v>
      </c>
      <c r="D4438" t="s">
        <v>14</v>
      </c>
      <c r="E4438" t="s">
        <v>22</v>
      </c>
      <c r="F4438" t="s">
        <v>16</v>
      </c>
      <c r="G4438" t="s">
        <v>36</v>
      </c>
      <c r="H4438">
        <v>2985</v>
      </c>
      <c r="I4438" s="8" t="str" cm="1">
        <f t="array" ref="I4438">_xlfn.IFS(C4438&lt;=15,"Children and Young Adolescents", C4438&gt;64, "Seniors", TRUE, "Working Age")</f>
        <v>Seniors</v>
      </c>
      <c r="J4438" s="6">
        <f>VLOOKUP(F4438,Analysis!$F$1:$G$5,2,FALSE)</f>
        <v>2509.1716796874912</v>
      </c>
      <c r="K4438">
        <f t="shared" si="276"/>
        <v>3283.5</v>
      </c>
      <c r="L4438">
        <f t="shared" si="277"/>
        <v>3283.5</v>
      </c>
      <c r="M4438">
        <f t="shared" si="278"/>
        <v>3283.5</v>
      </c>
      <c r="N4438" s="5" t="str">
        <f t="shared" si="279"/>
        <v>October 2023</v>
      </c>
    </row>
    <row r="4439" spans="1:14" x14ac:dyDescent="0.25">
      <c r="A4439" s="1">
        <v>45209</v>
      </c>
      <c r="B4439" t="s">
        <v>899</v>
      </c>
      <c r="C4439">
        <v>75</v>
      </c>
      <c r="D4439" t="s">
        <v>14</v>
      </c>
      <c r="E4439" t="s">
        <v>22</v>
      </c>
      <c r="F4439" t="s">
        <v>16</v>
      </c>
      <c r="G4439" t="s">
        <v>36</v>
      </c>
      <c r="H4439">
        <v>4328.9399999999996</v>
      </c>
      <c r="I4439" s="8" t="str" cm="1">
        <f t="array" ref="I4439">_xlfn.IFS(C4439&lt;=15,"Children and Young Adolescents", C4439&gt;64, "Seniors", TRUE, "Working Age")</f>
        <v>Seniors</v>
      </c>
      <c r="J4439" s="6">
        <f>VLOOKUP(F4439,Analysis!$F$1:$G$5,2,FALSE)</f>
        <v>2509.1716796874912</v>
      </c>
      <c r="K4439">
        <f t="shared" si="276"/>
        <v>4761.83</v>
      </c>
      <c r="L4439">
        <f t="shared" si="277"/>
        <v>4761.84</v>
      </c>
      <c r="M4439">
        <f t="shared" si="278"/>
        <v>4761.83</v>
      </c>
      <c r="N4439" s="5" t="str">
        <f t="shared" si="279"/>
        <v>October 2023</v>
      </c>
    </row>
    <row r="4440" spans="1:14" x14ac:dyDescent="0.25">
      <c r="A4440" s="1">
        <v>45209</v>
      </c>
      <c r="B4440" t="s">
        <v>4175</v>
      </c>
      <c r="C4440">
        <v>21</v>
      </c>
      <c r="D4440" t="s">
        <v>14</v>
      </c>
      <c r="E4440" t="s">
        <v>25</v>
      </c>
      <c r="F4440" t="s">
        <v>23</v>
      </c>
      <c r="G4440" t="s">
        <v>39</v>
      </c>
      <c r="H4440">
        <v>1387.59</v>
      </c>
      <c r="I4440" s="8" t="str" cm="1">
        <f t="array" ref="I4440">_xlfn.IFS(C4440&lt;=15,"Children and Young Adolescents", C4440&gt;64, "Seniors", TRUE, "Working Age")</f>
        <v>Working Age</v>
      </c>
      <c r="J4440" s="6">
        <f>VLOOKUP(F4440,Analysis!$F$1:$G$5,2,FALSE)</f>
        <v>2440.2966694490838</v>
      </c>
      <c r="K4440">
        <f t="shared" si="276"/>
        <v>1526.34</v>
      </c>
      <c r="L4440">
        <f t="shared" si="277"/>
        <v>1526.35</v>
      </c>
      <c r="M4440">
        <f t="shared" si="278"/>
        <v>1526.35</v>
      </c>
      <c r="N4440" s="5" t="str">
        <f t="shared" si="279"/>
        <v>October 2023</v>
      </c>
    </row>
    <row r="4441" spans="1:14" x14ac:dyDescent="0.25">
      <c r="A4441" s="1">
        <v>45209</v>
      </c>
      <c r="B4441" t="s">
        <v>3265</v>
      </c>
      <c r="C4441">
        <v>78</v>
      </c>
      <c r="D4441" t="s">
        <v>21</v>
      </c>
      <c r="E4441" t="s">
        <v>15</v>
      </c>
      <c r="F4441" t="s">
        <v>29</v>
      </c>
      <c r="G4441" t="s">
        <v>12</v>
      </c>
      <c r="H4441">
        <v>3753.54</v>
      </c>
      <c r="I4441" s="8" t="str" cm="1">
        <f t="array" ref="I4441">_xlfn.IFS(C4441&lt;=15,"Children and Young Adolescents", C4441&gt;64, "Seniors", TRUE, "Working Age")</f>
        <v>Seniors</v>
      </c>
      <c r="J4441" s="6">
        <f>VLOOKUP(F4441,Analysis!$F$1:$G$5,2,FALSE)</f>
        <v>2496.7676064256989</v>
      </c>
      <c r="K4441">
        <f t="shared" si="276"/>
        <v>4128.8900000000003</v>
      </c>
      <c r="L4441">
        <f t="shared" si="277"/>
        <v>4128.9000000000005</v>
      </c>
      <c r="M4441">
        <f t="shared" si="278"/>
        <v>4128.8900000000003</v>
      </c>
      <c r="N4441" s="5" t="str">
        <f t="shared" si="279"/>
        <v>October 2023</v>
      </c>
    </row>
    <row r="4442" spans="1:14" x14ac:dyDescent="0.25">
      <c r="A4442" s="1">
        <v>45209</v>
      </c>
      <c r="B4442" t="s">
        <v>1185</v>
      </c>
      <c r="C4442">
        <v>48</v>
      </c>
      <c r="D4442" t="s">
        <v>21</v>
      </c>
      <c r="E4442" t="s">
        <v>15</v>
      </c>
      <c r="F4442" t="s">
        <v>11</v>
      </c>
      <c r="G4442" t="s">
        <v>17</v>
      </c>
      <c r="H4442">
        <v>20.23</v>
      </c>
      <c r="I4442" s="8" t="str" cm="1">
        <f t="array" ref="I4442">_xlfn.IFS(C4442&lt;=15,"Children and Young Adolescents", C4442&gt;64, "Seniors", TRUE, "Working Age")</f>
        <v>Working Age</v>
      </c>
      <c r="J4442" s="6">
        <f>VLOOKUP(F4442,Analysis!$F$1:$G$5,2,FALSE)</f>
        <v>2503.6022787783854</v>
      </c>
      <c r="K4442">
        <f t="shared" si="276"/>
        <v>22.25</v>
      </c>
      <c r="L4442">
        <f t="shared" si="277"/>
        <v>22.26</v>
      </c>
      <c r="M4442">
        <f t="shared" si="278"/>
        <v>22.25</v>
      </c>
      <c r="N4442" s="5" t="str">
        <f t="shared" si="279"/>
        <v>October 2023</v>
      </c>
    </row>
    <row r="4443" spans="1:14" x14ac:dyDescent="0.25">
      <c r="A4443" s="1">
        <v>45209</v>
      </c>
      <c r="B4443" t="s">
        <v>4238</v>
      </c>
      <c r="C4443">
        <v>65</v>
      </c>
      <c r="D4443" t="s">
        <v>14</v>
      </c>
      <c r="E4443" t="s">
        <v>34</v>
      </c>
      <c r="F4443" t="s">
        <v>16</v>
      </c>
      <c r="G4443" t="s">
        <v>36</v>
      </c>
      <c r="H4443">
        <v>1165.82</v>
      </c>
      <c r="I4443" s="8" t="str" cm="1">
        <f t="array" ref="I4443">_xlfn.IFS(C4443&lt;=15,"Children and Young Adolescents", C4443&gt;64, "Seniors", TRUE, "Working Age")</f>
        <v>Seniors</v>
      </c>
      <c r="J4443" s="6">
        <f>VLOOKUP(F4443,Analysis!$F$1:$G$5,2,FALSE)</f>
        <v>2509.1716796874912</v>
      </c>
      <c r="K4443">
        <f t="shared" si="276"/>
        <v>1282.4000000000001</v>
      </c>
      <c r="L4443">
        <f t="shared" si="277"/>
        <v>1282.4100000000001</v>
      </c>
      <c r="M4443">
        <f t="shared" si="278"/>
        <v>1282.4000000000001</v>
      </c>
      <c r="N4443" s="5" t="str">
        <f t="shared" si="279"/>
        <v>October 2023</v>
      </c>
    </row>
    <row r="4444" spans="1:14" x14ac:dyDescent="0.25">
      <c r="A4444" s="1">
        <v>45209</v>
      </c>
      <c r="B4444" t="s">
        <v>3856</v>
      </c>
      <c r="C4444">
        <v>54</v>
      </c>
      <c r="D4444" t="s">
        <v>9</v>
      </c>
      <c r="E4444" t="s">
        <v>15</v>
      </c>
      <c r="F4444" t="s">
        <v>23</v>
      </c>
      <c r="G4444" t="s">
        <v>27</v>
      </c>
      <c r="H4444">
        <v>990.77</v>
      </c>
      <c r="I4444" s="8" t="str" cm="1">
        <f t="array" ref="I4444">_xlfn.IFS(C4444&lt;=15,"Children and Young Adolescents", C4444&gt;64, "Seniors", TRUE, "Working Age")</f>
        <v>Working Age</v>
      </c>
      <c r="J4444" s="6">
        <f>VLOOKUP(F4444,Analysis!$F$1:$G$5,2,FALSE)</f>
        <v>2440.2966694490838</v>
      </c>
      <c r="K4444">
        <f t="shared" si="276"/>
        <v>1089.8399999999999</v>
      </c>
      <c r="L4444">
        <f t="shared" si="277"/>
        <v>1089.8499999999999</v>
      </c>
      <c r="M4444">
        <f t="shared" si="278"/>
        <v>1089.8499999999999</v>
      </c>
      <c r="N4444" s="5" t="str">
        <f t="shared" si="279"/>
        <v>October 2023</v>
      </c>
    </row>
    <row r="4445" spans="1:14" x14ac:dyDescent="0.25">
      <c r="A4445" s="1">
        <v>45209</v>
      </c>
      <c r="B4445" t="s">
        <v>1939</v>
      </c>
      <c r="C4445">
        <v>5</v>
      </c>
      <c r="D4445" t="s">
        <v>14</v>
      </c>
      <c r="E4445" t="s">
        <v>15</v>
      </c>
      <c r="F4445" t="s">
        <v>16</v>
      </c>
      <c r="G4445" t="s">
        <v>27</v>
      </c>
      <c r="H4445">
        <v>881.05</v>
      </c>
      <c r="I4445" s="8" t="str" cm="1">
        <f t="array" ref="I4445">_xlfn.IFS(C4445&lt;=15,"Children and Young Adolescents", C4445&gt;64, "Seniors", TRUE, "Working Age")</f>
        <v>Children and Young Adolescents</v>
      </c>
      <c r="J4445" s="6">
        <f>VLOOKUP(F4445,Analysis!$F$1:$G$5,2,FALSE)</f>
        <v>2509.1716796874912</v>
      </c>
      <c r="K4445">
        <f t="shared" si="276"/>
        <v>969.15</v>
      </c>
      <c r="L4445">
        <f t="shared" si="277"/>
        <v>969.16</v>
      </c>
      <c r="M4445">
        <f t="shared" si="278"/>
        <v>969.16</v>
      </c>
      <c r="N4445" s="5" t="str">
        <f t="shared" si="279"/>
        <v>October 2023</v>
      </c>
    </row>
    <row r="4446" spans="1:14" x14ac:dyDescent="0.25">
      <c r="A4446" s="1">
        <v>45209</v>
      </c>
      <c r="B4446" t="s">
        <v>2686</v>
      </c>
      <c r="C4446">
        <v>84</v>
      </c>
      <c r="D4446" t="s">
        <v>14</v>
      </c>
      <c r="E4446" t="s">
        <v>5032</v>
      </c>
      <c r="F4446" t="s">
        <v>29</v>
      </c>
      <c r="G4446" t="s">
        <v>36</v>
      </c>
      <c r="H4446">
        <v>329.68</v>
      </c>
      <c r="I4446" s="8" t="str" cm="1">
        <f t="array" ref="I4446">_xlfn.IFS(C4446&lt;=15,"Children and Young Adolescents", C4446&gt;64, "Seniors", TRUE, "Working Age")</f>
        <v>Seniors</v>
      </c>
      <c r="J4446" s="6">
        <f>VLOOKUP(F4446,Analysis!$F$1:$G$5,2,FALSE)</f>
        <v>2496.7676064256989</v>
      </c>
      <c r="K4446">
        <f t="shared" si="276"/>
        <v>362.64</v>
      </c>
      <c r="L4446">
        <f t="shared" si="277"/>
        <v>362.65</v>
      </c>
      <c r="M4446">
        <f t="shared" si="278"/>
        <v>362.65</v>
      </c>
      <c r="N4446" s="5" t="str">
        <f t="shared" si="279"/>
        <v>October 2023</v>
      </c>
    </row>
    <row r="4447" spans="1:14" x14ac:dyDescent="0.25">
      <c r="A4447" s="1">
        <v>45209</v>
      </c>
      <c r="B4447" t="s">
        <v>2742</v>
      </c>
      <c r="C4447">
        <v>35</v>
      </c>
      <c r="D4447" t="s">
        <v>14</v>
      </c>
      <c r="E4447" t="s">
        <v>10</v>
      </c>
      <c r="F4447" t="s">
        <v>23</v>
      </c>
      <c r="G4447" t="s">
        <v>27</v>
      </c>
      <c r="H4447">
        <v>4627.1499999999996</v>
      </c>
      <c r="I4447" s="8" t="str" cm="1">
        <f t="array" ref="I4447">_xlfn.IFS(C4447&lt;=15,"Children and Young Adolescents", C4447&gt;64, "Seniors", TRUE, "Working Age")</f>
        <v>Working Age</v>
      </c>
      <c r="J4447" s="6">
        <f>VLOOKUP(F4447,Analysis!$F$1:$G$5,2,FALSE)</f>
        <v>2440.2966694490838</v>
      </c>
      <c r="K4447">
        <f t="shared" si="276"/>
        <v>5089.8599999999997</v>
      </c>
      <c r="L4447">
        <f t="shared" si="277"/>
        <v>5089.87</v>
      </c>
      <c r="M4447">
        <f t="shared" si="278"/>
        <v>5089.87</v>
      </c>
      <c r="N4447" s="5" t="str">
        <f t="shared" si="279"/>
        <v>October 2023</v>
      </c>
    </row>
    <row r="4448" spans="1:14" x14ac:dyDescent="0.25">
      <c r="A4448" s="1">
        <v>45209</v>
      </c>
      <c r="B4448" t="s">
        <v>4777</v>
      </c>
      <c r="C4448">
        <v>98</v>
      </c>
      <c r="D4448" t="s">
        <v>21</v>
      </c>
      <c r="E4448" t="s">
        <v>32</v>
      </c>
      <c r="F4448" t="s">
        <v>29</v>
      </c>
      <c r="G4448" t="s">
        <v>39</v>
      </c>
      <c r="H4448">
        <v>2145.64</v>
      </c>
      <c r="I4448" s="8" t="str" cm="1">
        <f t="array" ref="I4448">_xlfn.IFS(C4448&lt;=15,"Children and Young Adolescents", C4448&gt;64, "Seniors", TRUE, "Working Age")</f>
        <v>Seniors</v>
      </c>
      <c r="J4448" s="6">
        <f>VLOOKUP(F4448,Analysis!$F$1:$G$5,2,FALSE)</f>
        <v>2496.7676064256989</v>
      </c>
      <c r="K4448">
        <f t="shared" si="276"/>
        <v>2360.1999999999998</v>
      </c>
      <c r="L4448">
        <f t="shared" si="277"/>
        <v>2360.21</v>
      </c>
      <c r="M4448">
        <f t="shared" si="278"/>
        <v>2360.1999999999998</v>
      </c>
      <c r="N4448" s="5" t="str">
        <f t="shared" si="279"/>
        <v>October 2023</v>
      </c>
    </row>
    <row r="4449" spans="1:14" x14ac:dyDescent="0.25">
      <c r="A4449" s="1">
        <v>45209</v>
      </c>
      <c r="B4449" t="s">
        <v>3177</v>
      </c>
      <c r="C4449">
        <v>7</v>
      </c>
      <c r="D4449" t="s">
        <v>9</v>
      </c>
      <c r="E4449" t="s">
        <v>10</v>
      </c>
      <c r="F4449" t="s">
        <v>29</v>
      </c>
      <c r="G4449" t="s">
        <v>17</v>
      </c>
      <c r="H4449">
        <v>519.03</v>
      </c>
      <c r="I4449" s="8" t="str" cm="1">
        <f t="array" ref="I4449">_xlfn.IFS(C4449&lt;=15,"Children and Young Adolescents", C4449&gt;64, "Seniors", TRUE, "Working Age")</f>
        <v>Children and Young Adolescents</v>
      </c>
      <c r="J4449" s="6">
        <f>VLOOKUP(F4449,Analysis!$F$1:$G$5,2,FALSE)</f>
        <v>2496.7676064256989</v>
      </c>
      <c r="K4449">
        <f t="shared" si="276"/>
        <v>570.92999999999995</v>
      </c>
      <c r="L4449">
        <f t="shared" si="277"/>
        <v>570.93999999999994</v>
      </c>
      <c r="M4449">
        <f t="shared" si="278"/>
        <v>570.92999999999995</v>
      </c>
      <c r="N4449" s="5" t="str">
        <f t="shared" si="279"/>
        <v>October 2023</v>
      </c>
    </row>
    <row r="4450" spans="1:14" x14ac:dyDescent="0.25">
      <c r="A4450" s="1">
        <v>45210</v>
      </c>
      <c r="B4450" t="s">
        <v>3286</v>
      </c>
      <c r="C4450">
        <v>87</v>
      </c>
      <c r="D4450" t="s">
        <v>14</v>
      </c>
      <c r="E4450" t="s">
        <v>34</v>
      </c>
      <c r="F4450" t="s">
        <v>23</v>
      </c>
      <c r="G4450" t="s">
        <v>36</v>
      </c>
      <c r="H4450">
        <v>2091.23</v>
      </c>
      <c r="I4450" s="8" t="str" cm="1">
        <f t="array" ref="I4450">_xlfn.IFS(C4450&lt;=15,"Children and Young Adolescents", C4450&gt;64, "Seniors", TRUE, "Working Age")</f>
        <v>Seniors</v>
      </c>
      <c r="J4450" s="6">
        <f>VLOOKUP(F4450,Analysis!$F$1:$G$5,2,FALSE)</f>
        <v>2440.2966694490838</v>
      </c>
      <c r="K4450">
        <f t="shared" si="276"/>
        <v>2300.35</v>
      </c>
      <c r="L4450">
        <f t="shared" si="277"/>
        <v>2300.36</v>
      </c>
      <c r="M4450">
        <f t="shared" si="278"/>
        <v>2300.35</v>
      </c>
      <c r="N4450" s="5" t="str">
        <f t="shared" si="279"/>
        <v>October 2023</v>
      </c>
    </row>
    <row r="4451" spans="1:14" x14ac:dyDescent="0.25">
      <c r="A4451" s="1">
        <v>45210</v>
      </c>
      <c r="B4451" t="s">
        <v>3299</v>
      </c>
      <c r="C4451">
        <v>13</v>
      </c>
      <c r="D4451" t="s">
        <v>14</v>
      </c>
      <c r="E4451" t="s">
        <v>5032</v>
      </c>
      <c r="F4451" t="s">
        <v>29</v>
      </c>
      <c r="G4451" t="s">
        <v>27</v>
      </c>
      <c r="H4451">
        <v>776.95</v>
      </c>
      <c r="I4451" s="8" t="str" cm="1">
        <f t="array" ref="I4451">_xlfn.IFS(C4451&lt;=15,"Children and Young Adolescents", C4451&gt;64, "Seniors", TRUE, "Working Age")</f>
        <v>Children and Young Adolescents</v>
      </c>
      <c r="J4451" s="6">
        <f>VLOOKUP(F4451,Analysis!$F$1:$G$5,2,FALSE)</f>
        <v>2496.7676064256989</v>
      </c>
      <c r="K4451">
        <f t="shared" si="276"/>
        <v>854.64</v>
      </c>
      <c r="L4451">
        <f t="shared" si="277"/>
        <v>854.65</v>
      </c>
      <c r="M4451">
        <f t="shared" si="278"/>
        <v>854.65</v>
      </c>
      <c r="N4451" s="5" t="str">
        <f t="shared" si="279"/>
        <v>October 2023</v>
      </c>
    </row>
    <row r="4452" spans="1:14" x14ac:dyDescent="0.25">
      <c r="A4452" s="1">
        <v>45210</v>
      </c>
      <c r="B4452" t="s">
        <v>1758</v>
      </c>
      <c r="C4452">
        <v>85</v>
      </c>
      <c r="D4452" t="s">
        <v>9</v>
      </c>
      <c r="E4452" t="s">
        <v>32</v>
      </c>
      <c r="F4452" t="s">
        <v>11</v>
      </c>
      <c r="G4452" t="s">
        <v>39</v>
      </c>
      <c r="H4452">
        <v>1269.1199999999999</v>
      </c>
      <c r="I4452" s="8" t="str" cm="1">
        <f t="array" ref="I4452">_xlfn.IFS(C4452&lt;=15,"Children and Young Adolescents", C4452&gt;64, "Seniors", TRUE, "Working Age")</f>
        <v>Seniors</v>
      </c>
      <c r="J4452" s="6">
        <f>VLOOKUP(F4452,Analysis!$F$1:$G$5,2,FALSE)</f>
        <v>2503.6022787783854</v>
      </c>
      <c r="K4452">
        <f t="shared" si="276"/>
        <v>1396.03</v>
      </c>
      <c r="L4452">
        <f t="shared" si="277"/>
        <v>1396.04</v>
      </c>
      <c r="M4452">
        <f t="shared" si="278"/>
        <v>1396.03</v>
      </c>
      <c r="N4452" s="5" t="str">
        <f t="shared" si="279"/>
        <v>October 2023</v>
      </c>
    </row>
    <row r="4453" spans="1:14" x14ac:dyDescent="0.25">
      <c r="A4453" s="1">
        <v>45211</v>
      </c>
      <c r="B4453" t="s">
        <v>1729</v>
      </c>
      <c r="C4453">
        <v>5</v>
      </c>
      <c r="D4453" t="s">
        <v>21</v>
      </c>
      <c r="E4453" t="s">
        <v>22</v>
      </c>
      <c r="F4453" t="s">
        <v>29</v>
      </c>
      <c r="G4453" t="s">
        <v>36</v>
      </c>
      <c r="H4453">
        <v>3191.03</v>
      </c>
      <c r="I4453" s="8" t="str" cm="1">
        <f t="array" ref="I4453">_xlfn.IFS(C4453&lt;=15,"Children and Young Adolescents", C4453&gt;64, "Seniors", TRUE, "Working Age")</f>
        <v>Children and Young Adolescents</v>
      </c>
      <c r="J4453" s="6">
        <f>VLOOKUP(F4453,Analysis!$F$1:$G$5,2,FALSE)</f>
        <v>2496.7676064256989</v>
      </c>
      <c r="K4453">
        <f t="shared" si="276"/>
        <v>3510.13</v>
      </c>
      <c r="L4453">
        <f t="shared" si="277"/>
        <v>3510.1400000000003</v>
      </c>
      <c r="M4453">
        <f t="shared" si="278"/>
        <v>3510.13</v>
      </c>
      <c r="N4453" s="5" t="str">
        <f t="shared" si="279"/>
        <v>October 2023</v>
      </c>
    </row>
    <row r="4454" spans="1:14" x14ac:dyDescent="0.25">
      <c r="A4454" s="1">
        <v>45211</v>
      </c>
      <c r="B4454" t="s">
        <v>5001</v>
      </c>
      <c r="C4454">
        <v>7</v>
      </c>
      <c r="D4454" t="s">
        <v>21</v>
      </c>
      <c r="E4454" t="s">
        <v>34</v>
      </c>
      <c r="F4454" t="s">
        <v>29</v>
      </c>
      <c r="G4454" t="s">
        <v>39</v>
      </c>
      <c r="H4454">
        <v>2121.5300000000002</v>
      </c>
      <c r="I4454" s="8" t="str" cm="1">
        <f t="array" ref="I4454">_xlfn.IFS(C4454&lt;=15,"Children and Young Adolescents", C4454&gt;64, "Seniors", TRUE, "Working Age")</f>
        <v>Children and Young Adolescents</v>
      </c>
      <c r="J4454" s="6">
        <f>VLOOKUP(F4454,Analysis!$F$1:$G$5,2,FALSE)</f>
        <v>2496.7676064256989</v>
      </c>
      <c r="K4454">
        <f t="shared" si="276"/>
        <v>2333.6799999999998</v>
      </c>
      <c r="L4454">
        <f t="shared" si="277"/>
        <v>2333.69</v>
      </c>
      <c r="M4454">
        <f t="shared" si="278"/>
        <v>2333.6799999999998</v>
      </c>
      <c r="N4454" s="5" t="str">
        <f t="shared" si="279"/>
        <v>October 2023</v>
      </c>
    </row>
    <row r="4455" spans="1:14" x14ac:dyDescent="0.25">
      <c r="A4455" s="1">
        <v>45211</v>
      </c>
      <c r="B4455" t="s">
        <v>1913</v>
      </c>
      <c r="C4455">
        <v>59</v>
      </c>
      <c r="D4455" t="s">
        <v>14</v>
      </c>
      <c r="E4455" t="s">
        <v>15</v>
      </c>
      <c r="F4455" t="s">
        <v>29</v>
      </c>
      <c r="G4455" t="s">
        <v>27</v>
      </c>
      <c r="H4455">
        <v>2544.75</v>
      </c>
      <c r="I4455" s="8" t="str" cm="1">
        <f t="array" ref="I4455">_xlfn.IFS(C4455&lt;=15,"Children and Young Adolescents", C4455&gt;64, "Seniors", TRUE, "Working Age")</f>
        <v>Working Age</v>
      </c>
      <c r="J4455" s="6">
        <f>VLOOKUP(F4455,Analysis!$F$1:$G$5,2,FALSE)</f>
        <v>2496.7676064256989</v>
      </c>
      <c r="K4455">
        <f t="shared" si="276"/>
        <v>2799.22</v>
      </c>
      <c r="L4455">
        <f t="shared" si="277"/>
        <v>2799.23</v>
      </c>
      <c r="M4455">
        <f t="shared" si="278"/>
        <v>2799.23</v>
      </c>
      <c r="N4455" s="5" t="str">
        <f t="shared" si="279"/>
        <v>October 2023</v>
      </c>
    </row>
    <row r="4456" spans="1:14" x14ac:dyDescent="0.25">
      <c r="A4456" s="1">
        <v>45211</v>
      </c>
      <c r="B4456" t="s">
        <v>747</v>
      </c>
      <c r="C4456">
        <v>24</v>
      </c>
      <c r="D4456" t="s">
        <v>21</v>
      </c>
      <c r="E4456" t="s">
        <v>19</v>
      </c>
      <c r="F4456" t="s">
        <v>29</v>
      </c>
      <c r="G4456" t="s">
        <v>12</v>
      </c>
      <c r="H4456">
        <v>3334.5</v>
      </c>
      <c r="I4456" s="8" t="str" cm="1">
        <f t="array" ref="I4456">_xlfn.IFS(C4456&lt;=15,"Children and Young Adolescents", C4456&gt;64, "Seniors", TRUE, "Working Age")</f>
        <v>Working Age</v>
      </c>
      <c r="J4456" s="6">
        <f>VLOOKUP(F4456,Analysis!$F$1:$G$5,2,FALSE)</f>
        <v>2496.7676064256989</v>
      </c>
      <c r="K4456">
        <f t="shared" si="276"/>
        <v>3667.95</v>
      </c>
      <c r="L4456">
        <f t="shared" si="277"/>
        <v>3667.95</v>
      </c>
      <c r="M4456">
        <f t="shared" si="278"/>
        <v>3667.95</v>
      </c>
      <c r="N4456" s="5" t="str">
        <f t="shared" si="279"/>
        <v>October 2023</v>
      </c>
    </row>
    <row r="4457" spans="1:14" x14ac:dyDescent="0.25">
      <c r="A4457" s="1">
        <v>45212</v>
      </c>
      <c r="B4457" t="s">
        <v>1487</v>
      </c>
      <c r="C4457">
        <v>21</v>
      </c>
      <c r="D4457" t="s">
        <v>14</v>
      </c>
      <c r="E4457" t="s">
        <v>10</v>
      </c>
      <c r="F4457" t="s">
        <v>16</v>
      </c>
      <c r="G4457" t="s">
        <v>17</v>
      </c>
      <c r="H4457">
        <v>2205.33</v>
      </c>
      <c r="I4457" s="8" t="str" cm="1">
        <f t="array" ref="I4457">_xlfn.IFS(C4457&lt;=15,"Children and Young Adolescents", C4457&gt;64, "Seniors", TRUE, "Working Age")</f>
        <v>Working Age</v>
      </c>
      <c r="J4457" s="6">
        <f>VLOOKUP(F4457,Analysis!$F$1:$G$5,2,FALSE)</f>
        <v>2509.1716796874912</v>
      </c>
      <c r="K4457">
        <f t="shared" si="276"/>
        <v>2425.86</v>
      </c>
      <c r="L4457">
        <f t="shared" si="277"/>
        <v>2425.8700000000003</v>
      </c>
      <c r="M4457">
        <f t="shared" si="278"/>
        <v>2425.86</v>
      </c>
      <c r="N4457" s="5" t="str">
        <f t="shared" si="279"/>
        <v>October 2023</v>
      </c>
    </row>
    <row r="4458" spans="1:14" x14ac:dyDescent="0.25">
      <c r="A4458" s="1">
        <v>45212</v>
      </c>
      <c r="B4458" t="s">
        <v>4912</v>
      </c>
      <c r="C4458">
        <v>11</v>
      </c>
      <c r="D4458" t="s">
        <v>21</v>
      </c>
      <c r="E4458" t="s">
        <v>19</v>
      </c>
      <c r="F4458" t="s">
        <v>29</v>
      </c>
      <c r="G4458" t="s">
        <v>12</v>
      </c>
      <c r="H4458">
        <v>2155.33</v>
      </c>
      <c r="I4458" s="8" t="str" cm="1">
        <f t="array" ref="I4458">_xlfn.IFS(C4458&lt;=15,"Children and Young Adolescents", C4458&gt;64, "Seniors", TRUE, "Working Age")</f>
        <v>Children and Young Adolescents</v>
      </c>
      <c r="J4458" s="6">
        <f>VLOOKUP(F4458,Analysis!$F$1:$G$5,2,FALSE)</f>
        <v>2496.7676064256989</v>
      </c>
      <c r="K4458">
        <f t="shared" si="276"/>
        <v>2370.86</v>
      </c>
      <c r="L4458">
        <f t="shared" si="277"/>
        <v>2370.8700000000003</v>
      </c>
      <c r="M4458">
        <f t="shared" si="278"/>
        <v>2370.86</v>
      </c>
      <c r="N4458" s="5" t="str">
        <f t="shared" si="279"/>
        <v>October 2023</v>
      </c>
    </row>
    <row r="4459" spans="1:14" x14ac:dyDescent="0.25">
      <c r="A4459" s="1">
        <v>45212</v>
      </c>
      <c r="B4459" t="s">
        <v>222</v>
      </c>
      <c r="C4459">
        <v>91</v>
      </c>
      <c r="D4459" t="s">
        <v>9</v>
      </c>
      <c r="E4459" t="s">
        <v>22</v>
      </c>
      <c r="F4459" t="s">
        <v>16</v>
      </c>
      <c r="G4459" t="s">
        <v>39</v>
      </c>
      <c r="H4459">
        <v>4721.43</v>
      </c>
      <c r="I4459" s="8" t="str" cm="1">
        <f t="array" ref="I4459">_xlfn.IFS(C4459&lt;=15,"Children and Young Adolescents", C4459&gt;64, "Seniors", TRUE, "Working Age")</f>
        <v>Seniors</v>
      </c>
      <c r="J4459" s="6">
        <f>VLOOKUP(F4459,Analysis!$F$1:$G$5,2,FALSE)</f>
        <v>2509.1716796874912</v>
      </c>
      <c r="K4459">
        <f t="shared" si="276"/>
        <v>5193.57</v>
      </c>
      <c r="L4459">
        <f t="shared" si="277"/>
        <v>5193.58</v>
      </c>
      <c r="M4459">
        <f t="shared" si="278"/>
        <v>5193.57</v>
      </c>
      <c r="N4459" s="5" t="str">
        <f t="shared" si="279"/>
        <v>October 2023</v>
      </c>
    </row>
    <row r="4460" spans="1:14" x14ac:dyDescent="0.25">
      <c r="A4460" s="1">
        <v>45212</v>
      </c>
      <c r="B4460" t="s">
        <v>3842</v>
      </c>
      <c r="C4460">
        <v>14</v>
      </c>
      <c r="D4460" t="s">
        <v>21</v>
      </c>
      <c r="E4460" t="s">
        <v>32</v>
      </c>
      <c r="F4460" t="s">
        <v>29</v>
      </c>
      <c r="G4460" t="s">
        <v>36</v>
      </c>
      <c r="H4460">
        <v>3863.77</v>
      </c>
      <c r="I4460" s="8" t="str" cm="1">
        <f t="array" ref="I4460">_xlfn.IFS(C4460&lt;=15,"Children and Young Adolescents", C4460&gt;64, "Seniors", TRUE, "Working Age")</f>
        <v>Children and Young Adolescents</v>
      </c>
      <c r="J4460" s="6">
        <f>VLOOKUP(F4460,Analysis!$F$1:$G$5,2,FALSE)</f>
        <v>2496.7676064256989</v>
      </c>
      <c r="K4460">
        <f t="shared" si="276"/>
        <v>4250.1400000000003</v>
      </c>
      <c r="L4460">
        <f t="shared" si="277"/>
        <v>4250.1500000000005</v>
      </c>
      <c r="M4460">
        <f t="shared" si="278"/>
        <v>4250.1499999999996</v>
      </c>
      <c r="N4460" s="5" t="str">
        <f t="shared" si="279"/>
        <v>October 2023</v>
      </c>
    </row>
    <row r="4461" spans="1:14" x14ac:dyDescent="0.25">
      <c r="A4461" s="1">
        <v>45212</v>
      </c>
      <c r="B4461" t="s">
        <v>5009</v>
      </c>
      <c r="C4461">
        <v>44</v>
      </c>
      <c r="D4461" t="s">
        <v>9</v>
      </c>
      <c r="E4461" t="s">
        <v>19</v>
      </c>
      <c r="F4461" t="s">
        <v>29</v>
      </c>
      <c r="G4461" t="s">
        <v>12</v>
      </c>
      <c r="H4461">
        <v>1045.78</v>
      </c>
      <c r="I4461" s="8" t="str" cm="1">
        <f t="array" ref="I4461">_xlfn.IFS(C4461&lt;=15,"Children and Young Adolescents", C4461&gt;64, "Seniors", TRUE, "Working Age")</f>
        <v>Working Age</v>
      </c>
      <c r="J4461" s="6">
        <f>VLOOKUP(F4461,Analysis!$F$1:$G$5,2,FALSE)</f>
        <v>2496.7676064256989</v>
      </c>
      <c r="K4461">
        <f t="shared" si="276"/>
        <v>1150.3499999999999</v>
      </c>
      <c r="L4461">
        <f t="shared" si="277"/>
        <v>1150.3599999999999</v>
      </c>
      <c r="M4461">
        <f t="shared" si="278"/>
        <v>1150.3599999999999</v>
      </c>
      <c r="N4461" s="5" t="str">
        <f t="shared" si="279"/>
        <v>October 2023</v>
      </c>
    </row>
    <row r="4462" spans="1:14" x14ac:dyDescent="0.25">
      <c r="A4462" s="1">
        <v>45213</v>
      </c>
      <c r="B4462" t="s">
        <v>1707</v>
      </c>
      <c r="C4462">
        <v>67</v>
      </c>
      <c r="D4462" t="s">
        <v>9</v>
      </c>
      <c r="E4462" t="s">
        <v>32</v>
      </c>
      <c r="F4462" t="s">
        <v>16</v>
      </c>
      <c r="G4462" t="s">
        <v>12</v>
      </c>
      <c r="H4462">
        <v>169.28</v>
      </c>
      <c r="I4462" s="8" t="str" cm="1">
        <f t="array" ref="I4462">_xlfn.IFS(C4462&lt;=15,"Children and Young Adolescents", C4462&gt;64, "Seniors", TRUE, "Working Age")</f>
        <v>Seniors</v>
      </c>
      <c r="J4462" s="6">
        <f>VLOOKUP(F4462,Analysis!$F$1:$G$5,2,FALSE)</f>
        <v>2509.1716796874912</v>
      </c>
      <c r="K4462">
        <f t="shared" si="276"/>
        <v>186.2</v>
      </c>
      <c r="L4462">
        <f t="shared" si="277"/>
        <v>186.20999999999998</v>
      </c>
      <c r="M4462">
        <f t="shared" si="278"/>
        <v>186.21</v>
      </c>
      <c r="N4462" s="5" t="str">
        <f t="shared" si="279"/>
        <v>October 2023</v>
      </c>
    </row>
    <row r="4463" spans="1:14" x14ac:dyDescent="0.25">
      <c r="A4463" s="1">
        <v>45213</v>
      </c>
      <c r="B4463" t="s">
        <v>601</v>
      </c>
      <c r="C4463">
        <v>2</v>
      </c>
      <c r="D4463" t="s">
        <v>14</v>
      </c>
      <c r="E4463" t="s">
        <v>19</v>
      </c>
      <c r="F4463" t="s">
        <v>29</v>
      </c>
      <c r="G4463" t="s">
        <v>17</v>
      </c>
      <c r="H4463">
        <v>4561.97</v>
      </c>
      <c r="I4463" s="8" t="str" cm="1">
        <f t="array" ref="I4463">_xlfn.IFS(C4463&lt;=15,"Children and Young Adolescents", C4463&gt;64, "Seniors", TRUE, "Working Age")</f>
        <v>Children and Young Adolescents</v>
      </c>
      <c r="J4463" s="6">
        <f>VLOOKUP(F4463,Analysis!$F$1:$G$5,2,FALSE)</f>
        <v>2496.7676064256989</v>
      </c>
      <c r="K4463">
        <f t="shared" si="276"/>
        <v>5018.16</v>
      </c>
      <c r="L4463">
        <f t="shared" si="277"/>
        <v>5018.17</v>
      </c>
      <c r="M4463">
        <f t="shared" si="278"/>
        <v>5018.17</v>
      </c>
      <c r="N4463" s="5" t="str">
        <f t="shared" si="279"/>
        <v>October 2023</v>
      </c>
    </row>
    <row r="4464" spans="1:14" x14ac:dyDescent="0.25">
      <c r="A4464" s="1">
        <v>45213</v>
      </c>
      <c r="B4464" t="s">
        <v>950</v>
      </c>
      <c r="C4464">
        <v>21</v>
      </c>
      <c r="D4464" t="s">
        <v>14</v>
      </c>
      <c r="E4464" t="s">
        <v>10</v>
      </c>
      <c r="F4464" t="s">
        <v>23</v>
      </c>
      <c r="G4464" t="s">
        <v>27</v>
      </c>
      <c r="H4464">
        <v>4243.01</v>
      </c>
      <c r="I4464" s="8" t="str" cm="1">
        <f t="array" ref="I4464">_xlfn.IFS(C4464&lt;=15,"Children and Young Adolescents", C4464&gt;64, "Seniors", TRUE, "Working Age")</f>
        <v>Working Age</v>
      </c>
      <c r="J4464" s="6">
        <f>VLOOKUP(F4464,Analysis!$F$1:$G$5,2,FALSE)</f>
        <v>2440.2966694490838</v>
      </c>
      <c r="K4464">
        <f t="shared" si="276"/>
        <v>4667.3100000000004</v>
      </c>
      <c r="L4464">
        <f t="shared" si="277"/>
        <v>4667.3200000000006</v>
      </c>
      <c r="M4464">
        <f t="shared" si="278"/>
        <v>4667.3100000000004</v>
      </c>
      <c r="N4464" s="5" t="str">
        <f t="shared" si="279"/>
        <v>October 2023</v>
      </c>
    </row>
    <row r="4465" spans="1:14" x14ac:dyDescent="0.25">
      <c r="A4465" s="1">
        <v>45213</v>
      </c>
      <c r="B4465" t="s">
        <v>1231</v>
      </c>
      <c r="C4465">
        <v>91</v>
      </c>
      <c r="D4465" t="s">
        <v>9</v>
      </c>
      <c r="E4465" t="s">
        <v>5032</v>
      </c>
      <c r="F4465" t="s">
        <v>23</v>
      </c>
      <c r="G4465" t="s">
        <v>39</v>
      </c>
      <c r="H4465">
        <v>4681.84</v>
      </c>
      <c r="I4465" s="8" t="str" cm="1">
        <f t="array" ref="I4465">_xlfn.IFS(C4465&lt;=15,"Children and Young Adolescents", C4465&gt;64, "Seniors", TRUE, "Working Age")</f>
        <v>Seniors</v>
      </c>
      <c r="J4465" s="6">
        <f>VLOOKUP(F4465,Analysis!$F$1:$G$5,2,FALSE)</f>
        <v>2440.2966694490838</v>
      </c>
      <c r="K4465">
        <f t="shared" si="276"/>
        <v>5150.0200000000004</v>
      </c>
      <c r="L4465">
        <f t="shared" si="277"/>
        <v>5150.0300000000007</v>
      </c>
      <c r="M4465">
        <f t="shared" si="278"/>
        <v>5150.0200000000004</v>
      </c>
      <c r="N4465" s="5" t="str">
        <f t="shared" si="279"/>
        <v>October 2023</v>
      </c>
    </row>
    <row r="4466" spans="1:14" x14ac:dyDescent="0.25">
      <c r="A4466" s="1">
        <v>45213</v>
      </c>
      <c r="B4466" t="s">
        <v>4880</v>
      </c>
      <c r="C4466">
        <v>45</v>
      </c>
      <c r="D4466" t="s">
        <v>14</v>
      </c>
      <c r="E4466" t="s">
        <v>22</v>
      </c>
      <c r="F4466" t="s">
        <v>16</v>
      </c>
      <c r="G4466" t="s">
        <v>39</v>
      </c>
      <c r="H4466">
        <v>82.86</v>
      </c>
      <c r="I4466" s="8" t="str" cm="1">
        <f t="array" ref="I4466">_xlfn.IFS(C4466&lt;=15,"Children and Young Adolescents", C4466&gt;64, "Seniors", TRUE, "Working Age")</f>
        <v>Working Age</v>
      </c>
      <c r="J4466" s="6">
        <f>VLOOKUP(F4466,Analysis!$F$1:$G$5,2,FALSE)</f>
        <v>2509.1716796874912</v>
      </c>
      <c r="K4466">
        <f t="shared" si="276"/>
        <v>91.14</v>
      </c>
      <c r="L4466">
        <f t="shared" si="277"/>
        <v>91.15</v>
      </c>
      <c r="M4466">
        <f t="shared" si="278"/>
        <v>91.15</v>
      </c>
      <c r="N4466" s="5" t="str">
        <f t="shared" si="279"/>
        <v>October 2023</v>
      </c>
    </row>
    <row r="4467" spans="1:14" x14ac:dyDescent="0.25">
      <c r="A4467" s="1">
        <v>45213</v>
      </c>
      <c r="B4467" t="s">
        <v>1537</v>
      </c>
      <c r="C4467">
        <v>80</v>
      </c>
      <c r="D4467" t="s">
        <v>14</v>
      </c>
      <c r="E4467" t="s">
        <v>32</v>
      </c>
      <c r="F4467" t="s">
        <v>16</v>
      </c>
      <c r="G4467" t="s">
        <v>27</v>
      </c>
      <c r="H4467">
        <v>4897.8</v>
      </c>
      <c r="I4467" s="8" t="str" cm="1">
        <f t="array" ref="I4467">_xlfn.IFS(C4467&lt;=15,"Children and Young Adolescents", C4467&gt;64, "Seniors", TRUE, "Working Age")</f>
        <v>Seniors</v>
      </c>
      <c r="J4467" s="6">
        <f>VLOOKUP(F4467,Analysis!$F$1:$G$5,2,FALSE)</f>
        <v>2509.1716796874912</v>
      </c>
      <c r="K4467">
        <f t="shared" si="276"/>
        <v>5387.58</v>
      </c>
      <c r="L4467">
        <f t="shared" si="277"/>
        <v>5387.58</v>
      </c>
      <c r="M4467">
        <f t="shared" si="278"/>
        <v>5387.58</v>
      </c>
      <c r="N4467" s="5" t="str">
        <f t="shared" si="279"/>
        <v>October 2023</v>
      </c>
    </row>
    <row r="4468" spans="1:14" x14ac:dyDescent="0.25">
      <c r="A4468" s="1">
        <v>45213</v>
      </c>
      <c r="B4468" t="s">
        <v>259</v>
      </c>
      <c r="C4468">
        <v>39</v>
      </c>
      <c r="D4468" t="s">
        <v>14</v>
      </c>
      <c r="E4468" t="s">
        <v>22</v>
      </c>
      <c r="F4468" t="s">
        <v>16</v>
      </c>
      <c r="G4468" t="s">
        <v>27</v>
      </c>
      <c r="H4468">
        <v>1520.13</v>
      </c>
      <c r="I4468" s="8" t="str" cm="1">
        <f t="array" ref="I4468">_xlfn.IFS(C4468&lt;=15,"Children and Young Adolescents", C4468&gt;64, "Seniors", TRUE, "Working Age")</f>
        <v>Working Age</v>
      </c>
      <c r="J4468" s="6">
        <f>VLOOKUP(F4468,Analysis!$F$1:$G$5,2,FALSE)</f>
        <v>2509.1716796874912</v>
      </c>
      <c r="K4468">
        <f t="shared" si="276"/>
        <v>1672.14</v>
      </c>
      <c r="L4468">
        <f t="shared" si="277"/>
        <v>1672.15</v>
      </c>
      <c r="M4468">
        <f t="shared" si="278"/>
        <v>1672.14</v>
      </c>
      <c r="N4468" s="5" t="str">
        <f t="shared" si="279"/>
        <v>October 2023</v>
      </c>
    </row>
    <row r="4469" spans="1:14" x14ac:dyDescent="0.25">
      <c r="A4469" s="1">
        <v>45214</v>
      </c>
      <c r="B4469" t="s">
        <v>3020</v>
      </c>
      <c r="C4469">
        <v>16</v>
      </c>
      <c r="D4469" t="s">
        <v>14</v>
      </c>
      <c r="E4469" t="s">
        <v>32</v>
      </c>
      <c r="F4469" t="s">
        <v>23</v>
      </c>
      <c r="G4469" t="s">
        <v>39</v>
      </c>
      <c r="H4469">
        <v>1778.07</v>
      </c>
      <c r="I4469" s="8" t="str" cm="1">
        <f t="array" ref="I4469">_xlfn.IFS(C4469&lt;=15,"Children and Young Adolescents", C4469&gt;64, "Seniors", TRUE, "Working Age")</f>
        <v>Working Age</v>
      </c>
      <c r="J4469" s="6">
        <f>VLOOKUP(F4469,Analysis!$F$1:$G$5,2,FALSE)</f>
        <v>2440.2966694490838</v>
      </c>
      <c r="K4469">
        <f t="shared" si="276"/>
        <v>1955.87</v>
      </c>
      <c r="L4469">
        <f t="shared" si="277"/>
        <v>1955.8799999999999</v>
      </c>
      <c r="M4469">
        <f t="shared" si="278"/>
        <v>1955.88</v>
      </c>
      <c r="N4469" s="5" t="str">
        <f t="shared" si="279"/>
        <v>October 2023</v>
      </c>
    </row>
    <row r="4470" spans="1:14" x14ac:dyDescent="0.25">
      <c r="A4470" s="1">
        <v>45214</v>
      </c>
      <c r="B4470" t="s">
        <v>1111</v>
      </c>
      <c r="C4470">
        <v>69</v>
      </c>
      <c r="D4470" t="s">
        <v>21</v>
      </c>
      <c r="E4470" t="s">
        <v>22</v>
      </c>
      <c r="F4470" t="s">
        <v>23</v>
      </c>
      <c r="G4470" t="s">
        <v>5033</v>
      </c>
      <c r="H4470">
        <v>4061.32</v>
      </c>
      <c r="I4470" s="8" t="str" cm="1">
        <f t="array" ref="I4470">_xlfn.IFS(C4470&lt;=15,"Children and Young Adolescents", C4470&gt;64, "Seniors", TRUE, "Working Age")</f>
        <v>Seniors</v>
      </c>
      <c r="J4470" s="6">
        <f>VLOOKUP(F4470,Analysis!$F$1:$G$5,2,FALSE)</f>
        <v>2440.2966694490838</v>
      </c>
      <c r="K4470">
        <f t="shared" si="276"/>
        <v>4467.45</v>
      </c>
      <c r="L4470">
        <f t="shared" si="277"/>
        <v>4467.46</v>
      </c>
      <c r="M4470">
        <f t="shared" si="278"/>
        <v>4467.45</v>
      </c>
      <c r="N4470" s="5" t="str">
        <f t="shared" si="279"/>
        <v>October 2023</v>
      </c>
    </row>
    <row r="4471" spans="1:14" x14ac:dyDescent="0.25">
      <c r="A4471" s="1">
        <v>45214</v>
      </c>
      <c r="B4471" t="s">
        <v>1861</v>
      </c>
      <c r="C4471">
        <v>87</v>
      </c>
      <c r="D4471" t="s">
        <v>14</v>
      </c>
      <c r="E4471" t="s">
        <v>19</v>
      </c>
      <c r="F4471" t="s">
        <v>11</v>
      </c>
      <c r="G4471" t="s">
        <v>12</v>
      </c>
      <c r="H4471">
        <v>4181.63</v>
      </c>
      <c r="I4471" s="8" t="str" cm="1">
        <f t="array" ref="I4471">_xlfn.IFS(C4471&lt;=15,"Children and Young Adolescents", C4471&gt;64, "Seniors", TRUE, "Working Age")</f>
        <v>Seniors</v>
      </c>
      <c r="J4471" s="6">
        <f>VLOOKUP(F4471,Analysis!$F$1:$G$5,2,FALSE)</f>
        <v>2503.6022787783854</v>
      </c>
      <c r="K4471">
        <f t="shared" si="276"/>
        <v>4599.79</v>
      </c>
      <c r="L4471">
        <f t="shared" si="277"/>
        <v>4599.8</v>
      </c>
      <c r="M4471">
        <f t="shared" si="278"/>
        <v>4599.79</v>
      </c>
      <c r="N4471" s="5" t="str">
        <f t="shared" si="279"/>
        <v>October 2023</v>
      </c>
    </row>
    <row r="4472" spans="1:14" x14ac:dyDescent="0.25">
      <c r="A4472" s="1">
        <v>45214</v>
      </c>
      <c r="B4472" t="s">
        <v>191</v>
      </c>
      <c r="C4472">
        <v>89</v>
      </c>
      <c r="D4472" t="s">
        <v>21</v>
      </c>
      <c r="E4472" t="s">
        <v>19</v>
      </c>
      <c r="F4472" t="s">
        <v>29</v>
      </c>
      <c r="G4472" t="s">
        <v>36</v>
      </c>
      <c r="H4472">
        <v>1379</v>
      </c>
      <c r="I4472" s="8" t="str" cm="1">
        <f t="array" ref="I4472">_xlfn.IFS(C4472&lt;=15,"Children and Young Adolescents", C4472&gt;64, "Seniors", TRUE, "Working Age")</f>
        <v>Seniors</v>
      </c>
      <c r="J4472" s="6">
        <f>VLOOKUP(F4472,Analysis!$F$1:$G$5,2,FALSE)</f>
        <v>2496.7676064256989</v>
      </c>
      <c r="K4472">
        <f t="shared" si="276"/>
        <v>1516.9</v>
      </c>
      <c r="L4472">
        <f t="shared" si="277"/>
        <v>1516.9</v>
      </c>
      <c r="M4472">
        <f t="shared" si="278"/>
        <v>1516.9</v>
      </c>
      <c r="N4472" s="5" t="str">
        <f t="shared" si="279"/>
        <v>October 2023</v>
      </c>
    </row>
    <row r="4473" spans="1:14" x14ac:dyDescent="0.25">
      <c r="A4473" s="1">
        <v>45214</v>
      </c>
      <c r="B4473" t="s">
        <v>2544</v>
      </c>
      <c r="C4473">
        <v>95</v>
      </c>
      <c r="D4473" t="s">
        <v>9</v>
      </c>
      <c r="E4473" t="s">
        <v>34</v>
      </c>
      <c r="F4473" t="s">
        <v>29</v>
      </c>
      <c r="G4473" t="s">
        <v>39</v>
      </c>
      <c r="H4473">
        <v>3789.76</v>
      </c>
      <c r="I4473" s="8" t="str" cm="1">
        <f t="array" ref="I4473">_xlfn.IFS(C4473&lt;=15,"Children and Young Adolescents", C4473&gt;64, "Seniors", TRUE, "Working Age")</f>
        <v>Seniors</v>
      </c>
      <c r="J4473" s="6">
        <f>VLOOKUP(F4473,Analysis!$F$1:$G$5,2,FALSE)</f>
        <v>2496.7676064256989</v>
      </c>
      <c r="K4473">
        <f t="shared" si="276"/>
        <v>4168.7299999999996</v>
      </c>
      <c r="L4473">
        <f t="shared" si="277"/>
        <v>4168.74</v>
      </c>
      <c r="M4473">
        <f t="shared" si="278"/>
        <v>4168.74</v>
      </c>
      <c r="N4473" s="5" t="str">
        <f t="shared" si="279"/>
        <v>October 2023</v>
      </c>
    </row>
    <row r="4474" spans="1:14" x14ac:dyDescent="0.25">
      <c r="A4474" s="1">
        <v>45215</v>
      </c>
      <c r="B4474" t="s">
        <v>1607</v>
      </c>
      <c r="C4474">
        <v>59</v>
      </c>
      <c r="D4474" t="s">
        <v>14</v>
      </c>
      <c r="E4474" t="s">
        <v>34</v>
      </c>
      <c r="F4474" t="s">
        <v>11</v>
      </c>
      <c r="G4474" t="s">
        <v>36</v>
      </c>
      <c r="H4474">
        <v>3868.31</v>
      </c>
      <c r="I4474" s="8" t="str" cm="1">
        <f t="array" ref="I4474">_xlfn.IFS(C4474&lt;=15,"Children and Young Adolescents", C4474&gt;64, "Seniors", TRUE, "Working Age")</f>
        <v>Working Age</v>
      </c>
      <c r="J4474" s="6">
        <f>VLOOKUP(F4474,Analysis!$F$1:$G$5,2,FALSE)</f>
        <v>2503.6022787783854</v>
      </c>
      <c r="K4474">
        <f t="shared" si="276"/>
        <v>4255.1400000000003</v>
      </c>
      <c r="L4474">
        <f t="shared" si="277"/>
        <v>4255.1500000000005</v>
      </c>
      <c r="M4474">
        <f t="shared" si="278"/>
        <v>4255.1400000000003</v>
      </c>
      <c r="N4474" s="5" t="str">
        <f t="shared" si="279"/>
        <v>October 2023</v>
      </c>
    </row>
    <row r="4475" spans="1:14" x14ac:dyDescent="0.25">
      <c r="A4475" s="1">
        <v>45215</v>
      </c>
      <c r="B4475" t="s">
        <v>893</v>
      </c>
      <c r="C4475">
        <v>85</v>
      </c>
      <c r="D4475" t="s">
        <v>21</v>
      </c>
      <c r="E4475" t="s">
        <v>19</v>
      </c>
      <c r="F4475" t="s">
        <v>16</v>
      </c>
      <c r="G4475" t="s">
        <v>12</v>
      </c>
      <c r="H4475">
        <v>1142.7</v>
      </c>
      <c r="I4475" s="8" t="str" cm="1">
        <f t="array" ref="I4475">_xlfn.IFS(C4475&lt;=15,"Children and Young Adolescents", C4475&gt;64, "Seniors", TRUE, "Working Age")</f>
        <v>Seniors</v>
      </c>
      <c r="J4475" s="6">
        <f>VLOOKUP(F4475,Analysis!$F$1:$G$5,2,FALSE)</f>
        <v>2509.1716796874912</v>
      </c>
      <c r="K4475">
        <f t="shared" si="276"/>
        <v>1256.97</v>
      </c>
      <c r="L4475">
        <f t="shared" si="277"/>
        <v>1256.97</v>
      </c>
      <c r="M4475">
        <f t="shared" si="278"/>
        <v>1256.97</v>
      </c>
      <c r="N4475" s="5" t="str">
        <f t="shared" si="279"/>
        <v>October 2023</v>
      </c>
    </row>
    <row r="4476" spans="1:14" x14ac:dyDescent="0.25">
      <c r="A4476" s="1">
        <v>45215</v>
      </c>
      <c r="B4476" t="s">
        <v>2373</v>
      </c>
      <c r="C4476">
        <v>56</v>
      </c>
      <c r="D4476" t="s">
        <v>14</v>
      </c>
      <c r="E4476" t="s">
        <v>10</v>
      </c>
      <c r="F4476" t="s">
        <v>29</v>
      </c>
      <c r="G4476" t="s">
        <v>36</v>
      </c>
      <c r="H4476">
        <v>2145.38</v>
      </c>
      <c r="I4476" s="8" t="str" cm="1">
        <f t="array" ref="I4476">_xlfn.IFS(C4476&lt;=15,"Children and Young Adolescents", C4476&gt;64, "Seniors", TRUE, "Working Age")</f>
        <v>Working Age</v>
      </c>
      <c r="J4476" s="6">
        <f>VLOOKUP(F4476,Analysis!$F$1:$G$5,2,FALSE)</f>
        <v>2496.7676064256989</v>
      </c>
      <c r="K4476">
        <f t="shared" si="276"/>
        <v>2359.91</v>
      </c>
      <c r="L4476">
        <f t="shared" si="277"/>
        <v>2359.92</v>
      </c>
      <c r="M4476">
        <f t="shared" si="278"/>
        <v>2359.92</v>
      </c>
      <c r="N4476" s="5" t="str">
        <f t="shared" si="279"/>
        <v>October 2023</v>
      </c>
    </row>
    <row r="4477" spans="1:14" x14ac:dyDescent="0.25">
      <c r="A4477" s="1">
        <v>45215</v>
      </c>
      <c r="B4477" t="s">
        <v>5003</v>
      </c>
      <c r="C4477">
        <v>7</v>
      </c>
      <c r="D4477" t="s">
        <v>21</v>
      </c>
      <c r="E4477" t="s">
        <v>10</v>
      </c>
      <c r="F4477" t="s">
        <v>29</v>
      </c>
      <c r="G4477" t="s">
        <v>36</v>
      </c>
      <c r="H4477">
        <v>1607.79</v>
      </c>
      <c r="I4477" s="8" t="str" cm="1">
        <f t="array" ref="I4477">_xlfn.IFS(C4477&lt;=15,"Children and Young Adolescents", C4477&gt;64, "Seniors", TRUE, "Working Age")</f>
        <v>Children and Young Adolescents</v>
      </c>
      <c r="J4477" s="6">
        <f>VLOOKUP(F4477,Analysis!$F$1:$G$5,2,FALSE)</f>
        <v>2496.7676064256989</v>
      </c>
      <c r="K4477">
        <f t="shared" si="276"/>
        <v>1768.56</v>
      </c>
      <c r="L4477">
        <f t="shared" si="277"/>
        <v>1768.57</v>
      </c>
      <c r="M4477">
        <f t="shared" si="278"/>
        <v>1768.57</v>
      </c>
      <c r="N4477" s="5" t="str">
        <f t="shared" si="279"/>
        <v>October 2023</v>
      </c>
    </row>
    <row r="4478" spans="1:14" x14ac:dyDescent="0.25">
      <c r="A4478" s="1">
        <v>45215</v>
      </c>
      <c r="B4478" t="s">
        <v>3045</v>
      </c>
      <c r="C4478">
        <v>82</v>
      </c>
      <c r="D4478" t="s">
        <v>9</v>
      </c>
      <c r="E4478" t="s">
        <v>15</v>
      </c>
      <c r="F4478" t="s">
        <v>16</v>
      </c>
      <c r="G4478" t="s">
        <v>12</v>
      </c>
      <c r="H4478">
        <v>3331.44</v>
      </c>
      <c r="I4478" s="8" t="str" cm="1">
        <f t="array" ref="I4478">_xlfn.IFS(C4478&lt;=15,"Children and Young Adolescents", C4478&gt;64, "Seniors", TRUE, "Working Age")</f>
        <v>Seniors</v>
      </c>
      <c r="J4478" s="6">
        <f>VLOOKUP(F4478,Analysis!$F$1:$G$5,2,FALSE)</f>
        <v>2509.1716796874912</v>
      </c>
      <c r="K4478">
        <f t="shared" si="276"/>
        <v>3664.58</v>
      </c>
      <c r="L4478">
        <f t="shared" si="277"/>
        <v>3664.59</v>
      </c>
      <c r="M4478">
        <f t="shared" si="278"/>
        <v>3664.58</v>
      </c>
      <c r="N4478" s="5" t="str">
        <f t="shared" si="279"/>
        <v>October 2023</v>
      </c>
    </row>
    <row r="4479" spans="1:14" x14ac:dyDescent="0.25">
      <c r="A4479" s="1">
        <v>45216</v>
      </c>
      <c r="B4479" t="s">
        <v>2351</v>
      </c>
      <c r="C4479">
        <v>83</v>
      </c>
      <c r="D4479" t="s">
        <v>9</v>
      </c>
      <c r="E4479" t="s">
        <v>22</v>
      </c>
      <c r="F4479" t="s">
        <v>16</v>
      </c>
      <c r="G4479" t="s">
        <v>17</v>
      </c>
      <c r="H4479">
        <v>4991.76</v>
      </c>
      <c r="I4479" s="8" t="str" cm="1">
        <f t="array" ref="I4479">_xlfn.IFS(C4479&lt;=15,"Children and Young Adolescents", C4479&gt;64, "Seniors", TRUE, "Working Age")</f>
        <v>Seniors</v>
      </c>
      <c r="J4479" s="6">
        <f>VLOOKUP(F4479,Analysis!$F$1:$G$5,2,FALSE)</f>
        <v>2509.1716796874912</v>
      </c>
      <c r="K4479">
        <f t="shared" si="276"/>
        <v>5490.93</v>
      </c>
      <c r="L4479">
        <f t="shared" si="277"/>
        <v>5490.9400000000005</v>
      </c>
      <c r="M4479">
        <f t="shared" si="278"/>
        <v>5490.94</v>
      </c>
      <c r="N4479" s="5" t="str">
        <f t="shared" si="279"/>
        <v>October 2023</v>
      </c>
    </row>
    <row r="4480" spans="1:14" x14ac:dyDescent="0.25">
      <c r="A4480" s="1">
        <v>45216</v>
      </c>
      <c r="B4480" t="s">
        <v>4473</v>
      </c>
      <c r="C4480">
        <v>48</v>
      </c>
      <c r="D4480" t="s">
        <v>9</v>
      </c>
      <c r="E4480" t="s">
        <v>15</v>
      </c>
      <c r="F4480" t="s">
        <v>29</v>
      </c>
      <c r="G4480" t="s">
        <v>12</v>
      </c>
      <c r="H4480">
        <v>3712.85</v>
      </c>
      <c r="I4480" s="8" t="str" cm="1">
        <f t="array" ref="I4480">_xlfn.IFS(C4480&lt;=15,"Children and Young Adolescents", C4480&gt;64, "Seniors", TRUE, "Working Age")</f>
        <v>Working Age</v>
      </c>
      <c r="J4480" s="6">
        <f>VLOOKUP(F4480,Analysis!$F$1:$G$5,2,FALSE)</f>
        <v>2496.7676064256989</v>
      </c>
      <c r="K4480">
        <f t="shared" si="276"/>
        <v>4084.13</v>
      </c>
      <c r="L4480">
        <f t="shared" si="277"/>
        <v>4084.1400000000003</v>
      </c>
      <c r="M4480">
        <f t="shared" si="278"/>
        <v>4084.14</v>
      </c>
      <c r="N4480" s="5" t="str">
        <f t="shared" si="279"/>
        <v>October 2023</v>
      </c>
    </row>
    <row r="4481" spans="1:14" x14ac:dyDescent="0.25">
      <c r="A4481" s="1">
        <v>45216</v>
      </c>
      <c r="B4481" t="s">
        <v>4699</v>
      </c>
      <c r="C4481">
        <v>25</v>
      </c>
      <c r="D4481" t="s">
        <v>21</v>
      </c>
      <c r="E4481" t="s">
        <v>10</v>
      </c>
      <c r="F4481" t="s">
        <v>29</v>
      </c>
      <c r="G4481" t="s">
        <v>39</v>
      </c>
      <c r="H4481">
        <v>584.48</v>
      </c>
      <c r="I4481" s="8" t="str" cm="1">
        <f t="array" ref="I4481">_xlfn.IFS(C4481&lt;=15,"Children and Young Adolescents", C4481&gt;64, "Seniors", TRUE, "Working Age")</f>
        <v>Working Age</v>
      </c>
      <c r="J4481" s="6">
        <f>VLOOKUP(F4481,Analysis!$F$1:$G$5,2,FALSE)</f>
        <v>2496.7676064256989</v>
      </c>
      <c r="K4481">
        <f t="shared" si="276"/>
        <v>642.91999999999996</v>
      </c>
      <c r="L4481">
        <f t="shared" si="277"/>
        <v>642.92999999999995</v>
      </c>
      <c r="M4481">
        <f t="shared" si="278"/>
        <v>642.92999999999995</v>
      </c>
      <c r="N4481" s="5" t="str">
        <f t="shared" si="279"/>
        <v>October 2023</v>
      </c>
    </row>
    <row r="4482" spans="1:14" x14ac:dyDescent="0.25">
      <c r="A4482" s="1">
        <v>45216</v>
      </c>
      <c r="B4482" t="s">
        <v>1432</v>
      </c>
      <c r="C4482">
        <v>80</v>
      </c>
      <c r="D4482" t="s">
        <v>14</v>
      </c>
      <c r="E4482" t="s">
        <v>15</v>
      </c>
      <c r="F4482" t="s">
        <v>23</v>
      </c>
      <c r="G4482" t="s">
        <v>12</v>
      </c>
      <c r="H4482">
        <v>2205.31</v>
      </c>
      <c r="I4482" s="8" t="str" cm="1">
        <f t="array" ref="I4482">_xlfn.IFS(C4482&lt;=15,"Children and Young Adolescents", C4482&gt;64, "Seniors", TRUE, "Working Age")</f>
        <v>Seniors</v>
      </c>
      <c r="J4482" s="6">
        <f>VLOOKUP(F4482,Analysis!$F$1:$G$5,2,FALSE)</f>
        <v>2440.2966694490838</v>
      </c>
      <c r="K4482">
        <f t="shared" si="276"/>
        <v>2425.84</v>
      </c>
      <c r="L4482">
        <f t="shared" si="277"/>
        <v>2425.8500000000004</v>
      </c>
      <c r="M4482">
        <f t="shared" si="278"/>
        <v>2425.84</v>
      </c>
      <c r="N4482" s="5" t="str">
        <f t="shared" si="279"/>
        <v>October 2023</v>
      </c>
    </row>
    <row r="4483" spans="1:14" x14ac:dyDescent="0.25">
      <c r="A4483" s="1">
        <v>45216</v>
      </c>
      <c r="B4483" t="s">
        <v>4336</v>
      </c>
      <c r="C4483">
        <v>65</v>
      </c>
      <c r="D4483" t="s">
        <v>14</v>
      </c>
      <c r="E4483" t="s">
        <v>25</v>
      </c>
      <c r="F4483" t="s">
        <v>29</v>
      </c>
      <c r="G4483" t="s">
        <v>39</v>
      </c>
      <c r="H4483">
        <v>4523.17</v>
      </c>
      <c r="I4483" s="8" t="str" cm="1">
        <f t="array" ref="I4483">_xlfn.IFS(C4483&lt;=15,"Children and Young Adolescents", C4483&gt;64, "Seniors", TRUE, "Working Age")</f>
        <v>Seniors</v>
      </c>
      <c r="J4483" s="6">
        <f>VLOOKUP(F4483,Analysis!$F$1:$G$5,2,FALSE)</f>
        <v>2496.7676064256989</v>
      </c>
      <c r="K4483">
        <f t="shared" ref="K4483:K4546" si="280">ROUNDDOWN(H4483*1.1,2)</f>
        <v>4975.4799999999996</v>
      </c>
      <c r="L4483">
        <f t="shared" ref="L4483:L4546" si="281">ROUNDUP(H4483*1.1,2)</f>
        <v>4975.49</v>
      </c>
      <c r="M4483">
        <f t="shared" ref="M4483:M4546" si="282">ROUND(H4483*1.1,2)</f>
        <v>4975.49</v>
      </c>
      <c r="N4483" s="5" t="str">
        <f t="shared" ref="N4483:N4546" si="283">TEXT(A4483,"mmmm yyyy")</f>
        <v>October 2023</v>
      </c>
    </row>
    <row r="4484" spans="1:14" x14ac:dyDescent="0.25">
      <c r="A4484" s="1">
        <v>45216</v>
      </c>
      <c r="B4484" t="s">
        <v>4333</v>
      </c>
      <c r="C4484">
        <v>2</v>
      </c>
      <c r="D4484" t="s">
        <v>21</v>
      </c>
      <c r="E4484" t="s">
        <v>34</v>
      </c>
      <c r="F4484" t="s">
        <v>23</v>
      </c>
      <c r="G4484" t="s">
        <v>39</v>
      </c>
      <c r="H4484">
        <v>4135.1000000000004</v>
      </c>
      <c r="I4484" s="8" t="str" cm="1">
        <f t="array" ref="I4484">_xlfn.IFS(C4484&lt;=15,"Children and Young Adolescents", C4484&gt;64, "Seniors", TRUE, "Working Age")</f>
        <v>Children and Young Adolescents</v>
      </c>
      <c r="J4484" s="6">
        <f>VLOOKUP(F4484,Analysis!$F$1:$G$5,2,FALSE)</f>
        <v>2440.2966694490838</v>
      </c>
      <c r="K4484">
        <f t="shared" si="280"/>
        <v>4548.6099999999997</v>
      </c>
      <c r="L4484">
        <f t="shared" si="281"/>
        <v>4548.6099999999997</v>
      </c>
      <c r="M4484">
        <f t="shared" si="282"/>
        <v>4548.6099999999997</v>
      </c>
      <c r="N4484" s="5" t="str">
        <f t="shared" si="283"/>
        <v>October 2023</v>
      </c>
    </row>
    <row r="4485" spans="1:14" x14ac:dyDescent="0.25">
      <c r="A4485" s="1">
        <v>45216</v>
      </c>
      <c r="B4485" t="s">
        <v>870</v>
      </c>
      <c r="C4485">
        <v>54</v>
      </c>
      <c r="D4485" t="s">
        <v>9</v>
      </c>
      <c r="E4485" t="s">
        <v>19</v>
      </c>
      <c r="F4485" t="s">
        <v>29</v>
      </c>
      <c r="G4485" t="s">
        <v>12</v>
      </c>
      <c r="H4485">
        <v>1031.0899999999999</v>
      </c>
      <c r="I4485" s="8" t="str" cm="1">
        <f t="array" ref="I4485">_xlfn.IFS(C4485&lt;=15,"Children and Young Adolescents", C4485&gt;64, "Seniors", TRUE, "Working Age")</f>
        <v>Working Age</v>
      </c>
      <c r="J4485" s="6">
        <f>VLOOKUP(F4485,Analysis!$F$1:$G$5,2,FALSE)</f>
        <v>2496.7676064256989</v>
      </c>
      <c r="K4485">
        <f t="shared" si="280"/>
        <v>1134.19</v>
      </c>
      <c r="L4485">
        <f t="shared" si="281"/>
        <v>1134.2</v>
      </c>
      <c r="M4485">
        <f t="shared" si="282"/>
        <v>1134.2</v>
      </c>
      <c r="N4485" s="5" t="str">
        <f t="shared" si="283"/>
        <v>October 2023</v>
      </c>
    </row>
    <row r="4486" spans="1:14" x14ac:dyDescent="0.25">
      <c r="A4486" s="1">
        <v>45216</v>
      </c>
      <c r="B4486" t="s">
        <v>381</v>
      </c>
      <c r="C4486">
        <v>34</v>
      </c>
      <c r="D4486" t="s">
        <v>14</v>
      </c>
      <c r="E4486" t="s">
        <v>15</v>
      </c>
      <c r="F4486" t="s">
        <v>16</v>
      </c>
      <c r="G4486" t="s">
        <v>12</v>
      </c>
      <c r="H4486">
        <v>3680.07</v>
      </c>
      <c r="I4486" s="8" t="str" cm="1">
        <f t="array" ref="I4486">_xlfn.IFS(C4486&lt;=15,"Children and Young Adolescents", C4486&gt;64, "Seniors", TRUE, "Working Age")</f>
        <v>Working Age</v>
      </c>
      <c r="J4486" s="6">
        <f>VLOOKUP(F4486,Analysis!$F$1:$G$5,2,FALSE)</f>
        <v>2509.1716796874912</v>
      </c>
      <c r="K4486">
        <f t="shared" si="280"/>
        <v>4048.07</v>
      </c>
      <c r="L4486">
        <f t="shared" si="281"/>
        <v>4048.0800000000004</v>
      </c>
      <c r="M4486">
        <f t="shared" si="282"/>
        <v>4048.08</v>
      </c>
      <c r="N4486" s="5" t="str">
        <f t="shared" si="283"/>
        <v>October 2023</v>
      </c>
    </row>
    <row r="4487" spans="1:14" x14ac:dyDescent="0.25">
      <c r="A4487" s="1">
        <v>45216</v>
      </c>
      <c r="B4487" t="s">
        <v>2772</v>
      </c>
      <c r="C4487">
        <v>13</v>
      </c>
      <c r="D4487" t="s">
        <v>21</v>
      </c>
      <c r="E4487" t="s">
        <v>34</v>
      </c>
      <c r="F4487" t="s">
        <v>16</v>
      </c>
      <c r="G4487" t="s">
        <v>36</v>
      </c>
      <c r="H4487">
        <v>3075.28</v>
      </c>
      <c r="I4487" s="8" t="str" cm="1">
        <f t="array" ref="I4487">_xlfn.IFS(C4487&lt;=15,"Children and Young Adolescents", C4487&gt;64, "Seniors", TRUE, "Working Age")</f>
        <v>Children and Young Adolescents</v>
      </c>
      <c r="J4487" s="6">
        <f>VLOOKUP(F4487,Analysis!$F$1:$G$5,2,FALSE)</f>
        <v>2509.1716796874912</v>
      </c>
      <c r="K4487">
        <f t="shared" si="280"/>
        <v>3382.8</v>
      </c>
      <c r="L4487">
        <f t="shared" si="281"/>
        <v>3382.8100000000004</v>
      </c>
      <c r="M4487">
        <f t="shared" si="282"/>
        <v>3382.81</v>
      </c>
      <c r="N4487" s="5" t="str">
        <f t="shared" si="283"/>
        <v>October 2023</v>
      </c>
    </row>
    <row r="4488" spans="1:14" x14ac:dyDescent="0.25">
      <c r="A4488" s="1">
        <v>45216</v>
      </c>
      <c r="B4488" t="s">
        <v>4783</v>
      </c>
      <c r="C4488">
        <v>97</v>
      </c>
      <c r="D4488" t="s">
        <v>9</v>
      </c>
      <c r="E4488" t="s">
        <v>32</v>
      </c>
      <c r="F4488" t="s">
        <v>29</v>
      </c>
      <c r="G4488" t="s">
        <v>39</v>
      </c>
      <c r="H4488">
        <v>740.6</v>
      </c>
      <c r="I4488" s="8" t="str" cm="1">
        <f t="array" ref="I4488">_xlfn.IFS(C4488&lt;=15,"Children and Young Adolescents", C4488&gt;64, "Seniors", TRUE, "Working Age")</f>
        <v>Seniors</v>
      </c>
      <c r="J4488" s="6">
        <f>VLOOKUP(F4488,Analysis!$F$1:$G$5,2,FALSE)</f>
        <v>2496.7676064256989</v>
      </c>
      <c r="K4488">
        <f t="shared" si="280"/>
        <v>814.66</v>
      </c>
      <c r="L4488">
        <f t="shared" si="281"/>
        <v>814.66</v>
      </c>
      <c r="M4488">
        <f t="shared" si="282"/>
        <v>814.66</v>
      </c>
      <c r="N4488" s="5" t="str">
        <f t="shared" si="283"/>
        <v>October 2023</v>
      </c>
    </row>
    <row r="4489" spans="1:14" x14ac:dyDescent="0.25">
      <c r="A4489" s="1">
        <v>45217</v>
      </c>
      <c r="B4489" t="s">
        <v>3339</v>
      </c>
      <c r="C4489">
        <v>57</v>
      </c>
      <c r="D4489" t="s">
        <v>9</v>
      </c>
      <c r="E4489" t="s">
        <v>34</v>
      </c>
      <c r="F4489" t="s">
        <v>11</v>
      </c>
      <c r="G4489" t="s">
        <v>12</v>
      </c>
      <c r="H4489">
        <v>4896.51</v>
      </c>
      <c r="I4489" s="8" t="str" cm="1">
        <f t="array" ref="I4489">_xlfn.IFS(C4489&lt;=15,"Children and Young Adolescents", C4489&gt;64, "Seniors", TRUE, "Working Age")</f>
        <v>Working Age</v>
      </c>
      <c r="J4489" s="6">
        <f>VLOOKUP(F4489,Analysis!$F$1:$G$5,2,FALSE)</f>
        <v>2503.6022787783854</v>
      </c>
      <c r="K4489">
        <f t="shared" si="280"/>
        <v>5386.16</v>
      </c>
      <c r="L4489">
        <f t="shared" si="281"/>
        <v>5386.17</v>
      </c>
      <c r="M4489">
        <f t="shared" si="282"/>
        <v>5386.16</v>
      </c>
      <c r="N4489" s="5" t="str">
        <f t="shared" si="283"/>
        <v>October 2023</v>
      </c>
    </row>
    <row r="4490" spans="1:14" x14ac:dyDescent="0.25">
      <c r="A4490" s="1">
        <v>45217</v>
      </c>
      <c r="B4490" t="s">
        <v>3410</v>
      </c>
      <c r="C4490">
        <v>36</v>
      </c>
      <c r="D4490" t="s">
        <v>21</v>
      </c>
      <c r="E4490" t="s">
        <v>22</v>
      </c>
      <c r="F4490" t="s">
        <v>23</v>
      </c>
      <c r="G4490" t="s">
        <v>12</v>
      </c>
      <c r="H4490">
        <v>287.77</v>
      </c>
      <c r="I4490" s="8" t="str" cm="1">
        <f t="array" ref="I4490">_xlfn.IFS(C4490&lt;=15,"Children and Young Adolescents", C4490&gt;64, "Seniors", TRUE, "Working Age")</f>
        <v>Working Age</v>
      </c>
      <c r="J4490" s="6">
        <f>VLOOKUP(F4490,Analysis!$F$1:$G$5,2,FALSE)</f>
        <v>2440.2966694490838</v>
      </c>
      <c r="K4490">
        <f t="shared" si="280"/>
        <v>316.54000000000002</v>
      </c>
      <c r="L4490">
        <f t="shared" si="281"/>
        <v>316.55</v>
      </c>
      <c r="M4490">
        <f t="shared" si="282"/>
        <v>316.55</v>
      </c>
      <c r="N4490" s="5" t="str">
        <f t="shared" si="283"/>
        <v>October 2023</v>
      </c>
    </row>
    <row r="4491" spans="1:14" x14ac:dyDescent="0.25">
      <c r="A4491" s="1">
        <v>45217</v>
      </c>
      <c r="B4491" t="s">
        <v>4958</v>
      </c>
      <c r="C4491">
        <v>16</v>
      </c>
      <c r="D4491" t="s">
        <v>9</v>
      </c>
      <c r="E4491" t="s">
        <v>19</v>
      </c>
      <c r="F4491" t="s">
        <v>23</v>
      </c>
      <c r="G4491" t="s">
        <v>12</v>
      </c>
      <c r="H4491">
        <v>3311.69</v>
      </c>
      <c r="I4491" s="8" t="str" cm="1">
        <f t="array" ref="I4491">_xlfn.IFS(C4491&lt;=15,"Children and Young Adolescents", C4491&gt;64, "Seniors", TRUE, "Working Age")</f>
        <v>Working Age</v>
      </c>
      <c r="J4491" s="6">
        <f>VLOOKUP(F4491,Analysis!$F$1:$G$5,2,FALSE)</f>
        <v>2440.2966694490838</v>
      </c>
      <c r="K4491">
        <f t="shared" si="280"/>
        <v>3642.85</v>
      </c>
      <c r="L4491">
        <f t="shared" si="281"/>
        <v>3642.86</v>
      </c>
      <c r="M4491">
        <f t="shared" si="282"/>
        <v>3642.86</v>
      </c>
      <c r="N4491" s="5" t="str">
        <f t="shared" si="283"/>
        <v>October 2023</v>
      </c>
    </row>
    <row r="4492" spans="1:14" x14ac:dyDescent="0.25">
      <c r="A4492" s="1">
        <v>45217</v>
      </c>
      <c r="B4492" t="s">
        <v>886</v>
      </c>
      <c r="C4492">
        <v>96</v>
      </c>
      <c r="D4492" t="s">
        <v>21</v>
      </c>
      <c r="E4492" t="s">
        <v>34</v>
      </c>
      <c r="F4492" t="s">
        <v>11</v>
      </c>
      <c r="G4492" t="s">
        <v>17</v>
      </c>
      <c r="H4492">
        <v>3656</v>
      </c>
      <c r="I4492" s="8" t="str" cm="1">
        <f t="array" ref="I4492">_xlfn.IFS(C4492&lt;=15,"Children and Young Adolescents", C4492&gt;64, "Seniors", TRUE, "Working Age")</f>
        <v>Seniors</v>
      </c>
      <c r="J4492" s="6">
        <f>VLOOKUP(F4492,Analysis!$F$1:$G$5,2,FALSE)</f>
        <v>2503.6022787783854</v>
      </c>
      <c r="K4492">
        <f t="shared" si="280"/>
        <v>4021.6</v>
      </c>
      <c r="L4492">
        <f t="shared" si="281"/>
        <v>4021.6</v>
      </c>
      <c r="M4492">
        <f t="shared" si="282"/>
        <v>4021.6</v>
      </c>
      <c r="N4492" s="5" t="str">
        <f t="shared" si="283"/>
        <v>October 2023</v>
      </c>
    </row>
    <row r="4493" spans="1:14" x14ac:dyDescent="0.25">
      <c r="A4493" s="1">
        <v>45217</v>
      </c>
      <c r="B4493" t="s">
        <v>4817</v>
      </c>
      <c r="C4493">
        <v>78</v>
      </c>
      <c r="D4493" t="s">
        <v>21</v>
      </c>
      <c r="E4493" t="s">
        <v>15</v>
      </c>
      <c r="F4493" t="s">
        <v>29</v>
      </c>
      <c r="G4493" t="s">
        <v>27</v>
      </c>
      <c r="H4493">
        <v>3944.54</v>
      </c>
      <c r="I4493" s="8" t="str" cm="1">
        <f t="array" ref="I4493">_xlfn.IFS(C4493&lt;=15,"Children and Young Adolescents", C4493&gt;64, "Seniors", TRUE, "Working Age")</f>
        <v>Seniors</v>
      </c>
      <c r="J4493" s="6">
        <f>VLOOKUP(F4493,Analysis!$F$1:$G$5,2,FALSE)</f>
        <v>2496.7676064256989</v>
      </c>
      <c r="K4493">
        <f t="shared" si="280"/>
        <v>4338.99</v>
      </c>
      <c r="L4493">
        <f t="shared" si="281"/>
        <v>4339</v>
      </c>
      <c r="M4493">
        <f t="shared" si="282"/>
        <v>4338.99</v>
      </c>
      <c r="N4493" s="5" t="str">
        <f t="shared" si="283"/>
        <v>October 2023</v>
      </c>
    </row>
    <row r="4494" spans="1:14" x14ac:dyDescent="0.25">
      <c r="A4494" s="1">
        <v>45217</v>
      </c>
      <c r="B4494" t="s">
        <v>3254</v>
      </c>
      <c r="C4494">
        <v>19</v>
      </c>
      <c r="D4494" t="s">
        <v>21</v>
      </c>
      <c r="E4494" t="s">
        <v>19</v>
      </c>
      <c r="F4494" t="s">
        <v>11</v>
      </c>
      <c r="G4494" t="s">
        <v>27</v>
      </c>
      <c r="H4494">
        <v>3124.21</v>
      </c>
      <c r="I4494" s="8" t="str" cm="1">
        <f t="array" ref="I4494">_xlfn.IFS(C4494&lt;=15,"Children and Young Adolescents", C4494&gt;64, "Seniors", TRUE, "Working Age")</f>
        <v>Working Age</v>
      </c>
      <c r="J4494" s="6">
        <f>VLOOKUP(F4494,Analysis!$F$1:$G$5,2,FALSE)</f>
        <v>2503.6022787783854</v>
      </c>
      <c r="K4494">
        <f t="shared" si="280"/>
        <v>3436.63</v>
      </c>
      <c r="L4494">
        <f t="shared" si="281"/>
        <v>3436.6400000000003</v>
      </c>
      <c r="M4494">
        <f t="shared" si="282"/>
        <v>3436.63</v>
      </c>
      <c r="N4494" s="5" t="str">
        <f t="shared" si="283"/>
        <v>October 2023</v>
      </c>
    </row>
    <row r="4495" spans="1:14" x14ac:dyDescent="0.25">
      <c r="A4495" s="1">
        <v>45217</v>
      </c>
      <c r="B4495" t="s">
        <v>838</v>
      </c>
      <c r="C4495">
        <v>37</v>
      </c>
      <c r="D4495" t="s">
        <v>14</v>
      </c>
      <c r="E4495" t="s">
        <v>15</v>
      </c>
      <c r="F4495" t="s">
        <v>23</v>
      </c>
      <c r="G4495" t="s">
        <v>36</v>
      </c>
      <c r="H4495">
        <v>928.37</v>
      </c>
      <c r="I4495" s="8" t="str" cm="1">
        <f t="array" ref="I4495">_xlfn.IFS(C4495&lt;=15,"Children and Young Adolescents", C4495&gt;64, "Seniors", TRUE, "Working Age")</f>
        <v>Working Age</v>
      </c>
      <c r="J4495" s="6">
        <f>VLOOKUP(F4495,Analysis!$F$1:$G$5,2,FALSE)</f>
        <v>2440.2966694490838</v>
      </c>
      <c r="K4495">
        <f t="shared" si="280"/>
        <v>1021.2</v>
      </c>
      <c r="L4495">
        <f t="shared" si="281"/>
        <v>1021.21</v>
      </c>
      <c r="M4495">
        <f t="shared" si="282"/>
        <v>1021.21</v>
      </c>
      <c r="N4495" s="5" t="str">
        <f t="shared" si="283"/>
        <v>October 2023</v>
      </c>
    </row>
    <row r="4496" spans="1:14" x14ac:dyDescent="0.25">
      <c r="A4496" s="1">
        <v>45218</v>
      </c>
      <c r="B4496" t="s">
        <v>2998</v>
      </c>
      <c r="C4496">
        <v>29</v>
      </c>
      <c r="D4496" t="s">
        <v>21</v>
      </c>
      <c r="E4496" t="s">
        <v>34</v>
      </c>
      <c r="F4496" t="s">
        <v>29</v>
      </c>
      <c r="G4496" t="s">
        <v>17</v>
      </c>
      <c r="H4496">
        <v>1440.99</v>
      </c>
      <c r="I4496" s="8" t="str" cm="1">
        <f t="array" ref="I4496">_xlfn.IFS(C4496&lt;=15,"Children and Young Adolescents", C4496&gt;64, "Seniors", TRUE, "Working Age")</f>
        <v>Working Age</v>
      </c>
      <c r="J4496" s="6">
        <f>VLOOKUP(F4496,Analysis!$F$1:$G$5,2,FALSE)</f>
        <v>2496.7676064256989</v>
      </c>
      <c r="K4496">
        <f t="shared" si="280"/>
        <v>1585.08</v>
      </c>
      <c r="L4496">
        <f t="shared" si="281"/>
        <v>1585.09</v>
      </c>
      <c r="M4496">
        <f t="shared" si="282"/>
        <v>1585.09</v>
      </c>
      <c r="N4496" s="5" t="str">
        <f t="shared" si="283"/>
        <v>October 2023</v>
      </c>
    </row>
    <row r="4497" spans="1:14" x14ac:dyDescent="0.25">
      <c r="A4497" s="1">
        <v>45218</v>
      </c>
      <c r="B4497" t="s">
        <v>931</v>
      </c>
      <c r="C4497">
        <v>68</v>
      </c>
      <c r="D4497" t="s">
        <v>9</v>
      </c>
      <c r="E4497" t="s">
        <v>10</v>
      </c>
      <c r="F4497" t="s">
        <v>23</v>
      </c>
      <c r="G4497" t="s">
        <v>12</v>
      </c>
      <c r="H4497">
        <v>4838.29</v>
      </c>
      <c r="I4497" s="8" t="str" cm="1">
        <f t="array" ref="I4497">_xlfn.IFS(C4497&lt;=15,"Children and Young Adolescents", C4497&gt;64, "Seniors", TRUE, "Working Age")</f>
        <v>Seniors</v>
      </c>
      <c r="J4497" s="6">
        <f>VLOOKUP(F4497,Analysis!$F$1:$G$5,2,FALSE)</f>
        <v>2440.2966694490838</v>
      </c>
      <c r="K4497">
        <f t="shared" si="280"/>
        <v>5322.11</v>
      </c>
      <c r="L4497">
        <f t="shared" si="281"/>
        <v>5322.12</v>
      </c>
      <c r="M4497">
        <f t="shared" si="282"/>
        <v>5322.12</v>
      </c>
      <c r="N4497" s="5" t="str">
        <f t="shared" si="283"/>
        <v>October 2023</v>
      </c>
    </row>
    <row r="4498" spans="1:14" x14ac:dyDescent="0.25">
      <c r="A4498" s="1">
        <v>45218</v>
      </c>
      <c r="B4498" t="s">
        <v>168</v>
      </c>
      <c r="C4498">
        <v>45</v>
      </c>
      <c r="D4498" t="s">
        <v>14</v>
      </c>
      <c r="E4498" t="s">
        <v>22</v>
      </c>
      <c r="F4498" t="s">
        <v>29</v>
      </c>
      <c r="G4498" t="s">
        <v>17</v>
      </c>
      <c r="H4498">
        <v>3819.84</v>
      </c>
      <c r="I4498" s="8" t="str" cm="1">
        <f t="array" ref="I4498">_xlfn.IFS(C4498&lt;=15,"Children and Young Adolescents", C4498&gt;64, "Seniors", TRUE, "Working Age")</f>
        <v>Working Age</v>
      </c>
      <c r="J4498" s="6">
        <f>VLOOKUP(F4498,Analysis!$F$1:$G$5,2,FALSE)</f>
        <v>2496.7676064256989</v>
      </c>
      <c r="K4498">
        <f t="shared" si="280"/>
        <v>4201.82</v>
      </c>
      <c r="L4498">
        <f t="shared" si="281"/>
        <v>4201.83</v>
      </c>
      <c r="M4498">
        <f t="shared" si="282"/>
        <v>4201.82</v>
      </c>
      <c r="N4498" s="5" t="str">
        <f t="shared" si="283"/>
        <v>October 2023</v>
      </c>
    </row>
    <row r="4499" spans="1:14" x14ac:dyDescent="0.25">
      <c r="A4499" s="1">
        <v>45218</v>
      </c>
      <c r="B4499" t="s">
        <v>72</v>
      </c>
      <c r="C4499">
        <v>92</v>
      </c>
      <c r="D4499" t="s">
        <v>21</v>
      </c>
      <c r="E4499" t="s">
        <v>25</v>
      </c>
      <c r="F4499" t="s">
        <v>29</v>
      </c>
      <c r="G4499" t="s">
        <v>12</v>
      </c>
      <c r="H4499">
        <v>4608.54</v>
      </c>
      <c r="I4499" s="8" t="str" cm="1">
        <f t="array" ref="I4499">_xlfn.IFS(C4499&lt;=15,"Children and Young Adolescents", C4499&gt;64, "Seniors", TRUE, "Working Age")</f>
        <v>Seniors</v>
      </c>
      <c r="J4499" s="6">
        <f>VLOOKUP(F4499,Analysis!$F$1:$G$5,2,FALSE)</f>
        <v>2496.7676064256989</v>
      </c>
      <c r="K4499">
        <f t="shared" si="280"/>
        <v>5069.3900000000003</v>
      </c>
      <c r="L4499">
        <f t="shared" si="281"/>
        <v>5069.4000000000005</v>
      </c>
      <c r="M4499">
        <f t="shared" si="282"/>
        <v>5069.3900000000003</v>
      </c>
      <c r="N4499" s="5" t="str">
        <f t="shared" si="283"/>
        <v>October 2023</v>
      </c>
    </row>
    <row r="4500" spans="1:14" x14ac:dyDescent="0.25">
      <c r="A4500" s="1">
        <v>45218</v>
      </c>
      <c r="B4500" t="s">
        <v>2305</v>
      </c>
      <c r="C4500">
        <v>34</v>
      </c>
      <c r="D4500" t="s">
        <v>14</v>
      </c>
      <c r="E4500" t="s">
        <v>32</v>
      </c>
      <c r="F4500" t="s">
        <v>11</v>
      </c>
      <c r="G4500" t="s">
        <v>17</v>
      </c>
      <c r="H4500">
        <v>126.05</v>
      </c>
      <c r="I4500" s="8" t="str" cm="1">
        <f t="array" ref="I4500">_xlfn.IFS(C4500&lt;=15,"Children and Young Adolescents", C4500&gt;64, "Seniors", TRUE, "Working Age")</f>
        <v>Working Age</v>
      </c>
      <c r="J4500" s="6">
        <f>VLOOKUP(F4500,Analysis!$F$1:$G$5,2,FALSE)</f>
        <v>2503.6022787783854</v>
      </c>
      <c r="K4500">
        <f t="shared" si="280"/>
        <v>138.65</v>
      </c>
      <c r="L4500">
        <f t="shared" si="281"/>
        <v>138.66</v>
      </c>
      <c r="M4500">
        <f t="shared" si="282"/>
        <v>138.66</v>
      </c>
      <c r="N4500" s="5" t="str">
        <f t="shared" si="283"/>
        <v>October 2023</v>
      </c>
    </row>
    <row r="4501" spans="1:14" x14ac:dyDescent="0.25">
      <c r="A4501" s="1">
        <v>45218</v>
      </c>
      <c r="B4501" t="s">
        <v>1534</v>
      </c>
      <c r="C4501">
        <v>71</v>
      </c>
      <c r="D4501" t="s">
        <v>14</v>
      </c>
      <c r="E4501" t="s">
        <v>32</v>
      </c>
      <c r="F4501" t="s">
        <v>16</v>
      </c>
      <c r="G4501" t="s">
        <v>12</v>
      </c>
      <c r="H4501">
        <v>4752.21</v>
      </c>
      <c r="I4501" s="8" t="str" cm="1">
        <f t="array" ref="I4501">_xlfn.IFS(C4501&lt;=15,"Children and Young Adolescents", C4501&gt;64, "Seniors", TRUE, "Working Age")</f>
        <v>Seniors</v>
      </c>
      <c r="J4501" s="6">
        <f>VLOOKUP(F4501,Analysis!$F$1:$G$5,2,FALSE)</f>
        <v>2509.1716796874912</v>
      </c>
      <c r="K4501">
        <f t="shared" si="280"/>
        <v>5227.43</v>
      </c>
      <c r="L4501">
        <f t="shared" si="281"/>
        <v>5227.4400000000005</v>
      </c>
      <c r="M4501">
        <f t="shared" si="282"/>
        <v>5227.43</v>
      </c>
      <c r="N4501" s="5" t="str">
        <f t="shared" si="283"/>
        <v>October 2023</v>
      </c>
    </row>
    <row r="4502" spans="1:14" x14ac:dyDescent="0.25">
      <c r="A4502" s="1">
        <v>45218</v>
      </c>
      <c r="B4502" t="s">
        <v>2714</v>
      </c>
      <c r="C4502">
        <v>70</v>
      </c>
      <c r="D4502" t="s">
        <v>14</v>
      </c>
      <c r="E4502" t="s">
        <v>19</v>
      </c>
      <c r="F4502" t="s">
        <v>11</v>
      </c>
      <c r="G4502" t="s">
        <v>12</v>
      </c>
      <c r="H4502">
        <v>2882.7</v>
      </c>
      <c r="I4502" s="8" t="str" cm="1">
        <f t="array" ref="I4502">_xlfn.IFS(C4502&lt;=15,"Children and Young Adolescents", C4502&gt;64, "Seniors", TRUE, "Working Age")</f>
        <v>Seniors</v>
      </c>
      <c r="J4502" s="6">
        <f>VLOOKUP(F4502,Analysis!$F$1:$G$5,2,FALSE)</f>
        <v>2503.6022787783854</v>
      </c>
      <c r="K4502">
        <f t="shared" si="280"/>
        <v>3170.97</v>
      </c>
      <c r="L4502">
        <f t="shared" si="281"/>
        <v>3170.97</v>
      </c>
      <c r="M4502">
        <f t="shared" si="282"/>
        <v>3170.97</v>
      </c>
      <c r="N4502" s="5" t="str">
        <f t="shared" si="283"/>
        <v>October 2023</v>
      </c>
    </row>
    <row r="4503" spans="1:14" x14ac:dyDescent="0.25">
      <c r="A4503" s="1">
        <v>45219</v>
      </c>
      <c r="B4503" t="s">
        <v>3394</v>
      </c>
      <c r="C4503">
        <v>7</v>
      </c>
      <c r="D4503" t="s">
        <v>9</v>
      </c>
      <c r="E4503" t="s">
        <v>25</v>
      </c>
      <c r="F4503" t="s">
        <v>16</v>
      </c>
      <c r="G4503" t="s">
        <v>27</v>
      </c>
      <c r="H4503">
        <v>3135.57</v>
      </c>
      <c r="I4503" s="8" t="str" cm="1">
        <f t="array" ref="I4503">_xlfn.IFS(C4503&lt;=15,"Children and Young Adolescents", C4503&gt;64, "Seniors", TRUE, "Working Age")</f>
        <v>Children and Young Adolescents</v>
      </c>
      <c r="J4503" s="6">
        <f>VLOOKUP(F4503,Analysis!$F$1:$G$5,2,FALSE)</f>
        <v>2509.1716796874912</v>
      </c>
      <c r="K4503">
        <f t="shared" si="280"/>
        <v>3449.12</v>
      </c>
      <c r="L4503">
        <f t="shared" si="281"/>
        <v>3449.13</v>
      </c>
      <c r="M4503">
        <f t="shared" si="282"/>
        <v>3449.13</v>
      </c>
      <c r="N4503" s="5" t="str">
        <f t="shared" si="283"/>
        <v>October 2023</v>
      </c>
    </row>
    <row r="4504" spans="1:14" x14ac:dyDescent="0.25">
      <c r="A4504" s="1">
        <v>45219</v>
      </c>
      <c r="B4504" t="s">
        <v>3026</v>
      </c>
      <c r="C4504">
        <v>91</v>
      </c>
      <c r="D4504" t="s">
        <v>21</v>
      </c>
      <c r="E4504" t="s">
        <v>32</v>
      </c>
      <c r="F4504" t="s">
        <v>11</v>
      </c>
      <c r="G4504" t="s">
        <v>39</v>
      </c>
      <c r="H4504">
        <v>2172.25</v>
      </c>
      <c r="I4504" s="8" t="str" cm="1">
        <f t="array" ref="I4504">_xlfn.IFS(C4504&lt;=15,"Children and Young Adolescents", C4504&gt;64, "Seniors", TRUE, "Working Age")</f>
        <v>Seniors</v>
      </c>
      <c r="J4504" s="6">
        <f>VLOOKUP(F4504,Analysis!$F$1:$G$5,2,FALSE)</f>
        <v>2503.6022787783854</v>
      </c>
      <c r="K4504">
        <f t="shared" si="280"/>
        <v>2389.4699999999998</v>
      </c>
      <c r="L4504">
        <f t="shared" si="281"/>
        <v>2389.48</v>
      </c>
      <c r="M4504">
        <f t="shared" si="282"/>
        <v>2389.48</v>
      </c>
      <c r="N4504" s="5" t="str">
        <f t="shared" si="283"/>
        <v>October 2023</v>
      </c>
    </row>
    <row r="4505" spans="1:14" x14ac:dyDescent="0.25">
      <c r="A4505" s="1">
        <v>45219</v>
      </c>
      <c r="B4505" t="s">
        <v>1866</v>
      </c>
      <c r="C4505">
        <v>54</v>
      </c>
      <c r="D4505" t="s">
        <v>9</v>
      </c>
      <c r="E4505" t="s">
        <v>34</v>
      </c>
      <c r="F4505" t="s">
        <v>23</v>
      </c>
      <c r="G4505" t="s">
        <v>12</v>
      </c>
      <c r="H4505">
        <v>3198.38</v>
      </c>
      <c r="I4505" s="8" t="str" cm="1">
        <f t="array" ref="I4505">_xlfn.IFS(C4505&lt;=15,"Children and Young Adolescents", C4505&gt;64, "Seniors", TRUE, "Working Age")</f>
        <v>Working Age</v>
      </c>
      <c r="J4505" s="6">
        <f>VLOOKUP(F4505,Analysis!$F$1:$G$5,2,FALSE)</f>
        <v>2440.2966694490838</v>
      </c>
      <c r="K4505">
        <f t="shared" si="280"/>
        <v>3518.21</v>
      </c>
      <c r="L4505">
        <f t="shared" si="281"/>
        <v>3518.2200000000003</v>
      </c>
      <c r="M4505">
        <f t="shared" si="282"/>
        <v>3518.22</v>
      </c>
      <c r="N4505" s="5" t="str">
        <f t="shared" si="283"/>
        <v>October 2023</v>
      </c>
    </row>
    <row r="4506" spans="1:14" x14ac:dyDescent="0.25">
      <c r="A4506" s="1">
        <v>45219</v>
      </c>
      <c r="B4506" t="s">
        <v>1323</v>
      </c>
      <c r="C4506">
        <v>6</v>
      </c>
      <c r="D4506" t="s">
        <v>14</v>
      </c>
      <c r="E4506" t="s">
        <v>15</v>
      </c>
      <c r="F4506" t="s">
        <v>11</v>
      </c>
      <c r="G4506" t="s">
        <v>36</v>
      </c>
      <c r="H4506">
        <v>2559.79</v>
      </c>
      <c r="I4506" s="8" t="str" cm="1">
        <f t="array" ref="I4506">_xlfn.IFS(C4506&lt;=15,"Children and Young Adolescents", C4506&gt;64, "Seniors", TRUE, "Working Age")</f>
        <v>Children and Young Adolescents</v>
      </c>
      <c r="J4506" s="6">
        <f>VLOOKUP(F4506,Analysis!$F$1:$G$5,2,FALSE)</f>
        <v>2503.6022787783854</v>
      </c>
      <c r="K4506">
        <f t="shared" si="280"/>
        <v>2815.76</v>
      </c>
      <c r="L4506">
        <f t="shared" si="281"/>
        <v>2815.7700000000004</v>
      </c>
      <c r="M4506">
        <f t="shared" si="282"/>
        <v>2815.77</v>
      </c>
      <c r="N4506" s="5" t="str">
        <f t="shared" si="283"/>
        <v>October 2023</v>
      </c>
    </row>
    <row r="4507" spans="1:14" x14ac:dyDescent="0.25">
      <c r="A4507" s="1">
        <v>45219</v>
      </c>
      <c r="B4507" t="s">
        <v>815</v>
      </c>
      <c r="C4507">
        <v>27</v>
      </c>
      <c r="D4507" t="s">
        <v>21</v>
      </c>
      <c r="E4507" t="s">
        <v>19</v>
      </c>
      <c r="F4507" t="s">
        <v>23</v>
      </c>
      <c r="G4507" t="s">
        <v>36</v>
      </c>
      <c r="H4507">
        <v>1661.66</v>
      </c>
      <c r="I4507" s="8" t="str" cm="1">
        <f t="array" ref="I4507">_xlfn.IFS(C4507&lt;=15,"Children and Young Adolescents", C4507&gt;64, "Seniors", TRUE, "Working Age")</f>
        <v>Working Age</v>
      </c>
      <c r="J4507" s="6">
        <f>VLOOKUP(F4507,Analysis!$F$1:$G$5,2,FALSE)</f>
        <v>2440.2966694490838</v>
      </c>
      <c r="K4507">
        <f t="shared" si="280"/>
        <v>1827.82</v>
      </c>
      <c r="L4507">
        <f t="shared" si="281"/>
        <v>1827.83</v>
      </c>
      <c r="M4507">
        <f t="shared" si="282"/>
        <v>1827.83</v>
      </c>
      <c r="N4507" s="5" t="str">
        <f t="shared" si="283"/>
        <v>October 2023</v>
      </c>
    </row>
    <row r="4508" spans="1:14" x14ac:dyDescent="0.25">
      <c r="A4508" s="1">
        <v>45220</v>
      </c>
      <c r="B4508" t="s">
        <v>2364</v>
      </c>
      <c r="C4508">
        <v>3</v>
      </c>
      <c r="D4508" t="s">
        <v>21</v>
      </c>
      <c r="E4508" t="s">
        <v>10</v>
      </c>
      <c r="F4508" t="s">
        <v>16</v>
      </c>
      <c r="G4508" t="s">
        <v>36</v>
      </c>
      <c r="H4508">
        <v>1486.55</v>
      </c>
      <c r="I4508" s="8" t="str" cm="1">
        <f t="array" ref="I4508">_xlfn.IFS(C4508&lt;=15,"Children and Young Adolescents", C4508&gt;64, "Seniors", TRUE, "Working Age")</f>
        <v>Children and Young Adolescents</v>
      </c>
      <c r="J4508" s="6">
        <f>VLOOKUP(F4508,Analysis!$F$1:$G$5,2,FALSE)</f>
        <v>2509.1716796874912</v>
      </c>
      <c r="K4508">
        <f t="shared" si="280"/>
        <v>1635.2</v>
      </c>
      <c r="L4508">
        <f t="shared" si="281"/>
        <v>1635.21</v>
      </c>
      <c r="M4508">
        <f t="shared" si="282"/>
        <v>1635.21</v>
      </c>
      <c r="N4508" s="5" t="str">
        <f t="shared" si="283"/>
        <v>October 2023</v>
      </c>
    </row>
    <row r="4509" spans="1:14" x14ac:dyDescent="0.25">
      <c r="A4509" s="1">
        <v>45220</v>
      </c>
      <c r="B4509" t="s">
        <v>1524</v>
      </c>
      <c r="C4509">
        <v>53</v>
      </c>
      <c r="D4509" t="s">
        <v>21</v>
      </c>
      <c r="E4509" t="s">
        <v>10</v>
      </c>
      <c r="F4509" t="s">
        <v>11</v>
      </c>
      <c r="G4509" t="s">
        <v>36</v>
      </c>
      <c r="H4509">
        <v>3925.11</v>
      </c>
      <c r="I4509" s="8" t="str" cm="1">
        <f t="array" ref="I4509">_xlfn.IFS(C4509&lt;=15,"Children and Young Adolescents", C4509&gt;64, "Seniors", TRUE, "Working Age")</f>
        <v>Working Age</v>
      </c>
      <c r="J4509" s="6">
        <f>VLOOKUP(F4509,Analysis!$F$1:$G$5,2,FALSE)</f>
        <v>2503.6022787783854</v>
      </c>
      <c r="K4509">
        <f t="shared" si="280"/>
        <v>4317.62</v>
      </c>
      <c r="L4509">
        <f t="shared" si="281"/>
        <v>4317.63</v>
      </c>
      <c r="M4509">
        <f t="shared" si="282"/>
        <v>4317.62</v>
      </c>
      <c r="N4509" s="5" t="str">
        <f t="shared" si="283"/>
        <v>October 2023</v>
      </c>
    </row>
    <row r="4510" spans="1:14" x14ac:dyDescent="0.25">
      <c r="A4510" s="1">
        <v>45220</v>
      </c>
      <c r="B4510" t="s">
        <v>1699</v>
      </c>
      <c r="C4510">
        <v>17</v>
      </c>
      <c r="D4510" t="s">
        <v>14</v>
      </c>
      <c r="E4510" t="s">
        <v>34</v>
      </c>
      <c r="F4510" t="s">
        <v>23</v>
      </c>
      <c r="G4510" t="s">
        <v>12</v>
      </c>
      <c r="H4510">
        <v>3874.82</v>
      </c>
      <c r="I4510" s="8" t="str" cm="1">
        <f t="array" ref="I4510">_xlfn.IFS(C4510&lt;=15,"Children and Young Adolescents", C4510&gt;64, "Seniors", TRUE, "Working Age")</f>
        <v>Working Age</v>
      </c>
      <c r="J4510" s="6">
        <f>VLOOKUP(F4510,Analysis!$F$1:$G$5,2,FALSE)</f>
        <v>2440.2966694490838</v>
      </c>
      <c r="K4510">
        <f t="shared" si="280"/>
        <v>4262.3</v>
      </c>
      <c r="L4510">
        <f t="shared" si="281"/>
        <v>4262.3100000000004</v>
      </c>
      <c r="M4510">
        <f t="shared" si="282"/>
        <v>4262.3</v>
      </c>
      <c r="N4510" s="5" t="str">
        <f t="shared" si="283"/>
        <v>October 2023</v>
      </c>
    </row>
    <row r="4511" spans="1:14" x14ac:dyDescent="0.25">
      <c r="A4511" s="1">
        <v>45220</v>
      </c>
      <c r="B4511" t="s">
        <v>3759</v>
      </c>
      <c r="C4511">
        <v>5</v>
      </c>
      <c r="D4511" t="s">
        <v>9</v>
      </c>
      <c r="E4511" t="s">
        <v>5032</v>
      </c>
      <c r="F4511" t="s">
        <v>16</v>
      </c>
      <c r="G4511" t="s">
        <v>12</v>
      </c>
      <c r="H4511">
        <v>4669.18</v>
      </c>
      <c r="I4511" s="8" t="str" cm="1">
        <f t="array" ref="I4511">_xlfn.IFS(C4511&lt;=15,"Children and Young Adolescents", C4511&gt;64, "Seniors", TRUE, "Working Age")</f>
        <v>Children and Young Adolescents</v>
      </c>
      <c r="J4511" s="6">
        <f>VLOOKUP(F4511,Analysis!$F$1:$G$5,2,FALSE)</f>
        <v>2509.1716796874912</v>
      </c>
      <c r="K4511">
        <f t="shared" si="280"/>
        <v>5136.09</v>
      </c>
      <c r="L4511">
        <f t="shared" si="281"/>
        <v>5136.1000000000004</v>
      </c>
      <c r="M4511">
        <f t="shared" si="282"/>
        <v>5136.1000000000004</v>
      </c>
      <c r="N4511" s="5" t="str">
        <f t="shared" si="283"/>
        <v>October 2023</v>
      </c>
    </row>
    <row r="4512" spans="1:14" x14ac:dyDescent="0.25">
      <c r="A4512" s="1">
        <v>45220</v>
      </c>
      <c r="B4512" t="s">
        <v>4743</v>
      </c>
      <c r="C4512">
        <v>2</v>
      </c>
      <c r="D4512" t="s">
        <v>14</v>
      </c>
      <c r="E4512" t="s">
        <v>25</v>
      </c>
      <c r="F4512" t="s">
        <v>11</v>
      </c>
      <c r="G4512" t="s">
        <v>27</v>
      </c>
      <c r="H4512">
        <v>3072.07</v>
      </c>
      <c r="I4512" s="8" t="str" cm="1">
        <f t="array" ref="I4512">_xlfn.IFS(C4512&lt;=15,"Children and Young Adolescents", C4512&gt;64, "Seniors", TRUE, "Working Age")</f>
        <v>Children and Young Adolescents</v>
      </c>
      <c r="J4512" s="6">
        <f>VLOOKUP(F4512,Analysis!$F$1:$G$5,2,FALSE)</f>
        <v>2503.6022787783854</v>
      </c>
      <c r="K4512">
        <f t="shared" si="280"/>
        <v>3379.27</v>
      </c>
      <c r="L4512">
        <f t="shared" si="281"/>
        <v>3379.28</v>
      </c>
      <c r="M4512">
        <f t="shared" si="282"/>
        <v>3379.28</v>
      </c>
      <c r="N4512" s="5" t="str">
        <f t="shared" si="283"/>
        <v>October 2023</v>
      </c>
    </row>
    <row r="4513" spans="1:14" x14ac:dyDescent="0.25">
      <c r="A4513" s="1">
        <v>45220</v>
      </c>
      <c r="B4513" t="s">
        <v>2594</v>
      </c>
      <c r="C4513">
        <v>83</v>
      </c>
      <c r="D4513" t="s">
        <v>9</v>
      </c>
      <c r="E4513" t="s">
        <v>25</v>
      </c>
      <c r="F4513" t="s">
        <v>23</v>
      </c>
      <c r="G4513" t="s">
        <v>39</v>
      </c>
      <c r="H4513">
        <v>289.27999999999997</v>
      </c>
      <c r="I4513" s="8" t="str" cm="1">
        <f t="array" ref="I4513">_xlfn.IFS(C4513&lt;=15,"Children and Young Adolescents", C4513&gt;64, "Seniors", TRUE, "Working Age")</f>
        <v>Seniors</v>
      </c>
      <c r="J4513" s="6">
        <f>VLOOKUP(F4513,Analysis!$F$1:$G$5,2,FALSE)</f>
        <v>2440.2966694490838</v>
      </c>
      <c r="K4513">
        <f t="shared" si="280"/>
        <v>318.2</v>
      </c>
      <c r="L4513">
        <f t="shared" si="281"/>
        <v>318.20999999999998</v>
      </c>
      <c r="M4513">
        <f t="shared" si="282"/>
        <v>318.20999999999998</v>
      </c>
      <c r="N4513" s="5" t="str">
        <f t="shared" si="283"/>
        <v>October 2023</v>
      </c>
    </row>
    <row r="4514" spans="1:14" x14ac:dyDescent="0.25">
      <c r="A4514" s="1">
        <v>45220</v>
      </c>
      <c r="B4514" t="s">
        <v>2844</v>
      </c>
      <c r="C4514">
        <v>72</v>
      </c>
      <c r="D4514" t="s">
        <v>9</v>
      </c>
      <c r="E4514" t="s">
        <v>15</v>
      </c>
      <c r="F4514" t="s">
        <v>16</v>
      </c>
      <c r="G4514" t="s">
        <v>12</v>
      </c>
      <c r="H4514">
        <v>2482.44</v>
      </c>
      <c r="I4514" s="8" t="str" cm="1">
        <f t="array" ref="I4514">_xlfn.IFS(C4514&lt;=15,"Children and Young Adolescents", C4514&gt;64, "Seniors", TRUE, "Working Age")</f>
        <v>Seniors</v>
      </c>
      <c r="J4514" s="6">
        <f>VLOOKUP(F4514,Analysis!$F$1:$G$5,2,FALSE)</f>
        <v>2509.1716796874912</v>
      </c>
      <c r="K4514">
        <f t="shared" si="280"/>
        <v>2730.68</v>
      </c>
      <c r="L4514">
        <f t="shared" si="281"/>
        <v>2730.69</v>
      </c>
      <c r="M4514">
        <f t="shared" si="282"/>
        <v>2730.68</v>
      </c>
      <c r="N4514" s="5" t="str">
        <f t="shared" si="283"/>
        <v>October 2023</v>
      </c>
    </row>
    <row r="4515" spans="1:14" x14ac:dyDescent="0.25">
      <c r="A4515" s="1">
        <v>45221</v>
      </c>
      <c r="B4515" t="s">
        <v>4273</v>
      </c>
      <c r="C4515">
        <v>54</v>
      </c>
      <c r="D4515" t="s">
        <v>9</v>
      </c>
      <c r="E4515" t="s">
        <v>10</v>
      </c>
      <c r="F4515" t="s">
        <v>29</v>
      </c>
      <c r="G4515" t="s">
        <v>27</v>
      </c>
      <c r="H4515">
        <v>2001.66</v>
      </c>
      <c r="I4515" s="8" t="str" cm="1">
        <f t="array" ref="I4515">_xlfn.IFS(C4515&lt;=15,"Children and Young Adolescents", C4515&gt;64, "Seniors", TRUE, "Working Age")</f>
        <v>Working Age</v>
      </c>
      <c r="J4515" s="6">
        <f>VLOOKUP(F4515,Analysis!$F$1:$G$5,2,FALSE)</f>
        <v>2496.7676064256989</v>
      </c>
      <c r="K4515">
        <f t="shared" si="280"/>
        <v>2201.8200000000002</v>
      </c>
      <c r="L4515">
        <f t="shared" si="281"/>
        <v>2201.8300000000004</v>
      </c>
      <c r="M4515">
        <f t="shared" si="282"/>
        <v>2201.83</v>
      </c>
      <c r="N4515" s="5" t="str">
        <f t="shared" si="283"/>
        <v>October 2023</v>
      </c>
    </row>
    <row r="4516" spans="1:14" x14ac:dyDescent="0.25">
      <c r="A4516" s="1">
        <v>45221</v>
      </c>
      <c r="B4516" t="s">
        <v>3612</v>
      </c>
      <c r="C4516">
        <v>78</v>
      </c>
      <c r="D4516" t="s">
        <v>9</v>
      </c>
      <c r="E4516" t="s">
        <v>25</v>
      </c>
      <c r="F4516" t="s">
        <v>29</v>
      </c>
      <c r="G4516" t="s">
        <v>17</v>
      </c>
      <c r="H4516">
        <v>2209.21</v>
      </c>
      <c r="I4516" s="8" t="str" cm="1">
        <f t="array" ref="I4516">_xlfn.IFS(C4516&lt;=15,"Children and Young Adolescents", C4516&gt;64, "Seniors", TRUE, "Working Age")</f>
        <v>Seniors</v>
      </c>
      <c r="J4516" s="6">
        <f>VLOOKUP(F4516,Analysis!$F$1:$G$5,2,FALSE)</f>
        <v>2496.7676064256989</v>
      </c>
      <c r="K4516">
        <f t="shared" si="280"/>
        <v>2430.13</v>
      </c>
      <c r="L4516">
        <f t="shared" si="281"/>
        <v>2430.1400000000003</v>
      </c>
      <c r="M4516">
        <f t="shared" si="282"/>
        <v>2430.13</v>
      </c>
      <c r="N4516" s="5" t="str">
        <f t="shared" si="283"/>
        <v>October 2023</v>
      </c>
    </row>
    <row r="4517" spans="1:14" x14ac:dyDescent="0.25">
      <c r="A4517" s="1">
        <v>45221</v>
      </c>
      <c r="B4517" t="s">
        <v>4437</v>
      </c>
      <c r="C4517">
        <v>67</v>
      </c>
      <c r="D4517" t="s">
        <v>9</v>
      </c>
      <c r="E4517" t="s">
        <v>5032</v>
      </c>
      <c r="F4517" t="s">
        <v>16</v>
      </c>
      <c r="G4517" t="s">
        <v>5033</v>
      </c>
      <c r="H4517">
        <v>3457.06</v>
      </c>
      <c r="I4517" s="8" t="str" cm="1">
        <f t="array" ref="I4517">_xlfn.IFS(C4517&lt;=15,"Children and Young Adolescents", C4517&gt;64, "Seniors", TRUE, "Working Age")</f>
        <v>Seniors</v>
      </c>
      <c r="J4517" s="6">
        <f>VLOOKUP(F4517,Analysis!$F$1:$G$5,2,FALSE)</f>
        <v>2509.1716796874912</v>
      </c>
      <c r="K4517">
        <f t="shared" si="280"/>
        <v>3802.76</v>
      </c>
      <c r="L4517">
        <f t="shared" si="281"/>
        <v>3802.7700000000004</v>
      </c>
      <c r="M4517">
        <f t="shared" si="282"/>
        <v>3802.77</v>
      </c>
      <c r="N4517" s="5" t="str">
        <f t="shared" si="283"/>
        <v>October 2023</v>
      </c>
    </row>
    <row r="4518" spans="1:14" x14ac:dyDescent="0.25">
      <c r="A4518" s="1">
        <v>45221</v>
      </c>
      <c r="B4518" t="s">
        <v>4398</v>
      </c>
      <c r="C4518">
        <v>73</v>
      </c>
      <c r="D4518" t="s">
        <v>14</v>
      </c>
      <c r="E4518" t="s">
        <v>19</v>
      </c>
      <c r="F4518" t="s">
        <v>29</v>
      </c>
      <c r="G4518" t="s">
        <v>17</v>
      </c>
      <c r="H4518">
        <v>1986.22</v>
      </c>
      <c r="I4518" s="8" t="str" cm="1">
        <f t="array" ref="I4518">_xlfn.IFS(C4518&lt;=15,"Children and Young Adolescents", C4518&gt;64, "Seniors", TRUE, "Working Age")</f>
        <v>Seniors</v>
      </c>
      <c r="J4518" s="6">
        <f>VLOOKUP(F4518,Analysis!$F$1:$G$5,2,FALSE)</f>
        <v>2496.7676064256989</v>
      </c>
      <c r="K4518">
        <f t="shared" si="280"/>
        <v>2184.84</v>
      </c>
      <c r="L4518">
        <f t="shared" si="281"/>
        <v>2184.8500000000004</v>
      </c>
      <c r="M4518">
        <f t="shared" si="282"/>
        <v>2184.84</v>
      </c>
      <c r="N4518" s="5" t="str">
        <f t="shared" si="283"/>
        <v>October 2023</v>
      </c>
    </row>
    <row r="4519" spans="1:14" x14ac:dyDescent="0.25">
      <c r="A4519" s="1">
        <v>45221</v>
      </c>
      <c r="B4519" t="s">
        <v>1599</v>
      </c>
      <c r="C4519">
        <v>41</v>
      </c>
      <c r="D4519" t="s">
        <v>9</v>
      </c>
      <c r="E4519" t="s">
        <v>32</v>
      </c>
      <c r="F4519" t="s">
        <v>11</v>
      </c>
      <c r="G4519" t="s">
        <v>39</v>
      </c>
      <c r="H4519">
        <v>4785.22</v>
      </c>
      <c r="I4519" s="8" t="str" cm="1">
        <f t="array" ref="I4519">_xlfn.IFS(C4519&lt;=15,"Children and Young Adolescents", C4519&gt;64, "Seniors", TRUE, "Working Age")</f>
        <v>Working Age</v>
      </c>
      <c r="J4519" s="6">
        <f>VLOOKUP(F4519,Analysis!$F$1:$G$5,2,FALSE)</f>
        <v>2503.6022787783854</v>
      </c>
      <c r="K4519">
        <f t="shared" si="280"/>
        <v>5263.74</v>
      </c>
      <c r="L4519">
        <f t="shared" si="281"/>
        <v>5263.75</v>
      </c>
      <c r="M4519">
        <f t="shared" si="282"/>
        <v>5263.74</v>
      </c>
      <c r="N4519" s="5" t="str">
        <f t="shared" si="283"/>
        <v>October 2023</v>
      </c>
    </row>
    <row r="4520" spans="1:14" x14ac:dyDescent="0.25">
      <c r="A4520" s="1">
        <v>45221</v>
      </c>
      <c r="B4520" t="s">
        <v>3099</v>
      </c>
      <c r="C4520">
        <v>21</v>
      </c>
      <c r="D4520" t="s">
        <v>9</v>
      </c>
      <c r="E4520" t="s">
        <v>32</v>
      </c>
      <c r="F4520" t="s">
        <v>11</v>
      </c>
      <c r="G4520" t="s">
        <v>12</v>
      </c>
      <c r="H4520">
        <v>3565.01</v>
      </c>
      <c r="I4520" s="8" t="str" cm="1">
        <f t="array" ref="I4520">_xlfn.IFS(C4520&lt;=15,"Children and Young Adolescents", C4520&gt;64, "Seniors", TRUE, "Working Age")</f>
        <v>Working Age</v>
      </c>
      <c r="J4520" s="6">
        <f>VLOOKUP(F4520,Analysis!$F$1:$G$5,2,FALSE)</f>
        <v>2503.6022787783854</v>
      </c>
      <c r="K4520">
        <f t="shared" si="280"/>
        <v>3921.51</v>
      </c>
      <c r="L4520">
        <f t="shared" si="281"/>
        <v>3921.5200000000004</v>
      </c>
      <c r="M4520">
        <f t="shared" si="282"/>
        <v>3921.51</v>
      </c>
      <c r="N4520" s="5" t="str">
        <f t="shared" si="283"/>
        <v>October 2023</v>
      </c>
    </row>
    <row r="4521" spans="1:14" x14ac:dyDescent="0.25">
      <c r="A4521" s="1">
        <v>45221</v>
      </c>
      <c r="B4521" t="s">
        <v>663</v>
      </c>
      <c r="C4521">
        <v>55</v>
      </c>
      <c r="D4521" t="s">
        <v>14</v>
      </c>
      <c r="E4521" t="s">
        <v>32</v>
      </c>
      <c r="F4521" t="s">
        <v>23</v>
      </c>
      <c r="G4521" t="s">
        <v>39</v>
      </c>
      <c r="H4521">
        <v>1732.08</v>
      </c>
      <c r="I4521" s="8" t="str" cm="1">
        <f t="array" ref="I4521">_xlfn.IFS(C4521&lt;=15,"Children and Young Adolescents", C4521&gt;64, "Seniors", TRUE, "Working Age")</f>
        <v>Working Age</v>
      </c>
      <c r="J4521" s="6">
        <f>VLOOKUP(F4521,Analysis!$F$1:$G$5,2,FALSE)</f>
        <v>2440.2966694490838</v>
      </c>
      <c r="K4521">
        <f t="shared" si="280"/>
        <v>1905.28</v>
      </c>
      <c r="L4521">
        <f t="shared" si="281"/>
        <v>1905.29</v>
      </c>
      <c r="M4521">
        <f t="shared" si="282"/>
        <v>1905.29</v>
      </c>
      <c r="N4521" s="5" t="str">
        <f t="shared" si="283"/>
        <v>October 2023</v>
      </c>
    </row>
    <row r="4522" spans="1:14" x14ac:dyDescent="0.25">
      <c r="A4522" s="1">
        <v>45221</v>
      </c>
      <c r="B4522" t="s">
        <v>2852</v>
      </c>
      <c r="C4522">
        <v>14</v>
      </c>
      <c r="D4522" t="s">
        <v>14</v>
      </c>
      <c r="E4522" t="s">
        <v>5032</v>
      </c>
      <c r="F4522" t="s">
        <v>29</v>
      </c>
      <c r="G4522" t="s">
        <v>36</v>
      </c>
      <c r="H4522">
        <v>823.75</v>
      </c>
      <c r="I4522" s="8" t="str" cm="1">
        <f t="array" ref="I4522">_xlfn.IFS(C4522&lt;=15,"Children and Young Adolescents", C4522&gt;64, "Seniors", TRUE, "Working Age")</f>
        <v>Children and Young Adolescents</v>
      </c>
      <c r="J4522" s="6">
        <f>VLOOKUP(F4522,Analysis!$F$1:$G$5,2,FALSE)</f>
        <v>2496.7676064256989</v>
      </c>
      <c r="K4522">
        <f t="shared" si="280"/>
        <v>906.12</v>
      </c>
      <c r="L4522">
        <f t="shared" si="281"/>
        <v>906.13</v>
      </c>
      <c r="M4522">
        <f t="shared" si="282"/>
        <v>906.13</v>
      </c>
      <c r="N4522" s="5" t="str">
        <f t="shared" si="283"/>
        <v>October 2023</v>
      </c>
    </row>
    <row r="4523" spans="1:14" x14ac:dyDescent="0.25">
      <c r="A4523" s="1">
        <v>45221</v>
      </c>
      <c r="B4523" t="s">
        <v>3398</v>
      </c>
      <c r="C4523">
        <v>38</v>
      </c>
      <c r="D4523" t="s">
        <v>21</v>
      </c>
      <c r="E4523" t="s">
        <v>34</v>
      </c>
      <c r="F4523" t="s">
        <v>23</v>
      </c>
      <c r="G4523" t="s">
        <v>12</v>
      </c>
      <c r="H4523">
        <v>4732.28</v>
      </c>
      <c r="I4523" s="8" t="str" cm="1">
        <f t="array" ref="I4523">_xlfn.IFS(C4523&lt;=15,"Children and Young Adolescents", C4523&gt;64, "Seniors", TRUE, "Working Age")</f>
        <v>Working Age</v>
      </c>
      <c r="J4523" s="6">
        <f>VLOOKUP(F4523,Analysis!$F$1:$G$5,2,FALSE)</f>
        <v>2440.2966694490838</v>
      </c>
      <c r="K4523">
        <f t="shared" si="280"/>
        <v>5205.5</v>
      </c>
      <c r="L4523">
        <f t="shared" si="281"/>
        <v>5205.51</v>
      </c>
      <c r="M4523">
        <f t="shared" si="282"/>
        <v>5205.51</v>
      </c>
      <c r="N4523" s="5" t="str">
        <f t="shared" si="283"/>
        <v>October 2023</v>
      </c>
    </row>
    <row r="4524" spans="1:14" x14ac:dyDescent="0.25">
      <c r="A4524" s="1">
        <v>45221</v>
      </c>
      <c r="B4524" t="s">
        <v>1962</v>
      </c>
      <c r="C4524">
        <v>98</v>
      </c>
      <c r="D4524" t="s">
        <v>21</v>
      </c>
      <c r="E4524" t="s">
        <v>10</v>
      </c>
      <c r="F4524" t="s">
        <v>16</v>
      </c>
      <c r="G4524" t="s">
        <v>27</v>
      </c>
      <c r="H4524">
        <v>4243.9399999999996</v>
      </c>
      <c r="I4524" s="8" t="str" cm="1">
        <f t="array" ref="I4524">_xlfn.IFS(C4524&lt;=15,"Children and Young Adolescents", C4524&gt;64, "Seniors", TRUE, "Working Age")</f>
        <v>Seniors</v>
      </c>
      <c r="J4524" s="6">
        <f>VLOOKUP(F4524,Analysis!$F$1:$G$5,2,FALSE)</f>
        <v>2509.1716796874912</v>
      </c>
      <c r="K4524">
        <f t="shared" si="280"/>
        <v>4668.33</v>
      </c>
      <c r="L4524">
        <f t="shared" si="281"/>
        <v>4668.34</v>
      </c>
      <c r="M4524">
        <f t="shared" si="282"/>
        <v>4668.33</v>
      </c>
      <c r="N4524" s="5" t="str">
        <f t="shared" si="283"/>
        <v>October 2023</v>
      </c>
    </row>
    <row r="4525" spans="1:14" x14ac:dyDescent="0.25">
      <c r="A4525" s="1">
        <v>45222</v>
      </c>
      <c r="B4525" t="s">
        <v>300</v>
      </c>
      <c r="C4525">
        <v>60</v>
      </c>
      <c r="D4525" t="s">
        <v>21</v>
      </c>
      <c r="E4525" t="s">
        <v>25</v>
      </c>
      <c r="F4525" t="s">
        <v>23</v>
      </c>
      <c r="G4525" t="s">
        <v>5033</v>
      </c>
      <c r="H4525">
        <v>3971.49</v>
      </c>
      <c r="I4525" s="8" t="str" cm="1">
        <f t="array" ref="I4525">_xlfn.IFS(C4525&lt;=15,"Children and Young Adolescents", C4525&gt;64, "Seniors", TRUE, "Working Age")</f>
        <v>Working Age</v>
      </c>
      <c r="J4525" s="6">
        <f>VLOOKUP(F4525,Analysis!$F$1:$G$5,2,FALSE)</f>
        <v>2440.2966694490838</v>
      </c>
      <c r="K4525">
        <f t="shared" si="280"/>
        <v>4368.63</v>
      </c>
      <c r="L4525">
        <f t="shared" si="281"/>
        <v>4368.6400000000003</v>
      </c>
      <c r="M4525">
        <f t="shared" si="282"/>
        <v>4368.6400000000003</v>
      </c>
      <c r="N4525" s="5" t="str">
        <f t="shared" si="283"/>
        <v>October 2023</v>
      </c>
    </row>
    <row r="4526" spans="1:14" x14ac:dyDescent="0.25">
      <c r="A4526" s="1">
        <v>45222</v>
      </c>
      <c r="B4526" t="s">
        <v>3872</v>
      </c>
      <c r="C4526">
        <v>94</v>
      </c>
      <c r="D4526" t="s">
        <v>21</v>
      </c>
      <c r="E4526" t="s">
        <v>19</v>
      </c>
      <c r="F4526" t="s">
        <v>23</v>
      </c>
      <c r="G4526" t="s">
        <v>27</v>
      </c>
      <c r="H4526">
        <v>4248.21</v>
      </c>
      <c r="I4526" s="8" t="str" cm="1">
        <f t="array" ref="I4526">_xlfn.IFS(C4526&lt;=15,"Children and Young Adolescents", C4526&gt;64, "Seniors", TRUE, "Working Age")</f>
        <v>Seniors</v>
      </c>
      <c r="J4526" s="6">
        <f>VLOOKUP(F4526,Analysis!$F$1:$G$5,2,FALSE)</f>
        <v>2440.2966694490838</v>
      </c>
      <c r="K4526">
        <f t="shared" si="280"/>
        <v>4673.03</v>
      </c>
      <c r="L4526">
        <f t="shared" si="281"/>
        <v>4673.04</v>
      </c>
      <c r="M4526">
        <f t="shared" si="282"/>
        <v>4673.03</v>
      </c>
      <c r="N4526" s="5" t="str">
        <f t="shared" si="283"/>
        <v>October 2023</v>
      </c>
    </row>
    <row r="4527" spans="1:14" x14ac:dyDescent="0.25">
      <c r="A4527" s="1">
        <v>45222</v>
      </c>
      <c r="B4527" t="s">
        <v>1145</v>
      </c>
      <c r="C4527">
        <v>21</v>
      </c>
      <c r="D4527" t="s">
        <v>21</v>
      </c>
      <c r="E4527" t="s">
        <v>19</v>
      </c>
      <c r="F4527" t="s">
        <v>11</v>
      </c>
      <c r="G4527" t="s">
        <v>36</v>
      </c>
      <c r="H4527">
        <v>3693.89</v>
      </c>
      <c r="I4527" s="8" t="str" cm="1">
        <f t="array" ref="I4527">_xlfn.IFS(C4527&lt;=15,"Children and Young Adolescents", C4527&gt;64, "Seniors", TRUE, "Working Age")</f>
        <v>Working Age</v>
      </c>
      <c r="J4527" s="6">
        <f>VLOOKUP(F4527,Analysis!$F$1:$G$5,2,FALSE)</f>
        <v>2503.6022787783854</v>
      </c>
      <c r="K4527">
        <f t="shared" si="280"/>
        <v>4063.27</v>
      </c>
      <c r="L4527">
        <f t="shared" si="281"/>
        <v>4063.28</v>
      </c>
      <c r="M4527">
        <f t="shared" si="282"/>
        <v>4063.28</v>
      </c>
      <c r="N4527" s="5" t="str">
        <f t="shared" si="283"/>
        <v>October 2023</v>
      </c>
    </row>
    <row r="4528" spans="1:14" x14ac:dyDescent="0.25">
      <c r="A4528" s="1">
        <v>45222</v>
      </c>
      <c r="B4528" t="s">
        <v>3605</v>
      </c>
      <c r="C4528">
        <v>54</v>
      </c>
      <c r="D4528" t="s">
        <v>14</v>
      </c>
      <c r="E4528" t="s">
        <v>10</v>
      </c>
      <c r="F4528" t="s">
        <v>16</v>
      </c>
      <c r="G4528" t="s">
        <v>12</v>
      </c>
      <c r="H4528">
        <v>549.54</v>
      </c>
      <c r="I4528" s="8" t="str" cm="1">
        <f t="array" ref="I4528">_xlfn.IFS(C4528&lt;=15,"Children and Young Adolescents", C4528&gt;64, "Seniors", TRUE, "Working Age")</f>
        <v>Working Age</v>
      </c>
      <c r="J4528" s="6">
        <f>VLOOKUP(F4528,Analysis!$F$1:$G$5,2,FALSE)</f>
        <v>2509.1716796874912</v>
      </c>
      <c r="K4528">
        <f t="shared" si="280"/>
        <v>604.49</v>
      </c>
      <c r="L4528">
        <f t="shared" si="281"/>
        <v>604.5</v>
      </c>
      <c r="M4528">
        <f t="shared" si="282"/>
        <v>604.49</v>
      </c>
      <c r="N4528" s="5" t="str">
        <f t="shared" si="283"/>
        <v>October 2023</v>
      </c>
    </row>
    <row r="4529" spans="1:14" x14ac:dyDescent="0.25">
      <c r="A4529" s="1">
        <v>45222</v>
      </c>
      <c r="B4529" t="s">
        <v>907</v>
      </c>
      <c r="C4529">
        <v>4</v>
      </c>
      <c r="D4529" t="s">
        <v>9</v>
      </c>
      <c r="E4529" t="s">
        <v>25</v>
      </c>
      <c r="F4529" t="s">
        <v>11</v>
      </c>
      <c r="G4529" t="s">
        <v>36</v>
      </c>
      <c r="H4529">
        <v>781.35</v>
      </c>
      <c r="I4529" s="8" t="str" cm="1">
        <f t="array" ref="I4529">_xlfn.IFS(C4529&lt;=15,"Children and Young Adolescents", C4529&gt;64, "Seniors", TRUE, "Working Age")</f>
        <v>Children and Young Adolescents</v>
      </c>
      <c r="J4529" s="6">
        <f>VLOOKUP(F4529,Analysis!$F$1:$G$5,2,FALSE)</f>
        <v>2503.6022787783854</v>
      </c>
      <c r="K4529">
        <f t="shared" si="280"/>
        <v>859.48</v>
      </c>
      <c r="L4529">
        <f t="shared" si="281"/>
        <v>859.49</v>
      </c>
      <c r="M4529">
        <f t="shared" si="282"/>
        <v>859.49</v>
      </c>
      <c r="N4529" s="5" t="str">
        <f t="shared" si="283"/>
        <v>October 2023</v>
      </c>
    </row>
    <row r="4530" spans="1:14" x14ac:dyDescent="0.25">
      <c r="A4530" s="1">
        <v>45222</v>
      </c>
      <c r="B4530" t="s">
        <v>104</v>
      </c>
      <c r="C4530">
        <v>83</v>
      </c>
      <c r="D4530" t="s">
        <v>21</v>
      </c>
      <c r="E4530" t="s">
        <v>32</v>
      </c>
      <c r="F4530" t="s">
        <v>11</v>
      </c>
      <c r="G4530" t="s">
        <v>12</v>
      </c>
      <c r="H4530">
        <v>890.35</v>
      </c>
      <c r="I4530" s="8" t="str" cm="1">
        <f t="array" ref="I4530">_xlfn.IFS(C4530&lt;=15,"Children and Young Adolescents", C4530&gt;64, "Seniors", TRUE, "Working Age")</f>
        <v>Seniors</v>
      </c>
      <c r="J4530" s="6">
        <f>VLOOKUP(F4530,Analysis!$F$1:$G$5,2,FALSE)</f>
        <v>2503.6022787783854</v>
      </c>
      <c r="K4530">
        <f t="shared" si="280"/>
        <v>979.38</v>
      </c>
      <c r="L4530">
        <f t="shared" si="281"/>
        <v>979.39</v>
      </c>
      <c r="M4530">
        <f t="shared" si="282"/>
        <v>979.39</v>
      </c>
      <c r="N4530" s="5" t="str">
        <f t="shared" si="283"/>
        <v>October 2023</v>
      </c>
    </row>
    <row r="4531" spans="1:14" x14ac:dyDescent="0.25">
      <c r="A4531" s="1">
        <v>45222</v>
      </c>
      <c r="B4531" t="s">
        <v>1670</v>
      </c>
      <c r="C4531">
        <v>23</v>
      </c>
      <c r="D4531" t="s">
        <v>21</v>
      </c>
      <c r="E4531" t="s">
        <v>34</v>
      </c>
      <c r="F4531" t="s">
        <v>16</v>
      </c>
      <c r="G4531" t="s">
        <v>12</v>
      </c>
      <c r="H4531">
        <v>995.75</v>
      </c>
      <c r="I4531" s="8" t="str" cm="1">
        <f t="array" ref="I4531">_xlfn.IFS(C4531&lt;=15,"Children and Young Adolescents", C4531&gt;64, "Seniors", TRUE, "Working Age")</f>
        <v>Working Age</v>
      </c>
      <c r="J4531" s="6">
        <f>VLOOKUP(F4531,Analysis!$F$1:$G$5,2,FALSE)</f>
        <v>2509.1716796874912</v>
      </c>
      <c r="K4531">
        <f t="shared" si="280"/>
        <v>1095.32</v>
      </c>
      <c r="L4531">
        <f t="shared" si="281"/>
        <v>1095.33</v>
      </c>
      <c r="M4531">
        <f t="shared" si="282"/>
        <v>1095.33</v>
      </c>
      <c r="N4531" s="5" t="str">
        <f t="shared" si="283"/>
        <v>October 2023</v>
      </c>
    </row>
    <row r="4532" spans="1:14" x14ac:dyDescent="0.25">
      <c r="A4532" s="1">
        <v>45222</v>
      </c>
      <c r="B4532" t="s">
        <v>844</v>
      </c>
      <c r="C4532">
        <v>17</v>
      </c>
      <c r="D4532" t="s">
        <v>21</v>
      </c>
      <c r="E4532" t="s">
        <v>32</v>
      </c>
      <c r="F4532" t="s">
        <v>23</v>
      </c>
      <c r="G4532" t="s">
        <v>27</v>
      </c>
      <c r="H4532">
        <v>4499.71</v>
      </c>
      <c r="I4532" s="8" t="str" cm="1">
        <f t="array" ref="I4532">_xlfn.IFS(C4532&lt;=15,"Children and Young Adolescents", C4532&gt;64, "Seniors", TRUE, "Working Age")</f>
        <v>Working Age</v>
      </c>
      <c r="J4532" s="6">
        <f>VLOOKUP(F4532,Analysis!$F$1:$G$5,2,FALSE)</f>
        <v>2440.2966694490838</v>
      </c>
      <c r="K4532">
        <f t="shared" si="280"/>
        <v>4949.68</v>
      </c>
      <c r="L4532">
        <f t="shared" si="281"/>
        <v>4949.6900000000005</v>
      </c>
      <c r="M4532">
        <f t="shared" si="282"/>
        <v>4949.68</v>
      </c>
      <c r="N4532" s="5" t="str">
        <f t="shared" si="283"/>
        <v>October 2023</v>
      </c>
    </row>
    <row r="4533" spans="1:14" x14ac:dyDescent="0.25">
      <c r="A4533" s="1">
        <v>45223</v>
      </c>
      <c r="B4533" t="s">
        <v>3211</v>
      </c>
      <c r="C4533">
        <v>42</v>
      </c>
      <c r="D4533" t="s">
        <v>9</v>
      </c>
      <c r="E4533" t="s">
        <v>10</v>
      </c>
      <c r="F4533" t="s">
        <v>16</v>
      </c>
      <c r="G4533" t="s">
        <v>12</v>
      </c>
      <c r="H4533">
        <v>2986.79</v>
      </c>
      <c r="I4533" s="8" t="str" cm="1">
        <f t="array" ref="I4533">_xlfn.IFS(C4533&lt;=15,"Children and Young Adolescents", C4533&gt;64, "Seniors", TRUE, "Working Age")</f>
        <v>Working Age</v>
      </c>
      <c r="J4533" s="6">
        <f>VLOOKUP(F4533,Analysis!$F$1:$G$5,2,FALSE)</f>
        <v>2509.1716796874912</v>
      </c>
      <c r="K4533">
        <f t="shared" si="280"/>
        <v>3285.46</v>
      </c>
      <c r="L4533">
        <f t="shared" si="281"/>
        <v>3285.4700000000003</v>
      </c>
      <c r="M4533">
        <f t="shared" si="282"/>
        <v>3285.47</v>
      </c>
      <c r="N4533" s="5" t="str">
        <f t="shared" si="283"/>
        <v>October 2023</v>
      </c>
    </row>
    <row r="4534" spans="1:14" x14ac:dyDescent="0.25">
      <c r="A4534" s="1">
        <v>45223</v>
      </c>
      <c r="B4534" t="s">
        <v>4263</v>
      </c>
      <c r="C4534">
        <v>30</v>
      </c>
      <c r="D4534" t="s">
        <v>9</v>
      </c>
      <c r="E4534" t="s">
        <v>22</v>
      </c>
      <c r="F4534" t="s">
        <v>11</v>
      </c>
      <c r="G4534" t="s">
        <v>27</v>
      </c>
      <c r="H4534">
        <v>4122.33</v>
      </c>
      <c r="I4534" s="8" t="str" cm="1">
        <f t="array" ref="I4534">_xlfn.IFS(C4534&lt;=15,"Children and Young Adolescents", C4534&gt;64, "Seniors", TRUE, "Working Age")</f>
        <v>Working Age</v>
      </c>
      <c r="J4534" s="6">
        <f>VLOOKUP(F4534,Analysis!$F$1:$G$5,2,FALSE)</f>
        <v>2503.6022787783854</v>
      </c>
      <c r="K4534">
        <f t="shared" si="280"/>
        <v>4534.5600000000004</v>
      </c>
      <c r="L4534">
        <f t="shared" si="281"/>
        <v>4534.5700000000006</v>
      </c>
      <c r="M4534">
        <f t="shared" si="282"/>
        <v>4534.5600000000004</v>
      </c>
      <c r="N4534" s="5" t="str">
        <f t="shared" si="283"/>
        <v>October 2023</v>
      </c>
    </row>
    <row r="4535" spans="1:14" x14ac:dyDescent="0.25">
      <c r="A4535" s="1">
        <v>45223</v>
      </c>
      <c r="B4535" t="s">
        <v>2063</v>
      </c>
      <c r="C4535">
        <v>18</v>
      </c>
      <c r="D4535" t="s">
        <v>21</v>
      </c>
      <c r="E4535" t="s">
        <v>22</v>
      </c>
      <c r="F4535" t="s">
        <v>23</v>
      </c>
      <c r="G4535" t="s">
        <v>36</v>
      </c>
      <c r="H4535">
        <v>358.71</v>
      </c>
      <c r="I4535" s="8" t="str" cm="1">
        <f t="array" ref="I4535">_xlfn.IFS(C4535&lt;=15,"Children and Young Adolescents", C4535&gt;64, "Seniors", TRUE, "Working Age")</f>
        <v>Working Age</v>
      </c>
      <c r="J4535" s="6">
        <f>VLOOKUP(F4535,Analysis!$F$1:$G$5,2,FALSE)</f>
        <v>2440.2966694490838</v>
      </c>
      <c r="K4535">
        <f t="shared" si="280"/>
        <v>394.58</v>
      </c>
      <c r="L4535">
        <f t="shared" si="281"/>
        <v>394.59</v>
      </c>
      <c r="M4535">
        <f t="shared" si="282"/>
        <v>394.58</v>
      </c>
      <c r="N4535" s="5" t="str">
        <f t="shared" si="283"/>
        <v>October 2023</v>
      </c>
    </row>
    <row r="4536" spans="1:14" x14ac:dyDescent="0.25">
      <c r="A4536" s="1">
        <v>45223</v>
      </c>
      <c r="B4536" t="s">
        <v>1647</v>
      </c>
      <c r="C4536">
        <v>23</v>
      </c>
      <c r="D4536" t="s">
        <v>21</v>
      </c>
      <c r="E4536" t="s">
        <v>25</v>
      </c>
      <c r="F4536" t="s">
        <v>29</v>
      </c>
      <c r="G4536" t="s">
        <v>27</v>
      </c>
      <c r="H4536">
        <v>1644.75</v>
      </c>
      <c r="I4536" s="8" t="str" cm="1">
        <f t="array" ref="I4536">_xlfn.IFS(C4536&lt;=15,"Children and Young Adolescents", C4536&gt;64, "Seniors", TRUE, "Working Age")</f>
        <v>Working Age</v>
      </c>
      <c r="J4536" s="6">
        <f>VLOOKUP(F4536,Analysis!$F$1:$G$5,2,FALSE)</f>
        <v>2496.7676064256989</v>
      </c>
      <c r="K4536">
        <f t="shared" si="280"/>
        <v>1809.22</v>
      </c>
      <c r="L4536">
        <f t="shared" si="281"/>
        <v>1809.23</v>
      </c>
      <c r="M4536">
        <f t="shared" si="282"/>
        <v>1809.23</v>
      </c>
      <c r="N4536" s="5" t="str">
        <f t="shared" si="283"/>
        <v>October 2023</v>
      </c>
    </row>
    <row r="4537" spans="1:14" x14ac:dyDescent="0.25">
      <c r="A4537" s="1">
        <v>45223</v>
      </c>
      <c r="B4537" t="s">
        <v>879</v>
      </c>
      <c r="C4537">
        <v>84</v>
      </c>
      <c r="D4537" t="s">
        <v>21</v>
      </c>
      <c r="E4537" t="s">
        <v>19</v>
      </c>
      <c r="F4537" t="s">
        <v>16</v>
      </c>
      <c r="G4537" t="s">
        <v>27</v>
      </c>
      <c r="H4537">
        <v>1319.77</v>
      </c>
      <c r="I4537" s="8" t="str" cm="1">
        <f t="array" ref="I4537">_xlfn.IFS(C4537&lt;=15,"Children and Young Adolescents", C4537&gt;64, "Seniors", TRUE, "Working Age")</f>
        <v>Seniors</v>
      </c>
      <c r="J4537" s="6">
        <f>VLOOKUP(F4537,Analysis!$F$1:$G$5,2,FALSE)</f>
        <v>2509.1716796874912</v>
      </c>
      <c r="K4537">
        <f t="shared" si="280"/>
        <v>1451.74</v>
      </c>
      <c r="L4537">
        <f t="shared" si="281"/>
        <v>1451.75</v>
      </c>
      <c r="M4537">
        <f t="shared" si="282"/>
        <v>1451.75</v>
      </c>
      <c r="N4537" s="5" t="str">
        <f t="shared" si="283"/>
        <v>October 2023</v>
      </c>
    </row>
    <row r="4538" spans="1:14" x14ac:dyDescent="0.25">
      <c r="A4538" s="1">
        <v>45223</v>
      </c>
      <c r="B4538" t="s">
        <v>4724</v>
      </c>
      <c r="C4538">
        <v>73</v>
      </c>
      <c r="D4538" t="s">
        <v>21</v>
      </c>
      <c r="E4538" t="s">
        <v>10</v>
      </c>
      <c r="F4538" t="s">
        <v>11</v>
      </c>
      <c r="G4538" t="s">
        <v>17</v>
      </c>
      <c r="H4538">
        <v>1324.04</v>
      </c>
      <c r="I4538" s="8" t="str" cm="1">
        <f t="array" ref="I4538">_xlfn.IFS(C4538&lt;=15,"Children and Young Adolescents", C4538&gt;64, "Seniors", TRUE, "Working Age")</f>
        <v>Seniors</v>
      </c>
      <c r="J4538" s="6">
        <f>VLOOKUP(F4538,Analysis!$F$1:$G$5,2,FALSE)</f>
        <v>2503.6022787783854</v>
      </c>
      <c r="K4538">
        <f t="shared" si="280"/>
        <v>1456.44</v>
      </c>
      <c r="L4538">
        <f t="shared" si="281"/>
        <v>1456.45</v>
      </c>
      <c r="M4538">
        <f t="shared" si="282"/>
        <v>1456.44</v>
      </c>
      <c r="N4538" s="5" t="str">
        <f t="shared" si="283"/>
        <v>October 2023</v>
      </c>
    </row>
    <row r="4539" spans="1:14" x14ac:dyDescent="0.25">
      <c r="A4539" s="1">
        <v>45223</v>
      </c>
      <c r="B4539" t="s">
        <v>1117</v>
      </c>
      <c r="C4539">
        <v>16</v>
      </c>
      <c r="D4539" t="s">
        <v>21</v>
      </c>
      <c r="E4539" t="s">
        <v>10</v>
      </c>
      <c r="F4539" t="s">
        <v>29</v>
      </c>
      <c r="G4539" t="s">
        <v>36</v>
      </c>
      <c r="H4539">
        <v>2437.5300000000002</v>
      </c>
      <c r="I4539" s="8" t="str" cm="1">
        <f t="array" ref="I4539">_xlfn.IFS(C4539&lt;=15,"Children and Young Adolescents", C4539&gt;64, "Seniors", TRUE, "Working Age")</f>
        <v>Working Age</v>
      </c>
      <c r="J4539" s="6">
        <f>VLOOKUP(F4539,Analysis!$F$1:$G$5,2,FALSE)</f>
        <v>2496.7676064256989</v>
      </c>
      <c r="K4539">
        <f t="shared" si="280"/>
        <v>2681.28</v>
      </c>
      <c r="L4539">
        <f t="shared" si="281"/>
        <v>2681.2900000000004</v>
      </c>
      <c r="M4539">
        <f t="shared" si="282"/>
        <v>2681.28</v>
      </c>
      <c r="N4539" s="5" t="str">
        <f t="shared" si="283"/>
        <v>October 2023</v>
      </c>
    </row>
    <row r="4540" spans="1:14" x14ac:dyDescent="0.25">
      <c r="A4540" s="1">
        <v>45224</v>
      </c>
      <c r="B4540" t="s">
        <v>1436</v>
      </c>
      <c r="C4540">
        <v>75</v>
      </c>
      <c r="D4540" t="s">
        <v>9</v>
      </c>
      <c r="E4540" t="s">
        <v>22</v>
      </c>
      <c r="F4540" t="s">
        <v>11</v>
      </c>
      <c r="G4540" t="s">
        <v>36</v>
      </c>
      <c r="H4540">
        <v>132.02000000000001</v>
      </c>
      <c r="I4540" s="8" t="str" cm="1">
        <f t="array" ref="I4540">_xlfn.IFS(C4540&lt;=15,"Children and Young Adolescents", C4540&gt;64, "Seniors", TRUE, "Working Age")</f>
        <v>Seniors</v>
      </c>
      <c r="J4540" s="6">
        <f>VLOOKUP(F4540,Analysis!$F$1:$G$5,2,FALSE)</f>
        <v>2503.6022787783854</v>
      </c>
      <c r="K4540">
        <f t="shared" si="280"/>
        <v>145.22</v>
      </c>
      <c r="L4540">
        <f t="shared" si="281"/>
        <v>145.22999999999999</v>
      </c>
      <c r="M4540">
        <f t="shared" si="282"/>
        <v>145.22</v>
      </c>
      <c r="N4540" s="5" t="str">
        <f t="shared" si="283"/>
        <v>October 2023</v>
      </c>
    </row>
    <row r="4541" spans="1:14" x14ac:dyDescent="0.25">
      <c r="A4541" s="1">
        <v>45224</v>
      </c>
      <c r="B4541" t="s">
        <v>3691</v>
      </c>
      <c r="C4541">
        <v>2</v>
      </c>
      <c r="D4541" t="s">
        <v>21</v>
      </c>
      <c r="E4541" t="s">
        <v>5032</v>
      </c>
      <c r="F4541" t="s">
        <v>16</v>
      </c>
      <c r="G4541" t="s">
        <v>27</v>
      </c>
      <c r="H4541">
        <v>2175.6</v>
      </c>
      <c r="I4541" s="8" t="str" cm="1">
        <f t="array" ref="I4541">_xlfn.IFS(C4541&lt;=15,"Children and Young Adolescents", C4541&gt;64, "Seniors", TRUE, "Working Age")</f>
        <v>Children and Young Adolescents</v>
      </c>
      <c r="J4541" s="6">
        <f>VLOOKUP(F4541,Analysis!$F$1:$G$5,2,FALSE)</f>
        <v>2509.1716796874912</v>
      </c>
      <c r="K4541">
        <f t="shared" si="280"/>
        <v>2393.16</v>
      </c>
      <c r="L4541">
        <f t="shared" si="281"/>
        <v>2393.16</v>
      </c>
      <c r="M4541">
        <f t="shared" si="282"/>
        <v>2393.16</v>
      </c>
      <c r="N4541" s="5" t="str">
        <f t="shared" si="283"/>
        <v>October 2023</v>
      </c>
    </row>
    <row r="4542" spans="1:14" x14ac:dyDescent="0.25">
      <c r="A4542" s="1">
        <v>45224</v>
      </c>
      <c r="B4542" t="s">
        <v>3343</v>
      </c>
      <c r="C4542">
        <v>85</v>
      </c>
      <c r="D4542" t="s">
        <v>14</v>
      </c>
      <c r="E4542" t="s">
        <v>10</v>
      </c>
      <c r="F4542" t="s">
        <v>29</v>
      </c>
      <c r="G4542" t="s">
        <v>12</v>
      </c>
      <c r="H4542">
        <v>1144.3</v>
      </c>
      <c r="I4542" s="8" t="str" cm="1">
        <f t="array" ref="I4542">_xlfn.IFS(C4542&lt;=15,"Children and Young Adolescents", C4542&gt;64, "Seniors", TRUE, "Working Age")</f>
        <v>Seniors</v>
      </c>
      <c r="J4542" s="6">
        <f>VLOOKUP(F4542,Analysis!$F$1:$G$5,2,FALSE)</f>
        <v>2496.7676064256989</v>
      </c>
      <c r="K4542">
        <f t="shared" si="280"/>
        <v>1258.73</v>
      </c>
      <c r="L4542">
        <f t="shared" si="281"/>
        <v>1258.73</v>
      </c>
      <c r="M4542">
        <f t="shared" si="282"/>
        <v>1258.73</v>
      </c>
      <c r="N4542" s="5" t="str">
        <f t="shared" si="283"/>
        <v>October 2023</v>
      </c>
    </row>
    <row r="4543" spans="1:14" x14ac:dyDescent="0.25">
      <c r="A4543" s="1">
        <v>45224</v>
      </c>
      <c r="B4543" t="s">
        <v>940</v>
      </c>
      <c r="C4543">
        <v>96</v>
      </c>
      <c r="D4543" t="s">
        <v>14</v>
      </c>
      <c r="E4543" t="s">
        <v>25</v>
      </c>
      <c r="F4543" t="s">
        <v>11</v>
      </c>
      <c r="G4543" t="s">
        <v>12</v>
      </c>
      <c r="H4543">
        <v>1466.25</v>
      </c>
      <c r="I4543" s="8" t="str" cm="1">
        <f t="array" ref="I4543">_xlfn.IFS(C4543&lt;=15,"Children and Young Adolescents", C4543&gt;64, "Seniors", TRUE, "Working Age")</f>
        <v>Seniors</v>
      </c>
      <c r="J4543" s="6">
        <f>VLOOKUP(F4543,Analysis!$F$1:$G$5,2,FALSE)</f>
        <v>2503.6022787783854</v>
      </c>
      <c r="K4543">
        <f t="shared" si="280"/>
        <v>1612.87</v>
      </c>
      <c r="L4543">
        <f t="shared" si="281"/>
        <v>1612.8799999999999</v>
      </c>
      <c r="M4543">
        <f t="shared" si="282"/>
        <v>1612.88</v>
      </c>
      <c r="N4543" s="5" t="str">
        <f t="shared" si="283"/>
        <v>October 2023</v>
      </c>
    </row>
    <row r="4544" spans="1:14" x14ac:dyDescent="0.25">
      <c r="A4544" s="1">
        <v>45224</v>
      </c>
      <c r="B4544" t="s">
        <v>4120</v>
      </c>
      <c r="C4544">
        <v>19</v>
      </c>
      <c r="D4544" t="s">
        <v>9</v>
      </c>
      <c r="E4544" t="s">
        <v>25</v>
      </c>
      <c r="F4544" t="s">
        <v>11</v>
      </c>
      <c r="G4544" t="s">
        <v>36</v>
      </c>
      <c r="H4544">
        <v>3309.36</v>
      </c>
      <c r="I4544" s="8" t="str" cm="1">
        <f t="array" ref="I4544">_xlfn.IFS(C4544&lt;=15,"Children and Young Adolescents", C4544&gt;64, "Seniors", TRUE, "Working Age")</f>
        <v>Working Age</v>
      </c>
      <c r="J4544" s="6">
        <f>VLOOKUP(F4544,Analysis!$F$1:$G$5,2,FALSE)</f>
        <v>2503.6022787783854</v>
      </c>
      <c r="K4544">
        <f t="shared" si="280"/>
        <v>3640.29</v>
      </c>
      <c r="L4544">
        <f t="shared" si="281"/>
        <v>3640.3</v>
      </c>
      <c r="M4544">
        <f t="shared" si="282"/>
        <v>3640.3</v>
      </c>
      <c r="N4544" s="5" t="str">
        <f t="shared" si="283"/>
        <v>October 2023</v>
      </c>
    </row>
    <row r="4545" spans="1:14" x14ac:dyDescent="0.25">
      <c r="A4545" s="1">
        <v>45224</v>
      </c>
      <c r="B4545" t="s">
        <v>4624</v>
      </c>
      <c r="C4545">
        <v>6</v>
      </c>
      <c r="D4545" t="s">
        <v>21</v>
      </c>
      <c r="E4545" t="s">
        <v>32</v>
      </c>
      <c r="F4545" t="s">
        <v>23</v>
      </c>
      <c r="G4545" t="s">
        <v>12</v>
      </c>
      <c r="H4545">
        <v>872.89</v>
      </c>
      <c r="I4545" s="8" t="str" cm="1">
        <f t="array" ref="I4545">_xlfn.IFS(C4545&lt;=15,"Children and Young Adolescents", C4545&gt;64, "Seniors", TRUE, "Working Age")</f>
        <v>Children and Young Adolescents</v>
      </c>
      <c r="J4545" s="6">
        <f>VLOOKUP(F4545,Analysis!$F$1:$G$5,2,FALSE)</f>
        <v>2440.2966694490838</v>
      </c>
      <c r="K4545">
        <f t="shared" si="280"/>
        <v>960.17</v>
      </c>
      <c r="L4545">
        <f t="shared" si="281"/>
        <v>960.18</v>
      </c>
      <c r="M4545">
        <f t="shared" si="282"/>
        <v>960.18</v>
      </c>
      <c r="N4545" s="5" t="str">
        <f t="shared" si="283"/>
        <v>October 2023</v>
      </c>
    </row>
    <row r="4546" spans="1:14" x14ac:dyDescent="0.25">
      <c r="A4546" s="1">
        <v>45224</v>
      </c>
      <c r="B4546" t="s">
        <v>2491</v>
      </c>
      <c r="C4546">
        <v>40</v>
      </c>
      <c r="D4546" t="s">
        <v>14</v>
      </c>
      <c r="E4546" t="s">
        <v>22</v>
      </c>
      <c r="F4546" t="s">
        <v>23</v>
      </c>
      <c r="G4546" t="s">
        <v>39</v>
      </c>
      <c r="H4546">
        <v>2172.58</v>
      </c>
      <c r="I4546" s="8" t="str" cm="1">
        <f t="array" ref="I4546">_xlfn.IFS(C4546&lt;=15,"Children and Young Adolescents", C4546&gt;64, "Seniors", TRUE, "Working Age")</f>
        <v>Working Age</v>
      </c>
      <c r="J4546" s="6">
        <f>VLOOKUP(F4546,Analysis!$F$1:$G$5,2,FALSE)</f>
        <v>2440.2966694490838</v>
      </c>
      <c r="K4546">
        <f t="shared" si="280"/>
        <v>2389.83</v>
      </c>
      <c r="L4546">
        <f t="shared" si="281"/>
        <v>2389.84</v>
      </c>
      <c r="M4546">
        <f t="shared" si="282"/>
        <v>2389.84</v>
      </c>
      <c r="N4546" s="5" t="str">
        <f t="shared" si="283"/>
        <v>October 2023</v>
      </c>
    </row>
    <row r="4547" spans="1:14" x14ac:dyDescent="0.25">
      <c r="A4547" s="1">
        <v>45224</v>
      </c>
      <c r="B4547" t="s">
        <v>355</v>
      </c>
      <c r="C4547">
        <v>16</v>
      </c>
      <c r="D4547" t="s">
        <v>21</v>
      </c>
      <c r="E4547" t="s">
        <v>5032</v>
      </c>
      <c r="F4547" t="s">
        <v>29</v>
      </c>
      <c r="G4547" t="s">
        <v>36</v>
      </c>
      <c r="H4547">
        <v>3704.19</v>
      </c>
      <c r="I4547" s="8" t="str" cm="1">
        <f t="array" ref="I4547">_xlfn.IFS(C4547&lt;=15,"Children and Young Adolescents", C4547&gt;64, "Seniors", TRUE, "Working Age")</f>
        <v>Working Age</v>
      </c>
      <c r="J4547" s="6">
        <f>VLOOKUP(F4547,Analysis!$F$1:$G$5,2,FALSE)</f>
        <v>2496.7676064256989</v>
      </c>
      <c r="K4547">
        <f t="shared" ref="K4547:K4610" si="284">ROUNDDOWN(H4547*1.1,2)</f>
        <v>4074.6</v>
      </c>
      <c r="L4547">
        <f t="shared" ref="L4547:L4610" si="285">ROUNDUP(H4547*1.1,2)</f>
        <v>4074.61</v>
      </c>
      <c r="M4547">
        <f t="shared" ref="M4547:M4610" si="286">ROUND(H4547*1.1,2)</f>
        <v>4074.61</v>
      </c>
      <c r="N4547" s="5" t="str">
        <f t="shared" ref="N4547:N4610" si="287">TEXT(A4547,"mmmm yyyy")</f>
        <v>October 2023</v>
      </c>
    </row>
    <row r="4548" spans="1:14" x14ac:dyDescent="0.25">
      <c r="A4548" s="1">
        <v>45224</v>
      </c>
      <c r="B4548" t="s">
        <v>3862</v>
      </c>
      <c r="C4548">
        <v>84</v>
      </c>
      <c r="D4548" t="s">
        <v>9</v>
      </c>
      <c r="E4548" t="s">
        <v>15</v>
      </c>
      <c r="F4548" t="s">
        <v>11</v>
      </c>
      <c r="G4548" t="s">
        <v>39</v>
      </c>
      <c r="H4548">
        <v>3563.35</v>
      </c>
      <c r="I4548" s="8" t="str" cm="1">
        <f t="array" ref="I4548">_xlfn.IFS(C4548&lt;=15,"Children and Young Adolescents", C4548&gt;64, "Seniors", TRUE, "Working Age")</f>
        <v>Seniors</v>
      </c>
      <c r="J4548" s="6">
        <f>VLOOKUP(F4548,Analysis!$F$1:$G$5,2,FALSE)</f>
        <v>2503.6022787783854</v>
      </c>
      <c r="K4548">
        <f t="shared" si="284"/>
        <v>3919.68</v>
      </c>
      <c r="L4548">
        <f t="shared" si="285"/>
        <v>3919.69</v>
      </c>
      <c r="M4548">
        <f t="shared" si="286"/>
        <v>3919.69</v>
      </c>
      <c r="N4548" s="5" t="str">
        <f t="shared" si="287"/>
        <v>October 2023</v>
      </c>
    </row>
    <row r="4549" spans="1:14" x14ac:dyDescent="0.25">
      <c r="A4549" s="1">
        <v>45225</v>
      </c>
      <c r="B4549" t="s">
        <v>404</v>
      </c>
      <c r="C4549">
        <v>89</v>
      </c>
      <c r="D4549" t="s">
        <v>9</v>
      </c>
      <c r="E4549" t="s">
        <v>32</v>
      </c>
      <c r="F4549" t="s">
        <v>23</v>
      </c>
      <c r="G4549" t="s">
        <v>17</v>
      </c>
      <c r="H4549">
        <v>366.83</v>
      </c>
      <c r="I4549" s="8" t="str" cm="1">
        <f t="array" ref="I4549">_xlfn.IFS(C4549&lt;=15,"Children and Young Adolescents", C4549&gt;64, "Seniors", TRUE, "Working Age")</f>
        <v>Seniors</v>
      </c>
      <c r="J4549" s="6">
        <f>VLOOKUP(F4549,Analysis!$F$1:$G$5,2,FALSE)</f>
        <v>2440.2966694490838</v>
      </c>
      <c r="K4549">
        <f t="shared" si="284"/>
        <v>403.51</v>
      </c>
      <c r="L4549">
        <f t="shared" si="285"/>
        <v>403.52</v>
      </c>
      <c r="M4549">
        <f t="shared" si="286"/>
        <v>403.51</v>
      </c>
      <c r="N4549" s="5" t="str">
        <f t="shared" si="287"/>
        <v>October 2023</v>
      </c>
    </row>
    <row r="4550" spans="1:14" x14ac:dyDescent="0.25">
      <c r="A4550" s="1">
        <v>45225</v>
      </c>
      <c r="B4550" t="s">
        <v>2611</v>
      </c>
      <c r="C4550">
        <v>51</v>
      </c>
      <c r="D4550" t="s">
        <v>14</v>
      </c>
      <c r="E4550" t="s">
        <v>10</v>
      </c>
      <c r="F4550" t="s">
        <v>16</v>
      </c>
      <c r="G4550" t="s">
        <v>17</v>
      </c>
      <c r="H4550">
        <v>3150.65</v>
      </c>
      <c r="I4550" s="8" t="str" cm="1">
        <f t="array" ref="I4550">_xlfn.IFS(C4550&lt;=15,"Children and Young Adolescents", C4550&gt;64, "Seniors", TRUE, "Working Age")</f>
        <v>Working Age</v>
      </c>
      <c r="J4550" s="6">
        <f>VLOOKUP(F4550,Analysis!$F$1:$G$5,2,FALSE)</f>
        <v>2509.1716796874912</v>
      </c>
      <c r="K4550">
        <f t="shared" si="284"/>
        <v>3465.71</v>
      </c>
      <c r="L4550">
        <f t="shared" si="285"/>
        <v>3465.7200000000003</v>
      </c>
      <c r="M4550">
        <f t="shared" si="286"/>
        <v>3465.72</v>
      </c>
      <c r="N4550" s="5" t="str">
        <f t="shared" si="287"/>
        <v>October 2023</v>
      </c>
    </row>
    <row r="4551" spans="1:14" x14ac:dyDescent="0.25">
      <c r="A4551" s="1">
        <v>45225</v>
      </c>
      <c r="B4551" t="s">
        <v>2120</v>
      </c>
      <c r="C4551">
        <v>57</v>
      </c>
      <c r="D4551" t="s">
        <v>9</v>
      </c>
      <c r="E4551" t="s">
        <v>32</v>
      </c>
      <c r="F4551" t="s">
        <v>11</v>
      </c>
      <c r="G4551" t="s">
        <v>12</v>
      </c>
      <c r="H4551">
        <v>4962.59</v>
      </c>
      <c r="I4551" s="8" t="str" cm="1">
        <f t="array" ref="I4551">_xlfn.IFS(C4551&lt;=15,"Children and Young Adolescents", C4551&gt;64, "Seniors", TRUE, "Working Age")</f>
        <v>Working Age</v>
      </c>
      <c r="J4551" s="6">
        <f>VLOOKUP(F4551,Analysis!$F$1:$G$5,2,FALSE)</f>
        <v>2503.6022787783854</v>
      </c>
      <c r="K4551">
        <f t="shared" si="284"/>
        <v>5458.84</v>
      </c>
      <c r="L4551">
        <f t="shared" si="285"/>
        <v>5458.85</v>
      </c>
      <c r="M4551">
        <f t="shared" si="286"/>
        <v>5458.85</v>
      </c>
      <c r="N4551" s="5" t="str">
        <f t="shared" si="287"/>
        <v>October 2023</v>
      </c>
    </row>
    <row r="4552" spans="1:14" x14ac:dyDescent="0.25">
      <c r="A4552" s="1">
        <v>45226</v>
      </c>
      <c r="B4552" t="s">
        <v>2820</v>
      </c>
      <c r="C4552">
        <v>77</v>
      </c>
      <c r="D4552" t="s">
        <v>9</v>
      </c>
      <c r="E4552" t="s">
        <v>25</v>
      </c>
      <c r="F4552" t="s">
        <v>16</v>
      </c>
      <c r="G4552" t="s">
        <v>12</v>
      </c>
      <c r="H4552">
        <v>2235.83</v>
      </c>
      <c r="I4552" s="8" t="str" cm="1">
        <f t="array" ref="I4552">_xlfn.IFS(C4552&lt;=15,"Children and Young Adolescents", C4552&gt;64, "Seniors", TRUE, "Working Age")</f>
        <v>Seniors</v>
      </c>
      <c r="J4552" s="6">
        <f>VLOOKUP(F4552,Analysis!$F$1:$G$5,2,FALSE)</f>
        <v>2509.1716796874912</v>
      </c>
      <c r="K4552">
        <f t="shared" si="284"/>
        <v>2459.41</v>
      </c>
      <c r="L4552">
        <f t="shared" si="285"/>
        <v>2459.42</v>
      </c>
      <c r="M4552">
        <f t="shared" si="286"/>
        <v>2459.41</v>
      </c>
      <c r="N4552" s="5" t="str">
        <f t="shared" si="287"/>
        <v>October 2023</v>
      </c>
    </row>
    <row r="4553" spans="1:14" x14ac:dyDescent="0.25">
      <c r="A4553" s="1">
        <v>45226</v>
      </c>
      <c r="B4553" t="s">
        <v>2800</v>
      </c>
      <c r="C4553">
        <v>46</v>
      </c>
      <c r="D4553" t="s">
        <v>14</v>
      </c>
      <c r="E4553" t="s">
        <v>19</v>
      </c>
      <c r="F4553" t="s">
        <v>29</v>
      </c>
      <c r="G4553" t="s">
        <v>36</v>
      </c>
      <c r="H4553">
        <v>3566.7</v>
      </c>
      <c r="I4553" s="8" t="str" cm="1">
        <f t="array" ref="I4553">_xlfn.IFS(C4553&lt;=15,"Children and Young Adolescents", C4553&gt;64, "Seniors", TRUE, "Working Age")</f>
        <v>Working Age</v>
      </c>
      <c r="J4553" s="6">
        <f>VLOOKUP(F4553,Analysis!$F$1:$G$5,2,FALSE)</f>
        <v>2496.7676064256989</v>
      </c>
      <c r="K4553">
        <f t="shared" si="284"/>
        <v>3923.37</v>
      </c>
      <c r="L4553">
        <f t="shared" si="285"/>
        <v>3923.37</v>
      </c>
      <c r="M4553">
        <f t="shared" si="286"/>
        <v>3923.37</v>
      </c>
      <c r="N4553" s="5" t="str">
        <f t="shared" si="287"/>
        <v>October 2023</v>
      </c>
    </row>
    <row r="4554" spans="1:14" x14ac:dyDescent="0.25">
      <c r="A4554" s="1">
        <v>45226</v>
      </c>
      <c r="B4554" t="s">
        <v>2439</v>
      </c>
      <c r="C4554">
        <v>83</v>
      </c>
      <c r="D4554" t="s">
        <v>9</v>
      </c>
      <c r="E4554" t="s">
        <v>15</v>
      </c>
      <c r="F4554" t="s">
        <v>11</v>
      </c>
      <c r="G4554" t="s">
        <v>17</v>
      </c>
      <c r="H4554">
        <v>1449.74</v>
      </c>
      <c r="I4554" s="8" t="str" cm="1">
        <f t="array" ref="I4554">_xlfn.IFS(C4554&lt;=15,"Children and Young Adolescents", C4554&gt;64, "Seniors", TRUE, "Working Age")</f>
        <v>Seniors</v>
      </c>
      <c r="J4554" s="6">
        <f>VLOOKUP(F4554,Analysis!$F$1:$G$5,2,FALSE)</f>
        <v>2503.6022787783854</v>
      </c>
      <c r="K4554">
        <f t="shared" si="284"/>
        <v>1594.71</v>
      </c>
      <c r="L4554">
        <f t="shared" si="285"/>
        <v>1594.72</v>
      </c>
      <c r="M4554">
        <f t="shared" si="286"/>
        <v>1594.71</v>
      </c>
      <c r="N4554" s="5" t="str">
        <f t="shared" si="287"/>
        <v>October 2023</v>
      </c>
    </row>
    <row r="4555" spans="1:14" x14ac:dyDescent="0.25">
      <c r="A4555" s="1">
        <v>45226</v>
      </c>
      <c r="B4555" t="s">
        <v>4069</v>
      </c>
      <c r="C4555">
        <v>1</v>
      </c>
      <c r="D4555" t="s">
        <v>14</v>
      </c>
      <c r="E4555" t="s">
        <v>32</v>
      </c>
      <c r="F4555" t="s">
        <v>11</v>
      </c>
      <c r="G4555" t="s">
        <v>27</v>
      </c>
      <c r="H4555">
        <v>1521.15</v>
      </c>
      <c r="I4555" s="8" t="str" cm="1">
        <f t="array" ref="I4555">_xlfn.IFS(C4555&lt;=15,"Children and Young Adolescents", C4555&gt;64, "Seniors", TRUE, "Working Age")</f>
        <v>Children and Young Adolescents</v>
      </c>
      <c r="J4555" s="6">
        <f>VLOOKUP(F4555,Analysis!$F$1:$G$5,2,FALSE)</f>
        <v>2503.6022787783854</v>
      </c>
      <c r="K4555">
        <f t="shared" si="284"/>
        <v>1673.26</v>
      </c>
      <c r="L4555">
        <f t="shared" si="285"/>
        <v>1673.27</v>
      </c>
      <c r="M4555">
        <f t="shared" si="286"/>
        <v>1673.27</v>
      </c>
      <c r="N4555" s="5" t="str">
        <f t="shared" si="287"/>
        <v>October 2023</v>
      </c>
    </row>
    <row r="4556" spans="1:14" x14ac:dyDescent="0.25">
      <c r="A4556" s="1">
        <v>45226</v>
      </c>
      <c r="B4556" t="s">
        <v>3498</v>
      </c>
      <c r="C4556">
        <v>95</v>
      </c>
      <c r="D4556" t="s">
        <v>14</v>
      </c>
      <c r="E4556" t="s">
        <v>32</v>
      </c>
      <c r="F4556" t="s">
        <v>23</v>
      </c>
      <c r="G4556" t="s">
        <v>12</v>
      </c>
      <c r="H4556">
        <v>1727.49</v>
      </c>
      <c r="I4556" s="8" t="str" cm="1">
        <f t="array" ref="I4556">_xlfn.IFS(C4556&lt;=15,"Children and Young Adolescents", C4556&gt;64, "Seniors", TRUE, "Working Age")</f>
        <v>Seniors</v>
      </c>
      <c r="J4556" s="6">
        <f>VLOOKUP(F4556,Analysis!$F$1:$G$5,2,FALSE)</f>
        <v>2440.2966694490838</v>
      </c>
      <c r="K4556">
        <f t="shared" si="284"/>
        <v>1900.23</v>
      </c>
      <c r="L4556">
        <f t="shared" si="285"/>
        <v>1900.24</v>
      </c>
      <c r="M4556">
        <f t="shared" si="286"/>
        <v>1900.24</v>
      </c>
      <c r="N4556" s="5" t="str">
        <f t="shared" si="287"/>
        <v>October 2023</v>
      </c>
    </row>
    <row r="4557" spans="1:14" x14ac:dyDescent="0.25">
      <c r="A4557" s="1">
        <v>45226</v>
      </c>
      <c r="B4557" t="s">
        <v>749</v>
      </c>
      <c r="C4557">
        <v>69</v>
      </c>
      <c r="D4557" t="s">
        <v>9</v>
      </c>
      <c r="E4557" t="s">
        <v>19</v>
      </c>
      <c r="F4557" t="s">
        <v>23</v>
      </c>
      <c r="G4557" t="s">
        <v>39</v>
      </c>
      <c r="H4557">
        <v>3113.31</v>
      </c>
      <c r="I4557" s="8" t="str" cm="1">
        <f t="array" ref="I4557">_xlfn.IFS(C4557&lt;=15,"Children and Young Adolescents", C4557&gt;64, "Seniors", TRUE, "Working Age")</f>
        <v>Seniors</v>
      </c>
      <c r="J4557" s="6">
        <f>VLOOKUP(F4557,Analysis!$F$1:$G$5,2,FALSE)</f>
        <v>2440.2966694490838</v>
      </c>
      <c r="K4557">
        <f t="shared" si="284"/>
        <v>3424.64</v>
      </c>
      <c r="L4557">
        <f t="shared" si="285"/>
        <v>3424.65</v>
      </c>
      <c r="M4557">
        <f t="shared" si="286"/>
        <v>3424.64</v>
      </c>
      <c r="N4557" s="5" t="str">
        <f t="shared" si="287"/>
        <v>October 2023</v>
      </c>
    </row>
    <row r="4558" spans="1:14" x14ac:dyDescent="0.25">
      <c r="A4558" s="1">
        <v>45226</v>
      </c>
      <c r="B4558" t="s">
        <v>2952</v>
      </c>
      <c r="C4558">
        <v>7</v>
      </c>
      <c r="D4558" t="s">
        <v>21</v>
      </c>
      <c r="E4558" t="s">
        <v>15</v>
      </c>
      <c r="F4558" t="s">
        <v>11</v>
      </c>
      <c r="G4558" t="s">
        <v>36</v>
      </c>
      <c r="H4558">
        <v>1640.29</v>
      </c>
      <c r="I4558" s="8" t="str" cm="1">
        <f t="array" ref="I4558">_xlfn.IFS(C4558&lt;=15,"Children and Young Adolescents", C4558&gt;64, "Seniors", TRUE, "Working Age")</f>
        <v>Children and Young Adolescents</v>
      </c>
      <c r="J4558" s="6">
        <f>VLOOKUP(F4558,Analysis!$F$1:$G$5,2,FALSE)</f>
        <v>2503.6022787783854</v>
      </c>
      <c r="K4558">
        <f t="shared" si="284"/>
        <v>1804.31</v>
      </c>
      <c r="L4558">
        <f t="shared" si="285"/>
        <v>1804.32</v>
      </c>
      <c r="M4558">
        <f t="shared" si="286"/>
        <v>1804.32</v>
      </c>
      <c r="N4558" s="5" t="str">
        <f t="shared" si="287"/>
        <v>October 2023</v>
      </c>
    </row>
    <row r="4559" spans="1:14" x14ac:dyDescent="0.25">
      <c r="A4559" s="1">
        <v>45226</v>
      </c>
      <c r="B4559" t="s">
        <v>2849</v>
      </c>
      <c r="C4559">
        <v>13</v>
      </c>
      <c r="D4559" t="s">
        <v>21</v>
      </c>
      <c r="E4559" t="s">
        <v>10</v>
      </c>
      <c r="F4559" t="s">
        <v>11</v>
      </c>
      <c r="G4559" t="s">
        <v>36</v>
      </c>
      <c r="H4559">
        <v>4775.3500000000004</v>
      </c>
      <c r="I4559" s="8" t="str" cm="1">
        <f t="array" ref="I4559">_xlfn.IFS(C4559&lt;=15,"Children and Young Adolescents", C4559&gt;64, "Seniors", TRUE, "Working Age")</f>
        <v>Children and Young Adolescents</v>
      </c>
      <c r="J4559" s="6">
        <f>VLOOKUP(F4559,Analysis!$F$1:$G$5,2,FALSE)</f>
        <v>2503.6022787783854</v>
      </c>
      <c r="K4559">
        <f t="shared" si="284"/>
        <v>5252.88</v>
      </c>
      <c r="L4559">
        <f t="shared" si="285"/>
        <v>5252.89</v>
      </c>
      <c r="M4559">
        <f t="shared" si="286"/>
        <v>5252.89</v>
      </c>
      <c r="N4559" s="5" t="str">
        <f t="shared" si="287"/>
        <v>October 2023</v>
      </c>
    </row>
    <row r="4560" spans="1:14" x14ac:dyDescent="0.25">
      <c r="A4560" s="1">
        <v>45226</v>
      </c>
      <c r="B4560" t="s">
        <v>4242</v>
      </c>
      <c r="C4560">
        <v>77</v>
      </c>
      <c r="D4560" t="s">
        <v>14</v>
      </c>
      <c r="E4560" t="s">
        <v>19</v>
      </c>
      <c r="F4560" t="s">
        <v>23</v>
      </c>
      <c r="G4560" t="s">
        <v>17</v>
      </c>
      <c r="H4560">
        <v>1549.89</v>
      </c>
      <c r="I4560" s="8" t="str" cm="1">
        <f t="array" ref="I4560">_xlfn.IFS(C4560&lt;=15,"Children and Young Adolescents", C4560&gt;64, "Seniors", TRUE, "Working Age")</f>
        <v>Seniors</v>
      </c>
      <c r="J4560" s="6">
        <f>VLOOKUP(F4560,Analysis!$F$1:$G$5,2,FALSE)</f>
        <v>2440.2966694490838</v>
      </c>
      <c r="K4560">
        <f t="shared" si="284"/>
        <v>1704.87</v>
      </c>
      <c r="L4560">
        <f t="shared" si="285"/>
        <v>1704.8799999999999</v>
      </c>
      <c r="M4560">
        <f t="shared" si="286"/>
        <v>1704.88</v>
      </c>
      <c r="N4560" s="5" t="str">
        <f t="shared" si="287"/>
        <v>October 2023</v>
      </c>
    </row>
    <row r="4561" spans="1:14" x14ac:dyDescent="0.25">
      <c r="A4561" s="1">
        <v>45227</v>
      </c>
      <c r="B4561" t="s">
        <v>3257</v>
      </c>
      <c r="C4561">
        <v>42</v>
      </c>
      <c r="D4561" t="s">
        <v>14</v>
      </c>
      <c r="E4561" t="s">
        <v>10</v>
      </c>
      <c r="F4561" t="s">
        <v>23</v>
      </c>
      <c r="G4561" t="s">
        <v>36</v>
      </c>
      <c r="H4561">
        <v>686.28</v>
      </c>
      <c r="I4561" s="8" t="str" cm="1">
        <f t="array" ref="I4561">_xlfn.IFS(C4561&lt;=15,"Children and Young Adolescents", C4561&gt;64, "Seniors", TRUE, "Working Age")</f>
        <v>Working Age</v>
      </c>
      <c r="J4561" s="6">
        <f>VLOOKUP(F4561,Analysis!$F$1:$G$5,2,FALSE)</f>
        <v>2440.2966694490838</v>
      </c>
      <c r="K4561">
        <f t="shared" si="284"/>
        <v>754.9</v>
      </c>
      <c r="L4561">
        <f t="shared" si="285"/>
        <v>754.91</v>
      </c>
      <c r="M4561">
        <f t="shared" si="286"/>
        <v>754.91</v>
      </c>
      <c r="N4561" s="5" t="str">
        <f t="shared" si="287"/>
        <v>October 2023</v>
      </c>
    </row>
    <row r="4562" spans="1:14" x14ac:dyDescent="0.25">
      <c r="A4562" s="1">
        <v>45227</v>
      </c>
      <c r="B4562" t="s">
        <v>4886</v>
      </c>
      <c r="C4562">
        <v>32</v>
      </c>
      <c r="D4562" t="s">
        <v>9</v>
      </c>
      <c r="E4562" t="s">
        <v>5032</v>
      </c>
      <c r="F4562" t="s">
        <v>23</v>
      </c>
      <c r="G4562" t="s">
        <v>27</v>
      </c>
      <c r="H4562">
        <v>238.51</v>
      </c>
      <c r="I4562" s="8" t="str" cm="1">
        <f t="array" ref="I4562">_xlfn.IFS(C4562&lt;=15,"Children and Young Adolescents", C4562&gt;64, "Seniors", TRUE, "Working Age")</f>
        <v>Working Age</v>
      </c>
      <c r="J4562" s="6">
        <f>VLOOKUP(F4562,Analysis!$F$1:$G$5,2,FALSE)</f>
        <v>2440.2966694490838</v>
      </c>
      <c r="K4562">
        <f t="shared" si="284"/>
        <v>262.36</v>
      </c>
      <c r="L4562">
        <f t="shared" si="285"/>
        <v>262.37</v>
      </c>
      <c r="M4562">
        <f t="shared" si="286"/>
        <v>262.36</v>
      </c>
      <c r="N4562" s="5" t="str">
        <f t="shared" si="287"/>
        <v>October 2023</v>
      </c>
    </row>
    <row r="4563" spans="1:14" x14ac:dyDescent="0.25">
      <c r="A4563" s="1">
        <v>45227</v>
      </c>
      <c r="B4563" t="s">
        <v>4423</v>
      </c>
      <c r="C4563">
        <v>6</v>
      </c>
      <c r="D4563" t="s">
        <v>14</v>
      </c>
      <c r="E4563" t="s">
        <v>22</v>
      </c>
      <c r="F4563" t="s">
        <v>23</v>
      </c>
      <c r="G4563" t="s">
        <v>39</v>
      </c>
      <c r="H4563">
        <v>4978.25</v>
      </c>
      <c r="I4563" s="8" t="str" cm="1">
        <f t="array" ref="I4563">_xlfn.IFS(C4563&lt;=15,"Children and Young Adolescents", C4563&gt;64, "Seniors", TRUE, "Working Age")</f>
        <v>Children and Young Adolescents</v>
      </c>
      <c r="J4563" s="6">
        <f>VLOOKUP(F4563,Analysis!$F$1:$G$5,2,FALSE)</f>
        <v>2440.2966694490838</v>
      </c>
      <c r="K4563">
        <f t="shared" si="284"/>
        <v>5476.07</v>
      </c>
      <c r="L4563">
        <f t="shared" si="285"/>
        <v>5476.08</v>
      </c>
      <c r="M4563">
        <f t="shared" si="286"/>
        <v>5476.08</v>
      </c>
      <c r="N4563" s="5" t="str">
        <f t="shared" si="287"/>
        <v>October 2023</v>
      </c>
    </row>
    <row r="4564" spans="1:14" x14ac:dyDescent="0.25">
      <c r="A4564" s="1">
        <v>45227</v>
      </c>
      <c r="B4564" t="s">
        <v>2500</v>
      </c>
      <c r="C4564">
        <v>62</v>
      </c>
      <c r="D4564" t="s">
        <v>14</v>
      </c>
      <c r="E4564" t="s">
        <v>22</v>
      </c>
      <c r="F4564" t="s">
        <v>11</v>
      </c>
      <c r="G4564" t="s">
        <v>39</v>
      </c>
      <c r="H4564">
        <v>509.47</v>
      </c>
      <c r="I4564" s="8" t="str" cm="1">
        <f t="array" ref="I4564">_xlfn.IFS(C4564&lt;=15,"Children and Young Adolescents", C4564&gt;64, "Seniors", TRUE, "Working Age")</f>
        <v>Working Age</v>
      </c>
      <c r="J4564" s="6">
        <f>VLOOKUP(F4564,Analysis!$F$1:$G$5,2,FALSE)</f>
        <v>2503.6022787783854</v>
      </c>
      <c r="K4564">
        <f t="shared" si="284"/>
        <v>560.41</v>
      </c>
      <c r="L4564">
        <f t="shared" si="285"/>
        <v>560.41999999999996</v>
      </c>
      <c r="M4564">
        <f t="shared" si="286"/>
        <v>560.41999999999996</v>
      </c>
      <c r="N4564" s="5" t="str">
        <f t="shared" si="287"/>
        <v>October 2023</v>
      </c>
    </row>
    <row r="4565" spans="1:14" x14ac:dyDescent="0.25">
      <c r="A4565" s="1">
        <v>45227</v>
      </c>
      <c r="B4565" t="s">
        <v>805</v>
      </c>
      <c r="C4565">
        <v>88</v>
      </c>
      <c r="D4565" t="s">
        <v>14</v>
      </c>
      <c r="E4565" t="s">
        <v>22</v>
      </c>
      <c r="F4565" t="s">
        <v>16</v>
      </c>
      <c r="G4565" t="s">
        <v>12</v>
      </c>
      <c r="H4565">
        <v>1625.91</v>
      </c>
      <c r="I4565" s="8" t="str" cm="1">
        <f t="array" ref="I4565">_xlfn.IFS(C4565&lt;=15,"Children and Young Adolescents", C4565&gt;64, "Seniors", TRUE, "Working Age")</f>
        <v>Seniors</v>
      </c>
      <c r="J4565" s="6">
        <f>VLOOKUP(F4565,Analysis!$F$1:$G$5,2,FALSE)</f>
        <v>2509.1716796874912</v>
      </c>
      <c r="K4565">
        <f t="shared" si="284"/>
        <v>1788.5</v>
      </c>
      <c r="L4565">
        <f t="shared" si="285"/>
        <v>1788.51</v>
      </c>
      <c r="M4565">
        <f t="shared" si="286"/>
        <v>1788.5</v>
      </c>
      <c r="N4565" s="5" t="str">
        <f t="shared" si="287"/>
        <v>October 2023</v>
      </c>
    </row>
    <row r="4566" spans="1:14" x14ac:dyDescent="0.25">
      <c r="A4566" s="1">
        <v>45227</v>
      </c>
      <c r="B4566" t="s">
        <v>2698</v>
      </c>
      <c r="C4566">
        <v>71</v>
      </c>
      <c r="D4566" t="s">
        <v>9</v>
      </c>
      <c r="E4566" t="s">
        <v>32</v>
      </c>
      <c r="F4566" t="s">
        <v>11</v>
      </c>
      <c r="G4566" t="s">
        <v>17</v>
      </c>
      <c r="H4566">
        <v>4863.96</v>
      </c>
      <c r="I4566" s="8" t="str" cm="1">
        <f t="array" ref="I4566">_xlfn.IFS(C4566&lt;=15,"Children and Young Adolescents", C4566&gt;64, "Seniors", TRUE, "Working Age")</f>
        <v>Seniors</v>
      </c>
      <c r="J4566" s="6">
        <f>VLOOKUP(F4566,Analysis!$F$1:$G$5,2,FALSE)</f>
        <v>2503.6022787783854</v>
      </c>
      <c r="K4566">
        <f t="shared" si="284"/>
        <v>5350.35</v>
      </c>
      <c r="L4566">
        <f t="shared" si="285"/>
        <v>5350.3600000000006</v>
      </c>
      <c r="M4566">
        <f t="shared" si="286"/>
        <v>5350.36</v>
      </c>
      <c r="N4566" s="5" t="str">
        <f t="shared" si="287"/>
        <v>October 2023</v>
      </c>
    </row>
    <row r="4567" spans="1:14" x14ac:dyDescent="0.25">
      <c r="A4567" s="1">
        <v>45227</v>
      </c>
      <c r="B4567" t="s">
        <v>319</v>
      </c>
      <c r="C4567">
        <v>48</v>
      </c>
      <c r="D4567" t="s">
        <v>14</v>
      </c>
      <c r="E4567" t="s">
        <v>5032</v>
      </c>
      <c r="F4567" t="s">
        <v>29</v>
      </c>
      <c r="G4567" t="s">
        <v>39</v>
      </c>
      <c r="H4567">
        <v>1538.41</v>
      </c>
      <c r="I4567" s="8" t="str" cm="1">
        <f t="array" ref="I4567">_xlfn.IFS(C4567&lt;=15,"Children and Young Adolescents", C4567&gt;64, "Seniors", TRUE, "Working Age")</f>
        <v>Working Age</v>
      </c>
      <c r="J4567" s="6">
        <f>VLOOKUP(F4567,Analysis!$F$1:$G$5,2,FALSE)</f>
        <v>2496.7676064256989</v>
      </c>
      <c r="K4567">
        <f t="shared" si="284"/>
        <v>1692.25</v>
      </c>
      <c r="L4567">
        <f t="shared" si="285"/>
        <v>1692.26</v>
      </c>
      <c r="M4567">
        <f t="shared" si="286"/>
        <v>1692.25</v>
      </c>
      <c r="N4567" s="5" t="str">
        <f t="shared" si="287"/>
        <v>October 2023</v>
      </c>
    </row>
    <row r="4568" spans="1:14" x14ac:dyDescent="0.25">
      <c r="A4568" s="1">
        <v>45227</v>
      </c>
      <c r="B4568" t="s">
        <v>4249</v>
      </c>
      <c r="C4568">
        <v>70</v>
      </c>
      <c r="D4568" t="s">
        <v>14</v>
      </c>
      <c r="E4568" t="s">
        <v>34</v>
      </c>
      <c r="F4568" t="s">
        <v>11</v>
      </c>
      <c r="G4568" t="s">
        <v>39</v>
      </c>
      <c r="H4568">
        <v>1111.8599999999999</v>
      </c>
      <c r="I4568" s="8" t="str" cm="1">
        <f t="array" ref="I4568">_xlfn.IFS(C4568&lt;=15,"Children and Young Adolescents", C4568&gt;64, "Seniors", TRUE, "Working Age")</f>
        <v>Seniors</v>
      </c>
      <c r="J4568" s="6">
        <f>VLOOKUP(F4568,Analysis!$F$1:$G$5,2,FALSE)</f>
        <v>2503.6022787783854</v>
      </c>
      <c r="K4568">
        <f t="shared" si="284"/>
        <v>1223.04</v>
      </c>
      <c r="L4568">
        <f t="shared" si="285"/>
        <v>1223.05</v>
      </c>
      <c r="M4568">
        <f t="shared" si="286"/>
        <v>1223.05</v>
      </c>
      <c r="N4568" s="5" t="str">
        <f t="shared" si="287"/>
        <v>October 2023</v>
      </c>
    </row>
    <row r="4569" spans="1:14" x14ac:dyDescent="0.25">
      <c r="A4569" s="1">
        <v>45227</v>
      </c>
      <c r="B4569" t="s">
        <v>3225</v>
      </c>
      <c r="C4569">
        <v>2</v>
      </c>
      <c r="D4569" t="s">
        <v>21</v>
      </c>
      <c r="E4569" t="s">
        <v>10</v>
      </c>
      <c r="F4569" t="s">
        <v>11</v>
      </c>
      <c r="G4569" t="s">
        <v>27</v>
      </c>
      <c r="H4569">
        <v>1883.59</v>
      </c>
      <c r="I4569" s="8" t="str" cm="1">
        <f t="array" ref="I4569">_xlfn.IFS(C4569&lt;=15,"Children and Young Adolescents", C4569&gt;64, "Seniors", TRUE, "Working Age")</f>
        <v>Children and Young Adolescents</v>
      </c>
      <c r="J4569" s="6">
        <f>VLOOKUP(F4569,Analysis!$F$1:$G$5,2,FALSE)</f>
        <v>2503.6022787783854</v>
      </c>
      <c r="K4569">
        <f t="shared" si="284"/>
        <v>2071.94</v>
      </c>
      <c r="L4569">
        <f t="shared" si="285"/>
        <v>2071.9500000000003</v>
      </c>
      <c r="M4569">
        <f t="shared" si="286"/>
        <v>2071.9499999999998</v>
      </c>
      <c r="N4569" s="5" t="str">
        <f t="shared" si="287"/>
        <v>October 2023</v>
      </c>
    </row>
    <row r="4570" spans="1:14" x14ac:dyDescent="0.25">
      <c r="A4570" s="1">
        <v>45228</v>
      </c>
      <c r="B4570" t="s">
        <v>4135</v>
      </c>
      <c r="C4570">
        <v>19</v>
      </c>
      <c r="D4570" t="s">
        <v>21</v>
      </c>
      <c r="E4570" t="s">
        <v>5032</v>
      </c>
      <c r="F4570" t="s">
        <v>16</v>
      </c>
      <c r="G4570" t="s">
        <v>36</v>
      </c>
      <c r="H4570">
        <v>1263.68</v>
      </c>
      <c r="I4570" s="8" t="str" cm="1">
        <f t="array" ref="I4570">_xlfn.IFS(C4570&lt;=15,"Children and Young Adolescents", C4570&gt;64, "Seniors", TRUE, "Working Age")</f>
        <v>Working Age</v>
      </c>
      <c r="J4570" s="6">
        <f>VLOOKUP(F4570,Analysis!$F$1:$G$5,2,FALSE)</f>
        <v>2509.1716796874912</v>
      </c>
      <c r="K4570">
        <f t="shared" si="284"/>
        <v>1390.04</v>
      </c>
      <c r="L4570">
        <f t="shared" si="285"/>
        <v>1390.05</v>
      </c>
      <c r="M4570">
        <f t="shared" si="286"/>
        <v>1390.05</v>
      </c>
      <c r="N4570" s="5" t="str">
        <f t="shared" si="287"/>
        <v>October 2023</v>
      </c>
    </row>
    <row r="4571" spans="1:14" x14ac:dyDescent="0.25">
      <c r="A4571" s="1">
        <v>45228</v>
      </c>
      <c r="B4571" t="s">
        <v>2768</v>
      </c>
      <c r="C4571">
        <v>37</v>
      </c>
      <c r="D4571" t="s">
        <v>9</v>
      </c>
      <c r="E4571" t="s">
        <v>15</v>
      </c>
      <c r="F4571" t="s">
        <v>23</v>
      </c>
      <c r="G4571" t="s">
        <v>5033</v>
      </c>
      <c r="H4571">
        <v>4954.49</v>
      </c>
      <c r="I4571" s="8" t="str" cm="1">
        <f t="array" ref="I4571">_xlfn.IFS(C4571&lt;=15,"Children and Young Adolescents", C4571&gt;64, "Seniors", TRUE, "Working Age")</f>
        <v>Working Age</v>
      </c>
      <c r="J4571" s="6">
        <f>VLOOKUP(F4571,Analysis!$F$1:$G$5,2,FALSE)</f>
        <v>2440.2966694490838</v>
      </c>
      <c r="K4571">
        <f t="shared" si="284"/>
        <v>5449.93</v>
      </c>
      <c r="L4571">
        <f t="shared" si="285"/>
        <v>5449.9400000000005</v>
      </c>
      <c r="M4571">
        <f t="shared" si="286"/>
        <v>5449.94</v>
      </c>
      <c r="N4571" s="5" t="str">
        <f t="shared" si="287"/>
        <v>October 2023</v>
      </c>
    </row>
    <row r="4572" spans="1:14" x14ac:dyDescent="0.25">
      <c r="A4572" s="1">
        <v>45228</v>
      </c>
      <c r="B4572" t="s">
        <v>4159</v>
      </c>
      <c r="C4572">
        <v>56</v>
      </c>
      <c r="D4572" t="s">
        <v>14</v>
      </c>
      <c r="E4572" t="s">
        <v>25</v>
      </c>
      <c r="F4572" t="s">
        <v>16</v>
      </c>
      <c r="G4572" t="s">
        <v>12</v>
      </c>
      <c r="H4572">
        <v>2742.41</v>
      </c>
      <c r="I4572" s="8" t="str" cm="1">
        <f t="array" ref="I4572">_xlfn.IFS(C4572&lt;=15,"Children and Young Adolescents", C4572&gt;64, "Seniors", TRUE, "Working Age")</f>
        <v>Working Age</v>
      </c>
      <c r="J4572" s="6">
        <f>VLOOKUP(F4572,Analysis!$F$1:$G$5,2,FALSE)</f>
        <v>2509.1716796874912</v>
      </c>
      <c r="K4572">
        <f t="shared" si="284"/>
        <v>3016.65</v>
      </c>
      <c r="L4572">
        <f t="shared" si="285"/>
        <v>3016.6600000000003</v>
      </c>
      <c r="M4572">
        <f t="shared" si="286"/>
        <v>3016.65</v>
      </c>
      <c r="N4572" s="5" t="str">
        <f t="shared" si="287"/>
        <v>October 2023</v>
      </c>
    </row>
    <row r="4573" spans="1:14" x14ac:dyDescent="0.25">
      <c r="A4573" s="1">
        <v>45229</v>
      </c>
      <c r="B4573" t="s">
        <v>1546</v>
      </c>
      <c r="C4573">
        <v>50</v>
      </c>
      <c r="D4573" t="s">
        <v>21</v>
      </c>
      <c r="E4573" t="s">
        <v>32</v>
      </c>
      <c r="F4573" t="s">
        <v>23</v>
      </c>
      <c r="G4573" t="s">
        <v>39</v>
      </c>
      <c r="H4573">
        <v>4480.67</v>
      </c>
      <c r="I4573" s="8" t="str" cm="1">
        <f t="array" ref="I4573">_xlfn.IFS(C4573&lt;=15,"Children and Young Adolescents", C4573&gt;64, "Seniors", TRUE, "Working Age")</f>
        <v>Working Age</v>
      </c>
      <c r="J4573" s="6">
        <f>VLOOKUP(F4573,Analysis!$F$1:$G$5,2,FALSE)</f>
        <v>2440.2966694490838</v>
      </c>
      <c r="K4573">
        <f t="shared" si="284"/>
        <v>4928.7299999999996</v>
      </c>
      <c r="L4573">
        <f t="shared" si="285"/>
        <v>4928.74</v>
      </c>
      <c r="M4573">
        <f t="shared" si="286"/>
        <v>4928.74</v>
      </c>
      <c r="N4573" s="5" t="str">
        <f t="shared" si="287"/>
        <v>October 2023</v>
      </c>
    </row>
    <row r="4574" spans="1:14" x14ac:dyDescent="0.25">
      <c r="A4574" s="1">
        <v>45229</v>
      </c>
      <c r="B4574" t="s">
        <v>3789</v>
      </c>
      <c r="C4574">
        <v>8</v>
      </c>
      <c r="D4574" t="s">
        <v>14</v>
      </c>
      <c r="E4574" t="s">
        <v>5032</v>
      </c>
      <c r="F4574" t="s">
        <v>16</v>
      </c>
      <c r="G4574" t="s">
        <v>27</v>
      </c>
      <c r="H4574">
        <v>2462.58</v>
      </c>
      <c r="I4574" s="8" t="str" cm="1">
        <f t="array" ref="I4574">_xlfn.IFS(C4574&lt;=15,"Children and Young Adolescents", C4574&gt;64, "Seniors", TRUE, "Working Age")</f>
        <v>Children and Young Adolescents</v>
      </c>
      <c r="J4574" s="6">
        <f>VLOOKUP(F4574,Analysis!$F$1:$G$5,2,FALSE)</f>
        <v>2509.1716796874912</v>
      </c>
      <c r="K4574">
        <f t="shared" si="284"/>
        <v>2708.83</v>
      </c>
      <c r="L4574">
        <f t="shared" si="285"/>
        <v>2708.84</v>
      </c>
      <c r="M4574">
        <f t="shared" si="286"/>
        <v>2708.84</v>
      </c>
      <c r="N4574" s="5" t="str">
        <f t="shared" si="287"/>
        <v>October 2023</v>
      </c>
    </row>
    <row r="4575" spans="1:14" x14ac:dyDescent="0.25">
      <c r="A4575" s="1">
        <v>45229</v>
      </c>
      <c r="B4575" t="s">
        <v>2584</v>
      </c>
      <c r="C4575">
        <v>53</v>
      </c>
      <c r="D4575" t="s">
        <v>9</v>
      </c>
      <c r="E4575" t="s">
        <v>19</v>
      </c>
      <c r="F4575" t="s">
        <v>11</v>
      </c>
      <c r="G4575" t="s">
        <v>36</v>
      </c>
      <c r="H4575">
        <v>4344.3</v>
      </c>
      <c r="I4575" s="8" t="str" cm="1">
        <f t="array" ref="I4575">_xlfn.IFS(C4575&lt;=15,"Children and Young Adolescents", C4575&gt;64, "Seniors", TRUE, "Working Age")</f>
        <v>Working Age</v>
      </c>
      <c r="J4575" s="6">
        <f>VLOOKUP(F4575,Analysis!$F$1:$G$5,2,FALSE)</f>
        <v>2503.6022787783854</v>
      </c>
      <c r="K4575">
        <f t="shared" si="284"/>
        <v>4778.7299999999996</v>
      </c>
      <c r="L4575">
        <f t="shared" si="285"/>
        <v>4778.7299999999996</v>
      </c>
      <c r="M4575">
        <f t="shared" si="286"/>
        <v>4778.7299999999996</v>
      </c>
      <c r="N4575" s="5" t="str">
        <f t="shared" si="287"/>
        <v>October 2023</v>
      </c>
    </row>
    <row r="4576" spans="1:14" x14ac:dyDescent="0.25">
      <c r="A4576" s="1">
        <v>45229</v>
      </c>
      <c r="B4576" t="s">
        <v>2638</v>
      </c>
      <c r="C4576">
        <v>69</v>
      </c>
      <c r="D4576" t="s">
        <v>9</v>
      </c>
      <c r="E4576" t="s">
        <v>19</v>
      </c>
      <c r="F4576" t="s">
        <v>11</v>
      </c>
      <c r="G4576" t="s">
        <v>39</v>
      </c>
      <c r="H4576">
        <v>3878.88</v>
      </c>
      <c r="I4576" s="8" t="str" cm="1">
        <f t="array" ref="I4576">_xlfn.IFS(C4576&lt;=15,"Children and Young Adolescents", C4576&gt;64, "Seniors", TRUE, "Working Age")</f>
        <v>Seniors</v>
      </c>
      <c r="J4576" s="6">
        <f>VLOOKUP(F4576,Analysis!$F$1:$G$5,2,FALSE)</f>
        <v>2503.6022787783854</v>
      </c>
      <c r="K4576">
        <f t="shared" si="284"/>
        <v>4266.76</v>
      </c>
      <c r="L4576">
        <f t="shared" si="285"/>
        <v>4266.7700000000004</v>
      </c>
      <c r="M4576">
        <f t="shared" si="286"/>
        <v>4266.7700000000004</v>
      </c>
      <c r="N4576" s="5" t="str">
        <f t="shared" si="287"/>
        <v>October 2023</v>
      </c>
    </row>
    <row r="4577" spans="1:14" x14ac:dyDescent="0.25">
      <c r="A4577" s="1">
        <v>45229</v>
      </c>
      <c r="B4577" t="s">
        <v>2025</v>
      </c>
      <c r="C4577">
        <v>89</v>
      </c>
      <c r="D4577" t="s">
        <v>14</v>
      </c>
      <c r="E4577" t="s">
        <v>19</v>
      </c>
      <c r="F4577" t="s">
        <v>11</v>
      </c>
      <c r="G4577" t="s">
        <v>27</v>
      </c>
      <c r="H4577">
        <v>2024.36</v>
      </c>
      <c r="I4577" s="8" t="str" cm="1">
        <f t="array" ref="I4577">_xlfn.IFS(C4577&lt;=15,"Children and Young Adolescents", C4577&gt;64, "Seniors", TRUE, "Working Age")</f>
        <v>Seniors</v>
      </c>
      <c r="J4577" s="6">
        <f>VLOOKUP(F4577,Analysis!$F$1:$G$5,2,FALSE)</f>
        <v>2503.6022787783854</v>
      </c>
      <c r="K4577">
        <f t="shared" si="284"/>
        <v>2226.79</v>
      </c>
      <c r="L4577">
        <f t="shared" si="285"/>
        <v>2226.8000000000002</v>
      </c>
      <c r="M4577">
        <f t="shared" si="286"/>
        <v>2226.8000000000002</v>
      </c>
      <c r="N4577" s="5" t="str">
        <f t="shared" si="287"/>
        <v>October 2023</v>
      </c>
    </row>
    <row r="4578" spans="1:14" x14ac:dyDescent="0.25">
      <c r="A4578" s="1">
        <v>45229</v>
      </c>
      <c r="B4578" t="s">
        <v>1409</v>
      </c>
      <c r="C4578">
        <v>10</v>
      </c>
      <c r="D4578" t="s">
        <v>9</v>
      </c>
      <c r="E4578" t="s">
        <v>25</v>
      </c>
      <c r="F4578" t="s">
        <v>23</v>
      </c>
      <c r="G4578" t="s">
        <v>36</v>
      </c>
      <c r="H4578">
        <v>4066.28</v>
      </c>
      <c r="I4578" s="8" t="str" cm="1">
        <f t="array" ref="I4578">_xlfn.IFS(C4578&lt;=15,"Children and Young Adolescents", C4578&gt;64, "Seniors", TRUE, "Working Age")</f>
        <v>Children and Young Adolescents</v>
      </c>
      <c r="J4578" s="6">
        <f>VLOOKUP(F4578,Analysis!$F$1:$G$5,2,FALSE)</f>
        <v>2440.2966694490838</v>
      </c>
      <c r="K4578">
        <f t="shared" si="284"/>
        <v>4472.8999999999996</v>
      </c>
      <c r="L4578">
        <f t="shared" si="285"/>
        <v>4472.91</v>
      </c>
      <c r="M4578">
        <f t="shared" si="286"/>
        <v>4472.91</v>
      </c>
      <c r="N4578" s="5" t="str">
        <f t="shared" si="287"/>
        <v>October 2023</v>
      </c>
    </row>
    <row r="4579" spans="1:14" x14ac:dyDescent="0.25">
      <c r="A4579" s="1">
        <v>45229</v>
      </c>
      <c r="B4579" t="s">
        <v>2404</v>
      </c>
      <c r="C4579">
        <v>69</v>
      </c>
      <c r="D4579" t="s">
        <v>14</v>
      </c>
      <c r="E4579" t="s">
        <v>15</v>
      </c>
      <c r="F4579" t="s">
        <v>16</v>
      </c>
      <c r="G4579" t="s">
        <v>36</v>
      </c>
      <c r="H4579">
        <v>159.25</v>
      </c>
      <c r="I4579" s="8" t="str" cm="1">
        <f t="array" ref="I4579">_xlfn.IFS(C4579&lt;=15,"Children and Young Adolescents", C4579&gt;64, "Seniors", TRUE, "Working Age")</f>
        <v>Seniors</v>
      </c>
      <c r="J4579" s="6">
        <f>VLOOKUP(F4579,Analysis!$F$1:$G$5,2,FALSE)</f>
        <v>2509.1716796874912</v>
      </c>
      <c r="K4579">
        <f t="shared" si="284"/>
        <v>175.17</v>
      </c>
      <c r="L4579">
        <f t="shared" si="285"/>
        <v>175.17999999999998</v>
      </c>
      <c r="M4579">
        <f t="shared" si="286"/>
        <v>175.18</v>
      </c>
      <c r="N4579" s="5" t="str">
        <f t="shared" si="287"/>
        <v>October 2023</v>
      </c>
    </row>
    <row r="4580" spans="1:14" x14ac:dyDescent="0.25">
      <c r="A4580" s="1">
        <v>45229</v>
      </c>
      <c r="B4580" t="s">
        <v>3036</v>
      </c>
      <c r="C4580">
        <v>52</v>
      </c>
      <c r="D4580" t="s">
        <v>9</v>
      </c>
      <c r="E4580" t="s">
        <v>22</v>
      </c>
      <c r="F4580" t="s">
        <v>23</v>
      </c>
      <c r="G4580" t="s">
        <v>36</v>
      </c>
      <c r="H4580">
        <v>25.99</v>
      </c>
      <c r="I4580" s="8" t="str" cm="1">
        <f t="array" ref="I4580">_xlfn.IFS(C4580&lt;=15,"Children and Young Adolescents", C4580&gt;64, "Seniors", TRUE, "Working Age")</f>
        <v>Working Age</v>
      </c>
      <c r="J4580" s="6">
        <f>VLOOKUP(F4580,Analysis!$F$1:$G$5,2,FALSE)</f>
        <v>2440.2966694490838</v>
      </c>
      <c r="K4580">
        <f t="shared" si="284"/>
        <v>28.58</v>
      </c>
      <c r="L4580">
        <f t="shared" si="285"/>
        <v>28.59</v>
      </c>
      <c r="M4580">
        <f t="shared" si="286"/>
        <v>28.59</v>
      </c>
      <c r="N4580" s="5" t="str">
        <f t="shared" si="287"/>
        <v>October 2023</v>
      </c>
    </row>
    <row r="4581" spans="1:14" x14ac:dyDescent="0.25">
      <c r="A4581" s="1">
        <v>45229</v>
      </c>
      <c r="B4581" t="s">
        <v>3393</v>
      </c>
      <c r="C4581">
        <v>54</v>
      </c>
      <c r="D4581" t="s">
        <v>21</v>
      </c>
      <c r="E4581" t="s">
        <v>10</v>
      </c>
      <c r="F4581" t="s">
        <v>16</v>
      </c>
      <c r="G4581" t="s">
        <v>39</v>
      </c>
      <c r="H4581">
        <v>1577.52</v>
      </c>
      <c r="I4581" s="8" t="str" cm="1">
        <f t="array" ref="I4581">_xlfn.IFS(C4581&lt;=15,"Children and Young Adolescents", C4581&gt;64, "Seniors", TRUE, "Working Age")</f>
        <v>Working Age</v>
      </c>
      <c r="J4581" s="6">
        <f>VLOOKUP(F4581,Analysis!$F$1:$G$5,2,FALSE)</f>
        <v>2509.1716796874912</v>
      </c>
      <c r="K4581">
        <f t="shared" si="284"/>
        <v>1735.27</v>
      </c>
      <c r="L4581">
        <f t="shared" si="285"/>
        <v>1735.28</v>
      </c>
      <c r="M4581">
        <f t="shared" si="286"/>
        <v>1735.27</v>
      </c>
      <c r="N4581" s="5" t="str">
        <f t="shared" si="287"/>
        <v>October 2023</v>
      </c>
    </row>
    <row r="4582" spans="1:14" x14ac:dyDescent="0.25">
      <c r="A4582" s="1">
        <v>45229</v>
      </c>
      <c r="B4582" t="s">
        <v>721</v>
      </c>
      <c r="C4582">
        <v>38</v>
      </c>
      <c r="D4582" t="s">
        <v>14</v>
      </c>
      <c r="E4582" t="s">
        <v>19</v>
      </c>
      <c r="F4582" t="s">
        <v>16</v>
      </c>
      <c r="G4582" t="s">
        <v>36</v>
      </c>
      <c r="H4582">
        <v>2050.79</v>
      </c>
      <c r="I4582" s="8" t="str" cm="1">
        <f t="array" ref="I4582">_xlfn.IFS(C4582&lt;=15,"Children and Young Adolescents", C4582&gt;64, "Seniors", TRUE, "Working Age")</f>
        <v>Working Age</v>
      </c>
      <c r="J4582" s="6">
        <f>VLOOKUP(F4582,Analysis!$F$1:$G$5,2,FALSE)</f>
        <v>2509.1716796874912</v>
      </c>
      <c r="K4582">
        <f t="shared" si="284"/>
        <v>2255.86</v>
      </c>
      <c r="L4582">
        <f t="shared" si="285"/>
        <v>2255.8700000000003</v>
      </c>
      <c r="M4582">
        <f t="shared" si="286"/>
        <v>2255.87</v>
      </c>
      <c r="N4582" s="5" t="str">
        <f t="shared" si="287"/>
        <v>October 2023</v>
      </c>
    </row>
    <row r="4583" spans="1:14" x14ac:dyDescent="0.25">
      <c r="A4583" s="1">
        <v>45229</v>
      </c>
      <c r="B4583" t="s">
        <v>1481</v>
      </c>
      <c r="C4583">
        <v>52</v>
      </c>
      <c r="D4583" t="s">
        <v>14</v>
      </c>
      <c r="E4583" t="s">
        <v>25</v>
      </c>
      <c r="F4583" t="s">
        <v>23</v>
      </c>
      <c r="G4583" t="s">
        <v>36</v>
      </c>
      <c r="H4583">
        <v>4573.08</v>
      </c>
      <c r="I4583" s="8" t="str" cm="1">
        <f t="array" ref="I4583">_xlfn.IFS(C4583&lt;=15,"Children and Young Adolescents", C4583&gt;64, "Seniors", TRUE, "Working Age")</f>
        <v>Working Age</v>
      </c>
      <c r="J4583" s="6">
        <f>VLOOKUP(F4583,Analysis!$F$1:$G$5,2,FALSE)</f>
        <v>2440.2966694490838</v>
      </c>
      <c r="K4583">
        <f t="shared" si="284"/>
        <v>5030.38</v>
      </c>
      <c r="L4583">
        <f t="shared" si="285"/>
        <v>5030.3900000000003</v>
      </c>
      <c r="M4583">
        <f t="shared" si="286"/>
        <v>5030.3900000000003</v>
      </c>
      <c r="N4583" s="5" t="str">
        <f t="shared" si="287"/>
        <v>October 2023</v>
      </c>
    </row>
    <row r="4584" spans="1:14" x14ac:dyDescent="0.25">
      <c r="A4584" s="1">
        <v>45229</v>
      </c>
      <c r="B4584" t="s">
        <v>4299</v>
      </c>
      <c r="C4584">
        <v>67</v>
      </c>
      <c r="D4584" t="s">
        <v>21</v>
      </c>
      <c r="E4584" t="s">
        <v>10</v>
      </c>
      <c r="F4584" t="s">
        <v>23</v>
      </c>
      <c r="G4584" t="s">
        <v>36</v>
      </c>
      <c r="H4584">
        <v>3549.07</v>
      </c>
      <c r="I4584" s="8" t="str" cm="1">
        <f t="array" ref="I4584">_xlfn.IFS(C4584&lt;=15,"Children and Young Adolescents", C4584&gt;64, "Seniors", TRUE, "Working Age")</f>
        <v>Seniors</v>
      </c>
      <c r="J4584" s="6">
        <f>VLOOKUP(F4584,Analysis!$F$1:$G$5,2,FALSE)</f>
        <v>2440.2966694490838</v>
      </c>
      <c r="K4584">
        <f t="shared" si="284"/>
        <v>3903.97</v>
      </c>
      <c r="L4584">
        <f t="shared" si="285"/>
        <v>3903.98</v>
      </c>
      <c r="M4584">
        <f t="shared" si="286"/>
        <v>3903.98</v>
      </c>
      <c r="N4584" s="5" t="str">
        <f t="shared" si="287"/>
        <v>October 2023</v>
      </c>
    </row>
    <row r="4585" spans="1:14" x14ac:dyDescent="0.25">
      <c r="A4585" s="1">
        <v>45230</v>
      </c>
      <c r="B4585" t="s">
        <v>966</v>
      </c>
      <c r="C4585">
        <v>41</v>
      </c>
      <c r="D4585" t="s">
        <v>14</v>
      </c>
      <c r="E4585" t="s">
        <v>19</v>
      </c>
      <c r="F4585" t="s">
        <v>11</v>
      </c>
      <c r="G4585" t="s">
        <v>39</v>
      </c>
      <c r="H4585">
        <v>129.32</v>
      </c>
      <c r="I4585" s="8" t="str" cm="1">
        <f t="array" ref="I4585">_xlfn.IFS(C4585&lt;=15,"Children and Young Adolescents", C4585&gt;64, "Seniors", TRUE, "Working Age")</f>
        <v>Working Age</v>
      </c>
      <c r="J4585" s="6">
        <f>VLOOKUP(F4585,Analysis!$F$1:$G$5,2,FALSE)</f>
        <v>2503.6022787783854</v>
      </c>
      <c r="K4585">
        <f t="shared" si="284"/>
        <v>142.25</v>
      </c>
      <c r="L4585">
        <f t="shared" si="285"/>
        <v>142.26</v>
      </c>
      <c r="M4585">
        <f t="shared" si="286"/>
        <v>142.25</v>
      </c>
      <c r="N4585" s="5" t="str">
        <f t="shared" si="287"/>
        <v>October 2023</v>
      </c>
    </row>
    <row r="4586" spans="1:14" x14ac:dyDescent="0.25">
      <c r="A4586" s="1">
        <v>45230</v>
      </c>
      <c r="B4586" t="s">
        <v>1180</v>
      </c>
      <c r="C4586">
        <v>51</v>
      </c>
      <c r="D4586" t="s">
        <v>21</v>
      </c>
      <c r="E4586" t="s">
        <v>25</v>
      </c>
      <c r="F4586" t="s">
        <v>29</v>
      </c>
      <c r="G4586" t="s">
        <v>12</v>
      </c>
      <c r="H4586">
        <v>3421.72</v>
      </c>
      <c r="I4586" s="8" t="str" cm="1">
        <f t="array" ref="I4586">_xlfn.IFS(C4586&lt;=15,"Children and Young Adolescents", C4586&gt;64, "Seniors", TRUE, "Working Age")</f>
        <v>Working Age</v>
      </c>
      <c r="J4586" s="6">
        <f>VLOOKUP(F4586,Analysis!$F$1:$G$5,2,FALSE)</f>
        <v>2496.7676064256989</v>
      </c>
      <c r="K4586">
        <f t="shared" si="284"/>
        <v>3763.89</v>
      </c>
      <c r="L4586">
        <f t="shared" si="285"/>
        <v>3763.9</v>
      </c>
      <c r="M4586">
        <f t="shared" si="286"/>
        <v>3763.89</v>
      </c>
      <c r="N4586" s="5" t="str">
        <f t="shared" si="287"/>
        <v>October 2023</v>
      </c>
    </row>
    <row r="4587" spans="1:14" x14ac:dyDescent="0.25">
      <c r="A4587" s="1">
        <v>45230</v>
      </c>
      <c r="B4587" t="s">
        <v>4368</v>
      </c>
      <c r="C4587">
        <v>49</v>
      </c>
      <c r="D4587" t="s">
        <v>9</v>
      </c>
      <c r="E4587" t="s">
        <v>10</v>
      </c>
      <c r="F4587" t="s">
        <v>29</v>
      </c>
      <c r="G4587" t="s">
        <v>12</v>
      </c>
      <c r="H4587">
        <v>1222.6500000000001</v>
      </c>
      <c r="I4587" s="8" t="str" cm="1">
        <f t="array" ref="I4587">_xlfn.IFS(C4587&lt;=15,"Children and Young Adolescents", C4587&gt;64, "Seniors", TRUE, "Working Age")</f>
        <v>Working Age</v>
      </c>
      <c r="J4587" s="6">
        <f>VLOOKUP(F4587,Analysis!$F$1:$G$5,2,FALSE)</f>
        <v>2496.7676064256989</v>
      </c>
      <c r="K4587">
        <f t="shared" si="284"/>
        <v>1344.91</v>
      </c>
      <c r="L4587">
        <f t="shared" si="285"/>
        <v>1344.92</v>
      </c>
      <c r="M4587">
        <f t="shared" si="286"/>
        <v>1344.92</v>
      </c>
      <c r="N4587" s="5" t="str">
        <f t="shared" si="287"/>
        <v>October 2023</v>
      </c>
    </row>
    <row r="4588" spans="1:14" x14ac:dyDescent="0.25">
      <c r="A4588" s="1">
        <v>45230</v>
      </c>
      <c r="B4588" t="s">
        <v>549</v>
      </c>
      <c r="C4588">
        <v>33</v>
      </c>
      <c r="D4588" t="s">
        <v>21</v>
      </c>
      <c r="E4588" t="s">
        <v>15</v>
      </c>
      <c r="F4588" t="s">
        <v>11</v>
      </c>
      <c r="G4588" t="s">
        <v>39</v>
      </c>
      <c r="H4588">
        <v>1592.73</v>
      </c>
      <c r="I4588" s="8" t="str" cm="1">
        <f t="array" ref="I4588">_xlfn.IFS(C4588&lt;=15,"Children and Young Adolescents", C4588&gt;64, "Seniors", TRUE, "Working Age")</f>
        <v>Working Age</v>
      </c>
      <c r="J4588" s="6">
        <f>VLOOKUP(F4588,Analysis!$F$1:$G$5,2,FALSE)</f>
        <v>2503.6022787783854</v>
      </c>
      <c r="K4588">
        <f t="shared" si="284"/>
        <v>1752</v>
      </c>
      <c r="L4588">
        <f t="shared" si="285"/>
        <v>1752.01</v>
      </c>
      <c r="M4588">
        <f t="shared" si="286"/>
        <v>1752</v>
      </c>
      <c r="N4588" s="5" t="str">
        <f t="shared" si="287"/>
        <v>October 2023</v>
      </c>
    </row>
    <row r="4589" spans="1:14" x14ac:dyDescent="0.25">
      <c r="A4589" s="1">
        <v>45230</v>
      </c>
      <c r="B4589" t="s">
        <v>2474</v>
      </c>
      <c r="C4589">
        <v>25</v>
      </c>
      <c r="D4589" t="s">
        <v>21</v>
      </c>
      <c r="E4589" t="s">
        <v>22</v>
      </c>
      <c r="F4589" t="s">
        <v>16</v>
      </c>
      <c r="G4589" t="s">
        <v>12</v>
      </c>
      <c r="H4589">
        <v>3742.38</v>
      </c>
      <c r="I4589" s="8" t="str" cm="1">
        <f t="array" ref="I4589">_xlfn.IFS(C4589&lt;=15,"Children and Young Adolescents", C4589&gt;64, "Seniors", TRUE, "Working Age")</f>
        <v>Working Age</v>
      </c>
      <c r="J4589" s="6">
        <f>VLOOKUP(F4589,Analysis!$F$1:$G$5,2,FALSE)</f>
        <v>2509.1716796874912</v>
      </c>
      <c r="K4589">
        <f t="shared" si="284"/>
        <v>4116.6099999999997</v>
      </c>
      <c r="L4589">
        <f t="shared" si="285"/>
        <v>4116.62</v>
      </c>
      <c r="M4589">
        <f t="shared" si="286"/>
        <v>4116.62</v>
      </c>
      <c r="N4589" s="5" t="str">
        <f t="shared" si="287"/>
        <v>October 2023</v>
      </c>
    </row>
    <row r="4590" spans="1:14" x14ac:dyDescent="0.25">
      <c r="A4590" s="1">
        <v>45230</v>
      </c>
      <c r="B4590" t="s">
        <v>546</v>
      </c>
      <c r="C4590">
        <v>7</v>
      </c>
      <c r="D4590" t="s">
        <v>14</v>
      </c>
      <c r="E4590" t="s">
        <v>32</v>
      </c>
      <c r="F4590" t="s">
        <v>23</v>
      </c>
      <c r="G4590" t="s">
        <v>5033</v>
      </c>
      <c r="H4590">
        <v>2097.9899999999998</v>
      </c>
      <c r="I4590" s="8" t="str" cm="1">
        <f t="array" ref="I4590">_xlfn.IFS(C4590&lt;=15,"Children and Young Adolescents", C4590&gt;64, "Seniors", TRUE, "Working Age")</f>
        <v>Children and Young Adolescents</v>
      </c>
      <c r="J4590" s="6">
        <f>VLOOKUP(F4590,Analysis!$F$1:$G$5,2,FALSE)</f>
        <v>2440.2966694490838</v>
      </c>
      <c r="K4590">
        <f t="shared" si="284"/>
        <v>2307.7800000000002</v>
      </c>
      <c r="L4590">
        <f t="shared" si="285"/>
        <v>2307.7900000000004</v>
      </c>
      <c r="M4590">
        <f t="shared" si="286"/>
        <v>2307.79</v>
      </c>
      <c r="N4590" s="5" t="str">
        <f t="shared" si="287"/>
        <v>October 2023</v>
      </c>
    </row>
    <row r="4591" spans="1:14" x14ac:dyDescent="0.25">
      <c r="A4591" s="1">
        <v>45230</v>
      </c>
      <c r="B4591" t="s">
        <v>3845</v>
      </c>
      <c r="C4591">
        <v>80</v>
      </c>
      <c r="D4591" t="s">
        <v>9</v>
      </c>
      <c r="E4591" t="s">
        <v>15</v>
      </c>
      <c r="F4591" t="s">
        <v>16</v>
      </c>
      <c r="G4591" t="s">
        <v>39</v>
      </c>
      <c r="H4591">
        <v>1021.43</v>
      </c>
      <c r="I4591" s="8" t="str" cm="1">
        <f t="array" ref="I4591">_xlfn.IFS(C4591&lt;=15,"Children and Young Adolescents", C4591&gt;64, "Seniors", TRUE, "Working Age")</f>
        <v>Seniors</v>
      </c>
      <c r="J4591" s="6">
        <f>VLOOKUP(F4591,Analysis!$F$1:$G$5,2,FALSE)</f>
        <v>2509.1716796874912</v>
      </c>
      <c r="K4591">
        <f t="shared" si="284"/>
        <v>1123.57</v>
      </c>
      <c r="L4591">
        <f t="shared" si="285"/>
        <v>1123.58</v>
      </c>
      <c r="M4591">
        <f t="shared" si="286"/>
        <v>1123.57</v>
      </c>
      <c r="N4591" s="5" t="str">
        <f t="shared" si="287"/>
        <v>October 2023</v>
      </c>
    </row>
    <row r="4592" spans="1:14" x14ac:dyDescent="0.25">
      <c r="A4592" s="1">
        <v>45230</v>
      </c>
      <c r="B4592" t="s">
        <v>748</v>
      </c>
      <c r="C4592">
        <v>6</v>
      </c>
      <c r="D4592" t="s">
        <v>21</v>
      </c>
      <c r="E4592" t="s">
        <v>25</v>
      </c>
      <c r="F4592" t="s">
        <v>11</v>
      </c>
      <c r="G4592" t="s">
        <v>17</v>
      </c>
      <c r="H4592">
        <v>4623.54</v>
      </c>
      <c r="I4592" s="8" t="str" cm="1">
        <f t="array" ref="I4592">_xlfn.IFS(C4592&lt;=15,"Children and Young Adolescents", C4592&gt;64, "Seniors", TRUE, "Working Age")</f>
        <v>Children and Young Adolescents</v>
      </c>
      <c r="J4592" s="6">
        <f>VLOOKUP(F4592,Analysis!$F$1:$G$5,2,FALSE)</f>
        <v>2503.6022787783854</v>
      </c>
      <c r="K4592">
        <f t="shared" si="284"/>
        <v>5085.8900000000003</v>
      </c>
      <c r="L4592">
        <f t="shared" si="285"/>
        <v>5085.9000000000005</v>
      </c>
      <c r="M4592">
        <f t="shared" si="286"/>
        <v>5085.8900000000003</v>
      </c>
      <c r="N4592" s="5" t="str">
        <f t="shared" si="287"/>
        <v>October 2023</v>
      </c>
    </row>
    <row r="4593" spans="1:14" x14ac:dyDescent="0.25">
      <c r="A4593" s="1">
        <v>45230</v>
      </c>
      <c r="B4593" t="s">
        <v>1741</v>
      </c>
      <c r="C4593">
        <v>65</v>
      </c>
      <c r="D4593" t="s">
        <v>21</v>
      </c>
      <c r="E4593" t="s">
        <v>10</v>
      </c>
      <c r="F4593" t="s">
        <v>16</v>
      </c>
      <c r="G4593" t="s">
        <v>27</v>
      </c>
      <c r="H4593">
        <v>4221.68</v>
      </c>
      <c r="I4593" s="8" t="str" cm="1">
        <f t="array" ref="I4593">_xlfn.IFS(C4593&lt;=15,"Children and Young Adolescents", C4593&gt;64, "Seniors", TRUE, "Working Age")</f>
        <v>Seniors</v>
      </c>
      <c r="J4593" s="6">
        <f>VLOOKUP(F4593,Analysis!$F$1:$G$5,2,FALSE)</f>
        <v>2509.1716796874912</v>
      </c>
      <c r="K4593">
        <f t="shared" si="284"/>
        <v>4643.84</v>
      </c>
      <c r="L4593">
        <f t="shared" si="285"/>
        <v>4643.8500000000004</v>
      </c>
      <c r="M4593">
        <f t="shared" si="286"/>
        <v>4643.8500000000004</v>
      </c>
      <c r="N4593" s="5" t="str">
        <f t="shared" si="287"/>
        <v>October 2023</v>
      </c>
    </row>
    <row r="4594" spans="1:14" x14ac:dyDescent="0.25">
      <c r="A4594" s="1">
        <v>45230</v>
      </c>
      <c r="B4594" t="s">
        <v>420</v>
      </c>
      <c r="C4594">
        <v>25</v>
      </c>
      <c r="D4594" t="s">
        <v>21</v>
      </c>
      <c r="E4594" t="s">
        <v>10</v>
      </c>
      <c r="F4594" t="s">
        <v>11</v>
      </c>
      <c r="G4594" t="s">
        <v>5033</v>
      </c>
      <c r="H4594">
        <v>3586.15</v>
      </c>
      <c r="I4594" s="8" t="str" cm="1">
        <f t="array" ref="I4594">_xlfn.IFS(C4594&lt;=15,"Children and Young Adolescents", C4594&gt;64, "Seniors", TRUE, "Working Age")</f>
        <v>Working Age</v>
      </c>
      <c r="J4594" s="6">
        <f>VLOOKUP(F4594,Analysis!$F$1:$G$5,2,FALSE)</f>
        <v>2503.6022787783854</v>
      </c>
      <c r="K4594">
        <f t="shared" si="284"/>
        <v>3944.76</v>
      </c>
      <c r="L4594">
        <f t="shared" si="285"/>
        <v>3944.7700000000004</v>
      </c>
      <c r="M4594">
        <f t="shared" si="286"/>
        <v>3944.77</v>
      </c>
      <c r="N4594" s="5" t="str">
        <f t="shared" si="287"/>
        <v>October 2023</v>
      </c>
    </row>
    <row r="4595" spans="1:14" x14ac:dyDescent="0.25">
      <c r="A4595" s="1">
        <v>45230</v>
      </c>
      <c r="B4595" t="s">
        <v>3470</v>
      </c>
      <c r="C4595">
        <v>8</v>
      </c>
      <c r="D4595" t="s">
        <v>21</v>
      </c>
      <c r="E4595" t="s">
        <v>10</v>
      </c>
      <c r="F4595" t="s">
        <v>16</v>
      </c>
      <c r="G4595" t="s">
        <v>39</v>
      </c>
      <c r="H4595">
        <v>3014.54</v>
      </c>
      <c r="I4595" s="8" t="str" cm="1">
        <f t="array" ref="I4595">_xlfn.IFS(C4595&lt;=15,"Children and Young Adolescents", C4595&gt;64, "Seniors", TRUE, "Working Age")</f>
        <v>Children and Young Adolescents</v>
      </c>
      <c r="J4595" s="6">
        <f>VLOOKUP(F4595,Analysis!$F$1:$G$5,2,FALSE)</f>
        <v>2509.1716796874912</v>
      </c>
      <c r="K4595">
        <f t="shared" si="284"/>
        <v>3315.99</v>
      </c>
      <c r="L4595">
        <f t="shared" si="285"/>
        <v>3316</v>
      </c>
      <c r="M4595">
        <f t="shared" si="286"/>
        <v>3315.99</v>
      </c>
      <c r="N4595" s="5" t="str">
        <f t="shared" si="287"/>
        <v>October 2023</v>
      </c>
    </row>
    <row r="4596" spans="1:14" x14ac:dyDescent="0.25">
      <c r="A4596" s="1">
        <v>45231</v>
      </c>
      <c r="B4596" t="s">
        <v>602</v>
      </c>
      <c r="C4596">
        <v>21</v>
      </c>
      <c r="D4596" t="s">
        <v>14</v>
      </c>
      <c r="E4596" t="s">
        <v>19</v>
      </c>
      <c r="F4596" t="s">
        <v>16</v>
      </c>
      <c r="G4596" t="s">
        <v>27</v>
      </c>
      <c r="H4596">
        <v>3404.87</v>
      </c>
      <c r="I4596" s="8" t="str" cm="1">
        <f t="array" ref="I4596">_xlfn.IFS(C4596&lt;=15,"Children and Young Adolescents", C4596&gt;64, "Seniors", TRUE, "Working Age")</f>
        <v>Working Age</v>
      </c>
      <c r="J4596" s="6">
        <f>VLOOKUP(F4596,Analysis!$F$1:$G$5,2,FALSE)</f>
        <v>2509.1716796874912</v>
      </c>
      <c r="K4596">
        <f t="shared" si="284"/>
        <v>3745.35</v>
      </c>
      <c r="L4596">
        <f t="shared" si="285"/>
        <v>3745.36</v>
      </c>
      <c r="M4596">
        <f t="shared" si="286"/>
        <v>3745.36</v>
      </c>
      <c r="N4596" s="5" t="str">
        <f t="shared" si="287"/>
        <v>November 2023</v>
      </c>
    </row>
    <row r="4597" spans="1:14" x14ac:dyDescent="0.25">
      <c r="A4597" s="1">
        <v>45231</v>
      </c>
      <c r="B4597" t="s">
        <v>3116</v>
      </c>
      <c r="C4597">
        <v>96</v>
      </c>
      <c r="D4597" t="s">
        <v>9</v>
      </c>
      <c r="E4597" t="s">
        <v>19</v>
      </c>
      <c r="F4597" t="s">
        <v>23</v>
      </c>
      <c r="G4597" t="s">
        <v>36</v>
      </c>
      <c r="H4597">
        <v>1147.27</v>
      </c>
      <c r="I4597" s="8" t="str" cm="1">
        <f t="array" ref="I4597">_xlfn.IFS(C4597&lt;=15,"Children and Young Adolescents", C4597&gt;64, "Seniors", TRUE, "Working Age")</f>
        <v>Seniors</v>
      </c>
      <c r="J4597" s="6">
        <f>VLOOKUP(F4597,Analysis!$F$1:$G$5,2,FALSE)</f>
        <v>2440.2966694490838</v>
      </c>
      <c r="K4597">
        <f t="shared" si="284"/>
        <v>1261.99</v>
      </c>
      <c r="L4597">
        <f t="shared" si="285"/>
        <v>1262</v>
      </c>
      <c r="M4597">
        <f t="shared" si="286"/>
        <v>1262</v>
      </c>
      <c r="N4597" s="5" t="str">
        <f t="shared" si="287"/>
        <v>November 2023</v>
      </c>
    </row>
    <row r="4598" spans="1:14" x14ac:dyDescent="0.25">
      <c r="A4598" s="1">
        <v>45231</v>
      </c>
      <c r="B4598" t="s">
        <v>4108</v>
      </c>
      <c r="C4598">
        <v>69</v>
      </c>
      <c r="D4598" t="s">
        <v>9</v>
      </c>
      <c r="E4598" t="s">
        <v>19</v>
      </c>
      <c r="F4598" t="s">
        <v>23</v>
      </c>
      <c r="G4598" t="s">
        <v>36</v>
      </c>
      <c r="H4598">
        <v>2748.25</v>
      </c>
      <c r="I4598" s="8" t="str" cm="1">
        <f t="array" ref="I4598">_xlfn.IFS(C4598&lt;=15,"Children and Young Adolescents", C4598&gt;64, "Seniors", TRUE, "Working Age")</f>
        <v>Seniors</v>
      </c>
      <c r="J4598" s="6">
        <f>VLOOKUP(F4598,Analysis!$F$1:$G$5,2,FALSE)</f>
        <v>2440.2966694490838</v>
      </c>
      <c r="K4598">
        <f t="shared" si="284"/>
        <v>3023.07</v>
      </c>
      <c r="L4598">
        <f t="shared" si="285"/>
        <v>3023.0800000000004</v>
      </c>
      <c r="M4598">
        <f t="shared" si="286"/>
        <v>3023.08</v>
      </c>
      <c r="N4598" s="5" t="str">
        <f t="shared" si="287"/>
        <v>November 2023</v>
      </c>
    </row>
    <row r="4599" spans="1:14" x14ac:dyDescent="0.25">
      <c r="A4599" s="1">
        <v>45231</v>
      </c>
      <c r="B4599" t="s">
        <v>2910</v>
      </c>
      <c r="C4599">
        <v>52</v>
      </c>
      <c r="D4599" t="s">
        <v>21</v>
      </c>
      <c r="E4599" t="s">
        <v>34</v>
      </c>
      <c r="F4599" t="s">
        <v>29</v>
      </c>
      <c r="G4599" t="s">
        <v>39</v>
      </c>
      <c r="H4599">
        <v>3622.96</v>
      </c>
      <c r="I4599" s="8" t="str" cm="1">
        <f t="array" ref="I4599">_xlfn.IFS(C4599&lt;=15,"Children and Young Adolescents", C4599&gt;64, "Seniors", TRUE, "Working Age")</f>
        <v>Working Age</v>
      </c>
      <c r="J4599" s="6">
        <f>VLOOKUP(F4599,Analysis!$F$1:$G$5,2,FALSE)</f>
        <v>2496.7676064256989</v>
      </c>
      <c r="K4599">
        <f t="shared" si="284"/>
        <v>3985.25</v>
      </c>
      <c r="L4599">
        <f t="shared" si="285"/>
        <v>3985.26</v>
      </c>
      <c r="M4599">
        <f t="shared" si="286"/>
        <v>3985.26</v>
      </c>
      <c r="N4599" s="5" t="str">
        <f t="shared" si="287"/>
        <v>November 2023</v>
      </c>
    </row>
    <row r="4600" spans="1:14" x14ac:dyDescent="0.25">
      <c r="A4600" s="1">
        <v>45231</v>
      </c>
      <c r="B4600" t="s">
        <v>76</v>
      </c>
      <c r="C4600">
        <v>36</v>
      </c>
      <c r="D4600" t="s">
        <v>14</v>
      </c>
      <c r="E4600" t="s">
        <v>32</v>
      </c>
      <c r="F4600" t="s">
        <v>16</v>
      </c>
      <c r="G4600" t="s">
        <v>27</v>
      </c>
      <c r="H4600">
        <v>1196.44</v>
      </c>
      <c r="I4600" s="8" t="str" cm="1">
        <f t="array" ref="I4600">_xlfn.IFS(C4600&lt;=15,"Children and Young Adolescents", C4600&gt;64, "Seniors", TRUE, "Working Age")</f>
        <v>Working Age</v>
      </c>
      <c r="J4600" s="6">
        <f>VLOOKUP(F4600,Analysis!$F$1:$G$5,2,FALSE)</f>
        <v>2509.1716796874912</v>
      </c>
      <c r="K4600">
        <f t="shared" si="284"/>
        <v>1316.08</v>
      </c>
      <c r="L4600">
        <f t="shared" si="285"/>
        <v>1316.09</v>
      </c>
      <c r="M4600">
        <f t="shared" si="286"/>
        <v>1316.08</v>
      </c>
      <c r="N4600" s="5" t="str">
        <f t="shared" si="287"/>
        <v>November 2023</v>
      </c>
    </row>
    <row r="4601" spans="1:14" x14ac:dyDescent="0.25">
      <c r="A4601" s="1">
        <v>45231</v>
      </c>
      <c r="B4601" t="s">
        <v>3087</v>
      </c>
      <c r="C4601">
        <v>40</v>
      </c>
      <c r="D4601" t="s">
        <v>14</v>
      </c>
      <c r="E4601" t="s">
        <v>10</v>
      </c>
      <c r="F4601" t="s">
        <v>23</v>
      </c>
      <c r="G4601" t="s">
        <v>17</v>
      </c>
      <c r="H4601">
        <v>2824.86</v>
      </c>
      <c r="I4601" s="8" t="str" cm="1">
        <f t="array" ref="I4601">_xlfn.IFS(C4601&lt;=15,"Children and Young Adolescents", C4601&gt;64, "Seniors", TRUE, "Working Age")</f>
        <v>Working Age</v>
      </c>
      <c r="J4601" s="6">
        <f>VLOOKUP(F4601,Analysis!$F$1:$G$5,2,FALSE)</f>
        <v>2440.2966694490838</v>
      </c>
      <c r="K4601">
        <f t="shared" si="284"/>
        <v>3107.34</v>
      </c>
      <c r="L4601">
        <f t="shared" si="285"/>
        <v>3107.3500000000004</v>
      </c>
      <c r="M4601">
        <f t="shared" si="286"/>
        <v>3107.35</v>
      </c>
      <c r="N4601" s="5" t="str">
        <f t="shared" si="287"/>
        <v>November 2023</v>
      </c>
    </row>
    <row r="4602" spans="1:14" x14ac:dyDescent="0.25">
      <c r="A4602" s="1">
        <v>45232</v>
      </c>
      <c r="B4602" t="s">
        <v>1255</v>
      </c>
      <c r="C4602">
        <v>92</v>
      </c>
      <c r="D4602" t="s">
        <v>9</v>
      </c>
      <c r="E4602" t="s">
        <v>34</v>
      </c>
      <c r="F4602" t="s">
        <v>29</v>
      </c>
      <c r="G4602" t="s">
        <v>39</v>
      </c>
      <c r="H4602">
        <v>1969.92</v>
      </c>
      <c r="I4602" s="8" t="str" cm="1">
        <f t="array" ref="I4602">_xlfn.IFS(C4602&lt;=15,"Children and Young Adolescents", C4602&gt;64, "Seniors", TRUE, "Working Age")</f>
        <v>Seniors</v>
      </c>
      <c r="J4602" s="6">
        <f>VLOOKUP(F4602,Analysis!$F$1:$G$5,2,FALSE)</f>
        <v>2496.7676064256989</v>
      </c>
      <c r="K4602">
        <f t="shared" si="284"/>
        <v>2166.91</v>
      </c>
      <c r="L4602">
        <f t="shared" si="285"/>
        <v>2166.92</v>
      </c>
      <c r="M4602">
        <f t="shared" si="286"/>
        <v>2166.91</v>
      </c>
      <c r="N4602" s="5" t="str">
        <f t="shared" si="287"/>
        <v>November 2023</v>
      </c>
    </row>
    <row r="4603" spans="1:14" x14ac:dyDescent="0.25">
      <c r="A4603" s="1">
        <v>45232</v>
      </c>
      <c r="B4603" t="s">
        <v>1907</v>
      </c>
      <c r="C4603">
        <v>60</v>
      </c>
      <c r="D4603" t="s">
        <v>9</v>
      </c>
      <c r="E4603" t="s">
        <v>32</v>
      </c>
      <c r="F4603" t="s">
        <v>16</v>
      </c>
      <c r="G4603" t="s">
        <v>36</v>
      </c>
      <c r="H4603">
        <v>607.96</v>
      </c>
      <c r="I4603" s="8" t="str" cm="1">
        <f t="array" ref="I4603">_xlfn.IFS(C4603&lt;=15,"Children and Young Adolescents", C4603&gt;64, "Seniors", TRUE, "Working Age")</f>
        <v>Working Age</v>
      </c>
      <c r="J4603" s="6">
        <f>VLOOKUP(F4603,Analysis!$F$1:$G$5,2,FALSE)</f>
        <v>2509.1716796874912</v>
      </c>
      <c r="K4603">
        <f t="shared" si="284"/>
        <v>668.75</v>
      </c>
      <c r="L4603">
        <f t="shared" si="285"/>
        <v>668.76</v>
      </c>
      <c r="M4603">
        <f t="shared" si="286"/>
        <v>668.76</v>
      </c>
      <c r="N4603" s="5" t="str">
        <f t="shared" si="287"/>
        <v>November 2023</v>
      </c>
    </row>
    <row r="4604" spans="1:14" x14ac:dyDescent="0.25">
      <c r="A4604" s="1">
        <v>45232</v>
      </c>
      <c r="B4604" t="s">
        <v>3049</v>
      </c>
      <c r="C4604">
        <v>99</v>
      </c>
      <c r="D4604" t="s">
        <v>21</v>
      </c>
      <c r="E4604" t="s">
        <v>19</v>
      </c>
      <c r="F4604" t="s">
        <v>11</v>
      </c>
      <c r="G4604" t="s">
        <v>17</v>
      </c>
      <c r="H4604">
        <v>3378.68</v>
      </c>
      <c r="I4604" s="8" t="str" cm="1">
        <f t="array" ref="I4604">_xlfn.IFS(C4604&lt;=15,"Children and Young Adolescents", C4604&gt;64, "Seniors", TRUE, "Working Age")</f>
        <v>Seniors</v>
      </c>
      <c r="J4604" s="6">
        <f>VLOOKUP(F4604,Analysis!$F$1:$G$5,2,FALSE)</f>
        <v>2503.6022787783854</v>
      </c>
      <c r="K4604">
        <f t="shared" si="284"/>
        <v>3716.54</v>
      </c>
      <c r="L4604">
        <f t="shared" si="285"/>
        <v>3716.55</v>
      </c>
      <c r="M4604">
        <f t="shared" si="286"/>
        <v>3716.55</v>
      </c>
      <c r="N4604" s="5" t="str">
        <f t="shared" si="287"/>
        <v>November 2023</v>
      </c>
    </row>
    <row r="4605" spans="1:14" x14ac:dyDescent="0.25">
      <c r="A4605" s="1">
        <v>45232</v>
      </c>
      <c r="B4605" t="s">
        <v>1204</v>
      </c>
      <c r="C4605">
        <v>56</v>
      </c>
      <c r="D4605" t="s">
        <v>9</v>
      </c>
      <c r="E4605" t="s">
        <v>34</v>
      </c>
      <c r="F4605" t="s">
        <v>23</v>
      </c>
      <c r="G4605" t="s">
        <v>39</v>
      </c>
      <c r="H4605">
        <v>2022.01</v>
      </c>
      <c r="I4605" s="8" t="str" cm="1">
        <f t="array" ref="I4605">_xlfn.IFS(C4605&lt;=15,"Children and Young Adolescents", C4605&gt;64, "Seniors", TRUE, "Working Age")</f>
        <v>Working Age</v>
      </c>
      <c r="J4605" s="6">
        <f>VLOOKUP(F4605,Analysis!$F$1:$G$5,2,FALSE)</f>
        <v>2440.2966694490838</v>
      </c>
      <c r="K4605">
        <f t="shared" si="284"/>
        <v>2224.21</v>
      </c>
      <c r="L4605">
        <f t="shared" si="285"/>
        <v>2224.2200000000003</v>
      </c>
      <c r="M4605">
        <f t="shared" si="286"/>
        <v>2224.21</v>
      </c>
      <c r="N4605" s="5" t="str">
        <f t="shared" si="287"/>
        <v>November 2023</v>
      </c>
    </row>
    <row r="4606" spans="1:14" x14ac:dyDescent="0.25">
      <c r="A4606" s="1">
        <v>45232</v>
      </c>
      <c r="B4606" t="s">
        <v>1384</v>
      </c>
      <c r="C4606">
        <v>37</v>
      </c>
      <c r="D4606" t="s">
        <v>21</v>
      </c>
      <c r="E4606" t="s">
        <v>34</v>
      </c>
      <c r="F4606" t="s">
        <v>11</v>
      </c>
      <c r="G4606" t="s">
        <v>17</v>
      </c>
      <c r="H4606">
        <v>1401.35</v>
      </c>
      <c r="I4606" s="8" t="str" cm="1">
        <f t="array" ref="I4606">_xlfn.IFS(C4606&lt;=15,"Children and Young Adolescents", C4606&gt;64, "Seniors", TRUE, "Working Age")</f>
        <v>Working Age</v>
      </c>
      <c r="J4606" s="6">
        <f>VLOOKUP(F4606,Analysis!$F$1:$G$5,2,FALSE)</f>
        <v>2503.6022787783854</v>
      </c>
      <c r="K4606">
        <f t="shared" si="284"/>
        <v>1541.48</v>
      </c>
      <c r="L4606">
        <f t="shared" si="285"/>
        <v>1541.49</v>
      </c>
      <c r="M4606">
        <f t="shared" si="286"/>
        <v>1541.49</v>
      </c>
      <c r="N4606" s="5" t="str">
        <f t="shared" si="287"/>
        <v>November 2023</v>
      </c>
    </row>
    <row r="4607" spans="1:14" x14ac:dyDescent="0.25">
      <c r="A4607" s="1">
        <v>45232</v>
      </c>
      <c r="B4607" t="s">
        <v>2860</v>
      </c>
      <c r="C4607">
        <v>60</v>
      </c>
      <c r="D4607" t="s">
        <v>21</v>
      </c>
      <c r="E4607" t="s">
        <v>10</v>
      </c>
      <c r="F4607" t="s">
        <v>23</v>
      </c>
      <c r="G4607" t="s">
        <v>36</v>
      </c>
      <c r="H4607">
        <v>4985.1899999999996</v>
      </c>
      <c r="I4607" s="8" t="str" cm="1">
        <f t="array" ref="I4607">_xlfn.IFS(C4607&lt;=15,"Children and Young Adolescents", C4607&gt;64, "Seniors", TRUE, "Working Age")</f>
        <v>Working Age</v>
      </c>
      <c r="J4607" s="6">
        <f>VLOOKUP(F4607,Analysis!$F$1:$G$5,2,FALSE)</f>
        <v>2440.2966694490838</v>
      </c>
      <c r="K4607">
        <f t="shared" si="284"/>
        <v>5483.7</v>
      </c>
      <c r="L4607">
        <f t="shared" si="285"/>
        <v>5483.71</v>
      </c>
      <c r="M4607">
        <f t="shared" si="286"/>
        <v>5483.71</v>
      </c>
      <c r="N4607" s="5" t="str">
        <f t="shared" si="287"/>
        <v>November 2023</v>
      </c>
    </row>
    <row r="4608" spans="1:14" x14ac:dyDescent="0.25">
      <c r="A4608" s="1">
        <v>45232</v>
      </c>
      <c r="B4608" t="s">
        <v>3057</v>
      </c>
      <c r="C4608">
        <v>92</v>
      </c>
      <c r="D4608" t="s">
        <v>9</v>
      </c>
      <c r="E4608" t="s">
        <v>32</v>
      </c>
      <c r="F4608" t="s">
        <v>23</v>
      </c>
      <c r="G4608" t="s">
        <v>5033</v>
      </c>
      <c r="H4608">
        <v>4465.67</v>
      </c>
      <c r="I4608" s="8" t="str" cm="1">
        <f t="array" ref="I4608">_xlfn.IFS(C4608&lt;=15,"Children and Young Adolescents", C4608&gt;64, "Seniors", TRUE, "Working Age")</f>
        <v>Seniors</v>
      </c>
      <c r="J4608" s="6">
        <f>VLOOKUP(F4608,Analysis!$F$1:$G$5,2,FALSE)</f>
        <v>2440.2966694490838</v>
      </c>
      <c r="K4608">
        <f t="shared" si="284"/>
        <v>4912.2299999999996</v>
      </c>
      <c r="L4608">
        <f t="shared" si="285"/>
        <v>4912.24</v>
      </c>
      <c r="M4608">
        <f t="shared" si="286"/>
        <v>4912.24</v>
      </c>
      <c r="N4608" s="5" t="str">
        <f t="shared" si="287"/>
        <v>November 2023</v>
      </c>
    </row>
    <row r="4609" spans="1:14" x14ac:dyDescent="0.25">
      <c r="A4609" s="1">
        <v>45233</v>
      </c>
      <c r="B4609" t="s">
        <v>3152</v>
      </c>
      <c r="C4609">
        <v>47</v>
      </c>
      <c r="D4609" t="s">
        <v>9</v>
      </c>
      <c r="E4609" t="s">
        <v>19</v>
      </c>
      <c r="F4609" t="s">
        <v>16</v>
      </c>
      <c r="G4609" t="s">
        <v>12</v>
      </c>
      <c r="H4609">
        <v>476.76</v>
      </c>
      <c r="I4609" s="8" t="str" cm="1">
        <f t="array" ref="I4609">_xlfn.IFS(C4609&lt;=15,"Children and Young Adolescents", C4609&gt;64, "Seniors", TRUE, "Working Age")</f>
        <v>Working Age</v>
      </c>
      <c r="J4609" s="6">
        <f>VLOOKUP(F4609,Analysis!$F$1:$G$5,2,FALSE)</f>
        <v>2509.1716796874912</v>
      </c>
      <c r="K4609">
        <f t="shared" si="284"/>
        <v>524.42999999999995</v>
      </c>
      <c r="L4609">
        <f t="shared" si="285"/>
        <v>524.43999999999994</v>
      </c>
      <c r="M4609">
        <f t="shared" si="286"/>
        <v>524.44000000000005</v>
      </c>
      <c r="N4609" s="5" t="str">
        <f t="shared" si="287"/>
        <v>November 2023</v>
      </c>
    </row>
    <row r="4610" spans="1:14" x14ac:dyDescent="0.25">
      <c r="A4610" s="1">
        <v>45233</v>
      </c>
      <c r="B4610" t="s">
        <v>2788</v>
      </c>
      <c r="C4610">
        <v>71</v>
      </c>
      <c r="D4610" t="s">
        <v>21</v>
      </c>
      <c r="E4610" t="s">
        <v>5032</v>
      </c>
      <c r="F4610" t="s">
        <v>29</v>
      </c>
      <c r="G4610" t="s">
        <v>39</v>
      </c>
      <c r="H4610">
        <v>896.56</v>
      </c>
      <c r="I4610" s="8" t="str" cm="1">
        <f t="array" ref="I4610">_xlfn.IFS(C4610&lt;=15,"Children and Young Adolescents", C4610&gt;64, "Seniors", TRUE, "Working Age")</f>
        <v>Seniors</v>
      </c>
      <c r="J4610" s="6">
        <f>VLOOKUP(F4610,Analysis!$F$1:$G$5,2,FALSE)</f>
        <v>2496.7676064256989</v>
      </c>
      <c r="K4610">
        <f t="shared" si="284"/>
        <v>986.21</v>
      </c>
      <c r="L4610">
        <f t="shared" si="285"/>
        <v>986.22</v>
      </c>
      <c r="M4610">
        <f t="shared" si="286"/>
        <v>986.22</v>
      </c>
      <c r="N4610" s="5" t="str">
        <f t="shared" si="287"/>
        <v>November 2023</v>
      </c>
    </row>
    <row r="4611" spans="1:14" x14ac:dyDescent="0.25">
      <c r="A4611" s="1">
        <v>45233</v>
      </c>
      <c r="B4611" t="s">
        <v>2583</v>
      </c>
      <c r="C4611">
        <v>85</v>
      </c>
      <c r="D4611" t="s">
        <v>14</v>
      </c>
      <c r="E4611" t="s">
        <v>25</v>
      </c>
      <c r="F4611" t="s">
        <v>23</v>
      </c>
      <c r="G4611" t="s">
        <v>39</v>
      </c>
      <c r="H4611">
        <v>398.39</v>
      </c>
      <c r="I4611" s="8" t="str" cm="1">
        <f t="array" ref="I4611">_xlfn.IFS(C4611&lt;=15,"Children and Young Adolescents", C4611&gt;64, "Seniors", TRUE, "Working Age")</f>
        <v>Seniors</v>
      </c>
      <c r="J4611" s="6">
        <f>VLOOKUP(F4611,Analysis!$F$1:$G$5,2,FALSE)</f>
        <v>2440.2966694490838</v>
      </c>
      <c r="K4611">
        <f t="shared" ref="K4611:K4674" si="288">ROUNDDOWN(H4611*1.1,2)</f>
        <v>438.22</v>
      </c>
      <c r="L4611">
        <f t="shared" ref="L4611:L4674" si="289">ROUNDUP(H4611*1.1,2)</f>
        <v>438.23</v>
      </c>
      <c r="M4611">
        <f t="shared" ref="M4611:M4674" si="290">ROUND(H4611*1.1,2)</f>
        <v>438.23</v>
      </c>
      <c r="N4611" s="5" t="str">
        <f t="shared" ref="N4611:N4674" si="291">TEXT(A4611,"mmmm yyyy")</f>
        <v>November 2023</v>
      </c>
    </row>
    <row r="4612" spans="1:14" x14ac:dyDescent="0.25">
      <c r="A4612" s="1">
        <v>45233</v>
      </c>
      <c r="B4612" t="s">
        <v>2050</v>
      </c>
      <c r="C4612">
        <v>47</v>
      </c>
      <c r="D4612" t="s">
        <v>21</v>
      </c>
      <c r="E4612" t="s">
        <v>34</v>
      </c>
      <c r="F4612" t="s">
        <v>23</v>
      </c>
      <c r="G4612" t="s">
        <v>27</v>
      </c>
      <c r="H4612">
        <v>2622.2</v>
      </c>
      <c r="I4612" s="8" t="str" cm="1">
        <f t="array" ref="I4612">_xlfn.IFS(C4612&lt;=15,"Children and Young Adolescents", C4612&gt;64, "Seniors", TRUE, "Working Age")</f>
        <v>Working Age</v>
      </c>
      <c r="J4612" s="6">
        <f>VLOOKUP(F4612,Analysis!$F$1:$G$5,2,FALSE)</f>
        <v>2440.2966694490838</v>
      </c>
      <c r="K4612">
        <f t="shared" si="288"/>
        <v>2884.42</v>
      </c>
      <c r="L4612">
        <f t="shared" si="289"/>
        <v>2884.42</v>
      </c>
      <c r="M4612">
        <f t="shared" si="290"/>
        <v>2884.42</v>
      </c>
      <c r="N4612" s="5" t="str">
        <f t="shared" si="291"/>
        <v>November 2023</v>
      </c>
    </row>
    <row r="4613" spans="1:14" x14ac:dyDescent="0.25">
      <c r="A4613" s="1">
        <v>45233</v>
      </c>
      <c r="B4613" t="s">
        <v>3629</v>
      </c>
      <c r="C4613">
        <v>74</v>
      </c>
      <c r="D4613" t="s">
        <v>9</v>
      </c>
      <c r="E4613" t="s">
        <v>25</v>
      </c>
      <c r="F4613" t="s">
        <v>16</v>
      </c>
      <c r="G4613" t="s">
        <v>27</v>
      </c>
      <c r="H4613">
        <v>4292.68</v>
      </c>
      <c r="I4613" s="8" t="str" cm="1">
        <f t="array" ref="I4613">_xlfn.IFS(C4613&lt;=15,"Children and Young Adolescents", C4613&gt;64, "Seniors", TRUE, "Working Age")</f>
        <v>Seniors</v>
      </c>
      <c r="J4613" s="6">
        <f>VLOOKUP(F4613,Analysis!$F$1:$G$5,2,FALSE)</f>
        <v>2509.1716796874912</v>
      </c>
      <c r="K4613">
        <f t="shared" si="288"/>
        <v>4721.9399999999996</v>
      </c>
      <c r="L4613">
        <f t="shared" si="289"/>
        <v>4721.95</v>
      </c>
      <c r="M4613">
        <f t="shared" si="290"/>
        <v>4721.95</v>
      </c>
      <c r="N4613" s="5" t="str">
        <f t="shared" si="291"/>
        <v>November 2023</v>
      </c>
    </row>
    <row r="4614" spans="1:14" x14ac:dyDescent="0.25">
      <c r="A4614" s="1">
        <v>45233</v>
      </c>
      <c r="B4614" t="s">
        <v>4646</v>
      </c>
      <c r="C4614">
        <v>25</v>
      </c>
      <c r="D4614" t="s">
        <v>21</v>
      </c>
      <c r="E4614" t="s">
        <v>32</v>
      </c>
      <c r="F4614" t="s">
        <v>23</v>
      </c>
      <c r="G4614" t="s">
        <v>39</v>
      </c>
      <c r="H4614">
        <v>2546.66</v>
      </c>
      <c r="I4614" s="8" t="str" cm="1">
        <f t="array" ref="I4614">_xlfn.IFS(C4614&lt;=15,"Children and Young Adolescents", C4614&gt;64, "Seniors", TRUE, "Working Age")</f>
        <v>Working Age</v>
      </c>
      <c r="J4614" s="6">
        <f>VLOOKUP(F4614,Analysis!$F$1:$G$5,2,FALSE)</f>
        <v>2440.2966694490838</v>
      </c>
      <c r="K4614">
        <f t="shared" si="288"/>
        <v>2801.32</v>
      </c>
      <c r="L4614">
        <f t="shared" si="289"/>
        <v>2801.3300000000004</v>
      </c>
      <c r="M4614">
        <f t="shared" si="290"/>
        <v>2801.33</v>
      </c>
      <c r="N4614" s="5" t="str">
        <f t="shared" si="291"/>
        <v>November 2023</v>
      </c>
    </row>
    <row r="4615" spans="1:14" x14ac:dyDescent="0.25">
      <c r="A4615" s="1">
        <v>45234</v>
      </c>
      <c r="B4615" t="s">
        <v>3756</v>
      </c>
      <c r="C4615">
        <v>55</v>
      </c>
      <c r="D4615" t="s">
        <v>14</v>
      </c>
      <c r="E4615" t="s">
        <v>10</v>
      </c>
      <c r="F4615" t="s">
        <v>23</v>
      </c>
      <c r="G4615" t="s">
        <v>17</v>
      </c>
      <c r="H4615">
        <v>3204.59</v>
      </c>
      <c r="I4615" s="8" t="str" cm="1">
        <f t="array" ref="I4615">_xlfn.IFS(C4615&lt;=15,"Children and Young Adolescents", C4615&gt;64, "Seniors", TRUE, "Working Age")</f>
        <v>Working Age</v>
      </c>
      <c r="J4615" s="6">
        <f>VLOOKUP(F4615,Analysis!$F$1:$G$5,2,FALSE)</f>
        <v>2440.2966694490838</v>
      </c>
      <c r="K4615">
        <f t="shared" si="288"/>
        <v>3525.04</v>
      </c>
      <c r="L4615">
        <f t="shared" si="289"/>
        <v>3525.05</v>
      </c>
      <c r="M4615">
        <f t="shared" si="290"/>
        <v>3525.05</v>
      </c>
      <c r="N4615" s="5" t="str">
        <f t="shared" si="291"/>
        <v>November 2023</v>
      </c>
    </row>
    <row r="4616" spans="1:14" x14ac:dyDescent="0.25">
      <c r="A4616" s="1">
        <v>45234</v>
      </c>
      <c r="B4616" t="s">
        <v>2940</v>
      </c>
      <c r="C4616">
        <v>20</v>
      </c>
      <c r="D4616" t="s">
        <v>21</v>
      </c>
      <c r="E4616" t="s">
        <v>34</v>
      </c>
      <c r="F4616" t="s">
        <v>23</v>
      </c>
      <c r="G4616" t="s">
        <v>27</v>
      </c>
      <c r="H4616">
        <v>4130.28</v>
      </c>
      <c r="I4616" s="8" t="str" cm="1">
        <f t="array" ref="I4616">_xlfn.IFS(C4616&lt;=15,"Children and Young Adolescents", C4616&gt;64, "Seniors", TRUE, "Working Age")</f>
        <v>Working Age</v>
      </c>
      <c r="J4616" s="6">
        <f>VLOOKUP(F4616,Analysis!$F$1:$G$5,2,FALSE)</f>
        <v>2440.2966694490838</v>
      </c>
      <c r="K4616">
        <f t="shared" si="288"/>
        <v>4543.3</v>
      </c>
      <c r="L4616">
        <f t="shared" si="289"/>
        <v>4543.3100000000004</v>
      </c>
      <c r="M4616">
        <f t="shared" si="290"/>
        <v>4543.3100000000004</v>
      </c>
      <c r="N4616" s="5" t="str">
        <f t="shared" si="291"/>
        <v>November 2023</v>
      </c>
    </row>
    <row r="4617" spans="1:14" x14ac:dyDescent="0.25">
      <c r="A4617" s="1">
        <v>45234</v>
      </c>
      <c r="B4617" t="s">
        <v>2311</v>
      </c>
      <c r="C4617">
        <v>25</v>
      </c>
      <c r="D4617" t="s">
        <v>21</v>
      </c>
      <c r="E4617" t="s">
        <v>32</v>
      </c>
      <c r="F4617" t="s">
        <v>29</v>
      </c>
      <c r="G4617" t="s">
        <v>39</v>
      </c>
      <c r="H4617">
        <v>3941.34</v>
      </c>
      <c r="I4617" s="8" t="str" cm="1">
        <f t="array" ref="I4617">_xlfn.IFS(C4617&lt;=15,"Children and Young Adolescents", C4617&gt;64, "Seniors", TRUE, "Working Age")</f>
        <v>Working Age</v>
      </c>
      <c r="J4617" s="6">
        <f>VLOOKUP(F4617,Analysis!$F$1:$G$5,2,FALSE)</f>
        <v>2496.7676064256989</v>
      </c>
      <c r="K4617">
        <f t="shared" si="288"/>
        <v>4335.47</v>
      </c>
      <c r="L4617">
        <f t="shared" si="289"/>
        <v>4335.4800000000005</v>
      </c>
      <c r="M4617">
        <f t="shared" si="290"/>
        <v>4335.47</v>
      </c>
      <c r="N4617" s="5" t="str">
        <f t="shared" si="291"/>
        <v>November 2023</v>
      </c>
    </row>
    <row r="4618" spans="1:14" x14ac:dyDescent="0.25">
      <c r="A4618" s="1">
        <v>45234</v>
      </c>
      <c r="B4618" t="s">
        <v>778</v>
      </c>
      <c r="C4618">
        <v>62</v>
      </c>
      <c r="D4618" t="s">
        <v>9</v>
      </c>
      <c r="E4618" t="s">
        <v>5032</v>
      </c>
      <c r="F4618" t="s">
        <v>29</v>
      </c>
      <c r="G4618" t="s">
        <v>39</v>
      </c>
      <c r="H4618">
        <v>3755.6</v>
      </c>
      <c r="I4618" s="8" t="str" cm="1">
        <f t="array" ref="I4618">_xlfn.IFS(C4618&lt;=15,"Children and Young Adolescents", C4618&gt;64, "Seniors", TRUE, "Working Age")</f>
        <v>Working Age</v>
      </c>
      <c r="J4618" s="6">
        <f>VLOOKUP(F4618,Analysis!$F$1:$G$5,2,FALSE)</f>
        <v>2496.7676064256989</v>
      </c>
      <c r="K4618">
        <f t="shared" si="288"/>
        <v>4131.16</v>
      </c>
      <c r="L4618">
        <f t="shared" si="289"/>
        <v>4131.16</v>
      </c>
      <c r="M4618">
        <f t="shared" si="290"/>
        <v>4131.16</v>
      </c>
      <c r="N4618" s="5" t="str">
        <f t="shared" si="291"/>
        <v>November 2023</v>
      </c>
    </row>
    <row r="4619" spans="1:14" x14ac:dyDescent="0.25">
      <c r="A4619" s="1">
        <v>45234</v>
      </c>
      <c r="B4619" t="s">
        <v>553</v>
      </c>
      <c r="C4619">
        <v>85</v>
      </c>
      <c r="D4619" t="s">
        <v>21</v>
      </c>
      <c r="E4619" t="s">
        <v>15</v>
      </c>
      <c r="F4619" t="s">
        <v>11</v>
      </c>
      <c r="G4619" t="s">
        <v>36</v>
      </c>
      <c r="H4619">
        <v>1610.9</v>
      </c>
      <c r="I4619" s="8" t="str" cm="1">
        <f t="array" ref="I4619">_xlfn.IFS(C4619&lt;=15,"Children and Young Adolescents", C4619&gt;64, "Seniors", TRUE, "Working Age")</f>
        <v>Seniors</v>
      </c>
      <c r="J4619" s="6">
        <f>VLOOKUP(F4619,Analysis!$F$1:$G$5,2,FALSE)</f>
        <v>2503.6022787783854</v>
      </c>
      <c r="K4619">
        <f t="shared" si="288"/>
        <v>1771.99</v>
      </c>
      <c r="L4619">
        <f t="shared" si="289"/>
        <v>1771.99</v>
      </c>
      <c r="M4619">
        <f t="shared" si="290"/>
        <v>1771.99</v>
      </c>
      <c r="N4619" s="5" t="str">
        <f t="shared" si="291"/>
        <v>November 2023</v>
      </c>
    </row>
    <row r="4620" spans="1:14" x14ac:dyDescent="0.25">
      <c r="A4620" s="1">
        <v>45234</v>
      </c>
      <c r="B4620" t="s">
        <v>2684</v>
      </c>
      <c r="C4620">
        <v>73</v>
      </c>
      <c r="D4620" t="s">
        <v>14</v>
      </c>
      <c r="E4620" t="s">
        <v>22</v>
      </c>
      <c r="F4620" t="s">
        <v>29</v>
      </c>
      <c r="G4620" t="s">
        <v>36</v>
      </c>
      <c r="H4620">
        <v>1043.1300000000001</v>
      </c>
      <c r="I4620" s="8" t="str" cm="1">
        <f t="array" ref="I4620">_xlfn.IFS(C4620&lt;=15,"Children and Young Adolescents", C4620&gt;64, "Seniors", TRUE, "Working Age")</f>
        <v>Seniors</v>
      </c>
      <c r="J4620" s="6">
        <f>VLOOKUP(F4620,Analysis!$F$1:$G$5,2,FALSE)</f>
        <v>2496.7676064256989</v>
      </c>
      <c r="K4620">
        <f t="shared" si="288"/>
        <v>1147.44</v>
      </c>
      <c r="L4620">
        <f t="shared" si="289"/>
        <v>1147.45</v>
      </c>
      <c r="M4620">
        <f t="shared" si="290"/>
        <v>1147.44</v>
      </c>
      <c r="N4620" s="5" t="str">
        <f t="shared" si="291"/>
        <v>November 2023</v>
      </c>
    </row>
    <row r="4621" spans="1:14" x14ac:dyDescent="0.25">
      <c r="A4621" s="1">
        <v>45234</v>
      </c>
      <c r="B4621" t="s">
        <v>3644</v>
      </c>
      <c r="C4621">
        <v>93</v>
      </c>
      <c r="D4621" t="s">
        <v>21</v>
      </c>
      <c r="E4621" t="s">
        <v>32</v>
      </c>
      <c r="F4621" t="s">
        <v>29</v>
      </c>
      <c r="G4621" t="s">
        <v>27</v>
      </c>
      <c r="H4621">
        <v>785.57</v>
      </c>
      <c r="I4621" s="8" t="str" cm="1">
        <f t="array" ref="I4621">_xlfn.IFS(C4621&lt;=15,"Children and Young Adolescents", C4621&gt;64, "Seniors", TRUE, "Working Age")</f>
        <v>Seniors</v>
      </c>
      <c r="J4621" s="6">
        <f>VLOOKUP(F4621,Analysis!$F$1:$G$5,2,FALSE)</f>
        <v>2496.7676064256989</v>
      </c>
      <c r="K4621">
        <f t="shared" si="288"/>
        <v>864.12</v>
      </c>
      <c r="L4621">
        <f t="shared" si="289"/>
        <v>864.13</v>
      </c>
      <c r="M4621">
        <f t="shared" si="290"/>
        <v>864.13</v>
      </c>
      <c r="N4621" s="5" t="str">
        <f t="shared" si="291"/>
        <v>November 2023</v>
      </c>
    </row>
    <row r="4622" spans="1:14" x14ac:dyDescent="0.25">
      <c r="A4622" s="1">
        <v>45234</v>
      </c>
      <c r="B4622" t="s">
        <v>4750</v>
      </c>
      <c r="C4622">
        <v>10</v>
      </c>
      <c r="D4622" t="s">
        <v>9</v>
      </c>
      <c r="E4622" t="s">
        <v>22</v>
      </c>
      <c r="F4622" t="s">
        <v>23</v>
      </c>
      <c r="G4622" t="s">
        <v>39</v>
      </c>
      <c r="H4622">
        <v>1949.91</v>
      </c>
      <c r="I4622" s="8" t="str" cm="1">
        <f t="array" ref="I4622">_xlfn.IFS(C4622&lt;=15,"Children and Young Adolescents", C4622&gt;64, "Seniors", TRUE, "Working Age")</f>
        <v>Children and Young Adolescents</v>
      </c>
      <c r="J4622" s="6">
        <f>VLOOKUP(F4622,Analysis!$F$1:$G$5,2,FALSE)</f>
        <v>2440.2966694490838</v>
      </c>
      <c r="K4622">
        <f t="shared" si="288"/>
        <v>2144.9</v>
      </c>
      <c r="L4622">
        <f t="shared" si="289"/>
        <v>2144.9100000000003</v>
      </c>
      <c r="M4622">
        <f t="shared" si="290"/>
        <v>2144.9</v>
      </c>
      <c r="N4622" s="5" t="str">
        <f t="shared" si="291"/>
        <v>November 2023</v>
      </c>
    </row>
    <row r="4623" spans="1:14" x14ac:dyDescent="0.25">
      <c r="A4623" s="1">
        <v>45234</v>
      </c>
      <c r="B4623" t="s">
        <v>846</v>
      </c>
      <c r="C4623">
        <v>96</v>
      </c>
      <c r="D4623" t="s">
        <v>14</v>
      </c>
      <c r="E4623" t="s">
        <v>32</v>
      </c>
      <c r="F4623" t="s">
        <v>23</v>
      </c>
      <c r="G4623" t="s">
        <v>12</v>
      </c>
      <c r="H4623">
        <v>4119.62</v>
      </c>
      <c r="I4623" s="8" t="str" cm="1">
        <f t="array" ref="I4623">_xlfn.IFS(C4623&lt;=15,"Children and Young Adolescents", C4623&gt;64, "Seniors", TRUE, "Working Age")</f>
        <v>Seniors</v>
      </c>
      <c r="J4623" s="6">
        <f>VLOOKUP(F4623,Analysis!$F$1:$G$5,2,FALSE)</f>
        <v>2440.2966694490838</v>
      </c>
      <c r="K4623">
        <f t="shared" si="288"/>
        <v>4531.58</v>
      </c>
      <c r="L4623">
        <f t="shared" si="289"/>
        <v>4531.59</v>
      </c>
      <c r="M4623">
        <f t="shared" si="290"/>
        <v>4531.58</v>
      </c>
      <c r="N4623" s="5" t="str">
        <f t="shared" si="291"/>
        <v>November 2023</v>
      </c>
    </row>
    <row r="4624" spans="1:14" x14ac:dyDescent="0.25">
      <c r="A4624" s="1">
        <v>45235</v>
      </c>
      <c r="B4624" t="s">
        <v>1386</v>
      </c>
      <c r="C4624">
        <v>88</v>
      </c>
      <c r="D4624" t="s">
        <v>21</v>
      </c>
      <c r="E4624" t="s">
        <v>10</v>
      </c>
      <c r="F4624" t="s">
        <v>23</v>
      </c>
      <c r="G4624" t="s">
        <v>17</v>
      </c>
      <c r="H4624">
        <v>4823.8500000000004</v>
      </c>
      <c r="I4624" s="8" t="str" cm="1">
        <f t="array" ref="I4624">_xlfn.IFS(C4624&lt;=15,"Children and Young Adolescents", C4624&gt;64, "Seniors", TRUE, "Working Age")</f>
        <v>Seniors</v>
      </c>
      <c r="J4624" s="6">
        <f>VLOOKUP(F4624,Analysis!$F$1:$G$5,2,FALSE)</f>
        <v>2440.2966694490838</v>
      </c>
      <c r="K4624">
        <f t="shared" si="288"/>
        <v>5306.23</v>
      </c>
      <c r="L4624">
        <f t="shared" si="289"/>
        <v>5306.24</v>
      </c>
      <c r="M4624">
        <f t="shared" si="290"/>
        <v>5306.24</v>
      </c>
      <c r="N4624" s="5" t="str">
        <f t="shared" si="291"/>
        <v>November 2023</v>
      </c>
    </row>
    <row r="4625" spans="1:14" x14ac:dyDescent="0.25">
      <c r="A4625" s="1">
        <v>45235</v>
      </c>
      <c r="B4625" t="s">
        <v>4867</v>
      </c>
      <c r="C4625">
        <v>11</v>
      </c>
      <c r="D4625" t="s">
        <v>9</v>
      </c>
      <c r="E4625" t="s">
        <v>22</v>
      </c>
      <c r="F4625" t="s">
        <v>29</v>
      </c>
      <c r="G4625" t="s">
        <v>39</v>
      </c>
      <c r="H4625">
        <v>4504.8999999999996</v>
      </c>
      <c r="I4625" s="8" t="str" cm="1">
        <f t="array" ref="I4625">_xlfn.IFS(C4625&lt;=15,"Children and Young Adolescents", C4625&gt;64, "Seniors", TRUE, "Working Age")</f>
        <v>Children and Young Adolescents</v>
      </c>
      <c r="J4625" s="6">
        <f>VLOOKUP(F4625,Analysis!$F$1:$G$5,2,FALSE)</f>
        <v>2496.7676064256989</v>
      </c>
      <c r="K4625">
        <f t="shared" si="288"/>
        <v>4955.3900000000003</v>
      </c>
      <c r="L4625">
        <f t="shared" si="289"/>
        <v>4955.3900000000003</v>
      </c>
      <c r="M4625">
        <f t="shared" si="290"/>
        <v>4955.3900000000003</v>
      </c>
      <c r="N4625" s="5" t="str">
        <f t="shared" si="291"/>
        <v>November 2023</v>
      </c>
    </row>
    <row r="4626" spans="1:14" x14ac:dyDescent="0.25">
      <c r="A4626" s="1">
        <v>45235</v>
      </c>
      <c r="B4626" t="s">
        <v>40</v>
      </c>
      <c r="C4626">
        <v>49</v>
      </c>
      <c r="D4626" t="s">
        <v>14</v>
      </c>
      <c r="E4626" t="s">
        <v>15</v>
      </c>
      <c r="F4626" t="s">
        <v>23</v>
      </c>
      <c r="G4626" t="s">
        <v>36</v>
      </c>
      <c r="H4626">
        <v>1174.75</v>
      </c>
      <c r="I4626" s="8" t="str" cm="1">
        <f t="array" ref="I4626">_xlfn.IFS(C4626&lt;=15,"Children and Young Adolescents", C4626&gt;64, "Seniors", TRUE, "Working Age")</f>
        <v>Working Age</v>
      </c>
      <c r="J4626" s="6">
        <f>VLOOKUP(F4626,Analysis!$F$1:$G$5,2,FALSE)</f>
        <v>2440.2966694490838</v>
      </c>
      <c r="K4626">
        <f t="shared" si="288"/>
        <v>1292.22</v>
      </c>
      <c r="L4626">
        <f t="shared" si="289"/>
        <v>1292.23</v>
      </c>
      <c r="M4626">
        <f t="shared" si="290"/>
        <v>1292.23</v>
      </c>
      <c r="N4626" s="5" t="str">
        <f t="shared" si="291"/>
        <v>November 2023</v>
      </c>
    </row>
    <row r="4627" spans="1:14" x14ac:dyDescent="0.25">
      <c r="A4627" s="1">
        <v>45235</v>
      </c>
      <c r="B4627" t="s">
        <v>1665</v>
      </c>
      <c r="C4627">
        <v>46</v>
      </c>
      <c r="D4627" t="s">
        <v>21</v>
      </c>
      <c r="E4627" t="s">
        <v>15</v>
      </c>
      <c r="F4627" t="s">
        <v>29</v>
      </c>
      <c r="G4627" t="s">
        <v>36</v>
      </c>
      <c r="H4627">
        <v>2960.27</v>
      </c>
      <c r="I4627" s="8" t="str" cm="1">
        <f t="array" ref="I4627">_xlfn.IFS(C4627&lt;=15,"Children and Young Adolescents", C4627&gt;64, "Seniors", TRUE, "Working Age")</f>
        <v>Working Age</v>
      </c>
      <c r="J4627" s="6">
        <f>VLOOKUP(F4627,Analysis!$F$1:$G$5,2,FALSE)</f>
        <v>2496.7676064256989</v>
      </c>
      <c r="K4627">
        <f t="shared" si="288"/>
        <v>3256.29</v>
      </c>
      <c r="L4627">
        <f t="shared" si="289"/>
        <v>3256.3</v>
      </c>
      <c r="M4627">
        <f t="shared" si="290"/>
        <v>3256.3</v>
      </c>
      <c r="N4627" s="5" t="str">
        <f t="shared" si="291"/>
        <v>November 2023</v>
      </c>
    </row>
    <row r="4628" spans="1:14" x14ac:dyDescent="0.25">
      <c r="A4628" s="1">
        <v>45235</v>
      </c>
      <c r="B4628" t="s">
        <v>4201</v>
      </c>
      <c r="C4628">
        <v>32</v>
      </c>
      <c r="D4628" t="s">
        <v>21</v>
      </c>
      <c r="E4628" t="s">
        <v>19</v>
      </c>
      <c r="F4628" t="s">
        <v>16</v>
      </c>
      <c r="G4628" t="s">
        <v>17</v>
      </c>
      <c r="H4628">
        <v>1537.32</v>
      </c>
      <c r="I4628" s="8" t="str" cm="1">
        <f t="array" ref="I4628">_xlfn.IFS(C4628&lt;=15,"Children and Young Adolescents", C4628&gt;64, "Seniors", TRUE, "Working Age")</f>
        <v>Working Age</v>
      </c>
      <c r="J4628" s="6">
        <f>VLOOKUP(F4628,Analysis!$F$1:$G$5,2,FALSE)</f>
        <v>2509.1716796874912</v>
      </c>
      <c r="K4628">
        <f t="shared" si="288"/>
        <v>1691.05</v>
      </c>
      <c r="L4628">
        <f t="shared" si="289"/>
        <v>1691.06</v>
      </c>
      <c r="M4628">
        <f t="shared" si="290"/>
        <v>1691.05</v>
      </c>
      <c r="N4628" s="5" t="str">
        <f t="shared" si="291"/>
        <v>November 2023</v>
      </c>
    </row>
    <row r="4629" spans="1:14" x14ac:dyDescent="0.25">
      <c r="A4629" s="1">
        <v>45235</v>
      </c>
      <c r="B4629" t="s">
        <v>3874</v>
      </c>
      <c r="C4629">
        <v>93</v>
      </c>
      <c r="D4629" t="s">
        <v>21</v>
      </c>
      <c r="E4629" t="s">
        <v>32</v>
      </c>
      <c r="F4629" t="s">
        <v>23</v>
      </c>
      <c r="G4629" t="s">
        <v>36</v>
      </c>
      <c r="H4629">
        <v>4473.03</v>
      </c>
      <c r="I4629" s="8" t="str" cm="1">
        <f t="array" ref="I4629">_xlfn.IFS(C4629&lt;=15,"Children and Young Adolescents", C4629&gt;64, "Seniors", TRUE, "Working Age")</f>
        <v>Seniors</v>
      </c>
      <c r="J4629" s="6">
        <f>VLOOKUP(F4629,Analysis!$F$1:$G$5,2,FALSE)</f>
        <v>2440.2966694490838</v>
      </c>
      <c r="K4629">
        <f t="shared" si="288"/>
        <v>4920.33</v>
      </c>
      <c r="L4629">
        <f t="shared" si="289"/>
        <v>4920.34</v>
      </c>
      <c r="M4629">
        <f t="shared" si="290"/>
        <v>4920.33</v>
      </c>
      <c r="N4629" s="5" t="str">
        <f t="shared" si="291"/>
        <v>November 2023</v>
      </c>
    </row>
    <row r="4630" spans="1:14" x14ac:dyDescent="0.25">
      <c r="A4630" s="1">
        <v>45235</v>
      </c>
      <c r="B4630" t="s">
        <v>4609</v>
      </c>
      <c r="C4630">
        <v>98</v>
      </c>
      <c r="D4630" t="s">
        <v>21</v>
      </c>
      <c r="E4630" t="s">
        <v>22</v>
      </c>
      <c r="F4630" t="s">
        <v>16</v>
      </c>
      <c r="G4630" t="s">
        <v>39</v>
      </c>
      <c r="H4630">
        <v>2060.94</v>
      </c>
      <c r="I4630" s="8" t="str" cm="1">
        <f t="array" ref="I4630">_xlfn.IFS(C4630&lt;=15,"Children and Young Adolescents", C4630&gt;64, "Seniors", TRUE, "Working Age")</f>
        <v>Seniors</v>
      </c>
      <c r="J4630" s="6">
        <f>VLOOKUP(F4630,Analysis!$F$1:$G$5,2,FALSE)</f>
        <v>2509.1716796874912</v>
      </c>
      <c r="K4630">
        <f t="shared" si="288"/>
        <v>2267.0300000000002</v>
      </c>
      <c r="L4630">
        <f t="shared" si="289"/>
        <v>2267.0400000000004</v>
      </c>
      <c r="M4630">
        <f t="shared" si="290"/>
        <v>2267.0300000000002</v>
      </c>
      <c r="N4630" s="5" t="str">
        <f t="shared" si="291"/>
        <v>November 2023</v>
      </c>
    </row>
    <row r="4631" spans="1:14" x14ac:dyDescent="0.25">
      <c r="A4631" s="1">
        <v>45235</v>
      </c>
      <c r="B4631" t="s">
        <v>3209</v>
      </c>
      <c r="C4631">
        <v>6</v>
      </c>
      <c r="D4631" t="s">
        <v>14</v>
      </c>
      <c r="E4631" t="s">
        <v>19</v>
      </c>
      <c r="F4631" t="s">
        <v>11</v>
      </c>
      <c r="G4631" t="s">
        <v>12</v>
      </c>
      <c r="H4631">
        <v>1903.42</v>
      </c>
      <c r="I4631" s="8" t="str" cm="1">
        <f t="array" ref="I4631">_xlfn.IFS(C4631&lt;=15,"Children and Young Adolescents", C4631&gt;64, "Seniors", TRUE, "Working Age")</f>
        <v>Children and Young Adolescents</v>
      </c>
      <c r="J4631" s="6">
        <f>VLOOKUP(F4631,Analysis!$F$1:$G$5,2,FALSE)</f>
        <v>2503.6022787783854</v>
      </c>
      <c r="K4631">
        <f t="shared" si="288"/>
        <v>2093.7600000000002</v>
      </c>
      <c r="L4631">
        <f t="shared" si="289"/>
        <v>2093.7700000000004</v>
      </c>
      <c r="M4631">
        <f t="shared" si="290"/>
        <v>2093.7600000000002</v>
      </c>
      <c r="N4631" s="5" t="str">
        <f t="shared" si="291"/>
        <v>November 2023</v>
      </c>
    </row>
    <row r="4632" spans="1:14" x14ac:dyDescent="0.25">
      <c r="A4632" s="1">
        <v>45235</v>
      </c>
      <c r="B4632" t="s">
        <v>1652</v>
      </c>
      <c r="C4632">
        <v>31</v>
      </c>
      <c r="D4632" t="s">
        <v>9</v>
      </c>
      <c r="E4632" t="s">
        <v>22</v>
      </c>
      <c r="F4632" t="s">
        <v>16</v>
      </c>
      <c r="G4632" t="s">
        <v>27</v>
      </c>
      <c r="H4632">
        <v>2010.87</v>
      </c>
      <c r="I4632" s="8" t="str" cm="1">
        <f t="array" ref="I4632">_xlfn.IFS(C4632&lt;=15,"Children and Young Adolescents", C4632&gt;64, "Seniors", TRUE, "Working Age")</f>
        <v>Working Age</v>
      </c>
      <c r="J4632" s="6">
        <f>VLOOKUP(F4632,Analysis!$F$1:$G$5,2,FALSE)</f>
        <v>2509.1716796874912</v>
      </c>
      <c r="K4632">
        <f t="shared" si="288"/>
        <v>2211.9499999999998</v>
      </c>
      <c r="L4632">
        <f t="shared" si="289"/>
        <v>2211.96</v>
      </c>
      <c r="M4632">
        <f t="shared" si="290"/>
        <v>2211.96</v>
      </c>
      <c r="N4632" s="5" t="str">
        <f t="shared" si="291"/>
        <v>November 2023</v>
      </c>
    </row>
    <row r="4633" spans="1:14" x14ac:dyDescent="0.25">
      <c r="A4633" s="1">
        <v>45236</v>
      </c>
      <c r="B4633" t="s">
        <v>859</v>
      </c>
      <c r="C4633">
        <v>94</v>
      </c>
      <c r="D4633" t="s">
        <v>21</v>
      </c>
      <c r="E4633" t="s">
        <v>10</v>
      </c>
      <c r="F4633" t="s">
        <v>11</v>
      </c>
      <c r="G4633" t="s">
        <v>39</v>
      </c>
      <c r="H4633">
        <v>3954.41</v>
      </c>
      <c r="I4633" s="8" t="str" cm="1">
        <f t="array" ref="I4633">_xlfn.IFS(C4633&lt;=15,"Children and Young Adolescents", C4633&gt;64, "Seniors", TRUE, "Working Age")</f>
        <v>Seniors</v>
      </c>
      <c r="J4633" s="6">
        <f>VLOOKUP(F4633,Analysis!$F$1:$G$5,2,FALSE)</f>
        <v>2503.6022787783854</v>
      </c>
      <c r="K4633">
        <f t="shared" si="288"/>
        <v>4349.8500000000004</v>
      </c>
      <c r="L4633">
        <f t="shared" si="289"/>
        <v>4349.8600000000006</v>
      </c>
      <c r="M4633">
        <f t="shared" si="290"/>
        <v>4349.8500000000004</v>
      </c>
      <c r="N4633" s="5" t="str">
        <f t="shared" si="291"/>
        <v>November 2023</v>
      </c>
    </row>
    <row r="4634" spans="1:14" x14ac:dyDescent="0.25">
      <c r="A4634" s="1">
        <v>45236</v>
      </c>
      <c r="B4634" t="s">
        <v>650</v>
      </c>
      <c r="C4634">
        <v>37</v>
      </c>
      <c r="D4634" t="s">
        <v>21</v>
      </c>
      <c r="E4634" t="s">
        <v>10</v>
      </c>
      <c r="F4634" t="s">
        <v>16</v>
      </c>
      <c r="G4634" t="s">
        <v>17</v>
      </c>
      <c r="H4634">
        <v>559.46</v>
      </c>
      <c r="I4634" s="8" t="str" cm="1">
        <f t="array" ref="I4634">_xlfn.IFS(C4634&lt;=15,"Children and Young Adolescents", C4634&gt;64, "Seniors", TRUE, "Working Age")</f>
        <v>Working Age</v>
      </c>
      <c r="J4634" s="6">
        <f>VLOOKUP(F4634,Analysis!$F$1:$G$5,2,FALSE)</f>
        <v>2509.1716796874912</v>
      </c>
      <c r="K4634">
        <f t="shared" si="288"/>
        <v>615.4</v>
      </c>
      <c r="L4634">
        <f t="shared" si="289"/>
        <v>615.41</v>
      </c>
      <c r="M4634">
        <f t="shared" si="290"/>
        <v>615.41</v>
      </c>
      <c r="N4634" s="5" t="str">
        <f t="shared" si="291"/>
        <v>November 2023</v>
      </c>
    </row>
    <row r="4635" spans="1:14" x14ac:dyDescent="0.25">
      <c r="A4635" s="1">
        <v>45236</v>
      </c>
      <c r="B4635" t="s">
        <v>1381</v>
      </c>
      <c r="C4635">
        <v>43</v>
      </c>
      <c r="D4635" t="s">
        <v>9</v>
      </c>
      <c r="E4635" t="s">
        <v>15</v>
      </c>
      <c r="F4635" t="s">
        <v>29</v>
      </c>
      <c r="G4635" t="s">
        <v>12</v>
      </c>
      <c r="H4635">
        <v>4235.99</v>
      </c>
      <c r="I4635" s="8" t="str" cm="1">
        <f t="array" ref="I4635">_xlfn.IFS(C4635&lt;=15,"Children and Young Adolescents", C4635&gt;64, "Seniors", TRUE, "Working Age")</f>
        <v>Working Age</v>
      </c>
      <c r="J4635" s="6">
        <f>VLOOKUP(F4635,Analysis!$F$1:$G$5,2,FALSE)</f>
        <v>2496.7676064256989</v>
      </c>
      <c r="K4635">
        <f t="shared" si="288"/>
        <v>4659.58</v>
      </c>
      <c r="L4635">
        <f t="shared" si="289"/>
        <v>4659.59</v>
      </c>
      <c r="M4635">
        <f t="shared" si="290"/>
        <v>4659.59</v>
      </c>
      <c r="N4635" s="5" t="str">
        <f t="shared" si="291"/>
        <v>November 2023</v>
      </c>
    </row>
    <row r="4636" spans="1:14" x14ac:dyDescent="0.25">
      <c r="A4636" s="1">
        <v>45236</v>
      </c>
      <c r="B4636" t="s">
        <v>1739</v>
      </c>
      <c r="C4636">
        <v>45</v>
      </c>
      <c r="D4636" t="s">
        <v>9</v>
      </c>
      <c r="E4636" t="s">
        <v>10</v>
      </c>
      <c r="F4636" t="s">
        <v>16</v>
      </c>
      <c r="G4636" t="s">
        <v>27</v>
      </c>
      <c r="H4636">
        <v>1653.1</v>
      </c>
      <c r="I4636" s="8" t="str" cm="1">
        <f t="array" ref="I4636">_xlfn.IFS(C4636&lt;=15,"Children and Young Adolescents", C4636&gt;64, "Seniors", TRUE, "Working Age")</f>
        <v>Working Age</v>
      </c>
      <c r="J4636" s="6">
        <f>VLOOKUP(F4636,Analysis!$F$1:$G$5,2,FALSE)</f>
        <v>2509.1716796874912</v>
      </c>
      <c r="K4636">
        <f t="shared" si="288"/>
        <v>1818.41</v>
      </c>
      <c r="L4636">
        <f t="shared" si="289"/>
        <v>1818.41</v>
      </c>
      <c r="M4636">
        <f t="shared" si="290"/>
        <v>1818.41</v>
      </c>
      <c r="N4636" s="5" t="str">
        <f t="shared" si="291"/>
        <v>November 2023</v>
      </c>
    </row>
    <row r="4637" spans="1:14" x14ac:dyDescent="0.25">
      <c r="A4637" s="1">
        <v>45236</v>
      </c>
      <c r="B4637" t="s">
        <v>4321</v>
      </c>
      <c r="C4637">
        <v>82</v>
      </c>
      <c r="D4637" t="s">
        <v>14</v>
      </c>
      <c r="E4637" t="s">
        <v>32</v>
      </c>
      <c r="F4637" t="s">
        <v>11</v>
      </c>
      <c r="G4637" t="s">
        <v>17</v>
      </c>
      <c r="H4637">
        <v>1222.01</v>
      </c>
      <c r="I4637" s="8" t="str" cm="1">
        <f t="array" ref="I4637">_xlfn.IFS(C4637&lt;=15,"Children and Young Adolescents", C4637&gt;64, "Seniors", TRUE, "Working Age")</f>
        <v>Seniors</v>
      </c>
      <c r="J4637" s="6">
        <f>VLOOKUP(F4637,Analysis!$F$1:$G$5,2,FALSE)</f>
        <v>2503.6022787783854</v>
      </c>
      <c r="K4637">
        <f t="shared" si="288"/>
        <v>1344.21</v>
      </c>
      <c r="L4637">
        <f t="shared" si="289"/>
        <v>1344.22</v>
      </c>
      <c r="M4637">
        <f t="shared" si="290"/>
        <v>1344.21</v>
      </c>
      <c r="N4637" s="5" t="str">
        <f t="shared" si="291"/>
        <v>November 2023</v>
      </c>
    </row>
    <row r="4638" spans="1:14" x14ac:dyDescent="0.25">
      <c r="A4638" s="1">
        <v>45236</v>
      </c>
      <c r="B4638" t="s">
        <v>1080</v>
      </c>
      <c r="C4638">
        <v>18</v>
      </c>
      <c r="D4638" t="s">
        <v>21</v>
      </c>
      <c r="E4638" t="s">
        <v>19</v>
      </c>
      <c r="F4638" t="s">
        <v>16</v>
      </c>
      <c r="G4638" t="s">
        <v>27</v>
      </c>
      <c r="H4638">
        <v>2490.8200000000002</v>
      </c>
      <c r="I4638" s="8" t="str" cm="1">
        <f t="array" ref="I4638">_xlfn.IFS(C4638&lt;=15,"Children and Young Adolescents", C4638&gt;64, "Seniors", TRUE, "Working Age")</f>
        <v>Working Age</v>
      </c>
      <c r="J4638" s="6">
        <f>VLOOKUP(F4638,Analysis!$F$1:$G$5,2,FALSE)</f>
        <v>2509.1716796874912</v>
      </c>
      <c r="K4638">
        <f t="shared" si="288"/>
        <v>2739.9</v>
      </c>
      <c r="L4638">
        <f t="shared" si="289"/>
        <v>2739.9100000000003</v>
      </c>
      <c r="M4638">
        <f t="shared" si="290"/>
        <v>2739.9</v>
      </c>
      <c r="N4638" s="5" t="str">
        <f t="shared" si="291"/>
        <v>November 2023</v>
      </c>
    </row>
    <row r="4639" spans="1:14" x14ac:dyDescent="0.25">
      <c r="A4639" s="1">
        <v>45237</v>
      </c>
      <c r="B4639" t="s">
        <v>3005</v>
      </c>
      <c r="C4639">
        <v>57</v>
      </c>
      <c r="D4639" t="s">
        <v>9</v>
      </c>
      <c r="E4639" t="s">
        <v>34</v>
      </c>
      <c r="F4639" t="s">
        <v>23</v>
      </c>
      <c r="G4639" t="s">
        <v>39</v>
      </c>
      <c r="H4639">
        <v>2428.91</v>
      </c>
      <c r="I4639" s="8" t="str" cm="1">
        <f t="array" ref="I4639">_xlfn.IFS(C4639&lt;=15,"Children and Young Adolescents", C4639&gt;64, "Seniors", TRUE, "Working Age")</f>
        <v>Working Age</v>
      </c>
      <c r="J4639" s="6">
        <f>VLOOKUP(F4639,Analysis!$F$1:$G$5,2,FALSE)</f>
        <v>2440.2966694490838</v>
      </c>
      <c r="K4639">
        <f t="shared" si="288"/>
        <v>2671.8</v>
      </c>
      <c r="L4639">
        <f t="shared" si="289"/>
        <v>2671.8100000000004</v>
      </c>
      <c r="M4639">
        <f t="shared" si="290"/>
        <v>2671.8</v>
      </c>
      <c r="N4639" s="5" t="str">
        <f t="shared" si="291"/>
        <v>November 2023</v>
      </c>
    </row>
    <row r="4640" spans="1:14" x14ac:dyDescent="0.25">
      <c r="A4640" s="1">
        <v>45237</v>
      </c>
      <c r="B4640" t="s">
        <v>3369</v>
      </c>
      <c r="C4640">
        <v>80</v>
      </c>
      <c r="D4640" t="s">
        <v>14</v>
      </c>
      <c r="E4640" t="s">
        <v>10</v>
      </c>
      <c r="F4640" t="s">
        <v>29</v>
      </c>
      <c r="G4640" t="s">
        <v>36</v>
      </c>
      <c r="H4640">
        <v>1196.6400000000001</v>
      </c>
      <c r="I4640" s="8" t="str" cm="1">
        <f t="array" ref="I4640">_xlfn.IFS(C4640&lt;=15,"Children and Young Adolescents", C4640&gt;64, "Seniors", TRUE, "Working Age")</f>
        <v>Seniors</v>
      </c>
      <c r="J4640" s="6">
        <f>VLOOKUP(F4640,Analysis!$F$1:$G$5,2,FALSE)</f>
        <v>2496.7676064256989</v>
      </c>
      <c r="K4640">
        <f t="shared" si="288"/>
        <v>1316.3</v>
      </c>
      <c r="L4640">
        <f t="shared" si="289"/>
        <v>1316.31</v>
      </c>
      <c r="M4640">
        <f t="shared" si="290"/>
        <v>1316.3</v>
      </c>
      <c r="N4640" s="5" t="str">
        <f t="shared" si="291"/>
        <v>November 2023</v>
      </c>
    </row>
    <row r="4641" spans="1:14" x14ac:dyDescent="0.25">
      <c r="A4641" s="1">
        <v>45237</v>
      </c>
      <c r="B4641" t="s">
        <v>4593</v>
      </c>
      <c r="C4641">
        <v>78</v>
      </c>
      <c r="D4641" t="s">
        <v>14</v>
      </c>
      <c r="E4641" t="s">
        <v>19</v>
      </c>
      <c r="F4641" t="s">
        <v>23</v>
      </c>
      <c r="G4641" t="s">
        <v>36</v>
      </c>
      <c r="H4641">
        <v>1594.74</v>
      </c>
      <c r="I4641" s="8" t="str" cm="1">
        <f t="array" ref="I4641">_xlfn.IFS(C4641&lt;=15,"Children and Young Adolescents", C4641&gt;64, "Seniors", TRUE, "Working Age")</f>
        <v>Seniors</v>
      </c>
      <c r="J4641" s="6">
        <f>VLOOKUP(F4641,Analysis!$F$1:$G$5,2,FALSE)</f>
        <v>2440.2966694490838</v>
      </c>
      <c r="K4641">
        <f t="shared" si="288"/>
        <v>1754.21</v>
      </c>
      <c r="L4641">
        <f t="shared" si="289"/>
        <v>1754.22</v>
      </c>
      <c r="M4641">
        <f t="shared" si="290"/>
        <v>1754.21</v>
      </c>
      <c r="N4641" s="5" t="str">
        <f t="shared" si="291"/>
        <v>November 2023</v>
      </c>
    </row>
    <row r="4642" spans="1:14" x14ac:dyDescent="0.25">
      <c r="A4642" s="1">
        <v>45237</v>
      </c>
      <c r="B4642" t="s">
        <v>1147</v>
      </c>
      <c r="C4642">
        <v>3</v>
      </c>
      <c r="D4642" t="s">
        <v>9</v>
      </c>
      <c r="E4642" t="s">
        <v>25</v>
      </c>
      <c r="F4642" t="s">
        <v>16</v>
      </c>
      <c r="G4642" t="s">
        <v>12</v>
      </c>
      <c r="H4642">
        <v>1693.86</v>
      </c>
      <c r="I4642" s="8" t="str" cm="1">
        <f t="array" ref="I4642">_xlfn.IFS(C4642&lt;=15,"Children and Young Adolescents", C4642&gt;64, "Seniors", TRUE, "Working Age")</f>
        <v>Children and Young Adolescents</v>
      </c>
      <c r="J4642" s="6">
        <f>VLOOKUP(F4642,Analysis!$F$1:$G$5,2,FALSE)</f>
        <v>2509.1716796874912</v>
      </c>
      <c r="K4642">
        <f t="shared" si="288"/>
        <v>1863.24</v>
      </c>
      <c r="L4642">
        <f t="shared" si="289"/>
        <v>1863.25</v>
      </c>
      <c r="M4642">
        <f t="shared" si="290"/>
        <v>1863.25</v>
      </c>
      <c r="N4642" s="5" t="str">
        <f t="shared" si="291"/>
        <v>November 2023</v>
      </c>
    </row>
    <row r="4643" spans="1:14" x14ac:dyDescent="0.25">
      <c r="A4643" s="1">
        <v>45237</v>
      </c>
      <c r="B4643" t="s">
        <v>1836</v>
      </c>
      <c r="C4643">
        <v>76</v>
      </c>
      <c r="D4643" t="s">
        <v>9</v>
      </c>
      <c r="E4643" t="s">
        <v>34</v>
      </c>
      <c r="F4643" t="s">
        <v>29</v>
      </c>
      <c r="G4643" t="s">
        <v>17</v>
      </c>
      <c r="H4643">
        <v>2431.15</v>
      </c>
      <c r="I4643" s="8" t="str" cm="1">
        <f t="array" ref="I4643">_xlfn.IFS(C4643&lt;=15,"Children and Young Adolescents", C4643&gt;64, "Seniors", TRUE, "Working Age")</f>
        <v>Seniors</v>
      </c>
      <c r="J4643" s="6">
        <f>VLOOKUP(F4643,Analysis!$F$1:$G$5,2,FALSE)</f>
        <v>2496.7676064256989</v>
      </c>
      <c r="K4643">
        <f t="shared" si="288"/>
        <v>2674.26</v>
      </c>
      <c r="L4643">
        <f t="shared" si="289"/>
        <v>2674.2700000000004</v>
      </c>
      <c r="M4643">
        <f t="shared" si="290"/>
        <v>2674.27</v>
      </c>
      <c r="N4643" s="5" t="str">
        <f t="shared" si="291"/>
        <v>November 2023</v>
      </c>
    </row>
    <row r="4644" spans="1:14" x14ac:dyDescent="0.25">
      <c r="A4644" s="1">
        <v>45237</v>
      </c>
      <c r="B4644" t="s">
        <v>4793</v>
      </c>
      <c r="C4644">
        <v>78</v>
      </c>
      <c r="D4644" t="s">
        <v>9</v>
      </c>
      <c r="E4644" t="s">
        <v>32</v>
      </c>
      <c r="F4644" t="s">
        <v>23</v>
      </c>
      <c r="G4644" t="s">
        <v>39</v>
      </c>
      <c r="H4644">
        <v>3728.42</v>
      </c>
      <c r="I4644" s="8" t="str" cm="1">
        <f t="array" ref="I4644">_xlfn.IFS(C4644&lt;=15,"Children and Young Adolescents", C4644&gt;64, "Seniors", TRUE, "Working Age")</f>
        <v>Seniors</v>
      </c>
      <c r="J4644" s="6">
        <f>VLOOKUP(F4644,Analysis!$F$1:$G$5,2,FALSE)</f>
        <v>2440.2966694490838</v>
      </c>
      <c r="K4644">
        <f t="shared" si="288"/>
        <v>4101.26</v>
      </c>
      <c r="L4644">
        <f t="shared" si="289"/>
        <v>4101.2700000000004</v>
      </c>
      <c r="M4644">
        <f t="shared" si="290"/>
        <v>4101.26</v>
      </c>
      <c r="N4644" s="5" t="str">
        <f t="shared" si="291"/>
        <v>November 2023</v>
      </c>
    </row>
    <row r="4645" spans="1:14" x14ac:dyDescent="0.25">
      <c r="A4645" s="1">
        <v>45237</v>
      </c>
      <c r="B4645" t="s">
        <v>2030</v>
      </c>
      <c r="C4645">
        <v>80</v>
      </c>
      <c r="D4645" t="s">
        <v>21</v>
      </c>
      <c r="E4645" t="s">
        <v>19</v>
      </c>
      <c r="F4645" t="s">
        <v>23</v>
      </c>
      <c r="G4645" t="s">
        <v>17</v>
      </c>
      <c r="H4645">
        <v>807.51</v>
      </c>
      <c r="I4645" s="8" t="str" cm="1">
        <f t="array" ref="I4645">_xlfn.IFS(C4645&lt;=15,"Children and Young Adolescents", C4645&gt;64, "Seniors", TRUE, "Working Age")</f>
        <v>Seniors</v>
      </c>
      <c r="J4645" s="6">
        <f>VLOOKUP(F4645,Analysis!$F$1:$G$5,2,FALSE)</f>
        <v>2440.2966694490838</v>
      </c>
      <c r="K4645">
        <f t="shared" si="288"/>
        <v>888.26</v>
      </c>
      <c r="L4645">
        <f t="shared" si="289"/>
        <v>888.27</v>
      </c>
      <c r="M4645">
        <f t="shared" si="290"/>
        <v>888.26</v>
      </c>
      <c r="N4645" s="5" t="str">
        <f t="shared" si="291"/>
        <v>November 2023</v>
      </c>
    </row>
    <row r="4646" spans="1:14" x14ac:dyDescent="0.25">
      <c r="A4646" s="1">
        <v>45237</v>
      </c>
      <c r="B4646" t="s">
        <v>3778</v>
      </c>
      <c r="C4646">
        <v>23</v>
      </c>
      <c r="D4646" t="s">
        <v>21</v>
      </c>
      <c r="E4646" t="s">
        <v>34</v>
      </c>
      <c r="F4646" t="s">
        <v>23</v>
      </c>
      <c r="G4646" t="s">
        <v>12</v>
      </c>
      <c r="H4646">
        <v>291.69</v>
      </c>
      <c r="I4646" s="8" t="str" cm="1">
        <f t="array" ref="I4646">_xlfn.IFS(C4646&lt;=15,"Children and Young Adolescents", C4646&gt;64, "Seniors", TRUE, "Working Age")</f>
        <v>Working Age</v>
      </c>
      <c r="J4646" s="6">
        <f>VLOOKUP(F4646,Analysis!$F$1:$G$5,2,FALSE)</f>
        <v>2440.2966694490838</v>
      </c>
      <c r="K4646">
        <f t="shared" si="288"/>
        <v>320.85000000000002</v>
      </c>
      <c r="L4646">
        <f t="shared" si="289"/>
        <v>320.86</v>
      </c>
      <c r="M4646">
        <f t="shared" si="290"/>
        <v>320.86</v>
      </c>
      <c r="N4646" s="5" t="str">
        <f t="shared" si="291"/>
        <v>November 2023</v>
      </c>
    </row>
    <row r="4647" spans="1:14" x14ac:dyDescent="0.25">
      <c r="A4647" s="1">
        <v>45238</v>
      </c>
      <c r="B4647" t="s">
        <v>4874</v>
      </c>
      <c r="C4647">
        <v>22</v>
      </c>
      <c r="D4647" t="s">
        <v>21</v>
      </c>
      <c r="E4647" t="s">
        <v>10</v>
      </c>
      <c r="F4647" t="s">
        <v>29</v>
      </c>
      <c r="G4647" t="s">
        <v>12</v>
      </c>
      <c r="H4647">
        <v>1307.98</v>
      </c>
      <c r="I4647" s="8" t="str" cm="1">
        <f t="array" ref="I4647">_xlfn.IFS(C4647&lt;=15,"Children and Young Adolescents", C4647&gt;64, "Seniors", TRUE, "Working Age")</f>
        <v>Working Age</v>
      </c>
      <c r="J4647" s="6">
        <f>VLOOKUP(F4647,Analysis!$F$1:$G$5,2,FALSE)</f>
        <v>2496.7676064256989</v>
      </c>
      <c r="K4647">
        <f t="shared" si="288"/>
        <v>1438.77</v>
      </c>
      <c r="L4647">
        <f t="shared" si="289"/>
        <v>1438.78</v>
      </c>
      <c r="M4647">
        <f t="shared" si="290"/>
        <v>1438.78</v>
      </c>
      <c r="N4647" s="5" t="str">
        <f t="shared" si="291"/>
        <v>November 2023</v>
      </c>
    </row>
    <row r="4648" spans="1:14" x14ac:dyDescent="0.25">
      <c r="A4648" s="1">
        <v>45238</v>
      </c>
      <c r="B4648" t="s">
        <v>4048</v>
      </c>
      <c r="C4648">
        <v>71</v>
      </c>
      <c r="D4648" t="s">
        <v>21</v>
      </c>
      <c r="E4648" t="s">
        <v>15</v>
      </c>
      <c r="F4648" t="s">
        <v>11</v>
      </c>
      <c r="G4648" t="s">
        <v>27</v>
      </c>
      <c r="H4648">
        <v>4479.28</v>
      </c>
      <c r="I4648" s="8" t="str" cm="1">
        <f t="array" ref="I4648">_xlfn.IFS(C4648&lt;=15,"Children and Young Adolescents", C4648&gt;64, "Seniors", TRUE, "Working Age")</f>
        <v>Seniors</v>
      </c>
      <c r="J4648" s="6">
        <f>VLOOKUP(F4648,Analysis!$F$1:$G$5,2,FALSE)</f>
        <v>2503.6022787783854</v>
      </c>
      <c r="K4648">
        <f t="shared" si="288"/>
        <v>4927.2</v>
      </c>
      <c r="L4648">
        <f t="shared" si="289"/>
        <v>4927.21</v>
      </c>
      <c r="M4648">
        <f t="shared" si="290"/>
        <v>4927.21</v>
      </c>
      <c r="N4648" s="5" t="str">
        <f t="shared" si="291"/>
        <v>November 2023</v>
      </c>
    </row>
    <row r="4649" spans="1:14" x14ac:dyDescent="0.25">
      <c r="A4649" s="1">
        <v>45238</v>
      </c>
      <c r="B4649" t="s">
        <v>1997</v>
      </c>
      <c r="C4649">
        <v>88</v>
      </c>
      <c r="D4649" t="s">
        <v>21</v>
      </c>
      <c r="E4649" t="s">
        <v>25</v>
      </c>
      <c r="F4649" t="s">
        <v>29</v>
      </c>
      <c r="G4649" t="s">
        <v>36</v>
      </c>
      <c r="H4649">
        <v>2595.56</v>
      </c>
      <c r="I4649" s="8" t="str" cm="1">
        <f t="array" ref="I4649">_xlfn.IFS(C4649&lt;=15,"Children and Young Adolescents", C4649&gt;64, "Seniors", TRUE, "Working Age")</f>
        <v>Seniors</v>
      </c>
      <c r="J4649" s="6">
        <f>VLOOKUP(F4649,Analysis!$F$1:$G$5,2,FALSE)</f>
        <v>2496.7676064256989</v>
      </c>
      <c r="K4649">
        <f t="shared" si="288"/>
        <v>2855.11</v>
      </c>
      <c r="L4649">
        <f t="shared" si="289"/>
        <v>2855.1200000000003</v>
      </c>
      <c r="M4649">
        <f t="shared" si="290"/>
        <v>2855.12</v>
      </c>
      <c r="N4649" s="5" t="str">
        <f t="shared" si="291"/>
        <v>November 2023</v>
      </c>
    </row>
    <row r="4650" spans="1:14" x14ac:dyDescent="0.25">
      <c r="A4650" s="1">
        <v>45238</v>
      </c>
      <c r="B4650" t="s">
        <v>4340</v>
      </c>
      <c r="C4650">
        <v>45</v>
      </c>
      <c r="D4650" t="s">
        <v>9</v>
      </c>
      <c r="E4650" t="s">
        <v>15</v>
      </c>
      <c r="F4650" t="s">
        <v>23</v>
      </c>
      <c r="G4650" t="s">
        <v>12</v>
      </c>
      <c r="H4650">
        <v>1956.67</v>
      </c>
      <c r="I4650" s="8" t="str" cm="1">
        <f t="array" ref="I4650">_xlfn.IFS(C4650&lt;=15,"Children and Young Adolescents", C4650&gt;64, "Seniors", TRUE, "Working Age")</f>
        <v>Working Age</v>
      </c>
      <c r="J4650" s="6">
        <f>VLOOKUP(F4650,Analysis!$F$1:$G$5,2,FALSE)</f>
        <v>2440.2966694490838</v>
      </c>
      <c r="K4650">
        <f t="shared" si="288"/>
        <v>2152.33</v>
      </c>
      <c r="L4650">
        <f t="shared" si="289"/>
        <v>2152.34</v>
      </c>
      <c r="M4650">
        <f t="shared" si="290"/>
        <v>2152.34</v>
      </c>
      <c r="N4650" s="5" t="str">
        <f t="shared" si="291"/>
        <v>November 2023</v>
      </c>
    </row>
    <row r="4651" spans="1:14" x14ac:dyDescent="0.25">
      <c r="A4651" s="1">
        <v>45238</v>
      </c>
      <c r="B4651" t="s">
        <v>2519</v>
      </c>
      <c r="C4651">
        <v>72</v>
      </c>
      <c r="D4651" t="s">
        <v>9</v>
      </c>
      <c r="E4651" t="s">
        <v>25</v>
      </c>
      <c r="F4651" t="s">
        <v>16</v>
      </c>
      <c r="G4651" t="s">
        <v>36</v>
      </c>
      <c r="H4651">
        <v>1449.75</v>
      </c>
      <c r="I4651" s="8" t="str" cm="1">
        <f t="array" ref="I4651">_xlfn.IFS(C4651&lt;=15,"Children and Young Adolescents", C4651&gt;64, "Seniors", TRUE, "Working Age")</f>
        <v>Seniors</v>
      </c>
      <c r="J4651" s="6">
        <f>VLOOKUP(F4651,Analysis!$F$1:$G$5,2,FALSE)</f>
        <v>2509.1716796874912</v>
      </c>
      <c r="K4651">
        <f t="shared" si="288"/>
        <v>1594.72</v>
      </c>
      <c r="L4651">
        <f t="shared" si="289"/>
        <v>1594.73</v>
      </c>
      <c r="M4651">
        <f t="shared" si="290"/>
        <v>1594.73</v>
      </c>
      <c r="N4651" s="5" t="str">
        <f t="shared" si="291"/>
        <v>November 2023</v>
      </c>
    </row>
    <row r="4652" spans="1:14" x14ac:dyDescent="0.25">
      <c r="A4652" s="1">
        <v>45238</v>
      </c>
      <c r="B4652" t="s">
        <v>2400</v>
      </c>
      <c r="C4652">
        <v>27</v>
      </c>
      <c r="D4652" t="s">
        <v>9</v>
      </c>
      <c r="E4652" t="s">
        <v>25</v>
      </c>
      <c r="F4652" t="s">
        <v>11</v>
      </c>
      <c r="G4652" t="s">
        <v>17</v>
      </c>
      <c r="H4652">
        <v>4611.92</v>
      </c>
      <c r="I4652" s="8" t="str" cm="1">
        <f t="array" ref="I4652">_xlfn.IFS(C4652&lt;=15,"Children and Young Adolescents", C4652&gt;64, "Seniors", TRUE, "Working Age")</f>
        <v>Working Age</v>
      </c>
      <c r="J4652" s="6">
        <f>VLOOKUP(F4652,Analysis!$F$1:$G$5,2,FALSE)</f>
        <v>2503.6022787783854</v>
      </c>
      <c r="K4652">
        <f t="shared" si="288"/>
        <v>5073.1099999999997</v>
      </c>
      <c r="L4652">
        <f t="shared" si="289"/>
        <v>5073.12</v>
      </c>
      <c r="M4652">
        <f t="shared" si="290"/>
        <v>5073.1099999999997</v>
      </c>
      <c r="N4652" s="5" t="str">
        <f t="shared" si="291"/>
        <v>November 2023</v>
      </c>
    </row>
    <row r="4653" spans="1:14" x14ac:dyDescent="0.25">
      <c r="A4653" s="1">
        <v>45239</v>
      </c>
      <c r="B4653" t="s">
        <v>1237</v>
      </c>
      <c r="C4653">
        <v>87</v>
      </c>
      <c r="D4653" t="s">
        <v>14</v>
      </c>
      <c r="E4653" t="s">
        <v>22</v>
      </c>
      <c r="F4653" t="s">
        <v>23</v>
      </c>
      <c r="G4653" t="s">
        <v>17</v>
      </c>
      <c r="H4653">
        <v>4833.55</v>
      </c>
      <c r="I4653" s="8" t="str" cm="1">
        <f t="array" ref="I4653">_xlfn.IFS(C4653&lt;=15,"Children and Young Adolescents", C4653&gt;64, "Seniors", TRUE, "Working Age")</f>
        <v>Seniors</v>
      </c>
      <c r="J4653" s="6">
        <f>VLOOKUP(F4653,Analysis!$F$1:$G$5,2,FALSE)</f>
        <v>2440.2966694490838</v>
      </c>
      <c r="K4653">
        <f t="shared" si="288"/>
        <v>5316.9</v>
      </c>
      <c r="L4653">
        <f t="shared" si="289"/>
        <v>5316.91</v>
      </c>
      <c r="M4653">
        <f t="shared" si="290"/>
        <v>5316.91</v>
      </c>
      <c r="N4653" s="5" t="str">
        <f t="shared" si="291"/>
        <v>November 2023</v>
      </c>
    </row>
    <row r="4654" spans="1:14" x14ac:dyDescent="0.25">
      <c r="A4654" s="1">
        <v>45239</v>
      </c>
      <c r="B4654" t="s">
        <v>3204</v>
      </c>
      <c r="C4654">
        <v>61</v>
      </c>
      <c r="D4654" t="s">
        <v>21</v>
      </c>
      <c r="E4654" t="s">
        <v>19</v>
      </c>
      <c r="F4654" t="s">
        <v>29</v>
      </c>
      <c r="G4654" t="s">
        <v>27</v>
      </c>
      <c r="H4654">
        <v>3720.48</v>
      </c>
      <c r="I4654" s="8" t="str" cm="1">
        <f t="array" ref="I4654">_xlfn.IFS(C4654&lt;=15,"Children and Young Adolescents", C4654&gt;64, "Seniors", TRUE, "Working Age")</f>
        <v>Working Age</v>
      </c>
      <c r="J4654" s="6">
        <f>VLOOKUP(F4654,Analysis!$F$1:$G$5,2,FALSE)</f>
        <v>2496.7676064256989</v>
      </c>
      <c r="K4654">
        <f t="shared" si="288"/>
        <v>4092.52</v>
      </c>
      <c r="L4654">
        <f t="shared" si="289"/>
        <v>4092.53</v>
      </c>
      <c r="M4654">
        <f t="shared" si="290"/>
        <v>4092.53</v>
      </c>
      <c r="N4654" s="5" t="str">
        <f t="shared" si="291"/>
        <v>November 2023</v>
      </c>
    </row>
    <row r="4655" spans="1:14" x14ac:dyDescent="0.25">
      <c r="A4655" s="1">
        <v>45239</v>
      </c>
      <c r="B4655" t="s">
        <v>2039</v>
      </c>
      <c r="C4655">
        <v>62</v>
      </c>
      <c r="D4655" t="s">
        <v>21</v>
      </c>
      <c r="E4655" t="s">
        <v>10</v>
      </c>
      <c r="F4655" t="s">
        <v>16</v>
      </c>
      <c r="G4655" t="s">
        <v>27</v>
      </c>
      <c r="H4655">
        <v>3781.38</v>
      </c>
      <c r="I4655" s="8" t="str" cm="1">
        <f t="array" ref="I4655">_xlfn.IFS(C4655&lt;=15,"Children and Young Adolescents", C4655&gt;64, "Seniors", TRUE, "Working Age")</f>
        <v>Working Age</v>
      </c>
      <c r="J4655" s="6">
        <f>VLOOKUP(F4655,Analysis!$F$1:$G$5,2,FALSE)</f>
        <v>2509.1716796874912</v>
      </c>
      <c r="K4655">
        <f t="shared" si="288"/>
        <v>4159.51</v>
      </c>
      <c r="L4655">
        <f t="shared" si="289"/>
        <v>4159.5200000000004</v>
      </c>
      <c r="M4655">
        <f t="shared" si="290"/>
        <v>4159.5200000000004</v>
      </c>
      <c r="N4655" s="5" t="str">
        <f t="shared" si="291"/>
        <v>November 2023</v>
      </c>
    </row>
    <row r="4656" spans="1:14" x14ac:dyDescent="0.25">
      <c r="A4656" s="1">
        <v>45239</v>
      </c>
      <c r="B4656" t="s">
        <v>3640</v>
      </c>
      <c r="C4656">
        <v>42</v>
      </c>
      <c r="D4656" t="s">
        <v>9</v>
      </c>
      <c r="E4656" t="s">
        <v>15</v>
      </c>
      <c r="F4656" t="s">
        <v>29</v>
      </c>
      <c r="G4656" t="s">
        <v>27</v>
      </c>
      <c r="H4656">
        <v>1548.04</v>
      </c>
      <c r="I4656" s="8" t="str" cm="1">
        <f t="array" ref="I4656">_xlfn.IFS(C4656&lt;=15,"Children and Young Adolescents", C4656&gt;64, "Seniors", TRUE, "Working Age")</f>
        <v>Working Age</v>
      </c>
      <c r="J4656" s="6">
        <f>VLOOKUP(F4656,Analysis!$F$1:$G$5,2,FALSE)</f>
        <v>2496.7676064256989</v>
      </c>
      <c r="K4656">
        <f t="shared" si="288"/>
        <v>1702.84</v>
      </c>
      <c r="L4656">
        <f t="shared" si="289"/>
        <v>1702.85</v>
      </c>
      <c r="M4656">
        <f t="shared" si="290"/>
        <v>1702.84</v>
      </c>
      <c r="N4656" s="5" t="str">
        <f t="shared" si="291"/>
        <v>November 2023</v>
      </c>
    </row>
    <row r="4657" spans="1:14" x14ac:dyDescent="0.25">
      <c r="A4657" s="1">
        <v>45239</v>
      </c>
      <c r="B4657" t="s">
        <v>773</v>
      </c>
      <c r="C4657">
        <v>18</v>
      </c>
      <c r="D4657" t="s">
        <v>21</v>
      </c>
      <c r="E4657" t="s">
        <v>15</v>
      </c>
      <c r="F4657" t="s">
        <v>16</v>
      </c>
      <c r="G4657" t="s">
        <v>12</v>
      </c>
      <c r="H4657">
        <v>2515.2800000000002</v>
      </c>
      <c r="I4657" s="8" t="str" cm="1">
        <f t="array" ref="I4657">_xlfn.IFS(C4657&lt;=15,"Children and Young Adolescents", C4657&gt;64, "Seniors", TRUE, "Working Age")</f>
        <v>Working Age</v>
      </c>
      <c r="J4657" s="6">
        <f>VLOOKUP(F4657,Analysis!$F$1:$G$5,2,FALSE)</f>
        <v>2509.1716796874912</v>
      </c>
      <c r="K4657">
        <f t="shared" si="288"/>
        <v>2766.8</v>
      </c>
      <c r="L4657">
        <f t="shared" si="289"/>
        <v>2766.8100000000004</v>
      </c>
      <c r="M4657">
        <f t="shared" si="290"/>
        <v>2766.81</v>
      </c>
      <c r="N4657" s="5" t="str">
        <f t="shared" si="291"/>
        <v>November 2023</v>
      </c>
    </row>
    <row r="4658" spans="1:14" x14ac:dyDescent="0.25">
      <c r="A4658" s="1">
        <v>45240</v>
      </c>
      <c r="B4658" t="s">
        <v>2342</v>
      </c>
      <c r="C4658">
        <v>76</v>
      </c>
      <c r="D4658" t="s">
        <v>14</v>
      </c>
      <c r="E4658" t="s">
        <v>19</v>
      </c>
      <c r="F4658" t="s">
        <v>16</v>
      </c>
      <c r="G4658" t="s">
        <v>17</v>
      </c>
      <c r="H4658">
        <v>2249.27</v>
      </c>
      <c r="I4658" s="8" t="str" cm="1">
        <f t="array" ref="I4658">_xlfn.IFS(C4658&lt;=15,"Children and Young Adolescents", C4658&gt;64, "Seniors", TRUE, "Working Age")</f>
        <v>Seniors</v>
      </c>
      <c r="J4658" s="6">
        <f>VLOOKUP(F4658,Analysis!$F$1:$G$5,2,FALSE)</f>
        <v>2509.1716796874912</v>
      </c>
      <c r="K4658">
        <f t="shared" si="288"/>
        <v>2474.19</v>
      </c>
      <c r="L4658">
        <f t="shared" si="289"/>
        <v>2474.2000000000003</v>
      </c>
      <c r="M4658">
        <f t="shared" si="290"/>
        <v>2474.1999999999998</v>
      </c>
      <c r="N4658" s="5" t="str">
        <f t="shared" si="291"/>
        <v>November 2023</v>
      </c>
    </row>
    <row r="4659" spans="1:14" x14ac:dyDescent="0.25">
      <c r="A4659" s="1">
        <v>45240</v>
      </c>
      <c r="B4659" t="s">
        <v>2667</v>
      </c>
      <c r="C4659">
        <v>41</v>
      </c>
      <c r="D4659" t="s">
        <v>21</v>
      </c>
      <c r="E4659" t="s">
        <v>25</v>
      </c>
      <c r="F4659" t="s">
        <v>29</v>
      </c>
      <c r="G4659" t="s">
        <v>27</v>
      </c>
      <c r="H4659">
        <v>1211.54</v>
      </c>
      <c r="I4659" s="8" t="str" cm="1">
        <f t="array" ref="I4659">_xlfn.IFS(C4659&lt;=15,"Children and Young Adolescents", C4659&gt;64, "Seniors", TRUE, "Working Age")</f>
        <v>Working Age</v>
      </c>
      <c r="J4659" s="6">
        <f>VLOOKUP(F4659,Analysis!$F$1:$G$5,2,FALSE)</f>
        <v>2496.7676064256989</v>
      </c>
      <c r="K4659">
        <f t="shared" si="288"/>
        <v>1332.69</v>
      </c>
      <c r="L4659">
        <f t="shared" si="289"/>
        <v>1332.7</v>
      </c>
      <c r="M4659">
        <f t="shared" si="290"/>
        <v>1332.69</v>
      </c>
      <c r="N4659" s="5" t="str">
        <f t="shared" si="291"/>
        <v>November 2023</v>
      </c>
    </row>
    <row r="4660" spans="1:14" x14ac:dyDescent="0.25">
      <c r="A4660" s="1">
        <v>45240</v>
      </c>
      <c r="B4660" t="s">
        <v>4056</v>
      </c>
      <c r="C4660">
        <v>67</v>
      </c>
      <c r="D4660" t="s">
        <v>9</v>
      </c>
      <c r="E4660" t="s">
        <v>19</v>
      </c>
      <c r="F4660" t="s">
        <v>23</v>
      </c>
      <c r="G4660" t="s">
        <v>39</v>
      </c>
      <c r="H4660">
        <v>2604.3200000000002</v>
      </c>
      <c r="I4660" s="8" t="str" cm="1">
        <f t="array" ref="I4660">_xlfn.IFS(C4660&lt;=15,"Children and Young Adolescents", C4660&gt;64, "Seniors", TRUE, "Working Age")</f>
        <v>Seniors</v>
      </c>
      <c r="J4660" s="6">
        <f>VLOOKUP(F4660,Analysis!$F$1:$G$5,2,FALSE)</f>
        <v>2440.2966694490838</v>
      </c>
      <c r="K4660">
        <f t="shared" si="288"/>
        <v>2864.75</v>
      </c>
      <c r="L4660">
        <f t="shared" si="289"/>
        <v>2864.76</v>
      </c>
      <c r="M4660">
        <f t="shared" si="290"/>
        <v>2864.75</v>
      </c>
      <c r="N4660" s="5" t="str">
        <f t="shared" si="291"/>
        <v>November 2023</v>
      </c>
    </row>
    <row r="4661" spans="1:14" x14ac:dyDescent="0.25">
      <c r="A4661" s="1">
        <v>45240</v>
      </c>
      <c r="B4661" t="s">
        <v>4905</v>
      </c>
      <c r="C4661">
        <v>24</v>
      </c>
      <c r="D4661" t="s">
        <v>9</v>
      </c>
      <c r="E4661" t="s">
        <v>25</v>
      </c>
      <c r="F4661" t="s">
        <v>29</v>
      </c>
      <c r="G4661" t="s">
        <v>36</v>
      </c>
      <c r="H4661">
        <v>168.38</v>
      </c>
      <c r="I4661" s="8" t="str" cm="1">
        <f t="array" ref="I4661">_xlfn.IFS(C4661&lt;=15,"Children and Young Adolescents", C4661&gt;64, "Seniors", TRUE, "Working Age")</f>
        <v>Working Age</v>
      </c>
      <c r="J4661" s="6">
        <f>VLOOKUP(F4661,Analysis!$F$1:$G$5,2,FALSE)</f>
        <v>2496.7676064256989</v>
      </c>
      <c r="K4661">
        <f t="shared" si="288"/>
        <v>185.21</v>
      </c>
      <c r="L4661">
        <f t="shared" si="289"/>
        <v>185.22</v>
      </c>
      <c r="M4661">
        <f t="shared" si="290"/>
        <v>185.22</v>
      </c>
      <c r="N4661" s="5" t="str">
        <f t="shared" si="291"/>
        <v>November 2023</v>
      </c>
    </row>
    <row r="4662" spans="1:14" x14ac:dyDescent="0.25">
      <c r="A4662" s="1">
        <v>45240</v>
      </c>
      <c r="B4662" t="s">
        <v>3140</v>
      </c>
      <c r="C4662">
        <v>32</v>
      </c>
      <c r="D4662" t="s">
        <v>9</v>
      </c>
      <c r="E4662" t="s">
        <v>5032</v>
      </c>
      <c r="F4662" t="s">
        <v>11</v>
      </c>
      <c r="G4662" t="s">
        <v>5033</v>
      </c>
      <c r="H4662">
        <v>129.46</v>
      </c>
      <c r="I4662" s="8" t="str" cm="1">
        <f t="array" ref="I4662">_xlfn.IFS(C4662&lt;=15,"Children and Young Adolescents", C4662&gt;64, "Seniors", TRUE, "Working Age")</f>
        <v>Working Age</v>
      </c>
      <c r="J4662" s="6">
        <f>VLOOKUP(F4662,Analysis!$F$1:$G$5,2,FALSE)</f>
        <v>2503.6022787783854</v>
      </c>
      <c r="K4662">
        <f t="shared" si="288"/>
        <v>142.4</v>
      </c>
      <c r="L4662">
        <f t="shared" si="289"/>
        <v>142.41</v>
      </c>
      <c r="M4662">
        <f t="shared" si="290"/>
        <v>142.41</v>
      </c>
      <c r="N4662" s="5" t="str">
        <f t="shared" si="291"/>
        <v>November 2023</v>
      </c>
    </row>
    <row r="4663" spans="1:14" x14ac:dyDescent="0.25">
      <c r="A4663" s="1">
        <v>45241</v>
      </c>
      <c r="B4663" t="s">
        <v>1042</v>
      </c>
      <c r="C4663">
        <v>73</v>
      </c>
      <c r="D4663" t="s">
        <v>9</v>
      </c>
      <c r="E4663" t="s">
        <v>25</v>
      </c>
      <c r="F4663" t="s">
        <v>11</v>
      </c>
      <c r="G4663" t="s">
        <v>12</v>
      </c>
      <c r="H4663">
        <v>4316.45</v>
      </c>
      <c r="I4663" s="8" t="str" cm="1">
        <f t="array" ref="I4663">_xlfn.IFS(C4663&lt;=15,"Children and Young Adolescents", C4663&gt;64, "Seniors", TRUE, "Working Age")</f>
        <v>Seniors</v>
      </c>
      <c r="J4663" s="6">
        <f>VLOOKUP(F4663,Analysis!$F$1:$G$5,2,FALSE)</f>
        <v>2503.6022787783854</v>
      </c>
      <c r="K4663">
        <f t="shared" si="288"/>
        <v>4748.09</v>
      </c>
      <c r="L4663">
        <f t="shared" si="289"/>
        <v>4748.1000000000004</v>
      </c>
      <c r="M4663">
        <f t="shared" si="290"/>
        <v>4748.1000000000004</v>
      </c>
      <c r="N4663" s="5" t="str">
        <f t="shared" si="291"/>
        <v>November 2023</v>
      </c>
    </row>
    <row r="4664" spans="1:14" x14ac:dyDescent="0.25">
      <c r="A4664" s="1">
        <v>45241</v>
      </c>
      <c r="B4664" t="s">
        <v>476</v>
      </c>
      <c r="C4664">
        <v>63</v>
      </c>
      <c r="D4664" t="s">
        <v>9</v>
      </c>
      <c r="E4664" t="s">
        <v>32</v>
      </c>
      <c r="F4664" t="s">
        <v>11</v>
      </c>
      <c r="G4664" t="s">
        <v>27</v>
      </c>
      <c r="H4664">
        <v>1086.96</v>
      </c>
      <c r="I4664" s="8" t="str" cm="1">
        <f t="array" ref="I4664">_xlfn.IFS(C4664&lt;=15,"Children and Young Adolescents", C4664&gt;64, "Seniors", TRUE, "Working Age")</f>
        <v>Working Age</v>
      </c>
      <c r="J4664" s="6">
        <f>VLOOKUP(F4664,Analysis!$F$1:$G$5,2,FALSE)</f>
        <v>2503.6022787783854</v>
      </c>
      <c r="K4664">
        <f t="shared" si="288"/>
        <v>1195.6500000000001</v>
      </c>
      <c r="L4664">
        <f t="shared" si="289"/>
        <v>1195.6600000000001</v>
      </c>
      <c r="M4664">
        <f t="shared" si="290"/>
        <v>1195.6600000000001</v>
      </c>
      <c r="N4664" s="5" t="str">
        <f t="shared" si="291"/>
        <v>November 2023</v>
      </c>
    </row>
    <row r="4665" spans="1:14" x14ac:dyDescent="0.25">
      <c r="A4665" s="1">
        <v>45241</v>
      </c>
      <c r="B4665" t="s">
        <v>4440</v>
      </c>
      <c r="C4665">
        <v>77</v>
      </c>
      <c r="D4665" t="s">
        <v>21</v>
      </c>
      <c r="E4665" t="s">
        <v>19</v>
      </c>
      <c r="F4665" t="s">
        <v>29</v>
      </c>
      <c r="G4665" t="s">
        <v>12</v>
      </c>
      <c r="H4665">
        <v>4635.62</v>
      </c>
      <c r="I4665" s="8" t="str" cm="1">
        <f t="array" ref="I4665">_xlfn.IFS(C4665&lt;=15,"Children and Young Adolescents", C4665&gt;64, "Seniors", TRUE, "Working Age")</f>
        <v>Seniors</v>
      </c>
      <c r="J4665" s="6">
        <f>VLOOKUP(F4665,Analysis!$F$1:$G$5,2,FALSE)</f>
        <v>2496.7676064256989</v>
      </c>
      <c r="K4665">
        <f t="shared" si="288"/>
        <v>5099.18</v>
      </c>
      <c r="L4665">
        <f t="shared" si="289"/>
        <v>5099.1900000000005</v>
      </c>
      <c r="M4665">
        <f t="shared" si="290"/>
        <v>5099.18</v>
      </c>
      <c r="N4665" s="5" t="str">
        <f t="shared" si="291"/>
        <v>November 2023</v>
      </c>
    </row>
    <row r="4666" spans="1:14" x14ac:dyDescent="0.25">
      <c r="A4666" s="1">
        <v>45241</v>
      </c>
      <c r="B4666" t="s">
        <v>4815</v>
      </c>
      <c r="C4666">
        <v>38</v>
      </c>
      <c r="D4666" t="s">
        <v>14</v>
      </c>
      <c r="E4666" t="s">
        <v>34</v>
      </c>
      <c r="F4666" t="s">
        <v>23</v>
      </c>
      <c r="G4666" t="s">
        <v>36</v>
      </c>
      <c r="H4666">
        <v>4983.24</v>
      </c>
      <c r="I4666" s="8" t="str" cm="1">
        <f t="array" ref="I4666">_xlfn.IFS(C4666&lt;=15,"Children and Young Adolescents", C4666&gt;64, "Seniors", TRUE, "Working Age")</f>
        <v>Working Age</v>
      </c>
      <c r="J4666" s="6">
        <f>VLOOKUP(F4666,Analysis!$F$1:$G$5,2,FALSE)</f>
        <v>2440.2966694490838</v>
      </c>
      <c r="K4666">
        <f t="shared" si="288"/>
        <v>5481.56</v>
      </c>
      <c r="L4666">
        <f t="shared" si="289"/>
        <v>5481.5700000000006</v>
      </c>
      <c r="M4666">
        <f t="shared" si="290"/>
        <v>5481.56</v>
      </c>
      <c r="N4666" s="5" t="str">
        <f t="shared" si="291"/>
        <v>November 2023</v>
      </c>
    </row>
    <row r="4667" spans="1:14" x14ac:dyDescent="0.25">
      <c r="A4667" s="1">
        <v>45241</v>
      </c>
      <c r="B4667" t="s">
        <v>814</v>
      </c>
      <c r="C4667">
        <v>51</v>
      </c>
      <c r="D4667" t="s">
        <v>14</v>
      </c>
      <c r="E4667" t="s">
        <v>10</v>
      </c>
      <c r="F4667" t="s">
        <v>29</v>
      </c>
      <c r="G4667" t="s">
        <v>36</v>
      </c>
      <c r="H4667">
        <v>849.59</v>
      </c>
      <c r="I4667" s="8" t="str" cm="1">
        <f t="array" ref="I4667">_xlfn.IFS(C4667&lt;=15,"Children and Young Adolescents", C4667&gt;64, "Seniors", TRUE, "Working Age")</f>
        <v>Working Age</v>
      </c>
      <c r="J4667" s="6">
        <f>VLOOKUP(F4667,Analysis!$F$1:$G$5,2,FALSE)</f>
        <v>2496.7676064256989</v>
      </c>
      <c r="K4667">
        <f t="shared" si="288"/>
        <v>934.54</v>
      </c>
      <c r="L4667">
        <f t="shared" si="289"/>
        <v>934.55</v>
      </c>
      <c r="M4667">
        <f t="shared" si="290"/>
        <v>934.55</v>
      </c>
      <c r="N4667" s="5" t="str">
        <f t="shared" si="291"/>
        <v>November 2023</v>
      </c>
    </row>
    <row r="4668" spans="1:14" x14ac:dyDescent="0.25">
      <c r="A4668" s="1">
        <v>45241</v>
      </c>
      <c r="B4668" t="s">
        <v>2875</v>
      </c>
      <c r="C4668">
        <v>51</v>
      </c>
      <c r="D4668" t="s">
        <v>21</v>
      </c>
      <c r="E4668" t="s">
        <v>10</v>
      </c>
      <c r="F4668" t="s">
        <v>16</v>
      </c>
      <c r="G4668" t="s">
        <v>27</v>
      </c>
      <c r="H4668">
        <v>3914.92</v>
      </c>
      <c r="I4668" s="8" t="str" cm="1">
        <f t="array" ref="I4668">_xlfn.IFS(C4668&lt;=15,"Children and Young Adolescents", C4668&gt;64, "Seniors", TRUE, "Working Age")</f>
        <v>Working Age</v>
      </c>
      <c r="J4668" s="6">
        <f>VLOOKUP(F4668,Analysis!$F$1:$G$5,2,FALSE)</f>
        <v>2509.1716796874912</v>
      </c>
      <c r="K4668">
        <f t="shared" si="288"/>
        <v>4306.41</v>
      </c>
      <c r="L4668">
        <f t="shared" si="289"/>
        <v>4306.42</v>
      </c>
      <c r="M4668">
        <f t="shared" si="290"/>
        <v>4306.41</v>
      </c>
      <c r="N4668" s="5" t="str">
        <f t="shared" si="291"/>
        <v>November 2023</v>
      </c>
    </row>
    <row r="4669" spans="1:14" x14ac:dyDescent="0.25">
      <c r="A4669" s="1">
        <v>45241</v>
      </c>
      <c r="B4669" t="s">
        <v>3496</v>
      </c>
      <c r="C4669">
        <v>80</v>
      </c>
      <c r="D4669" t="s">
        <v>14</v>
      </c>
      <c r="E4669" t="s">
        <v>15</v>
      </c>
      <c r="F4669" t="s">
        <v>23</v>
      </c>
      <c r="G4669" t="s">
        <v>17</v>
      </c>
      <c r="H4669">
        <v>1795.11</v>
      </c>
      <c r="I4669" s="8" t="str" cm="1">
        <f t="array" ref="I4669">_xlfn.IFS(C4669&lt;=15,"Children and Young Adolescents", C4669&gt;64, "Seniors", TRUE, "Working Age")</f>
        <v>Seniors</v>
      </c>
      <c r="J4669" s="6">
        <f>VLOOKUP(F4669,Analysis!$F$1:$G$5,2,FALSE)</f>
        <v>2440.2966694490838</v>
      </c>
      <c r="K4669">
        <f t="shared" si="288"/>
        <v>1974.62</v>
      </c>
      <c r="L4669">
        <f t="shared" si="289"/>
        <v>1974.6299999999999</v>
      </c>
      <c r="M4669">
        <f t="shared" si="290"/>
        <v>1974.62</v>
      </c>
      <c r="N4669" s="5" t="str">
        <f t="shared" si="291"/>
        <v>November 2023</v>
      </c>
    </row>
    <row r="4670" spans="1:14" x14ac:dyDescent="0.25">
      <c r="A4670" s="1">
        <v>45241</v>
      </c>
      <c r="B4670" t="s">
        <v>3445</v>
      </c>
      <c r="C4670">
        <v>28</v>
      </c>
      <c r="D4670" t="s">
        <v>14</v>
      </c>
      <c r="E4670" t="s">
        <v>15</v>
      </c>
      <c r="F4670" t="s">
        <v>23</v>
      </c>
      <c r="G4670" t="s">
        <v>17</v>
      </c>
      <c r="H4670">
        <v>3536.41</v>
      </c>
      <c r="I4670" s="8" t="str" cm="1">
        <f t="array" ref="I4670">_xlfn.IFS(C4670&lt;=15,"Children and Young Adolescents", C4670&gt;64, "Seniors", TRUE, "Working Age")</f>
        <v>Working Age</v>
      </c>
      <c r="J4670" s="6">
        <f>VLOOKUP(F4670,Analysis!$F$1:$G$5,2,FALSE)</f>
        <v>2440.2966694490838</v>
      </c>
      <c r="K4670">
        <f t="shared" si="288"/>
        <v>3890.05</v>
      </c>
      <c r="L4670">
        <f t="shared" si="289"/>
        <v>3890.0600000000004</v>
      </c>
      <c r="M4670">
        <f t="shared" si="290"/>
        <v>3890.05</v>
      </c>
      <c r="N4670" s="5" t="str">
        <f t="shared" si="291"/>
        <v>November 2023</v>
      </c>
    </row>
    <row r="4671" spans="1:14" x14ac:dyDescent="0.25">
      <c r="A4671" s="1">
        <v>45241</v>
      </c>
      <c r="B4671" t="s">
        <v>1489</v>
      </c>
      <c r="C4671">
        <v>41</v>
      </c>
      <c r="D4671" t="s">
        <v>14</v>
      </c>
      <c r="E4671" t="s">
        <v>25</v>
      </c>
      <c r="F4671" t="s">
        <v>16</v>
      </c>
      <c r="G4671" t="s">
        <v>12</v>
      </c>
      <c r="H4671">
        <v>3964.81</v>
      </c>
      <c r="I4671" s="8" t="str" cm="1">
        <f t="array" ref="I4671">_xlfn.IFS(C4671&lt;=15,"Children and Young Adolescents", C4671&gt;64, "Seniors", TRUE, "Working Age")</f>
        <v>Working Age</v>
      </c>
      <c r="J4671" s="6">
        <f>VLOOKUP(F4671,Analysis!$F$1:$G$5,2,FALSE)</f>
        <v>2509.1716796874912</v>
      </c>
      <c r="K4671">
        <f t="shared" si="288"/>
        <v>4361.29</v>
      </c>
      <c r="L4671">
        <f t="shared" si="289"/>
        <v>4361.3</v>
      </c>
      <c r="M4671">
        <f t="shared" si="290"/>
        <v>4361.29</v>
      </c>
      <c r="N4671" s="5" t="str">
        <f t="shared" si="291"/>
        <v>November 2023</v>
      </c>
    </row>
    <row r="4672" spans="1:14" x14ac:dyDescent="0.25">
      <c r="A4672" s="1">
        <v>45241</v>
      </c>
      <c r="B4672" t="s">
        <v>1500</v>
      </c>
      <c r="C4672">
        <v>20</v>
      </c>
      <c r="D4672" t="s">
        <v>21</v>
      </c>
      <c r="E4672" t="s">
        <v>32</v>
      </c>
      <c r="F4672" t="s">
        <v>11</v>
      </c>
      <c r="G4672" t="s">
        <v>17</v>
      </c>
      <c r="H4672">
        <v>1632.76</v>
      </c>
      <c r="I4672" s="8" t="str" cm="1">
        <f t="array" ref="I4672">_xlfn.IFS(C4672&lt;=15,"Children and Young Adolescents", C4672&gt;64, "Seniors", TRUE, "Working Age")</f>
        <v>Working Age</v>
      </c>
      <c r="J4672" s="6">
        <f>VLOOKUP(F4672,Analysis!$F$1:$G$5,2,FALSE)</f>
        <v>2503.6022787783854</v>
      </c>
      <c r="K4672">
        <f t="shared" si="288"/>
        <v>1796.03</v>
      </c>
      <c r="L4672">
        <f t="shared" si="289"/>
        <v>1796.04</v>
      </c>
      <c r="M4672">
        <f t="shared" si="290"/>
        <v>1796.04</v>
      </c>
      <c r="N4672" s="5" t="str">
        <f t="shared" si="291"/>
        <v>November 2023</v>
      </c>
    </row>
    <row r="4673" spans="1:14" x14ac:dyDescent="0.25">
      <c r="A4673" s="1">
        <v>45242</v>
      </c>
      <c r="B4673" t="s">
        <v>2581</v>
      </c>
      <c r="C4673">
        <v>1</v>
      </c>
      <c r="D4673" t="s">
        <v>9</v>
      </c>
      <c r="E4673" t="s">
        <v>32</v>
      </c>
      <c r="F4673" t="s">
        <v>16</v>
      </c>
      <c r="G4673" t="s">
        <v>39</v>
      </c>
      <c r="H4673">
        <v>1233.97</v>
      </c>
      <c r="I4673" s="8" t="str" cm="1">
        <f t="array" ref="I4673">_xlfn.IFS(C4673&lt;=15,"Children and Young Adolescents", C4673&gt;64, "Seniors", TRUE, "Working Age")</f>
        <v>Children and Young Adolescents</v>
      </c>
      <c r="J4673" s="6">
        <f>VLOOKUP(F4673,Analysis!$F$1:$G$5,2,FALSE)</f>
        <v>2509.1716796874912</v>
      </c>
      <c r="K4673">
        <f t="shared" si="288"/>
        <v>1357.36</v>
      </c>
      <c r="L4673">
        <f t="shared" si="289"/>
        <v>1357.37</v>
      </c>
      <c r="M4673">
        <f t="shared" si="290"/>
        <v>1357.37</v>
      </c>
      <c r="N4673" s="5" t="str">
        <f t="shared" si="291"/>
        <v>November 2023</v>
      </c>
    </row>
    <row r="4674" spans="1:14" x14ac:dyDescent="0.25">
      <c r="A4674" s="1">
        <v>45242</v>
      </c>
      <c r="B4674" t="s">
        <v>59</v>
      </c>
      <c r="C4674">
        <v>39</v>
      </c>
      <c r="D4674" t="s">
        <v>21</v>
      </c>
      <c r="E4674" t="s">
        <v>34</v>
      </c>
      <c r="F4674" t="s">
        <v>29</v>
      </c>
      <c r="G4674" t="s">
        <v>17</v>
      </c>
      <c r="H4674">
        <v>4686.8599999999997</v>
      </c>
      <c r="I4674" s="8" t="str" cm="1">
        <f t="array" ref="I4674">_xlfn.IFS(C4674&lt;=15,"Children and Young Adolescents", C4674&gt;64, "Seniors", TRUE, "Working Age")</f>
        <v>Working Age</v>
      </c>
      <c r="J4674" s="6">
        <f>VLOOKUP(F4674,Analysis!$F$1:$G$5,2,FALSE)</f>
        <v>2496.7676064256989</v>
      </c>
      <c r="K4674">
        <f t="shared" si="288"/>
        <v>5155.54</v>
      </c>
      <c r="L4674">
        <f t="shared" si="289"/>
        <v>5155.55</v>
      </c>
      <c r="M4674">
        <f t="shared" si="290"/>
        <v>5155.55</v>
      </c>
      <c r="N4674" s="5" t="str">
        <f t="shared" si="291"/>
        <v>November 2023</v>
      </c>
    </row>
    <row r="4675" spans="1:14" x14ac:dyDescent="0.25">
      <c r="A4675" s="1">
        <v>45242</v>
      </c>
      <c r="B4675" t="s">
        <v>373</v>
      </c>
      <c r="C4675">
        <v>32</v>
      </c>
      <c r="D4675" t="s">
        <v>14</v>
      </c>
      <c r="E4675" t="s">
        <v>25</v>
      </c>
      <c r="F4675" t="s">
        <v>11</v>
      </c>
      <c r="G4675" t="s">
        <v>17</v>
      </c>
      <c r="H4675">
        <v>1819.88</v>
      </c>
      <c r="I4675" s="8" t="str" cm="1">
        <f t="array" ref="I4675">_xlfn.IFS(C4675&lt;=15,"Children and Young Adolescents", C4675&gt;64, "Seniors", TRUE, "Working Age")</f>
        <v>Working Age</v>
      </c>
      <c r="J4675" s="6">
        <f>VLOOKUP(F4675,Analysis!$F$1:$G$5,2,FALSE)</f>
        <v>2503.6022787783854</v>
      </c>
      <c r="K4675">
        <f t="shared" ref="K4675:K4738" si="292">ROUNDDOWN(H4675*1.1,2)</f>
        <v>2001.86</v>
      </c>
      <c r="L4675">
        <f t="shared" ref="L4675:L4738" si="293">ROUNDUP(H4675*1.1,2)</f>
        <v>2001.87</v>
      </c>
      <c r="M4675">
        <f t="shared" ref="M4675:M4738" si="294">ROUND(H4675*1.1,2)</f>
        <v>2001.87</v>
      </c>
      <c r="N4675" s="5" t="str">
        <f t="shared" ref="N4675:N4738" si="295">TEXT(A4675,"mmmm yyyy")</f>
        <v>November 2023</v>
      </c>
    </row>
    <row r="4676" spans="1:14" x14ac:dyDescent="0.25">
      <c r="A4676" s="1">
        <v>45242</v>
      </c>
      <c r="B4676" t="s">
        <v>3703</v>
      </c>
      <c r="C4676">
        <v>35</v>
      </c>
      <c r="D4676" t="s">
        <v>14</v>
      </c>
      <c r="E4676" t="s">
        <v>15</v>
      </c>
      <c r="F4676" t="s">
        <v>29</v>
      </c>
      <c r="G4676" t="s">
        <v>17</v>
      </c>
      <c r="H4676">
        <v>3957.42</v>
      </c>
      <c r="I4676" s="8" t="str" cm="1">
        <f t="array" ref="I4676">_xlfn.IFS(C4676&lt;=15,"Children and Young Adolescents", C4676&gt;64, "Seniors", TRUE, "Working Age")</f>
        <v>Working Age</v>
      </c>
      <c r="J4676" s="6">
        <f>VLOOKUP(F4676,Analysis!$F$1:$G$5,2,FALSE)</f>
        <v>2496.7676064256989</v>
      </c>
      <c r="K4676">
        <f t="shared" si="292"/>
        <v>4353.16</v>
      </c>
      <c r="L4676">
        <f t="shared" si="293"/>
        <v>4353.17</v>
      </c>
      <c r="M4676">
        <f t="shared" si="294"/>
        <v>4353.16</v>
      </c>
      <c r="N4676" s="5" t="str">
        <f t="shared" si="295"/>
        <v>November 2023</v>
      </c>
    </row>
    <row r="4677" spans="1:14" x14ac:dyDescent="0.25">
      <c r="A4677" s="1">
        <v>45242</v>
      </c>
      <c r="B4677" t="s">
        <v>2967</v>
      </c>
      <c r="C4677">
        <v>82</v>
      </c>
      <c r="D4677" t="s">
        <v>14</v>
      </c>
      <c r="E4677" t="s">
        <v>22</v>
      </c>
      <c r="F4677" t="s">
        <v>16</v>
      </c>
      <c r="G4677" t="s">
        <v>12</v>
      </c>
      <c r="H4677">
        <v>1690.5</v>
      </c>
      <c r="I4677" s="8" t="str" cm="1">
        <f t="array" ref="I4677">_xlfn.IFS(C4677&lt;=15,"Children and Young Adolescents", C4677&gt;64, "Seniors", TRUE, "Working Age")</f>
        <v>Seniors</v>
      </c>
      <c r="J4677" s="6">
        <f>VLOOKUP(F4677,Analysis!$F$1:$G$5,2,FALSE)</f>
        <v>2509.1716796874912</v>
      </c>
      <c r="K4677">
        <f t="shared" si="292"/>
        <v>1859.55</v>
      </c>
      <c r="L4677">
        <f t="shared" si="293"/>
        <v>1859.55</v>
      </c>
      <c r="M4677">
        <f t="shared" si="294"/>
        <v>1859.55</v>
      </c>
      <c r="N4677" s="5" t="str">
        <f t="shared" si="295"/>
        <v>November 2023</v>
      </c>
    </row>
    <row r="4678" spans="1:14" x14ac:dyDescent="0.25">
      <c r="A4678" s="1">
        <v>45242</v>
      </c>
      <c r="B4678" t="s">
        <v>4884</v>
      </c>
      <c r="C4678">
        <v>44</v>
      </c>
      <c r="D4678" t="s">
        <v>21</v>
      </c>
      <c r="E4678" t="s">
        <v>19</v>
      </c>
      <c r="F4678" t="s">
        <v>23</v>
      </c>
      <c r="G4678" t="s">
        <v>12</v>
      </c>
      <c r="H4678">
        <v>1972.4</v>
      </c>
      <c r="I4678" s="8" t="str" cm="1">
        <f t="array" ref="I4678">_xlfn.IFS(C4678&lt;=15,"Children and Young Adolescents", C4678&gt;64, "Seniors", TRUE, "Working Age")</f>
        <v>Working Age</v>
      </c>
      <c r="J4678" s="6">
        <f>VLOOKUP(F4678,Analysis!$F$1:$G$5,2,FALSE)</f>
        <v>2440.2966694490838</v>
      </c>
      <c r="K4678">
        <f t="shared" si="292"/>
        <v>2169.64</v>
      </c>
      <c r="L4678">
        <f t="shared" si="293"/>
        <v>2169.64</v>
      </c>
      <c r="M4678">
        <f t="shared" si="294"/>
        <v>2169.64</v>
      </c>
      <c r="N4678" s="5" t="str">
        <f t="shared" si="295"/>
        <v>November 2023</v>
      </c>
    </row>
    <row r="4679" spans="1:14" x14ac:dyDescent="0.25">
      <c r="A4679" s="1">
        <v>45242</v>
      </c>
      <c r="B4679" t="s">
        <v>642</v>
      </c>
      <c r="C4679">
        <v>52</v>
      </c>
      <c r="D4679" t="s">
        <v>9</v>
      </c>
      <c r="E4679" t="s">
        <v>32</v>
      </c>
      <c r="F4679" t="s">
        <v>16</v>
      </c>
      <c r="G4679" t="s">
        <v>17</v>
      </c>
      <c r="H4679">
        <v>4690.3</v>
      </c>
      <c r="I4679" s="8" t="str" cm="1">
        <f t="array" ref="I4679">_xlfn.IFS(C4679&lt;=15,"Children and Young Adolescents", C4679&gt;64, "Seniors", TRUE, "Working Age")</f>
        <v>Working Age</v>
      </c>
      <c r="J4679" s="6">
        <f>VLOOKUP(F4679,Analysis!$F$1:$G$5,2,FALSE)</f>
        <v>2509.1716796874912</v>
      </c>
      <c r="K4679">
        <f t="shared" si="292"/>
        <v>5159.33</v>
      </c>
      <c r="L4679">
        <f t="shared" si="293"/>
        <v>5159.33</v>
      </c>
      <c r="M4679">
        <f t="shared" si="294"/>
        <v>5159.33</v>
      </c>
      <c r="N4679" s="5" t="str">
        <f t="shared" si="295"/>
        <v>November 2023</v>
      </c>
    </row>
    <row r="4680" spans="1:14" x14ac:dyDescent="0.25">
      <c r="A4680" s="1">
        <v>45243</v>
      </c>
      <c r="B4680" t="s">
        <v>1753</v>
      </c>
      <c r="C4680">
        <v>28</v>
      </c>
      <c r="D4680" t="s">
        <v>14</v>
      </c>
      <c r="E4680" t="s">
        <v>34</v>
      </c>
      <c r="F4680" t="s">
        <v>23</v>
      </c>
      <c r="G4680" t="s">
        <v>39</v>
      </c>
      <c r="H4680">
        <v>2452.7399999999998</v>
      </c>
      <c r="I4680" s="8" t="str" cm="1">
        <f t="array" ref="I4680">_xlfn.IFS(C4680&lt;=15,"Children and Young Adolescents", C4680&gt;64, "Seniors", TRUE, "Working Age")</f>
        <v>Working Age</v>
      </c>
      <c r="J4680" s="6">
        <f>VLOOKUP(F4680,Analysis!$F$1:$G$5,2,FALSE)</f>
        <v>2440.2966694490838</v>
      </c>
      <c r="K4680">
        <f t="shared" si="292"/>
        <v>2698.01</v>
      </c>
      <c r="L4680">
        <f t="shared" si="293"/>
        <v>2698.0200000000004</v>
      </c>
      <c r="M4680">
        <f t="shared" si="294"/>
        <v>2698.01</v>
      </c>
      <c r="N4680" s="5" t="str">
        <f t="shared" si="295"/>
        <v>November 2023</v>
      </c>
    </row>
    <row r="4681" spans="1:14" x14ac:dyDescent="0.25">
      <c r="A4681" s="1">
        <v>45243</v>
      </c>
      <c r="B4681" t="s">
        <v>2257</v>
      </c>
      <c r="C4681">
        <v>16</v>
      </c>
      <c r="D4681" t="s">
        <v>14</v>
      </c>
      <c r="E4681" t="s">
        <v>34</v>
      </c>
      <c r="F4681" t="s">
        <v>29</v>
      </c>
      <c r="G4681" t="s">
        <v>36</v>
      </c>
      <c r="H4681">
        <v>4052.34</v>
      </c>
      <c r="I4681" s="8" t="str" cm="1">
        <f t="array" ref="I4681">_xlfn.IFS(C4681&lt;=15,"Children and Young Adolescents", C4681&gt;64, "Seniors", TRUE, "Working Age")</f>
        <v>Working Age</v>
      </c>
      <c r="J4681" s="6">
        <f>VLOOKUP(F4681,Analysis!$F$1:$G$5,2,FALSE)</f>
        <v>2496.7676064256989</v>
      </c>
      <c r="K4681">
        <f t="shared" si="292"/>
        <v>4457.57</v>
      </c>
      <c r="L4681">
        <f t="shared" si="293"/>
        <v>4457.58</v>
      </c>
      <c r="M4681">
        <f t="shared" si="294"/>
        <v>4457.57</v>
      </c>
      <c r="N4681" s="5" t="str">
        <f t="shared" si="295"/>
        <v>November 2023</v>
      </c>
    </row>
    <row r="4682" spans="1:14" x14ac:dyDescent="0.25">
      <c r="A4682" s="1">
        <v>45243</v>
      </c>
      <c r="B4682" t="s">
        <v>3938</v>
      </c>
      <c r="C4682">
        <v>18</v>
      </c>
      <c r="D4682" t="s">
        <v>9</v>
      </c>
      <c r="E4682" t="s">
        <v>34</v>
      </c>
      <c r="F4682" t="s">
        <v>11</v>
      </c>
      <c r="G4682" t="s">
        <v>27</v>
      </c>
      <c r="H4682">
        <v>1662.08</v>
      </c>
      <c r="I4682" s="8" t="str" cm="1">
        <f t="array" ref="I4682">_xlfn.IFS(C4682&lt;=15,"Children and Young Adolescents", C4682&gt;64, "Seniors", TRUE, "Working Age")</f>
        <v>Working Age</v>
      </c>
      <c r="J4682" s="6">
        <f>VLOOKUP(F4682,Analysis!$F$1:$G$5,2,FALSE)</f>
        <v>2503.6022787783854</v>
      </c>
      <c r="K4682">
        <f t="shared" si="292"/>
        <v>1828.28</v>
      </c>
      <c r="L4682">
        <f t="shared" si="293"/>
        <v>1828.29</v>
      </c>
      <c r="M4682">
        <f t="shared" si="294"/>
        <v>1828.29</v>
      </c>
      <c r="N4682" s="5" t="str">
        <f t="shared" si="295"/>
        <v>November 2023</v>
      </c>
    </row>
    <row r="4683" spans="1:14" x14ac:dyDescent="0.25">
      <c r="A4683" s="1">
        <v>45243</v>
      </c>
      <c r="B4683" t="s">
        <v>149</v>
      </c>
      <c r="C4683">
        <v>21</v>
      </c>
      <c r="D4683" t="s">
        <v>9</v>
      </c>
      <c r="E4683" t="s">
        <v>25</v>
      </c>
      <c r="F4683" t="s">
        <v>29</v>
      </c>
      <c r="G4683" t="s">
        <v>12</v>
      </c>
      <c r="H4683">
        <v>1714.69</v>
      </c>
      <c r="I4683" s="8" t="str" cm="1">
        <f t="array" ref="I4683">_xlfn.IFS(C4683&lt;=15,"Children and Young Adolescents", C4683&gt;64, "Seniors", TRUE, "Working Age")</f>
        <v>Working Age</v>
      </c>
      <c r="J4683" s="6">
        <f>VLOOKUP(F4683,Analysis!$F$1:$G$5,2,FALSE)</f>
        <v>2496.7676064256989</v>
      </c>
      <c r="K4683">
        <f t="shared" si="292"/>
        <v>1886.15</v>
      </c>
      <c r="L4683">
        <f t="shared" si="293"/>
        <v>1886.16</v>
      </c>
      <c r="M4683">
        <f t="shared" si="294"/>
        <v>1886.16</v>
      </c>
      <c r="N4683" s="5" t="str">
        <f t="shared" si="295"/>
        <v>November 2023</v>
      </c>
    </row>
    <row r="4684" spans="1:14" x14ac:dyDescent="0.25">
      <c r="A4684" s="1">
        <v>45243</v>
      </c>
      <c r="B4684" t="s">
        <v>550</v>
      </c>
      <c r="C4684">
        <v>95</v>
      </c>
      <c r="D4684" t="s">
        <v>9</v>
      </c>
      <c r="E4684" t="s">
        <v>19</v>
      </c>
      <c r="F4684" t="s">
        <v>16</v>
      </c>
      <c r="G4684" t="s">
        <v>36</v>
      </c>
      <c r="H4684">
        <v>1409.34</v>
      </c>
      <c r="I4684" s="8" t="str" cm="1">
        <f t="array" ref="I4684">_xlfn.IFS(C4684&lt;=15,"Children and Young Adolescents", C4684&gt;64, "Seniors", TRUE, "Working Age")</f>
        <v>Seniors</v>
      </c>
      <c r="J4684" s="6">
        <f>VLOOKUP(F4684,Analysis!$F$1:$G$5,2,FALSE)</f>
        <v>2509.1716796874912</v>
      </c>
      <c r="K4684">
        <f t="shared" si="292"/>
        <v>1550.27</v>
      </c>
      <c r="L4684">
        <f t="shared" si="293"/>
        <v>1550.28</v>
      </c>
      <c r="M4684">
        <f t="shared" si="294"/>
        <v>1550.27</v>
      </c>
      <c r="N4684" s="5" t="str">
        <f t="shared" si="295"/>
        <v>November 2023</v>
      </c>
    </row>
    <row r="4685" spans="1:14" x14ac:dyDescent="0.25">
      <c r="A4685" s="1">
        <v>45244</v>
      </c>
      <c r="B4685" t="s">
        <v>2794</v>
      </c>
      <c r="C4685">
        <v>4</v>
      </c>
      <c r="D4685" t="s">
        <v>14</v>
      </c>
      <c r="E4685" t="s">
        <v>34</v>
      </c>
      <c r="F4685" t="s">
        <v>23</v>
      </c>
      <c r="G4685" t="s">
        <v>39</v>
      </c>
      <c r="H4685">
        <v>4539.63</v>
      </c>
      <c r="I4685" s="8" t="str" cm="1">
        <f t="array" ref="I4685">_xlfn.IFS(C4685&lt;=15,"Children and Young Adolescents", C4685&gt;64, "Seniors", TRUE, "Working Age")</f>
        <v>Children and Young Adolescents</v>
      </c>
      <c r="J4685" s="6">
        <f>VLOOKUP(F4685,Analysis!$F$1:$G$5,2,FALSE)</f>
        <v>2440.2966694490838</v>
      </c>
      <c r="K4685">
        <f t="shared" si="292"/>
        <v>4993.59</v>
      </c>
      <c r="L4685">
        <f t="shared" si="293"/>
        <v>4993.6000000000004</v>
      </c>
      <c r="M4685">
        <f t="shared" si="294"/>
        <v>4993.59</v>
      </c>
      <c r="N4685" s="5" t="str">
        <f t="shared" si="295"/>
        <v>November 2023</v>
      </c>
    </row>
    <row r="4686" spans="1:14" x14ac:dyDescent="0.25">
      <c r="A4686" s="1">
        <v>45244</v>
      </c>
      <c r="B4686" t="s">
        <v>1641</v>
      </c>
      <c r="C4686">
        <v>46</v>
      </c>
      <c r="D4686" t="s">
        <v>14</v>
      </c>
      <c r="E4686" t="s">
        <v>34</v>
      </c>
      <c r="F4686" t="s">
        <v>23</v>
      </c>
      <c r="G4686" t="s">
        <v>36</v>
      </c>
      <c r="H4686">
        <v>2643.52</v>
      </c>
      <c r="I4686" s="8" t="str" cm="1">
        <f t="array" ref="I4686">_xlfn.IFS(C4686&lt;=15,"Children and Young Adolescents", C4686&gt;64, "Seniors", TRUE, "Working Age")</f>
        <v>Working Age</v>
      </c>
      <c r="J4686" s="6">
        <f>VLOOKUP(F4686,Analysis!$F$1:$G$5,2,FALSE)</f>
        <v>2440.2966694490838</v>
      </c>
      <c r="K4686">
        <f t="shared" si="292"/>
        <v>2907.87</v>
      </c>
      <c r="L4686">
        <f t="shared" si="293"/>
        <v>2907.88</v>
      </c>
      <c r="M4686">
        <f t="shared" si="294"/>
        <v>2907.87</v>
      </c>
      <c r="N4686" s="5" t="str">
        <f t="shared" si="295"/>
        <v>November 2023</v>
      </c>
    </row>
    <row r="4687" spans="1:14" x14ac:dyDescent="0.25">
      <c r="A4687" s="1">
        <v>45244</v>
      </c>
      <c r="B4687" t="s">
        <v>309</v>
      </c>
      <c r="C4687">
        <v>17</v>
      </c>
      <c r="D4687" t="s">
        <v>9</v>
      </c>
      <c r="E4687" t="s">
        <v>25</v>
      </c>
      <c r="F4687" t="s">
        <v>11</v>
      </c>
      <c r="G4687" t="s">
        <v>27</v>
      </c>
      <c r="H4687">
        <v>484.03</v>
      </c>
      <c r="I4687" s="8" t="str" cm="1">
        <f t="array" ref="I4687">_xlfn.IFS(C4687&lt;=15,"Children and Young Adolescents", C4687&gt;64, "Seniors", TRUE, "Working Age")</f>
        <v>Working Age</v>
      </c>
      <c r="J4687" s="6">
        <f>VLOOKUP(F4687,Analysis!$F$1:$G$5,2,FALSE)</f>
        <v>2503.6022787783854</v>
      </c>
      <c r="K4687">
        <f t="shared" si="292"/>
        <v>532.42999999999995</v>
      </c>
      <c r="L4687">
        <f t="shared" si="293"/>
        <v>532.43999999999994</v>
      </c>
      <c r="M4687">
        <f t="shared" si="294"/>
        <v>532.42999999999995</v>
      </c>
      <c r="N4687" s="5" t="str">
        <f t="shared" si="295"/>
        <v>November 2023</v>
      </c>
    </row>
    <row r="4688" spans="1:14" x14ac:dyDescent="0.25">
      <c r="A4688" s="1">
        <v>45244</v>
      </c>
      <c r="B4688" t="s">
        <v>2434</v>
      </c>
      <c r="C4688">
        <v>4</v>
      </c>
      <c r="D4688" t="s">
        <v>14</v>
      </c>
      <c r="E4688" t="s">
        <v>5032</v>
      </c>
      <c r="F4688" t="s">
        <v>29</v>
      </c>
      <c r="G4688" t="s">
        <v>39</v>
      </c>
      <c r="H4688">
        <v>2915.86</v>
      </c>
      <c r="I4688" s="8" t="str" cm="1">
        <f t="array" ref="I4688">_xlfn.IFS(C4688&lt;=15,"Children and Young Adolescents", C4688&gt;64, "Seniors", TRUE, "Working Age")</f>
        <v>Children and Young Adolescents</v>
      </c>
      <c r="J4688" s="6">
        <f>VLOOKUP(F4688,Analysis!$F$1:$G$5,2,FALSE)</f>
        <v>2496.7676064256989</v>
      </c>
      <c r="K4688">
        <f t="shared" si="292"/>
        <v>3207.44</v>
      </c>
      <c r="L4688">
        <f t="shared" si="293"/>
        <v>3207.4500000000003</v>
      </c>
      <c r="M4688">
        <f t="shared" si="294"/>
        <v>3207.45</v>
      </c>
      <c r="N4688" s="5" t="str">
        <f t="shared" si="295"/>
        <v>November 2023</v>
      </c>
    </row>
    <row r="4689" spans="1:14" x14ac:dyDescent="0.25">
      <c r="A4689" s="1">
        <v>45244</v>
      </c>
      <c r="B4689" t="s">
        <v>2040</v>
      </c>
      <c r="C4689">
        <v>1</v>
      </c>
      <c r="D4689" t="s">
        <v>21</v>
      </c>
      <c r="E4689" t="s">
        <v>25</v>
      </c>
      <c r="F4689" t="s">
        <v>16</v>
      </c>
      <c r="G4689" t="s">
        <v>27</v>
      </c>
      <c r="H4689">
        <v>4173.68</v>
      </c>
      <c r="I4689" s="8" t="str" cm="1">
        <f t="array" ref="I4689">_xlfn.IFS(C4689&lt;=15,"Children and Young Adolescents", C4689&gt;64, "Seniors", TRUE, "Working Age")</f>
        <v>Children and Young Adolescents</v>
      </c>
      <c r="J4689" s="6">
        <f>VLOOKUP(F4689,Analysis!$F$1:$G$5,2,FALSE)</f>
        <v>2509.1716796874912</v>
      </c>
      <c r="K4689">
        <f t="shared" si="292"/>
        <v>4591.04</v>
      </c>
      <c r="L4689">
        <f t="shared" si="293"/>
        <v>4591.05</v>
      </c>
      <c r="M4689">
        <f t="shared" si="294"/>
        <v>4591.05</v>
      </c>
      <c r="N4689" s="5" t="str">
        <f t="shared" si="295"/>
        <v>November 2023</v>
      </c>
    </row>
    <row r="4690" spans="1:14" x14ac:dyDescent="0.25">
      <c r="A4690" s="1">
        <v>45244</v>
      </c>
      <c r="B4690" t="s">
        <v>4409</v>
      </c>
      <c r="C4690">
        <v>33</v>
      </c>
      <c r="D4690" t="s">
        <v>9</v>
      </c>
      <c r="E4690" t="s">
        <v>32</v>
      </c>
      <c r="F4690" t="s">
        <v>23</v>
      </c>
      <c r="G4690" t="s">
        <v>39</v>
      </c>
      <c r="H4690">
        <v>389.68</v>
      </c>
      <c r="I4690" s="8" t="str" cm="1">
        <f t="array" ref="I4690">_xlfn.IFS(C4690&lt;=15,"Children and Young Adolescents", C4690&gt;64, "Seniors", TRUE, "Working Age")</f>
        <v>Working Age</v>
      </c>
      <c r="J4690" s="6">
        <f>VLOOKUP(F4690,Analysis!$F$1:$G$5,2,FALSE)</f>
        <v>2440.2966694490838</v>
      </c>
      <c r="K4690">
        <f t="shared" si="292"/>
        <v>428.64</v>
      </c>
      <c r="L4690">
        <f t="shared" si="293"/>
        <v>428.65</v>
      </c>
      <c r="M4690">
        <f t="shared" si="294"/>
        <v>428.65</v>
      </c>
      <c r="N4690" s="5" t="str">
        <f t="shared" si="295"/>
        <v>November 2023</v>
      </c>
    </row>
    <row r="4691" spans="1:14" x14ac:dyDescent="0.25">
      <c r="A4691" s="1">
        <v>45244</v>
      </c>
      <c r="B4691" t="s">
        <v>4545</v>
      </c>
      <c r="C4691">
        <v>47</v>
      </c>
      <c r="D4691" t="s">
        <v>14</v>
      </c>
      <c r="E4691" t="s">
        <v>10</v>
      </c>
      <c r="F4691" t="s">
        <v>11</v>
      </c>
      <c r="G4691" t="s">
        <v>39</v>
      </c>
      <c r="H4691">
        <v>3656.75</v>
      </c>
      <c r="I4691" s="8" t="str" cm="1">
        <f t="array" ref="I4691">_xlfn.IFS(C4691&lt;=15,"Children and Young Adolescents", C4691&gt;64, "Seniors", TRUE, "Working Age")</f>
        <v>Working Age</v>
      </c>
      <c r="J4691" s="6">
        <f>VLOOKUP(F4691,Analysis!$F$1:$G$5,2,FALSE)</f>
        <v>2503.6022787783854</v>
      </c>
      <c r="K4691">
        <f t="shared" si="292"/>
        <v>4022.42</v>
      </c>
      <c r="L4691">
        <f t="shared" si="293"/>
        <v>4022.4300000000003</v>
      </c>
      <c r="M4691">
        <f t="shared" si="294"/>
        <v>4022.43</v>
      </c>
      <c r="N4691" s="5" t="str">
        <f t="shared" si="295"/>
        <v>November 2023</v>
      </c>
    </row>
    <row r="4692" spans="1:14" x14ac:dyDescent="0.25">
      <c r="A4692" s="1">
        <v>45244</v>
      </c>
      <c r="B4692" t="s">
        <v>3851</v>
      </c>
      <c r="C4692">
        <v>6</v>
      </c>
      <c r="D4692" t="s">
        <v>21</v>
      </c>
      <c r="E4692" t="s">
        <v>10</v>
      </c>
      <c r="F4692" t="s">
        <v>23</v>
      </c>
      <c r="G4692" t="s">
        <v>39</v>
      </c>
      <c r="H4692">
        <v>2056</v>
      </c>
      <c r="I4692" s="8" t="str" cm="1">
        <f t="array" ref="I4692">_xlfn.IFS(C4692&lt;=15,"Children and Young Adolescents", C4692&gt;64, "Seniors", TRUE, "Working Age")</f>
        <v>Children and Young Adolescents</v>
      </c>
      <c r="J4692" s="6">
        <f>VLOOKUP(F4692,Analysis!$F$1:$G$5,2,FALSE)</f>
        <v>2440.2966694490838</v>
      </c>
      <c r="K4692">
        <f t="shared" si="292"/>
        <v>2261.6</v>
      </c>
      <c r="L4692">
        <f t="shared" si="293"/>
        <v>2261.6</v>
      </c>
      <c r="M4692">
        <f t="shared" si="294"/>
        <v>2261.6</v>
      </c>
      <c r="N4692" s="5" t="str">
        <f t="shared" si="295"/>
        <v>November 2023</v>
      </c>
    </row>
    <row r="4693" spans="1:14" x14ac:dyDescent="0.25">
      <c r="A4693" s="1">
        <v>45244</v>
      </c>
      <c r="B4693" t="s">
        <v>936</v>
      </c>
      <c r="C4693">
        <v>46</v>
      </c>
      <c r="D4693" t="s">
        <v>14</v>
      </c>
      <c r="E4693" t="s">
        <v>22</v>
      </c>
      <c r="F4693" t="s">
        <v>11</v>
      </c>
      <c r="G4693" t="s">
        <v>39</v>
      </c>
      <c r="H4693">
        <v>691.8</v>
      </c>
      <c r="I4693" s="8" t="str" cm="1">
        <f t="array" ref="I4693">_xlfn.IFS(C4693&lt;=15,"Children and Young Adolescents", C4693&gt;64, "Seniors", TRUE, "Working Age")</f>
        <v>Working Age</v>
      </c>
      <c r="J4693" s="6">
        <f>VLOOKUP(F4693,Analysis!$F$1:$G$5,2,FALSE)</f>
        <v>2503.6022787783854</v>
      </c>
      <c r="K4693">
        <f t="shared" si="292"/>
        <v>760.98</v>
      </c>
      <c r="L4693">
        <f t="shared" si="293"/>
        <v>760.98</v>
      </c>
      <c r="M4693">
        <f t="shared" si="294"/>
        <v>760.98</v>
      </c>
      <c r="N4693" s="5" t="str">
        <f t="shared" si="295"/>
        <v>November 2023</v>
      </c>
    </row>
    <row r="4694" spans="1:14" x14ac:dyDescent="0.25">
      <c r="A4694" s="1">
        <v>45244</v>
      </c>
      <c r="B4694" t="s">
        <v>763</v>
      </c>
      <c r="C4694">
        <v>97</v>
      </c>
      <c r="D4694" t="s">
        <v>14</v>
      </c>
      <c r="E4694" t="s">
        <v>34</v>
      </c>
      <c r="F4694" t="s">
        <v>23</v>
      </c>
      <c r="G4694" t="s">
        <v>36</v>
      </c>
      <c r="H4694">
        <v>4343.45</v>
      </c>
      <c r="I4694" s="8" t="str" cm="1">
        <f t="array" ref="I4694">_xlfn.IFS(C4694&lt;=15,"Children and Young Adolescents", C4694&gt;64, "Seniors", TRUE, "Working Age")</f>
        <v>Seniors</v>
      </c>
      <c r="J4694" s="6">
        <f>VLOOKUP(F4694,Analysis!$F$1:$G$5,2,FALSE)</f>
        <v>2440.2966694490838</v>
      </c>
      <c r="K4694">
        <f t="shared" si="292"/>
        <v>4777.79</v>
      </c>
      <c r="L4694">
        <f t="shared" si="293"/>
        <v>4777.8</v>
      </c>
      <c r="M4694">
        <f t="shared" si="294"/>
        <v>4777.8</v>
      </c>
      <c r="N4694" s="5" t="str">
        <f t="shared" si="295"/>
        <v>November 2023</v>
      </c>
    </row>
    <row r="4695" spans="1:14" x14ac:dyDescent="0.25">
      <c r="A4695" s="1">
        <v>45244</v>
      </c>
      <c r="B4695" t="s">
        <v>3823</v>
      </c>
      <c r="C4695">
        <v>58</v>
      </c>
      <c r="D4695" t="s">
        <v>21</v>
      </c>
      <c r="E4695" t="s">
        <v>22</v>
      </c>
      <c r="F4695" t="s">
        <v>16</v>
      </c>
      <c r="G4695" t="s">
        <v>12</v>
      </c>
      <c r="H4695">
        <v>1313.38</v>
      </c>
      <c r="I4695" s="8" t="str" cm="1">
        <f t="array" ref="I4695">_xlfn.IFS(C4695&lt;=15,"Children and Young Adolescents", C4695&gt;64, "Seniors", TRUE, "Working Age")</f>
        <v>Working Age</v>
      </c>
      <c r="J4695" s="6">
        <f>VLOOKUP(F4695,Analysis!$F$1:$G$5,2,FALSE)</f>
        <v>2509.1716796874912</v>
      </c>
      <c r="K4695">
        <f t="shared" si="292"/>
        <v>1444.71</v>
      </c>
      <c r="L4695">
        <f t="shared" si="293"/>
        <v>1444.72</v>
      </c>
      <c r="M4695">
        <f t="shared" si="294"/>
        <v>1444.72</v>
      </c>
      <c r="N4695" s="5" t="str">
        <f t="shared" si="295"/>
        <v>November 2023</v>
      </c>
    </row>
    <row r="4696" spans="1:14" x14ac:dyDescent="0.25">
      <c r="A4696" s="1">
        <v>45244</v>
      </c>
      <c r="B4696" t="s">
        <v>2975</v>
      </c>
      <c r="C4696">
        <v>28</v>
      </c>
      <c r="D4696" t="s">
        <v>21</v>
      </c>
      <c r="E4696" t="s">
        <v>5032</v>
      </c>
      <c r="F4696" t="s">
        <v>11</v>
      </c>
      <c r="G4696" t="s">
        <v>12</v>
      </c>
      <c r="H4696">
        <v>466.09</v>
      </c>
      <c r="I4696" s="8" t="str" cm="1">
        <f t="array" ref="I4696">_xlfn.IFS(C4696&lt;=15,"Children and Young Adolescents", C4696&gt;64, "Seniors", TRUE, "Working Age")</f>
        <v>Working Age</v>
      </c>
      <c r="J4696" s="6">
        <f>VLOOKUP(F4696,Analysis!$F$1:$G$5,2,FALSE)</f>
        <v>2503.6022787783854</v>
      </c>
      <c r="K4696">
        <f t="shared" si="292"/>
        <v>512.69000000000005</v>
      </c>
      <c r="L4696">
        <f t="shared" si="293"/>
        <v>512.70000000000005</v>
      </c>
      <c r="M4696">
        <f t="shared" si="294"/>
        <v>512.70000000000005</v>
      </c>
      <c r="N4696" s="5" t="str">
        <f t="shared" si="295"/>
        <v>November 2023</v>
      </c>
    </row>
    <row r="4697" spans="1:14" x14ac:dyDescent="0.25">
      <c r="A4697" s="1">
        <v>45244</v>
      </c>
      <c r="B4697" t="s">
        <v>3811</v>
      </c>
      <c r="C4697">
        <v>50</v>
      </c>
      <c r="D4697" t="s">
        <v>14</v>
      </c>
      <c r="E4697" t="s">
        <v>34</v>
      </c>
      <c r="F4697" t="s">
        <v>29</v>
      </c>
      <c r="G4697" t="s">
        <v>36</v>
      </c>
      <c r="H4697">
        <v>992.61</v>
      </c>
      <c r="I4697" s="8" t="str" cm="1">
        <f t="array" ref="I4697">_xlfn.IFS(C4697&lt;=15,"Children and Young Adolescents", C4697&gt;64, "Seniors", TRUE, "Working Age")</f>
        <v>Working Age</v>
      </c>
      <c r="J4697" s="6">
        <f>VLOOKUP(F4697,Analysis!$F$1:$G$5,2,FALSE)</f>
        <v>2496.7676064256989</v>
      </c>
      <c r="K4697">
        <f t="shared" si="292"/>
        <v>1091.8699999999999</v>
      </c>
      <c r="L4697">
        <f t="shared" si="293"/>
        <v>1091.8799999999999</v>
      </c>
      <c r="M4697">
        <f t="shared" si="294"/>
        <v>1091.8699999999999</v>
      </c>
      <c r="N4697" s="5" t="str">
        <f t="shared" si="295"/>
        <v>November 2023</v>
      </c>
    </row>
    <row r="4698" spans="1:14" x14ac:dyDescent="0.25">
      <c r="A4698" s="1">
        <v>45245</v>
      </c>
      <c r="B4698" t="s">
        <v>2556</v>
      </c>
      <c r="C4698">
        <v>68</v>
      </c>
      <c r="D4698" t="s">
        <v>21</v>
      </c>
      <c r="E4698" t="s">
        <v>10</v>
      </c>
      <c r="F4698" t="s">
        <v>16</v>
      </c>
      <c r="G4698" t="s">
        <v>36</v>
      </c>
      <c r="H4698">
        <v>1990.37</v>
      </c>
      <c r="I4698" s="8" t="str" cm="1">
        <f t="array" ref="I4698">_xlfn.IFS(C4698&lt;=15,"Children and Young Adolescents", C4698&gt;64, "Seniors", TRUE, "Working Age")</f>
        <v>Seniors</v>
      </c>
      <c r="J4698" s="6">
        <f>VLOOKUP(F4698,Analysis!$F$1:$G$5,2,FALSE)</f>
        <v>2509.1716796874912</v>
      </c>
      <c r="K4698">
        <f t="shared" si="292"/>
        <v>2189.4</v>
      </c>
      <c r="L4698">
        <f t="shared" si="293"/>
        <v>2189.4100000000003</v>
      </c>
      <c r="M4698">
        <f t="shared" si="294"/>
        <v>2189.41</v>
      </c>
      <c r="N4698" s="5" t="str">
        <f t="shared" si="295"/>
        <v>November 2023</v>
      </c>
    </row>
    <row r="4699" spans="1:14" x14ac:dyDescent="0.25">
      <c r="A4699" s="1">
        <v>45245</v>
      </c>
      <c r="B4699" t="s">
        <v>3056</v>
      </c>
      <c r="C4699">
        <v>95</v>
      </c>
      <c r="D4699" t="s">
        <v>9</v>
      </c>
      <c r="E4699" t="s">
        <v>32</v>
      </c>
      <c r="F4699" t="s">
        <v>23</v>
      </c>
      <c r="G4699" t="s">
        <v>12</v>
      </c>
      <c r="H4699">
        <v>1698.54</v>
      </c>
      <c r="I4699" s="8" t="str" cm="1">
        <f t="array" ref="I4699">_xlfn.IFS(C4699&lt;=15,"Children and Young Adolescents", C4699&gt;64, "Seniors", TRUE, "Working Age")</f>
        <v>Seniors</v>
      </c>
      <c r="J4699" s="6">
        <f>VLOOKUP(F4699,Analysis!$F$1:$G$5,2,FALSE)</f>
        <v>2440.2966694490838</v>
      </c>
      <c r="K4699">
        <f t="shared" si="292"/>
        <v>1868.39</v>
      </c>
      <c r="L4699">
        <f t="shared" si="293"/>
        <v>1868.4</v>
      </c>
      <c r="M4699">
        <f t="shared" si="294"/>
        <v>1868.39</v>
      </c>
      <c r="N4699" s="5" t="str">
        <f t="shared" si="295"/>
        <v>November 2023</v>
      </c>
    </row>
    <row r="4700" spans="1:14" x14ac:dyDescent="0.25">
      <c r="A4700" s="1">
        <v>45245</v>
      </c>
      <c r="B4700" t="s">
        <v>670</v>
      </c>
      <c r="C4700">
        <v>39</v>
      </c>
      <c r="D4700" t="s">
        <v>14</v>
      </c>
      <c r="E4700" t="s">
        <v>32</v>
      </c>
      <c r="F4700" t="s">
        <v>23</v>
      </c>
      <c r="G4700" t="s">
        <v>5033</v>
      </c>
      <c r="H4700">
        <v>1256.68</v>
      </c>
      <c r="I4700" s="8" t="str" cm="1">
        <f t="array" ref="I4700">_xlfn.IFS(C4700&lt;=15,"Children and Young Adolescents", C4700&gt;64, "Seniors", TRUE, "Working Age")</f>
        <v>Working Age</v>
      </c>
      <c r="J4700" s="6">
        <f>VLOOKUP(F4700,Analysis!$F$1:$G$5,2,FALSE)</f>
        <v>2440.2966694490838</v>
      </c>
      <c r="K4700">
        <f t="shared" si="292"/>
        <v>1382.34</v>
      </c>
      <c r="L4700">
        <f t="shared" si="293"/>
        <v>1382.35</v>
      </c>
      <c r="M4700">
        <f t="shared" si="294"/>
        <v>1382.35</v>
      </c>
      <c r="N4700" s="5" t="str">
        <f t="shared" si="295"/>
        <v>November 2023</v>
      </c>
    </row>
    <row r="4701" spans="1:14" x14ac:dyDescent="0.25">
      <c r="A4701" s="1">
        <v>45245</v>
      </c>
      <c r="B4701" t="s">
        <v>2188</v>
      </c>
      <c r="C4701">
        <v>80</v>
      </c>
      <c r="D4701" t="s">
        <v>9</v>
      </c>
      <c r="E4701" t="s">
        <v>5032</v>
      </c>
      <c r="F4701" t="s">
        <v>23</v>
      </c>
      <c r="G4701" t="s">
        <v>36</v>
      </c>
      <c r="H4701">
        <v>2051.96</v>
      </c>
      <c r="I4701" s="8" t="str" cm="1">
        <f t="array" ref="I4701">_xlfn.IFS(C4701&lt;=15,"Children and Young Adolescents", C4701&gt;64, "Seniors", TRUE, "Working Age")</f>
        <v>Seniors</v>
      </c>
      <c r="J4701" s="6">
        <f>VLOOKUP(F4701,Analysis!$F$1:$G$5,2,FALSE)</f>
        <v>2440.2966694490838</v>
      </c>
      <c r="K4701">
        <f t="shared" si="292"/>
        <v>2257.15</v>
      </c>
      <c r="L4701">
        <f t="shared" si="293"/>
        <v>2257.1600000000003</v>
      </c>
      <c r="M4701">
        <f t="shared" si="294"/>
        <v>2257.16</v>
      </c>
      <c r="N4701" s="5" t="str">
        <f t="shared" si="295"/>
        <v>November 2023</v>
      </c>
    </row>
    <row r="4702" spans="1:14" x14ac:dyDescent="0.25">
      <c r="A4702" s="1">
        <v>45245</v>
      </c>
      <c r="B4702" t="s">
        <v>578</v>
      </c>
      <c r="C4702">
        <v>73</v>
      </c>
      <c r="D4702" t="s">
        <v>21</v>
      </c>
      <c r="E4702" t="s">
        <v>10</v>
      </c>
      <c r="F4702" t="s">
        <v>16</v>
      </c>
      <c r="G4702" t="s">
        <v>12</v>
      </c>
      <c r="H4702">
        <v>4743.1099999999997</v>
      </c>
      <c r="I4702" s="8" t="str" cm="1">
        <f t="array" ref="I4702">_xlfn.IFS(C4702&lt;=15,"Children and Young Adolescents", C4702&gt;64, "Seniors", TRUE, "Working Age")</f>
        <v>Seniors</v>
      </c>
      <c r="J4702" s="6">
        <f>VLOOKUP(F4702,Analysis!$F$1:$G$5,2,FALSE)</f>
        <v>2509.1716796874912</v>
      </c>
      <c r="K4702">
        <f t="shared" si="292"/>
        <v>5217.42</v>
      </c>
      <c r="L4702">
        <f t="shared" si="293"/>
        <v>5217.43</v>
      </c>
      <c r="M4702">
        <f t="shared" si="294"/>
        <v>5217.42</v>
      </c>
      <c r="N4702" s="5" t="str">
        <f t="shared" si="295"/>
        <v>November 2023</v>
      </c>
    </row>
    <row r="4703" spans="1:14" x14ac:dyDescent="0.25">
      <c r="A4703" s="1">
        <v>45246</v>
      </c>
      <c r="B4703" t="s">
        <v>1559</v>
      </c>
      <c r="C4703">
        <v>6</v>
      </c>
      <c r="D4703" t="s">
        <v>9</v>
      </c>
      <c r="E4703" t="s">
        <v>34</v>
      </c>
      <c r="F4703" t="s">
        <v>23</v>
      </c>
      <c r="G4703" t="s">
        <v>17</v>
      </c>
      <c r="H4703">
        <v>4279.3599999999997</v>
      </c>
      <c r="I4703" s="8" t="str" cm="1">
        <f t="array" ref="I4703">_xlfn.IFS(C4703&lt;=15,"Children and Young Adolescents", C4703&gt;64, "Seniors", TRUE, "Working Age")</f>
        <v>Children and Young Adolescents</v>
      </c>
      <c r="J4703" s="6">
        <f>VLOOKUP(F4703,Analysis!$F$1:$G$5,2,FALSE)</f>
        <v>2440.2966694490838</v>
      </c>
      <c r="K4703">
        <f t="shared" si="292"/>
        <v>4707.29</v>
      </c>
      <c r="L4703">
        <f t="shared" si="293"/>
        <v>4707.3</v>
      </c>
      <c r="M4703">
        <f t="shared" si="294"/>
        <v>4707.3</v>
      </c>
      <c r="N4703" s="5" t="str">
        <f t="shared" si="295"/>
        <v>November 2023</v>
      </c>
    </row>
    <row r="4704" spans="1:14" x14ac:dyDescent="0.25">
      <c r="A4704" s="1">
        <v>45246</v>
      </c>
      <c r="B4704" t="s">
        <v>3355</v>
      </c>
      <c r="C4704">
        <v>45</v>
      </c>
      <c r="D4704" t="s">
        <v>14</v>
      </c>
      <c r="E4704" t="s">
        <v>22</v>
      </c>
      <c r="F4704" t="s">
        <v>16</v>
      </c>
      <c r="G4704" t="s">
        <v>39</v>
      </c>
      <c r="H4704">
        <v>1660.05</v>
      </c>
      <c r="I4704" s="8" t="str" cm="1">
        <f t="array" ref="I4704">_xlfn.IFS(C4704&lt;=15,"Children and Young Adolescents", C4704&gt;64, "Seniors", TRUE, "Working Age")</f>
        <v>Working Age</v>
      </c>
      <c r="J4704" s="6">
        <f>VLOOKUP(F4704,Analysis!$F$1:$G$5,2,FALSE)</f>
        <v>2509.1716796874912</v>
      </c>
      <c r="K4704">
        <f t="shared" si="292"/>
        <v>1826.05</v>
      </c>
      <c r="L4704">
        <f t="shared" si="293"/>
        <v>1826.06</v>
      </c>
      <c r="M4704">
        <f t="shared" si="294"/>
        <v>1826.06</v>
      </c>
      <c r="N4704" s="5" t="str">
        <f t="shared" si="295"/>
        <v>November 2023</v>
      </c>
    </row>
    <row r="4705" spans="1:14" x14ac:dyDescent="0.25">
      <c r="A4705" s="1">
        <v>45247</v>
      </c>
      <c r="B4705" t="s">
        <v>1040</v>
      </c>
      <c r="C4705">
        <v>80</v>
      </c>
      <c r="D4705" t="s">
        <v>21</v>
      </c>
      <c r="E4705" t="s">
        <v>25</v>
      </c>
      <c r="F4705" t="s">
        <v>23</v>
      </c>
      <c r="G4705" t="s">
        <v>36</v>
      </c>
      <c r="H4705">
        <v>639.9</v>
      </c>
      <c r="I4705" s="8" t="str" cm="1">
        <f t="array" ref="I4705">_xlfn.IFS(C4705&lt;=15,"Children and Young Adolescents", C4705&gt;64, "Seniors", TRUE, "Working Age")</f>
        <v>Seniors</v>
      </c>
      <c r="J4705" s="6">
        <f>VLOOKUP(F4705,Analysis!$F$1:$G$5,2,FALSE)</f>
        <v>2440.2966694490838</v>
      </c>
      <c r="K4705">
        <f t="shared" si="292"/>
        <v>703.89</v>
      </c>
      <c r="L4705">
        <f t="shared" si="293"/>
        <v>703.89</v>
      </c>
      <c r="M4705">
        <f t="shared" si="294"/>
        <v>703.89</v>
      </c>
      <c r="N4705" s="5" t="str">
        <f t="shared" si="295"/>
        <v>November 2023</v>
      </c>
    </row>
    <row r="4706" spans="1:14" x14ac:dyDescent="0.25">
      <c r="A4706" s="1">
        <v>45247</v>
      </c>
      <c r="B4706" t="s">
        <v>4673</v>
      </c>
      <c r="C4706">
        <v>96</v>
      </c>
      <c r="D4706" t="s">
        <v>9</v>
      </c>
      <c r="E4706" t="s">
        <v>34</v>
      </c>
      <c r="F4706" t="s">
        <v>16</v>
      </c>
      <c r="G4706" t="s">
        <v>27</v>
      </c>
      <c r="H4706">
        <v>736.2</v>
      </c>
      <c r="I4706" s="8" t="str" cm="1">
        <f t="array" ref="I4706">_xlfn.IFS(C4706&lt;=15,"Children and Young Adolescents", C4706&gt;64, "Seniors", TRUE, "Working Age")</f>
        <v>Seniors</v>
      </c>
      <c r="J4706" s="6">
        <f>VLOOKUP(F4706,Analysis!$F$1:$G$5,2,FALSE)</f>
        <v>2509.1716796874912</v>
      </c>
      <c r="K4706">
        <f t="shared" si="292"/>
        <v>809.82</v>
      </c>
      <c r="L4706">
        <f t="shared" si="293"/>
        <v>809.82</v>
      </c>
      <c r="M4706">
        <f t="shared" si="294"/>
        <v>809.82</v>
      </c>
      <c r="N4706" s="5" t="str">
        <f t="shared" si="295"/>
        <v>November 2023</v>
      </c>
    </row>
    <row r="4707" spans="1:14" x14ac:dyDescent="0.25">
      <c r="A4707" s="1">
        <v>45248</v>
      </c>
      <c r="B4707" t="s">
        <v>365</v>
      </c>
      <c r="C4707">
        <v>48</v>
      </c>
      <c r="D4707" t="s">
        <v>14</v>
      </c>
      <c r="E4707" t="s">
        <v>15</v>
      </c>
      <c r="F4707" t="s">
        <v>23</v>
      </c>
      <c r="G4707" t="s">
        <v>27</v>
      </c>
      <c r="H4707">
        <v>1135.69</v>
      </c>
      <c r="I4707" s="8" t="str" cm="1">
        <f t="array" ref="I4707">_xlfn.IFS(C4707&lt;=15,"Children and Young Adolescents", C4707&gt;64, "Seniors", TRUE, "Working Age")</f>
        <v>Working Age</v>
      </c>
      <c r="J4707" s="6">
        <f>VLOOKUP(F4707,Analysis!$F$1:$G$5,2,FALSE)</f>
        <v>2440.2966694490838</v>
      </c>
      <c r="K4707">
        <f t="shared" si="292"/>
        <v>1249.25</v>
      </c>
      <c r="L4707">
        <f t="shared" si="293"/>
        <v>1249.26</v>
      </c>
      <c r="M4707">
        <f t="shared" si="294"/>
        <v>1249.26</v>
      </c>
      <c r="N4707" s="5" t="str">
        <f t="shared" si="295"/>
        <v>November 2023</v>
      </c>
    </row>
    <row r="4708" spans="1:14" x14ac:dyDescent="0.25">
      <c r="A4708" s="1">
        <v>45248</v>
      </c>
      <c r="B4708" t="s">
        <v>4835</v>
      </c>
      <c r="C4708">
        <v>97</v>
      </c>
      <c r="D4708" t="s">
        <v>9</v>
      </c>
      <c r="E4708" t="s">
        <v>22</v>
      </c>
      <c r="F4708" t="s">
        <v>29</v>
      </c>
      <c r="G4708" t="s">
        <v>39</v>
      </c>
      <c r="H4708">
        <v>1168.8499999999999</v>
      </c>
      <c r="I4708" s="8" t="str" cm="1">
        <f t="array" ref="I4708">_xlfn.IFS(C4708&lt;=15,"Children and Young Adolescents", C4708&gt;64, "Seniors", TRUE, "Working Age")</f>
        <v>Seniors</v>
      </c>
      <c r="J4708" s="6">
        <f>VLOOKUP(F4708,Analysis!$F$1:$G$5,2,FALSE)</f>
        <v>2496.7676064256989</v>
      </c>
      <c r="K4708">
        <f t="shared" si="292"/>
        <v>1285.73</v>
      </c>
      <c r="L4708">
        <f t="shared" si="293"/>
        <v>1285.74</v>
      </c>
      <c r="M4708">
        <f t="shared" si="294"/>
        <v>1285.74</v>
      </c>
      <c r="N4708" s="5" t="str">
        <f t="shared" si="295"/>
        <v>November 2023</v>
      </c>
    </row>
    <row r="4709" spans="1:14" x14ac:dyDescent="0.25">
      <c r="A4709" s="1">
        <v>45248</v>
      </c>
      <c r="B4709" t="s">
        <v>1930</v>
      </c>
      <c r="C4709">
        <v>0</v>
      </c>
      <c r="D4709" t="s">
        <v>14</v>
      </c>
      <c r="E4709" t="s">
        <v>22</v>
      </c>
      <c r="F4709" t="s">
        <v>23</v>
      </c>
      <c r="G4709" t="s">
        <v>27</v>
      </c>
      <c r="H4709">
        <v>1659.97</v>
      </c>
      <c r="I4709" s="8" t="str" cm="1">
        <f t="array" ref="I4709">_xlfn.IFS(C4709&lt;=15,"Children and Young Adolescents", C4709&gt;64, "Seniors", TRUE, "Working Age")</f>
        <v>Children and Young Adolescents</v>
      </c>
      <c r="J4709" s="6">
        <f>VLOOKUP(F4709,Analysis!$F$1:$G$5,2,FALSE)</f>
        <v>2440.2966694490838</v>
      </c>
      <c r="K4709">
        <f t="shared" si="292"/>
        <v>1825.96</v>
      </c>
      <c r="L4709">
        <f t="shared" si="293"/>
        <v>1825.97</v>
      </c>
      <c r="M4709">
        <f t="shared" si="294"/>
        <v>1825.97</v>
      </c>
      <c r="N4709" s="5" t="str">
        <f t="shared" si="295"/>
        <v>November 2023</v>
      </c>
    </row>
    <row r="4710" spans="1:14" x14ac:dyDescent="0.25">
      <c r="A4710" s="1">
        <v>45248</v>
      </c>
      <c r="B4710" t="s">
        <v>2607</v>
      </c>
      <c r="C4710">
        <v>1</v>
      </c>
      <c r="D4710" t="s">
        <v>14</v>
      </c>
      <c r="E4710" t="s">
        <v>25</v>
      </c>
      <c r="F4710" t="s">
        <v>29</v>
      </c>
      <c r="G4710" t="s">
        <v>17</v>
      </c>
      <c r="H4710">
        <v>2875.22</v>
      </c>
      <c r="I4710" s="8" t="str" cm="1">
        <f t="array" ref="I4710">_xlfn.IFS(C4710&lt;=15,"Children and Young Adolescents", C4710&gt;64, "Seniors", TRUE, "Working Age")</f>
        <v>Children and Young Adolescents</v>
      </c>
      <c r="J4710" s="6">
        <f>VLOOKUP(F4710,Analysis!$F$1:$G$5,2,FALSE)</f>
        <v>2496.7676064256989</v>
      </c>
      <c r="K4710">
        <f t="shared" si="292"/>
        <v>3162.74</v>
      </c>
      <c r="L4710">
        <f t="shared" si="293"/>
        <v>3162.75</v>
      </c>
      <c r="M4710">
        <f t="shared" si="294"/>
        <v>3162.74</v>
      </c>
      <c r="N4710" s="5" t="str">
        <f t="shared" si="295"/>
        <v>November 2023</v>
      </c>
    </row>
    <row r="4711" spans="1:14" x14ac:dyDescent="0.25">
      <c r="A4711" s="1">
        <v>45248</v>
      </c>
      <c r="B4711" t="s">
        <v>4461</v>
      </c>
      <c r="C4711">
        <v>9</v>
      </c>
      <c r="D4711" t="s">
        <v>21</v>
      </c>
      <c r="E4711" t="s">
        <v>15</v>
      </c>
      <c r="F4711" t="s">
        <v>16</v>
      </c>
      <c r="G4711" t="s">
        <v>39</v>
      </c>
      <c r="H4711">
        <v>3315.31</v>
      </c>
      <c r="I4711" s="8" t="str" cm="1">
        <f t="array" ref="I4711">_xlfn.IFS(C4711&lt;=15,"Children and Young Adolescents", C4711&gt;64, "Seniors", TRUE, "Working Age")</f>
        <v>Children and Young Adolescents</v>
      </c>
      <c r="J4711" s="6">
        <f>VLOOKUP(F4711,Analysis!$F$1:$G$5,2,FALSE)</f>
        <v>2509.1716796874912</v>
      </c>
      <c r="K4711">
        <f t="shared" si="292"/>
        <v>3646.84</v>
      </c>
      <c r="L4711">
        <f t="shared" si="293"/>
        <v>3646.8500000000004</v>
      </c>
      <c r="M4711">
        <f t="shared" si="294"/>
        <v>3646.84</v>
      </c>
      <c r="N4711" s="5" t="str">
        <f t="shared" si="295"/>
        <v>November 2023</v>
      </c>
    </row>
    <row r="4712" spans="1:14" x14ac:dyDescent="0.25">
      <c r="A4712" s="1">
        <v>45249</v>
      </c>
      <c r="B4712" t="s">
        <v>401</v>
      </c>
      <c r="C4712">
        <v>78</v>
      </c>
      <c r="D4712" t="s">
        <v>21</v>
      </c>
      <c r="E4712" t="s">
        <v>5032</v>
      </c>
      <c r="F4712" t="s">
        <v>23</v>
      </c>
      <c r="G4712" t="s">
        <v>39</v>
      </c>
      <c r="H4712">
        <v>1061.21</v>
      </c>
      <c r="I4712" s="8" t="str" cm="1">
        <f t="array" ref="I4712">_xlfn.IFS(C4712&lt;=15,"Children and Young Adolescents", C4712&gt;64, "Seniors", TRUE, "Working Age")</f>
        <v>Seniors</v>
      </c>
      <c r="J4712" s="6">
        <f>VLOOKUP(F4712,Analysis!$F$1:$G$5,2,FALSE)</f>
        <v>2440.2966694490838</v>
      </c>
      <c r="K4712">
        <f t="shared" si="292"/>
        <v>1167.33</v>
      </c>
      <c r="L4712">
        <f t="shared" si="293"/>
        <v>1167.3399999999999</v>
      </c>
      <c r="M4712">
        <f t="shared" si="294"/>
        <v>1167.33</v>
      </c>
      <c r="N4712" s="5" t="str">
        <f t="shared" si="295"/>
        <v>November 2023</v>
      </c>
    </row>
    <row r="4713" spans="1:14" x14ac:dyDescent="0.25">
      <c r="A4713" s="1">
        <v>45249</v>
      </c>
      <c r="B4713" t="s">
        <v>3448</v>
      </c>
      <c r="C4713">
        <v>99</v>
      </c>
      <c r="D4713" t="s">
        <v>21</v>
      </c>
      <c r="E4713" t="s">
        <v>5032</v>
      </c>
      <c r="F4713" t="s">
        <v>16</v>
      </c>
      <c r="G4713" t="s">
        <v>36</v>
      </c>
      <c r="H4713">
        <v>2008.63</v>
      </c>
      <c r="I4713" s="8" t="str" cm="1">
        <f t="array" ref="I4713">_xlfn.IFS(C4713&lt;=15,"Children and Young Adolescents", C4713&gt;64, "Seniors", TRUE, "Working Age")</f>
        <v>Seniors</v>
      </c>
      <c r="J4713" s="6">
        <f>VLOOKUP(F4713,Analysis!$F$1:$G$5,2,FALSE)</f>
        <v>2509.1716796874912</v>
      </c>
      <c r="K4713">
        <f t="shared" si="292"/>
        <v>2209.4899999999998</v>
      </c>
      <c r="L4713">
        <f t="shared" si="293"/>
        <v>2209.5</v>
      </c>
      <c r="M4713">
        <f t="shared" si="294"/>
        <v>2209.4899999999998</v>
      </c>
      <c r="N4713" s="5" t="str">
        <f t="shared" si="295"/>
        <v>November 2023</v>
      </c>
    </row>
    <row r="4714" spans="1:14" x14ac:dyDescent="0.25">
      <c r="A4714" s="1">
        <v>45249</v>
      </c>
      <c r="B4714" t="s">
        <v>1893</v>
      </c>
      <c r="C4714">
        <v>85</v>
      </c>
      <c r="D4714" t="s">
        <v>14</v>
      </c>
      <c r="E4714" t="s">
        <v>10</v>
      </c>
      <c r="F4714" t="s">
        <v>16</v>
      </c>
      <c r="G4714" t="s">
        <v>36</v>
      </c>
      <c r="H4714">
        <v>4866.6099999999997</v>
      </c>
      <c r="I4714" s="8" t="str" cm="1">
        <f t="array" ref="I4714">_xlfn.IFS(C4714&lt;=15,"Children and Young Adolescents", C4714&gt;64, "Seniors", TRUE, "Working Age")</f>
        <v>Seniors</v>
      </c>
      <c r="J4714" s="6">
        <f>VLOOKUP(F4714,Analysis!$F$1:$G$5,2,FALSE)</f>
        <v>2509.1716796874912</v>
      </c>
      <c r="K4714">
        <f t="shared" si="292"/>
        <v>5353.27</v>
      </c>
      <c r="L4714">
        <f t="shared" si="293"/>
        <v>5353.2800000000007</v>
      </c>
      <c r="M4714">
        <f t="shared" si="294"/>
        <v>5353.27</v>
      </c>
      <c r="N4714" s="5" t="str">
        <f t="shared" si="295"/>
        <v>November 2023</v>
      </c>
    </row>
    <row r="4715" spans="1:14" x14ac:dyDescent="0.25">
      <c r="A4715" s="1">
        <v>45249</v>
      </c>
      <c r="B4715" t="s">
        <v>215</v>
      </c>
      <c r="C4715">
        <v>7</v>
      </c>
      <c r="D4715" t="s">
        <v>9</v>
      </c>
      <c r="E4715" t="s">
        <v>22</v>
      </c>
      <c r="F4715" t="s">
        <v>29</v>
      </c>
      <c r="G4715" t="s">
        <v>17</v>
      </c>
      <c r="H4715">
        <v>4331.88</v>
      </c>
      <c r="I4715" s="8" t="str" cm="1">
        <f t="array" ref="I4715">_xlfn.IFS(C4715&lt;=15,"Children and Young Adolescents", C4715&gt;64, "Seniors", TRUE, "Working Age")</f>
        <v>Children and Young Adolescents</v>
      </c>
      <c r="J4715" s="6">
        <f>VLOOKUP(F4715,Analysis!$F$1:$G$5,2,FALSE)</f>
        <v>2496.7676064256989</v>
      </c>
      <c r="K4715">
        <f t="shared" si="292"/>
        <v>4765.0600000000004</v>
      </c>
      <c r="L4715">
        <f t="shared" si="293"/>
        <v>4765.0700000000006</v>
      </c>
      <c r="M4715">
        <f t="shared" si="294"/>
        <v>4765.07</v>
      </c>
      <c r="N4715" s="5" t="str">
        <f t="shared" si="295"/>
        <v>November 2023</v>
      </c>
    </row>
    <row r="4716" spans="1:14" x14ac:dyDescent="0.25">
      <c r="A4716" s="1">
        <v>45250</v>
      </c>
      <c r="B4716" t="s">
        <v>4286</v>
      </c>
      <c r="C4716">
        <v>23</v>
      </c>
      <c r="D4716" t="s">
        <v>14</v>
      </c>
      <c r="E4716" t="s">
        <v>15</v>
      </c>
      <c r="F4716" t="s">
        <v>11</v>
      </c>
      <c r="G4716" t="s">
        <v>36</v>
      </c>
      <c r="H4716">
        <v>2165.5100000000002</v>
      </c>
      <c r="I4716" s="8" t="str" cm="1">
        <f t="array" ref="I4716">_xlfn.IFS(C4716&lt;=15,"Children and Young Adolescents", C4716&gt;64, "Seniors", TRUE, "Working Age")</f>
        <v>Working Age</v>
      </c>
      <c r="J4716" s="6">
        <f>VLOOKUP(F4716,Analysis!$F$1:$G$5,2,FALSE)</f>
        <v>2503.6022787783854</v>
      </c>
      <c r="K4716">
        <f t="shared" si="292"/>
        <v>2382.06</v>
      </c>
      <c r="L4716">
        <f t="shared" si="293"/>
        <v>2382.0700000000002</v>
      </c>
      <c r="M4716">
        <f t="shared" si="294"/>
        <v>2382.06</v>
      </c>
      <c r="N4716" s="5" t="str">
        <f t="shared" si="295"/>
        <v>November 2023</v>
      </c>
    </row>
    <row r="4717" spans="1:14" x14ac:dyDescent="0.25">
      <c r="A4717" s="1">
        <v>45250</v>
      </c>
      <c r="B4717" t="s">
        <v>4956</v>
      </c>
      <c r="C4717">
        <v>35</v>
      </c>
      <c r="D4717" t="s">
        <v>14</v>
      </c>
      <c r="E4717" t="s">
        <v>10</v>
      </c>
      <c r="F4717" t="s">
        <v>11</v>
      </c>
      <c r="G4717" t="s">
        <v>12</v>
      </c>
      <c r="H4717">
        <v>859.35</v>
      </c>
      <c r="I4717" s="8" t="str" cm="1">
        <f t="array" ref="I4717">_xlfn.IFS(C4717&lt;=15,"Children and Young Adolescents", C4717&gt;64, "Seniors", TRUE, "Working Age")</f>
        <v>Working Age</v>
      </c>
      <c r="J4717" s="6">
        <f>VLOOKUP(F4717,Analysis!$F$1:$G$5,2,FALSE)</f>
        <v>2503.6022787783854</v>
      </c>
      <c r="K4717">
        <f t="shared" si="292"/>
        <v>945.28</v>
      </c>
      <c r="L4717">
        <f t="shared" si="293"/>
        <v>945.29</v>
      </c>
      <c r="M4717">
        <f t="shared" si="294"/>
        <v>945.29</v>
      </c>
      <c r="N4717" s="5" t="str">
        <f t="shared" si="295"/>
        <v>November 2023</v>
      </c>
    </row>
    <row r="4718" spans="1:14" x14ac:dyDescent="0.25">
      <c r="A4718" s="1">
        <v>45250</v>
      </c>
      <c r="B4718" t="s">
        <v>840</v>
      </c>
      <c r="C4718">
        <v>14</v>
      </c>
      <c r="D4718" t="s">
        <v>21</v>
      </c>
      <c r="E4718" t="s">
        <v>5032</v>
      </c>
      <c r="F4718" t="s">
        <v>29</v>
      </c>
      <c r="G4718" t="s">
        <v>39</v>
      </c>
      <c r="H4718">
        <v>817.34</v>
      </c>
      <c r="I4718" s="8" t="str" cm="1">
        <f t="array" ref="I4718">_xlfn.IFS(C4718&lt;=15,"Children and Young Adolescents", C4718&gt;64, "Seniors", TRUE, "Working Age")</f>
        <v>Children and Young Adolescents</v>
      </c>
      <c r="J4718" s="6">
        <f>VLOOKUP(F4718,Analysis!$F$1:$G$5,2,FALSE)</f>
        <v>2496.7676064256989</v>
      </c>
      <c r="K4718">
        <f t="shared" si="292"/>
        <v>899.07</v>
      </c>
      <c r="L4718">
        <f t="shared" si="293"/>
        <v>899.08</v>
      </c>
      <c r="M4718">
        <f t="shared" si="294"/>
        <v>899.07</v>
      </c>
      <c r="N4718" s="5" t="str">
        <f t="shared" si="295"/>
        <v>November 2023</v>
      </c>
    </row>
    <row r="4719" spans="1:14" x14ac:dyDescent="0.25">
      <c r="A4719" s="1">
        <v>45250</v>
      </c>
      <c r="B4719" t="s">
        <v>325</v>
      </c>
      <c r="C4719">
        <v>48</v>
      </c>
      <c r="D4719" t="s">
        <v>21</v>
      </c>
      <c r="E4719" t="s">
        <v>32</v>
      </c>
      <c r="F4719" t="s">
        <v>29</v>
      </c>
      <c r="G4719" t="s">
        <v>39</v>
      </c>
      <c r="H4719">
        <v>2846.99</v>
      </c>
      <c r="I4719" s="8" t="str" cm="1">
        <f t="array" ref="I4719">_xlfn.IFS(C4719&lt;=15,"Children and Young Adolescents", C4719&gt;64, "Seniors", TRUE, "Working Age")</f>
        <v>Working Age</v>
      </c>
      <c r="J4719" s="6">
        <f>VLOOKUP(F4719,Analysis!$F$1:$G$5,2,FALSE)</f>
        <v>2496.7676064256989</v>
      </c>
      <c r="K4719">
        <f t="shared" si="292"/>
        <v>3131.68</v>
      </c>
      <c r="L4719">
        <f t="shared" si="293"/>
        <v>3131.69</v>
      </c>
      <c r="M4719">
        <f t="shared" si="294"/>
        <v>3131.69</v>
      </c>
      <c r="N4719" s="5" t="str">
        <f t="shared" si="295"/>
        <v>November 2023</v>
      </c>
    </row>
    <row r="4720" spans="1:14" x14ac:dyDescent="0.25">
      <c r="A4720" s="1">
        <v>45251</v>
      </c>
      <c r="B4720" t="s">
        <v>3062</v>
      </c>
      <c r="C4720">
        <v>67</v>
      </c>
      <c r="D4720" t="s">
        <v>21</v>
      </c>
      <c r="E4720" t="s">
        <v>34</v>
      </c>
      <c r="F4720" t="s">
        <v>23</v>
      </c>
      <c r="G4720" t="s">
        <v>36</v>
      </c>
      <c r="H4720">
        <v>1275.02</v>
      </c>
      <c r="I4720" s="8" t="str" cm="1">
        <f t="array" ref="I4720">_xlfn.IFS(C4720&lt;=15,"Children and Young Adolescents", C4720&gt;64, "Seniors", TRUE, "Working Age")</f>
        <v>Seniors</v>
      </c>
      <c r="J4720" s="6">
        <f>VLOOKUP(F4720,Analysis!$F$1:$G$5,2,FALSE)</f>
        <v>2440.2966694490838</v>
      </c>
      <c r="K4720">
        <f t="shared" si="292"/>
        <v>1402.52</v>
      </c>
      <c r="L4720">
        <f t="shared" si="293"/>
        <v>1402.53</v>
      </c>
      <c r="M4720">
        <f t="shared" si="294"/>
        <v>1402.52</v>
      </c>
      <c r="N4720" s="5" t="str">
        <f t="shared" si="295"/>
        <v>November 2023</v>
      </c>
    </row>
    <row r="4721" spans="1:14" x14ac:dyDescent="0.25">
      <c r="A4721" s="1">
        <v>45251</v>
      </c>
      <c r="B4721" t="s">
        <v>523</v>
      </c>
      <c r="C4721">
        <v>35</v>
      </c>
      <c r="D4721" t="s">
        <v>21</v>
      </c>
      <c r="E4721" t="s">
        <v>19</v>
      </c>
      <c r="F4721" t="s">
        <v>29</v>
      </c>
      <c r="G4721" t="s">
        <v>12</v>
      </c>
      <c r="H4721">
        <v>2098.27</v>
      </c>
      <c r="I4721" s="8" t="str" cm="1">
        <f t="array" ref="I4721">_xlfn.IFS(C4721&lt;=15,"Children and Young Adolescents", C4721&gt;64, "Seniors", TRUE, "Working Age")</f>
        <v>Working Age</v>
      </c>
      <c r="J4721" s="6">
        <f>VLOOKUP(F4721,Analysis!$F$1:$G$5,2,FALSE)</f>
        <v>2496.7676064256989</v>
      </c>
      <c r="K4721">
        <f t="shared" si="292"/>
        <v>2308.09</v>
      </c>
      <c r="L4721">
        <f t="shared" si="293"/>
        <v>2308.1000000000004</v>
      </c>
      <c r="M4721">
        <f t="shared" si="294"/>
        <v>2308.1</v>
      </c>
      <c r="N4721" s="5" t="str">
        <f t="shared" si="295"/>
        <v>November 2023</v>
      </c>
    </row>
    <row r="4722" spans="1:14" x14ac:dyDescent="0.25">
      <c r="A4722" s="1">
        <v>45251</v>
      </c>
      <c r="B4722" t="s">
        <v>255</v>
      </c>
      <c r="C4722">
        <v>93</v>
      </c>
      <c r="D4722" t="s">
        <v>9</v>
      </c>
      <c r="E4722" t="s">
        <v>15</v>
      </c>
      <c r="F4722" t="s">
        <v>16</v>
      </c>
      <c r="G4722" t="s">
        <v>17</v>
      </c>
      <c r="H4722">
        <v>3594.56</v>
      </c>
      <c r="I4722" s="8" t="str" cm="1">
        <f t="array" ref="I4722">_xlfn.IFS(C4722&lt;=15,"Children and Young Adolescents", C4722&gt;64, "Seniors", TRUE, "Working Age")</f>
        <v>Seniors</v>
      </c>
      <c r="J4722" s="6">
        <f>VLOOKUP(F4722,Analysis!$F$1:$G$5,2,FALSE)</f>
        <v>2509.1716796874912</v>
      </c>
      <c r="K4722">
        <f t="shared" si="292"/>
        <v>3954.01</v>
      </c>
      <c r="L4722">
        <f t="shared" si="293"/>
        <v>3954.0200000000004</v>
      </c>
      <c r="M4722">
        <f t="shared" si="294"/>
        <v>3954.02</v>
      </c>
      <c r="N4722" s="5" t="str">
        <f t="shared" si="295"/>
        <v>November 2023</v>
      </c>
    </row>
    <row r="4723" spans="1:14" x14ac:dyDescent="0.25">
      <c r="A4723" s="1">
        <v>45251</v>
      </c>
      <c r="B4723" t="s">
        <v>2837</v>
      </c>
      <c r="C4723">
        <v>57</v>
      </c>
      <c r="D4723" t="s">
        <v>21</v>
      </c>
      <c r="E4723" t="s">
        <v>22</v>
      </c>
      <c r="F4723" t="s">
        <v>29</v>
      </c>
      <c r="G4723" t="s">
        <v>17</v>
      </c>
      <c r="H4723">
        <v>2098.46</v>
      </c>
      <c r="I4723" s="8" t="str" cm="1">
        <f t="array" ref="I4723">_xlfn.IFS(C4723&lt;=15,"Children and Young Adolescents", C4723&gt;64, "Seniors", TRUE, "Working Age")</f>
        <v>Working Age</v>
      </c>
      <c r="J4723" s="6">
        <f>VLOOKUP(F4723,Analysis!$F$1:$G$5,2,FALSE)</f>
        <v>2496.7676064256989</v>
      </c>
      <c r="K4723">
        <f t="shared" si="292"/>
        <v>2308.3000000000002</v>
      </c>
      <c r="L4723">
        <f t="shared" si="293"/>
        <v>2308.3100000000004</v>
      </c>
      <c r="M4723">
        <f t="shared" si="294"/>
        <v>2308.31</v>
      </c>
      <c r="N4723" s="5" t="str">
        <f t="shared" si="295"/>
        <v>November 2023</v>
      </c>
    </row>
    <row r="4724" spans="1:14" x14ac:dyDescent="0.25">
      <c r="A4724" s="1">
        <v>45252</v>
      </c>
      <c r="B4724" t="s">
        <v>2821</v>
      </c>
      <c r="C4724">
        <v>7</v>
      </c>
      <c r="D4724" t="s">
        <v>9</v>
      </c>
      <c r="E4724" t="s">
        <v>22</v>
      </c>
      <c r="F4724" t="s">
        <v>11</v>
      </c>
      <c r="G4724" t="s">
        <v>27</v>
      </c>
      <c r="H4724">
        <v>2513.62</v>
      </c>
      <c r="I4724" s="8" t="str" cm="1">
        <f t="array" ref="I4724">_xlfn.IFS(C4724&lt;=15,"Children and Young Adolescents", C4724&gt;64, "Seniors", TRUE, "Working Age")</f>
        <v>Children and Young Adolescents</v>
      </c>
      <c r="J4724" s="6">
        <f>VLOOKUP(F4724,Analysis!$F$1:$G$5,2,FALSE)</f>
        <v>2503.6022787783854</v>
      </c>
      <c r="K4724">
        <f t="shared" si="292"/>
        <v>2764.98</v>
      </c>
      <c r="L4724">
        <f t="shared" si="293"/>
        <v>2764.9900000000002</v>
      </c>
      <c r="M4724">
        <f t="shared" si="294"/>
        <v>2764.98</v>
      </c>
      <c r="N4724" s="5" t="str">
        <f t="shared" si="295"/>
        <v>November 2023</v>
      </c>
    </row>
    <row r="4725" spans="1:14" x14ac:dyDescent="0.25">
      <c r="A4725" s="1">
        <v>45252</v>
      </c>
      <c r="B4725" t="s">
        <v>628</v>
      </c>
      <c r="C4725">
        <v>41</v>
      </c>
      <c r="D4725" t="s">
        <v>14</v>
      </c>
      <c r="E4725" t="s">
        <v>19</v>
      </c>
      <c r="F4725" t="s">
        <v>11</v>
      </c>
      <c r="G4725" t="s">
        <v>5033</v>
      </c>
      <c r="H4725">
        <v>4020.5</v>
      </c>
      <c r="I4725" s="8" t="str" cm="1">
        <f t="array" ref="I4725">_xlfn.IFS(C4725&lt;=15,"Children and Young Adolescents", C4725&gt;64, "Seniors", TRUE, "Working Age")</f>
        <v>Working Age</v>
      </c>
      <c r="J4725" s="6">
        <f>VLOOKUP(F4725,Analysis!$F$1:$G$5,2,FALSE)</f>
        <v>2503.6022787783854</v>
      </c>
      <c r="K4725">
        <f t="shared" si="292"/>
        <v>4422.55</v>
      </c>
      <c r="L4725">
        <f t="shared" si="293"/>
        <v>4422.55</v>
      </c>
      <c r="M4725">
        <f t="shared" si="294"/>
        <v>4422.55</v>
      </c>
      <c r="N4725" s="5" t="str">
        <f t="shared" si="295"/>
        <v>November 2023</v>
      </c>
    </row>
    <row r="4726" spans="1:14" x14ac:dyDescent="0.25">
      <c r="A4726" s="1">
        <v>45252</v>
      </c>
      <c r="B4726" t="s">
        <v>3425</v>
      </c>
      <c r="C4726">
        <v>37</v>
      </c>
      <c r="D4726" t="s">
        <v>21</v>
      </c>
      <c r="E4726" t="s">
        <v>15</v>
      </c>
      <c r="F4726" t="s">
        <v>29</v>
      </c>
      <c r="G4726" t="s">
        <v>27</v>
      </c>
      <c r="H4726">
        <v>159.58000000000001</v>
      </c>
      <c r="I4726" s="8" t="str" cm="1">
        <f t="array" ref="I4726">_xlfn.IFS(C4726&lt;=15,"Children and Young Adolescents", C4726&gt;64, "Seniors", TRUE, "Working Age")</f>
        <v>Working Age</v>
      </c>
      <c r="J4726" s="6">
        <f>VLOOKUP(F4726,Analysis!$F$1:$G$5,2,FALSE)</f>
        <v>2496.7676064256989</v>
      </c>
      <c r="K4726">
        <f t="shared" si="292"/>
        <v>175.53</v>
      </c>
      <c r="L4726">
        <f t="shared" si="293"/>
        <v>175.54</v>
      </c>
      <c r="M4726">
        <f t="shared" si="294"/>
        <v>175.54</v>
      </c>
      <c r="N4726" s="5" t="str">
        <f t="shared" si="295"/>
        <v>November 2023</v>
      </c>
    </row>
    <row r="4727" spans="1:14" x14ac:dyDescent="0.25">
      <c r="A4727" s="1">
        <v>45252</v>
      </c>
      <c r="B4727" t="s">
        <v>2586</v>
      </c>
      <c r="C4727">
        <v>4</v>
      </c>
      <c r="D4727" t="s">
        <v>9</v>
      </c>
      <c r="E4727" t="s">
        <v>10</v>
      </c>
      <c r="F4727" t="s">
        <v>11</v>
      </c>
      <c r="G4727" t="s">
        <v>39</v>
      </c>
      <c r="H4727">
        <v>1274.8800000000001</v>
      </c>
      <c r="I4727" s="8" t="str" cm="1">
        <f t="array" ref="I4727">_xlfn.IFS(C4727&lt;=15,"Children and Young Adolescents", C4727&gt;64, "Seniors", TRUE, "Working Age")</f>
        <v>Children and Young Adolescents</v>
      </c>
      <c r="J4727" s="6">
        <f>VLOOKUP(F4727,Analysis!$F$1:$G$5,2,FALSE)</f>
        <v>2503.6022787783854</v>
      </c>
      <c r="K4727">
        <f t="shared" si="292"/>
        <v>1402.36</v>
      </c>
      <c r="L4727">
        <f t="shared" si="293"/>
        <v>1402.37</v>
      </c>
      <c r="M4727">
        <f t="shared" si="294"/>
        <v>1402.37</v>
      </c>
      <c r="N4727" s="5" t="str">
        <f t="shared" si="295"/>
        <v>November 2023</v>
      </c>
    </row>
    <row r="4728" spans="1:14" x14ac:dyDescent="0.25">
      <c r="A4728" s="1">
        <v>45252</v>
      </c>
      <c r="B4728" t="s">
        <v>4301</v>
      </c>
      <c r="C4728">
        <v>54</v>
      </c>
      <c r="D4728" t="s">
        <v>9</v>
      </c>
      <c r="E4728" t="s">
        <v>25</v>
      </c>
      <c r="F4728" t="s">
        <v>16</v>
      </c>
      <c r="G4728" t="s">
        <v>12</v>
      </c>
      <c r="H4728">
        <v>3108.13</v>
      </c>
      <c r="I4728" s="8" t="str" cm="1">
        <f t="array" ref="I4728">_xlfn.IFS(C4728&lt;=15,"Children and Young Adolescents", C4728&gt;64, "Seniors", TRUE, "Working Age")</f>
        <v>Working Age</v>
      </c>
      <c r="J4728" s="6">
        <f>VLOOKUP(F4728,Analysis!$F$1:$G$5,2,FALSE)</f>
        <v>2509.1716796874912</v>
      </c>
      <c r="K4728">
        <f t="shared" si="292"/>
        <v>3418.94</v>
      </c>
      <c r="L4728">
        <f t="shared" si="293"/>
        <v>3418.9500000000003</v>
      </c>
      <c r="M4728">
        <f t="shared" si="294"/>
        <v>3418.94</v>
      </c>
      <c r="N4728" s="5" t="str">
        <f t="shared" si="295"/>
        <v>November 2023</v>
      </c>
    </row>
    <row r="4729" spans="1:14" x14ac:dyDescent="0.25">
      <c r="A4729" s="1">
        <v>45252</v>
      </c>
      <c r="B4729" t="s">
        <v>1434</v>
      </c>
      <c r="C4729">
        <v>28</v>
      </c>
      <c r="D4729" t="s">
        <v>9</v>
      </c>
      <c r="E4729" t="s">
        <v>22</v>
      </c>
      <c r="F4729" t="s">
        <v>23</v>
      </c>
      <c r="G4729" t="s">
        <v>39</v>
      </c>
      <c r="H4729">
        <v>3539.83</v>
      </c>
      <c r="I4729" s="8" t="str" cm="1">
        <f t="array" ref="I4729">_xlfn.IFS(C4729&lt;=15,"Children and Young Adolescents", C4729&gt;64, "Seniors", TRUE, "Working Age")</f>
        <v>Working Age</v>
      </c>
      <c r="J4729" s="6">
        <f>VLOOKUP(F4729,Analysis!$F$1:$G$5,2,FALSE)</f>
        <v>2440.2966694490838</v>
      </c>
      <c r="K4729">
        <f t="shared" si="292"/>
        <v>3893.81</v>
      </c>
      <c r="L4729">
        <f t="shared" si="293"/>
        <v>3893.82</v>
      </c>
      <c r="M4729">
        <f t="shared" si="294"/>
        <v>3893.81</v>
      </c>
      <c r="N4729" s="5" t="str">
        <f t="shared" si="295"/>
        <v>November 2023</v>
      </c>
    </row>
    <row r="4730" spans="1:14" x14ac:dyDescent="0.25">
      <c r="A4730" s="1">
        <v>45252</v>
      </c>
      <c r="B4730" t="s">
        <v>3973</v>
      </c>
      <c r="C4730">
        <v>83</v>
      </c>
      <c r="D4730" t="s">
        <v>9</v>
      </c>
      <c r="E4730" t="s">
        <v>19</v>
      </c>
      <c r="F4730" t="s">
        <v>29</v>
      </c>
      <c r="G4730" t="s">
        <v>17</v>
      </c>
      <c r="H4730">
        <v>3975.76</v>
      </c>
      <c r="I4730" s="8" t="str" cm="1">
        <f t="array" ref="I4730">_xlfn.IFS(C4730&lt;=15,"Children and Young Adolescents", C4730&gt;64, "Seniors", TRUE, "Working Age")</f>
        <v>Seniors</v>
      </c>
      <c r="J4730" s="6">
        <f>VLOOKUP(F4730,Analysis!$F$1:$G$5,2,FALSE)</f>
        <v>2496.7676064256989</v>
      </c>
      <c r="K4730">
        <f t="shared" si="292"/>
        <v>4373.33</v>
      </c>
      <c r="L4730">
        <f t="shared" si="293"/>
        <v>4373.34</v>
      </c>
      <c r="M4730">
        <f t="shared" si="294"/>
        <v>4373.34</v>
      </c>
      <c r="N4730" s="5" t="str">
        <f t="shared" si="295"/>
        <v>November 2023</v>
      </c>
    </row>
    <row r="4731" spans="1:14" x14ac:dyDescent="0.25">
      <c r="A4731" s="1">
        <v>45252</v>
      </c>
      <c r="B4731" t="s">
        <v>1107</v>
      </c>
      <c r="C4731">
        <v>41</v>
      </c>
      <c r="D4731" t="s">
        <v>21</v>
      </c>
      <c r="E4731" t="s">
        <v>32</v>
      </c>
      <c r="F4731" t="s">
        <v>11</v>
      </c>
      <c r="G4731" t="s">
        <v>36</v>
      </c>
      <c r="H4731">
        <v>2826.12</v>
      </c>
      <c r="I4731" s="8" t="str" cm="1">
        <f t="array" ref="I4731">_xlfn.IFS(C4731&lt;=15,"Children and Young Adolescents", C4731&gt;64, "Seniors", TRUE, "Working Age")</f>
        <v>Working Age</v>
      </c>
      <c r="J4731" s="6">
        <f>VLOOKUP(F4731,Analysis!$F$1:$G$5,2,FALSE)</f>
        <v>2503.6022787783854</v>
      </c>
      <c r="K4731">
        <f t="shared" si="292"/>
        <v>3108.73</v>
      </c>
      <c r="L4731">
        <f t="shared" si="293"/>
        <v>3108.7400000000002</v>
      </c>
      <c r="M4731">
        <f t="shared" si="294"/>
        <v>3108.73</v>
      </c>
      <c r="N4731" s="5" t="str">
        <f t="shared" si="295"/>
        <v>November 2023</v>
      </c>
    </row>
    <row r="4732" spans="1:14" x14ac:dyDescent="0.25">
      <c r="A4732" s="1">
        <v>45252</v>
      </c>
      <c r="B4732" t="s">
        <v>4810</v>
      </c>
      <c r="C4732">
        <v>59</v>
      </c>
      <c r="D4732" t="s">
        <v>14</v>
      </c>
      <c r="E4732" t="s">
        <v>5032</v>
      </c>
      <c r="F4732" t="s">
        <v>23</v>
      </c>
      <c r="G4732" t="s">
        <v>36</v>
      </c>
      <c r="H4732">
        <v>3552.19</v>
      </c>
      <c r="I4732" s="8" t="str" cm="1">
        <f t="array" ref="I4732">_xlfn.IFS(C4732&lt;=15,"Children and Young Adolescents", C4732&gt;64, "Seniors", TRUE, "Working Age")</f>
        <v>Working Age</v>
      </c>
      <c r="J4732" s="6">
        <f>VLOOKUP(F4732,Analysis!$F$1:$G$5,2,FALSE)</f>
        <v>2440.2966694490838</v>
      </c>
      <c r="K4732">
        <f t="shared" si="292"/>
        <v>3907.4</v>
      </c>
      <c r="L4732">
        <f t="shared" si="293"/>
        <v>3907.4100000000003</v>
      </c>
      <c r="M4732">
        <f t="shared" si="294"/>
        <v>3907.41</v>
      </c>
      <c r="N4732" s="5" t="str">
        <f t="shared" si="295"/>
        <v>November 2023</v>
      </c>
    </row>
    <row r="4733" spans="1:14" x14ac:dyDescent="0.25">
      <c r="A4733" s="1">
        <v>45252</v>
      </c>
      <c r="B4733" t="s">
        <v>2227</v>
      </c>
      <c r="C4733">
        <v>81</v>
      </c>
      <c r="D4733" t="s">
        <v>14</v>
      </c>
      <c r="E4733" t="s">
        <v>10</v>
      </c>
      <c r="F4733" t="s">
        <v>11</v>
      </c>
      <c r="G4733" t="s">
        <v>27</v>
      </c>
      <c r="H4733">
        <v>1585.07</v>
      </c>
      <c r="I4733" s="8" t="str" cm="1">
        <f t="array" ref="I4733">_xlfn.IFS(C4733&lt;=15,"Children and Young Adolescents", C4733&gt;64, "Seniors", TRUE, "Working Age")</f>
        <v>Seniors</v>
      </c>
      <c r="J4733" s="6">
        <f>VLOOKUP(F4733,Analysis!$F$1:$G$5,2,FALSE)</f>
        <v>2503.6022787783854</v>
      </c>
      <c r="K4733">
        <f t="shared" si="292"/>
        <v>1743.57</v>
      </c>
      <c r="L4733">
        <f t="shared" si="293"/>
        <v>1743.58</v>
      </c>
      <c r="M4733">
        <f t="shared" si="294"/>
        <v>1743.58</v>
      </c>
      <c r="N4733" s="5" t="str">
        <f t="shared" si="295"/>
        <v>November 2023</v>
      </c>
    </row>
    <row r="4734" spans="1:14" x14ac:dyDescent="0.25">
      <c r="A4734" s="1">
        <v>45253</v>
      </c>
      <c r="B4734" t="s">
        <v>280</v>
      </c>
      <c r="C4734">
        <v>78</v>
      </c>
      <c r="D4734" t="s">
        <v>21</v>
      </c>
      <c r="E4734" t="s">
        <v>32</v>
      </c>
      <c r="F4734" t="s">
        <v>29</v>
      </c>
      <c r="G4734" t="s">
        <v>12</v>
      </c>
      <c r="H4734">
        <v>3294.67</v>
      </c>
      <c r="I4734" s="8" t="str" cm="1">
        <f t="array" ref="I4734">_xlfn.IFS(C4734&lt;=15,"Children and Young Adolescents", C4734&gt;64, "Seniors", TRUE, "Working Age")</f>
        <v>Seniors</v>
      </c>
      <c r="J4734" s="6">
        <f>VLOOKUP(F4734,Analysis!$F$1:$G$5,2,FALSE)</f>
        <v>2496.7676064256989</v>
      </c>
      <c r="K4734">
        <f t="shared" si="292"/>
        <v>3624.13</v>
      </c>
      <c r="L4734">
        <f t="shared" si="293"/>
        <v>3624.1400000000003</v>
      </c>
      <c r="M4734">
        <f t="shared" si="294"/>
        <v>3624.14</v>
      </c>
      <c r="N4734" s="5" t="str">
        <f t="shared" si="295"/>
        <v>November 2023</v>
      </c>
    </row>
    <row r="4735" spans="1:14" x14ac:dyDescent="0.25">
      <c r="A4735" s="1">
        <v>45253</v>
      </c>
      <c r="B4735" t="s">
        <v>3240</v>
      </c>
      <c r="C4735">
        <v>98</v>
      </c>
      <c r="D4735" t="s">
        <v>21</v>
      </c>
      <c r="E4735" t="s">
        <v>22</v>
      </c>
      <c r="F4735" t="s">
        <v>11</v>
      </c>
      <c r="G4735" t="s">
        <v>39</v>
      </c>
      <c r="H4735">
        <v>1333.82</v>
      </c>
      <c r="I4735" s="8" t="str" cm="1">
        <f t="array" ref="I4735">_xlfn.IFS(C4735&lt;=15,"Children and Young Adolescents", C4735&gt;64, "Seniors", TRUE, "Working Age")</f>
        <v>Seniors</v>
      </c>
      <c r="J4735" s="6">
        <f>VLOOKUP(F4735,Analysis!$F$1:$G$5,2,FALSE)</f>
        <v>2503.6022787783854</v>
      </c>
      <c r="K4735">
        <f t="shared" si="292"/>
        <v>1467.2</v>
      </c>
      <c r="L4735">
        <f t="shared" si="293"/>
        <v>1467.21</v>
      </c>
      <c r="M4735">
        <f t="shared" si="294"/>
        <v>1467.2</v>
      </c>
      <c r="N4735" s="5" t="str">
        <f t="shared" si="295"/>
        <v>November 2023</v>
      </c>
    </row>
    <row r="4736" spans="1:14" x14ac:dyDescent="0.25">
      <c r="A4736" s="1">
        <v>45253</v>
      </c>
      <c r="B4736" t="s">
        <v>320</v>
      </c>
      <c r="C4736">
        <v>3</v>
      </c>
      <c r="D4736" t="s">
        <v>9</v>
      </c>
      <c r="E4736" t="s">
        <v>5032</v>
      </c>
      <c r="F4736" t="s">
        <v>29</v>
      </c>
      <c r="G4736" t="s">
        <v>27</v>
      </c>
      <c r="H4736">
        <v>3614.59</v>
      </c>
      <c r="I4736" s="8" t="str" cm="1">
        <f t="array" ref="I4736">_xlfn.IFS(C4736&lt;=15,"Children and Young Adolescents", C4736&gt;64, "Seniors", TRUE, "Working Age")</f>
        <v>Children and Young Adolescents</v>
      </c>
      <c r="J4736" s="6">
        <f>VLOOKUP(F4736,Analysis!$F$1:$G$5,2,FALSE)</f>
        <v>2496.7676064256989</v>
      </c>
      <c r="K4736">
        <f t="shared" si="292"/>
        <v>3976.04</v>
      </c>
      <c r="L4736">
        <f t="shared" si="293"/>
        <v>3976.05</v>
      </c>
      <c r="M4736">
        <f t="shared" si="294"/>
        <v>3976.05</v>
      </c>
      <c r="N4736" s="5" t="str">
        <f t="shared" si="295"/>
        <v>November 2023</v>
      </c>
    </row>
    <row r="4737" spans="1:14" x14ac:dyDescent="0.25">
      <c r="A4737" s="1">
        <v>45253</v>
      </c>
      <c r="B4737" t="s">
        <v>1333</v>
      </c>
      <c r="C4737">
        <v>11</v>
      </c>
      <c r="D4737" t="s">
        <v>9</v>
      </c>
      <c r="E4737" t="s">
        <v>22</v>
      </c>
      <c r="F4737" t="s">
        <v>29</v>
      </c>
      <c r="G4737" t="s">
        <v>36</v>
      </c>
      <c r="H4737">
        <v>3517.51</v>
      </c>
      <c r="I4737" s="8" t="str" cm="1">
        <f t="array" ref="I4737">_xlfn.IFS(C4737&lt;=15,"Children and Young Adolescents", C4737&gt;64, "Seniors", TRUE, "Working Age")</f>
        <v>Children and Young Adolescents</v>
      </c>
      <c r="J4737" s="6">
        <f>VLOOKUP(F4737,Analysis!$F$1:$G$5,2,FALSE)</f>
        <v>2496.7676064256989</v>
      </c>
      <c r="K4737">
        <f t="shared" si="292"/>
        <v>3869.26</v>
      </c>
      <c r="L4737">
        <f t="shared" si="293"/>
        <v>3869.2700000000004</v>
      </c>
      <c r="M4737">
        <f t="shared" si="294"/>
        <v>3869.26</v>
      </c>
      <c r="N4737" s="5" t="str">
        <f t="shared" si="295"/>
        <v>November 2023</v>
      </c>
    </row>
    <row r="4738" spans="1:14" x14ac:dyDescent="0.25">
      <c r="A4738" s="1">
        <v>45253</v>
      </c>
      <c r="B4738" t="s">
        <v>3293</v>
      </c>
      <c r="C4738">
        <v>38</v>
      </c>
      <c r="D4738" t="s">
        <v>14</v>
      </c>
      <c r="E4738" t="s">
        <v>15</v>
      </c>
      <c r="F4738" t="s">
        <v>29</v>
      </c>
      <c r="G4738" t="s">
        <v>36</v>
      </c>
      <c r="H4738">
        <v>3809.53</v>
      </c>
      <c r="I4738" s="8" t="str" cm="1">
        <f t="array" ref="I4738">_xlfn.IFS(C4738&lt;=15,"Children and Young Adolescents", C4738&gt;64, "Seniors", TRUE, "Working Age")</f>
        <v>Working Age</v>
      </c>
      <c r="J4738" s="6">
        <f>VLOOKUP(F4738,Analysis!$F$1:$G$5,2,FALSE)</f>
        <v>2496.7676064256989</v>
      </c>
      <c r="K4738">
        <f t="shared" si="292"/>
        <v>4190.4799999999996</v>
      </c>
      <c r="L4738">
        <f t="shared" si="293"/>
        <v>4190.49</v>
      </c>
      <c r="M4738">
        <f t="shared" si="294"/>
        <v>4190.4799999999996</v>
      </c>
      <c r="N4738" s="5" t="str">
        <f t="shared" si="295"/>
        <v>November 2023</v>
      </c>
    </row>
    <row r="4739" spans="1:14" x14ac:dyDescent="0.25">
      <c r="A4739" s="1">
        <v>45254</v>
      </c>
      <c r="B4739" t="s">
        <v>3327</v>
      </c>
      <c r="C4739">
        <v>93</v>
      </c>
      <c r="D4739" t="s">
        <v>9</v>
      </c>
      <c r="E4739" t="s">
        <v>19</v>
      </c>
      <c r="F4739" t="s">
        <v>23</v>
      </c>
      <c r="G4739" t="s">
        <v>27</v>
      </c>
      <c r="H4739">
        <v>2337.92</v>
      </c>
      <c r="I4739" s="8" t="str" cm="1">
        <f t="array" ref="I4739">_xlfn.IFS(C4739&lt;=15,"Children and Young Adolescents", C4739&gt;64, "Seniors", TRUE, "Working Age")</f>
        <v>Seniors</v>
      </c>
      <c r="J4739" s="6">
        <f>VLOOKUP(F4739,Analysis!$F$1:$G$5,2,FALSE)</f>
        <v>2440.2966694490838</v>
      </c>
      <c r="K4739">
        <f t="shared" ref="K4739:K4802" si="296">ROUNDDOWN(H4739*1.1,2)</f>
        <v>2571.71</v>
      </c>
      <c r="L4739">
        <f t="shared" ref="L4739:L4802" si="297">ROUNDUP(H4739*1.1,2)</f>
        <v>2571.7200000000003</v>
      </c>
      <c r="M4739">
        <f t="shared" ref="M4739:M4802" si="298">ROUND(H4739*1.1,2)</f>
        <v>2571.71</v>
      </c>
      <c r="N4739" s="5" t="str">
        <f t="shared" ref="N4739:N4802" si="299">TEXT(A4739,"mmmm yyyy")</f>
        <v>November 2023</v>
      </c>
    </row>
    <row r="4740" spans="1:14" x14ac:dyDescent="0.25">
      <c r="A4740" s="1">
        <v>45254</v>
      </c>
      <c r="B4740" t="s">
        <v>4173</v>
      </c>
      <c r="C4740">
        <v>75</v>
      </c>
      <c r="D4740" t="s">
        <v>14</v>
      </c>
      <c r="E4740" t="s">
        <v>34</v>
      </c>
      <c r="F4740" t="s">
        <v>29</v>
      </c>
      <c r="G4740" t="s">
        <v>17</v>
      </c>
      <c r="H4740">
        <v>519.74</v>
      </c>
      <c r="I4740" s="8" t="str" cm="1">
        <f t="array" ref="I4740">_xlfn.IFS(C4740&lt;=15,"Children and Young Adolescents", C4740&gt;64, "Seniors", TRUE, "Working Age")</f>
        <v>Seniors</v>
      </c>
      <c r="J4740" s="6">
        <f>VLOOKUP(F4740,Analysis!$F$1:$G$5,2,FALSE)</f>
        <v>2496.7676064256989</v>
      </c>
      <c r="K4740">
        <f t="shared" si="296"/>
        <v>571.71</v>
      </c>
      <c r="L4740">
        <f t="shared" si="297"/>
        <v>571.72</v>
      </c>
      <c r="M4740">
        <f t="shared" si="298"/>
        <v>571.71</v>
      </c>
      <c r="N4740" s="5" t="str">
        <f t="shared" si="299"/>
        <v>November 2023</v>
      </c>
    </row>
    <row r="4741" spans="1:14" x14ac:dyDescent="0.25">
      <c r="A4741" s="1">
        <v>45254</v>
      </c>
      <c r="B4741" t="s">
        <v>2922</v>
      </c>
      <c r="C4741">
        <v>10</v>
      </c>
      <c r="D4741" t="s">
        <v>21</v>
      </c>
      <c r="E4741" t="s">
        <v>32</v>
      </c>
      <c r="F4741" t="s">
        <v>29</v>
      </c>
      <c r="G4741" t="s">
        <v>12</v>
      </c>
      <c r="H4741">
        <v>2056.6</v>
      </c>
      <c r="I4741" s="8" t="str" cm="1">
        <f t="array" ref="I4741">_xlfn.IFS(C4741&lt;=15,"Children and Young Adolescents", C4741&gt;64, "Seniors", TRUE, "Working Age")</f>
        <v>Children and Young Adolescents</v>
      </c>
      <c r="J4741" s="6">
        <f>VLOOKUP(F4741,Analysis!$F$1:$G$5,2,FALSE)</f>
        <v>2496.7676064256989</v>
      </c>
      <c r="K4741">
        <f t="shared" si="296"/>
        <v>2262.2600000000002</v>
      </c>
      <c r="L4741">
        <f t="shared" si="297"/>
        <v>2262.2600000000002</v>
      </c>
      <c r="M4741">
        <f t="shared" si="298"/>
        <v>2262.2600000000002</v>
      </c>
      <c r="N4741" s="5" t="str">
        <f t="shared" si="299"/>
        <v>November 2023</v>
      </c>
    </row>
    <row r="4742" spans="1:14" x14ac:dyDescent="0.25">
      <c r="A4742" s="1">
        <v>45254</v>
      </c>
      <c r="B4742" t="s">
        <v>3854</v>
      </c>
      <c r="C4742">
        <v>28</v>
      </c>
      <c r="D4742" t="s">
        <v>9</v>
      </c>
      <c r="E4742" t="s">
        <v>25</v>
      </c>
      <c r="F4742" t="s">
        <v>16</v>
      </c>
      <c r="G4742" t="s">
        <v>39</v>
      </c>
      <c r="H4742">
        <v>2836.06</v>
      </c>
      <c r="I4742" s="8" t="str" cm="1">
        <f t="array" ref="I4742">_xlfn.IFS(C4742&lt;=15,"Children and Young Adolescents", C4742&gt;64, "Seniors", TRUE, "Working Age")</f>
        <v>Working Age</v>
      </c>
      <c r="J4742" s="6">
        <f>VLOOKUP(F4742,Analysis!$F$1:$G$5,2,FALSE)</f>
        <v>2509.1716796874912</v>
      </c>
      <c r="K4742">
        <f t="shared" si="296"/>
        <v>3119.66</v>
      </c>
      <c r="L4742">
        <f t="shared" si="297"/>
        <v>3119.67</v>
      </c>
      <c r="M4742">
        <f t="shared" si="298"/>
        <v>3119.67</v>
      </c>
      <c r="N4742" s="5" t="str">
        <f t="shared" si="299"/>
        <v>November 2023</v>
      </c>
    </row>
    <row r="4743" spans="1:14" x14ac:dyDescent="0.25">
      <c r="A4743" s="1">
        <v>45254</v>
      </c>
      <c r="B4743" t="s">
        <v>1564</v>
      </c>
      <c r="C4743">
        <v>72</v>
      </c>
      <c r="D4743" t="s">
        <v>21</v>
      </c>
      <c r="E4743" t="s">
        <v>32</v>
      </c>
      <c r="F4743" t="s">
        <v>16</v>
      </c>
      <c r="G4743" t="s">
        <v>36</v>
      </c>
      <c r="H4743">
        <v>41.05</v>
      </c>
      <c r="I4743" s="8" t="str" cm="1">
        <f t="array" ref="I4743">_xlfn.IFS(C4743&lt;=15,"Children and Young Adolescents", C4743&gt;64, "Seniors", TRUE, "Working Age")</f>
        <v>Seniors</v>
      </c>
      <c r="J4743" s="6">
        <f>VLOOKUP(F4743,Analysis!$F$1:$G$5,2,FALSE)</f>
        <v>2509.1716796874912</v>
      </c>
      <c r="K4743">
        <f t="shared" si="296"/>
        <v>45.15</v>
      </c>
      <c r="L4743">
        <f t="shared" si="297"/>
        <v>45.16</v>
      </c>
      <c r="M4743">
        <f t="shared" si="298"/>
        <v>45.16</v>
      </c>
      <c r="N4743" s="5" t="str">
        <f t="shared" si="299"/>
        <v>November 2023</v>
      </c>
    </row>
    <row r="4744" spans="1:14" x14ac:dyDescent="0.25">
      <c r="A4744" s="1">
        <v>45254</v>
      </c>
      <c r="B4744" t="s">
        <v>598</v>
      </c>
      <c r="C4744">
        <v>59</v>
      </c>
      <c r="D4744" t="s">
        <v>14</v>
      </c>
      <c r="E4744" t="s">
        <v>19</v>
      </c>
      <c r="F4744" t="s">
        <v>11</v>
      </c>
      <c r="G4744" t="s">
        <v>39</v>
      </c>
      <c r="H4744">
        <v>3211.64</v>
      </c>
      <c r="I4744" s="8" t="str" cm="1">
        <f t="array" ref="I4744">_xlfn.IFS(C4744&lt;=15,"Children and Young Adolescents", C4744&gt;64, "Seniors", TRUE, "Working Age")</f>
        <v>Working Age</v>
      </c>
      <c r="J4744" s="6">
        <f>VLOOKUP(F4744,Analysis!$F$1:$G$5,2,FALSE)</f>
        <v>2503.6022787783854</v>
      </c>
      <c r="K4744">
        <f t="shared" si="296"/>
        <v>3532.8</v>
      </c>
      <c r="L4744">
        <f t="shared" si="297"/>
        <v>3532.8100000000004</v>
      </c>
      <c r="M4744">
        <f t="shared" si="298"/>
        <v>3532.8</v>
      </c>
      <c r="N4744" s="5" t="str">
        <f t="shared" si="299"/>
        <v>November 2023</v>
      </c>
    </row>
    <row r="4745" spans="1:14" x14ac:dyDescent="0.25">
      <c r="A4745" s="1">
        <v>45254</v>
      </c>
      <c r="B4745" t="s">
        <v>4784</v>
      </c>
      <c r="C4745">
        <v>95</v>
      </c>
      <c r="D4745" t="s">
        <v>9</v>
      </c>
      <c r="E4745" t="s">
        <v>25</v>
      </c>
      <c r="F4745" t="s">
        <v>16</v>
      </c>
      <c r="G4745" t="s">
        <v>39</v>
      </c>
      <c r="H4745">
        <v>2674.86</v>
      </c>
      <c r="I4745" s="8" t="str" cm="1">
        <f t="array" ref="I4745">_xlfn.IFS(C4745&lt;=15,"Children and Young Adolescents", C4745&gt;64, "Seniors", TRUE, "Working Age")</f>
        <v>Seniors</v>
      </c>
      <c r="J4745" s="6">
        <f>VLOOKUP(F4745,Analysis!$F$1:$G$5,2,FALSE)</f>
        <v>2509.1716796874912</v>
      </c>
      <c r="K4745">
        <f t="shared" si="296"/>
        <v>2942.34</v>
      </c>
      <c r="L4745">
        <f t="shared" si="297"/>
        <v>2942.3500000000004</v>
      </c>
      <c r="M4745">
        <f t="shared" si="298"/>
        <v>2942.35</v>
      </c>
      <c r="N4745" s="5" t="str">
        <f t="shared" si="299"/>
        <v>November 2023</v>
      </c>
    </row>
    <row r="4746" spans="1:14" x14ac:dyDescent="0.25">
      <c r="A4746" s="1">
        <v>45254</v>
      </c>
      <c r="B4746" t="s">
        <v>4725</v>
      </c>
      <c r="C4746">
        <v>10</v>
      </c>
      <c r="D4746" t="s">
        <v>14</v>
      </c>
      <c r="E4746" t="s">
        <v>22</v>
      </c>
      <c r="F4746" t="s">
        <v>29</v>
      </c>
      <c r="G4746" t="s">
        <v>17</v>
      </c>
      <c r="H4746">
        <v>4590.12</v>
      </c>
      <c r="I4746" s="8" t="str" cm="1">
        <f t="array" ref="I4746">_xlfn.IFS(C4746&lt;=15,"Children and Young Adolescents", C4746&gt;64, "Seniors", TRUE, "Working Age")</f>
        <v>Children and Young Adolescents</v>
      </c>
      <c r="J4746" s="6">
        <f>VLOOKUP(F4746,Analysis!$F$1:$G$5,2,FALSE)</f>
        <v>2496.7676064256989</v>
      </c>
      <c r="K4746">
        <f t="shared" si="296"/>
        <v>5049.13</v>
      </c>
      <c r="L4746">
        <f t="shared" si="297"/>
        <v>5049.1400000000003</v>
      </c>
      <c r="M4746">
        <f t="shared" si="298"/>
        <v>5049.13</v>
      </c>
      <c r="N4746" s="5" t="str">
        <f t="shared" si="299"/>
        <v>November 2023</v>
      </c>
    </row>
    <row r="4747" spans="1:14" x14ac:dyDescent="0.25">
      <c r="A4747" s="1">
        <v>45255</v>
      </c>
      <c r="B4747" t="s">
        <v>89</v>
      </c>
      <c r="C4747">
        <v>76</v>
      </c>
      <c r="D4747" t="s">
        <v>21</v>
      </c>
      <c r="E4747" t="s">
        <v>15</v>
      </c>
      <c r="F4747" t="s">
        <v>11</v>
      </c>
      <c r="G4747" t="s">
        <v>12</v>
      </c>
      <c r="H4747">
        <v>581.16</v>
      </c>
      <c r="I4747" s="8" t="str" cm="1">
        <f t="array" ref="I4747">_xlfn.IFS(C4747&lt;=15,"Children and Young Adolescents", C4747&gt;64, "Seniors", TRUE, "Working Age")</f>
        <v>Seniors</v>
      </c>
      <c r="J4747" s="6">
        <f>VLOOKUP(F4747,Analysis!$F$1:$G$5,2,FALSE)</f>
        <v>2503.6022787783854</v>
      </c>
      <c r="K4747">
        <f t="shared" si="296"/>
        <v>639.27</v>
      </c>
      <c r="L4747">
        <f t="shared" si="297"/>
        <v>639.28</v>
      </c>
      <c r="M4747">
        <f t="shared" si="298"/>
        <v>639.28</v>
      </c>
      <c r="N4747" s="5" t="str">
        <f t="shared" si="299"/>
        <v>November 2023</v>
      </c>
    </row>
    <row r="4748" spans="1:14" x14ac:dyDescent="0.25">
      <c r="A4748" s="1">
        <v>45255</v>
      </c>
      <c r="B4748" t="s">
        <v>3957</v>
      </c>
      <c r="C4748">
        <v>42</v>
      </c>
      <c r="D4748" t="s">
        <v>14</v>
      </c>
      <c r="E4748" t="s">
        <v>22</v>
      </c>
      <c r="F4748" t="s">
        <v>23</v>
      </c>
      <c r="G4748" t="s">
        <v>39</v>
      </c>
      <c r="H4748">
        <v>2762.14</v>
      </c>
      <c r="I4748" s="8" t="str" cm="1">
        <f t="array" ref="I4748">_xlfn.IFS(C4748&lt;=15,"Children and Young Adolescents", C4748&gt;64, "Seniors", TRUE, "Working Age")</f>
        <v>Working Age</v>
      </c>
      <c r="J4748" s="6">
        <f>VLOOKUP(F4748,Analysis!$F$1:$G$5,2,FALSE)</f>
        <v>2440.2966694490838</v>
      </c>
      <c r="K4748">
        <f t="shared" si="296"/>
        <v>3038.35</v>
      </c>
      <c r="L4748">
        <f t="shared" si="297"/>
        <v>3038.36</v>
      </c>
      <c r="M4748">
        <f t="shared" si="298"/>
        <v>3038.35</v>
      </c>
      <c r="N4748" s="5" t="str">
        <f t="shared" si="299"/>
        <v>November 2023</v>
      </c>
    </row>
    <row r="4749" spans="1:14" x14ac:dyDescent="0.25">
      <c r="A4749" s="1">
        <v>45255</v>
      </c>
      <c r="B4749" t="s">
        <v>2792</v>
      </c>
      <c r="C4749">
        <v>32</v>
      </c>
      <c r="D4749" t="s">
        <v>14</v>
      </c>
      <c r="E4749" t="s">
        <v>22</v>
      </c>
      <c r="F4749" t="s">
        <v>29</v>
      </c>
      <c r="G4749" t="s">
        <v>27</v>
      </c>
      <c r="H4749">
        <v>2895.64</v>
      </c>
      <c r="I4749" s="8" t="str" cm="1">
        <f t="array" ref="I4749">_xlfn.IFS(C4749&lt;=15,"Children and Young Adolescents", C4749&gt;64, "Seniors", TRUE, "Working Age")</f>
        <v>Working Age</v>
      </c>
      <c r="J4749" s="6">
        <f>VLOOKUP(F4749,Analysis!$F$1:$G$5,2,FALSE)</f>
        <v>2496.7676064256989</v>
      </c>
      <c r="K4749">
        <f t="shared" si="296"/>
        <v>3185.2</v>
      </c>
      <c r="L4749">
        <f t="shared" si="297"/>
        <v>3185.21</v>
      </c>
      <c r="M4749">
        <f t="shared" si="298"/>
        <v>3185.2</v>
      </c>
      <c r="N4749" s="5" t="str">
        <f t="shared" si="299"/>
        <v>November 2023</v>
      </c>
    </row>
    <row r="4750" spans="1:14" x14ac:dyDescent="0.25">
      <c r="A4750" s="1">
        <v>45255</v>
      </c>
      <c r="B4750" t="s">
        <v>217</v>
      </c>
      <c r="C4750">
        <v>81</v>
      </c>
      <c r="D4750" t="s">
        <v>14</v>
      </c>
      <c r="E4750" t="s">
        <v>22</v>
      </c>
      <c r="F4750" t="s">
        <v>29</v>
      </c>
      <c r="G4750" t="s">
        <v>17</v>
      </c>
      <c r="H4750">
        <v>2338.41</v>
      </c>
      <c r="I4750" s="8" t="str" cm="1">
        <f t="array" ref="I4750">_xlfn.IFS(C4750&lt;=15,"Children and Young Adolescents", C4750&gt;64, "Seniors", TRUE, "Working Age")</f>
        <v>Seniors</v>
      </c>
      <c r="J4750" s="6">
        <f>VLOOKUP(F4750,Analysis!$F$1:$G$5,2,FALSE)</f>
        <v>2496.7676064256989</v>
      </c>
      <c r="K4750">
        <f t="shared" si="296"/>
        <v>2572.25</v>
      </c>
      <c r="L4750">
        <f t="shared" si="297"/>
        <v>2572.2600000000002</v>
      </c>
      <c r="M4750">
        <f t="shared" si="298"/>
        <v>2572.25</v>
      </c>
      <c r="N4750" s="5" t="str">
        <f t="shared" si="299"/>
        <v>November 2023</v>
      </c>
    </row>
    <row r="4751" spans="1:14" x14ac:dyDescent="0.25">
      <c r="A4751" s="1">
        <v>45255</v>
      </c>
      <c r="B4751" t="s">
        <v>1597</v>
      </c>
      <c r="C4751">
        <v>10</v>
      </c>
      <c r="D4751" t="s">
        <v>21</v>
      </c>
      <c r="E4751" t="s">
        <v>22</v>
      </c>
      <c r="F4751" t="s">
        <v>23</v>
      </c>
      <c r="G4751" t="s">
        <v>36</v>
      </c>
      <c r="H4751">
        <v>466.72</v>
      </c>
      <c r="I4751" s="8" t="str" cm="1">
        <f t="array" ref="I4751">_xlfn.IFS(C4751&lt;=15,"Children and Young Adolescents", C4751&gt;64, "Seniors", TRUE, "Working Age")</f>
        <v>Children and Young Adolescents</v>
      </c>
      <c r="J4751" s="6">
        <f>VLOOKUP(F4751,Analysis!$F$1:$G$5,2,FALSE)</f>
        <v>2440.2966694490838</v>
      </c>
      <c r="K4751">
        <f t="shared" si="296"/>
        <v>513.39</v>
      </c>
      <c r="L4751">
        <f t="shared" si="297"/>
        <v>513.4</v>
      </c>
      <c r="M4751">
        <f t="shared" si="298"/>
        <v>513.39</v>
      </c>
      <c r="N4751" s="5" t="str">
        <f t="shared" si="299"/>
        <v>November 2023</v>
      </c>
    </row>
    <row r="4752" spans="1:14" x14ac:dyDescent="0.25">
      <c r="A4752" s="1">
        <v>45256</v>
      </c>
      <c r="B4752" t="s">
        <v>2398</v>
      </c>
      <c r="C4752">
        <v>23</v>
      </c>
      <c r="D4752" t="s">
        <v>21</v>
      </c>
      <c r="E4752" t="s">
        <v>34</v>
      </c>
      <c r="F4752" t="s">
        <v>29</v>
      </c>
      <c r="G4752" t="s">
        <v>36</v>
      </c>
      <c r="H4752">
        <v>445.36</v>
      </c>
      <c r="I4752" s="8" t="str" cm="1">
        <f t="array" ref="I4752">_xlfn.IFS(C4752&lt;=15,"Children and Young Adolescents", C4752&gt;64, "Seniors", TRUE, "Working Age")</f>
        <v>Working Age</v>
      </c>
      <c r="J4752" s="6">
        <f>VLOOKUP(F4752,Analysis!$F$1:$G$5,2,FALSE)</f>
        <v>2496.7676064256989</v>
      </c>
      <c r="K4752">
        <f t="shared" si="296"/>
        <v>489.89</v>
      </c>
      <c r="L4752">
        <f t="shared" si="297"/>
        <v>489.9</v>
      </c>
      <c r="M4752">
        <f t="shared" si="298"/>
        <v>489.9</v>
      </c>
      <c r="N4752" s="5" t="str">
        <f t="shared" si="299"/>
        <v>November 2023</v>
      </c>
    </row>
    <row r="4753" spans="1:14" x14ac:dyDescent="0.25">
      <c r="A4753" s="1">
        <v>45256</v>
      </c>
      <c r="B4753" t="s">
        <v>3097</v>
      </c>
      <c r="C4753">
        <v>74</v>
      </c>
      <c r="D4753" t="s">
        <v>9</v>
      </c>
      <c r="E4753" t="s">
        <v>5032</v>
      </c>
      <c r="F4753" t="s">
        <v>16</v>
      </c>
      <c r="G4753" t="s">
        <v>12</v>
      </c>
      <c r="H4753">
        <v>4375.3500000000004</v>
      </c>
      <c r="I4753" s="8" t="str" cm="1">
        <f t="array" ref="I4753">_xlfn.IFS(C4753&lt;=15,"Children and Young Adolescents", C4753&gt;64, "Seniors", TRUE, "Working Age")</f>
        <v>Seniors</v>
      </c>
      <c r="J4753" s="6">
        <f>VLOOKUP(F4753,Analysis!$F$1:$G$5,2,FALSE)</f>
        <v>2509.1716796874912</v>
      </c>
      <c r="K4753">
        <f t="shared" si="296"/>
        <v>4812.88</v>
      </c>
      <c r="L4753">
        <f t="shared" si="297"/>
        <v>4812.8900000000003</v>
      </c>
      <c r="M4753">
        <f t="shared" si="298"/>
        <v>4812.8900000000003</v>
      </c>
      <c r="N4753" s="5" t="str">
        <f t="shared" si="299"/>
        <v>November 2023</v>
      </c>
    </row>
    <row r="4754" spans="1:14" x14ac:dyDescent="0.25">
      <c r="A4754" s="1">
        <v>45256</v>
      </c>
      <c r="B4754" t="s">
        <v>3249</v>
      </c>
      <c r="C4754">
        <v>40</v>
      </c>
      <c r="D4754" t="s">
        <v>21</v>
      </c>
      <c r="E4754" t="s">
        <v>34</v>
      </c>
      <c r="F4754" t="s">
        <v>16</v>
      </c>
      <c r="G4754" t="s">
        <v>36</v>
      </c>
      <c r="H4754">
        <v>2191.21</v>
      </c>
      <c r="I4754" s="8" t="str" cm="1">
        <f t="array" ref="I4754">_xlfn.IFS(C4754&lt;=15,"Children and Young Adolescents", C4754&gt;64, "Seniors", TRUE, "Working Age")</f>
        <v>Working Age</v>
      </c>
      <c r="J4754" s="6">
        <f>VLOOKUP(F4754,Analysis!$F$1:$G$5,2,FALSE)</f>
        <v>2509.1716796874912</v>
      </c>
      <c r="K4754">
        <f t="shared" si="296"/>
        <v>2410.33</v>
      </c>
      <c r="L4754">
        <f t="shared" si="297"/>
        <v>2410.34</v>
      </c>
      <c r="M4754">
        <f t="shared" si="298"/>
        <v>2410.33</v>
      </c>
      <c r="N4754" s="5" t="str">
        <f t="shared" si="299"/>
        <v>November 2023</v>
      </c>
    </row>
    <row r="4755" spans="1:14" x14ac:dyDescent="0.25">
      <c r="A4755" s="1">
        <v>45256</v>
      </c>
      <c r="B4755" t="s">
        <v>2324</v>
      </c>
      <c r="C4755">
        <v>49</v>
      </c>
      <c r="D4755" t="s">
        <v>9</v>
      </c>
      <c r="E4755" t="s">
        <v>25</v>
      </c>
      <c r="F4755" t="s">
        <v>29</v>
      </c>
      <c r="G4755" t="s">
        <v>27</v>
      </c>
      <c r="H4755">
        <v>2662.4</v>
      </c>
      <c r="I4755" s="8" t="str" cm="1">
        <f t="array" ref="I4755">_xlfn.IFS(C4755&lt;=15,"Children and Young Adolescents", C4755&gt;64, "Seniors", TRUE, "Working Age")</f>
        <v>Working Age</v>
      </c>
      <c r="J4755" s="6">
        <f>VLOOKUP(F4755,Analysis!$F$1:$G$5,2,FALSE)</f>
        <v>2496.7676064256989</v>
      </c>
      <c r="K4755">
        <f t="shared" si="296"/>
        <v>2928.64</v>
      </c>
      <c r="L4755">
        <f t="shared" si="297"/>
        <v>2928.64</v>
      </c>
      <c r="M4755">
        <f t="shared" si="298"/>
        <v>2928.64</v>
      </c>
      <c r="N4755" s="5" t="str">
        <f t="shared" si="299"/>
        <v>November 2023</v>
      </c>
    </row>
    <row r="4756" spans="1:14" x14ac:dyDescent="0.25">
      <c r="A4756" s="1">
        <v>45256</v>
      </c>
      <c r="B4756" t="s">
        <v>3782</v>
      </c>
      <c r="C4756">
        <v>31</v>
      </c>
      <c r="D4756" t="s">
        <v>14</v>
      </c>
      <c r="E4756" t="s">
        <v>10</v>
      </c>
      <c r="F4756" t="s">
        <v>29</v>
      </c>
      <c r="G4756" t="s">
        <v>27</v>
      </c>
      <c r="H4756">
        <v>199.62</v>
      </c>
      <c r="I4756" s="8" t="str" cm="1">
        <f t="array" ref="I4756">_xlfn.IFS(C4756&lt;=15,"Children and Young Adolescents", C4756&gt;64, "Seniors", TRUE, "Working Age")</f>
        <v>Working Age</v>
      </c>
      <c r="J4756" s="6">
        <f>VLOOKUP(F4756,Analysis!$F$1:$G$5,2,FALSE)</f>
        <v>2496.7676064256989</v>
      </c>
      <c r="K4756">
        <f t="shared" si="296"/>
        <v>219.58</v>
      </c>
      <c r="L4756">
        <f t="shared" si="297"/>
        <v>219.59</v>
      </c>
      <c r="M4756">
        <f t="shared" si="298"/>
        <v>219.58</v>
      </c>
      <c r="N4756" s="5" t="str">
        <f t="shared" si="299"/>
        <v>November 2023</v>
      </c>
    </row>
    <row r="4757" spans="1:14" x14ac:dyDescent="0.25">
      <c r="A4757" s="1">
        <v>45256</v>
      </c>
      <c r="B4757" t="s">
        <v>3040</v>
      </c>
      <c r="C4757">
        <v>50</v>
      </c>
      <c r="D4757" t="s">
        <v>14</v>
      </c>
      <c r="E4757" t="s">
        <v>22</v>
      </c>
      <c r="F4757" t="s">
        <v>11</v>
      </c>
      <c r="G4757" t="s">
        <v>27</v>
      </c>
      <c r="H4757">
        <v>964.26</v>
      </c>
      <c r="I4757" s="8" t="str" cm="1">
        <f t="array" ref="I4757">_xlfn.IFS(C4757&lt;=15,"Children and Young Adolescents", C4757&gt;64, "Seniors", TRUE, "Working Age")</f>
        <v>Working Age</v>
      </c>
      <c r="J4757" s="6">
        <f>VLOOKUP(F4757,Analysis!$F$1:$G$5,2,FALSE)</f>
        <v>2503.6022787783854</v>
      </c>
      <c r="K4757">
        <f t="shared" si="296"/>
        <v>1060.68</v>
      </c>
      <c r="L4757">
        <f t="shared" si="297"/>
        <v>1060.69</v>
      </c>
      <c r="M4757">
        <f t="shared" si="298"/>
        <v>1060.69</v>
      </c>
      <c r="N4757" s="5" t="str">
        <f t="shared" si="299"/>
        <v>November 2023</v>
      </c>
    </row>
    <row r="4758" spans="1:14" x14ac:dyDescent="0.25">
      <c r="A4758" s="1">
        <v>45256</v>
      </c>
      <c r="B4758" t="s">
        <v>2569</v>
      </c>
      <c r="C4758">
        <v>82</v>
      </c>
      <c r="D4758" t="s">
        <v>14</v>
      </c>
      <c r="E4758" t="s">
        <v>34</v>
      </c>
      <c r="F4758" t="s">
        <v>29</v>
      </c>
      <c r="G4758" t="s">
        <v>36</v>
      </c>
      <c r="H4758">
        <v>4377.05</v>
      </c>
      <c r="I4758" s="8" t="str" cm="1">
        <f t="array" ref="I4758">_xlfn.IFS(C4758&lt;=15,"Children and Young Adolescents", C4758&gt;64, "Seniors", TRUE, "Working Age")</f>
        <v>Seniors</v>
      </c>
      <c r="J4758" s="6">
        <f>VLOOKUP(F4758,Analysis!$F$1:$G$5,2,FALSE)</f>
        <v>2496.7676064256989</v>
      </c>
      <c r="K4758">
        <f t="shared" si="296"/>
        <v>4814.75</v>
      </c>
      <c r="L4758">
        <f t="shared" si="297"/>
        <v>4814.76</v>
      </c>
      <c r="M4758">
        <f t="shared" si="298"/>
        <v>4814.76</v>
      </c>
      <c r="N4758" s="5" t="str">
        <f t="shared" si="299"/>
        <v>November 2023</v>
      </c>
    </row>
    <row r="4759" spans="1:14" x14ac:dyDescent="0.25">
      <c r="A4759" s="1">
        <v>45256</v>
      </c>
      <c r="B4759" t="s">
        <v>2297</v>
      </c>
      <c r="C4759">
        <v>68</v>
      </c>
      <c r="D4759" t="s">
        <v>14</v>
      </c>
      <c r="E4759" t="s">
        <v>19</v>
      </c>
      <c r="F4759" t="s">
        <v>23</v>
      </c>
      <c r="G4759" t="s">
        <v>39</v>
      </c>
      <c r="H4759">
        <v>1359</v>
      </c>
      <c r="I4759" s="8" t="str" cm="1">
        <f t="array" ref="I4759">_xlfn.IFS(C4759&lt;=15,"Children and Young Adolescents", C4759&gt;64, "Seniors", TRUE, "Working Age")</f>
        <v>Seniors</v>
      </c>
      <c r="J4759" s="6">
        <f>VLOOKUP(F4759,Analysis!$F$1:$G$5,2,FALSE)</f>
        <v>2440.2966694490838</v>
      </c>
      <c r="K4759">
        <f t="shared" si="296"/>
        <v>1494.9</v>
      </c>
      <c r="L4759">
        <f t="shared" si="297"/>
        <v>1494.9</v>
      </c>
      <c r="M4759">
        <f t="shared" si="298"/>
        <v>1494.9</v>
      </c>
      <c r="N4759" s="5" t="str">
        <f t="shared" si="299"/>
        <v>November 2023</v>
      </c>
    </row>
    <row r="4760" spans="1:14" x14ac:dyDescent="0.25">
      <c r="A4760" s="1">
        <v>45257</v>
      </c>
      <c r="B4760" t="s">
        <v>3314</v>
      </c>
      <c r="C4760">
        <v>92</v>
      </c>
      <c r="D4760" t="s">
        <v>9</v>
      </c>
      <c r="E4760" t="s">
        <v>10</v>
      </c>
      <c r="F4760" t="s">
        <v>11</v>
      </c>
      <c r="G4760" t="s">
        <v>36</v>
      </c>
      <c r="H4760">
        <v>1436.99</v>
      </c>
      <c r="I4760" s="8" t="str" cm="1">
        <f t="array" ref="I4760">_xlfn.IFS(C4760&lt;=15,"Children and Young Adolescents", C4760&gt;64, "Seniors", TRUE, "Working Age")</f>
        <v>Seniors</v>
      </c>
      <c r="J4760" s="6">
        <f>VLOOKUP(F4760,Analysis!$F$1:$G$5,2,FALSE)</f>
        <v>2503.6022787783854</v>
      </c>
      <c r="K4760">
        <f t="shared" si="296"/>
        <v>1580.68</v>
      </c>
      <c r="L4760">
        <f t="shared" si="297"/>
        <v>1580.69</v>
      </c>
      <c r="M4760">
        <f t="shared" si="298"/>
        <v>1580.69</v>
      </c>
      <c r="N4760" s="5" t="str">
        <f t="shared" si="299"/>
        <v>November 2023</v>
      </c>
    </row>
    <row r="4761" spans="1:14" x14ac:dyDescent="0.25">
      <c r="A4761" s="1">
        <v>45257</v>
      </c>
      <c r="B4761" t="s">
        <v>4457</v>
      </c>
      <c r="C4761">
        <v>52</v>
      </c>
      <c r="D4761" t="s">
        <v>21</v>
      </c>
      <c r="E4761" t="s">
        <v>15</v>
      </c>
      <c r="F4761" t="s">
        <v>29</v>
      </c>
      <c r="G4761" t="s">
        <v>12</v>
      </c>
      <c r="H4761">
        <v>1516.01</v>
      </c>
      <c r="I4761" s="8" t="str" cm="1">
        <f t="array" ref="I4761">_xlfn.IFS(C4761&lt;=15,"Children and Young Adolescents", C4761&gt;64, "Seniors", TRUE, "Working Age")</f>
        <v>Working Age</v>
      </c>
      <c r="J4761" s="6">
        <f>VLOOKUP(F4761,Analysis!$F$1:$G$5,2,FALSE)</f>
        <v>2496.7676064256989</v>
      </c>
      <c r="K4761">
        <f t="shared" si="296"/>
        <v>1667.61</v>
      </c>
      <c r="L4761">
        <f t="shared" si="297"/>
        <v>1667.62</v>
      </c>
      <c r="M4761">
        <f t="shared" si="298"/>
        <v>1667.61</v>
      </c>
      <c r="N4761" s="5" t="str">
        <f t="shared" si="299"/>
        <v>November 2023</v>
      </c>
    </row>
    <row r="4762" spans="1:14" x14ac:dyDescent="0.25">
      <c r="A4762" s="1">
        <v>45257</v>
      </c>
      <c r="B4762" t="s">
        <v>4112</v>
      </c>
      <c r="C4762">
        <v>49</v>
      </c>
      <c r="D4762" t="s">
        <v>14</v>
      </c>
      <c r="E4762" t="s">
        <v>34</v>
      </c>
      <c r="F4762" t="s">
        <v>23</v>
      </c>
      <c r="G4762" t="s">
        <v>27</v>
      </c>
      <c r="H4762">
        <v>2829.96</v>
      </c>
      <c r="I4762" s="8" t="str" cm="1">
        <f t="array" ref="I4762">_xlfn.IFS(C4762&lt;=15,"Children and Young Adolescents", C4762&gt;64, "Seniors", TRUE, "Working Age")</f>
        <v>Working Age</v>
      </c>
      <c r="J4762" s="6">
        <f>VLOOKUP(F4762,Analysis!$F$1:$G$5,2,FALSE)</f>
        <v>2440.2966694490838</v>
      </c>
      <c r="K4762">
        <f t="shared" si="296"/>
        <v>3112.95</v>
      </c>
      <c r="L4762">
        <f t="shared" si="297"/>
        <v>3112.96</v>
      </c>
      <c r="M4762">
        <f t="shared" si="298"/>
        <v>3112.96</v>
      </c>
      <c r="N4762" s="5" t="str">
        <f t="shared" si="299"/>
        <v>November 2023</v>
      </c>
    </row>
    <row r="4763" spans="1:14" x14ac:dyDescent="0.25">
      <c r="A4763" s="1">
        <v>45257</v>
      </c>
      <c r="B4763" t="s">
        <v>3599</v>
      </c>
      <c r="C4763">
        <v>85</v>
      </c>
      <c r="D4763" t="s">
        <v>9</v>
      </c>
      <c r="E4763" t="s">
        <v>19</v>
      </c>
      <c r="F4763" t="s">
        <v>29</v>
      </c>
      <c r="G4763" t="s">
        <v>36</v>
      </c>
      <c r="H4763">
        <v>630.07000000000005</v>
      </c>
      <c r="I4763" s="8" t="str" cm="1">
        <f t="array" ref="I4763">_xlfn.IFS(C4763&lt;=15,"Children and Young Adolescents", C4763&gt;64, "Seniors", TRUE, "Working Age")</f>
        <v>Seniors</v>
      </c>
      <c r="J4763" s="6">
        <f>VLOOKUP(F4763,Analysis!$F$1:$G$5,2,FALSE)</f>
        <v>2496.7676064256989</v>
      </c>
      <c r="K4763">
        <f t="shared" si="296"/>
        <v>693.07</v>
      </c>
      <c r="L4763">
        <f t="shared" si="297"/>
        <v>693.08</v>
      </c>
      <c r="M4763">
        <f t="shared" si="298"/>
        <v>693.08</v>
      </c>
      <c r="N4763" s="5" t="str">
        <f t="shared" si="299"/>
        <v>November 2023</v>
      </c>
    </row>
    <row r="4764" spans="1:14" x14ac:dyDescent="0.25">
      <c r="A4764" s="1">
        <v>45257</v>
      </c>
      <c r="B4764" t="s">
        <v>2909</v>
      </c>
      <c r="C4764">
        <v>9</v>
      </c>
      <c r="D4764" t="s">
        <v>21</v>
      </c>
      <c r="E4764" t="s">
        <v>32</v>
      </c>
      <c r="F4764" t="s">
        <v>16</v>
      </c>
      <c r="G4764" t="s">
        <v>17</v>
      </c>
      <c r="H4764">
        <v>2513.84</v>
      </c>
      <c r="I4764" s="8" t="str" cm="1">
        <f t="array" ref="I4764">_xlfn.IFS(C4764&lt;=15,"Children and Young Adolescents", C4764&gt;64, "Seniors", TRUE, "Working Age")</f>
        <v>Children and Young Adolescents</v>
      </c>
      <c r="J4764" s="6">
        <f>VLOOKUP(F4764,Analysis!$F$1:$G$5,2,FALSE)</f>
        <v>2509.1716796874912</v>
      </c>
      <c r="K4764">
        <f t="shared" si="296"/>
        <v>2765.22</v>
      </c>
      <c r="L4764">
        <f t="shared" si="297"/>
        <v>2765.23</v>
      </c>
      <c r="M4764">
        <f t="shared" si="298"/>
        <v>2765.22</v>
      </c>
      <c r="N4764" s="5" t="str">
        <f t="shared" si="299"/>
        <v>November 2023</v>
      </c>
    </row>
    <row r="4765" spans="1:14" x14ac:dyDescent="0.25">
      <c r="A4765" s="1">
        <v>45257</v>
      </c>
      <c r="B4765" t="s">
        <v>3359</v>
      </c>
      <c r="C4765">
        <v>67</v>
      </c>
      <c r="D4765" t="s">
        <v>9</v>
      </c>
      <c r="E4765" t="s">
        <v>10</v>
      </c>
      <c r="F4765" t="s">
        <v>23</v>
      </c>
      <c r="G4765" t="s">
        <v>27</v>
      </c>
      <c r="H4765">
        <v>2076.06</v>
      </c>
      <c r="I4765" s="8" t="str" cm="1">
        <f t="array" ref="I4765">_xlfn.IFS(C4765&lt;=15,"Children and Young Adolescents", C4765&gt;64, "Seniors", TRUE, "Working Age")</f>
        <v>Seniors</v>
      </c>
      <c r="J4765" s="6">
        <f>VLOOKUP(F4765,Analysis!$F$1:$G$5,2,FALSE)</f>
        <v>2440.2966694490838</v>
      </c>
      <c r="K4765">
        <f t="shared" si="296"/>
        <v>2283.66</v>
      </c>
      <c r="L4765">
        <f t="shared" si="297"/>
        <v>2283.67</v>
      </c>
      <c r="M4765">
        <f t="shared" si="298"/>
        <v>2283.67</v>
      </c>
      <c r="N4765" s="5" t="str">
        <f t="shared" si="299"/>
        <v>November 2023</v>
      </c>
    </row>
    <row r="4766" spans="1:14" x14ac:dyDescent="0.25">
      <c r="A4766" s="1">
        <v>45258</v>
      </c>
      <c r="B4766" t="s">
        <v>4024</v>
      </c>
      <c r="C4766">
        <v>94</v>
      </c>
      <c r="D4766" t="s">
        <v>14</v>
      </c>
      <c r="E4766" t="s">
        <v>19</v>
      </c>
      <c r="F4766" t="s">
        <v>16</v>
      </c>
      <c r="G4766" t="s">
        <v>27</v>
      </c>
      <c r="H4766">
        <v>2691.38</v>
      </c>
      <c r="I4766" s="8" t="str" cm="1">
        <f t="array" ref="I4766">_xlfn.IFS(C4766&lt;=15,"Children and Young Adolescents", C4766&gt;64, "Seniors", TRUE, "Working Age")</f>
        <v>Seniors</v>
      </c>
      <c r="J4766" s="6">
        <f>VLOOKUP(F4766,Analysis!$F$1:$G$5,2,FALSE)</f>
        <v>2509.1716796874912</v>
      </c>
      <c r="K4766">
        <f t="shared" si="296"/>
        <v>2960.51</v>
      </c>
      <c r="L4766">
        <f t="shared" si="297"/>
        <v>2960.5200000000004</v>
      </c>
      <c r="M4766">
        <f t="shared" si="298"/>
        <v>2960.52</v>
      </c>
      <c r="N4766" s="5" t="str">
        <f t="shared" si="299"/>
        <v>November 2023</v>
      </c>
    </row>
    <row r="4767" spans="1:14" x14ac:dyDescent="0.25">
      <c r="A4767" s="1">
        <v>45258</v>
      </c>
      <c r="B4767" t="s">
        <v>609</v>
      </c>
      <c r="C4767">
        <v>16</v>
      </c>
      <c r="D4767" t="s">
        <v>14</v>
      </c>
      <c r="E4767" t="s">
        <v>32</v>
      </c>
      <c r="F4767" t="s">
        <v>29</v>
      </c>
      <c r="G4767" t="s">
        <v>39</v>
      </c>
      <c r="H4767">
        <v>3106.16</v>
      </c>
      <c r="I4767" s="8" t="str" cm="1">
        <f t="array" ref="I4767">_xlfn.IFS(C4767&lt;=15,"Children and Young Adolescents", C4767&gt;64, "Seniors", TRUE, "Working Age")</f>
        <v>Working Age</v>
      </c>
      <c r="J4767" s="6">
        <f>VLOOKUP(F4767,Analysis!$F$1:$G$5,2,FALSE)</f>
        <v>2496.7676064256989</v>
      </c>
      <c r="K4767">
        <f t="shared" si="296"/>
        <v>3416.77</v>
      </c>
      <c r="L4767">
        <f t="shared" si="297"/>
        <v>3416.78</v>
      </c>
      <c r="M4767">
        <f t="shared" si="298"/>
        <v>3416.78</v>
      </c>
      <c r="N4767" s="5" t="str">
        <f t="shared" si="299"/>
        <v>November 2023</v>
      </c>
    </row>
    <row r="4768" spans="1:14" x14ac:dyDescent="0.25">
      <c r="A4768" s="1">
        <v>45258</v>
      </c>
      <c r="B4768" t="s">
        <v>2985</v>
      </c>
      <c r="C4768">
        <v>26</v>
      </c>
      <c r="D4768" t="s">
        <v>14</v>
      </c>
      <c r="E4768" t="s">
        <v>32</v>
      </c>
      <c r="F4768" t="s">
        <v>11</v>
      </c>
      <c r="G4768" t="s">
        <v>39</v>
      </c>
      <c r="H4768">
        <v>4278.13</v>
      </c>
      <c r="I4768" s="8" t="str" cm="1">
        <f t="array" ref="I4768">_xlfn.IFS(C4768&lt;=15,"Children and Young Adolescents", C4768&gt;64, "Seniors", TRUE, "Working Age")</f>
        <v>Working Age</v>
      </c>
      <c r="J4768" s="6">
        <f>VLOOKUP(F4768,Analysis!$F$1:$G$5,2,FALSE)</f>
        <v>2503.6022787783854</v>
      </c>
      <c r="K4768">
        <f t="shared" si="296"/>
        <v>4705.9399999999996</v>
      </c>
      <c r="L4768">
        <f t="shared" si="297"/>
        <v>4705.95</v>
      </c>
      <c r="M4768">
        <f t="shared" si="298"/>
        <v>4705.9399999999996</v>
      </c>
      <c r="N4768" s="5" t="str">
        <f t="shared" si="299"/>
        <v>November 2023</v>
      </c>
    </row>
    <row r="4769" spans="1:14" x14ac:dyDescent="0.25">
      <c r="A4769" s="1">
        <v>45258</v>
      </c>
      <c r="B4769" t="s">
        <v>2988</v>
      </c>
      <c r="C4769">
        <v>96</v>
      </c>
      <c r="D4769" t="s">
        <v>9</v>
      </c>
      <c r="E4769" t="s">
        <v>34</v>
      </c>
      <c r="F4769" t="s">
        <v>16</v>
      </c>
      <c r="G4769" t="s">
        <v>36</v>
      </c>
      <c r="H4769">
        <v>3469.78</v>
      </c>
      <c r="I4769" s="8" t="str" cm="1">
        <f t="array" ref="I4769">_xlfn.IFS(C4769&lt;=15,"Children and Young Adolescents", C4769&gt;64, "Seniors", TRUE, "Working Age")</f>
        <v>Seniors</v>
      </c>
      <c r="J4769" s="6">
        <f>VLOOKUP(F4769,Analysis!$F$1:$G$5,2,FALSE)</f>
        <v>2509.1716796874912</v>
      </c>
      <c r="K4769">
        <f t="shared" si="296"/>
        <v>3816.75</v>
      </c>
      <c r="L4769">
        <f t="shared" si="297"/>
        <v>3816.76</v>
      </c>
      <c r="M4769">
        <f t="shared" si="298"/>
        <v>3816.76</v>
      </c>
      <c r="N4769" s="5" t="str">
        <f t="shared" si="299"/>
        <v>November 2023</v>
      </c>
    </row>
    <row r="4770" spans="1:14" x14ac:dyDescent="0.25">
      <c r="A4770" s="1">
        <v>45258</v>
      </c>
      <c r="B4770" t="s">
        <v>1732</v>
      </c>
      <c r="C4770">
        <v>50</v>
      </c>
      <c r="D4770" t="s">
        <v>9</v>
      </c>
      <c r="E4770" t="s">
        <v>15</v>
      </c>
      <c r="F4770" t="s">
        <v>29</v>
      </c>
      <c r="G4770" t="s">
        <v>39</v>
      </c>
      <c r="H4770">
        <v>1922.11</v>
      </c>
      <c r="I4770" s="8" t="str" cm="1">
        <f t="array" ref="I4770">_xlfn.IFS(C4770&lt;=15,"Children and Young Adolescents", C4770&gt;64, "Seniors", TRUE, "Working Age")</f>
        <v>Working Age</v>
      </c>
      <c r="J4770" s="6">
        <f>VLOOKUP(F4770,Analysis!$F$1:$G$5,2,FALSE)</f>
        <v>2496.7676064256989</v>
      </c>
      <c r="K4770">
        <f t="shared" si="296"/>
        <v>2114.3200000000002</v>
      </c>
      <c r="L4770">
        <f t="shared" si="297"/>
        <v>2114.3300000000004</v>
      </c>
      <c r="M4770">
        <f t="shared" si="298"/>
        <v>2114.3200000000002</v>
      </c>
      <c r="N4770" s="5" t="str">
        <f t="shared" si="299"/>
        <v>November 2023</v>
      </c>
    </row>
    <row r="4771" spans="1:14" x14ac:dyDescent="0.25">
      <c r="A4771" s="1">
        <v>45258</v>
      </c>
      <c r="B4771" t="s">
        <v>4098</v>
      </c>
      <c r="C4771">
        <v>89</v>
      </c>
      <c r="D4771" t="s">
        <v>14</v>
      </c>
      <c r="E4771" t="s">
        <v>32</v>
      </c>
      <c r="F4771" t="s">
        <v>23</v>
      </c>
      <c r="G4771" t="s">
        <v>12</v>
      </c>
      <c r="H4771">
        <v>4061.99</v>
      </c>
      <c r="I4771" s="8" t="str" cm="1">
        <f t="array" ref="I4771">_xlfn.IFS(C4771&lt;=15,"Children and Young Adolescents", C4771&gt;64, "Seniors", TRUE, "Working Age")</f>
        <v>Seniors</v>
      </c>
      <c r="J4771" s="6">
        <f>VLOOKUP(F4771,Analysis!$F$1:$G$5,2,FALSE)</f>
        <v>2440.2966694490838</v>
      </c>
      <c r="K4771">
        <f t="shared" si="296"/>
        <v>4468.18</v>
      </c>
      <c r="L4771">
        <f t="shared" si="297"/>
        <v>4468.1900000000005</v>
      </c>
      <c r="M4771">
        <f t="shared" si="298"/>
        <v>4468.1899999999996</v>
      </c>
      <c r="N4771" s="5" t="str">
        <f t="shared" si="299"/>
        <v>November 2023</v>
      </c>
    </row>
    <row r="4772" spans="1:14" x14ac:dyDescent="0.25">
      <c r="A4772" s="1">
        <v>45258</v>
      </c>
      <c r="B4772" t="s">
        <v>2092</v>
      </c>
      <c r="C4772">
        <v>72</v>
      </c>
      <c r="D4772" t="s">
        <v>14</v>
      </c>
      <c r="E4772" t="s">
        <v>19</v>
      </c>
      <c r="F4772" t="s">
        <v>11</v>
      </c>
      <c r="G4772" t="s">
        <v>39</v>
      </c>
      <c r="H4772">
        <v>4216.22</v>
      </c>
      <c r="I4772" s="8" t="str" cm="1">
        <f t="array" ref="I4772">_xlfn.IFS(C4772&lt;=15,"Children and Young Adolescents", C4772&gt;64, "Seniors", TRUE, "Working Age")</f>
        <v>Seniors</v>
      </c>
      <c r="J4772" s="6">
        <f>VLOOKUP(F4772,Analysis!$F$1:$G$5,2,FALSE)</f>
        <v>2503.6022787783854</v>
      </c>
      <c r="K4772">
        <f t="shared" si="296"/>
        <v>4637.84</v>
      </c>
      <c r="L4772">
        <f t="shared" si="297"/>
        <v>4637.8500000000004</v>
      </c>
      <c r="M4772">
        <f t="shared" si="298"/>
        <v>4637.84</v>
      </c>
      <c r="N4772" s="5" t="str">
        <f t="shared" si="299"/>
        <v>November 2023</v>
      </c>
    </row>
    <row r="4773" spans="1:14" x14ac:dyDescent="0.25">
      <c r="A4773" s="1">
        <v>45258</v>
      </c>
      <c r="B4773" t="s">
        <v>24</v>
      </c>
      <c r="C4773">
        <v>61</v>
      </c>
      <c r="D4773" t="s">
        <v>21</v>
      </c>
      <c r="E4773" t="s">
        <v>25</v>
      </c>
      <c r="F4773" t="s">
        <v>23</v>
      </c>
      <c r="G4773" t="s">
        <v>17</v>
      </c>
      <c r="H4773">
        <v>2817.94</v>
      </c>
      <c r="I4773" s="8" t="str" cm="1">
        <f t="array" ref="I4773">_xlfn.IFS(C4773&lt;=15,"Children and Young Adolescents", C4773&gt;64, "Seniors", TRUE, "Working Age")</f>
        <v>Working Age</v>
      </c>
      <c r="J4773" s="6">
        <f>VLOOKUP(F4773,Analysis!$F$1:$G$5,2,FALSE)</f>
        <v>2440.2966694490838</v>
      </c>
      <c r="K4773">
        <f t="shared" si="296"/>
        <v>3099.73</v>
      </c>
      <c r="L4773">
        <f t="shared" si="297"/>
        <v>3099.7400000000002</v>
      </c>
      <c r="M4773">
        <f t="shared" si="298"/>
        <v>3099.73</v>
      </c>
      <c r="N4773" s="5" t="str">
        <f t="shared" si="299"/>
        <v>November 2023</v>
      </c>
    </row>
    <row r="4774" spans="1:14" x14ac:dyDescent="0.25">
      <c r="A4774" s="1">
        <v>45258</v>
      </c>
      <c r="B4774" t="s">
        <v>774</v>
      </c>
      <c r="C4774">
        <v>90</v>
      </c>
      <c r="D4774" t="s">
        <v>14</v>
      </c>
      <c r="E4774" t="s">
        <v>10</v>
      </c>
      <c r="F4774" t="s">
        <v>16</v>
      </c>
      <c r="G4774" t="s">
        <v>27</v>
      </c>
      <c r="H4774">
        <v>3098</v>
      </c>
      <c r="I4774" s="8" t="str" cm="1">
        <f t="array" ref="I4774">_xlfn.IFS(C4774&lt;=15,"Children and Young Adolescents", C4774&gt;64, "Seniors", TRUE, "Working Age")</f>
        <v>Seniors</v>
      </c>
      <c r="J4774" s="6">
        <f>VLOOKUP(F4774,Analysis!$F$1:$G$5,2,FALSE)</f>
        <v>2509.1716796874912</v>
      </c>
      <c r="K4774">
        <f t="shared" si="296"/>
        <v>3407.8</v>
      </c>
      <c r="L4774">
        <f t="shared" si="297"/>
        <v>3407.8</v>
      </c>
      <c r="M4774">
        <f t="shared" si="298"/>
        <v>3407.8</v>
      </c>
      <c r="N4774" s="5" t="str">
        <f t="shared" si="299"/>
        <v>November 2023</v>
      </c>
    </row>
    <row r="4775" spans="1:14" x14ac:dyDescent="0.25">
      <c r="A4775" s="1">
        <v>45258</v>
      </c>
      <c r="B4775" t="s">
        <v>3682</v>
      </c>
      <c r="C4775">
        <v>20</v>
      </c>
      <c r="D4775" t="s">
        <v>14</v>
      </c>
      <c r="E4775" t="s">
        <v>25</v>
      </c>
      <c r="F4775" t="s">
        <v>11</v>
      </c>
      <c r="G4775" t="s">
        <v>12</v>
      </c>
      <c r="H4775">
        <v>3722.34</v>
      </c>
      <c r="I4775" s="8" t="str" cm="1">
        <f t="array" ref="I4775">_xlfn.IFS(C4775&lt;=15,"Children and Young Adolescents", C4775&gt;64, "Seniors", TRUE, "Working Age")</f>
        <v>Working Age</v>
      </c>
      <c r="J4775" s="6">
        <f>VLOOKUP(F4775,Analysis!$F$1:$G$5,2,FALSE)</f>
        <v>2503.6022787783854</v>
      </c>
      <c r="K4775">
        <f t="shared" si="296"/>
        <v>4094.57</v>
      </c>
      <c r="L4775">
        <f t="shared" si="297"/>
        <v>4094.5800000000004</v>
      </c>
      <c r="M4775">
        <f t="shared" si="298"/>
        <v>4094.57</v>
      </c>
      <c r="N4775" s="5" t="str">
        <f t="shared" si="299"/>
        <v>November 2023</v>
      </c>
    </row>
    <row r="4776" spans="1:14" x14ac:dyDescent="0.25">
      <c r="A4776" s="1">
        <v>45258</v>
      </c>
      <c r="B4776" t="s">
        <v>3829</v>
      </c>
      <c r="C4776">
        <v>47</v>
      </c>
      <c r="D4776" t="s">
        <v>9</v>
      </c>
      <c r="E4776" t="s">
        <v>15</v>
      </c>
      <c r="F4776" t="s">
        <v>23</v>
      </c>
      <c r="G4776" t="s">
        <v>17</v>
      </c>
      <c r="H4776">
        <v>3407.78</v>
      </c>
      <c r="I4776" s="8" t="str" cm="1">
        <f t="array" ref="I4776">_xlfn.IFS(C4776&lt;=15,"Children and Young Adolescents", C4776&gt;64, "Seniors", TRUE, "Working Age")</f>
        <v>Working Age</v>
      </c>
      <c r="J4776" s="6">
        <f>VLOOKUP(F4776,Analysis!$F$1:$G$5,2,FALSE)</f>
        <v>2440.2966694490838</v>
      </c>
      <c r="K4776">
        <f t="shared" si="296"/>
        <v>3748.55</v>
      </c>
      <c r="L4776">
        <f t="shared" si="297"/>
        <v>3748.5600000000004</v>
      </c>
      <c r="M4776">
        <f t="shared" si="298"/>
        <v>3748.56</v>
      </c>
      <c r="N4776" s="5" t="str">
        <f t="shared" si="299"/>
        <v>November 2023</v>
      </c>
    </row>
    <row r="4777" spans="1:14" x14ac:dyDescent="0.25">
      <c r="A4777" s="1">
        <v>45258</v>
      </c>
      <c r="B4777" t="s">
        <v>287</v>
      </c>
      <c r="C4777">
        <v>40</v>
      </c>
      <c r="D4777" t="s">
        <v>21</v>
      </c>
      <c r="E4777" t="s">
        <v>34</v>
      </c>
      <c r="F4777" t="s">
        <v>16</v>
      </c>
      <c r="G4777" t="s">
        <v>5033</v>
      </c>
      <c r="H4777">
        <v>551.1</v>
      </c>
      <c r="I4777" s="8" t="str" cm="1">
        <f t="array" ref="I4777">_xlfn.IFS(C4777&lt;=15,"Children and Young Adolescents", C4777&gt;64, "Seniors", TRUE, "Working Age")</f>
        <v>Working Age</v>
      </c>
      <c r="J4777" s="6">
        <f>VLOOKUP(F4777,Analysis!$F$1:$G$5,2,FALSE)</f>
        <v>2509.1716796874912</v>
      </c>
      <c r="K4777">
        <f t="shared" si="296"/>
        <v>606.21</v>
      </c>
      <c r="L4777">
        <f t="shared" si="297"/>
        <v>606.21</v>
      </c>
      <c r="M4777">
        <f t="shared" si="298"/>
        <v>606.21</v>
      </c>
      <c r="N4777" s="5" t="str">
        <f t="shared" si="299"/>
        <v>November 2023</v>
      </c>
    </row>
    <row r="4778" spans="1:14" x14ac:dyDescent="0.25">
      <c r="A4778" s="1">
        <v>45259</v>
      </c>
      <c r="B4778" t="s">
        <v>314</v>
      </c>
      <c r="C4778">
        <v>33</v>
      </c>
      <c r="D4778" t="s">
        <v>14</v>
      </c>
      <c r="E4778" t="s">
        <v>22</v>
      </c>
      <c r="F4778" t="s">
        <v>16</v>
      </c>
      <c r="G4778" t="s">
        <v>39</v>
      </c>
      <c r="H4778">
        <v>3433.54</v>
      </c>
      <c r="I4778" s="8" t="str" cm="1">
        <f t="array" ref="I4778">_xlfn.IFS(C4778&lt;=15,"Children and Young Adolescents", C4778&gt;64, "Seniors", TRUE, "Working Age")</f>
        <v>Working Age</v>
      </c>
      <c r="J4778" s="6">
        <f>VLOOKUP(F4778,Analysis!$F$1:$G$5,2,FALSE)</f>
        <v>2509.1716796874912</v>
      </c>
      <c r="K4778">
        <f t="shared" si="296"/>
        <v>3776.89</v>
      </c>
      <c r="L4778">
        <f t="shared" si="297"/>
        <v>3776.9</v>
      </c>
      <c r="M4778">
        <f t="shared" si="298"/>
        <v>3776.89</v>
      </c>
      <c r="N4778" s="5" t="str">
        <f t="shared" si="299"/>
        <v>November 2023</v>
      </c>
    </row>
    <row r="4779" spans="1:14" x14ac:dyDescent="0.25">
      <c r="A4779" s="1">
        <v>45259</v>
      </c>
      <c r="B4779" t="s">
        <v>4088</v>
      </c>
      <c r="C4779">
        <v>90</v>
      </c>
      <c r="D4779" t="s">
        <v>21</v>
      </c>
      <c r="E4779" t="s">
        <v>25</v>
      </c>
      <c r="F4779" t="s">
        <v>29</v>
      </c>
      <c r="G4779" t="s">
        <v>39</v>
      </c>
      <c r="H4779">
        <v>814.27</v>
      </c>
      <c r="I4779" s="8" t="str" cm="1">
        <f t="array" ref="I4779">_xlfn.IFS(C4779&lt;=15,"Children and Young Adolescents", C4779&gt;64, "Seniors", TRUE, "Working Age")</f>
        <v>Seniors</v>
      </c>
      <c r="J4779" s="6">
        <f>VLOOKUP(F4779,Analysis!$F$1:$G$5,2,FALSE)</f>
        <v>2496.7676064256989</v>
      </c>
      <c r="K4779">
        <f t="shared" si="296"/>
        <v>895.69</v>
      </c>
      <c r="L4779">
        <f t="shared" si="297"/>
        <v>895.7</v>
      </c>
      <c r="M4779">
        <f t="shared" si="298"/>
        <v>895.7</v>
      </c>
      <c r="N4779" s="5" t="str">
        <f t="shared" si="299"/>
        <v>November 2023</v>
      </c>
    </row>
    <row r="4780" spans="1:14" x14ac:dyDescent="0.25">
      <c r="A4780" s="1">
        <v>45259</v>
      </c>
      <c r="B4780" t="s">
        <v>756</v>
      </c>
      <c r="C4780">
        <v>16</v>
      </c>
      <c r="D4780" t="s">
        <v>14</v>
      </c>
      <c r="E4780" t="s">
        <v>15</v>
      </c>
      <c r="F4780" t="s">
        <v>16</v>
      </c>
      <c r="G4780" t="s">
        <v>17</v>
      </c>
      <c r="H4780">
        <v>3580.04</v>
      </c>
      <c r="I4780" s="8" t="str" cm="1">
        <f t="array" ref="I4780">_xlfn.IFS(C4780&lt;=15,"Children and Young Adolescents", C4780&gt;64, "Seniors", TRUE, "Working Age")</f>
        <v>Working Age</v>
      </c>
      <c r="J4780" s="6">
        <f>VLOOKUP(F4780,Analysis!$F$1:$G$5,2,FALSE)</f>
        <v>2509.1716796874912</v>
      </c>
      <c r="K4780">
        <f t="shared" si="296"/>
        <v>3938.04</v>
      </c>
      <c r="L4780">
        <f t="shared" si="297"/>
        <v>3938.05</v>
      </c>
      <c r="M4780">
        <f t="shared" si="298"/>
        <v>3938.04</v>
      </c>
      <c r="N4780" s="5" t="str">
        <f t="shared" si="299"/>
        <v>November 2023</v>
      </c>
    </row>
    <row r="4781" spans="1:14" x14ac:dyDescent="0.25">
      <c r="A4781" s="1">
        <v>45259</v>
      </c>
      <c r="B4781" t="s">
        <v>3267</v>
      </c>
      <c r="C4781">
        <v>28</v>
      </c>
      <c r="D4781" t="s">
        <v>21</v>
      </c>
      <c r="E4781" t="s">
        <v>34</v>
      </c>
      <c r="F4781" t="s">
        <v>11</v>
      </c>
      <c r="G4781" t="s">
        <v>17</v>
      </c>
      <c r="H4781">
        <v>3460.49</v>
      </c>
      <c r="I4781" s="8" t="str" cm="1">
        <f t="array" ref="I4781">_xlfn.IFS(C4781&lt;=15,"Children and Young Adolescents", C4781&gt;64, "Seniors", TRUE, "Working Age")</f>
        <v>Working Age</v>
      </c>
      <c r="J4781" s="6">
        <f>VLOOKUP(F4781,Analysis!$F$1:$G$5,2,FALSE)</f>
        <v>2503.6022787783854</v>
      </c>
      <c r="K4781">
        <f t="shared" si="296"/>
        <v>3806.53</v>
      </c>
      <c r="L4781">
        <f t="shared" si="297"/>
        <v>3806.5400000000004</v>
      </c>
      <c r="M4781">
        <f t="shared" si="298"/>
        <v>3806.54</v>
      </c>
      <c r="N4781" s="5" t="str">
        <f t="shared" si="299"/>
        <v>November 2023</v>
      </c>
    </row>
    <row r="4782" spans="1:14" x14ac:dyDescent="0.25">
      <c r="A4782" s="1">
        <v>45259</v>
      </c>
      <c r="B4782" t="s">
        <v>1813</v>
      </c>
      <c r="C4782">
        <v>73</v>
      </c>
      <c r="D4782" t="s">
        <v>9</v>
      </c>
      <c r="E4782" t="s">
        <v>19</v>
      </c>
      <c r="F4782" t="s">
        <v>16</v>
      </c>
      <c r="G4782" t="s">
        <v>17</v>
      </c>
      <c r="H4782">
        <v>966.27</v>
      </c>
      <c r="I4782" s="8" t="str" cm="1">
        <f t="array" ref="I4782">_xlfn.IFS(C4782&lt;=15,"Children and Young Adolescents", C4782&gt;64, "Seniors", TRUE, "Working Age")</f>
        <v>Seniors</v>
      </c>
      <c r="J4782" s="6">
        <f>VLOOKUP(F4782,Analysis!$F$1:$G$5,2,FALSE)</f>
        <v>2509.1716796874912</v>
      </c>
      <c r="K4782">
        <f t="shared" si="296"/>
        <v>1062.8900000000001</v>
      </c>
      <c r="L4782">
        <f t="shared" si="297"/>
        <v>1062.9000000000001</v>
      </c>
      <c r="M4782">
        <f t="shared" si="298"/>
        <v>1062.9000000000001</v>
      </c>
      <c r="N4782" s="5" t="str">
        <f t="shared" si="299"/>
        <v>November 2023</v>
      </c>
    </row>
    <row r="4783" spans="1:14" x14ac:dyDescent="0.25">
      <c r="A4783" s="1">
        <v>45259</v>
      </c>
      <c r="B4783" t="s">
        <v>4028</v>
      </c>
      <c r="C4783">
        <v>41</v>
      </c>
      <c r="D4783" t="s">
        <v>9</v>
      </c>
      <c r="E4783" t="s">
        <v>34</v>
      </c>
      <c r="F4783" t="s">
        <v>11</v>
      </c>
      <c r="G4783" t="s">
        <v>17</v>
      </c>
      <c r="H4783">
        <v>1622.96</v>
      </c>
      <c r="I4783" s="8" t="str" cm="1">
        <f t="array" ref="I4783">_xlfn.IFS(C4783&lt;=15,"Children and Young Adolescents", C4783&gt;64, "Seniors", TRUE, "Working Age")</f>
        <v>Working Age</v>
      </c>
      <c r="J4783" s="6">
        <f>VLOOKUP(F4783,Analysis!$F$1:$G$5,2,FALSE)</f>
        <v>2503.6022787783854</v>
      </c>
      <c r="K4783">
        <f t="shared" si="296"/>
        <v>1785.25</v>
      </c>
      <c r="L4783">
        <f t="shared" si="297"/>
        <v>1785.26</v>
      </c>
      <c r="M4783">
        <f t="shared" si="298"/>
        <v>1785.26</v>
      </c>
      <c r="N4783" s="5" t="str">
        <f t="shared" si="299"/>
        <v>November 2023</v>
      </c>
    </row>
    <row r="4784" spans="1:14" x14ac:dyDescent="0.25">
      <c r="A4784" s="1">
        <v>45259</v>
      </c>
      <c r="B4784" t="s">
        <v>4505</v>
      </c>
      <c r="C4784">
        <v>45</v>
      </c>
      <c r="D4784" t="s">
        <v>9</v>
      </c>
      <c r="E4784" t="s">
        <v>19</v>
      </c>
      <c r="F4784" t="s">
        <v>11</v>
      </c>
      <c r="G4784" t="s">
        <v>36</v>
      </c>
      <c r="H4784">
        <v>4493.32</v>
      </c>
      <c r="I4784" s="8" t="str" cm="1">
        <f t="array" ref="I4784">_xlfn.IFS(C4784&lt;=15,"Children and Young Adolescents", C4784&gt;64, "Seniors", TRUE, "Working Age")</f>
        <v>Working Age</v>
      </c>
      <c r="J4784" s="6">
        <f>VLOOKUP(F4784,Analysis!$F$1:$G$5,2,FALSE)</f>
        <v>2503.6022787783854</v>
      </c>
      <c r="K4784">
        <f t="shared" si="296"/>
        <v>4942.6499999999996</v>
      </c>
      <c r="L4784">
        <f t="shared" si="297"/>
        <v>4942.66</v>
      </c>
      <c r="M4784">
        <f t="shared" si="298"/>
        <v>4942.6499999999996</v>
      </c>
      <c r="N4784" s="5" t="str">
        <f t="shared" si="299"/>
        <v>November 2023</v>
      </c>
    </row>
    <row r="4785" spans="1:14" x14ac:dyDescent="0.25">
      <c r="A4785" s="1">
        <v>45259</v>
      </c>
      <c r="B4785" t="s">
        <v>78</v>
      </c>
      <c r="C4785">
        <v>78</v>
      </c>
      <c r="D4785" t="s">
        <v>14</v>
      </c>
      <c r="E4785" t="s">
        <v>34</v>
      </c>
      <c r="F4785" t="s">
        <v>11</v>
      </c>
      <c r="G4785" t="s">
        <v>12</v>
      </c>
      <c r="H4785">
        <v>3601.76</v>
      </c>
      <c r="I4785" s="8" t="str" cm="1">
        <f t="array" ref="I4785">_xlfn.IFS(C4785&lt;=15,"Children and Young Adolescents", C4785&gt;64, "Seniors", TRUE, "Working Age")</f>
        <v>Seniors</v>
      </c>
      <c r="J4785" s="6">
        <f>VLOOKUP(F4785,Analysis!$F$1:$G$5,2,FALSE)</f>
        <v>2503.6022787783854</v>
      </c>
      <c r="K4785">
        <f t="shared" si="296"/>
        <v>3961.93</v>
      </c>
      <c r="L4785">
        <f t="shared" si="297"/>
        <v>3961.94</v>
      </c>
      <c r="M4785">
        <f t="shared" si="298"/>
        <v>3961.94</v>
      </c>
      <c r="N4785" s="5" t="str">
        <f t="shared" si="299"/>
        <v>November 2023</v>
      </c>
    </row>
    <row r="4786" spans="1:14" x14ac:dyDescent="0.25">
      <c r="A4786" s="1">
        <v>45260</v>
      </c>
      <c r="B4786" t="s">
        <v>2908</v>
      </c>
      <c r="C4786">
        <v>44</v>
      </c>
      <c r="D4786" t="s">
        <v>14</v>
      </c>
      <c r="E4786" t="s">
        <v>34</v>
      </c>
      <c r="F4786" t="s">
        <v>23</v>
      </c>
      <c r="G4786" t="s">
        <v>12</v>
      </c>
      <c r="H4786">
        <v>3630.9</v>
      </c>
      <c r="I4786" s="8" t="str" cm="1">
        <f t="array" ref="I4786">_xlfn.IFS(C4786&lt;=15,"Children and Young Adolescents", C4786&gt;64, "Seniors", TRUE, "Working Age")</f>
        <v>Working Age</v>
      </c>
      <c r="J4786" s="6">
        <f>VLOOKUP(F4786,Analysis!$F$1:$G$5,2,FALSE)</f>
        <v>2440.2966694490838</v>
      </c>
      <c r="K4786">
        <f t="shared" si="296"/>
        <v>3993.99</v>
      </c>
      <c r="L4786">
        <f t="shared" si="297"/>
        <v>3993.99</v>
      </c>
      <c r="M4786">
        <f t="shared" si="298"/>
        <v>3993.99</v>
      </c>
      <c r="N4786" s="5" t="str">
        <f t="shared" si="299"/>
        <v>November 2023</v>
      </c>
    </row>
    <row r="4787" spans="1:14" x14ac:dyDescent="0.25">
      <c r="A4787" s="1">
        <v>45260</v>
      </c>
      <c r="B4787" t="s">
        <v>3373</v>
      </c>
      <c r="C4787">
        <v>98</v>
      </c>
      <c r="D4787" t="s">
        <v>9</v>
      </c>
      <c r="E4787" t="s">
        <v>10</v>
      </c>
      <c r="F4787" t="s">
        <v>23</v>
      </c>
      <c r="G4787" t="s">
        <v>39</v>
      </c>
      <c r="H4787">
        <v>492.47</v>
      </c>
      <c r="I4787" s="8" t="str" cm="1">
        <f t="array" ref="I4787">_xlfn.IFS(C4787&lt;=15,"Children and Young Adolescents", C4787&gt;64, "Seniors", TRUE, "Working Age")</f>
        <v>Seniors</v>
      </c>
      <c r="J4787" s="6">
        <f>VLOOKUP(F4787,Analysis!$F$1:$G$5,2,FALSE)</f>
        <v>2440.2966694490838</v>
      </c>
      <c r="K4787">
        <f t="shared" si="296"/>
        <v>541.71</v>
      </c>
      <c r="L4787">
        <f t="shared" si="297"/>
        <v>541.72</v>
      </c>
      <c r="M4787">
        <f t="shared" si="298"/>
        <v>541.72</v>
      </c>
      <c r="N4787" s="5" t="str">
        <f t="shared" si="299"/>
        <v>November 2023</v>
      </c>
    </row>
    <row r="4788" spans="1:14" x14ac:dyDescent="0.25">
      <c r="A4788" s="1">
        <v>45260</v>
      </c>
      <c r="B4788" t="s">
        <v>115</v>
      </c>
      <c r="C4788">
        <v>71</v>
      </c>
      <c r="D4788" t="s">
        <v>14</v>
      </c>
      <c r="E4788" t="s">
        <v>32</v>
      </c>
      <c r="F4788" t="s">
        <v>23</v>
      </c>
      <c r="G4788" t="s">
        <v>39</v>
      </c>
      <c r="H4788">
        <v>1975.74</v>
      </c>
      <c r="I4788" s="8" t="str" cm="1">
        <f t="array" ref="I4788">_xlfn.IFS(C4788&lt;=15,"Children and Young Adolescents", C4788&gt;64, "Seniors", TRUE, "Working Age")</f>
        <v>Seniors</v>
      </c>
      <c r="J4788" s="6">
        <f>VLOOKUP(F4788,Analysis!$F$1:$G$5,2,FALSE)</f>
        <v>2440.2966694490838</v>
      </c>
      <c r="K4788">
        <f t="shared" si="296"/>
        <v>2173.31</v>
      </c>
      <c r="L4788">
        <f t="shared" si="297"/>
        <v>2173.3200000000002</v>
      </c>
      <c r="M4788">
        <f t="shared" si="298"/>
        <v>2173.31</v>
      </c>
      <c r="N4788" s="5" t="str">
        <f t="shared" si="299"/>
        <v>November 2023</v>
      </c>
    </row>
    <row r="4789" spans="1:14" x14ac:dyDescent="0.25">
      <c r="A4789" s="1">
        <v>45260</v>
      </c>
      <c r="B4789" t="s">
        <v>469</v>
      </c>
      <c r="C4789">
        <v>81</v>
      </c>
      <c r="D4789" t="s">
        <v>9</v>
      </c>
      <c r="E4789" t="s">
        <v>10</v>
      </c>
      <c r="F4789" t="s">
        <v>11</v>
      </c>
      <c r="G4789" t="s">
        <v>17</v>
      </c>
      <c r="H4789">
        <v>4211.8999999999996</v>
      </c>
      <c r="I4789" s="8" t="str" cm="1">
        <f t="array" ref="I4789">_xlfn.IFS(C4789&lt;=15,"Children and Young Adolescents", C4789&gt;64, "Seniors", TRUE, "Working Age")</f>
        <v>Seniors</v>
      </c>
      <c r="J4789" s="6">
        <f>VLOOKUP(F4789,Analysis!$F$1:$G$5,2,FALSE)</f>
        <v>2503.6022787783854</v>
      </c>
      <c r="K4789">
        <f t="shared" si="296"/>
        <v>4633.09</v>
      </c>
      <c r="L4789">
        <f t="shared" si="297"/>
        <v>4633.09</v>
      </c>
      <c r="M4789">
        <f t="shared" si="298"/>
        <v>4633.09</v>
      </c>
      <c r="N4789" s="5" t="str">
        <f t="shared" si="299"/>
        <v>November 2023</v>
      </c>
    </row>
    <row r="4790" spans="1:14" x14ac:dyDescent="0.25">
      <c r="A4790" s="1">
        <v>45260</v>
      </c>
      <c r="B4790" t="s">
        <v>1228</v>
      </c>
      <c r="C4790">
        <v>46</v>
      </c>
      <c r="D4790" t="s">
        <v>21</v>
      </c>
      <c r="E4790" t="s">
        <v>19</v>
      </c>
      <c r="F4790" t="s">
        <v>11</v>
      </c>
      <c r="G4790" t="s">
        <v>17</v>
      </c>
      <c r="H4790">
        <v>822.2</v>
      </c>
      <c r="I4790" s="8" t="str" cm="1">
        <f t="array" ref="I4790">_xlfn.IFS(C4790&lt;=15,"Children and Young Adolescents", C4790&gt;64, "Seniors", TRUE, "Working Age")</f>
        <v>Working Age</v>
      </c>
      <c r="J4790" s="6">
        <f>VLOOKUP(F4790,Analysis!$F$1:$G$5,2,FALSE)</f>
        <v>2503.6022787783854</v>
      </c>
      <c r="K4790">
        <f t="shared" si="296"/>
        <v>904.42</v>
      </c>
      <c r="L4790">
        <f t="shared" si="297"/>
        <v>904.42</v>
      </c>
      <c r="M4790">
        <f t="shared" si="298"/>
        <v>904.42</v>
      </c>
      <c r="N4790" s="5" t="str">
        <f t="shared" si="299"/>
        <v>November 2023</v>
      </c>
    </row>
    <row r="4791" spans="1:14" x14ac:dyDescent="0.25">
      <c r="A4791" s="1">
        <v>45260</v>
      </c>
      <c r="B4791" t="s">
        <v>2814</v>
      </c>
      <c r="C4791">
        <v>32</v>
      </c>
      <c r="D4791" t="s">
        <v>9</v>
      </c>
      <c r="E4791" t="s">
        <v>32</v>
      </c>
      <c r="F4791" t="s">
        <v>11</v>
      </c>
      <c r="G4791" t="s">
        <v>27</v>
      </c>
      <c r="H4791">
        <v>3869.82</v>
      </c>
      <c r="I4791" s="8" t="str" cm="1">
        <f t="array" ref="I4791">_xlfn.IFS(C4791&lt;=15,"Children and Young Adolescents", C4791&gt;64, "Seniors", TRUE, "Working Age")</f>
        <v>Working Age</v>
      </c>
      <c r="J4791" s="6">
        <f>VLOOKUP(F4791,Analysis!$F$1:$G$5,2,FALSE)</f>
        <v>2503.6022787783854</v>
      </c>
      <c r="K4791">
        <f t="shared" si="296"/>
        <v>4256.8</v>
      </c>
      <c r="L4791">
        <f t="shared" si="297"/>
        <v>4256.8100000000004</v>
      </c>
      <c r="M4791">
        <f t="shared" si="298"/>
        <v>4256.8</v>
      </c>
      <c r="N4791" s="5" t="str">
        <f t="shared" si="299"/>
        <v>November 2023</v>
      </c>
    </row>
    <row r="4792" spans="1:14" x14ac:dyDescent="0.25">
      <c r="A4792" s="1">
        <v>45261</v>
      </c>
      <c r="B4792" t="s">
        <v>812</v>
      </c>
      <c r="C4792">
        <v>86</v>
      </c>
      <c r="D4792" t="s">
        <v>21</v>
      </c>
      <c r="E4792" t="s">
        <v>32</v>
      </c>
      <c r="F4792" t="s">
        <v>11</v>
      </c>
      <c r="G4792" t="s">
        <v>12</v>
      </c>
      <c r="H4792">
        <v>3860.03</v>
      </c>
      <c r="I4792" s="8" t="str" cm="1">
        <f t="array" ref="I4792">_xlfn.IFS(C4792&lt;=15,"Children and Young Adolescents", C4792&gt;64, "Seniors", TRUE, "Working Age")</f>
        <v>Seniors</v>
      </c>
      <c r="J4792" s="6">
        <f>VLOOKUP(F4792,Analysis!$F$1:$G$5,2,FALSE)</f>
        <v>2503.6022787783854</v>
      </c>
      <c r="K4792">
        <f t="shared" si="296"/>
        <v>4246.03</v>
      </c>
      <c r="L4792">
        <f t="shared" si="297"/>
        <v>4246.04</v>
      </c>
      <c r="M4792">
        <f t="shared" si="298"/>
        <v>4246.03</v>
      </c>
      <c r="N4792" s="5" t="str">
        <f t="shared" si="299"/>
        <v>December 2023</v>
      </c>
    </row>
    <row r="4793" spans="1:14" x14ac:dyDescent="0.25">
      <c r="A4793" s="1">
        <v>45261</v>
      </c>
      <c r="B4793" t="s">
        <v>605</v>
      </c>
      <c r="C4793">
        <v>16</v>
      </c>
      <c r="D4793" t="s">
        <v>9</v>
      </c>
      <c r="E4793" t="s">
        <v>15</v>
      </c>
      <c r="F4793" t="s">
        <v>23</v>
      </c>
      <c r="G4793" t="s">
        <v>27</v>
      </c>
      <c r="H4793">
        <v>3973.8</v>
      </c>
      <c r="I4793" s="8" t="str" cm="1">
        <f t="array" ref="I4793">_xlfn.IFS(C4793&lt;=15,"Children and Young Adolescents", C4793&gt;64, "Seniors", TRUE, "Working Age")</f>
        <v>Working Age</v>
      </c>
      <c r="J4793" s="6">
        <f>VLOOKUP(F4793,Analysis!$F$1:$G$5,2,FALSE)</f>
        <v>2440.2966694490838</v>
      </c>
      <c r="K4793">
        <f t="shared" si="296"/>
        <v>4371.18</v>
      </c>
      <c r="L4793">
        <f t="shared" si="297"/>
        <v>4371.18</v>
      </c>
      <c r="M4793">
        <f t="shared" si="298"/>
        <v>4371.18</v>
      </c>
      <c r="N4793" s="5" t="str">
        <f t="shared" si="299"/>
        <v>December 2023</v>
      </c>
    </row>
    <row r="4794" spans="1:14" x14ac:dyDescent="0.25">
      <c r="A4794" s="1">
        <v>45261</v>
      </c>
      <c r="B4794" t="s">
        <v>626</v>
      </c>
      <c r="C4794">
        <v>80</v>
      </c>
      <c r="D4794" t="s">
        <v>14</v>
      </c>
      <c r="E4794" t="s">
        <v>19</v>
      </c>
      <c r="F4794" t="s">
        <v>29</v>
      </c>
      <c r="G4794" t="s">
        <v>39</v>
      </c>
      <c r="H4794">
        <v>3697.67</v>
      </c>
      <c r="I4794" s="8" t="str" cm="1">
        <f t="array" ref="I4794">_xlfn.IFS(C4794&lt;=15,"Children and Young Adolescents", C4794&gt;64, "Seniors", TRUE, "Working Age")</f>
        <v>Seniors</v>
      </c>
      <c r="J4794" s="6">
        <f>VLOOKUP(F4794,Analysis!$F$1:$G$5,2,FALSE)</f>
        <v>2496.7676064256989</v>
      </c>
      <c r="K4794">
        <f t="shared" si="296"/>
        <v>4067.43</v>
      </c>
      <c r="L4794">
        <f t="shared" si="297"/>
        <v>4067.44</v>
      </c>
      <c r="M4794">
        <f t="shared" si="298"/>
        <v>4067.44</v>
      </c>
      <c r="N4794" s="5" t="str">
        <f t="shared" si="299"/>
        <v>December 2023</v>
      </c>
    </row>
    <row r="4795" spans="1:14" x14ac:dyDescent="0.25">
      <c r="A4795" s="1">
        <v>45261</v>
      </c>
      <c r="B4795" t="s">
        <v>4348</v>
      </c>
      <c r="C4795">
        <v>71</v>
      </c>
      <c r="D4795" t="s">
        <v>14</v>
      </c>
      <c r="E4795" t="s">
        <v>32</v>
      </c>
      <c r="F4795" t="s">
        <v>16</v>
      </c>
      <c r="G4795" t="s">
        <v>36</v>
      </c>
      <c r="H4795">
        <v>4139.76</v>
      </c>
      <c r="I4795" s="8" t="str" cm="1">
        <f t="array" ref="I4795">_xlfn.IFS(C4795&lt;=15,"Children and Young Adolescents", C4795&gt;64, "Seniors", TRUE, "Working Age")</f>
        <v>Seniors</v>
      </c>
      <c r="J4795" s="6">
        <f>VLOOKUP(F4795,Analysis!$F$1:$G$5,2,FALSE)</f>
        <v>2509.1716796874912</v>
      </c>
      <c r="K4795">
        <f t="shared" si="296"/>
        <v>4553.7299999999996</v>
      </c>
      <c r="L4795">
        <f t="shared" si="297"/>
        <v>4553.74</v>
      </c>
      <c r="M4795">
        <f t="shared" si="298"/>
        <v>4553.74</v>
      </c>
      <c r="N4795" s="5" t="str">
        <f t="shared" si="299"/>
        <v>December 2023</v>
      </c>
    </row>
    <row r="4796" spans="1:14" x14ac:dyDescent="0.25">
      <c r="A4796" s="1">
        <v>45261</v>
      </c>
      <c r="B4796" t="s">
        <v>829</v>
      </c>
      <c r="C4796">
        <v>53</v>
      </c>
      <c r="D4796" t="s">
        <v>21</v>
      </c>
      <c r="E4796" t="s">
        <v>10</v>
      </c>
      <c r="F4796" t="s">
        <v>16</v>
      </c>
      <c r="G4796" t="s">
        <v>39</v>
      </c>
      <c r="H4796">
        <v>4902.0200000000004</v>
      </c>
      <c r="I4796" s="8" t="str" cm="1">
        <f t="array" ref="I4796">_xlfn.IFS(C4796&lt;=15,"Children and Young Adolescents", C4796&gt;64, "Seniors", TRUE, "Working Age")</f>
        <v>Working Age</v>
      </c>
      <c r="J4796" s="6">
        <f>VLOOKUP(F4796,Analysis!$F$1:$G$5,2,FALSE)</f>
        <v>2509.1716796874912</v>
      </c>
      <c r="K4796">
        <f t="shared" si="296"/>
        <v>5392.22</v>
      </c>
      <c r="L4796">
        <f t="shared" si="297"/>
        <v>5392.2300000000005</v>
      </c>
      <c r="M4796">
        <f t="shared" si="298"/>
        <v>5392.22</v>
      </c>
      <c r="N4796" s="5" t="str">
        <f t="shared" si="299"/>
        <v>December 2023</v>
      </c>
    </row>
    <row r="4797" spans="1:14" x14ac:dyDescent="0.25">
      <c r="A4797" s="1">
        <v>45261</v>
      </c>
      <c r="B4797" t="s">
        <v>3659</v>
      </c>
      <c r="C4797">
        <v>68</v>
      </c>
      <c r="D4797" t="s">
        <v>14</v>
      </c>
      <c r="E4797" t="s">
        <v>32</v>
      </c>
      <c r="F4797" t="s">
        <v>11</v>
      </c>
      <c r="G4797" t="s">
        <v>27</v>
      </c>
      <c r="H4797">
        <v>1292.77</v>
      </c>
      <c r="I4797" s="8" t="str" cm="1">
        <f t="array" ref="I4797">_xlfn.IFS(C4797&lt;=15,"Children and Young Adolescents", C4797&gt;64, "Seniors", TRUE, "Working Age")</f>
        <v>Seniors</v>
      </c>
      <c r="J4797" s="6">
        <f>VLOOKUP(F4797,Analysis!$F$1:$G$5,2,FALSE)</f>
        <v>2503.6022787783854</v>
      </c>
      <c r="K4797">
        <f t="shared" si="296"/>
        <v>1422.04</v>
      </c>
      <c r="L4797">
        <f t="shared" si="297"/>
        <v>1422.05</v>
      </c>
      <c r="M4797">
        <f t="shared" si="298"/>
        <v>1422.05</v>
      </c>
      <c r="N4797" s="5" t="str">
        <f t="shared" si="299"/>
        <v>December 2023</v>
      </c>
    </row>
    <row r="4798" spans="1:14" x14ac:dyDescent="0.25">
      <c r="A4798" s="1">
        <v>45261</v>
      </c>
      <c r="B4798" t="s">
        <v>2512</v>
      </c>
      <c r="C4798">
        <v>71</v>
      </c>
      <c r="D4798" t="s">
        <v>14</v>
      </c>
      <c r="E4798" t="s">
        <v>22</v>
      </c>
      <c r="F4798" t="s">
        <v>16</v>
      </c>
      <c r="G4798" t="s">
        <v>39</v>
      </c>
      <c r="H4798">
        <v>4751.6400000000003</v>
      </c>
      <c r="I4798" s="8" t="str" cm="1">
        <f t="array" ref="I4798">_xlfn.IFS(C4798&lt;=15,"Children and Young Adolescents", C4798&gt;64, "Seniors", TRUE, "Working Age")</f>
        <v>Seniors</v>
      </c>
      <c r="J4798" s="6">
        <f>VLOOKUP(F4798,Analysis!$F$1:$G$5,2,FALSE)</f>
        <v>2509.1716796874912</v>
      </c>
      <c r="K4798">
        <f t="shared" si="296"/>
        <v>5226.8</v>
      </c>
      <c r="L4798">
        <f t="shared" si="297"/>
        <v>5226.8100000000004</v>
      </c>
      <c r="M4798">
        <f t="shared" si="298"/>
        <v>5226.8</v>
      </c>
      <c r="N4798" s="5" t="str">
        <f t="shared" si="299"/>
        <v>December 2023</v>
      </c>
    </row>
    <row r="4799" spans="1:14" x14ac:dyDescent="0.25">
      <c r="A4799" s="1">
        <v>45261</v>
      </c>
      <c r="B4799" t="s">
        <v>1802</v>
      </c>
      <c r="C4799">
        <v>87</v>
      </c>
      <c r="D4799" t="s">
        <v>14</v>
      </c>
      <c r="E4799" t="s">
        <v>34</v>
      </c>
      <c r="F4799" t="s">
        <v>11</v>
      </c>
      <c r="G4799" t="s">
        <v>12</v>
      </c>
      <c r="H4799">
        <v>915.99</v>
      </c>
      <c r="I4799" s="8" t="str" cm="1">
        <f t="array" ref="I4799">_xlfn.IFS(C4799&lt;=15,"Children and Young Adolescents", C4799&gt;64, "Seniors", TRUE, "Working Age")</f>
        <v>Seniors</v>
      </c>
      <c r="J4799" s="6">
        <f>VLOOKUP(F4799,Analysis!$F$1:$G$5,2,FALSE)</f>
        <v>2503.6022787783854</v>
      </c>
      <c r="K4799">
        <f t="shared" si="296"/>
        <v>1007.58</v>
      </c>
      <c r="L4799">
        <f t="shared" si="297"/>
        <v>1007.59</v>
      </c>
      <c r="M4799">
        <f t="shared" si="298"/>
        <v>1007.59</v>
      </c>
      <c r="N4799" s="5" t="str">
        <f t="shared" si="299"/>
        <v>December 2023</v>
      </c>
    </row>
    <row r="4800" spans="1:14" x14ac:dyDescent="0.25">
      <c r="A4800" s="1">
        <v>45261</v>
      </c>
      <c r="B4800" t="s">
        <v>4877</v>
      </c>
      <c r="C4800">
        <v>82</v>
      </c>
      <c r="D4800" t="s">
        <v>21</v>
      </c>
      <c r="E4800" t="s">
        <v>5032</v>
      </c>
      <c r="F4800" t="s">
        <v>29</v>
      </c>
      <c r="G4800" t="s">
        <v>17</v>
      </c>
      <c r="H4800">
        <v>1757.94</v>
      </c>
      <c r="I4800" s="8" t="str" cm="1">
        <f t="array" ref="I4800">_xlfn.IFS(C4800&lt;=15,"Children and Young Adolescents", C4800&gt;64, "Seniors", TRUE, "Working Age")</f>
        <v>Seniors</v>
      </c>
      <c r="J4800" s="6">
        <f>VLOOKUP(F4800,Analysis!$F$1:$G$5,2,FALSE)</f>
        <v>2496.7676064256989</v>
      </c>
      <c r="K4800">
        <f t="shared" si="296"/>
        <v>1933.73</v>
      </c>
      <c r="L4800">
        <f t="shared" si="297"/>
        <v>1933.74</v>
      </c>
      <c r="M4800">
        <f t="shared" si="298"/>
        <v>1933.73</v>
      </c>
      <c r="N4800" s="5" t="str">
        <f t="shared" si="299"/>
        <v>December 2023</v>
      </c>
    </row>
    <row r="4801" spans="1:14" x14ac:dyDescent="0.25">
      <c r="A4801" s="1">
        <v>45261</v>
      </c>
      <c r="B4801" t="s">
        <v>3250</v>
      </c>
      <c r="C4801">
        <v>5</v>
      </c>
      <c r="D4801" t="s">
        <v>14</v>
      </c>
      <c r="E4801" t="s">
        <v>10</v>
      </c>
      <c r="F4801" t="s">
        <v>23</v>
      </c>
      <c r="G4801" t="s">
        <v>12</v>
      </c>
      <c r="H4801">
        <v>2538.92</v>
      </c>
      <c r="I4801" s="8" t="str" cm="1">
        <f t="array" ref="I4801">_xlfn.IFS(C4801&lt;=15,"Children and Young Adolescents", C4801&gt;64, "Seniors", TRUE, "Working Age")</f>
        <v>Children and Young Adolescents</v>
      </c>
      <c r="J4801" s="6">
        <f>VLOOKUP(F4801,Analysis!$F$1:$G$5,2,FALSE)</f>
        <v>2440.2966694490838</v>
      </c>
      <c r="K4801">
        <f t="shared" si="296"/>
        <v>2792.81</v>
      </c>
      <c r="L4801">
        <f t="shared" si="297"/>
        <v>2792.82</v>
      </c>
      <c r="M4801">
        <f t="shared" si="298"/>
        <v>2792.81</v>
      </c>
      <c r="N4801" s="5" t="str">
        <f t="shared" si="299"/>
        <v>December 2023</v>
      </c>
    </row>
    <row r="4802" spans="1:14" x14ac:dyDescent="0.25">
      <c r="A4802" s="1">
        <v>45262</v>
      </c>
      <c r="B4802" t="s">
        <v>3653</v>
      </c>
      <c r="C4802">
        <v>31</v>
      </c>
      <c r="D4802" t="s">
        <v>9</v>
      </c>
      <c r="E4802" t="s">
        <v>22</v>
      </c>
      <c r="F4802" t="s">
        <v>11</v>
      </c>
      <c r="G4802" t="s">
        <v>12</v>
      </c>
      <c r="H4802">
        <v>2878.87</v>
      </c>
      <c r="I4802" s="8" t="str" cm="1">
        <f t="array" ref="I4802">_xlfn.IFS(C4802&lt;=15,"Children and Young Adolescents", C4802&gt;64, "Seniors", TRUE, "Working Age")</f>
        <v>Working Age</v>
      </c>
      <c r="J4802" s="6">
        <f>VLOOKUP(F4802,Analysis!$F$1:$G$5,2,FALSE)</f>
        <v>2503.6022787783854</v>
      </c>
      <c r="K4802">
        <f t="shared" si="296"/>
        <v>3166.75</v>
      </c>
      <c r="L4802">
        <f t="shared" si="297"/>
        <v>3166.76</v>
      </c>
      <c r="M4802">
        <f t="shared" si="298"/>
        <v>3166.76</v>
      </c>
      <c r="N4802" s="5" t="str">
        <f t="shared" si="299"/>
        <v>December 2023</v>
      </c>
    </row>
    <row r="4803" spans="1:14" x14ac:dyDescent="0.25">
      <c r="A4803" s="1">
        <v>45262</v>
      </c>
      <c r="B4803" t="s">
        <v>3817</v>
      </c>
      <c r="C4803">
        <v>99</v>
      </c>
      <c r="D4803" t="s">
        <v>14</v>
      </c>
      <c r="E4803" t="s">
        <v>15</v>
      </c>
      <c r="F4803" t="s">
        <v>29</v>
      </c>
      <c r="G4803" t="s">
        <v>39</v>
      </c>
      <c r="H4803">
        <v>1641.45</v>
      </c>
      <c r="I4803" s="8" t="str" cm="1">
        <f t="array" ref="I4803">_xlfn.IFS(C4803&lt;=15,"Children and Young Adolescents", C4803&gt;64, "Seniors", TRUE, "Working Age")</f>
        <v>Seniors</v>
      </c>
      <c r="J4803" s="6">
        <f>VLOOKUP(F4803,Analysis!$F$1:$G$5,2,FALSE)</f>
        <v>2496.7676064256989</v>
      </c>
      <c r="K4803">
        <f t="shared" ref="K4803:K4866" si="300">ROUNDDOWN(H4803*1.1,2)</f>
        <v>1805.59</v>
      </c>
      <c r="L4803">
        <f t="shared" ref="L4803:L4866" si="301">ROUNDUP(H4803*1.1,2)</f>
        <v>1805.6</v>
      </c>
      <c r="M4803">
        <f t="shared" ref="M4803:M4866" si="302">ROUND(H4803*1.1,2)</f>
        <v>1805.6</v>
      </c>
      <c r="N4803" s="5" t="str">
        <f t="shared" ref="N4803:N4866" si="303">TEXT(A4803,"mmmm yyyy")</f>
        <v>December 2023</v>
      </c>
    </row>
    <row r="4804" spans="1:14" x14ac:dyDescent="0.25">
      <c r="A4804" s="1">
        <v>45262</v>
      </c>
      <c r="B4804" t="s">
        <v>3853</v>
      </c>
      <c r="C4804">
        <v>65</v>
      </c>
      <c r="D4804" t="s">
        <v>14</v>
      </c>
      <c r="E4804" t="s">
        <v>19</v>
      </c>
      <c r="F4804" t="s">
        <v>16</v>
      </c>
      <c r="G4804" t="s">
        <v>27</v>
      </c>
      <c r="H4804">
        <v>405.29</v>
      </c>
      <c r="I4804" s="8" t="str" cm="1">
        <f t="array" ref="I4804">_xlfn.IFS(C4804&lt;=15,"Children and Young Adolescents", C4804&gt;64, "Seniors", TRUE, "Working Age")</f>
        <v>Seniors</v>
      </c>
      <c r="J4804" s="6">
        <f>VLOOKUP(F4804,Analysis!$F$1:$G$5,2,FALSE)</f>
        <v>2509.1716796874912</v>
      </c>
      <c r="K4804">
        <f t="shared" si="300"/>
        <v>445.81</v>
      </c>
      <c r="L4804">
        <f t="shared" si="301"/>
        <v>445.82</v>
      </c>
      <c r="M4804">
        <f t="shared" si="302"/>
        <v>445.82</v>
      </c>
      <c r="N4804" s="5" t="str">
        <f t="shared" si="303"/>
        <v>December 2023</v>
      </c>
    </row>
    <row r="4805" spans="1:14" x14ac:dyDescent="0.25">
      <c r="A4805" s="1">
        <v>45262</v>
      </c>
      <c r="B4805" t="s">
        <v>4640</v>
      </c>
      <c r="C4805">
        <v>78</v>
      </c>
      <c r="D4805" t="s">
        <v>21</v>
      </c>
      <c r="E4805" t="s">
        <v>32</v>
      </c>
      <c r="F4805" t="s">
        <v>23</v>
      </c>
      <c r="G4805" t="s">
        <v>39</v>
      </c>
      <c r="H4805">
        <v>155.74</v>
      </c>
      <c r="I4805" s="8" t="str" cm="1">
        <f t="array" ref="I4805">_xlfn.IFS(C4805&lt;=15,"Children and Young Adolescents", C4805&gt;64, "Seniors", TRUE, "Working Age")</f>
        <v>Seniors</v>
      </c>
      <c r="J4805" s="6">
        <f>VLOOKUP(F4805,Analysis!$F$1:$G$5,2,FALSE)</f>
        <v>2440.2966694490838</v>
      </c>
      <c r="K4805">
        <f t="shared" si="300"/>
        <v>171.31</v>
      </c>
      <c r="L4805">
        <f t="shared" si="301"/>
        <v>171.32</v>
      </c>
      <c r="M4805">
        <f t="shared" si="302"/>
        <v>171.31</v>
      </c>
      <c r="N4805" s="5" t="str">
        <f t="shared" si="303"/>
        <v>December 2023</v>
      </c>
    </row>
    <row r="4806" spans="1:14" x14ac:dyDescent="0.25">
      <c r="A4806" s="1">
        <v>45262</v>
      </c>
      <c r="B4806" t="s">
        <v>109</v>
      </c>
      <c r="C4806">
        <v>57</v>
      </c>
      <c r="D4806" t="s">
        <v>21</v>
      </c>
      <c r="E4806" t="s">
        <v>32</v>
      </c>
      <c r="F4806" t="s">
        <v>29</v>
      </c>
      <c r="G4806" t="s">
        <v>39</v>
      </c>
      <c r="H4806">
        <v>3621.04</v>
      </c>
      <c r="I4806" s="8" t="str" cm="1">
        <f t="array" ref="I4806">_xlfn.IFS(C4806&lt;=15,"Children and Young Adolescents", C4806&gt;64, "Seniors", TRUE, "Working Age")</f>
        <v>Working Age</v>
      </c>
      <c r="J4806" s="6">
        <f>VLOOKUP(F4806,Analysis!$F$1:$G$5,2,FALSE)</f>
        <v>2496.7676064256989</v>
      </c>
      <c r="K4806">
        <f t="shared" si="300"/>
        <v>3983.14</v>
      </c>
      <c r="L4806">
        <f t="shared" si="301"/>
        <v>3983.15</v>
      </c>
      <c r="M4806">
        <f t="shared" si="302"/>
        <v>3983.14</v>
      </c>
      <c r="N4806" s="5" t="str">
        <f t="shared" si="303"/>
        <v>December 2023</v>
      </c>
    </row>
    <row r="4807" spans="1:14" x14ac:dyDescent="0.25">
      <c r="A4807" s="1">
        <v>45262</v>
      </c>
      <c r="B4807" t="s">
        <v>1108</v>
      </c>
      <c r="C4807">
        <v>34</v>
      </c>
      <c r="D4807" t="s">
        <v>14</v>
      </c>
      <c r="E4807" t="s">
        <v>22</v>
      </c>
      <c r="F4807" t="s">
        <v>11</v>
      </c>
      <c r="G4807" t="s">
        <v>27</v>
      </c>
      <c r="H4807">
        <v>1934.5</v>
      </c>
      <c r="I4807" s="8" t="str" cm="1">
        <f t="array" ref="I4807">_xlfn.IFS(C4807&lt;=15,"Children and Young Adolescents", C4807&gt;64, "Seniors", TRUE, "Working Age")</f>
        <v>Working Age</v>
      </c>
      <c r="J4807" s="6">
        <f>VLOOKUP(F4807,Analysis!$F$1:$G$5,2,FALSE)</f>
        <v>2503.6022787783854</v>
      </c>
      <c r="K4807">
        <f t="shared" si="300"/>
        <v>2127.9499999999998</v>
      </c>
      <c r="L4807">
        <f t="shared" si="301"/>
        <v>2127.9499999999998</v>
      </c>
      <c r="M4807">
        <f t="shared" si="302"/>
        <v>2127.9499999999998</v>
      </c>
      <c r="N4807" s="5" t="str">
        <f t="shared" si="303"/>
        <v>December 2023</v>
      </c>
    </row>
    <row r="4808" spans="1:14" x14ac:dyDescent="0.25">
      <c r="A4808" s="1">
        <v>45263</v>
      </c>
      <c r="B4808" t="s">
        <v>755</v>
      </c>
      <c r="C4808">
        <v>74</v>
      </c>
      <c r="D4808" t="s">
        <v>21</v>
      </c>
      <c r="E4808" t="s">
        <v>32</v>
      </c>
      <c r="F4808" t="s">
        <v>16</v>
      </c>
      <c r="G4808" t="s">
        <v>27</v>
      </c>
      <c r="H4808">
        <v>4081.17</v>
      </c>
      <c r="I4808" s="8" t="str" cm="1">
        <f t="array" ref="I4808">_xlfn.IFS(C4808&lt;=15,"Children and Young Adolescents", C4808&gt;64, "Seniors", TRUE, "Working Age")</f>
        <v>Seniors</v>
      </c>
      <c r="J4808" s="6">
        <f>VLOOKUP(F4808,Analysis!$F$1:$G$5,2,FALSE)</f>
        <v>2509.1716796874912</v>
      </c>
      <c r="K4808">
        <f t="shared" si="300"/>
        <v>4489.28</v>
      </c>
      <c r="L4808">
        <f t="shared" si="301"/>
        <v>4489.29</v>
      </c>
      <c r="M4808">
        <f t="shared" si="302"/>
        <v>4489.29</v>
      </c>
      <c r="N4808" s="5" t="str">
        <f t="shared" si="303"/>
        <v>December 2023</v>
      </c>
    </row>
    <row r="4809" spans="1:14" x14ac:dyDescent="0.25">
      <c r="A4809" s="1">
        <v>45263</v>
      </c>
      <c r="B4809" t="s">
        <v>3037</v>
      </c>
      <c r="C4809">
        <v>81</v>
      </c>
      <c r="D4809" t="s">
        <v>9</v>
      </c>
      <c r="E4809" t="s">
        <v>22</v>
      </c>
      <c r="F4809" t="s">
        <v>11</v>
      </c>
      <c r="G4809" t="s">
        <v>27</v>
      </c>
      <c r="H4809">
        <v>3499.08</v>
      </c>
      <c r="I4809" s="8" t="str" cm="1">
        <f t="array" ref="I4809">_xlfn.IFS(C4809&lt;=15,"Children and Young Adolescents", C4809&gt;64, "Seniors", TRUE, "Working Age")</f>
        <v>Seniors</v>
      </c>
      <c r="J4809" s="6">
        <f>VLOOKUP(F4809,Analysis!$F$1:$G$5,2,FALSE)</f>
        <v>2503.6022787783854</v>
      </c>
      <c r="K4809">
        <f t="shared" si="300"/>
        <v>3848.98</v>
      </c>
      <c r="L4809">
        <f t="shared" si="301"/>
        <v>3848.9900000000002</v>
      </c>
      <c r="M4809">
        <f t="shared" si="302"/>
        <v>3848.99</v>
      </c>
      <c r="N4809" s="5" t="str">
        <f t="shared" si="303"/>
        <v>December 2023</v>
      </c>
    </row>
    <row r="4810" spans="1:14" x14ac:dyDescent="0.25">
      <c r="A4810" s="1">
        <v>45263</v>
      </c>
      <c r="B4810" t="s">
        <v>4499</v>
      </c>
      <c r="C4810">
        <v>55</v>
      </c>
      <c r="D4810" t="s">
        <v>9</v>
      </c>
      <c r="E4810" t="s">
        <v>34</v>
      </c>
      <c r="F4810" t="s">
        <v>23</v>
      </c>
      <c r="G4810" t="s">
        <v>39</v>
      </c>
      <c r="H4810">
        <v>3592.49</v>
      </c>
      <c r="I4810" s="8" t="str" cm="1">
        <f t="array" ref="I4810">_xlfn.IFS(C4810&lt;=15,"Children and Young Adolescents", C4810&gt;64, "Seniors", TRUE, "Working Age")</f>
        <v>Working Age</v>
      </c>
      <c r="J4810" s="6">
        <f>VLOOKUP(F4810,Analysis!$F$1:$G$5,2,FALSE)</f>
        <v>2440.2966694490838</v>
      </c>
      <c r="K4810">
        <f t="shared" si="300"/>
        <v>3951.73</v>
      </c>
      <c r="L4810">
        <f t="shared" si="301"/>
        <v>3951.7400000000002</v>
      </c>
      <c r="M4810">
        <f t="shared" si="302"/>
        <v>3951.74</v>
      </c>
      <c r="N4810" s="5" t="str">
        <f t="shared" si="303"/>
        <v>December 2023</v>
      </c>
    </row>
    <row r="4811" spans="1:14" x14ac:dyDescent="0.25">
      <c r="A4811" s="1">
        <v>45263</v>
      </c>
      <c r="B4811" t="s">
        <v>2412</v>
      </c>
      <c r="C4811">
        <v>43</v>
      </c>
      <c r="D4811" t="s">
        <v>21</v>
      </c>
      <c r="E4811" t="s">
        <v>32</v>
      </c>
      <c r="F4811" t="s">
        <v>29</v>
      </c>
      <c r="G4811" t="s">
        <v>17</v>
      </c>
      <c r="H4811">
        <v>4233.34</v>
      </c>
      <c r="I4811" s="8" t="str" cm="1">
        <f t="array" ref="I4811">_xlfn.IFS(C4811&lt;=15,"Children and Young Adolescents", C4811&gt;64, "Seniors", TRUE, "Working Age")</f>
        <v>Working Age</v>
      </c>
      <c r="J4811" s="6">
        <f>VLOOKUP(F4811,Analysis!$F$1:$G$5,2,FALSE)</f>
        <v>2496.7676064256989</v>
      </c>
      <c r="K4811">
        <f t="shared" si="300"/>
        <v>4656.67</v>
      </c>
      <c r="L4811">
        <f t="shared" si="301"/>
        <v>4656.68</v>
      </c>
      <c r="M4811">
        <f t="shared" si="302"/>
        <v>4656.67</v>
      </c>
      <c r="N4811" s="5" t="str">
        <f t="shared" si="303"/>
        <v>December 2023</v>
      </c>
    </row>
    <row r="4812" spans="1:14" x14ac:dyDescent="0.25">
      <c r="A4812" s="1">
        <v>45263</v>
      </c>
      <c r="B4812" t="s">
        <v>4664</v>
      </c>
      <c r="C4812">
        <v>50</v>
      </c>
      <c r="D4812" t="s">
        <v>21</v>
      </c>
      <c r="E4812" t="s">
        <v>10</v>
      </c>
      <c r="F4812" t="s">
        <v>29</v>
      </c>
      <c r="G4812" t="s">
        <v>17</v>
      </c>
      <c r="H4812">
        <v>4487.6099999999997</v>
      </c>
      <c r="I4812" s="8" t="str" cm="1">
        <f t="array" ref="I4812">_xlfn.IFS(C4812&lt;=15,"Children and Young Adolescents", C4812&gt;64, "Seniors", TRUE, "Working Age")</f>
        <v>Working Age</v>
      </c>
      <c r="J4812" s="6">
        <f>VLOOKUP(F4812,Analysis!$F$1:$G$5,2,FALSE)</f>
        <v>2496.7676064256989</v>
      </c>
      <c r="K4812">
        <f t="shared" si="300"/>
        <v>4936.37</v>
      </c>
      <c r="L4812">
        <f t="shared" si="301"/>
        <v>4936.38</v>
      </c>
      <c r="M4812">
        <f t="shared" si="302"/>
        <v>4936.37</v>
      </c>
      <c r="N4812" s="5" t="str">
        <f t="shared" si="303"/>
        <v>December 2023</v>
      </c>
    </row>
    <row r="4813" spans="1:14" x14ac:dyDescent="0.25">
      <c r="A4813" s="1">
        <v>45263</v>
      </c>
      <c r="B4813" t="s">
        <v>3166</v>
      </c>
      <c r="C4813">
        <v>59</v>
      </c>
      <c r="D4813" t="s">
        <v>9</v>
      </c>
      <c r="E4813" t="s">
        <v>34</v>
      </c>
      <c r="F4813" t="s">
        <v>29</v>
      </c>
      <c r="G4813" t="s">
        <v>27</v>
      </c>
      <c r="H4813">
        <v>1160.55</v>
      </c>
      <c r="I4813" s="8" t="str" cm="1">
        <f t="array" ref="I4813">_xlfn.IFS(C4813&lt;=15,"Children and Young Adolescents", C4813&gt;64, "Seniors", TRUE, "Working Age")</f>
        <v>Working Age</v>
      </c>
      <c r="J4813" s="6">
        <f>VLOOKUP(F4813,Analysis!$F$1:$G$5,2,FALSE)</f>
        <v>2496.7676064256989</v>
      </c>
      <c r="K4813">
        <f t="shared" si="300"/>
        <v>1276.5999999999999</v>
      </c>
      <c r="L4813">
        <f t="shared" si="301"/>
        <v>1276.6099999999999</v>
      </c>
      <c r="M4813">
        <f t="shared" si="302"/>
        <v>1276.6099999999999</v>
      </c>
      <c r="N4813" s="5" t="str">
        <f t="shared" si="303"/>
        <v>December 2023</v>
      </c>
    </row>
    <row r="4814" spans="1:14" x14ac:dyDescent="0.25">
      <c r="A4814" s="1">
        <v>45264</v>
      </c>
      <c r="B4814" t="s">
        <v>1006</v>
      </c>
      <c r="C4814">
        <v>44</v>
      </c>
      <c r="D4814" t="s">
        <v>21</v>
      </c>
      <c r="E4814" t="s">
        <v>32</v>
      </c>
      <c r="F4814" t="s">
        <v>29</v>
      </c>
      <c r="G4814" t="s">
        <v>36</v>
      </c>
      <c r="H4814">
        <v>3870.86</v>
      </c>
      <c r="I4814" s="8" t="str" cm="1">
        <f t="array" ref="I4814">_xlfn.IFS(C4814&lt;=15,"Children and Young Adolescents", C4814&gt;64, "Seniors", TRUE, "Working Age")</f>
        <v>Working Age</v>
      </c>
      <c r="J4814" s="6">
        <f>VLOOKUP(F4814,Analysis!$F$1:$G$5,2,FALSE)</f>
        <v>2496.7676064256989</v>
      </c>
      <c r="K4814">
        <f t="shared" si="300"/>
        <v>4257.9399999999996</v>
      </c>
      <c r="L4814">
        <f t="shared" si="301"/>
        <v>4257.95</v>
      </c>
      <c r="M4814">
        <f t="shared" si="302"/>
        <v>4257.95</v>
      </c>
      <c r="N4814" s="5" t="str">
        <f t="shared" si="303"/>
        <v>December 2023</v>
      </c>
    </row>
    <row r="4815" spans="1:14" x14ac:dyDescent="0.25">
      <c r="A4815" s="1">
        <v>45265</v>
      </c>
      <c r="B4815" t="s">
        <v>4515</v>
      </c>
      <c r="C4815">
        <v>24</v>
      </c>
      <c r="D4815" t="s">
        <v>21</v>
      </c>
      <c r="E4815" t="s">
        <v>34</v>
      </c>
      <c r="F4815" t="s">
        <v>23</v>
      </c>
      <c r="G4815" t="s">
        <v>36</v>
      </c>
      <c r="H4815">
        <v>4740.4399999999996</v>
      </c>
      <c r="I4815" s="8" t="str" cm="1">
        <f t="array" ref="I4815">_xlfn.IFS(C4815&lt;=15,"Children and Young Adolescents", C4815&gt;64, "Seniors", TRUE, "Working Age")</f>
        <v>Working Age</v>
      </c>
      <c r="J4815" s="6">
        <f>VLOOKUP(F4815,Analysis!$F$1:$G$5,2,FALSE)</f>
        <v>2440.2966694490838</v>
      </c>
      <c r="K4815">
        <f t="shared" si="300"/>
        <v>5214.4799999999996</v>
      </c>
      <c r="L4815">
        <f t="shared" si="301"/>
        <v>5214.49</v>
      </c>
      <c r="M4815">
        <f t="shared" si="302"/>
        <v>5214.4799999999996</v>
      </c>
      <c r="N4815" s="5" t="str">
        <f t="shared" si="303"/>
        <v>December 2023</v>
      </c>
    </row>
    <row r="4816" spans="1:14" x14ac:dyDescent="0.25">
      <c r="A4816" s="1">
        <v>45265</v>
      </c>
      <c r="B4816" t="s">
        <v>2446</v>
      </c>
      <c r="C4816">
        <v>22</v>
      </c>
      <c r="D4816" t="s">
        <v>9</v>
      </c>
      <c r="E4816" t="s">
        <v>10</v>
      </c>
      <c r="F4816" t="s">
        <v>11</v>
      </c>
      <c r="G4816" t="s">
        <v>12</v>
      </c>
      <c r="H4816">
        <v>561.84</v>
      </c>
      <c r="I4816" s="8" t="str" cm="1">
        <f t="array" ref="I4816">_xlfn.IFS(C4816&lt;=15,"Children and Young Adolescents", C4816&gt;64, "Seniors", TRUE, "Working Age")</f>
        <v>Working Age</v>
      </c>
      <c r="J4816" s="6">
        <f>VLOOKUP(F4816,Analysis!$F$1:$G$5,2,FALSE)</f>
        <v>2503.6022787783854</v>
      </c>
      <c r="K4816">
        <f t="shared" si="300"/>
        <v>618.02</v>
      </c>
      <c r="L4816">
        <f t="shared" si="301"/>
        <v>618.03</v>
      </c>
      <c r="M4816">
        <f t="shared" si="302"/>
        <v>618.02</v>
      </c>
      <c r="N4816" s="5" t="str">
        <f t="shared" si="303"/>
        <v>December 2023</v>
      </c>
    </row>
    <row r="4817" spans="1:14" x14ac:dyDescent="0.25">
      <c r="A4817" s="1">
        <v>45265</v>
      </c>
      <c r="B4817" t="s">
        <v>4373</v>
      </c>
      <c r="C4817">
        <v>2</v>
      </c>
      <c r="D4817" t="s">
        <v>9</v>
      </c>
      <c r="E4817" t="s">
        <v>34</v>
      </c>
      <c r="F4817" t="s">
        <v>16</v>
      </c>
      <c r="G4817" t="s">
        <v>27</v>
      </c>
      <c r="H4817">
        <v>2150.5300000000002</v>
      </c>
      <c r="I4817" s="8" t="str" cm="1">
        <f t="array" ref="I4817">_xlfn.IFS(C4817&lt;=15,"Children and Young Adolescents", C4817&gt;64, "Seniors", TRUE, "Working Age")</f>
        <v>Children and Young Adolescents</v>
      </c>
      <c r="J4817" s="6">
        <f>VLOOKUP(F4817,Analysis!$F$1:$G$5,2,FALSE)</f>
        <v>2509.1716796874912</v>
      </c>
      <c r="K4817">
        <f t="shared" si="300"/>
        <v>2365.58</v>
      </c>
      <c r="L4817">
        <f t="shared" si="301"/>
        <v>2365.59</v>
      </c>
      <c r="M4817">
        <f t="shared" si="302"/>
        <v>2365.58</v>
      </c>
      <c r="N4817" s="5" t="str">
        <f t="shared" si="303"/>
        <v>December 2023</v>
      </c>
    </row>
    <row r="4818" spans="1:14" x14ac:dyDescent="0.25">
      <c r="A4818" s="1">
        <v>45265</v>
      </c>
      <c r="B4818" t="s">
        <v>2602</v>
      </c>
      <c r="C4818">
        <v>87</v>
      </c>
      <c r="D4818" t="s">
        <v>14</v>
      </c>
      <c r="E4818" t="s">
        <v>32</v>
      </c>
      <c r="F4818" t="s">
        <v>11</v>
      </c>
      <c r="G4818" t="s">
        <v>27</v>
      </c>
      <c r="H4818">
        <v>27.08</v>
      </c>
      <c r="I4818" s="8" t="str" cm="1">
        <f t="array" ref="I4818">_xlfn.IFS(C4818&lt;=15,"Children and Young Adolescents", C4818&gt;64, "Seniors", TRUE, "Working Age")</f>
        <v>Seniors</v>
      </c>
      <c r="J4818" s="6">
        <f>VLOOKUP(F4818,Analysis!$F$1:$G$5,2,FALSE)</f>
        <v>2503.6022787783854</v>
      </c>
      <c r="K4818">
        <f t="shared" si="300"/>
        <v>29.78</v>
      </c>
      <c r="L4818">
        <f t="shared" si="301"/>
        <v>29.790000000000003</v>
      </c>
      <c r="M4818">
        <f t="shared" si="302"/>
        <v>29.79</v>
      </c>
      <c r="N4818" s="5" t="str">
        <f t="shared" si="303"/>
        <v>December 2023</v>
      </c>
    </row>
    <row r="4819" spans="1:14" x14ac:dyDescent="0.25">
      <c r="A4819" s="1">
        <v>45265</v>
      </c>
      <c r="B4819" t="s">
        <v>2113</v>
      </c>
      <c r="C4819">
        <v>98</v>
      </c>
      <c r="D4819" t="s">
        <v>21</v>
      </c>
      <c r="E4819" t="s">
        <v>19</v>
      </c>
      <c r="F4819" t="s">
        <v>11</v>
      </c>
      <c r="G4819" t="s">
        <v>36</v>
      </c>
      <c r="H4819">
        <v>2462.7800000000002</v>
      </c>
      <c r="I4819" s="8" t="str" cm="1">
        <f t="array" ref="I4819">_xlfn.IFS(C4819&lt;=15,"Children and Young Adolescents", C4819&gt;64, "Seniors", TRUE, "Working Age")</f>
        <v>Seniors</v>
      </c>
      <c r="J4819" s="6">
        <f>VLOOKUP(F4819,Analysis!$F$1:$G$5,2,FALSE)</f>
        <v>2503.6022787783854</v>
      </c>
      <c r="K4819">
        <f t="shared" si="300"/>
        <v>2709.05</v>
      </c>
      <c r="L4819">
        <f t="shared" si="301"/>
        <v>2709.0600000000004</v>
      </c>
      <c r="M4819">
        <f t="shared" si="302"/>
        <v>2709.06</v>
      </c>
      <c r="N4819" s="5" t="str">
        <f t="shared" si="303"/>
        <v>December 2023</v>
      </c>
    </row>
    <row r="4820" spans="1:14" x14ac:dyDescent="0.25">
      <c r="A4820" s="1">
        <v>45265</v>
      </c>
      <c r="B4820" t="s">
        <v>1795</v>
      </c>
      <c r="C4820">
        <v>67</v>
      </c>
      <c r="D4820" t="s">
        <v>21</v>
      </c>
      <c r="E4820" t="s">
        <v>32</v>
      </c>
      <c r="F4820" t="s">
        <v>23</v>
      </c>
      <c r="G4820" t="s">
        <v>5033</v>
      </c>
      <c r="H4820">
        <v>2730.67</v>
      </c>
      <c r="I4820" s="8" t="str" cm="1">
        <f t="array" ref="I4820">_xlfn.IFS(C4820&lt;=15,"Children and Young Adolescents", C4820&gt;64, "Seniors", TRUE, "Working Age")</f>
        <v>Seniors</v>
      </c>
      <c r="J4820" s="6">
        <f>VLOOKUP(F4820,Analysis!$F$1:$G$5,2,FALSE)</f>
        <v>2440.2966694490838</v>
      </c>
      <c r="K4820">
        <f t="shared" si="300"/>
        <v>3003.73</v>
      </c>
      <c r="L4820">
        <f t="shared" si="301"/>
        <v>3003.7400000000002</v>
      </c>
      <c r="M4820">
        <f t="shared" si="302"/>
        <v>3003.74</v>
      </c>
      <c r="N4820" s="5" t="str">
        <f t="shared" si="303"/>
        <v>December 2023</v>
      </c>
    </row>
    <row r="4821" spans="1:14" x14ac:dyDescent="0.25">
      <c r="A4821" s="1">
        <v>45265</v>
      </c>
      <c r="B4821" t="s">
        <v>4511</v>
      </c>
      <c r="C4821">
        <v>11</v>
      </c>
      <c r="D4821" t="s">
        <v>9</v>
      </c>
      <c r="E4821" t="s">
        <v>10</v>
      </c>
      <c r="F4821" t="s">
        <v>16</v>
      </c>
      <c r="G4821" t="s">
        <v>17</v>
      </c>
      <c r="H4821">
        <v>850.9</v>
      </c>
      <c r="I4821" s="8" t="str" cm="1">
        <f t="array" ref="I4821">_xlfn.IFS(C4821&lt;=15,"Children and Young Adolescents", C4821&gt;64, "Seniors", TRUE, "Working Age")</f>
        <v>Children and Young Adolescents</v>
      </c>
      <c r="J4821" s="6">
        <f>VLOOKUP(F4821,Analysis!$F$1:$G$5,2,FALSE)</f>
        <v>2509.1716796874912</v>
      </c>
      <c r="K4821">
        <f t="shared" si="300"/>
        <v>935.99</v>
      </c>
      <c r="L4821">
        <f t="shared" si="301"/>
        <v>935.99</v>
      </c>
      <c r="M4821">
        <f t="shared" si="302"/>
        <v>935.99</v>
      </c>
      <c r="N4821" s="5" t="str">
        <f t="shared" si="303"/>
        <v>December 2023</v>
      </c>
    </row>
    <row r="4822" spans="1:14" x14ac:dyDescent="0.25">
      <c r="A4822" s="1">
        <v>45265</v>
      </c>
      <c r="B4822" t="s">
        <v>2934</v>
      </c>
      <c r="C4822">
        <v>11</v>
      </c>
      <c r="D4822" t="s">
        <v>14</v>
      </c>
      <c r="E4822" t="s">
        <v>34</v>
      </c>
      <c r="F4822" t="s">
        <v>29</v>
      </c>
      <c r="G4822" t="s">
        <v>36</v>
      </c>
      <c r="H4822">
        <v>3922.89</v>
      </c>
      <c r="I4822" s="8" t="str" cm="1">
        <f t="array" ref="I4822">_xlfn.IFS(C4822&lt;=15,"Children and Young Adolescents", C4822&gt;64, "Seniors", TRUE, "Working Age")</f>
        <v>Children and Young Adolescents</v>
      </c>
      <c r="J4822" s="6">
        <f>VLOOKUP(F4822,Analysis!$F$1:$G$5,2,FALSE)</f>
        <v>2496.7676064256989</v>
      </c>
      <c r="K4822">
        <f t="shared" si="300"/>
        <v>4315.17</v>
      </c>
      <c r="L4822">
        <f t="shared" si="301"/>
        <v>4315.18</v>
      </c>
      <c r="M4822">
        <f t="shared" si="302"/>
        <v>4315.18</v>
      </c>
      <c r="N4822" s="5" t="str">
        <f t="shared" si="303"/>
        <v>December 2023</v>
      </c>
    </row>
    <row r="4823" spans="1:14" x14ac:dyDescent="0.25">
      <c r="A4823" s="1">
        <v>45266</v>
      </c>
      <c r="B4823" t="s">
        <v>371</v>
      </c>
      <c r="C4823">
        <v>67</v>
      </c>
      <c r="D4823" t="s">
        <v>21</v>
      </c>
      <c r="E4823" t="s">
        <v>5032</v>
      </c>
      <c r="F4823" t="s">
        <v>29</v>
      </c>
      <c r="G4823" t="s">
        <v>17</v>
      </c>
      <c r="H4823">
        <v>1324.65</v>
      </c>
      <c r="I4823" s="8" t="str" cm="1">
        <f t="array" ref="I4823">_xlfn.IFS(C4823&lt;=15,"Children and Young Adolescents", C4823&gt;64, "Seniors", TRUE, "Working Age")</f>
        <v>Seniors</v>
      </c>
      <c r="J4823" s="6">
        <f>VLOOKUP(F4823,Analysis!$F$1:$G$5,2,FALSE)</f>
        <v>2496.7676064256989</v>
      </c>
      <c r="K4823">
        <f t="shared" si="300"/>
        <v>1457.11</v>
      </c>
      <c r="L4823">
        <f t="shared" si="301"/>
        <v>1457.12</v>
      </c>
      <c r="M4823">
        <f t="shared" si="302"/>
        <v>1457.12</v>
      </c>
      <c r="N4823" s="5" t="str">
        <f t="shared" si="303"/>
        <v>December 2023</v>
      </c>
    </row>
    <row r="4824" spans="1:14" x14ac:dyDescent="0.25">
      <c r="A4824" s="1">
        <v>45266</v>
      </c>
      <c r="B4824" t="s">
        <v>1955</v>
      </c>
      <c r="C4824">
        <v>89</v>
      </c>
      <c r="D4824" t="s">
        <v>14</v>
      </c>
      <c r="E4824" t="s">
        <v>25</v>
      </c>
      <c r="F4824" t="s">
        <v>16</v>
      </c>
      <c r="G4824" t="s">
        <v>39</v>
      </c>
      <c r="H4824">
        <v>4374.58</v>
      </c>
      <c r="I4824" s="8" t="str" cm="1">
        <f t="array" ref="I4824">_xlfn.IFS(C4824&lt;=15,"Children and Young Adolescents", C4824&gt;64, "Seniors", TRUE, "Working Age")</f>
        <v>Seniors</v>
      </c>
      <c r="J4824" s="6">
        <f>VLOOKUP(F4824,Analysis!$F$1:$G$5,2,FALSE)</f>
        <v>2509.1716796874912</v>
      </c>
      <c r="K4824">
        <f t="shared" si="300"/>
        <v>4812.03</v>
      </c>
      <c r="L4824">
        <f t="shared" si="301"/>
        <v>4812.04</v>
      </c>
      <c r="M4824">
        <f t="shared" si="302"/>
        <v>4812.04</v>
      </c>
      <c r="N4824" s="5" t="str">
        <f t="shared" si="303"/>
        <v>December 2023</v>
      </c>
    </row>
    <row r="4825" spans="1:14" x14ac:dyDescent="0.25">
      <c r="A4825" s="1">
        <v>45266</v>
      </c>
      <c r="B4825" t="s">
        <v>4460</v>
      </c>
      <c r="C4825">
        <v>25</v>
      </c>
      <c r="D4825" t="s">
        <v>14</v>
      </c>
      <c r="E4825" t="s">
        <v>10</v>
      </c>
      <c r="F4825" t="s">
        <v>16</v>
      </c>
      <c r="G4825" t="s">
        <v>17</v>
      </c>
      <c r="H4825">
        <v>1467.07</v>
      </c>
      <c r="I4825" s="8" t="str" cm="1">
        <f t="array" ref="I4825">_xlfn.IFS(C4825&lt;=15,"Children and Young Adolescents", C4825&gt;64, "Seniors", TRUE, "Working Age")</f>
        <v>Working Age</v>
      </c>
      <c r="J4825" s="6">
        <f>VLOOKUP(F4825,Analysis!$F$1:$G$5,2,FALSE)</f>
        <v>2509.1716796874912</v>
      </c>
      <c r="K4825">
        <f t="shared" si="300"/>
        <v>1613.77</v>
      </c>
      <c r="L4825">
        <f t="shared" si="301"/>
        <v>1613.78</v>
      </c>
      <c r="M4825">
        <f t="shared" si="302"/>
        <v>1613.78</v>
      </c>
      <c r="N4825" s="5" t="str">
        <f t="shared" si="303"/>
        <v>December 2023</v>
      </c>
    </row>
    <row r="4826" spans="1:14" x14ac:dyDescent="0.25">
      <c r="A4826" s="1">
        <v>45266</v>
      </c>
      <c r="B4826" t="s">
        <v>723</v>
      </c>
      <c r="C4826">
        <v>48</v>
      </c>
      <c r="D4826" t="s">
        <v>14</v>
      </c>
      <c r="E4826" t="s">
        <v>5032</v>
      </c>
      <c r="F4826" t="s">
        <v>11</v>
      </c>
      <c r="G4826" t="s">
        <v>39</v>
      </c>
      <c r="H4826">
        <v>2530.36</v>
      </c>
      <c r="I4826" s="8" t="str" cm="1">
        <f t="array" ref="I4826">_xlfn.IFS(C4826&lt;=15,"Children and Young Adolescents", C4826&gt;64, "Seniors", TRUE, "Working Age")</f>
        <v>Working Age</v>
      </c>
      <c r="J4826" s="6">
        <f>VLOOKUP(F4826,Analysis!$F$1:$G$5,2,FALSE)</f>
        <v>2503.6022787783854</v>
      </c>
      <c r="K4826">
        <f t="shared" si="300"/>
        <v>2783.39</v>
      </c>
      <c r="L4826">
        <f t="shared" si="301"/>
        <v>2783.4</v>
      </c>
      <c r="M4826">
        <f t="shared" si="302"/>
        <v>2783.4</v>
      </c>
      <c r="N4826" s="5" t="str">
        <f t="shared" si="303"/>
        <v>December 2023</v>
      </c>
    </row>
    <row r="4827" spans="1:14" x14ac:dyDescent="0.25">
      <c r="A4827" s="1">
        <v>45266</v>
      </c>
      <c r="B4827" t="s">
        <v>2027</v>
      </c>
      <c r="C4827">
        <v>19</v>
      </c>
      <c r="D4827" t="s">
        <v>14</v>
      </c>
      <c r="E4827" t="s">
        <v>34</v>
      </c>
      <c r="F4827" t="s">
        <v>11</v>
      </c>
      <c r="G4827" t="s">
        <v>17</v>
      </c>
      <c r="H4827">
        <v>4356.95</v>
      </c>
      <c r="I4827" s="8" t="str" cm="1">
        <f t="array" ref="I4827">_xlfn.IFS(C4827&lt;=15,"Children and Young Adolescents", C4827&gt;64, "Seniors", TRUE, "Working Age")</f>
        <v>Working Age</v>
      </c>
      <c r="J4827" s="6">
        <f>VLOOKUP(F4827,Analysis!$F$1:$G$5,2,FALSE)</f>
        <v>2503.6022787783854</v>
      </c>
      <c r="K4827">
        <f t="shared" si="300"/>
        <v>4792.6400000000003</v>
      </c>
      <c r="L4827">
        <f t="shared" si="301"/>
        <v>4792.6500000000005</v>
      </c>
      <c r="M4827">
        <f t="shared" si="302"/>
        <v>4792.6499999999996</v>
      </c>
      <c r="N4827" s="5" t="str">
        <f t="shared" si="303"/>
        <v>December 2023</v>
      </c>
    </row>
    <row r="4828" spans="1:14" x14ac:dyDescent="0.25">
      <c r="A4828" s="1">
        <v>45266</v>
      </c>
      <c r="B4828" t="s">
        <v>429</v>
      </c>
      <c r="C4828">
        <v>97</v>
      </c>
      <c r="D4828" t="s">
        <v>21</v>
      </c>
      <c r="E4828" t="s">
        <v>10</v>
      </c>
      <c r="F4828" t="s">
        <v>29</v>
      </c>
      <c r="G4828" t="s">
        <v>36</v>
      </c>
      <c r="H4828">
        <v>1149.8900000000001</v>
      </c>
      <c r="I4828" s="8" t="str" cm="1">
        <f t="array" ref="I4828">_xlfn.IFS(C4828&lt;=15,"Children and Young Adolescents", C4828&gt;64, "Seniors", TRUE, "Working Age")</f>
        <v>Seniors</v>
      </c>
      <c r="J4828" s="6">
        <f>VLOOKUP(F4828,Analysis!$F$1:$G$5,2,FALSE)</f>
        <v>2496.7676064256989</v>
      </c>
      <c r="K4828">
        <f t="shared" si="300"/>
        <v>1264.8699999999999</v>
      </c>
      <c r="L4828">
        <f t="shared" si="301"/>
        <v>1264.8799999999999</v>
      </c>
      <c r="M4828">
        <f t="shared" si="302"/>
        <v>1264.8800000000001</v>
      </c>
      <c r="N4828" s="5" t="str">
        <f t="shared" si="303"/>
        <v>December 2023</v>
      </c>
    </row>
    <row r="4829" spans="1:14" x14ac:dyDescent="0.25">
      <c r="A4829" s="1">
        <v>45267</v>
      </c>
      <c r="B4829" t="s">
        <v>4654</v>
      </c>
      <c r="C4829">
        <v>19</v>
      </c>
      <c r="D4829" t="s">
        <v>9</v>
      </c>
      <c r="E4829" t="s">
        <v>32</v>
      </c>
      <c r="F4829" t="s">
        <v>29</v>
      </c>
      <c r="G4829" t="s">
        <v>36</v>
      </c>
      <c r="H4829">
        <v>4759.4399999999996</v>
      </c>
      <c r="I4829" s="8" t="str" cm="1">
        <f t="array" ref="I4829">_xlfn.IFS(C4829&lt;=15,"Children and Young Adolescents", C4829&gt;64, "Seniors", TRUE, "Working Age")</f>
        <v>Working Age</v>
      </c>
      <c r="J4829" s="6">
        <f>VLOOKUP(F4829,Analysis!$F$1:$G$5,2,FALSE)</f>
        <v>2496.7676064256989</v>
      </c>
      <c r="K4829">
        <f t="shared" si="300"/>
        <v>5235.38</v>
      </c>
      <c r="L4829">
        <f t="shared" si="301"/>
        <v>5235.3900000000003</v>
      </c>
      <c r="M4829">
        <f t="shared" si="302"/>
        <v>5235.38</v>
      </c>
      <c r="N4829" s="5" t="str">
        <f t="shared" si="303"/>
        <v>December 2023</v>
      </c>
    </row>
    <row r="4830" spans="1:14" x14ac:dyDescent="0.25">
      <c r="A4830" s="1">
        <v>45267</v>
      </c>
      <c r="B4830" t="s">
        <v>1851</v>
      </c>
      <c r="C4830">
        <v>35</v>
      </c>
      <c r="D4830" t="s">
        <v>9</v>
      </c>
      <c r="E4830" t="s">
        <v>32</v>
      </c>
      <c r="F4830" t="s">
        <v>11</v>
      </c>
      <c r="G4830" t="s">
        <v>27</v>
      </c>
      <c r="H4830">
        <v>3570.39</v>
      </c>
      <c r="I4830" s="8" t="str" cm="1">
        <f t="array" ref="I4830">_xlfn.IFS(C4830&lt;=15,"Children and Young Adolescents", C4830&gt;64, "Seniors", TRUE, "Working Age")</f>
        <v>Working Age</v>
      </c>
      <c r="J4830" s="6">
        <f>VLOOKUP(F4830,Analysis!$F$1:$G$5,2,FALSE)</f>
        <v>2503.6022787783854</v>
      </c>
      <c r="K4830">
        <f t="shared" si="300"/>
        <v>3927.42</v>
      </c>
      <c r="L4830">
        <f t="shared" si="301"/>
        <v>3927.4300000000003</v>
      </c>
      <c r="M4830">
        <f t="shared" si="302"/>
        <v>3927.43</v>
      </c>
      <c r="N4830" s="5" t="str">
        <f t="shared" si="303"/>
        <v>December 2023</v>
      </c>
    </row>
    <row r="4831" spans="1:14" x14ac:dyDescent="0.25">
      <c r="A4831" s="1">
        <v>45267</v>
      </c>
      <c r="B4831" t="s">
        <v>3561</v>
      </c>
      <c r="C4831">
        <v>21</v>
      </c>
      <c r="D4831" t="s">
        <v>21</v>
      </c>
      <c r="E4831" t="s">
        <v>15</v>
      </c>
      <c r="F4831" t="s">
        <v>16</v>
      </c>
      <c r="G4831" t="s">
        <v>36</v>
      </c>
      <c r="H4831">
        <v>3907.96</v>
      </c>
      <c r="I4831" s="8" t="str" cm="1">
        <f t="array" ref="I4831">_xlfn.IFS(C4831&lt;=15,"Children and Young Adolescents", C4831&gt;64, "Seniors", TRUE, "Working Age")</f>
        <v>Working Age</v>
      </c>
      <c r="J4831" s="6">
        <f>VLOOKUP(F4831,Analysis!$F$1:$G$5,2,FALSE)</f>
        <v>2509.1716796874912</v>
      </c>
      <c r="K4831">
        <f t="shared" si="300"/>
        <v>4298.75</v>
      </c>
      <c r="L4831">
        <f t="shared" si="301"/>
        <v>4298.76</v>
      </c>
      <c r="M4831">
        <f t="shared" si="302"/>
        <v>4298.76</v>
      </c>
      <c r="N4831" s="5" t="str">
        <f t="shared" si="303"/>
        <v>December 2023</v>
      </c>
    </row>
    <row r="4832" spans="1:14" x14ac:dyDescent="0.25">
      <c r="A4832" s="1">
        <v>45267</v>
      </c>
      <c r="B4832" t="s">
        <v>1558</v>
      </c>
      <c r="C4832">
        <v>1</v>
      </c>
      <c r="D4832" t="s">
        <v>9</v>
      </c>
      <c r="E4832" t="s">
        <v>15</v>
      </c>
      <c r="F4832" t="s">
        <v>11</v>
      </c>
      <c r="G4832" t="s">
        <v>36</v>
      </c>
      <c r="H4832">
        <v>4649.42</v>
      </c>
      <c r="I4832" s="8" t="str" cm="1">
        <f t="array" ref="I4832">_xlfn.IFS(C4832&lt;=15,"Children and Young Adolescents", C4832&gt;64, "Seniors", TRUE, "Working Age")</f>
        <v>Children and Young Adolescents</v>
      </c>
      <c r="J4832" s="6">
        <f>VLOOKUP(F4832,Analysis!$F$1:$G$5,2,FALSE)</f>
        <v>2503.6022787783854</v>
      </c>
      <c r="K4832">
        <f t="shared" si="300"/>
        <v>5114.3599999999997</v>
      </c>
      <c r="L4832">
        <f t="shared" si="301"/>
        <v>5114.37</v>
      </c>
      <c r="M4832">
        <f t="shared" si="302"/>
        <v>5114.3599999999997</v>
      </c>
      <c r="N4832" s="5" t="str">
        <f t="shared" si="303"/>
        <v>December 2023</v>
      </c>
    </row>
    <row r="4833" spans="1:14" x14ac:dyDescent="0.25">
      <c r="A4833" s="1">
        <v>45267</v>
      </c>
      <c r="B4833" t="s">
        <v>2210</v>
      </c>
      <c r="C4833">
        <v>32</v>
      </c>
      <c r="D4833" t="s">
        <v>9</v>
      </c>
      <c r="E4833" t="s">
        <v>15</v>
      </c>
      <c r="F4833" t="s">
        <v>11</v>
      </c>
      <c r="G4833" t="s">
        <v>36</v>
      </c>
      <c r="H4833">
        <v>222.97</v>
      </c>
      <c r="I4833" s="8" t="str" cm="1">
        <f t="array" ref="I4833">_xlfn.IFS(C4833&lt;=15,"Children and Young Adolescents", C4833&gt;64, "Seniors", TRUE, "Working Age")</f>
        <v>Working Age</v>
      </c>
      <c r="J4833" s="6">
        <f>VLOOKUP(F4833,Analysis!$F$1:$G$5,2,FALSE)</f>
        <v>2503.6022787783854</v>
      </c>
      <c r="K4833">
        <f t="shared" si="300"/>
        <v>245.26</v>
      </c>
      <c r="L4833">
        <f t="shared" si="301"/>
        <v>245.26999999999998</v>
      </c>
      <c r="M4833">
        <f t="shared" si="302"/>
        <v>245.27</v>
      </c>
      <c r="N4833" s="5" t="str">
        <f t="shared" si="303"/>
        <v>December 2023</v>
      </c>
    </row>
    <row r="4834" spans="1:14" x14ac:dyDescent="0.25">
      <c r="A4834" s="1">
        <v>45268</v>
      </c>
      <c r="B4834" t="s">
        <v>1404</v>
      </c>
      <c r="C4834">
        <v>65</v>
      </c>
      <c r="D4834" t="s">
        <v>14</v>
      </c>
      <c r="E4834" t="s">
        <v>10</v>
      </c>
      <c r="F4834" t="s">
        <v>29</v>
      </c>
      <c r="G4834" t="s">
        <v>12</v>
      </c>
      <c r="H4834">
        <v>3063.24</v>
      </c>
      <c r="I4834" s="8" t="str" cm="1">
        <f t="array" ref="I4834">_xlfn.IFS(C4834&lt;=15,"Children and Young Adolescents", C4834&gt;64, "Seniors", TRUE, "Working Age")</f>
        <v>Seniors</v>
      </c>
      <c r="J4834" s="6">
        <f>VLOOKUP(F4834,Analysis!$F$1:$G$5,2,FALSE)</f>
        <v>2496.7676064256989</v>
      </c>
      <c r="K4834">
        <f t="shared" si="300"/>
        <v>3369.56</v>
      </c>
      <c r="L4834">
        <f t="shared" si="301"/>
        <v>3369.57</v>
      </c>
      <c r="M4834">
        <f t="shared" si="302"/>
        <v>3369.56</v>
      </c>
      <c r="N4834" s="5" t="str">
        <f t="shared" si="303"/>
        <v>December 2023</v>
      </c>
    </row>
    <row r="4835" spans="1:14" x14ac:dyDescent="0.25">
      <c r="A4835" s="1">
        <v>45268</v>
      </c>
      <c r="B4835" t="s">
        <v>3796</v>
      </c>
      <c r="C4835">
        <v>7</v>
      </c>
      <c r="D4835" t="s">
        <v>9</v>
      </c>
      <c r="E4835" t="s">
        <v>32</v>
      </c>
      <c r="F4835" t="s">
        <v>16</v>
      </c>
      <c r="G4835" t="s">
        <v>36</v>
      </c>
      <c r="H4835">
        <v>4566.1400000000003</v>
      </c>
      <c r="I4835" s="8" t="str" cm="1">
        <f t="array" ref="I4835">_xlfn.IFS(C4835&lt;=15,"Children and Young Adolescents", C4835&gt;64, "Seniors", TRUE, "Working Age")</f>
        <v>Children and Young Adolescents</v>
      </c>
      <c r="J4835" s="6">
        <f>VLOOKUP(F4835,Analysis!$F$1:$G$5,2,FALSE)</f>
        <v>2509.1716796874912</v>
      </c>
      <c r="K4835">
        <f t="shared" si="300"/>
        <v>5022.75</v>
      </c>
      <c r="L4835">
        <f t="shared" si="301"/>
        <v>5022.76</v>
      </c>
      <c r="M4835">
        <f t="shared" si="302"/>
        <v>5022.75</v>
      </c>
      <c r="N4835" s="5" t="str">
        <f t="shared" si="303"/>
        <v>December 2023</v>
      </c>
    </row>
    <row r="4836" spans="1:14" x14ac:dyDescent="0.25">
      <c r="A4836" s="1">
        <v>45268</v>
      </c>
      <c r="B4836" t="s">
        <v>1686</v>
      </c>
      <c r="C4836">
        <v>11</v>
      </c>
      <c r="D4836" t="s">
        <v>14</v>
      </c>
      <c r="E4836" t="s">
        <v>19</v>
      </c>
      <c r="F4836" t="s">
        <v>16</v>
      </c>
      <c r="G4836" t="s">
        <v>12</v>
      </c>
      <c r="H4836">
        <v>975.53</v>
      </c>
      <c r="I4836" s="8" t="str" cm="1">
        <f t="array" ref="I4836">_xlfn.IFS(C4836&lt;=15,"Children and Young Adolescents", C4836&gt;64, "Seniors", TRUE, "Working Age")</f>
        <v>Children and Young Adolescents</v>
      </c>
      <c r="J4836" s="6">
        <f>VLOOKUP(F4836,Analysis!$F$1:$G$5,2,FALSE)</f>
        <v>2509.1716796874912</v>
      </c>
      <c r="K4836">
        <f t="shared" si="300"/>
        <v>1073.08</v>
      </c>
      <c r="L4836">
        <f t="shared" si="301"/>
        <v>1073.0899999999999</v>
      </c>
      <c r="M4836">
        <f t="shared" si="302"/>
        <v>1073.08</v>
      </c>
      <c r="N4836" s="5" t="str">
        <f t="shared" si="303"/>
        <v>December 2023</v>
      </c>
    </row>
    <row r="4837" spans="1:14" x14ac:dyDescent="0.25">
      <c r="A4837" s="1">
        <v>45268</v>
      </c>
      <c r="B4837" t="s">
        <v>3555</v>
      </c>
      <c r="C4837">
        <v>50</v>
      </c>
      <c r="D4837" t="s">
        <v>14</v>
      </c>
      <c r="E4837" t="s">
        <v>15</v>
      </c>
      <c r="F4837" t="s">
        <v>29</v>
      </c>
      <c r="G4837" t="s">
        <v>39</v>
      </c>
      <c r="H4837">
        <v>3115.16</v>
      </c>
      <c r="I4837" s="8" t="str" cm="1">
        <f t="array" ref="I4837">_xlfn.IFS(C4837&lt;=15,"Children and Young Adolescents", C4837&gt;64, "Seniors", TRUE, "Working Age")</f>
        <v>Working Age</v>
      </c>
      <c r="J4837" s="6">
        <f>VLOOKUP(F4837,Analysis!$F$1:$G$5,2,FALSE)</f>
        <v>2496.7676064256989</v>
      </c>
      <c r="K4837">
        <f t="shared" si="300"/>
        <v>3426.67</v>
      </c>
      <c r="L4837">
        <f t="shared" si="301"/>
        <v>3426.6800000000003</v>
      </c>
      <c r="M4837">
        <f t="shared" si="302"/>
        <v>3426.68</v>
      </c>
      <c r="N4837" s="5" t="str">
        <f t="shared" si="303"/>
        <v>December 2023</v>
      </c>
    </row>
    <row r="4838" spans="1:14" x14ac:dyDescent="0.25">
      <c r="A4838" s="1">
        <v>45268</v>
      </c>
      <c r="B4838" t="s">
        <v>204</v>
      </c>
      <c r="C4838">
        <v>72</v>
      </c>
      <c r="D4838" t="s">
        <v>14</v>
      </c>
      <c r="E4838" t="s">
        <v>25</v>
      </c>
      <c r="F4838" t="s">
        <v>29</v>
      </c>
      <c r="G4838" t="s">
        <v>27</v>
      </c>
      <c r="H4838">
        <v>104.66</v>
      </c>
      <c r="I4838" s="8" t="str" cm="1">
        <f t="array" ref="I4838">_xlfn.IFS(C4838&lt;=15,"Children and Young Adolescents", C4838&gt;64, "Seniors", TRUE, "Working Age")</f>
        <v>Seniors</v>
      </c>
      <c r="J4838" s="6">
        <f>VLOOKUP(F4838,Analysis!$F$1:$G$5,2,FALSE)</f>
        <v>2496.7676064256989</v>
      </c>
      <c r="K4838">
        <f t="shared" si="300"/>
        <v>115.12</v>
      </c>
      <c r="L4838">
        <f t="shared" si="301"/>
        <v>115.13000000000001</v>
      </c>
      <c r="M4838">
        <f t="shared" si="302"/>
        <v>115.13</v>
      </c>
      <c r="N4838" s="5" t="str">
        <f t="shared" si="303"/>
        <v>December 2023</v>
      </c>
    </row>
    <row r="4839" spans="1:14" x14ac:dyDescent="0.25">
      <c r="A4839" s="1">
        <v>45268</v>
      </c>
      <c r="B4839" t="s">
        <v>4622</v>
      </c>
      <c r="C4839">
        <v>2</v>
      </c>
      <c r="D4839" t="s">
        <v>9</v>
      </c>
      <c r="E4839" t="s">
        <v>10</v>
      </c>
      <c r="F4839" t="s">
        <v>11</v>
      </c>
      <c r="G4839" t="s">
        <v>27</v>
      </c>
      <c r="H4839">
        <v>2110.27</v>
      </c>
      <c r="I4839" s="8" t="str" cm="1">
        <f t="array" ref="I4839">_xlfn.IFS(C4839&lt;=15,"Children and Young Adolescents", C4839&gt;64, "Seniors", TRUE, "Working Age")</f>
        <v>Children and Young Adolescents</v>
      </c>
      <c r="J4839" s="6">
        <f>VLOOKUP(F4839,Analysis!$F$1:$G$5,2,FALSE)</f>
        <v>2503.6022787783854</v>
      </c>
      <c r="K4839">
        <f t="shared" si="300"/>
        <v>2321.29</v>
      </c>
      <c r="L4839">
        <f t="shared" si="301"/>
        <v>2321.3000000000002</v>
      </c>
      <c r="M4839">
        <f t="shared" si="302"/>
        <v>2321.3000000000002</v>
      </c>
      <c r="N4839" s="5" t="str">
        <f t="shared" si="303"/>
        <v>December 2023</v>
      </c>
    </row>
    <row r="4840" spans="1:14" x14ac:dyDescent="0.25">
      <c r="A4840" s="1">
        <v>45268</v>
      </c>
      <c r="B4840" t="s">
        <v>2181</v>
      </c>
      <c r="C4840">
        <v>21</v>
      </c>
      <c r="D4840" t="s">
        <v>9</v>
      </c>
      <c r="E4840" t="s">
        <v>15</v>
      </c>
      <c r="F4840" t="s">
        <v>29</v>
      </c>
      <c r="G4840" t="s">
        <v>5033</v>
      </c>
      <c r="H4840">
        <v>3680.73</v>
      </c>
      <c r="I4840" s="8" t="str" cm="1">
        <f t="array" ref="I4840">_xlfn.IFS(C4840&lt;=15,"Children and Young Adolescents", C4840&gt;64, "Seniors", TRUE, "Working Age")</f>
        <v>Working Age</v>
      </c>
      <c r="J4840" s="6">
        <f>VLOOKUP(F4840,Analysis!$F$1:$G$5,2,FALSE)</f>
        <v>2496.7676064256989</v>
      </c>
      <c r="K4840">
        <f t="shared" si="300"/>
        <v>4048.8</v>
      </c>
      <c r="L4840">
        <f t="shared" si="301"/>
        <v>4048.8100000000004</v>
      </c>
      <c r="M4840">
        <f t="shared" si="302"/>
        <v>4048.8</v>
      </c>
      <c r="N4840" s="5" t="str">
        <f t="shared" si="303"/>
        <v>December 2023</v>
      </c>
    </row>
    <row r="4841" spans="1:14" x14ac:dyDescent="0.25">
      <c r="A4841" s="1">
        <v>45268</v>
      </c>
      <c r="B4841" t="s">
        <v>5022</v>
      </c>
      <c r="C4841">
        <v>11</v>
      </c>
      <c r="D4841" t="s">
        <v>14</v>
      </c>
      <c r="E4841" t="s">
        <v>5032</v>
      </c>
      <c r="F4841" t="s">
        <v>11</v>
      </c>
      <c r="G4841" t="s">
        <v>17</v>
      </c>
      <c r="H4841">
        <v>4333.47</v>
      </c>
      <c r="I4841" s="8" t="str" cm="1">
        <f t="array" ref="I4841">_xlfn.IFS(C4841&lt;=15,"Children and Young Adolescents", C4841&gt;64, "Seniors", TRUE, "Working Age")</f>
        <v>Children and Young Adolescents</v>
      </c>
      <c r="J4841" s="6">
        <f>VLOOKUP(F4841,Analysis!$F$1:$G$5,2,FALSE)</f>
        <v>2503.6022787783854</v>
      </c>
      <c r="K4841">
        <f t="shared" si="300"/>
        <v>4766.8100000000004</v>
      </c>
      <c r="L4841">
        <f t="shared" si="301"/>
        <v>4766.8200000000006</v>
      </c>
      <c r="M4841">
        <f t="shared" si="302"/>
        <v>4766.82</v>
      </c>
      <c r="N4841" s="5" t="str">
        <f t="shared" si="303"/>
        <v>December 2023</v>
      </c>
    </row>
    <row r="4842" spans="1:14" x14ac:dyDescent="0.25">
      <c r="A4842" s="1">
        <v>45268</v>
      </c>
      <c r="B4842" t="s">
        <v>4915</v>
      </c>
      <c r="C4842">
        <v>16</v>
      </c>
      <c r="D4842" t="s">
        <v>21</v>
      </c>
      <c r="E4842" t="s">
        <v>34</v>
      </c>
      <c r="F4842" t="s">
        <v>23</v>
      </c>
      <c r="G4842" t="s">
        <v>17</v>
      </c>
      <c r="H4842">
        <v>3686.02</v>
      </c>
      <c r="I4842" s="8" t="str" cm="1">
        <f t="array" ref="I4842">_xlfn.IFS(C4842&lt;=15,"Children and Young Adolescents", C4842&gt;64, "Seniors", TRUE, "Working Age")</f>
        <v>Working Age</v>
      </c>
      <c r="J4842" s="6">
        <f>VLOOKUP(F4842,Analysis!$F$1:$G$5,2,FALSE)</f>
        <v>2440.2966694490838</v>
      </c>
      <c r="K4842">
        <f t="shared" si="300"/>
        <v>4054.62</v>
      </c>
      <c r="L4842">
        <f t="shared" si="301"/>
        <v>4054.63</v>
      </c>
      <c r="M4842">
        <f t="shared" si="302"/>
        <v>4054.62</v>
      </c>
      <c r="N4842" s="5" t="str">
        <f t="shared" si="303"/>
        <v>December 2023</v>
      </c>
    </row>
    <row r="4843" spans="1:14" x14ac:dyDescent="0.25">
      <c r="A4843" s="1">
        <v>45269</v>
      </c>
      <c r="B4843" t="s">
        <v>507</v>
      </c>
      <c r="C4843">
        <v>48</v>
      </c>
      <c r="D4843" t="s">
        <v>9</v>
      </c>
      <c r="E4843" t="s">
        <v>22</v>
      </c>
      <c r="F4843" t="s">
        <v>29</v>
      </c>
      <c r="G4843" t="s">
        <v>5033</v>
      </c>
      <c r="H4843">
        <v>1476.63</v>
      </c>
      <c r="I4843" s="8" t="str" cm="1">
        <f t="array" ref="I4843">_xlfn.IFS(C4843&lt;=15,"Children and Young Adolescents", C4843&gt;64, "Seniors", TRUE, "Working Age")</f>
        <v>Working Age</v>
      </c>
      <c r="J4843" s="6">
        <f>VLOOKUP(F4843,Analysis!$F$1:$G$5,2,FALSE)</f>
        <v>2496.7676064256989</v>
      </c>
      <c r="K4843">
        <f t="shared" si="300"/>
        <v>1624.29</v>
      </c>
      <c r="L4843">
        <f t="shared" si="301"/>
        <v>1624.3</v>
      </c>
      <c r="M4843">
        <f t="shared" si="302"/>
        <v>1624.29</v>
      </c>
      <c r="N4843" s="5" t="str">
        <f t="shared" si="303"/>
        <v>December 2023</v>
      </c>
    </row>
    <row r="4844" spans="1:14" x14ac:dyDescent="0.25">
      <c r="A4844" s="1">
        <v>45269</v>
      </c>
      <c r="B4844" t="s">
        <v>4570</v>
      </c>
      <c r="C4844">
        <v>51</v>
      </c>
      <c r="D4844" t="s">
        <v>9</v>
      </c>
      <c r="E4844" t="s">
        <v>15</v>
      </c>
      <c r="F4844" t="s">
        <v>11</v>
      </c>
      <c r="G4844" t="s">
        <v>17</v>
      </c>
      <c r="H4844">
        <v>4491.12</v>
      </c>
      <c r="I4844" s="8" t="str" cm="1">
        <f t="array" ref="I4844">_xlfn.IFS(C4844&lt;=15,"Children and Young Adolescents", C4844&gt;64, "Seniors", TRUE, "Working Age")</f>
        <v>Working Age</v>
      </c>
      <c r="J4844" s="6">
        <f>VLOOKUP(F4844,Analysis!$F$1:$G$5,2,FALSE)</f>
        <v>2503.6022787783854</v>
      </c>
      <c r="K4844">
        <f t="shared" si="300"/>
        <v>4940.2299999999996</v>
      </c>
      <c r="L4844">
        <f t="shared" si="301"/>
        <v>4940.24</v>
      </c>
      <c r="M4844">
        <f t="shared" si="302"/>
        <v>4940.2299999999996</v>
      </c>
      <c r="N4844" s="5" t="str">
        <f t="shared" si="303"/>
        <v>December 2023</v>
      </c>
    </row>
    <row r="4845" spans="1:14" x14ac:dyDescent="0.25">
      <c r="A4845" s="1">
        <v>45269</v>
      </c>
      <c r="B4845" t="s">
        <v>1010</v>
      </c>
      <c r="C4845">
        <v>68</v>
      </c>
      <c r="D4845" t="s">
        <v>14</v>
      </c>
      <c r="E4845" t="s">
        <v>32</v>
      </c>
      <c r="F4845" t="s">
        <v>11</v>
      </c>
      <c r="G4845" t="s">
        <v>39</v>
      </c>
      <c r="H4845">
        <v>741.35</v>
      </c>
      <c r="I4845" s="8" t="str" cm="1">
        <f t="array" ref="I4845">_xlfn.IFS(C4845&lt;=15,"Children and Young Adolescents", C4845&gt;64, "Seniors", TRUE, "Working Age")</f>
        <v>Seniors</v>
      </c>
      <c r="J4845" s="6">
        <f>VLOOKUP(F4845,Analysis!$F$1:$G$5,2,FALSE)</f>
        <v>2503.6022787783854</v>
      </c>
      <c r="K4845">
        <f t="shared" si="300"/>
        <v>815.48</v>
      </c>
      <c r="L4845">
        <f t="shared" si="301"/>
        <v>815.49</v>
      </c>
      <c r="M4845">
        <f t="shared" si="302"/>
        <v>815.49</v>
      </c>
      <c r="N4845" s="5" t="str">
        <f t="shared" si="303"/>
        <v>December 2023</v>
      </c>
    </row>
    <row r="4846" spans="1:14" x14ac:dyDescent="0.25">
      <c r="A4846" s="1">
        <v>45269</v>
      </c>
      <c r="B4846" t="s">
        <v>3277</v>
      </c>
      <c r="C4846">
        <v>37</v>
      </c>
      <c r="D4846" t="s">
        <v>9</v>
      </c>
      <c r="E4846" t="s">
        <v>22</v>
      </c>
      <c r="F4846" t="s">
        <v>23</v>
      </c>
      <c r="G4846" t="s">
        <v>12</v>
      </c>
      <c r="H4846">
        <v>2121.27</v>
      </c>
      <c r="I4846" s="8" t="str" cm="1">
        <f t="array" ref="I4846">_xlfn.IFS(C4846&lt;=15,"Children and Young Adolescents", C4846&gt;64, "Seniors", TRUE, "Working Age")</f>
        <v>Working Age</v>
      </c>
      <c r="J4846" s="6">
        <f>VLOOKUP(F4846,Analysis!$F$1:$G$5,2,FALSE)</f>
        <v>2440.2966694490838</v>
      </c>
      <c r="K4846">
        <f t="shared" si="300"/>
        <v>2333.39</v>
      </c>
      <c r="L4846">
        <f t="shared" si="301"/>
        <v>2333.4</v>
      </c>
      <c r="M4846">
        <f t="shared" si="302"/>
        <v>2333.4</v>
      </c>
      <c r="N4846" s="5" t="str">
        <f t="shared" si="303"/>
        <v>December 2023</v>
      </c>
    </row>
    <row r="4847" spans="1:14" x14ac:dyDescent="0.25">
      <c r="A4847" s="1">
        <v>45269</v>
      </c>
      <c r="B4847" t="s">
        <v>1273</v>
      </c>
      <c r="C4847">
        <v>4</v>
      </c>
      <c r="D4847" t="s">
        <v>9</v>
      </c>
      <c r="E4847" t="s">
        <v>19</v>
      </c>
      <c r="F4847" t="s">
        <v>11</v>
      </c>
      <c r="G4847" t="s">
        <v>12</v>
      </c>
      <c r="H4847">
        <v>2177.37</v>
      </c>
      <c r="I4847" s="8" t="str" cm="1">
        <f t="array" ref="I4847">_xlfn.IFS(C4847&lt;=15,"Children and Young Adolescents", C4847&gt;64, "Seniors", TRUE, "Working Age")</f>
        <v>Children and Young Adolescents</v>
      </c>
      <c r="J4847" s="6">
        <f>VLOOKUP(F4847,Analysis!$F$1:$G$5,2,FALSE)</f>
        <v>2503.6022787783854</v>
      </c>
      <c r="K4847">
        <f t="shared" si="300"/>
        <v>2395.1</v>
      </c>
      <c r="L4847">
        <f t="shared" si="301"/>
        <v>2395.11</v>
      </c>
      <c r="M4847">
        <f t="shared" si="302"/>
        <v>2395.11</v>
      </c>
      <c r="N4847" s="5" t="str">
        <f t="shared" si="303"/>
        <v>December 2023</v>
      </c>
    </row>
    <row r="4848" spans="1:14" x14ac:dyDescent="0.25">
      <c r="A4848" s="1">
        <v>45269</v>
      </c>
      <c r="B4848" t="s">
        <v>4519</v>
      </c>
      <c r="C4848">
        <v>68</v>
      </c>
      <c r="D4848" t="s">
        <v>21</v>
      </c>
      <c r="E4848" t="s">
        <v>5032</v>
      </c>
      <c r="F4848" t="s">
        <v>29</v>
      </c>
      <c r="G4848" t="s">
        <v>17</v>
      </c>
      <c r="H4848">
        <v>2028.39</v>
      </c>
      <c r="I4848" s="8" t="str" cm="1">
        <f t="array" ref="I4848">_xlfn.IFS(C4848&lt;=15,"Children and Young Adolescents", C4848&gt;64, "Seniors", TRUE, "Working Age")</f>
        <v>Seniors</v>
      </c>
      <c r="J4848" s="6">
        <f>VLOOKUP(F4848,Analysis!$F$1:$G$5,2,FALSE)</f>
        <v>2496.7676064256989</v>
      </c>
      <c r="K4848">
        <f t="shared" si="300"/>
        <v>2231.2199999999998</v>
      </c>
      <c r="L4848">
        <f t="shared" si="301"/>
        <v>2231.23</v>
      </c>
      <c r="M4848">
        <f t="shared" si="302"/>
        <v>2231.23</v>
      </c>
      <c r="N4848" s="5" t="str">
        <f t="shared" si="303"/>
        <v>December 2023</v>
      </c>
    </row>
    <row r="4849" spans="1:14" x14ac:dyDescent="0.25">
      <c r="A4849" s="1">
        <v>45269</v>
      </c>
      <c r="B4849" t="s">
        <v>654</v>
      </c>
      <c r="C4849">
        <v>92</v>
      </c>
      <c r="D4849" t="s">
        <v>14</v>
      </c>
      <c r="E4849" t="s">
        <v>10</v>
      </c>
      <c r="F4849" t="s">
        <v>11</v>
      </c>
      <c r="G4849" t="s">
        <v>27</v>
      </c>
      <c r="H4849">
        <v>1293.3599999999999</v>
      </c>
      <c r="I4849" s="8" t="str" cm="1">
        <f t="array" ref="I4849">_xlfn.IFS(C4849&lt;=15,"Children and Young Adolescents", C4849&gt;64, "Seniors", TRUE, "Working Age")</f>
        <v>Seniors</v>
      </c>
      <c r="J4849" s="6">
        <f>VLOOKUP(F4849,Analysis!$F$1:$G$5,2,FALSE)</f>
        <v>2503.6022787783854</v>
      </c>
      <c r="K4849">
        <f t="shared" si="300"/>
        <v>1422.69</v>
      </c>
      <c r="L4849">
        <f t="shared" si="301"/>
        <v>1422.7</v>
      </c>
      <c r="M4849">
        <f t="shared" si="302"/>
        <v>1422.7</v>
      </c>
      <c r="N4849" s="5" t="str">
        <f t="shared" si="303"/>
        <v>December 2023</v>
      </c>
    </row>
    <row r="4850" spans="1:14" x14ac:dyDescent="0.25">
      <c r="A4850" s="1">
        <v>45269</v>
      </c>
      <c r="B4850" t="s">
        <v>1065</v>
      </c>
      <c r="C4850">
        <v>25</v>
      </c>
      <c r="D4850" t="s">
        <v>14</v>
      </c>
      <c r="E4850" t="s">
        <v>34</v>
      </c>
      <c r="F4850" t="s">
        <v>11</v>
      </c>
      <c r="G4850" t="s">
        <v>36</v>
      </c>
      <c r="H4850">
        <v>1607.79</v>
      </c>
      <c r="I4850" s="8" t="str" cm="1">
        <f t="array" ref="I4850">_xlfn.IFS(C4850&lt;=15,"Children and Young Adolescents", C4850&gt;64, "Seniors", TRUE, "Working Age")</f>
        <v>Working Age</v>
      </c>
      <c r="J4850" s="6">
        <f>VLOOKUP(F4850,Analysis!$F$1:$G$5,2,FALSE)</f>
        <v>2503.6022787783854</v>
      </c>
      <c r="K4850">
        <f t="shared" si="300"/>
        <v>1768.56</v>
      </c>
      <c r="L4850">
        <f t="shared" si="301"/>
        <v>1768.57</v>
      </c>
      <c r="M4850">
        <f t="shared" si="302"/>
        <v>1768.57</v>
      </c>
      <c r="N4850" s="5" t="str">
        <f t="shared" si="303"/>
        <v>December 2023</v>
      </c>
    </row>
    <row r="4851" spans="1:14" x14ac:dyDescent="0.25">
      <c r="A4851" s="1">
        <v>45269</v>
      </c>
      <c r="B4851" t="s">
        <v>2273</v>
      </c>
      <c r="C4851">
        <v>79</v>
      </c>
      <c r="D4851" t="s">
        <v>21</v>
      </c>
      <c r="E4851" t="s">
        <v>22</v>
      </c>
      <c r="F4851" t="s">
        <v>16</v>
      </c>
      <c r="G4851" t="s">
        <v>27</v>
      </c>
      <c r="H4851">
        <v>1256.18</v>
      </c>
      <c r="I4851" s="8" t="str" cm="1">
        <f t="array" ref="I4851">_xlfn.IFS(C4851&lt;=15,"Children and Young Adolescents", C4851&gt;64, "Seniors", TRUE, "Working Age")</f>
        <v>Seniors</v>
      </c>
      <c r="J4851" s="6">
        <f>VLOOKUP(F4851,Analysis!$F$1:$G$5,2,FALSE)</f>
        <v>2509.1716796874912</v>
      </c>
      <c r="K4851">
        <f t="shared" si="300"/>
        <v>1381.79</v>
      </c>
      <c r="L4851">
        <f t="shared" si="301"/>
        <v>1381.8</v>
      </c>
      <c r="M4851">
        <f t="shared" si="302"/>
        <v>1381.8</v>
      </c>
      <c r="N4851" s="5" t="str">
        <f t="shared" si="303"/>
        <v>December 2023</v>
      </c>
    </row>
    <row r="4852" spans="1:14" x14ac:dyDescent="0.25">
      <c r="A4852" s="1">
        <v>45269</v>
      </c>
      <c r="B4852" t="s">
        <v>2429</v>
      </c>
      <c r="C4852">
        <v>0</v>
      </c>
      <c r="D4852" t="s">
        <v>9</v>
      </c>
      <c r="E4852" t="s">
        <v>25</v>
      </c>
      <c r="F4852" t="s">
        <v>11</v>
      </c>
      <c r="G4852" t="s">
        <v>17</v>
      </c>
      <c r="H4852">
        <v>1619.05</v>
      </c>
      <c r="I4852" s="8" t="str" cm="1">
        <f t="array" ref="I4852">_xlfn.IFS(C4852&lt;=15,"Children and Young Adolescents", C4852&gt;64, "Seniors", TRUE, "Working Age")</f>
        <v>Children and Young Adolescents</v>
      </c>
      <c r="J4852" s="6">
        <f>VLOOKUP(F4852,Analysis!$F$1:$G$5,2,FALSE)</f>
        <v>2503.6022787783854</v>
      </c>
      <c r="K4852">
        <f t="shared" si="300"/>
        <v>1780.95</v>
      </c>
      <c r="L4852">
        <f t="shared" si="301"/>
        <v>1780.96</v>
      </c>
      <c r="M4852">
        <f t="shared" si="302"/>
        <v>1780.96</v>
      </c>
      <c r="N4852" s="5" t="str">
        <f t="shared" si="303"/>
        <v>December 2023</v>
      </c>
    </row>
    <row r="4853" spans="1:14" x14ac:dyDescent="0.25">
      <c r="A4853" s="1">
        <v>45269</v>
      </c>
      <c r="B4853" t="s">
        <v>1437</v>
      </c>
      <c r="C4853">
        <v>25</v>
      </c>
      <c r="D4853" t="s">
        <v>21</v>
      </c>
      <c r="E4853" t="s">
        <v>5032</v>
      </c>
      <c r="F4853" t="s">
        <v>23</v>
      </c>
      <c r="G4853" t="s">
        <v>27</v>
      </c>
      <c r="H4853">
        <v>1125.6400000000001</v>
      </c>
      <c r="I4853" s="8" t="str" cm="1">
        <f t="array" ref="I4853">_xlfn.IFS(C4853&lt;=15,"Children and Young Adolescents", C4853&gt;64, "Seniors", TRUE, "Working Age")</f>
        <v>Working Age</v>
      </c>
      <c r="J4853" s="6">
        <f>VLOOKUP(F4853,Analysis!$F$1:$G$5,2,FALSE)</f>
        <v>2440.2966694490838</v>
      </c>
      <c r="K4853">
        <f t="shared" si="300"/>
        <v>1238.2</v>
      </c>
      <c r="L4853">
        <f t="shared" si="301"/>
        <v>1238.21</v>
      </c>
      <c r="M4853">
        <f t="shared" si="302"/>
        <v>1238.2</v>
      </c>
      <c r="N4853" s="5" t="str">
        <f t="shared" si="303"/>
        <v>December 2023</v>
      </c>
    </row>
    <row r="4854" spans="1:14" x14ac:dyDescent="0.25">
      <c r="A4854" s="1">
        <v>45269</v>
      </c>
      <c r="B4854" t="s">
        <v>3115</v>
      </c>
      <c r="C4854">
        <v>97</v>
      </c>
      <c r="D4854" t="s">
        <v>9</v>
      </c>
      <c r="E4854" t="s">
        <v>10</v>
      </c>
      <c r="F4854" t="s">
        <v>16</v>
      </c>
      <c r="G4854" t="s">
        <v>12</v>
      </c>
      <c r="H4854">
        <v>1740.46</v>
      </c>
      <c r="I4854" s="8" t="str" cm="1">
        <f t="array" ref="I4854">_xlfn.IFS(C4854&lt;=15,"Children and Young Adolescents", C4854&gt;64, "Seniors", TRUE, "Working Age")</f>
        <v>Seniors</v>
      </c>
      <c r="J4854" s="6">
        <f>VLOOKUP(F4854,Analysis!$F$1:$G$5,2,FALSE)</f>
        <v>2509.1716796874912</v>
      </c>
      <c r="K4854">
        <f t="shared" si="300"/>
        <v>1914.5</v>
      </c>
      <c r="L4854">
        <f t="shared" si="301"/>
        <v>1914.51</v>
      </c>
      <c r="M4854">
        <f t="shared" si="302"/>
        <v>1914.51</v>
      </c>
      <c r="N4854" s="5" t="str">
        <f t="shared" si="303"/>
        <v>December 2023</v>
      </c>
    </row>
    <row r="4855" spans="1:14" x14ac:dyDescent="0.25">
      <c r="A4855" s="1">
        <v>45269</v>
      </c>
      <c r="B4855" t="s">
        <v>906</v>
      </c>
      <c r="C4855">
        <v>45</v>
      </c>
      <c r="D4855" t="s">
        <v>14</v>
      </c>
      <c r="E4855" t="s">
        <v>22</v>
      </c>
      <c r="F4855" t="s">
        <v>11</v>
      </c>
      <c r="G4855" t="s">
        <v>17</v>
      </c>
      <c r="H4855">
        <v>2497.4499999999998</v>
      </c>
      <c r="I4855" s="8" t="str" cm="1">
        <f t="array" ref="I4855">_xlfn.IFS(C4855&lt;=15,"Children and Young Adolescents", C4855&gt;64, "Seniors", TRUE, "Working Age")</f>
        <v>Working Age</v>
      </c>
      <c r="J4855" s="6">
        <f>VLOOKUP(F4855,Analysis!$F$1:$G$5,2,FALSE)</f>
        <v>2503.6022787783854</v>
      </c>
      <c r="K4855">
        <f t="shared" si="300"/>
        <v>2747.19</v>
      </c>
      <c r="L4855">
        <f t="shared" si="301"/>
        <v>2747.2000000000003</v>
      </c>
      <c r="M4855">
        <f t="shared" si="302"/>
        <v>2747.2</v>
      </c>
      <c r="N4855" s="5" t="str">
        <f t="shared" si="303"/>
        <v>December 2023</v>
      </c>
    </row>
    <row r="4856" spans="1:14" x14ac:dyDescent="0.25">
      <c r="A4856" s="1">
        <v>45269</v>
      </c>
      <c r="B4856" t="s">
        <v>2711</v>
      </c>
      <c r="C4856">
        <v>80</v>
      </c>
      <c r="D4856" t="s">
        <v>21</v>
      </c>
      <c r="E4856" t="s">
        <v>15</v>
      </c>
      <c r="F4856" t="s">
        <v>11</v>
      </c>
      <c r="G4856" t="s">
        <v>39</v>
      </c>
      <c r="H4856">
        <v>591.65</v>
      </c>
      <c r="I4856" s="8" t="str" cm="1">
        <f t="array" ref="I4856">_xlfn.IFS(C4856&lt;=15,"Children and Young Adolescents", C4856&gt;64, "Seniors", TRUE, "Working Age")</f>
        <v>Seniors</v>
      </c>
      <c r="J4856" s="6">
        <f>VLOOKUP(F4856,Analysis!$F$1:$G$5,2,FALSE)</f>
        <v>2503.6022787783854</v>
      </c>
      <c r="K4856">
        <f t="shared" si="300"/>
        <v>650.80999999999995</v>
      </c>
      <c r="L4856">
        <f t="shared" si="301"/>
        <v>650.81999999999994</v>
      </c>
      <c r="M4856">
        <f t="shared" si="302"/>
        <v>650.82000000000005</v>
      </c>
      <c r="N4856" s="5" t="str">
        <f t="shared" si="303"/>
        <v>December 2023</v>
      </c>
    </row>
    <row r="4857" spans="1:14" x14ac:dyDescent="0.25">
      <c r="A4857" s="1">
        <v>45270</v>
      </c>
      <c r="B4857" t="s">
        <v>2637</v>
      </c>
      <c r="C4857">
        <v>49</v>
      </c>
      <c r="D4857" t="s">
        <v>21</v>
      </c>
      <c r="E4857" t="s">
        <v>22</v>
      </c>
      <c r="F4857" t="s">
        <v>11</v>
      </c>
      <c r="G4857" t="s">
        <v>17</v>
      </c>
      <c r="H4857">
        <v>2551.19</v>
      </c>
      <c r="I4857" s="8" t="str" cm="1">
        <f t="array" ref="I4857">_xlfn.IFS(C4857&lt;=15,"Children and Young Adolescents", C4857&gt;64, "Seniors", TRUE, "Working Age")</f>
        <v>Working Age</v>
      </c>
      <c r="J4857" s="6">
        <f>VLOOKUP(F4857,Analysis!$F$1:$G$5,2,FALSE)</f>
        <v>2503.6022787783854</v>
      </c>
      <c r="K4857">
        <f t="shared" si="300"/>
        <v>2806.3</v>
      </c>
      <c r="L4857">
        <f t="shared" si="301"/>
        <v>2806.3100000000004</v>
      </c>
      <c r="M4857">
        <f t="shared" si="302"/>
        <v>2806.31</v>
      </c>
      <c r="N4857" s="5" t="str">
        <f t="shared" si="303"/>
        <v>December 2023</v>
      </c>
    </row>
    <row r="4858" spans="1:14" x14ac:dyDescent="0.25">
      <c r="A4858" s="1">
        <v>45270</v>
      </c>
      <c r="B4858" t="s">
        <v>1139</v>
      </c>
      <c r="C4858">
        <v>49</v>
      </c>
      <c r="D4858" t="s">
        <v>14</v>
      </c>
      <c r="E4858" t="s">
        <v>25</v>
      </c>
      <c r="F4858" t="s">
        <v>23</v>
      </c>
      <c r="G4858" t="s">
        <v>39</v>
      </c>
      <c r="H4858">
        <v>1078.1500000000001</v>
      </c>
      <c r="I4858" s="8" t="str" cm="1">
        <f t="array" ref="I4858">_xlfn.IFS(C4858&lt;=15,"Children and Young Adolescents", C4858&gt;64, "Seniors", TRUE, "Working Age")</f>
        <v>Working Age</v>
      </c>
      <c r="J4858" s="6">
        <f>VLOOKUP(F4858,Analysis!$F$1:$G$5,2,FALSE)</f>
        <v>2440.2966694490838</v>
      </c>
      <c r="K4858">
        <f t="shared" si="300"/>
        <v>1185.96</v>
      </c>
      <c r="L4858">
        <f t="shared" si="301"/>
        <v>1185.97</v>
      </c>
      <c r="M4858">
        <f t="shared" si="302"/>
        <v>1185.97</v>
      </c>
      <c r="N4858" s="5" t="str">
        <f t="shared" si="303"/>
        <v>December 2023</v>
      </c>
    </row>
    <row r="4859" spans="1:14" x14ac:dyDescent="0.25">
      <c r="A4859" s="1">
        <v>45270</v>
      </c>
      <c r="B4859" t="s">
        <v>3620</v>
      </c>
      <c r="C4859">
        <v>62</v>
      </c>
      <c r="D4859" t="s">
        <v>9</v>
      </c>
      <c r="E4859" t="s">
        <v>34</v>
      </c>
      <c r="F4859" t="s">
        <v>11</v>
      </c>
      <c r="G4859" t="s">
        <v>17</v>
      </c>
      <c r="H4859">
        <v>4114.62</v>
      </c>
      <c r="I4859" s="8" t="str" cm="1">
        <f t="array" ref="I4859">_xlfn.IFS(C4859&lt;=15,"Children and Young Adolescents", C4859&gt;64, "Seniors", TRUE, "Working Age")</f>
        <v>Working Age</v>
      </c>
      <c r="J4859" s="6">
        <f>VLOOKUP(F4859,Analysis!$F$1:$G$5,2,FALSE)</f>
        <v>2503.6022787783854</v>
      </c>
      <c r="K4859">
        <f t="shared" si="300"/>
        <v>4526.08</v>
      </c>
      <c r="L4859">
        <f t="shared" si="301"/>
        <v>4526.09</v>
      </c>
      <c r="M4859">
        <f t="shared" si="302"/>
        <v>4526.08</v>
      </c>
      <c r="N4859" s="5" t="str">
        <f t="shared" si="303"/>
        <v>December 2023</v>
      </c>
    </row>
    <row r="4860" spans="1:14" x14ac:dyDescent="0.25">
      <c r="A4860" s="1">
        <v>45270</v>
      </c>
      <c r="B4860" t="s">
        <v>4467</v>
      </c>
      <c r="C4860">
        <v>6</v>
      </c>
      <c r="D4860" t="s">
        <v>9</v>
      </c>
      <c r="E4860" t="s">
        <v>19</v>
      </c>
      <c r="F4860" t="s">
        <v>29</v>
      </c>
      <c r="G4860" t="s">
        <v>27</v>
      </c>
      <c r="H4860">
        <v>1496.57</v>
      </c>
      <c r="I4860" s="8" t="str" cm="1">
        <f t="array" ref="I4860">_xlfn.IFS(C4860&lt;=15,"Children and Young Adolescents", C4860&gt;64, "Seniors", TRUE, "Working Age")</f>
        <v>Children and Young Adolescents</v>
      </c>
      <c r="J4860" s="6">
        <f>VLOOKUP(F4860,Analysis!$F$1:$G$5,2,FALSE)</f>
        <v>2496.7676064256989</v>
      </c>
      <c r="K4860">
        <f t="shared" si="300"/>
        <v>1646.22</v>
      </c>
      <c r="L4860">
        <f t="shared" si="301"/>
        <v>1646.23</v>
      </c>
      <c r="M4860">
        <f t="shared" si="302"/>
        <v>1646.23</v>
      </c>
      <c r="N4860" s="5" t="str">
        <f t="shared" si="303"/>
        <v>December 2023</v>
      </c>
    </row>
    <row r="4861" spans="1:14" x14ac:dyDescent="0.25">
      <c r="A4861" s="1">
        <v>45270</v>
      </c>
      <c r="B4861" t="s">
        <v>3687</v>
      </c>
      <c r="C4861">
        <v>61</v>
      </c>
      <c r="D4861" t="s">
        <v>9</v>
      </c>
      <c r="E4861" t="s">
        <v>25</v>
      </c>
      <c r="F4861" t="s">
        <v>11</v>
      </c>
      <c r="G4861" t="s">
        <v>39</v>
      </c>
      <c r="H4861">
        <v>3387.49</v>
      </c>
      <c r="I4861" s="8" t="str" cm="1">
        <f t="array" ref="I4861">_xlfn.IFS(C4861&lt;=15,"Children and Young Adolescents", C4861&gt;64, "Seniors", TRUE, "Working Age")</f>
        <v>Working Age</v>
      </c>
      <c r="J4861" s="6">
        <f>VLOOKUP(F4861,Analysis!$F$1:$G$5,2,FALSE)</f>
        <v>2503.6022787783854</v>
      </c>
      <c r="K4861">
        <f t="shared" si="300"/>
        <v>3726.23</v>
      </c>
      <c r="L4861">
        <f t="shared" si="301"/>
        <v>3726.2400000000002</v>
      </c>
      <c r="M4861">
        <f t="shared" si="302"/>
        <v>3726.24</v>
      </c>
      <c r="N4861" s="5" t="str">
        <f t="shared" si="303"/>
        <v>December 2023</v>
      </c>
    </row>
    <row r="4862" spans="1:14" x14ac:dyDescent="0.25">
      <c r="A4862" s="1">
        <v>45270</v>
      </c>
      <c r="B4862" t="s">
        <v>1661</v>
      </c>
      <c r="C4862">
        <v>70</v>
      </c>
      <c r="D4862" t="s">
        <v>9</v>
      </c>
      <c r="E4862" t="s">
        <v>22</v>
      </c>
      <c r="F4862" t="s">
        <v>29</v>
      </c>
      <c r="G4862" t="s">
        <v>36</v>
      </c>
      <c r="H4862">
        <v>3077.72</v>
      </c>
      <c r="I4862" s="8" t="str" cm="1">
        <f t="array" ref="I4862">_xlfn.IFS(C4862&lt;=15,"Children and Young Adolescents", C4862&gt;64, "Seniors", TRUE, "Working Age")</f>
        <v>Seniors</v>
      </c>
      <c r="J4862" s="6">
        <f>VLOOKUP(F4862,Analysis!$F$1:$G$5,2,FALSE)</f>
        <v>2496.7676064256989</v>
      </c>
      <c r="K4862">
        <f t="shared" si="300"/>
        <v>3385.49</v>
      </c>
      <c r="L4862">
        <f t="shared" si="301"/>
        <v>3385.5</v>
      </c>
      <c r="M4862">
        <f t="shared" si="302"/>
        <v>3385.49</v>
      </c>
      <c r="N4862" s="5" t="str">
        <f t="shared" si="303"/>
        <v>December 2023</v>
      </c>
    </row>
    <row r="4863" spans="1:14" x14ac:dyDescent="0.25">
      <c r="A4863" s="1">
        <v>45270</v>
      </c>
      <c r="B4863" t="s">
        <v>3801</v>
      </c>
      <c r="C4863">
        <v>50</v>
      </c>
      <c r="D4863" t="s">
        <v>21</v>
      </c>
      <c r="E4863" t="s">
        <v>32</v>
      </c>
      <c r="F4863" t="s">
        <v>29</v>
      </c>
      <c r="G4863" t="s">
        <v>12</v>
      </c>
      <c r="H4863">
        <v>1910.04</v>
      </c>
      <c r="I4863" s="8" t="str" cm="1">
        <f t="array" ref="I4863">_xlfn.IFS(C4863&lt;=15,"Children and Young Adolescents", C4863&gt;64, "Seniors", TRUE, "Working Age")</f>
        <v>Working Age</v>
      </c>
      <c r="J4863" s="6">
        <f>VLOOKUP(F4863,Analysis!$F$1:$G$5,2,FALSE)</f>
        <v>2496.7676064256989</v>
      </c>
      <c r="K4863">
        <f t="shared" si="300"/>
        <v>2101.04</v>
      </c>
      <c r="L4863">
        <f t="shared" si="301"/>
        <v>2101.0500000000002</v>
      </c>
      <c r="M4863">
        <f t="shared" si="302"/>
        <v>2101.04</v>
      </c>
      <c r="N4863" s="5" t="str">
        <f t="shared" si="303"/>
        <v>December 2023</v>
      </c>
    </row>
    <row r="4864" spans="1:14" x14ac:dyDescent="0.25">
      <c r="A4864" s="1">
        <v>45270</v>
      </c>
      <c r="B4864" t="s">
        <v>4614</v>
      </c>
      <c r="C4864">
        <v>60</v>
      </c>
      <c r="D4864" t="s">
        <v>9</v>
      </c>
      <c r="E4864" t="s">
        <v>25</v>
      </c>
      <c r="F4864" t="s">
        <v>23</v>
      </c>
      <c r="G4864" t="s">
        <v>36</v>
      </c>
      <c r="H4864">
        <v>3661.97</v>
      </c>
      <c r="I4864" s="8" t="str" cm="1">
        <f t="array" ref="I4864">_xlfn.IFS(C4864&lt;=15,"Children and Young Adolescents", C4864&gt;64, "Seniors", TRUE, "Working Age")</f>
        <v>Working Age</v>
      </c>
      <c r="J4864" s="6">
        <f>VLOOKUP(F4864,Analysis!$F$1:$G$5,2,FALSE)</f>
        <v>2440.2966694490838</v>
      </c>
      <c r="K4864">
        <f t="shared" si="300"/>
        <v>4028.16</v>
      </c>
      <c r="L4864">
        <f t="shared" si="301"/>
        <v>4028.17</v>
      </c>
      <c r="M4864">
        <f t="shared" si="302"/>
        <v>4028.17</v>
      </c>
      <c r="N4864" s="5" t="str">
        <f t="shared" si="303"/>
        <v>December 2023</v>
      </c>
    </row>
    <row r="4865" spans="1:14" x14ac:dyDescent="0.25">
      <c r="A4865" s="1">
        <v>45271</v>
      </c>
      <c r="B4865" t="s">
        <v>4995</v>
      </c>
      <c r="C4865">
        <v>80</v>
      </c>
      <c r="D4865" t="s">
        <v>21</v>
      </c>
      <c r="E4865" t="s">
        <v>25</v>
      </c>
      <c r="F4865" t="s">
        <v>29</v>
      </c>
      <c r="G4865" t="s">
        <v>17</v>
      </c>
      <c r="H4865">
        <v>981.09</v>
      </c>
      <c r="I4865" s="8" t="str" cm="1">
        <f t="array" ref="I4865">_xlfn.IFS(C4865&lt;=15,"Children and Young Adolescents", C4865&gt;64, "Seniors", TRUE, "Working Age")</f>
        <v>Seniors</v>
      </c>
      <c r="J4865" s="6">
        <f>VLOOKUP(F4865,Analysis!$F$1:$G$5,2,FALSE)</f>
        <v>2496.7676064256989</v>
      </c>
      <c r="K4865">
        <f t="shared" si="300"/>
        <v>1079.19</v>
      </c>
      <c r="L4865">
        <f t="shared" si="301"/>
        <v>1079.2</v>
      </c>
      <c r="M4865">
        <f t="shared" si="302"/>
        <v>1079.2</v>
      </c>
      <c r="N4865" s="5" t="str">
        <f t="shared" si="303"/>
        <v>December 2023</v>
      </c>
    </row>
    <row r="4866" spans="1:14" x14ac:dyDescent="0.25">
      <c r="A4866" s="1">
        <v>45271</v>
      </c>
      <c r="B4866" t="s">
        <v>1529</v>
      </c>
      <c r="C4866">
        <v>79</v>
      </c>
      <c r="D4866" t="s">
        <v>21</v>
      </c>
      <c r="E4866" t="s">
        <v>25</v>
      </c>
      <c r="F4866" t="s">
        <v>11</v>
      </c>
      <c r="G4866" t="s">
        <v>27</v>
      </c>
      <c r="H4866">
        <v>737.4</v>
      </c>
      <c r="I4866" s="8" t="str" cm="1">
        <f t="array" ref="I4866">_xlfn.IFS(C4866&lt;=15,"Children and Young Adolescents", C4866&gt;64, "Seniors", TRUE, "Working Age")</f>
        <v>Seniors</v>
      </c>
      <c r="J4866" s="6">
        <f>VLOOKUP(F4866,Analysis!$F$1:$G$5,2,FALSE)</f>
        <v>2503.6022787783854</v>
      </c>
      <c r="K4866">
        <f t="shared" si="300"/>
        <v>811.14</v>
      </c>
      <c r="L4866">
        <f t="shared" si="301"/>
        <v>811.14</v>
      </c>
      <c r="M4866">
        <f t="shared" si="302"/>
        <v>811.14</v>
      </c>
      <c r="N4866" s="5" t="str">
        <f t="shared" si="303"/>
        <v>December 2023</v>
      </c>
    </row>
    <row r="4867" spans="1:14" x14ac:dyDescent="0.25">
      <c r="A4867" s="1">
        <v>45271</v>
      </c>
      <c r="B4867" t="s">
        <v>4450</v>
      </c>
      <c r="C4867">
        <v>64</v>
      </c>
      <c r="D4867" t="s">
        <v>14</v>
      </c>
      <c r="E4867" t="s">
        <v>32</v>
      </c>
      <c r="F4867" t="s">
        <v>16</v>
      </c>
      <c r="G4867" t="s">
        <v>36</v>
      </c>
      <c r="H4867">
        <v>3060.8</v>
      </c>
      <c r="I4867" s="8" t="str" cm="1">
        <f t="array" ref="I4867">_xlfn.IFS(C4867&lt;=15,"Children and Young Adolescents", C4867&gt;64, "Seniors", TRUE, "Working Age")</f>
        <v>Working Age</v>
      </c>
      <c r="J4867" s="6">
        <f>VLOOKUP(F4867,Analysis!$F$1:$G$5,2,FALSE)</f>
        <v>2509.1716796874912</v>
      </c>
      <c r="K4867">
        <f t="shared" ref="K4867:K4930" si="304">ROUNDDOWN(H4867*1.1,2)</f>
        <v>3366.88</v>
      </c>
      <c r="L4867">
        <f t="shared" ref="L4867:L4930" si="305">ROUNDUP(H4867*1.1,2)</f>
        <v>3366.88</v>
      </c>
      <c r="M4867">
        <f t="shared" ref="M4867:M4930" si="306">ROUND(H4867*1.1,2)</f>
        <v>3366.88</v>
      </c>
      <c r="N4867" s="5" t="str">
        <f t="shared" ref="N4867:N4930" si="307">TEXT(A4867,"mmmm yyyy")</f>
        <v>December 2023</v>
      </c>
    </row>
    <row r="4868" spans="1:14" x14ac:dyDescent="0.25">
      <c r="A4868" s="1">
        <v>45271</v>
      </c>
      <c r="B4868" t="s">
        <v>489</v>
      </c>
      <c r="C4868">
        <v>38</v>
      </c>
      <c r="D4868" t="s">
        <v>21</v>
      </c>
      <c r="E4868" t="s">
        <v>15</v>
      </c>
      <c r="F4868" t="s">
        <v>16</v>
      </c>
      <c r="G4868" t="s">
        <v>36</v>
      </c>
      <c r="H4868">
        <v>422.5</v>
      </c>
      <c r="I4868" s="8" t="str" cm="1">
        <f t="array" ref="I4868">_xlfn.IFS(C4868&lt;=15,"Children and Young Adolescents", C4868&gt;64, "Seniors", TRUE, "Working Age")</f>
        <v>Working Age</v>
      </c>
      <c r="J4868" s="6">
        <f>VLOOKUP(F4868,Analysis!$F$1:$G$5,2,FALSE)</f>
        <v>2509.1716796874912</v>
      </c>
      <c r="K4868">
        <f t="shared" si="304"/>
        <v>464.75</v>
      </c>
      <c r="L4868">
        <f t="shared" si="305"/>
        <v>464.75</v>
      </c>
      <c r="M4868">
        <f t="shared" si="306"/>
        <v>464.75</v>
      </c>
      <c r="N4868" s="5" t="str">
        <f t="shared" si="307"/>
        <v>December 2023</v>
      </c>
    </row>
    <row r="4869" spans="1:14" x14ac:dyDescent="0.25">
      <c r="A4869" s="1">
        <v>45271</v>
      </c>
      <c r="B4869" t="s">
        <v>3863</v>
      </c>
      <c r="C4869">
        <v>86</v>
      </c>
      <c r="D4869" t="s">
        <v>9</v>
      </c>
      <c r="E4869" t="s">
        <v>34</v>
      </c>
      <c r="F4869" t="s">
        <v>29</v>
      </c>
      <c r="G4869" t="s">
        <v>27</v>
      </c>
      <c r="H4869">
        <v>4322.8900000000003</v>
      </c>
      <c r="I4869" s="8" t="str" cm="1">
        <f t="array" ref="I4869">_xlfn.IFS(C4869&lt;=15,"Children and Young Adolescents", C4869&gt;64, "Seniors", TRUE, "Working Age")</f>
        <v>Seniors</v>
      </c>
      <c r="J4869" s="6">
        <f>VLOOKUP(F4869,Analysis!$F$1:$G$5,2,FALSE)</f>
        <v>2496.7676064256989</v>
      </c>
      <c r="K4869">
        <f t="shared" si="304"/>
        <v>4755.17</v>
      </c>
      <c r="L4869">
        <f t="shared" si="305"/>
        <v>4755.18</v>
      </c>
      <c r="M4869">
        <f t="shared" si="306"/>
        <v>4755.18</v>
      </c>
      <c r="N4869" s="5" t="str">
        <f t="shared" si="307"/>
        <v>December 2023</v>
      </c>
    </row>
    <row r="4870" spans="1:14" x14ac:dyDescent="0.25">
      <c r="A4870" s="1">
        <v>45271</v>
      </c>
      <c r="B4870" t="s">
        <v>2528</v>
      </c>
      <c r="C4870">
        <v>33</v>
      </c>
      <c r="D4870" t="s">
        <v>14</v>
      </c>
      <c r="E4870" t="s">
        <v>10</v>
      </c>
      <c r="F4870" t="s">
        <v>29</v>
      </c>
      <c r="G4870" t="s">
        <v>39</v>
      </c>
      <c r="H4870">
        <v>3154.92</v>
      </c>
      <c r="I4870" s="8" t="str" cm="1">
        <f t="array" ref="I4870">_xlfn.IFS(C4870&lt;=15,"Children and Young Adolescents", C4870&gt;64, "Seniors", TRUE, "Working Age")</f>
        <v>Working Age</v>
      </c>
      <c r="J4870" s="6">
        <f>VLOOKUP(F4870,Analysis!$F$1:$G$5,2,FALSE)</f>
        <v>2496.7676064256989</v>
      </c>
      <c r="K4870">
        <f t="shared" si="304"/>
        <v>3470.41</v>
      </c>
      <c r="L4870">
        <f t="shared" si="305"/>
        <v>3470.42</v>
      </c>
      <c r="M4870">
        <f t="shared" si="306"/>
        <v>3470.41</v>
      </c>
      <c r="N4870" s="5" t="str">
        <f t="shared" si="307"/>
        <v>December 2023</v>
      </c>
    </row>
    <row r="4871" spans="1:14" x14ac:dyDescent="0.25">
      <c r="A4871" s="1">
        <v>45271</v>
      </c>
      <c r="B4871" t="s">
        <v>3803</v>
      </c>
      <c r="C4871">
        <v>46</v>
      </c>
      <c r="D4871" t="s">
        <v>21</v>
      </c>
      <c r="E4871" t="s">
        <v>19</v>
      </c>
      <c r="F4871" t="s">
        <v>11</v>
      </c>
      <c r="G4871" t="s">
        <v>27</v>
      </c>
      <c r="H4871">
        <v>1193.98</v>
      </c>
      <c r="I4871" s="8" t="str" cm="1">
        <f t="array" ref="I4871">_xlfn.IFS(C4871&lt;=15,"Children and Young Adolescents", C4871&gt;64, "Seniors", TRUE, "Working Age")</f>
        <v>Working Age</v>
      </c>
      <c r="J4871" s="6">
        <f>VLOOKUP(F4871,Analysis!$F$1:$G$5,2,FALSE)</f>
        <v>2503.6022787783854</v>
      </c>
      <c r="K4871">
        <f t="shared" si="304"/>
        <v>1313.37</v>
      </c>
      <c r="L4871">
        <f t="shared" si="305"/>
        <v>1313.3799999999999</v>
      </c>
      <c r="M4871">
        <f t="shared" si="306"/>
        <v>1313.38</v>
      </c>
      <c r="N4871" s="5" t="str">
        <f t="shared" si="307"/>
        <v>December 2023</v>
      </c>
    </row>
    <row r="4872" spans="1:14" x14ac:dyDescent="0.25">
      <c r="A4872" s="1">
        <v>45271</v>
      </c>
      <c r="B4872" t="s">
        <v>2916</v>
      </c>
      <c r="C4872">
        <v>63</v>
      </c>
      <c r="D4872" t="s">
        <v>9</v>
      </c>
      <c r="E4872" t="s">
        <v>32</v>
      </c>
      <c r="F4872" t="s">
        <v>23</v>
      </c>
      <c r="G4872" t="s">
        <v>39</v>
      </c>
      <c r="H4872">
        <v>609.71</v>
      </c>
      <c r="I4872" s="8" t="str" cm="1">
        <f t="array" ref="I4872">_xlfn.IFS(C4872&lt;=15,"Children and Young Adolescents", C4872&gt;64, "Seniors", TRUE, "Working Age")</f>
        <v>Working Age</v>
      </c>
      <c r="J4872" s="6">
        <f>VLOOKUP(F4872,Analysis!$F$1:$G$5,2,FALSE)</f>
        <v>2440.2966694490838</v>
      </c>
      <c r="K4872">
        <f t="shared" si="304"/>
        <v>670.68</v>
      </c>
      <c r="L4872">
        <f t="shared" si="305"/>
        <v>670.68999999999994</v>
      </c>
      <c r="M4872">
        <f t="shared" si="306"/>
        <v>670.68</v>
      </c>
      <c r="N4872" s="5" t="str">
        <f t="shared" si="307"/>
        <v>December 2023</v>
      </c>
    </row>
    <row r="4873" spans="1:14" x14ac:dyDescent="0.25">
      <c r="A4873" s="1">
        <v>45271</v>
      </c>
      <c r="B4873" t="s">
        <v>3047</v>
      </c>
      <c r="C4873">
        <v>39</v>
      </c>
      <c r="D4873" t="s">
        <v>21</v>
      </c>
      <c r="E4873" t="s">
        <v>34</v>
      </c>
      <c r="F4873" t="s">
        <v>29</v>
      </c>
      <c r="G4873" t="s">
        <v>36</v>
      </c>
      <c r="H4873">
        <v>1202.48</v>
      </c>
      <c r="I4873" s="8" t="str" cm="1">
        <f t="array" ref="I4873">_xlfn.IFS(C4873&lt;=15,"Children and Young Adolescents", C4873&gt;64, "Seniors", TRUE, "Working Age")</f>
        <v>Working Age</v>
      </c>
      <c r="J4873" s="6">
        <f>VLOOKUP(F4873,Analysis!$F$1:$G$5,2,FALSE)</f>
        <v>2496.7676064256989</v>
      </c>
      <c r="K4873">
        <f t="shared" si="304"/>
        <v>1322.72</v>
      </c>
      <c r="L4873">
        <f t="shared" si="305"/>
        <v>1322.73</v>
      </c>
      <c r="M4873">
        <f t="shared" si="306"/>
        <v>1322.73</v>
      </c>
      <c r="N4873" s="5" t="str">
        <f t="shared" si="307"/>
        <v>December 2023</v>
      </c>
    </row>
    <row r="4874" spans="1:14" x14ac:dyDescent="0.25">
      <c r="A4874" s="1">
        <v>45271</v>
      </c>
      <c r="B4874" t="s">
        <v>3762</v>
      </c>
      <c r="C4874">
        <v>58</v>
      </c>
      <c r="D4874" t="s">
        <v>9</v>
      </c>
      <c r="E4874" t="s">
        <v>22</v>
      </c>
      <c r="F4874" t="s">
        <v>11</v>
      </c>
      <c r="G4874" t="s">
        <v>12</v>
      </c>
      <c r="H4874">
        <v>4497.28</v>
      </c>
      <c r="I4874" s="8" t="str" cm="1">
        <f t="array" ref="I4874">_xlfn.IFS(C4874&lt;=15,"Children and Young Adolescents", C4874&gt;64, "Seniors", TRUE, "Working Age")</f>
        <v>Working Age</v>
      </c>
      <c r="J4874" s="6">
        <f>VLOOKUP(F4874,Analysis!$F$1:$G$5,2,FALSE)</f>
        <v>2503.6022787783854</v>
      </c>
      <c r="K4874">
        <f t="shared" si="304"/>
        <v>4947</v>
      </c>
      <c r="L4874">
        <f t="shared" si="305"/>
        <v>4947.01</v>
      </c>
      <c r="M4874">
        <f t="shared" si="306"/>
        <v>4947.01</v>
      </c>
      <c r="N4874" s="5" t="str">
        <f t="shared" si="307"/>
        <v>December 2023</v>
      </c>
    </row>
    <row r="4875" spans="1:14" x14ac:dyDescent="0.25">
      <c r="A4875" s="1">
        <v>45271</v>
      </c>
      <c r="B4875" t="s">
        <v>1473</v>
      </c>
      <c r="C4875">
        <v>53</v>
      </c>
      <c r="D4875" t="s">
        <v>9</v>
      </c>
      <c r="E4875" t="s">
        <v>10</v>
      </c>
      <c r="F4875" t="s">
        <v>29</v>
      </c>
      <c r="G4875" t="s">
        <v>39</v>
      </c>
      <c r="H4875">
        <v>3607.43</v>
      </c>
      <c r="I4875" s="8" t="str" cm="1">
        <f t="array" ref="I4875">_xlfn.IFS(C4875&lt;=15,"Children and Young Adolescents", C4875&gt;64, "Seniors", TRUE, "Working Age")</f>
        <v>Working Age</v>
      </c>
      <c r="J4875" s="6">
        <f>VLOOKUP(F4875,Analysis!$F$1:$G$5,2,FALSE)</f>
        <v>2496.7676064256989</v>
      </c>
      <c r="K4875">
        <f t="shared" si="304"/>
        <v>3968.17</v>
      </c>
      <c r="L4875">
        <f t="shared" si="305"/>
        <v>3968.1800000000003</v>
      </c>
      <c r="M4875">
        <f t="shared" si="306"/>
        <v>3968.17</v>
      </c>
      <c r="N4875" s="5" t="str">
        <f t="shared" si="307"/>
        <v>December 2023</v>
      </c>
    </row>
    <row r="4876" spans="1:14" x14ac:dyDescent="0.25">
      <c r="A4876" s="1">
        <v>45271</v>
      </c>
      <c r="B4876" t="s">
        <v>4318</v>
      </c>
      <c r="C4876">
        <v>88</v>
      </c>
      <c r="D4876" t="s">
        <v>9</v>
      </c>
      <c r="E4876" t="s">
        <v>19</v>
      </c>
      <c r="F4876" t="s">
        <v>11</v>
      </c>
      <c r="G4876" t="s">
        <v>17</v>
      </c>
      <c r="H4876">
        <v>4740.37</v>
      </c>
      <c r="I4876" s="8" t="str" cm="1">
        <f t="array" ref="I4876">_xlfn.IFS(C4876&lt;=15,"Children and Young Adolescents", C4876&gt;64, "Seniors", TRUE, "Working Age")</f>
        <v>Seniors</v>
      </c>
      <c r="J4876" s="6">
        <f>VLOOKUP(F4876,Analysis!$F$1:$G$5,2,FALSE)</f>
        <v>2503.6022787783854</v>
      </c>
      <c r="K4876">
        <f t="shared" si="304"/>
        <v>5214.3999999999996</v>
      </c>
      <c r="L4876">
        <f t="shared" si="305"/>
        <v>5214.41</v>
      </c>
      <c r="M4876">
        <f t="shared" si="306"/>
        <v>5214.41</v>
      </c>
      <c r="N4876" s="5" t="str">
        <f t="shared" si="307"/>
        <v>December 2023</v>
      </c>
    </row>
    <row r="4877" spans="1:14" x14ac:dyDescent="0.25">
      <c r="A4877" s="1">
        <v>45271</v>
      </c>
      <c r="B4877" t="s">
        <v>147</v>
      </c>
      <c r="C4877">
        <v>73</v>
      </c>
      <c r="D4877" t="s">
        <v>14</v>
      </c>
      <c r="E4877" t="s">
        <v>34</v>
      </c>
      <c r="F4877" t="s">
        <v>29</v>
      </c>
      <c r="G4877" t="s">
        <v>39</v>
      </c>
      <c r="H4877">
        <v>3482.96</v>
      </c>
      <c r="I4877" s="8" t="str" cm="1">
        <f t="array" ref="I4877">_xlfn.IFS(C4877&lt;=15,"Children and Young Adolescents", C4877&gt;64, "Seniors", TRUE, "Working Age")</f>
        <v>Seniors</v>
      </c>
      <c r="J4877" s="6">
        <f>VLOOKUP(F4877,Analysis!$F$1:$G$5,2,FALSE)</f>
        <v>2496.7676064256989</v>
      </c>
      <c r="K4877">
        <f t="shared" si="304"/>
        <v>3831.25</v>
      </c>
      <c r="L4877">
        <f t="shared" si="305"/>
        <v>3831.26</v>
      </c>
      <c r="M4877">
        <f t="shared" si="306"/>
        <v>3831.26</v>
      </c>
      <c r="N4877" s="5" t="str">
        <f t="shared" si="307"/>
        <v>December 2023</v>
      </c>
    </row>
    <row r="4878" spans="1:14" x14ac:dyDescent="0.25">
      <c r="A4878" s="1">
        <v>45271</v>
      </c>
      <c r="B4878" t="s">
        <v>4211</v>
      </c>
      <c r="C4878">
        <v>56</v>
      </c>
      <c r="D4878" t="s">
        <v>21</v>
      </c>
      <c r="E4878" t="s">
        <v>32</v>
      </c>
      <c r="F4878" t="s">
        <v>29</v>
      </c>
      <c r="G4878" t="s">
        <v>27</v>
      </c>
      <c r="H4878">
        <v>527.55999999999995</v>
      </c>
      <c r="I4878" s="8" t="str" cm="1">
        <f t="array" ref="I4878">_xlfn.IFS(C4878&lt;=15,"Children and Young Adolescents", C4878&gt;64, "Seniors", TRUE, "Working Age")</f>
        <v>Working Age</v>
      </c>
      <c r="J4878" s="6">
        <f>VLOOKUP(F4878,Analysis!$F$1:$G$5,2,FALSE)</f>
        <v>2496.7676064256989</v>
      </c>
      <c r="K4878">
        <f t="shared" si="304"/>
        <v>580.30999999999995</v>
      </c>
      <c r="L4878">
        <f t="shared" si="305"/>
        <v>580.31999999999994</v>
      </c>
      <c r="M4878">
        <f t="shared" si="306"/>
        <v>580.32000000000005</v>
      </c>
      <c r="N4878" s="5" t="str">
        <f t="shared" si="307"/>
        <v>December 2023</v>
      </c>
    </row>
    <row r="4879" spans="1:14" x14ac:dyDescent="0.25">
      <c r="A4879" s="1">
        <v>45271</v>
      </c>
      <c r="B4879" t="s">
        <v>2589</v>
      </c>
      <c r="C4879">
        <v>80</v>
      </c>
      <c r="D4879" t="s">
        <v>14</v>
      </c>
      <c r="E4879" t="s">
        <v>32</v>
      </c>
      <c r="F4879" t="s">
        <v>11</v>
      </c>
      <c r="G4879" t="s">
        <v>27</v>
      </c>
      <c r="H4879">
        <v>4925.21</v>
      </c>
      <c r="I4879" s="8" t="str" cm="1">
        <f t="array" ref="I4879">_xlfn.IFS(C4879&lt;=15,"Children and Young Adolescents", C4879&gt;64, "Seniors", TRUE, "Working Age")</f>
        <v>Seniors</v>
      </c>
      <c r="J4879" s="6">
        <f>VLOOKUP(F4879,Analysis!$F$1:$G$5,2,FALSE)</f>
        <v>2503.6022787783854</v>
      </c>
      <c r="K4879">
        <f t="shared" si="304"/>
        <v>5417.73</v>
      </c>
      <c r="L4879">
        <f t="shared" si="305"/>
        <v>5417.74</v>
      </c>
      <c r="M4879">
        <f t="shared" si="306"/>
        <v>5417.73</v>
      </c>
      <c r="N4879" s="5" t="str">
        <f t="shared" si="307"/>
        <v>December 2023</v>
      </c>
    </row>
    <row r="4880" spans="1:14" x14ac:dyDescent="0.25">
      <c r="A4880" s="1">
        <v>45271</v>
      </c>
      <c r="B4880" t="s">
        <v>3439</v>
      </c>
      <c r="C4880">
        <v>98</v>
      </c>
      <c r="D4880" t="s">
        <v>21</v>
      </c>
      <c r="E4880" t="s">
        <v>10</v>
      </c>
      <c r="F4880" t="s">
        <v>29</v>
      </c>
      <c r="G4880" t="s">
        <v>27</v>
      </c>
      <c r="H4880">
        <v>3847.94</v>
      </c>
      <c r="I4880" s="8" t="str" cm="1">
        <f t="array" ref="I4880">_xlfn.IFS(C4880&lt;=15,"Children and Young Adolescents", C4880&gt;64, "Seniors", TRUE, "Working Age")</f>
        <v>Seniors</v>
      </c>
      <c r="J4880" s="6">
        <f>VLOOKUP(F4880,Analysis!$F$1:$G$5,2,FALSE)</f>
        <v>2496.7676064256989</v>
      </c>
      <c r="K4880">
        <f t="shared" si="304"/>
        <v>4232.7299999999996</v>
      </c>
      <c r="L4880">
        <f t="shared" si="305"/>
        <v>4232.74</v>
      </c>
      <c r="M4880">
        <f t="shared" si="306"/>
        <v>4232.7299999999996</v>
      </c>
      <c r="N4880" s="5" t="str">
        <f t="shared" si="307"/>
        <v>December 2023</v>
      </c>
    </row>
    <row r="4881" spans="1:14" x14ac:dyDescent="0.25">
      <c r="A4881" s="1">
        <v>45271</v>
      </c>
      <c r="B4881" t="s">
        <v>589</v>
      </c>
      <c r="C4881">
        <v>29</v>
      </c>
      <c r="D4881" t="s">
        <v>21</v>
      </c>
      <c r="E4881" t="s">
        <v>32</v>
      </c>
      <c r="F4881" t="s">
        <v>11</v>
      </c>
      <c r="G4881" t="s">
        <v>36</v>
      </c>
      <c r="H4881">
        <v>4088.6</v>
      </c>
      <c r="I4881" s="8" t="str" cm="1">
        <f t="array" ref="I4881">_xlfn.IFS(C4881&lt;=15,"Children and Young Adolescents", C4881&gt;64, "Seniors", TRUE, "Working Age")</f>
        <v>Working Age</v>
      </c>
      <c r="J4881" s="6">
        <f>VLOOKUP(F4881,Analysis!$F$1:$G$5,2,FALSE)</f>
        <v>2503.6022787783854</v>
      </c>
      <c r="K4881">
        <f t="shared" si="304"/>
        <v>4497.46</v>
      </c>
      <c r="L4881">
        <f t="shared" si="305"/>
        <v>4497.46</v>
      </c>
      <c r="M4881">
        <f t="shared" si="306"/>
        <v>4497.46</v>
      </c>
      <c r="N4881" s="5" t="str">
        <f t="shared" si="307"/>
        <v>December 2023</v>
      </c>
    </row>
    <row r="4882" spans="1:14" x14ac:dyDescent="0.25">
      <c r="A4882" s="1">
        <v>45271</v>
      </c>
      <c r="B4882" t="s">
        <v>709</v>
      </c>
      <c r="C4882">
        <v>76</v>
      </c>
      <c r="D4882" t="s">
        <v>9</v>
      </c>
      <c r="E4882" t="s">
        <v>32</v>
      </c>
      <c r="F4882" t="s">
        <v>11</v>
      </c>
      <c r="G4882" t="s">
        <v>17</v>
      </c>
      <c r="H4882">
        <v>2870.42</v>
      </c>
      <c r="I4882" s="8" t="str" cm="1">
        <f t="array" ref="I4882">_xlfn.IFS(C4882&lt;=15,"Children and Young Adolescents", C4882&gt;64, "Seniors", TRUE, "Working Age")</f>
        <v>Seniors</v>
      </c>
      <c r="J4882" s="6">
        <f>VLOOKUP(F4882,Analysis!$F$1:$G$5,2,FALSE)</f>
        <v>2503.6022787783854</v>
      </c>
      <c r="K4882">
        <f t="shared" si="304"/>
        <v>3157.46</v>
      </c>
      <c r="L4882">
        <f t="shared" si="305"/>
        <v>3157.4700000000003</v>
      </c>
      <c r="M4882">
        <f t="shared" si="306"/>
        <v>3157.46</v>
      </c>
      <c r="N4882" s="5" t="str">
        <f t="shared" si="307"/>
        <v>December 2023</v>
      </c>
    </row>
    <row r="4883" spans="1:14" x14ac:dyDescent="0.25">
      <c r="A4883" s="1">
        <v>45272</v>
      </c>
      <c r="B4883" t="s">
        <v>58</v>
      </c>
      <c r="C4883">
        <v>39</v>
      </c>
      <c r="D4883" t="s">
        <v>9</v>
      </c>
      <c r="E4883" t="s">
        <v>10</v>
      </c>
      <c r="F4883" t="s">
        <v>23</v>
      </c>
      <c r="G4883" t="s">
        <v>27</v>
      </c>
      <c r="H4883">
        <v>1312.71</v>
      </c>
      <c r="I4883" s="8" t="str" cm="1">
        <f t="array" ref="I4883">_xlfn.IFS(C4883&lt;=15,"Children and Young Adolescents", C4883&gt;64, "Seniors", TRUE, "Working Age")</f>
        <v>Working Age</v>
      </c>
      <c r="J4883" s="6">
        <f>VLOOKUP(F4883,Analysis!$F$1:$G$5,2,FALSE)</f>
        <v>2440.2966694490838</v>
      </c>
      <c r="K4883">
        <f t="shared" si="304"/>
        <v>1443.98</v>
      </c>
      <c r="L4883">
        <f t="shared" si="305"/>
        <v>1443.99</v>
      </c>
      <c r="M4883">
        <f t="shared" si="306"/>
        <v>1443.98</v>
      </c>
      <c r="N4883" s="5" t="str">
        <f t="shared" si="307"/>
        <v>December 2023</v>
      </c>
    </row>
    <row r="4884" spans="1:14" x14ac:dyDescent="0.25">
      <c r="A4884" s="1">
        <v>45272</v>
      </c>
      <c r="B4884" t="s">
        <v>1590</v>
      </c>
      <c r="C4884">
        <v>8</v>
      </c>
      <c r="D4884" t="s">
        <v>9</v>
      </c>
      <c r="E4884" t="s">
        <v>22</v>
      </c>
      <c r="F4884" t="s">
        <v>29</v>
      </c>
      <c r="G4884" t="s">
        <v>27</v>
      </c>
      <c r="H4884">
        <v>3483.57</v>
      </c>
      <c r="I4884" s="8" t="str" cm="1">
        <f t="array" ref="I4884">_xlfn.IFS(C4884&lt;=15,"Children and Young Adolescents", C4884&gt;64, "Seniors", TRUE, "Working Age")</f>
        <v>Children and Young Adolescents</v>
      </c>
      <c r="J4884" s="6">
        <f>VLOOKUP(F4884,Analysis!$F$1:$G$5,2,FALSE)</f>
        <v>2496.7676064256989</v>
      </c>
      <c r="K4884">
        <f t="shared" si="304"/>
        <v>3831.92</v>
      </c>
      <c r="L4884">
        <f t="shared" si="305"/>
        <v>3831.9300000000003</v>
      </c>
      <c r="M4884">
        <f t="shared" si="306"/>
        <v>3831.93</v>
      </c>
      <c r="N4884" s="5" t="str">
        <f t="shared" si="307"/>
        <v>December 2023</v>
      </c>
    </row>
    <row r="4885" spans="1:14" x14ac:dyDescent="0.25">
      <c r="A4885" s="1">
        <v>45272</v>
      </c>
      <c r="B4885" t="s">
        <v>5012</v>
      </c>
      <c r="C4885">
        <v>32</v>
      </c>
      <c r="D4885" t="s">
        <v>14</v>
      </c>
      <c r="E4885" t="s">
        <v>10</v>
      </c>
      <c r="F4885" t="s">
        <v>29</v>
      </c>
      <c r="G4885" t="s">
        <v>12</v>
      </c>
      <c r="H4885">
        <v>4361.5600000000004</v>
      </c>
      <c r="I4885" s="8" t="str" cm="1">
        <f t="array" ref="I4885">_xlfn.IFS(C4885&lt;=15,"Children and Young Adolescents", C4885&gt;64, "Seniors", TRUE, "Working Age")</f>
        <v>Working Age</v>
      </c>
      <c r="J4885" s="6">
        <f>VLOOKUP(F4885,Analysis!$F$1:$G$5,2,FALSE)</f>
        <v>2496.7676064256989</v>
      </c>
      <c r="K4885">
        <f t="shared" si="304"/>
        <v>4797.71</v>
      </c>
      <c r="L4885">
        <f t="shared" si="305"/>
        <v>4797.72</v>
      </c>
      <c r="M4885">
        <f t="shared" si="306"/>
        <v>4797.72</v>
      </c>
      <c r="N4885" s="5" t="str">
        <f t="shared" si="307"/>
        <v>December 2023</v>
      </c>
    </row>
    <row r="4886" spans="1:14" x14ac:dyDescent="0.25">
      <c r="A4886" s="1">
        <v>45272</v>
      </c>
      <c r="B4886" t="s">
        <v>1513</v>
      </c>
      <c r="C4886">
        <v>15</v>
      </c>
      <c r="D4886" t="s">
        <v>21</v>
      </c>
      <c r="E4886" t="s">
        <v>19</v>
      </c>
      <c r="F4886" t="s">
        <v>16</v>
      </c>
      <c r="G4886" t="s">
        <v>12</v>
      </c>
      <c r="H4886">
        <v>1098.44</v>
      </c>
      <c r="I4886" s="8" t="str" cm="1">
        <f t="array" ref="I4886">_xlfn.IFS(C4886&lt;=15,"Children and Young Adolescents", C4886&gt;64, "Seniors", TRUE, "Working Age")</f>
        <v>Children and Young Adolescents</v>
      </c>
      <c r="J4886" s="6">
        <f>VLOOKUP(F4886,Analysis!$F$1:$G$5,2,FALSE)</f>
        <v>2509.1716796874912</v>
      </c>
      <c r="K4886">
        <f t="shared" si="304"/>
        <v>1208.28</v>
      </c>
      <c r="L4886">
        <f t="shared" si="305"/>
        <v>1208.29</v>
      </c>
      <c r="M4886">
        <f t="shared" si="306"/>
        <v>1208.28</v>
      </c>
      <c r="N4886" s="5" t="str">
        <f t="shared" si="307"/>
        <v>December 2023</v>
      </c>
    </row>
    <row r="4887" spans="1:14" x14ac:dyDescent="0.25">
      <c r="A4887" s="1">
        <v>45272</v>
      </c>
      <c r="B4887" t="s">
        <v>1631</v>
      </c>
      <c r="C4887">
        <v>39</v>
      </c>
      <c r="D4887" t="s">
        <v>14</v>
      </c>
      <c r="E4887" t="s">
        <v>22</v>
      </c>
      <c r="F4887" t="s">
        <v>23</v>
      </c>
      <c r="G4887" t="s">
        <v>17</v>
      </c>
      <c r="H4887">
        <v>3303.5</v>
      </c>
      <c r="I4887" s="8" t="str" cm="1">
        <f t="array" ref="I4887">_xlfn.IFS(C4887&lt;=15,"Children and Young Adolescents", C4887&gt;64, "Seniors", TRUE, "Working Age")</f>
        <v>Working Age</v>
      </c>
      <c r="J4887" s="6">
        <f>VLOOKUP(F4887,Analysis!$F$1:$G$5,2,FALSE)</f>
        <v>2440.2966694490838</v>
      </c>
      <c r="K4887">
        <f t="shared" si="304"/>
        <v>3633.85</v>
      </c>
      <c r="L4887">
        <f t="shared" si="305"/>
        <v>3633.85</v>
      </c>
      <c r="M4887">
        <f t="shared" si="306"/>
        <v>3633.85</v>
      </c>
      <c r="N4887" s="5" t="str">
        <f t="shared" si="307"/>
        <v>December 2023</v>
      </c>
    </row>
    <row r="4888" spans="1:14" x14ac:dyDescent="0.25">
      <c r="A4888" s="1">
        <v>45273</v>
      </c>
      <c r="B4888" t="s">
        <v>922</v>
      </c>
      <c r="C4888">
        <v>59</v>
      </c>
      <c r="D4888" t="s">
        <v>9</v>
      </c>
      <c r="E4888" t="s">
        <v>25</v>
      </c>
      <c r="F4888" t="s">
        <v>23</v>
      </c>
      <c r="G4888" t="s">
        <v>17</v>
      </c>
      <c r="H4888">
        <v>2155.88</v>
      </c>
      <c r="I4888" s="8" t="str" cm="1">
        <f t="array" ref="I4888">_xlfn.IFS(C4888&lt;=15,"Children and Young Adolescents", C4888&gt;64, "Seniors", TRUE, "Working Age")</f>
        <v>Working Age</v>
      </c>
      <c r="J4888" s="6">
        <f>VLOOKUP(F4888,Analysis!$F$1:$G$5,2,FALSE)</f>
        <v>2440.2966694490838</v>
      </c>
      <c r="K4888">
        <f t="shared" si="304"/>
        <v>2371.46</v>
      </c>
      <c r="L4888">
        <f t="shared" si="305"/>
        <v>2371.4700000000003</v>
      </c>
      <c r="M4888">
        <f t="shared" si="306"/>
        <v>2371.4699999999998</v>
      </c>
      <c r="N4888" s="5" t="str">
        <f t="shared" si="307"/>
        <v>December 2023</v>
      </c>
    </row>
    <row r="4889" spans="1:14" x14ac:dyDescent="0.25">
      <c r="A4889" s="1">
        <v>45273</v>
      </c>
      <c r="B4889" t="s">
        <v>360</v>
      </c>
      <c r="C4889">
        <v>87</v>
      </c>
      <c r="D4889" t="s">
        <v>9</v>
      </c>
      <c r="E4889" t="s">
        <v>22</v>
      </c>
      <c r="F4889" t="s">
        <v>29</v>
      </c>
      <c r="G4889" t="s">
        <v>5033</v>
      </c>
      <c r="H4889">
        <v>3323.19</v>
      </c>
      <c r="I4889" s="8" t="str" cm="1">
        <f t="array" ref="I4889">_xlfn.IFS(C4889&lt;=15,"Children and Young Adolescents", C4889&gt;64, "Seniors", TRUE, "Working Age")</f>
        <v>Seniors</v>
      </c>
      <c r="J4889" s="6">
        <f>VLOOKUP(F4889,Analysis!$F$1:$G$5,2,FALSE)</f>
        <v>2496.7676064256989</v>
      </c>
      <c r="K4889">
        <f t="shared" si="304"/>
        <v>3655.5</v>
      </c>
      <c r="L4889">
        <f t="shared" si="305"/>
        <v>3655.51</v>
      </c>
      <c r="M4889">
        <f t="shared" si="306"/>
        <v>3655.51</v>
      </c>
      <c r="N4889" s="5" t="str">
        <f t="shared" si="307"/>
        <v>December 2023</v>
      </c>
    </row>
    <row r="4890" spans="1:14" x14ac:dyDescent="0.25">
      <c r="A4890" s="1">
        <v>45274</v>
      </c>
      <c r="B4890" t="s">
        <v>3531</v>
      </c>
      <c r="C4890">
        <v>17</v>
      </c>
      <c r="D4890" t="s">
        <v>9</v>
      </c>
      <c r="E4890" t="s">
        <v>22</v>
      </c>
      <c r="F4890" t="s">
        <v>29</v>
      </c>
      <c r="G4890" t="s">
        <v>27</v>
      </c>
      <c r="H4890">
        <v>927.92</v>
      </c>
      <c r="I4890" s="8" t="str" cm="1">
        <f t="array" ref="I4890">_xlfn.IFS(C4890&lt;=15,"Children and Young Adolescents", C4890&gt;64, "Seniors", TRUE, "Working Age")</f>
        <v>Working Age</v>
      </c>
      <c r="J4890" s="6">
        <f>VLOOKUP(F4890,Analysis!$F$1:$G$5,2,FALSE)</f>
        <v>2496.7676064256989</v>
      </c>
      <c r="K4890">
        <f t="shared" si="304"/>
        <v>1020.71</v>
      </c>
      <c r="L4890">
        <f t="shared" si="305"/>
        <v>1020.72</v>
      </c>
      <c r="M4890">
        <f t="shared" si="306"/>
        <v>1020.71</v>
      </c>
      <c r="N4890" s="5" t="str">
        <f t="shared" si="307"/>
        <v>December 2023</v>
      </c>
    </row>
    <row r="4891" spans="1:14" x14ac:dyDescent="0.25">
      <c r="A4891" s="1">
        <v>45275</v>
      </c>
      <c r="B4891" t="s">
        <v>3307</v>
      </c>
      <c r="C4891">
        <v>94</v>
      </c>
      <c r="D4891" t="s">
        <v>21</v>
      </c>
      <c r="E4891" t="s">
        <v>19</v>
      </c>
      <c r="F4891" t="s">
        <v>11</v>
      </c>
      <c r="G4891" t="s">
        <v>36</v>
      </c>
      <c r="H4891">
        <v>594.91</v>
      </c>
      <c r="I4891" s="8" t="str" cm="1">
        <f t="array" ref="I4891">_xlfn.IFS(C4891&lt;=15,"Children and Young Adolescents", C4891&gt;64, "Seniors", TRUE, "Working Age")</f>
        <v>Seniors</v>
      </c>
      <c r="J4891" s="6">
        <f>VLOOKUP(F4891,Analysis!$F$1:$G$5,2,FALSE)</f>
        <v>2503.6022787783854</v>
      </c>
      <c r="K4891">
        <f t="shared" si="304"/>
        <v>654.4</v>
      </c>
      <c r="L4891">
        <f t="shared" si="305"/>
        <v>654.41</v>
      </c>
      <c r="M4891">
        <f t="shared" si="306"/>
        <v>654.4</v>
      </c>
      <c r="N4891" s="5" t="str">
        <f t="shared" si="307"/>
        <v>December 2023</v>
      </c>
    </row>
    <row r="4892" spans="1:14" x14ac:dyDescent="0.25">
      <c r="A4892" s="1">
        <v>45275</v>
      </c>
      <c r="B4892" t="s">
        <v>3808</v>
      </c>
      <c r="C4892">
        <v>67</v>
      </c>
      <c r="D4892" t="s">
        <v>14</v>
      </c>
      <c r="E4892" t="s">
        <v>25</v>
      </c>
      <c r="F4892" t="s">
        <v>23</v>
      </c>
      <c r="G4892" t="s">
        <v>12</v>
      </c>
      <c r="H4892">
        <v>2770.71</v>
      </c>
      <c r="I4892" s="8" t="str" cm="1">
        <f t="array" ref="I4892">_xlfn.IFS(C4892&lt;=15,"Children and Young Adolescents", C4892&gt;64, "Seniors", TRUE, "Working Age")</f>
        <v>Seniors</v>
      </c>
      <c r="J4892" s="6">
        <f>VLOOKUP(F4892,Analysis!$F$1:$G$5,2,FALSE)</f>
        <v>2440.2966694490838</v>
      </c>
      <c r="K4892">
        <f t="shared" si="304"/>
        <v>3047.78</v>
      </c>
      <c r="L4892">
        <f t="shared" si="305"/>
        <v>3047.7900000000004</v>
      </c>
      <c r="M4892">
        <f t="shared" si="306"/>
        <v>3047.78</v>
      </c>
      <c r="N4892" s="5" t="str">
        <f t="shared" si="307"/>
        <v>December 2023</v>
      </c>
    </row>
    <row r="4893" spans="1:14" x14ac:dyDescent="0.25">
      <c r="A4893" s="1">
        <v>45275</v>
      </c>
      <c r="B4893" t="s">
        <v>1503</v>
      </c>
      <c r="C4893">
        <v>6</v>
      </c>
      <c r="D4893" t="s">
        <v>9</v>
      </c>
      <c r="E4893" t="s">
        <v>19</v>
      </c>
      <c r="F4893" t="s">
        <v>29</v>
      </c>
      <c r="G4893" t="s">
        <v>36</v>
      </c>
      <c r="H4893">
        <v>1246.07</v>
      </c>
      <c r="I4893" s="8" t="str" cm="1">
        <f t="array" ref="I4893">_xlfn.IFS(C4893&lt;=15,"Children and Young Adolescents", C4893&gt;64, "Seniors", TRUE, "Working Age")</f>
        <v>Children and Young Adolescents</v>
      </c>
      <c r="J4893" s="6">
        <f>VLOOKUP(F4893,Analysis!$F$1:$G$5,2,FALSE)</f>
        <v>2496.7676064256989</v>
      </c>
      <c r="K4893">
        <f t="shared" si="304"/>
        <v>1370.67</v>
      </c>
      <c r="L4893">
        <f t="shared" si="305"/>
        <v>1370.68</v>
      </c>
      <c r="M4893">
        <f t="shared" si="306"/>
        <v>1370.68</v>
      </c>
      <c r="N4893" s="5" t="str">
        <f t="shared" si="307"/>
        <v>December 2023</v>
      </c>
    </row>
    <row r="4894" spans="1:14" x14ac:dyDescent="0.25">
      <c r="A4894" s="1">
        <v>45275</v>
      </c>
      <c r="B4894" t="s">
        <v>4018</v>
      </c>
      <c r="C4894">
        <v>77</v>
      </c>
      <c r="D4894" t="s">
        <v>21</v>
      </c>
      <c r="E4894" t="s">
        <v>22</v>
      </c>
      <c r="F4894" t="s">
        <v>11</v>
      </c>
      <c r="G4894" t="s">
        <v>36</v>
      </c>
      <c r="H4894">
        <v>4596.21</v>
      </c>
      <c r="I4894" s="8" t="str" cm="1">
        <f t="array" ref="I4894">_xlfn.IFS(C4894&lt;=15,"Children and Young Adolescents", C4894&gt;64, "Seniors", TRUE, "Working Age")</f>
        <v>Seniors</v>
      </c>
      <c r="J4894" s="6">
        <f>VLOOKUP(F4894,Analysis!$F$1:$G$5,2,FALSE)</f>
        <v>2503.6022787783854</v>
      </c>
      <c r="K4894">
        <f t="shared" si="304"/>
        <v>5055.83</v>
      </c>
      <c r="L4894">
        <f t="shared" si="305"/>
        <v>5055.84</v>
      </c>
      <c r="M4894">
        <f t="shared" si="306"/>
        <v>5055.83</v>
      </c>
      <c r="N4894" s="5" t="str">
        <f t="shared" si="307"/>
        <v>December 2023</v>
      </c>
    </row>
    <row r="4895" spans="1:14" x14ac:dyDescent="0.25">
      <c r="A4895" s="1">
        <v>45275</v>
      </c>
      <c r="B4895" t="s">
        <v>1967</v>
      </c>
      <c r="C4895">
        <v>99</v>
      </c>
      <c r="D4895" t="s">
        <v>14</v>
      </c>
      <c r="E4895" t="s">
        <v>34</v>
      </c>
      <c r="F4895" t="s">
        <v>11</v>
      </c>
      <c r="G4895" t="s">
        <v>17</v>
      </c>
      <c r="H4895">
        <v>779.37</v>
      </c>
      <c r="I4895" s="8" t="str" cm="1">
        <f t="array" ref="I4895">_xlfn.IFS(C4895&lt;=15,"Children and Young Adolescents", C4895&gt;64, "Seniors", TRUE, "Working Age")</f>
        <v>Seniors</v>
      </c>
      <c r="J4895" s="6">
        <f>VLOOKUP(F4895,Analysis!$F$1:$G$5,2,FALSE)</f>
        <v>2503.6022787783854</v>
      </c>
      <c r="K4895">
        <f t="shared" si="304"/>
        <v>857.3</v>
      </c>
      <c r="L4895">
        <f t="shared" si="305"/>
        <v>857.31</v>
      </c>
      <c r="M4895">
        <f t="shared" si="306"/>
        <v>857.31</v>
      </c>
      <c r="N4895" s="5" t="str">
        <f t="shared" si="307"/>
        <v>December 2023</v>
      </c>
    </row>
    <row r="4896" spans="1:14" x14ac:dyDescent="0.25">
      <c r="A4896" s="1">
        <v>45275</v>
      </c>
      <c r="B4896" t="s">
        <v>361</v>
      </c>
      <c r="C4896">
        <v>76</v>
      </c>
      <c r="D4896" t="s">
        <v>14</v>
      </c>
      <c r="E4896" t="s">
        <v>19</v>
      </c>
      <c r="F4896" t="s">
        <v>29</v>
      </c>
      <c r="G4896" t="s">
        <v>12</v>
      </c>
      <c r="H4896">
        <v>1272.2</v>
      </c>
      <c r="I4896" s="8" t="str" cm="1">
        <f t="array" ref="I4896">_xlfn.IFS(C4896&lt;=15,"Children and Young Adolescents", C4896&gt;64, "Seniors", TRUE, "Working Age")</f>
        <v>Seniors</v>
      </c>
      <c r="J4896" s="6">
        <f>VLOOKUP(F4896,Analysis!$F$1:$G$5,2,FALSE)</f>
        <v>2496.7676064256989</v>
      </c>
      <c r="K4896">
        <f t="shared" si="304"/>
        <v>1399.42</v>
      </c>
      <c r="L4896">
        <f t="shared" si="305"/>
        <v>1399.42</v>
      </c>
      <c r="M4896">
        <f t="shared" si="306"/>
        <v>1399.42</v>
      </c>
      <c r="N4896" s="5" t="str">
        <f t="shared" si="307"/>
        <v>December 2023</v>
      </c>
    </row>
    <row r="4897" spans="1:14" x14ac:dyDescent="0.25">
      <c r="A4897" s="1">
        <v>45275</v>
      </c>
      <c r="B4897" t="s">
        <v>2469</v>
      </c>
      <c r="C4897">
        <v>74</v>
      </c>
      <c r="D4897" t="s">
        <v>14</v>
      </c>
      <c r="E4897" t="s">
        <v>25</v>
      </c>
      <c r="F4897" t="s">
        <v>23</v>
      </c>
      <c r="G4897" t="s">
        <v>36</v>
      </c>
      <c r="H4897">
        <v>1421.35</v>
      </c>
      <c r="I4897" s="8" t="str" cm="1">
        <f t="array" ref="I4897">_xlfn.IFS(C4897&lt;=15,"Children and Young Adolescents", C4897&gt;64, "Seniors", TRUE, "Working Age")</f>
        <v>Seniors</v>
      </c>
      <c r="J4897" s="6">
        <f>VLOOKUP(F4897,Analysis!$F$1:$G$5,2,FALSE)</f>
        <v>2440.2966694490838</v>
      </c>
      <c r="K4897">
        <f t="shared" si="304"/>
        <v>1563.48</v>
      </c>
      <c r="L4897">
        <f t="shared" si="305"/>
        <v>1563.49</v>
      </c>
      <c r="M4897">
        <f t="shared" si="306"/>
        <v>1563.49</v>
      </c>
      <c r="N4897" s="5" t="str">
        <f t="shared" si="307"/>
        <v>December 2023</v>
      </c>
    </row>
    <row r="4898" spans="1:14" x14ac:dyDescent="0.25">
      <c r="A4898" s="1">
        <v>45275</v>
      </c>
      <c r="B4898" t="s">
        <v>3786</v>
      </c>
      <c r="C4898">
        <v>95</v>
      </c>
      <c r="D4898" t="s">
        <v>9</v>
      </c>
      <c r="E4898" t="s">
        <v>32</v>
      </c>
      <c r="F4898" t="s">
        <v>11</v>
      </c>
      <c r="G4898" t="s">
        <v>17</v>
      </c>
      <c r="H4898">
        <v>610.08000000000004</v>
      </c>
      <c r="I4898" s="8" t="str" cm="1">
        <f t="array" ref="I4898">_xlfn.IFS(C4898&lt;=15,"Children and Young Adolescents", C4898&gt;64, "Seniors", TRUE, "Working Age")</f>
        <v>Seniors</v>
      </c>
      <c r="J4898" s="6">
        <f>VLOOKUP(F4898,Analysis!$F$1:$G$5,2,FALSE)</f>
        <v>2503.6022787783854</v>
      </c>
      <c r="K4898">
        <f t="shared" si="304"/>
        <v>671.08</v>
      </c>
      <c r="L4898">
        <f t="shared" si="305"/>
        <v>671.09</v>
      </c>
      <c r="M4898">
        <f t="shared" si="306"/>
        <v>671.09</v>
      </c>
      <c r="N4898" s="5" t="str">
        <f t="shared" si="307"/>
        <v>December 2023</v>
      </c>
    </row>
    <row r="4899" spans="1:14" x14ac:dyDescent="0.25">
      <c r="A4899" s="1">
        <v>45275</v>
      </c>
      <c r="B4899" t="s">
        <v>2962</v>
      </c>
      <c r="C4899">
        <v>28</v>
      </c>
      <c r="D4899" t="s">
        <v>14</v>
      </c>
      <c r="E4899" t="s">
        <v>5032</v>
      </c>
      <c r="F4899" t="s">
        <v>29</v>
      </c>
      <c r="G4899" t="s">
        <v>17</v>
      </c>
      <c r="H4899">
        <v>2539.73</v>
      </c>
      <c r="I4899" s="8" t="str" cm="1">
        <f t="array" ref="I4899">_xlfn.IFS(C4899&lt;=15,"Children and Young Adolescents", C4899&gt;64, "Seniors", TRUE, "Working Age")</f>
        <v>Working Age</v>
      </c>
      <c r="J4899" s="6">
        <f>VLOOKUP(F4899,Analysis!$F$1:$G$5,2,FALSE)</f>
        <v>2496.7676064256989</v>
      </c>
      <c r="K4899">
        <f t="shared" si="304"/>
        <v>2793.7</v>
      </c>
      <c r="L4899">
        <f t="shared" si="305"/>
        <v>2793.71</v>
      </c>
      <c r="M4899">
        <f t="shared" si="306"/>
        <v>2793.7</v>
      </c>
      <c r="N4899" s="5" t="str">
        <f t="shared" si="307"/>
        <v>December 2023</v>
      </c>
    </row>
    <row r="4900" spans="1:14" x14ac:dyDescent="0.25">
      <c r="A4900" s="1">
        <v>45275</v>
      </c>
      <c r="B4900" t="s">
        <v>3947</v>
      </c>
      <c r="C4900">
        <v>39</v>
      </c>
      <c r="D4900" t="s">
        <v>21</v>
      </c>
      <c r="E4900" t="s">
        <v>34</v>
      </c>
      <c r="F4900" t="s">
        <v>16</v>
      </c>
      <c r="G4900" t="s">
        <v>17</v>
      </c>
      <c r="H4900">
        <v>2193.21</v>
      </c>
      <c r="I4900" s="8" t="str" cm="1">
        <f t="array" ref="I4900">_xlfn.IFS(C4900&lt;=15,"Children and Young Adolescents", C4900&gt;64, "Seniors", TRUE, "Working Age")</f>
        <v>Working Age</v>
      </c>
      <c r="J4900" s="6">
        <f>VLOOKUP(F4900,Analysis!$F$1:$G$5,2,FALSE)</f>
        <v>2509.1716796874912</v>
      </c>
      <c r="K4900">
        <f t="shared" si="304"/>
        <v>2412.5300000000002</v>
      </c>
      <c r="L4900">
        <f t="shared" si="305"/>
        <v>2412.5400000000004</v>
      </c>
      <c r="M4900">
        <f t="shared" si="306"/>
        <v>2412.5300000000002</v>
      </c>
      <c r="N4900" s="5" t="str">
        <f t="shared" si="307"/>
        <v>December 2023</v>
      </c>
    </row>
    <row r="4901" spans="1:14" x14ac:dyDescent="0.25">
      <c r="A4901" s="1">
        <v>45276</v>
      </c>
      <c r="B4901" t="s">
        <v>2969</v>
      </c>
      <c r="C4901">
        <v>59</v>
      </c>
      <c r="D4901" t="s">
        <v>9</v>
      </c>
      <c r="E4901" t="s">
        <v>32</v>
      </c>
      <c r="F4901" t="s">
        <v>11</v>
      </c>
      <c r="G4901" t="s">
        <v>27</v>
      </c>
      <c r="H4901">
        <v>3634.21</v>
      </c>
      <c r="I4901" s="8" t="str" cm="1">
        <f t="array" ref="I4901">_xlfn.IFS(C4901&lt;=15,"Children and Young Adolescents", C4901&gt;64, "Seniors", TRUE, "Working Age")</f>
        <v>Working Age</v>
      </c>
      <c r="J4901" s="6">
        <f>VLOOKUP(F4901,Analysis!$F$1:$G$5,2,FALSE)</f>
        <v>2503.6022787783854</v>
      </c>
      <c r="K4901">
        <f t="shared" si="304"/>
        <v>3997.63</v>
      </c>
      <c r="L4901">
        <f t="shared" si="305"/>
        <v>3997.6400000000003</v>
      </c>
      <c r="M4901">
        <f t="shared" si="306"/>
        <v>3997.63</v>
      </c>
      <c r="N4901" s="5" t="str">
        <f t="shared" si="307"/>
        <v>December 2023</v>
      </c>
    </row>
    <row r="4902" spans="1:14" x14ac:dyDescent="0.25">
      <c r="A4902" s="1">
        <v>45277</v>
      </c>
      <c r="B4902" t="s">
        <v>1021</v>
      </c>
      <c r="C4902">
        <v>45</v>
      </c>
      <c r="D4902" t="s">
        <v>14</v>
      </c>
      <c r="E4902" t="s">
        <v>34</v>
      </c>
      <c r="F4902" t="s">
        <v>23</v>
      </c>
      <c r="G4902" t="s">
        <v>36</v>
      </c>
      <c r="H4902">
        <v>970.68</v>
      </c>
      <c r="I4902" s="8" t="str" cm="1">
        <f t="array" ref="I4902">_xlfn.IFS(C4902&lt;=15,"Children and Young Adolescents", C4902&gt;64, "Seniors", TRUE, "Working Age")</f>
        <v>Working Age</v>
      </c>
      <c r="J4902" s="6">
        <f>VLOOKUP(F4902,Analysis!$F$1:$G$5,2,FALSE)</f>
        <v>2440.2966694490838</v>
      </c>
      <c r="K4902">
        <f t="shared" si="304"/>
        <v>1067.74</v>
      </c>
      <c r="L4902">
        <f t="shared" si="305"/>
        <v>1067.75</v>
      </c>
      <c r="M4902">
        <f t="shared" si="306"/>
        <v>1067.75</v>
      </c>
      <c r="N4902" s="5" t="str">
        <f t="shared" si="307"/>
        <v>December 2023</v>
      </c>
    </row>
    <row r="4903" spans="1:14" x14ac:dyDescent="0.25">
      <c r="A4903" s="1">
        <v>45277</v>
      </c>
      <c r="B4903" t="s">
        <v>3014</v>
      </c>
      <c r="C4903">
        <v>16</v>
      </c>
      <c r="D4903" t="s">
        <v>14</v>
      </c>
      <c r="E4903" t="s">
        <v>25</v>
      </c>
      <c r="F4903" t="s">
        <v>11</v>
      </c>
      <c r="G4903" t="s">
        <v>39</v>
      </c>
      <c r="H4903">
        <v>731.61</v>
      </c>
      <c r="I4903" s="8" t="str" cm="1">
        <f t="array" ref="I4903">_xlfn.IFS(C4903&lt;=15,"Children and Young Adolescents", C4903&gt;64, "Seniors", TRUE, "Working Age")</f>
        <v>Working Age</v>
      </c>
      <c r="J4903" s="6">
        <f>VLOOKUP(F4903,Analysis!$F$1:$G$5,2,FALSE)</f>
        <v>2503.6022787783854</v>
      </c>
      <c r="K4903">
        <f t="shared" si="304"/>
        <v>804.77</v>
      </c>
      <c r="L4903">
        <f t="shared" si="305"/>
        <v>804.78</v>
      </c>
      <c r="M4903">
        <f t="shared" si="306"/>
        <v>804.77</v>
      </c>
      <c r="N4903" s="5" t="str">
        <f t="shared" si="307"/>
        <v>December 2023</v>
      </c>
    </row>
    <row r="4904" spans="1:14" x14ac:dyDescent="0.25">
      <c r="A4904" s="1">
        <v>45277</v>
      </c>
      <c r="B4904" t="s">
        <v>806</v>
      </c>
      <c r="C4904">
        <v>87</v>
      </c>
      <c r="D4904" t="s">
        <v>9</v>
      </c>
      <c r="E4904" t="s">
        <v>22</v>
      </c>
      <c r="F4904" t="s">
        <v>23</v>
      </c>
      <c r="G4904" t="s">
        <v>17</v>
      </c>
      <c r="H4904">
        <v>1070.97</v>
      </c>
      <c r="I4904" s="8" t="str" cm="1">
        <f t="array" ref="I4904">_xlfn.IFS(C4904&lt;=15,"Children and Young Adolescents", C4904&gt;64, "Seniors", TRUE, "Working Age")</f>
        <v>Seniors</v>
      </c>
      <c r="J4904" s="6">
        <f>VLOOKUP(F4904,Analysis!$F$1:$G$5,2,FALSE)</f>
        <v>2440.2966694490838</v>
      </c>
      <c r="K4904">
        <f t="shared" si="304"/>
        <v>1178.06</v>
      </c>
      <c r="L4904">
        <f t="shared" si="305"/>
        <v>1178.07</v>
      </c>
      <c r="M4904">
        <f t="shared" si="306"/>
        <v>1178.07</v>
      </c>
      <c r="N4904" s="5" t="str">
        <f t="shared" si="307"/>
        <v>December 2023</v>
      </c>
    </row>
    <row r="4905" spans="1:14" x14ac:dyDescent="0.25">
      <c r="A4905" s="1">
        <v>45277</v>
      </c>
      <c r="B4905" t="s">
        <v>2200</v>
      </c>
      <c r="C4905">
        <v>46</v>
      </c>
      <c r="D4905" t="s">
        <v>14</v>
      </c>
      <c r="E4905" t="s">
        <v>32</v>
      </c>
      <c r="F4905" t="s">
        <v>11</v>
      </c>
      <c r="G4905" t="s">
        <v>39</v>
      </c>
      <c r="H4905">
        <v>3378.9</v>
      </c>
      <c r="I4905" s="8" t="str" cm="1">
        <f t="array" ref="I4905">_xlfn.IFS(C4905&lt;=15,"Children and Young Adolescents", C4905&gt;64, "Seniors", TRUE, "Working Age")</f>
        <v>Working Age</v>
      </c>
      <c r="J4905" s="6">
        <f>VLOOKUP(F4905,Analysis!$F$1:$G$5,2,FALSE)</f>
        <v>2503.6022787783854</v>
      </c>
      <c r="K4905">
        <f t="shared" si="304"/>
        <v>3716.79</v>
      </c>
      <c r="L4905">
        <f t="shared" si="305"/>
        <v>3716.79</v>
      </c>
      <c r="M4905">
        <f t="shared" si="306"/>
        <v>3716.79</v>
      </c>
      <c r="N4905" s="5" t="str">
        <f t="shared" si="307"/>
        <v>December 2023</v>
      </c>
    </row>
    <row r="4906" spans="1:14" x14ac:dyDescent="0.25">
      <c r="A4906" s="1">
        <v>45277</v>
      </c>
      <c r="B4906" t="s">
        <v>1738</v>
      </c>
      <c r="C4906">
        <v>52</v>
      </c>
      <c r="D4906" t="s">
        <v>14</v>
      </c>
      <c r="E4906" t="s">
        <v>32</v>
      </c>
      <c r="F4906" t="s">
        <v>29</v>
      </c>
      <c r="G4906" t="s">
        <v>39</v>
      </c>
      <c r="H4906">
        <v>2685.94</v>
      </c>
      <c r="I4906" s="8" t="str" cm="1">
        <f t="array" ref="I4906">_xlfn.IFS(C4906&lt;=15,"Children and Young Adolescents", C4906&gt;64, "Seniors", TRUE, "Working Age")</f>
        <v>Working Age</v>
      </c>
      <c r="J4906" s="6">
        <f>VLOOKUP(F4906,Analysis!$F$1:$G$5,2,FALSE)</f>
        <v>2496.7676064256989</v>
      </c>
      <c r="K4906">
        <f t="shared" si="304"/>
        <v>2954.53</v>
      </c>
      <c r="L4906">
        <f t="shared" si="305"/>
        <v>2954.5400000000004</v>
      </c>
      <c r="M4906">
        <f t="shared" si="306"/>
        <v>2954.53</v>
      </c>
      <c r="N4906" s="5" t="str">
        <f t="shared" si="307"/>
        <v>December 2023</v>
      </c>
    </row>
    <row r="4907" spans="1:14" x14ac:dyDescent="0.25">
      <c r="A4907" s="1">
        <v>45277</v>
      </c>
      <c r="B4907" t="s">
        <v>3371</v>
      </c>
      <c r="C4907">
        <v>91</v>
      </c>
      <c r="D4907" t="s">
        <v>21</v>
      </c>
      <c r="E4907" t="s">
        <v>10</v>
      </c>
      <c r="F4907" t="s">
        <v>29</v>
      </c>
      <c r="G4907" t="s">
        <v>27</v>
      </c>
      <c r="H4907">
        <v>3908.49</v>
      </c>
      <c r="I4907" s="8" t="str" cm="1">
        <f t="array" ref="I4907">_xlfn.IFS(C4907&lt;=15,"Children and Young Adolescents", C4907&gt;64, "Seniors", TRUE, "Working Age")</f>
        <v>Seniors</v>
      </c>
      <c r="J4907" s="6">
        <f>VLOOKUP(F4907,Analysis!$F$1:$G$5,2,FALSE)</f>
        <v>2496.7676064256989</v>
      </c>
      <c r="K4907">
        <f t="shared" si="304"/>
        <v>4299.33</v>
      </c>
      <c r="L4907">
        <f t="shared" si="305"/>
        <v>4299.34</v>
      </c>
      <c r="M4907">
        <f t="shared" si="306"/>
        <v>4299.34</v>
      </c>
      <c r="N4907" s="5" t="str">
        <f t="shared" si="307"/>
        <v>December 2023</v>
      </c>
    </row>
    <row r="4908" spans="1:14" x14ac:dyDescent="0.25">
      <c r="A4908" s="1">
        <v>45277</v>
      </c>
      <c r="B4908" t="s">
        <v>2330</v>
      </c>
      <c r="C4908">
        <v>80</v>
      </c>
      <c r="D4908" t="s">
        <v>21</v>
      </c>
      <c r="E4908" t="s">
        <v>5032</v>
      </c>
      <c r="F4908" t="s">
        <v>23</v>
      </c>
      <c r="G4908" t="s">
        <v>27</v>
      </c>
      <c r="H4908">
        <v>4447.45</v>
      </c>
      <c r="I4908" s="8" t="str" cm="1">
        <f t="array" ref="I4908">_xlfn.IFS(C4908&lt;=15,"Children and Young Adolescents", C4908&gt;64, "Seniors", TRUE, "Working Age")</f>
        <v>Seniors</v>
      </c>
      <c r="J4908" s="6">
        <f>VLOOKUP(F4908,Analysis!$F$1:$G$5,2,FALSE)</f>
        <v>2440.2966694490838</v>
      </c>
      <c r="K4908">
        <f t="shared" si="304"/>
        <v>4892.1899999999996</v>
      </c>
      <c r="L4908">
        <f t="shared" si="305"/>
        <v>4892.2</v>
      </c>
      <c r="M4908">
        <f t="shared" si="306"/>
        <v>4892.2</v>
      </c>
      <c r="N4908" s="5" t="str">
        <f t="shared" si="307"/>
        <v>December 2023</v>
      </c>
    </row>
    <row r="4909" spans="1:14" x14ac:dyDescent="0.25">
      <c r="A4909" s="1">
        <v>45277</v>
      </c>
      <c r="B4909" t="s">
        <v>3259</v>
      </c>
      <c r="C4909">
        <v>3</v>
      </c>
      <c r="D4909" t="s">
        <v>14</v>
      </c>
      <c r="E4909" t="s">
        <v>19</v>
      </c>
      <c r="F4909" t="s">
        <v>11</v>
      </c>
      <c r="G4909" t="s">
        <v>27</v>
      </c>
      <c r="H4909">
        <v>3401.67</v>
      </c>
      <c r="I4909" s="8" t="str" cm="1">
        <f t="array" ref="I4909">_xlfn.IFS(C4909&lt;=15,"Children and Young Adolescents", C4909&gt;64, "Seniors", TRUE, "Working Age")</f>
        <v>Children and Young Adolescents</v>
      </c>
      <c r="J4909" s="6">
        <f>VLOOKUP(F4909,Analysis!$F$1:$G$5,2,FALSE)</f>
        <v>2503.6022787783854</v>
      </c>
      <c r="K4909">
        <f t="shared" si="304"/>
        <v>3741.83</v>
      </c>
      <c r="L4909">
        <f t="shared" si="305"/>
        <v>3741.84</v>
      </c>
      <c r="M4909">
        <f t="shared" si="306"/>
        <v>3741.84</v>
      </c>
      <c r="N4909" s="5" t="str">
        <f t="shared" si="307"/>
        <v>December 2023</v>
      </c>
    </row>
    <row r="4910" spans="1:14" x14ac:dyDescent="0.25">
      <c r="A4910" s="1">
        <v>45277</v>
      </c>
      <c r="B4910" t="s">
        <v>1775</v>
      </c>
      <c r="C4910">
        <v>22</v>
      </c>
      <c r="D4910" t="s">
        <v>14</v>
      </c>
      <c r="E4910" t="s">
        <v>22</v>
      </c>
      <c r="F4910" t="s">
        <v>11</v>
      </c>
      <c r="G4910" t="s">
        <v>27</v>
      </c>
      <c r="H4910">
        <v>3205.77</v>
      </c>
      <c r="I4910" s="8" t="str" cm="1">
        <f t="array" ref="I4910">_xlfn.IFS(C4910&lt;=15,"Children and Young Adolescents", C4910&gt;64, "Seniors", TRUE, "Working Age")</f>
        <v>Working Age</v>
      </c>
      <c r="J4910" s="6">
        <f>VLOOKUP(F4910,Analysis!$F$1:$G$5,2,FALSE)</f>
        <v>2503.6022787783854</v>
      </c>
      <c r="K4910">
        <f t="shared" si="304"/>
        <v>3526.34</v>
      </c>
      <c r="L4910">
        <f t="shared" si="305"/>
        <v>3526.3500000000004</v>
      </c>
      <c r="M4910">
        <f t="shared" si="306"/>
        <v>3526.35</v>
      </c>
      <c r="N4910" s="5" t="str">
        <f t="shared" si="307"/>
        <v>December 2023</v>
      </c>
    </row>
    <row r="4911" spans="1:14" x14ac:dyDescent="0.25">
      <c r="A4911" s="1">
        <v>45278</v>
      </c>
      <c r="B4911" t="s">
        <v>43</v>
      </c>
      <c r="C4911">
        <v>17</v>
      </c>
      <c r="D4911" t="s">
        <v>9</v>
      </c>
      <c r="E4911" t="s">
        <v>32</v>
      </c>
      <c r="F4911" t="s">
        <v>29</v>
      </c>
      <c r="G4911" t="s">
        <v>12</v>
      </c>
      <c r="H4911">
        <v>3663.43</v>
      </c>
      <c r="I4911" s="8" t="str" cm="1">
        <f t="array" ref="I4911">_xlfn.IFS(C4911&lt;=15,"Children and Young Adolescents", C4911&gt;64, "Seniors", TRUE, "Working Age")</f>
        <v>Working Age</v>
      </c>
      <c r="J4911" s="6">
        <f>VLOOKUP(F4911,Analysis!$F$1:$G$5,2,FALSE)</f>
        <v>2496.7676064256989</v>
      </c>
      <c r="K4911">
        <f t="shared" si="304"/>
        <v>4029.77</v>
      </c>
      <c r="L4911">
        <f t="shared" si="305"/>
        <v>4029.78</v>
      </c>
      <c r="M4911">
        <f t="shared" si="306"/>
        <v>4029.77</v>
      </c>
      <c r="N4911" s="5" t="str">
        <f t="shared" si="307"/>
        <v>December 2023</v>
      </c>
    </row>
    <row r="4912" spans="1:14" x14ac:dyDescent="0.25">
      <c r="A4912" s="1">
        <v>45278</v>
      </c>
      <c r="B4912" t="s">
        <v>4510</v>
      </c>
      <c r="C4912">
        <v>44</v>
      </c>
      <c r="D4912" t="s">
        <v>21</v>
      </c>
      <c r="E4912" t="s">
        <v>34</v>
      </c>
      <c r="F4912" t="s">
        <v>23</v>
      </c>
      <c r="G4912" t="s">
        <v>39</v>
      </c>
      <c r="H4912">
        <v>389.54</v>
      </c>
      <c r="I4912" s="8" t="str" cm="1">
        <f t="array" ref="I4912">_xlfn.IFS(C4912&lt;=15,"Children and Young Adolescents", C4912&gt;64, "Seniors", TRUE, "Working Age")</f>
        <v>Working Age</v>
      </c>
      <c r="J4912" s="6">
        <f>VLOOKUP(F4912,Analysis!$F$1:$G$5,2,FALSE)</f>
        <v>2440.2966694490838</v>
      </c>
      <c r="K4912">
        <f t="shared" si="304"/>
        <v>428.49</v>
      </c>
      <c r="L4912">
        <f t="shared" si="305"/>
        <v>428.5</v>
      </c>
      <c r="M4912">
        <f t="shared" si="306"/>
        <v>428.49</v>
      </c>
      <c r="N4912" s="5" t="str">
        <f t="shared" si="307"/>
        <v>December 2023</v>
      </c>
    </row>
    <row r="4913" spans="1:14" x14ac:dyDescent="0.25">
      <c r="A4913" s="1">
        <v>45278</v>
      </c>
      <c r="B4913" t="s">
        <v>2186</v>
      </c>
      <c r="C4913">
        <v>52</v>
      </c>
      <c r="D4913" t="s">
        <v>21</v>
      </c>
      <c r="E4913" t="s">
        <v>34</v>
      </c>
      <c r="F4913" t="s">
        <v>16</v>
      </c>
      <c r="G4913" t="s">
        <v>12</v>
      </c>
      <c r="H4913">
        <v>3560.01</v>
      </c>
      <c r="I4913" s="8" t="str" cm="1">
        <f t="array" ref="I4913">_xlfn.IFS(C4913&lt;=15,"Children and Young Adolescents", C4913&gt;64, "Seniors", TRUE, "Working Age")</f>
        <v>Working Age</v>
      </c>
      <c r="J4913" s="6">
        <f>VLOOKUP(F4913,Analysis!$F$1:$G$5,2,FALSE)</f>
        <v>2509.1716796874912</v>
      </c>
      <c r="K4913">
        <f t="shared" si="304"/>
        <v>3916.01</v>
      </c>
      <c r="L4913">
        <f t="shared" si="305"/>
        <v>3916.0200000000004</v>
      </c>
      <c r="M4913">
        <f t="shared" si="306"/>
        <v>3916.01</v>
      </c>
      <c r="N4913" s="5" t="str">
        <f t="shared" si="307"/>
        <v>December 2023</v>
      </c>
    </row>
    <row r="4914" spans="1:14" x14ac:dyDescent="0.25">
      <c r="A4914" s="1">
        <v>45278</v>
      </c>
      <c r="B4914" t="s">
        <v>2652</v>
      </c>
      <c r="C4914">
        <v>45</v>
      </c>
      <c r="D4914" t="s">
        <v>21</v>
      </c>
      <c r="E4914" t="s">
        <v>19</v>
      </c>
      <c r="F4914" t="s">
        <v>16</v>
      </c>
      <c r="G4914" t="s">
        <v>27</v>
      </c>
      <c r="H4914">
        <v>379.78</v>
      </c>
      <c r="I4914" s="8" t="str" cm="1">
        <f t="array" ref="I4914">_xlfn.IFS(C4914&lt;=15,"Children and Young Adolescents", C4914&gt;64, "Seniors", TRUE, "Working Age")</f>
        <v>Working Age</v>
      </c>
      <c r="J4914" s="6">
        <f>VLOOKUP(F4914,Analysis!$F$1:$G$5,2,FALSE)</f>
        <v>2509.1716796874912</v>
      </c>
      <c r="K4914">
        <f t="shared" si="304"/>
        <v>417.75</v>
      </c>
      <c r="L4914">
        <f t="shared" si="305"/>
        <v>417.76</v>
      </c>
      <c r="M4914">
        <f t="shared" si="306"/>
        <v>417.76</v>
      </c>
      <c r="N4914" s="5" t="str">
        <f t="shared" si="307"/>
        <v>December 2023</v>
      </c>
    </row>
    <row r="4915" spans="1:14" x14ac:dyDescent="0.25">
      <c r="A4915" s="1">
        <v>45278</v>
      </c>
      <c r="B4915" t="s">
        <v>3841</v>
      </c>
      <c r="C4915">
        <v>86</v>
      </c>
      <c r="D4915" t="s">
        <v>21</v>
      </c>
      <c r="E4915" t="s">
        <v>19</v>
      </c>
      <c r="F4915" t="s">
        <v>29</v>
      </c>
      <c r="G4915" t="s">
        <v>36</v>
      </c>
      <c r="H4915">
        <v>4573.6000000000004</v>
      </c>
      <c r="I4915" s="8" t="str" cm="1">
        <f t="array" ref="I4915">_xlfn.IFS(C4915&lt;=15,"Children and Young Adolescents", C4915&gt;64, "Seniors", TRUE, "Working Age")</f>
        <v>Seniors</v>
      </c>
      <c r="J4915" s="6">
        <f>VLOOKUP(F4915,Analysis!$F$1:$G$5,2,FALSE)</f>
        <v>2496.7676064256989</v>
      </c>
      <c r="K4915">
        <f t="shared" si="304"/>
        <v>5030.96</v>
      </c>
      <c r="L4915">
        <f t="shared" si="305"/>
        <v>5030.96</v>
      </c>
      <c r="M4915">
        <f t="shared" si="306"/>
        <v>5030.96</v>
      </c>
      <c r="N4915" s="5" t="str">
        <f t="shared" si="307"/>
        <v>December 2023</v>
      </c>
    </row>
    <row r="4916" spans="1:14" x14ac:dyDescent="0.25">
      <c r="A4916" s="1">
        <v>45278</v>
      </c>
      <c r="B4916" t="s">
        <v>3798</v>
      </c>
      <c r="C4916">
        <v>31</v>
      </c>
      <c r="D4916" t="s">
        <v>21</v>
      </c>
      <c r="E4916" t="s">
        <v>34</v>
      </c>
      <c r="F4916" t="s">
        <v>29</v>
      </c>
      <c r="G4916" t="s">
        <v>12</v>
      </c>
      <c r="H4916">
        <v>2902.58</v>
      </c>
      <c r="I4916" s="8" t="str" cm="1">
        <f t="array" ref="I4916">_xlfn.IFS(C4916&lt;=15,"Children and Young Adolescents", C4916&gt;64, "Seniors", TRUE, "Working Age")</f>
        <v>Working Age</v>
      </c>
      <c r="J4916" s="6">
        <f>VLOOKUP(F4916,Analysis!$F$1:$G$5,2,FALSE)</f>
        <v>2496.7676064256989</v>
      </c>
      <c r="K4916">
        <f t="shared" si="304"/>
        <v>3192.83</v>
      </c>
      <c r="L4916">
        <f t="shared" si="305"/>
        <v>3192.84</v>
      </c>
      <c r="M4916">
        <f t="shared" si="306"/>
        <v>3192.84</v>
      </c>
      <c r="N4916" s="5" t="str">
        <f t="shared" si="307"/>
        <v>December 2023</v>
      </c>
    </row>
    <row r="4917" spans="1:14" x14ac:dyDescent="0.25">
      <c r="A4917" s="1">
        <v>45278</v>
      </c>
      <c r="B4917" t="s">
        <v>3794</v>
      </c>
      <c r="C4917">
        <v>60</v>
      </c>
      <c r="D4917" t="s">
        <v>14</v>
      </c>
      <c r="E4917" t="s">
        <v>25</v>
      </c>
      <c r="F4917" t="s">
        <v>11</v>
      </c>
      <c r="G4917" t="s">
        <v>17</v>
      </c>
      <c r="H4917">
        <v>1236.75</v>
      </c>
      <c r="I4917" s="8" t="str" cm="1">
        <f t="array" ref="I4917">_xlfn.IFS(C4917&lt;=15,"Children and Young Adolescents", C4917&gt;64, "Seniors", TRUE, "Working Age")</f>
        <v>Working Age</v>
      </c>
      <c r="J4917" s="6">
        <f>VLOOKUP(F4917,Analysis!$F$1:$G$5,2,FALSE)</f>
        <v>2503.6022787783854</v>
      </c>
      <c r="K4917">
        <f t="shared" si="304"/>
        <v>1360.42</v>
      </c>
      <c r="L4917">
        <f t="shared" si="305"/>
        <v>1360.43</v>
      </c>
      <c r="M4917">
        <f t="shared" si="306"/>
        <v>1360.43</v>
      </c>
      <c r="N4917" s="5" t="str">
        <f t="shared" si="307"/>
        <v>December 2023</v>
      </c>
    </row>
    <row r="4918" spans="1:14" x14ac:dyDescent="0.25">
      <c r="A4918" s="1">
        <v>45279</v>
      </c>
      <c r="B4918" t="s">
        <v>3376</v>
      </c>
      <c r="C4918">
        <v>83</v>
      </c>
      <c r="D4918" t="s">
        <v>14</v>
      </c>
      <c r="E4918" t="s">
        <v>10</v>
      </c>
      <c r="F4918" t="s">
        <v>11</v>
      </c>
      <c r="G4918" t="s">
        <v>36</v>
      </c>
      <c r="H4918">
        <v>4313.41</v>
      </c>
      <c r="I4918" s="8" t="str" cm="1">
        <f t="array" ref="I4918">_xlfn.IFS(C4918&lt;=15,"Children and Young Adolescents", C4918&gt;64, "Seniors", TRUE, "Working Age")</f>
        <v>Seniors</v>
      </c>
      <c r="J4918" s="6">
        <f>VLOOKUP(F4918,Analysis!$F$1:$G$5,2,FALSE)</f>
        <v>2503.6022787783854</v>
      </c>
      <c r="K4918">
        <f t="shared" si="304"/>
        <v>4744.75</v>
      </c>
      <c r="L4918">
        <f t="shared" si="305"/>
        <v>4744.76</v>
      </c>
      <c r="M4918">
        <f t="shared" si="306"/>
        <v>4744.75</v>
      </c>
      <c r="N4918" s="5" t="str">
        <f t="shared" si="307"/>
        <v>December 2023</v>
      </c>
    </row>
    <row r="4919" spans="1:14" x14ac:dyDescent="0.25">
      <c r="A4919" s="1">
        <v>45279</v>
      </c>
      <c r="B4919" t="s">
        <v>227</v>
      </c>
      <c r="C4919">
        <v>45</v>
      </c>
      <c r="D4919" t="s">
        <v>9</v>
      </c>
      <c r="E4919" t="s">
        <v>34</v>
      </c>
      <c r="F4919" t="s">
        <v>29</v>
      </c>
      <c r="G4919" t="s">
        <v>36</v>
      </c>
      <c r="H4919">
        <v>76.75</v>
      </c>
      <c r="I4919" s="8" t="str" cm="1">
        <f t="array" ref="I4919">_xlfn.IFS(C4919&lt;=15,"Children and Young Adolescents", C4919&gt;64, "Seniors", TRUE, "Working Age")</f>
        <v>Working Age</v>
      </c>
      <c r="J4919" s="6">
        <f>VLOOKUP(F4919,Analysis!$F$1:$G$5,2,FALSE)</f>
        <v>2496.7676064256989</v>
      </c>
      <c r="K4919">
        <f t="shared" si="304"/>
        <v>84.42</v>
      </c>
      <c r="L4919">
        <f t="shared" si="305"/>
        <v>84.43</v>
      </c>
      <c r="M4919">
        <f t="shared" si="306"/>
        <v>84.43</v>
      </c>
      <c r="N4919" s="5" t="str">
        <f t="shared" si="307"/>
        <v>December 2023</v>
      </c>
    </row>
    <row r="4920" spans="1:14" x14ac:dyDescent="0.25">
      <c r="A4920" s="1">
        <v>45279</v>
      </c>
      <c r="B4920" t="s">
        <v>1347</v>
      </c>
      <c r="C4920">
        <v>76</v>
      </c>
      <c r="D4920" t="s">
        <v>14</v>
      </c>
      <c r="E4920" t="s">
        <v>22</v>
      </c>
      <c r="F4920" t="s">
        <v>29</v>
      </c>
      <c r="G4920" t="s">
        <v>36</v>
      </c>
      <c r="H4920">
        <v>2976.86</v>
      </c>
      <c r="I4920" s="8" t="str" cm="1">
        <f t="array" ref="I4920">_xlfn.IFS(C4920&lt;=15,"Children and Young Adolescents", C4920&gt;64, "Seniors", TRUE, "Working Age")</f>
        <v>Seniors</v>
      </c>
      <c r="J4920" s="6">
        <f>VLOOKUP(F4920,Analysis!$F$1:$G$5,2,FALSE)</f>
        <v>2496.7676064256989</v>
      </c>
      <c r="K4920">
        <f t="shared" si="304"/>
        <v>3274.54</v>
      </c>
      <c r="L4920">
        <f t="shared" si="305"/>
        <v>3274.55</v>
      </c>
      <c r="M4920">
        <f t="shared" si="306"/>
        <v>3274.55</v>
      </c>
      <c r="N4920" s="5" t="str">
        <f t="shared" si="307"/>
        <v>December 2023</v>
      </c>
    </row>
    <row r="4921" spans="1:14" x14ac:dyDescent="0.25">
      <c r="A4921" s="1">
        <v>45279</v>
      </c>
      <c r="B4921" t="s">
        <v>1727</v>
      </c>
      <c r="C4921">
        <v>68</v>
      </c>
      <c r="D4921" t="s">
        <v>14</v>
      </c>
      <c r="E4921" t="s">
        <v>19</v>
      </c>
      <c r="F4921" t="s">
        <v>11</v>
      </c>
      <c r="G4921" t="s">
        <v>36</v>
      </c>
      <c r="H4921">
        <v>4868.6400000000003</v>
      </c>
      <c r="I4921" s="8" t="str" cm="1">
        <f t="array" ref="I4921">_xlfn.IFS(C4921&lt;=15,"Children and Young Adolescents", C4921&gt;64, "Seniors", TRUE, "Working Age")</f>
        <v>Seniors</v>
      </c>
      <c r="J4921" s="6">
        <f>VLOOKUP(F4921,Analysis!$F$1:$G$5,2,FALSE)</f>
        <v>2503.6022787783854</v>
      </c>
      <c r="K4921">
        <f t="shared" si="304"/>
        <v>5355.5</v>
      </c>
      <c r="L4921">
        <f t="shared" si="305"/>
        <v>5355.51</v>
      </c>
      <c r="M4921">
        <f t="shared" si="306"/>
        <v>5355.5</v>
      </c>
      <c r="N4921" s="5" t="str">
        <f t="shared" si="307"/>
        <v>December 2023</v>
      </c>
    </row>
    <row r="4922" spans="1:14" x14ac:dyDescent="0.25">
      <c r="A4922" s="1">
        <v>45279</v>
      </c>
      <c r="B4922" t="s">
        <v>4600</v>
      </c>
      <c r="C4922">
        <v>11</v>
      </c>
      <c r="D4922" t="s">
        <v>14</v>
      </c>
      <c r="E4922" t="s">
        <v>15</v>
      </c>
      <c r="F4922" t="s">
        <v>23</v>
      </c>
      <c r="G4922" t="s">
        <v>27</v>
      </c>
      <c r="H4922">
        <v>4357.54</v>
      </c>
      <c r="I4922" s="8" t="str" cm="1">
        <f t="array" ref="I4922">_xlfn.IFS(C4922&lt;=15,"Children and Young Adolescents", C4922&gt;64, "Seniors", TRUE, "Working Age")</f>
        <v>Children and Young Adolescents</v>
      </c>
      <c r="J4922" s="6">
        <f>VLOOKUP(F4922,Analysis!$F$1:$G$5,2,FALSE)</f>
        <v>2440.2966694490838</v>
      </c>
      <c r="K4922">
        <f t="shared" si="304"/>
        <v>4793.29</v>
      </c>
      <c r="L4922">
        <f t="shared" si="305"/>
        <v>4793.3</v>
      </c>
      <c r="M4922">
        <f t="shared" si="306"/>
        <v>4793.29</v>
      </c>
      <c r="N4922" s="5" t="str">
        <f t="shared" si="307"/>
        <v>December 2023</v>
      </c>
    </row>
    <row r="4923" spans="1:14" x14ac:dyDescent="0.25">
      <c r="A4923" s="1">
        <v>45279</v>
      </c>
      <c r="B4923" t="s">
        <v>2366</v>
      </c>
      <c r="C4923">
        <v>4</v>
      </c>
      <c r="D4923" t="s">
        <v>21</v>
      </c>
      <c r="E4923" t="s">
        <v>34</v>
      </c>
      <c r="F4923" t="s">
        <v>23</v>
      </c>
      <c r="G4923" t="s">
        <v>17</v>
      </c>
      <c r="H4923">
        <v>411.59</v>
      </c>
      <c r="I4923" s="8" t="str" cm="1">
        <f t="array" ref="I4923">_xlfn.IFS(C4923&lt;=15,"Children and Young Adolescents", C4923&gt;64, "Seniors", TRUE, "Working Age")</f>
        <v>Children and Young Adolescents</v>
      </c>
      <c r="J4923" s="6">
        <f>VLOOKUP(F4923,Analysis!$F$1:$G$5,2,FALSE)</f>
        <v>2440.2966694490838</v>
      </c>
      <c r="K4923">
        <f t="shared" si="304"/>
        <v>452.74</v>
      </c>
      <c r="L4923">
        <f t="shared" si="305"/>
        <v>452.75</v>
      </c>
      <c r="M4923">
        <f t="shared" si="306"/>
        <v>452.75</v>
      </c>
      <c r="N4923" s="5" t="str">
        <f t="shared" si="307"/>
        <v>December 2023</v>
      </c>
    </row>
    <row r="4924" spans="1:14" x14ac:dyDescent="0.25">
      <c r="A4924" s="1">
        <v>45279</v>
      </c>
      <c r="B4924" t="s">
        <v>352</v>
      </c>
      <c r="C4924">
        <v>59</v>
      </c>
      <c r="D4924" t="s">
        <v>9</v>
      </c>
      <c r="E4924" t="s">
        <v>32</v>
      </c>
      <c r="F4924" t="s">
        <v>11</v>
      </c>
      <c r="G4924" t="s">
        <v>39</v>
      </c>
      <c r="H4924">
        <v>1031.6300000000001</v>
      </c>
      <c r="I4924" s="8" t="str" cm="1">
        <f t="array" ref="I4924">_xlfn.IFS(C4924&lt;=15,"Children and Young Adolescents", C4924&gt;64, "Seniors", TRUE, "Working Age")</f>
        <v>Working Age</v>
      </c>
      <c r="J4924" s="6">
        <f>VLOOKUP(F4924,Analysis!$F$1:$G$5,2,FALSE)</f>
        <v>2503.6022787783854</v>
      </c>
      <c r="K4924">
        <f t="shared" si="304"/>
        <v>1134.79</v>
      </c>
      <c r="L4924">
        <f t="shared" si="305"/>
        <v>1134.8</v>
      </c>
      <c r="M4924">
        <f t="shared" si="306"/>
        <v>1134.79</v>
      </c>
      <c r="N4924" s="5" t="str">
        <f t="shared" si="307"/>
        <v>December 2023</v>
      </c>
    </row>
    <row r="4925" spans="1:14" x14ac:dyDescent="0.25">
      <c r="A4925" s="1">
        <v>45279</v>
      </c>
      <c r="B4925" t="s">
        <v>4917</v>
      </c>
      <c r="C4925">
        <v>36</v>
      </c>
      <c r="D4925" t="s">
        <v>9</v>
      </c>
      <c r="E4925" t="s">
        <v>32</v>
      </c>
      <c r="F4925" t="s">
        <v>23</v>
      </c>
      <c r="G4925" t="s">
        <v>12</v>
      </c>
      <c r="H4925">
        <v>2418.61</v>
      </c>
      <c r="I4925" s="8" t="str" cm="1">
        <f t="array" ref="I4925">_xlfn.IFS(C4925&lt;=15,"Children and Young Adolescents", C4925&gt;64, "Seniors", TRUE, "Working Age")</f>
        <v>Working Age</v>
      </c>
      <c r="J4925" s="6">
        <f>VLOOKUP(F4925,Analysis!$F$1:$G$5,2,FALSE)</f>
        <v>2440.2966694490838</v>
      </c>
      <c r="K4925">
        <f t="shared" si="304"/>
        <v>2660.47</v>
      </c>
      <c r="L4925">
        <f t="shared" si="305"/>
        <v>2660.48</v>
      </c>
      <c r="M4925">
        <f t="shared" si="306"/>
        <v>2660.47</v>
      </c>
      <c r="N4925" s="5" t="str">
        <f t="shared" si="307"/>
        <v>December 2023</v>
      </c>
    </row>
    <row r="4926" spans="1:14" x14ac:dyDescent="0.25">
      <c r="A4926" s="1">
        <v>45279</v>
      </c>
      <c r="B4926" t="s">
        <v>734</v>
      </c>
      <c r="C4926">
        <v>50</v>
      </c>
      <c r="D4926" t="s">
        <v>21</v>
      </c>
      <c r="E4926" t="s">
        <v>25</v>
      </c>
      <c r="F4926" t="s">
        <v>11</v>
      </c>
      <c r="G4926" t="s">
        <v>17</v>
      </c>
      <c r="H4926">
        <v>3215.98</v>
      </c>
      <c r="I4926" s="8" t="str" cm="1">
        <f t="array" ref="I4926">_xlfn.IFS(C4926&lt;=15,"Children and Young Adolescents", C4926&gt;64, "Seniors", TRUE, "Working Age")</f>
        <v>Working Age</v>
      </c>
      <c r="J4926" s="6">
        <f>VLOOKUP(F4926,Analysis!$F$1:$G$5,2,FALSE)</f>
        <v>2503.6022787783854</v>
      </c>
      <c r="K4926">
        <f t="shared" si="304"/>
        <v>3537.57</v>
      </c>
      <c r="L4926">
        <f t="shared" si="305"/>
        <v>3537.5800000000004</v>
      </c>
      <c r="M4926">
        <f t="shared" si="306"/>
        <v>3537.58</v>
      </c>
      <c r="N4926" s="5" t="str">
        <f t="shared" si="307"/>
        <v>December 2023</v>
      </c>
    </row>
    <row r="4927" spans="1:14" x14ac:dyDescent="0.25">
      <c r="A4927" s="1">
        <v>45280</v>
      </c>
      <c r="B4927" t="s">
        <v>139</v>
      </c>
      <c r="C4927">
        <v>37</v>
      </c>
      <c r="D4927" t="s">
        <v>14</v>
      </c>
      <c r="E4927" t="s">
        <v>10</v>
      </c>
      <c r="F4927" t="s">
        <v>16</v>
      </c>
      <c r="G4927" t="s">
        <v>36</v>
      </c>
      <c r="H4927">
        <v>291.72000000000003</v>
      </c>
      <c r="I4927" s="8" t="str" cm="1">
        <f t="array" ref="I4927">_xlfn.IFS(C4927&lt;=15,"Children and Young Adolescents", C4927&gt;64, "Seniors", TRUE, "Working Age")</f>
        <v>Working Age</v>
      </c>
      <c r="J4927" s="6">
        <f>VLOOKUP(F4927,Analysis!$F$1:$G$5,2,FALSE)</f>
        <v>2509.1716796874912</v>
      </c>
      <c r="K4927">
        <f t="shared" si="304"/>
        <v>320.89</v>
      </c>
      <c r="L4927">
        <f t="shared" si="305"/>
        <v>320.89999999999998</v>
      </c>
      <c r="M4927">
        <f t="shared" si="306"/>
        <v>320.89</v>
      </c>
      <c r="N4927" s="5" t="str">
        <f t="shared" si="307"/>
        <v>December 2023</v>
      </c>
    </row>
    <row r="4928" spans="1:14" x14ac:dyDescent="0.25">
      <c r="A4928" s="1">
        <v>45280</v>
      </c>
      <c r="B4928" t="s">
        <v>446</v>
      </c>
      <c r="C4928">
        <v>57</v>
      </c>
      <c r="D4928" t="s">
        <v>9</v>
      </c>
      <c r="E4928" t="s">
        <v>19</v>
      </c>
      <c r="F4928" t="s">
        <v>29</v>
      </c>
      <c r="G4928" t="s">
        <v>36</v>
      </c>
      <c r="H4928">
        <v>3798.83</v>
      </c>
      <c r="I4928" s="8" t="str" cm="1">
        <f t="array" ref="I4928">_xlfn.IFS(C4928&lt;=15,"Children and Young Adolescents", C4928&gt;64, "Seniors", TRUE, "Working Age")</f>
        <v>Working Age</v>
      </c>
      <c r="J4928" s="6">
        <f>VLOOKUP(F4928,Analysis!$F$1:$G$5,2,FALSE)</f>
        <v>2496.7676064256989</v>
      </c>
      <c r="K4928">
        <f t="shared" si="304"/>
        <v>4178.71</v>
      </c>
      <c r="L4928">
        <f t="shared" si="305"/>
        <v>4178.72</v>
      </c>
      <c r="M4928">
        <f t="shared" si="306"/>
        <v>4178.71</v>
      </c>
      <c r="N4928" s="5" t="str">
        <f t="shared" si="307"/>
        <v>December 2023</v>
      </c>
    </row>
    <row r="4929" spans="1:14" x14ac:dyDescent="0.25">
      <c r="A4929" s="1">
        <v>45280</v>
      </c>
      <c r="B4929" t="s">
        <v>4205</v>
      </c>
      <c r="C4929">
        <v>15</v>
      </c>
      <c r="D4929" t="s">
        <v>9</v>
      </c>
      <c r="E4929" t="s">
        <v>10</v>
      </c>
      <c r="F4929" t="s">
        <v>29</v>
      </c>
      <c r="G4929" t="s">
        <v>17</v>
      </c>
      <c r="H4929">
        <v>832.39</v>
      </c>
      <c r="I4929" s="8" t="str" cm="1">
        <f t="array" ref="I4929">_xlfn.IFS(C4929&lt;=15,"Children and Young Adolescents", C4929&gt;64, "Seniors", TRUE, "Working Age")</f>
        <v>Children and Young Adolescents</v>
      </c>
      <c r="J4929" s="6">
        <f>VLOOKUP(F4929,Analysis!$F$1:$G$5,2,FALSE)</f>
        <v>2496.7676064256989</v>
      </c>
      <c r="K4929">
        <f t="shared" si="304"/>
        <v>915.62</v>
      </c>
      <c r="L4929">
        <f t="shared" si="305"/>
        <v>915.63</v>
      </c>
      <c r="M4929">
        <f t="shared" si="306"/>
        <v>915.63</v>
      </c>
      <c r="N4929" s="5" t="str">
        <f t="shared" si="307"/>
        <v>December 2023</v>
      </c>
    </row>
    <row r="4930" spans="1:14" x14ac:dyDescent="0.25">
      <c r="A4930" s="1">
        <v>45280</v>
      </c>
      <c r="B4930" t="s">
        <v>4571</v>
      </c>
      <c r="C4930">
        <v>54</v>
      </c>
      <c r="D4930" t="s">
        <v>21</v>
      </c>
      <c r="E4930" t="s">
        <v>19</v>
      </c>
      <c r="F4930" t="s">
        <v>23</v>
      </c>
      <c r="G4930" t="s">
        <v>12</v>
      </c>
      <c r="H4930">
        <v>1203.83</v>
      </c>
      <c r="I4930" s="8" t="str" cm="1">
        <f t="array" ref="I4930">_xlfn.IFS(C4930&lt;=15,"Children and Young Adolescents", C4930&gt;64, "Seniors", TRUE, "Working Age")</f>
        <v>Working Age</v>
      </c>
      <c r="J4930" s="6">
        <f>VLOOKUP(F4930,Analysis!$F$1:$G$5,2,FALSE)</f>
        <v>2440.2966694490838</v>
      </c>
      <c r="K4930">
        <f t="shared" si="304"/>
        <v>1324.21</v>
      </c>
      <c r="L4930">
        <f t="shared" si="305"/>
        <v>1324.22</v>
      </c>
      <c r="M4930">
        <f t="shared" si="306"/>
        <v>1324.21</v>
      </c>
      <c r="N4930" s="5" t="str">
        <f t="shared" si="307"/>
        <v>December 2023</v>
      </c>
    </row>
    <row r="4931" spans="1:14" x14ac:dyDescent="0.25">
      <c r="A4931" s="1">
        <v>45280</v>
      </c>
      <c r="B4931" t="s">
        <v>1693</v>
      </c>
      <c r="C4931">
        <v>18</v>
      </c>
      <c r="D4931" t="s">
        <v>14</v>
      </c>
      <c r="E4931" t="s">
        <v>19</v>
      </c>
      <c r="F4931" t="s">
        <v>29</v>
      </c>
      <c r="G4931" t="s">
        <v>5033</v>
      </c>
      <c r="H4931">
        <v>3946.51</v>
      </c>
      <c r="I4931" s="8" t="str" cm="1">
        <f t="array" ref="I4931">_xlfn.IFS(C4931&lt;=15,"Children and Young Adolescents", C4931&gt;64, "Seniors", TRUE, "Working Age")</f>
        <v>Working Age</v>
      </c>
      <c r="J4931" s="6">
        <f>VLOOKUP(F4931,Analysis!$F$1:$G$5,2,FALSE)</f>
        <v>2496.7676064256989</v>
      </c>
      <c r="K4931">
        <f t="shared" ref="K4931:K4994" si="308">ROUNDDOWN(H4931*1.1,2)</f>
        <v>4341.16</v>
      </c>
      <c r="L4931">
        <f t="shared" ref="L4931:L4994" si="309">ROUNDUP(H4931*1.1,2)</f>
        <v>4341.17</v>
      </c>
      <c r="M4931">
        <f t="shared" ref="M4931:M4994" si="310">ROUND(H4931*1.1,2)</f>
        <v>4341.16</v>
      </c>
      <c r="N4931" s="5" t="str">
        <f t="shared" ref="N4931:N4994" si="311">TEXT(A4931,"mmmm yyyy")</f>
        <v>December 2023</v>
      </c>
    </row>
    <row r="4932" spans="1:14" x14ac:dyDescent="0.25">
      <c r="A4932" s="1">
        <v>45280</v>
      </c>
      <c r="B4932" t="s">
        <v>1506</v>
      </c>
      <c r="C4932">
        <v>38</v>
      </c>
      <c r="D4932" t="s">
        <v>14</v>
      </c>
      <c r="E4932" t="s">
        <v>25</v>
      </c>
      <c r="F4932" t="s">
        <v>23</v>
      </c>
      <c r="G4932" t="s">
        <v>12</v>
      </c>
      <c r="H4932">
        <v>71.75</v>
      </c>
      <c r="I4932" s="8" t="str" cm="1">
        <f t="array" ref="I4932">_xlfn.IFS(C4932&lt;=15,"Children and Young Adolescents", C4932&gt;64, "Seniors", TRUE, "Working Age")</f>
        <v>Working Age</v>
      </c>
      <c r="J4932" s="6">
        <f>VLOOKUP(F4932,Analysis!$F$1:$G$5,2,FALSE)</f>
        <v>2440.2966694490838</v>
      </c>
      <c r="K4932">
        <f t="shared" si="308"/>
        <v>78.92</v>
      </c>
      <c r="L4932">
        <f t="shared" si="309"/>
        <v>78.930000000000007</v>
      </c>
      <c r="M4932">
        <f t="shared" si="310"/>
        <v>78.930000000000007</v>
      </c>
      <c r="N4932" s="5" t="str">
        <f t="shared" si="311"/>
        <v>December 2023</v>
      </c>
    </row>
    <row r="4933" spans="1:14" x14ac:dyDescent="0.25">
      <c r="A4933" s="1">
        <v>45280</v>
      </c>
      <c r="B4933" t="s">
        <v>3888</v>
      </c>
      <c r="C4933">
        <v>95</v>
      </c>
      <c r="D4933" t="s">
        <v>9</v>
      </c>
      <c r="E4933" t="s">
        <v>25</v>
      </c>
      <c r="F4933" t="s">
        <v>11</v>
      </c>
      <c r="G4933" t="s">
        <v>17</v>
      </c>
      <c r="H4933">
        <v>1276.07</v>
      </c>
      <c r="I4933" s="8" t="str" cm="1">
        <f t="array" ref="I4933">_xlfn.IFS(C4933&lt;=15,"Children and Young Adolescents", C4933&gt;64, "Seniors", TRUE, "Working Age")</f>
        <v>Seniors</v>
      </c>
      <c r="J4933" s="6">
        <f>VLOOKUP(F4933,Analysis!$F$1:$G$5,2,FALSE)</f>
        <v>2503.6022787783854</v>
      </c>
      <c r="K4933">
        <f t="shared" si="308"/>
        <v>1403.67</v>
      </c>
      <c r="L4933">
        <f t="shared" si="309"/>
        <v>1403.68</v>
      </c>
      <c r="M4933">
        <f t="shared" si="310"/>
        <v>1403.68</v>
      </c>
      <c r="N4933" s="5" t="str">
        <f t="shared" si="311"/>
        <v>December 2023</v>
      </c>
    </row>
    <row r="4934" spans="1:14" x14ac:dyDescent="0.25">
      <c r="A4934" s="1">
        <v>45280</v>
      </c>
      <c r="B4934" t="s">
        <v>1067</v>
      </c>
      <c r="C4934">
        <v>5</v>
      </c>
      <c r="D4934" t="s">
        <v>14</v>
      </c>
      <c r="E4934" t="s">
        <v>25</v>
      </c>
      <c r="F4934" t="s">
        <v>23</v>
      </c>
      <c r="G4934" t="s">
        <v>39</v>
      </c>
      <c r="H4934">
        <v>3271.64</v>
      </c>
      <c r="I4934" s="8" t="str" cm="1">
        <f t="array" ref="I4934">_xlfn.IFS(C4934&lt;=15,"Children and Young Adolescents", C4934&gt;64, "Seniors", TRUE, "Working Age")</f>
        <v>Children and Young Adolescents</v>
      </c>
      <c r="J4934" s="6">
        <f>VLOOKUP(F4934,Analysis!$F$1:$G$5,2,FALSE)</f>
        <v>2440.2966694490838</v>
      </c>
      <c r="K4934">
        <f t="shared" si="308"/>
        <v>3598.8</v>
      </c>
      <c r="L4934">
        <f t="shared" si="309"/>
        <v>3598.8100000000004</v>
      </c>
      <c r="M4934">
        <f t="shared" si="310"/>
        <v>3598.8</v>
      </c>
      <c r="N4934" s="5" t="str">
        <f t="shared" si="311"/>
        <v>December 2023</v>
      </c>
    </row>
    <row r="4935" spans="1:14" x14ac:dyDescent="0.25">
      <c r="A4935" s="1">
        <v>45281</v>
      </c>
      <c r="B4935" t="s">
        <v>1812</v>
      </c>
      <c r="C4935">
        <v>92</v>
      </c>
      <c r="D4935" t="s">
        <v>14</v>
      </c>
      <c r="E4935" t="s">
        <v>34</v>
      </c>
      <c r="F4935" t="s">
        <v>16</v>
      </c>
      <c r="G4935" t="s">
        <v>27</v>
      </c>
      <c r="H4935">
        <v>4354.53</v>
      </c>
      <c r="I4935" s="8" t="str" cm="1">
        <f t="array" ref="I4935">_xlfn.IFS(C4935&lt;=15,"Children and Young Adolescents", C4935&gt;64, "Seniors", TRUE, "Working Age")</f>
        <v>Seniors</v>
      </c>
      <c r="J4935" s="6">
        <f>VLOOKUP(F4935,Analysis!$F$1:$G$5,2,FALSE)</f>
        <v>2509.1716796874912</v>
      </c>
      <c r="K4935">
        <f t="shared" si="308"/>
        <v>4789.9799999999996</v>
      </c>
      <c r="L4935">
        <f t="shared" si="309"/>
        <v>4789.99</v>
      </c>
      <c r="M4935">
        <f t="shared" si="310"/>
        <v>4789.9799999999996</v>
      </c>
      <c r="N4935" s="5" t="str">
        <f t="shared" si="311"/>
        <v>December 2023</v>
      </c>
    </row>
    <row r="4936" spans="1:14" x14ac:dyDescent="0.25">
      <c r="A4936" s="1">
        <v>45281</v>
      </c>
      <c r="B4936" t="s">
        <v>1966</v>
      </c>
      <c r="C4936">
        <v>42</v>
      </c>
      <c r="D4936" t="s">
        <v>14</v>
      </c>
      <c r="E4936" t="s">
        <v>15</v>
      </c>
      <c r="F4936" t="s">
        <v>16</v>
      </c>
      <c r="G4936" t="s">
        <v>27</v>
      </c>
      <c r="H4936">
        <v>794.69</v>
      </c>
      <c r="I4936" s="8" t="str" cm="1">
        <f t="array" ref="I4936">_xlfn.IFS(C4936&lt;=15,"Children and Young Adolescents", C4936&gt;64, "Seniors", TRUE, "Working Age")</f>
        <v>Working Age</v>
      </c>
      <c r="J4936" s="6">
        <f>VLOOKUP(F4936,Analysis!$F$1:$G$5,2,FALSE)</f>
        <v>2509.1716796874912</v>
      </c>
      <c r="K4936">
        <f t="shared" si="308"/>
        <v>874.15</v>
      </c>
      <c r="L4936">
        <f t="shared" si="309"/>
        <v>874.16</v>
      </c>
      <c r="M4936">
        <f t="shared" si="310"/>
        <v>874.16</v>
      </c>
      <c r="N4936" s="5" t="str">
        <f t="shared" si="311"/>
        <v>December 2023</v>
      </c>
    </row>
    <row r="4937" spans="1:14" x14ac:dyDescent="0.25">
      <c r="A4937" s="1">
        <v>45281</v>
      </c>
      <c r="B4937" t="s">
        <v>3623</v>
      </c>
      <c r="C4937">
        <v>42</v>
      </c>
      <c r="D4937" t="s">
        <v>21</v>
      </c>
      <c r="E4937" t="s">
        <v>10</v>
      </c>
      <c r="F4937" t="s">
        <v>23</v>
      </c>
      <c r="G4937" t="s">
        <v>39</v>
      </c>
      <c r="H4937">
        <v>385.73</v>
      </c>
      <c r="I4937" s="8" t="str" cm="1">
        <f t="array" ref="I4937">_xlfn.IFS(C4937&lt;=15,"Children and Young Adolescents", C4937&gt;64, "Seniors", TRUE, "Working Age")</f>
        <v>Working Age</v>
      </c>
      <c r="J4937" s="6">
        <f>VLOOKUP(F4937,Analysis!$F$1:$G$5,2,FALSE)</f>
        <v>2440.2966694490838</v>
      </c>
      <c r="K4937">
        <f t="shared" si="308"/>
        <v>424.3</v>
      </c>
      <c r="L4937">
        <f t="shared" si="309"/>
        <v>424.31</v>
      </c>
      <c r="M4937">
        <f t="shared" si="310"/>
        <v>424.3</v>
      </c>
      <c r="N4937" s="5" t="str">
        <f t="shared" si="311"/>
        <v>December 2023</v>
      </c>
    </row>
    <row r="4938" spans="1:14" x14ac:dyDescent="0.25">
      <c r="A4938" s="1">
        <v>45281</v>
      </c>
      <c r="B4938" t="s">
        <v>1838</v>
      </c>
      <c r="C4938">
        <v>56</v>
      </c>
      <c r="D4938" t="s">
        <v>9</v>
      </c>
      <c r="E4938" t="s">
        <v>32</v>
      </c>
      <c r="F4938" t="s">
        <v>29</v>
      </c>
      <c r="G4938" t="s">
        <v>39</v>
      </c>
      <c r="H4938">
        <v>3802.09</v>
      </c>
      <c r="I4938" s="8" t="str" cm="1">
        <f t="array" ref="I4938">_xlfn.IFS(C4938&lt;=15,"Children and Young Adolescents", C4938&gt;64, "Seniors", TRUE, "Working Age")</f>
        <v>Working Age</v>
      </c>
      <c r="J4938" s="6">
        <f>VLOOKUP(F4938,Analysis!$F$1:$G$5,2,FALSE)</f>
        <v>2496.7676064256989</v>
      </c>
      <c r="K4938">
        <f t="shared" si="308"/>
        <v>4182.29</v>
      </c>
      <c r="L4938">
        <f t="shared" si="309"/>
        <v>4182.3</v>
      </c>
      <c r="M4938">
        <f t="shared" si="310"/>
        <v>4182.3</v>
      </c>
      <c r="N4938" s="5" t="str">
        <f t="shared" si="311"/>
        <v>December 2023</v>
      </c>
    </row>
    <row r="4939" spans="1:14" x14ac:dyDescent="0.25">
      <c r="A4939" s="1">
        <v>45281</v>
      </c>
      <c r="B4939" t="s">
        <v>4636</v>
      </c>
      <c r="C4939">
        <v>7</v>
      </c>
      <c r="D4939" t="s">
        <v>21</v>
      </c>
      <c r="E4939" t="s">
        <v>25</v>
      </c>
      <c r="F4939" t="s">
        <v>16</v>
      </c>
      <c r="G4939" t="s">
        <v>17</v>
      </c>
      <c r="H4939">
        <v>2426.61</v>
      </c>
      <c r="I4939" s="8" t="str" cm="1">
        <f t="array" ref="I4939">_xlfn.IFS(C4939&lt;=15,"Children and Young Adolescents", C4939&gt;64, "Seniors", TRUE, "Working Age")</f>
        <v>Children and Young Adolescents</v>
      </c>
      <c r="J4939" s="6">
        <f>VLOOKUP(F4939,Analysis!$F$1:$G$5,2,FALSE)</f>
        <v>2509.1716796874912</v>
      </c>
      <c r="K4939">
        <f t="shared" si="308"/>
        <v>2669.27</v>
      </c>
      <c r="L4939">
        <f t="shared" si="309"/>
        <v>2669.28</v>
      </c>
      <c r="M4939">
        <f t="shared" si="310"/>
        <v>2669.27</v>
      </c>
      <c r="N4939" s="5" t="str">
        <f t="shared" si="311"/>
        <v>December 2023</v>
      </c>
    </row>
    <row r="4940" spans="1:14" x14ac:dyDescent="0.25">
      <c r="A4940" s="1">
        <v>45281</v>
      </c>
      <c r="B4940" t="s">
        <v>2494</v>
      </c>
      <c r="C4940">
        <v>67</v>
      </c>
      <c r="D4940" t="s">
        <v>14</v>
      </c>
      <c r="E4940" t="s">
        <v>32</v>
      </c>
      <c r="F4940" t="s">
        <v>23</v>
      </c>
      <c r="G4940" t="s">
        <v>12</v>
      </c>
      <c r="H4940">
        <v>313.56</v>
      </c>
      <c r="I4940" s="8" t="str" cm="1">
        <f t="array" ref="I4940">_xlfn.IFS(C4940&lt;=15,"Children and Young Adolescents", C4940&gt;64, "Seniors", TRUE, "Working Age")</f>
        <v>Seniors</v>
      </c>
      <c r="J4940" s="6">
        <f>VLOOKUP(F4940,Analysis!$F$1:$G$5,2,FALSE)</f>
        <v>2440.2966694490838</v>
      </c>
      <c r="K4940">
        <f t="shared" si="308"/>
        <v>344.91</v>
      </c>
      <c r="L4940">
        <f t="shared" si="309"/>
        <v>344.92</v>
      </c>
      <c r="M4940">
        <f t="shared" si="310"/>
        <v>344.92</v>
      </c>
      <c r="N4940" s="5" t="str">
        <f t="shared" si="311"/>
        <v>December 2023</v>
      </c>
    </row>
    <row r="4941" spans="1:14" x14ac:dyDescent="0.25">
      <c r="A4941" s="1">
        <v>45281</v>
      </c>
      <c r="B4941" t="s">
        <v>1024</v>
      </c>
      <c r="C4941">
        <v>1</v>
      </c>
      <c r="D4941" t="s">
        <v>14</v>
      </c>
      <c r="E4941" t="s">
        <v>32</v>
      </c>
      <c r="F4941" t="s">
        <v>23</v>
      </c>
      <c r="G4941" t="s">
        <v>39</v>
      </c>
      <c r="H4941">
        <v>1198.78</v>
      </c>
      <c r="I4941" s="8" t="str" cm="1">
        <f t="array" ref="I4941">_xlfn.IFS(C4941&lt;=15,"Children and Young Adolescents", C4941&gt;64, "Seniors", TRUE, "Working Age")</f>
        <v>Children and Young Adolescents</v>
      </c>
      <c r="J4941" s="6">
        <f>VLOOKUP(F4941,Analysis!$F$1:$G$5,2,FALSE)</f>
        <v>2440.2966694490838</v>
      </c>
      <c r="K4941">
        <f t="shared" si="308"/>
        <v>1318.65</v>
      </c>
      <c r="L4941">
        <f t="shared" si="309"/>
        <v>1318.66</v>
      </c>
      <c r="M4941">
        <f t="shared" si="310"/>
        <v>1318.66</v>
      </c>
      <c r="N4941" s="5" t="str">
        <f t="shared" si="311"/>
        <v>December 2023</v>
      </c>
    </row>
    <row r="4942" spans="1:14" x14ac:dyDescent="0.25">
      <c r="A4942" s="1">
        <v>45281</v>
      </c>
      <c r="B4942" t="s">
        <v>4341</v>
      </c>
      <c r="C4942">
        <v>97</v>
      </c>
      <c r="D4942" t="s">
        <v>21</v>
      </c>
      <c r="E4942" t="s">
        <v>10</v>
      </c>
      <c r="F4942" t="s">
        <v>29</v>
      </c>
      <c r="G4942" t="s">
        <v>36</v>
      </c>
      <c r="H4942">
        <v>244.53</v>
      </c>
      <c r="I4942" s="8" t="str" cm="1">
        <f t="array" ref="I4942">_xlfn.IFS(C4942&lt;=15,"Children and Young Adolescents", C4942&gt;64, "Seniors", TRUE, "Working Age")</f>
        <v>Seniors</v>
      </c>
      <c r="J4942" s="6">
        <f>VLOOKUP(F4942,Analysis!$F$1:$G$5,2,FALSE)</f>
        <v>2496.7676064256989</v>
      </c>
      <c r="K4942">
        <f t="shared" si="308"/>
        <v>268.98</v>
      </c>
      <c r="L4942">
        <f t="shared" si="309"/>
        <v>268.99</v>
      </c>
      <c r="M4942">
        <f t="shared" si="310"/>
        <v>268.98</v>
      </c>
      <c r="N4942" s="5" t="str">
        <f t="shared" si="311"/>
        <v>December 2023</v>
      </c>
    </row>
    <row r="4943" spans="1:14" x14ac:dyDescent="0.25">
      <c r="A4943" s="1">
        <v>45281</v>
      </c>
      <c r="B4943" t="s">
        <v>2957</v>
      </c>
      <c r="C4943">
        <v>31</v>
      </c>
      <c r="D4943" t="s">
        <v>21</v>
      </c>
      <c r="E4943" t="s">
        <v>10</v>
      </c>
      <c r="F4943" t="s">
        <v>23</v>
      </c>
      <c r="G4943" t="s">
        <v>39</v>
      </c>
      <c r="H4943">
        <v>4203.08</v>
      </c>
      <c r="I4943" s="8" t="str" cm="1">
        <f t="array" ref="I4943">_xlfn.IFS(C4943&lt;=15,"Children and Young Adolescents", C4943&gt;64, "Seniors", TRUE, "Working Age")</f>
        <v>Working Age</v>
      </c>
      <c r="J4943" s="6">
        <f>VLOOKUP(F4943,Analysis!$F$1:$G$5,2,FALSE)</f>
        <v>2440.2966694490838</v>
      </c>
      <c r="K4943">
        <f t="shared" si="308"/>
        <v>4623.38</v>
      </c>
      <c r="L4943">
        <f t="shared" si="309"/>
        <v>4623.3900000000003</v>
      </c>
      <c r="M4943">
        <f t="shared" si="310"/>
        <v>4623.3900000000003</v>
      </c>
      <c r="N4943" s="5" t="str">
        <f t="shared" si="311"/>
        <v>December 2023</v>
      </c>
    </row>
    <row r="4944" spans="1:14" x14ac:dyDescent="0.25">
      <c r="A4944" s="1">
        <v>45281</v>
      </c>
      <c r="B4944" t="s">
        <v>672</v>
      </c>
      <c r="C4944">
        <v>83</v>
      </c>
      <c r="D4944" t="s">
        <v>9</v>
      </c>
      <c r="E4944" t="s">
        <v>19</v>
      </c>
      <c r="F4944" t="s">
        <v>29</v>
      </c>
      <c r="G4944" t="s">
        <v>27</v>
      </c>
      <c r="H4944">
        <v>337.62</v>
      </c>
      <c r="I4944" s="8" t="str" cm="1">
        <f t="array" ref="I4944">_xlfn.IFS(C4944&lt;=15,"Children and Young Adolescents", C4944&gt;64, "Seniors", TRUE, "Working Age")</f>
        <v>Seniors</v>
      </c>
      <c r="J4944" s="6">
        <f>VLOOKUP(F4944,Analysis!$F$1:$G$5,2,FALSE)</f>
        <v>2496.7676064256989</v>
      </c>
      <c r="K4944">
        <f t="shared" si="308"/>
        <v>371.38</v>
      </c>
      <c r="L4944">
        <f t="shared" si="309"/>
        <v>371.39</v>
      </c>
      <c r="M4944">
        <f t="shared" si="310"/>
        <v>371.38</v>
      </c>
      <c r="N4944" s="5" t="str">
        <f t="shared" si="311"/>
        <v>December 2023</v>
      </c>
    </row>
    <row r="4945" spans="1:14" x14ac:dyDescent="0.25">
      <c r="A4945" s="1">
        <v>45282</v>
      </c>
      <c r="B4945" t="s">
        <v>2341</v>
      </c>
      <c r="C4945">
        <v>84</v>
      </c>
      <c r="D4945" t="s">
        <v>21</v>
      </c>
      <c r="E4945" t="s">
        <v>5032</v>
      </c>
      <c r="F4945" t="s">
        <v>29</v>
      </c>
      <c r="G4945" t="s">
        <v>17</v>
      </c>
      <c r="H4945">
        <v>4103.62</v>
      </c>
      <c r="I4945" s="8" t="str" cm="1">
        <f t="array" ref="I4945">_xlfn.IFS(C4945&lt;=15,"Children and Young Adolescents", C4945&gt;64, "Seniors", TRUE, "Working Age")</f>
        <v>Seniors</v>
      </c>
      <c r="J4945" s="6">
        <f>VLOOKUP(F4945,Analysis!$F$1:$G$5,2,FALSE)</f>
        <v>2496.7676064256989</v>
      </c>
      <c r="K4945">
        <f t="shared" si="308"/>
        <v>4513.9799999999996</v>
      </c>
      <c r="L4945">
        <f t="shared" si="309"/>
        <v>4513.99</v>
      </c>
      <c r="M4945">
        <f t="shared" si="310"/>
        <v>4513.9799999999996</v>
      </c>
      <c r="N4945" s="5" t="str">
        <f t="shared" si="311"/>
        <v>December 2023</v>
      </c>
    </row>
    <row r="4946" spans="1:14" x14ac:dyDescent="0.25">
      <c r="A4946" s="1">
        <v>45282</v>
      </c>
      <c r="B4946" t="s">
        <v>2209</v>
      </c>
      <c r="C4946">
        <v>67</v>
      </c>
      <c r="D4946" t="s">
        <v>9</v>
      </c>
      <c r="E4946" t="s">
        <v>15</v>
      </c>
      <c r="F4946" t="s">
        <v>16</v>
      </c>
      <c r="G4946" t="s">
        <v>27</v>
      </c>
      <c r="H4946">
        <v>392.8</v>
      </c>
      <c r="I4946" s="8" t="str" cm="1">
        <f t="array" ref="I4946">_xlfn.IFS(C4946&lt;=15,"Children and Young Adolescents", C4946&gt;64, "Seniors", TRUE, "Working Age")</f>
        <v>Seniors</v>
      </c>
      <c r="J4946" s="6">
        <f>VLOOKUP(F4946,Analysis!$F$1:$G$5,2,FALSE)</f>
        <v>2509.1716796874912</v>
      </c>
      <c r="K4946">
        <f t="shared" si="308"/>
        <v>432.08</v>
      </c>
      <c r="L4946">
        <f t="shared" si="309"/>
        <v>432.08</v>
      </c>
      <c r="M4946">
        <f t="shared" si="310"/>
        <v>432.08</v>
      </c>
      <c r="N4946" s="5" t="str">
        <f t="shared" si="311"/>
        <v>December 2023</v>
      </c>
    </row>
    <row r="4947" spans="1:14" x14ac:dyDescent="0.25">
      <c r="A4947" s="1">
        <v>45282</v>
      </c>
      <c r="B4947" t="s">
        <v>2235</v>
      </c>
      <c r="C4947">
        <v>77</v>
      </c>
      <c r="D4947" t="s">
        <v>21</v>
      </c>
      <c r="E4947" t="s">
        <v>22</v>
      </c>
      <c r="F4947" t="s">
        <v>23</v>
      </c>
      <c r="G4947" t="s">
        <v>36</v>
      </c>
      <c r="H4947">
        <v>3391.84</v>
      </c>
      <c r="I4947" s="8" t="str" cm="1">
        <f t="array" ref="I4947">_xlfn.IFS(C4947&lt;=15,"Children and Young Adolescents", C4947&gt;64, "Seniors", TRUE, "Working Age")</f>
        <v>Seniors</v>
      </c>
      <c r="J4947" s="6">
        <f>VLOOKUP(F4947,Analysis!$F$1:$G$5,2,FALSE)</f>
        <v>2440.2966694490838</v>
      </c>
      <c r="K4947">
        <f t="shared" si="308"/>
        <v>3731.02</v>
      </c>
      <c r="L4947">
        <f t="shared" si="309"/>
        <v>3731.03</v>
      </c>
      <c r="M4947">
        <f t="shared" si="310"/>
        <v>3731.02</v>
      </c>
      <c r="N4947" s="5" t="str">
        <f t="shared" si="311"/>
        <v>December 2023</v>
      </c>
    </row>
    <row r="4948" spans="1:14" x14ac:dyDescent="0.25">
      <c r="A4948" s="1">
        <v>45283</v>
      </c>
      <c r="B4948" t="s">
        <v>159</v>
      </c>
      <c r="C4948">
        <v>51</v>
      </c>
      <c r="D4948" t="s">
        <v>21</v>
      </c>
      <c r="E4948" t="s">
        <v>22</v>
      </c>
      <c r="F4948" t="s">
        <v>11</v>
      </c>
      <c r="G4948" t="s">
        <v>39</v>
      </c>
      <c r="H4948">
        <v>1257.78</v>
      </c>
      <c r="I4948" s="8" t="str" cm="1">
        <f t="array" ref="I4948">_xlfn.IFS(C4948&lt;=15,"Children and Young Adolescents", C4948&gt;64, "Seniors", TRUE, "Working Age")</f>
        <v>Working Age</v>
      </c>
      <c r="J4948" s="6">
        <f>VLOOKUP(F4948,Analysis!$F$1:$G$5,2,FALSE)</f>
        <v>2503.6022787783854</v>
      </c>
      <c r="K4948">
        <f t="shared" si="308"/>
        <v>1383.55</v>
      </c>
      <c r="L4948">
        <f t="shared" si="309"/>
        <v>1383.56</v>
      </c>
      <c r="M4948">
        <f t="shared" si="310"/>
        <v>1383.56</v>
      </c>
      <c r="N4948" s="5" t="str">
        <f t="shared" si="311"/>
        <v>December 2023</v>
      </c>
    </row>
    <row r="4949" spans="1:14" x14ac:dyDescent="0.25">
      <c r="A4949" s="1">
        <v>45283</v>
      </c>
      <c r="B4949" t="s">
        <v>4155</v>
      </c>
      <c r="C4949">
        <v>85</v>
      </c>
      <c r="D4949" t="s">
        <v>14</v>
      </c>
      <c r="E4949" t="s">
        <v>15</v>
      </c>
      <c r="F4949" t="s">
        <v>29</v>
      </c>
      <c r="G4949" t="s">
        <v>36</v>
      </c>
      <c r="H4949">
        <v>1021.43</v>
      </c>
      <c r="I4949" s="8" t="str" cm="1">
        <f t="array" ref="I4949">_xlfn.IFS(C4949&lt;=15,"Children and Young Adolescents", C4949&gt;64, "Seniors", TRUE, "Working Age")</f>
        <v>Seniors</v>
      </c>
      <c r="J4949" s="6">
        <f>VLOOKUP(F4949,Analysis!$F$1:$G$5,2,FALSE)</f>
        <v>2496.7676064256989</v>
      </c>
      <c r="K4949">
        <f t="shared" si="308"/>
        <v>1123.57</v>
      </c>
      <c r="L4949">
        <f t="shared" si="309"/>
        <v>1123.58</v>
      </c>
      <c r="M4949">
        <f t="shared" si="310"/>
        <v>1123.57</v>
      </c>
      <c r="N4949" s="5" t="str">
        <f t="shared" si="311"/>
        <v>December 2023</v>
      </c>
    </row>
    <row r="4950" spans="1:14" x14ac:dyDescent="0.25">
      <c r="A4950" s="1">
        <v>45283</v>
      </c>
      <c r="B4950" t="s">
        <v>1992</v>
      </c>
      <c r="C4950">
        <v>39</v>
      </c>
      <c r="D4950" t="s">
        <v>9</v>
      </c>
      <c r="E4950" t="s">
        <v>34</v>
      </c>
      <c r="F4950" t="s">
        <v>29</v>
      </c>
      <c r="G4950" t="s">
        <v>12</v>
      </c>
      <c r="H4950">
        <v>3115.58</v>
      </c>
      <c r="I4950" s="8" t="str" cm="1">
        <f t="array" ref="I4950">_xlfn.IFS(C4950&lt;=15,"Children and Young Adolescents", C4950&gt;64, "Seniors", TRUE, "Working Age")</f>
        <v>Working Age</v>
      </c>
      <c r="J4950" s="6">
        <f>VLOOKUP(F4950,Analysis!$F$1:$G$5,2,FALSE)</f>
        <v>2496.7676064256989</v>
      </c>
      <c r="K4950">
        <f t="shared" si="308"/>
        <v>3427.13</v>
      </c>
      <c r="L4950">
        <f t="shared" si="309"/>
        <v>3427.1400000000003</v>
      </c>
      <c r="M4950">
        <f t="shared" si="310"/>
        <v>3427.14</v>
      </c>
      <c r="N4950" s="5" t="str">
        <f t="shared" si="311"/>
        <v>December 2023</v>
      </c>
    </row>
    <row r="4951" spans="1:14" x14ac:dyDescent="0.25">
      <c r="A4951" s="1">
        <v>45283</v>
      </c>
      <c r="B4951" t="s">
        <v>655</v>
      </c>
      <c r="C4951">
        <v>73</v>
      </c>
      <c r="D4951" t="s">
        <v>21</v>
      </c>
      <c r="E4951" t="s">
        <v>15</v>
      </c>
      <c r="F4951" t="s">
        <v>16</v>
      </c>
      <c r="G4951" t="s">
        <v>12</v>
      </c>
      <c r="H4951">
        <v>4491.41</v>
      </c>
      <c r="I4951" s="8" t="str" cm="1">
        <f t="array" ref="I4951">_xlfn.IFS(C4951&lt;=15,"Children and Young Adolescents", C4951&gt;64, "Seniors", TRUE, "Working Age")</f>
        <v>Seniors</v>
      </c>
      <c r="J4951" s="6">
        <f>VLOOKUP(F4951,Analysis!$F$1:$G$5,2,FALSE)</f>
        <v>2509.1716796874912</v>
      </c>
      <c r="K4951">
        <f t="shared" si="308"/>
        <v>4940.55</v>
      </c>
      <c r="L4951">
        <f t="shared" si="309"/>
        <v>4940.5600000000004</v>
      </c>
      <c r="M4951">
        <f t="shared" si="310"/>
        <v>4940.55</v>
      </c>
      <c r="N4951" s="5" t="str">
        <f t="shared" si="311"/>
        <v>December 2023</v>
      </c>
    </row>
    <row r="4952" spans="1:14" x14ac:dyDescent="0.25">
      <c r="A4952" s="1">
        <v>45283</v>
      </c>
      <c r="B4952" t="s">
        <v>3464</v>
      </c>
      <c r="C4952">
        <v>64</v>
      </c>
      <c r="D4952" t="s">
        <v>9</v>
      </c>
      <c r="E4952" t="s">
        <v>5032</v>
      </c>
      <c r="F4952" t="s">
        <v>29</v>
      </c>
      <c r="G4952" t="s">
        <v>36</v>
      </c>
      <c r="H4952">
        <v>2879.42</v>
      </c>
      <c r="I4952" s="8" t="str" cm="1">
        <f t="array" ref="I4952">_xlfn.IFS(C4952&lt;=15,"Children and Young Adolescents", C4952&gt;64, "Seniors", TRUE, "Working Age")</f>
        <v>Working Age</v>
      </c>
      <c r="J4952" s="6">
        <f>VLOOKUP(F4952,Analysis!$F$1:$G$5,2,FALSE)</f>
        <v>2496.7676064256989</v>
      </c>
      <c r="K4952">
        <f t="shared" si="308"/>
        <v>3167.36</v>
      </c>
      <c r="L4952">
        <f t="shared" si="309"/>
        <v>3167.3700000000003</v>
      </c>
      <c r="M4952">
        <f t="shared" si="310"/>
        <v>3167.36</v>
      </c>
      <c r="N4952" s="5" t="str">
        <f t="shared" si="311"/>
        <v>December 2023</v>
      </c>
    </row>
    <row r="4953" spans="1:14" x14ac:dyDescent="0.25">
      <c r="A4953" s="1">
        <v>45283</v>
      </c>
      <c r="B4953" t="s">
        <v>1183</v>
      </c>
      <c r="C4953">
        <v>92</v>
      </c>
      <c r="D4953" t="s">
        <v>9</v>
      </c>
      <c r="E4953" t="s">
        <v>15</v>
      </c>
      <c r="F4953" t="s">
        <v>29</v>
      </c>
      <c r="G4953" t="s">
        <v>12</v>
      </c>
      <c r="H4953">
        <v>3430.62</v>
      </c>
      <c r="I4953" s="8" t="str" cm="1">
        <f t="array" ref="I4953">_xlfn.IFS(C4953&lt;=15,"Children and Young Adolescents", C4953&gt;64, "Seniors", TRUE, "Working Age")</f>
        <v>Seniors</v>
      </c>
      <c r="J4953" s="6">
        <f>VLOOKUP(F4953,Analysis!$F$1:$G$5,2,FALSE)</f>
        <v>2496.7676064256989</v>
      </c>
      <c r="K4953">
        <f t="shared" si="308"/>
        <v>3773.68</v>
      </c>
      <c r="L4953">
        <f t="shared" si="309"/>
        <v>3773.69</v>
      </c>
      <c r="M4953">
        <f t="shared" si="310"/>
        <v>3773.68</v>
      </c>
      <c r="N4953" s="5" t="str">
        <f t="shared" si="311"/>
        <v>December 2023</v>
      </c>
    </row>
    <row r="4954" spans="1:14" x14ac:dyDescent="0.25">
      <c r="A4954" s="1">
        <v>45283</v>
      </c>
      <c r="B4954" t="s">
        <v>4951</v>
      </c>
      <c r="C4954">
        <v>9</v>
      </c>
      <c r="D4954" t="s">
        <v>14</v>
      </c>
      <c r="E4954" t="s">
        <v>32</v>
      </c>
      <c r="F4954" t="s">
        <v>16</v>
      </c>
      <c r="G4954" t="s">
        <v>5033</v>
      </c>
      <c r="H4954">
        <v>3282.61</v>
      </c>
      <c r="I4954" s="8" t="str" cm="1">
        <f t="array" ref="I4954">_xlfn.IFS(C4954&lt;=15,"Children and Young Adolescents", C4954&gt;64, "Seniors", TRUE, "Working Age")</f>
        <v>Children and Young Adolescents</v>
      </c>
      <c r="J4954" s="6">
        <f>VLOOKUP(F4954,Analysis!$F$1:$G$5,2,FALSE)</f>
        <v>2509.1716796874912</v>
      </c>
      <c r="K4954">
        <f t="shared" si="308"/>
        <v>3610.87</v>
      </c>
      <c r="L4954">
        <f t="shared" si="309"/>
        <v>3610.88</v>
      </c>
      <c r="M4954">
        <f t="shared" si="310"/>
        <v>3610.87</v>
      </c>
      <c r="N4954" s="5" t="str">
        <f t="shared" si="311"/>
        <v>December 2023</v>
      </c>
    </row>
    <row r="4955" spans="1:14" x14ac:dyDescent="0.25">
      <c r="A4955" s="1">
        <v>45283</v>
      </c>
      <c r="B4955" t="s">
        <v>4605</v>
      </c>
      <c r="C4955">
        <v>18</v>
      </c>
      <c r="D4955" t="s">
        <v>21</v>
      </c>
      <c r="E4955" t="s">
        <v>25</v>
      </c>
      <c r="F4955" t="s">
        <v>11</v>
      </c>
      <c r="G4955" t="s">
        <v>39</v>
      </c>
      <c r="H4955">
        <v>193.79</v>
      </c>
      <c r="I4955" s="8" t="str" cm="1">
        <f t="array" ref="I4955">_xlfn.IFS(C4955&lt;=15,"Children and Young Adolescents", C4955&gt;64, "Seniors", TRUE, "Working Age")</f>
        <v>Working Age</v>
      </c>
      <c r="J4955" s="6">
        <f>VLOOKUP(F4955,Analysis!$F$1:$G$5,2,FALSE)</f>
        <v>2503.6022787783854</v>
      </c>
      <c r="K4955">
        <f t="shared" si="308"/>
        <v>213.16</v>
      </c>
      <c r="L4955">
        <f t="shared" si="309"/>
        <v>213.17</v>
      </c>
      <c r="M4955">
        <f t="shared" si="310"/>
        <v>213.17</v>
      </c>
      <c r="N4955" s="5" t="str">
        <f t="shared" si="311"/>
        <v>December 2023</v>
      </c>
    </row>
    <row r="4956" spans="1:14" x14ac:dyDescent="0.25">
      <c r="A4956" s="1">
        <v>45284</v>
      </c>
      <c r="B4956" t="s">
        <v>198</v>
      </c>
      <c r="C4956">
        <v>89</v>
      </c>
      <c r="D4956" t="s">
        <v>14</v>
      </c>
      <c r="E4956" t="s">
        <v>34</v>
      </c>
      <c r="F4956" t="s">
        <v>29</v>
      </c>
      <c r="G4956" t="s">
        <v>5033</v>
      </c>
      <c r="H4956">
        <v>2241.34</v>
      </c>
      <c r="I4956" s="8" t="str" cm="1">
        <f t="array" ref="I4956">_xlfn.IFS(C4956&lt;=15,"Children and Young Adolescents", C4956&gt;64, "Seniors", TRUE, "Working Age")</f>
        <v>Seniors</v>
      </c>
      <c r="J4956" s="6">
        <f>VLOOKUP(F4956,Analysis!$F$1:$G$5,2,FALSE)</f>
        <v>2496.7676064256989</v>
      </c>
      <c r="K4956">
        <f t="shared" si="308"/>
        <v>2465.4699999999998</v>
      </c>
      <c r="L4956">
        <f t="shared" si="309"/>
        <v>2465.48</v>
      </c>
      <c r="M4956">
        <f t="shared" si="310"/>
        <v>2465.4699999999998</v>
      </c>
      <c r="N4956" s="5" t="str">
        <f t="shared" si="311"/>
        <v>December 2023</v>
      </c>
    </row>
    <row r="4957" spans="1:14" x14ac:dyDescent="0.25">
      <c r="A4957" s="1">
        <v>45284</v>
      </c>
      <c r="B4957" t="s">
        <v>4143</v>
      </c>
      <c r="C4957">
        <v>26</v>
      </c>
      <c r="D4957" t="s">
        <v>21</v>
      </c>
      <c r="E4957" t="s">
        <v>34</v>
      </c>
      <c r="F4957" t="s">
        <v>29</v>
      </c>
      <c r="G4957" t="s">
        <v>27</v>
      </c>
      <c r="H4957">
        <v>2119.5100000000002</v>
      </c>
      <c r="I4957" s="8" t="str" cm="1">
        <f t="array" ref="I4957">_xlfn.IFS(C4957&lt;=15,"Children and Young Adolescents", C4957&gt;64, "Seniors", TRUE, "Working Age")</f>
        <v>Working Age</v>
      </c>
      <c r="J4957" s="6">
        <f>VLOOKUP(F4957,Analysis!$F$1:$G$5,2,FALSE)</f>
        <v>2496.7676064256989</v>
      </c>
      <c r="K4957">
        <f t="shared" si="308"/>
        <v>2331.46</v>
      </c>
      <c r="L4957">
        <f t="shared" si="309"/>
        <v>2331.4700000000003</v>
      </c>
      <c r="M4957">
        <f t="shared" si="310"/>
        <v>2331.46</v>
      </c>
      <c r="N4957" s="5" t="str">
        <f t="shared" si="311"/>
        <v>December 2023</v>
      </c>
    </row>
    <row r="4958" spans="1:14" x14ac:dyDescent="0.25">
      <c r="A4958" s="1">
        <v>45284</v>
      </c>
      <c r="B4958" t="s">
        <v>944</v>
      </c>
      <c r="C4958">
        <v>18</v>
      </c>
      <c r="D4958" t="s">
        <v>21</v>
      </c>
      <c r="E4958" t="s">
        <v>22</v>
      </c>
      <c r="F4958" t="s">
        <v>29</v>
      </c>
      <c r="G4958" t="s">
        <v>36</v>
      </c>
      <c r="H4958">
        <v>4272.46</v>
      </c>
      <c r="I4958" s="8" t="str" cm="1">
        <f t="array" ref="I4958">_xlfn.IFS(C4958&lt;=15,"Children and Young Adolescents", C4958&gt;64, "Seniors", TRUE, "Working Age")</f>
        <v>Working Age</v>
      </c>
      <c r="J4958" s="6">
        <f>VLOOKUP(F4958,Analysis!$F$1:$G$5,2,FALSE)</f>
        <v>2496.7676064256989</v>
      </c>
      <c r="K4958">
        <f t="shared" si="308"/>
        <v>4699.7</v>
      </c>
      <c r="L4958">
        <f t="shared" si="309"/>
        <v>4699.71</v>
      </c>
      <c r="M4958">
        <f t="shared" si="310"/>
        <v>4699.71</v>
      </c>
      <c r="N4958" s="5" t="str">
        <f t="shared" si="311"/>
        <v>December 2023</v>
      </c>
    </row>
    <row r="4959" spans="1:14" x14ac:dyDescent="0.25">
      <c r="A4959" s="1">
        <v>45284</v>
      </c>
      <c r="B4959" t="s">
        <v>1198</v>
      </c>
      <c r="C4959">
        <v>85</v>
      </c>
      <c r="D4959" t="s">
        <v>21</v>
      </c>
      <c r="E4959" t="s">
        <v>34</v>
      </c>
      <c r="F4959" t="s">
        <v>23</v>
      </c>
      <c r="G4959" t="s">
        <v>36</v>
      </c>
      <c r="H4959">
        <v>2908.2</v>
      </c>
      <c r="I4959" s="8" t="str" cm="1">
        <f t="array" ref="I4959">_xlfn.IFS(C4959&lt;=15,"Children and Young Adolescents", C4959&gt;64, "Seniors", TRUE, "Working Age")</f>
        <v>Seniors</v>
      </c>
      <c r="J4959" s="6">
        <f>VLOOKUP(F4959,Analysis!$F$1:$G$5,2,FALSE)</f>
        <v>2440.2966694490838</v>
      </c>
      <c r="K4959">
        <f t="shared" si="308"/>
        <v>3199.02</v>
      </c>
      <c r="L4959">
        <f t="shared" si="309"/>
        <v>3199.02</v>
      </c>
      <c r="M4959">
        <f t="shared" si="310"/>
        <v>3199.02</v>
      </c>
      <c r="N4959" s="5" t="str">
        <f t="shared" si="311"/>
        <v>December 2023</v>
      </c>
    </row>
    <row r="4960" spans="1:14" x14ac:dyDescent="0.25">
      <c r="A4960" s="1">
        <v>45284</v>
      </c>
      <c r="B4960" t="s">
        <v>4697</v>
      </c>
      <c r="C4960">
        <v>87</v>
      </c>
      <c r="D4960" t="s">
        <v>9</v>
      </c>
      <c r="E4960" t="s">
        <v>34</v>
      </c>
      <c r="F4960" t="s">
        <v>29</v>
      </c>
      <c r="G4960" t="s">
        <v>27</v>
      </c>
      <c r="H4960">
        <v>2886.35</v>
      </c>
      <c r="I4960" s="8" t="str" cm="1">
        <f t="array" ref="I4960">_xlfn.IFS(C4960&lt;=15,"Children and Young Adolescents", C4960&gt;64, "Seniors", TRUE, "Working Age")</f>
        <v>Seniors</v>
      </c>
      <c r="J4960" s="6">
        <f>VLOOKUP(F4960,Analysis!$F$1:$G$5,2,FALSE)</f>
        <v>2496.7676064256989</v>
      </c>
      <c r="K4960">
        <f t="shared" si="308"/>
        <v>3174.98</v>
      </c>
      <c r="L4960">
        <f t="shared" si="309"/>
        <v>3174.9900000000002</v>
      </c>
      <c r="M4960">
        <f t="shared" si="310"/>
        <v>3174.99</v>
      </c>
      <c r="N4960" s="5" t="str">
        <f t="shared" si="311"/>
        <v>December 2023</v>
      </c>
    </row>
    <row r="4961" spans="1:14" x14ac:dyDescent="0.25">
      <c r="A4961" s="1">
        <v>45284</v>
      </c>
      <c r="B4961" t="s">
        <v>2987</v>
      </c>
      <c r="C4961">
        <v>86</v>
      </c>
      <c r="D4961" t="s">
        <v>9</v>
      </c>
      <c r="E4961" t="s">
        <v>19</v>
      </c>
      <c r="F4961" t="s">
        <v>11</v>
      </c>
      <c r="G4961" t="s">
        <v>12</v>
      </c>
      <c r="H4961">
        <v>141.08000000000001</v>
      </c>
      <c r="I4961" s="8" t="str" cm="1">
        <f t="array" ref="I4961">_xlfn.IFS(C4961&lt;=15,"Children and Young Adolescents", C4961&gt;64, "Seniors", TRUE, "Working Age")</f>
        <v>Seniors</v>
      </c>
      <c r="J4961" s="6">
        <f>VLOOKUP(F4961,Analysis!$F$1:$G$5,2,FALSE)</f>
        <v>2503.6022787783854</v>
      </c>
      <c r="K4961">
        <f t="shared" si="308"/>
        <v>155.18</v>
      </c>
      <c r="L4961">
        <f t="shared" si="309"/>
        <v>155.19</v>
      </c>
      <c r="M4961">
        <f t="shared" si="310"/>
        <v>155.19</v>
      </c>
      <c r="N4961" s="5" t="str">
        <f t="shared" si="311"/>
        <v>December 2023</v>
      </c>
    </row>
    <row r="4962" spans="1:14" x14ac:dyDescent="0.25">
      <c r="A4962" s="1">
        <v>45285</v>
      </c>
      <c r="B4962" t="s">
        <v>2752</v>
      </c>
      <c r="C4962">
        <v>66</v>
      </c>
      <c r="D4962" t="s">
        <v>21</v>
      </c>
      <c r="E4962" t="s">
        <v>15</v>
      </c>
      <c r="F4962" t="s">
        <v>23</v>
      </c>
      <c r="G4962" t="s">
        <v>39</v>
      </c>
      <c r="H4962">
        <v>4695.3999999999996</v>
      </c>
      <c r="I4962" s="8" t="str" cm="1">
        <f t="array" ref="I4962">_xlfn.IFS(C4962&lt;=15,"Children and Young Adolescents", C4962&gt;64, "Seniors", TRUE, "Working Age")</f>
        <v>Seniors</v>
      </c>
      <c r="J4962" s="6">
        <f>VLOOKUP(F4962,Analysis!$F$1:$G$5,2,FALSE)</f>
        <v>2440.2966694490838</v>
      </c>
      <c r="K4962">
        <f t="shared" si="308"/>
        <v>5164.9399999999996</v>
      </c>
      <c r="L4962">
        <f t="shared" si="309"/>
        <v>5164.9399999999996</v>
      </c>
      <c r="M4962">
        <f t="shared" si="310"/>
        <v>5164.9399999999996</v>
      </c>
      <c r="N4962" s="5" t="str">
        <f t="shared" si="311"/>
        <v>December 2023</v>
      </c>
    </row>
    <row r="4963" spans="1:14" x14ac:dyDescent="0.25">
      <c r="A4963" s="1">
        <v>45285</v>
      </c>
      <c r="B4963" t="s">
        <v>705</v>
      </c>
      <c r="C4963">
        <v>68</v>
      </c>
      <c r="D4963" t="s">
        <v>21</v>
      </c>
      <c r="E4963" t="s">
        <v>19</v>
      </c>
      <c r="F4963" t="s">
        <v>11</v>
      </c>
      <c r="G4963" t="s">
        <v>17</v>
      </c>
      <c r="H4963" s="6">
        <v>4280.42</v>
      </c>
      <c r="I4963" s="8" t="str" cm="1">
        <f t="array" ref="I4963">_xlfn.IFS(C4963&lt;=15,"Children and Young Adolescents", C4963&gt;64, "Seniors", TRUE, "Working Age")</f>
        <v>Seniors</v>
      </c>
      <c r="J4963" s="6">
        <f>VLOOKUP(F4963,Analysis!$F$1:$G$5,2,FALSE)</f>
        <v>2503.6022787783854</v>
      </c>
      <c r="K4963">
        <f t="shared" si="308"/>
        <v>4708.46</v>
      </c>
      <c r="L4963">
        <f t="shared" si="309"/>
        <v>4708.47</v>
      </c>
      <c r="M4963">
        <f t="shared" si="310"/>
        <v>4708.46</v>
      </c>
      <c r="N4963" s="5" t="str">
        <f t="shared" si="311"/>
        <v>December 2023</v>
      </c>
    </row>
    <row r="4964" spans="1:14" x14ac:dyDescent="0.25">
      <c r="A4964" s="1">
        <v>45285</v>
      </c>
      <c r="B4964" t="s">
        <v>1605</v>
      </c>
      <c r="C4964">
        <v>12</v>
      </c>
      <c r="D4964" t="s">
        <v>14</v>
      </c>
      <c r="E4964" t="s">
        <v>5032</v>
      </c>
      <c r="F4964" t="s">
        <v>23</v>
      </c>
      <c r="G4964" t="s">
        <v>27</v>
      </c>
      <c r="H4964" s="6">
        <v>2502.1799999999998</v>
      </c>
      <c r="I4964" s="8" t="str" cm="1">
        <f t="array" ref="I4964">_xlfn.IFS(C4964&lt;=15,"Children and Young Adolescents", C4964&gt;64, "Seniors", TRUE, "Working Age")</f>
        <v>Children and Young Adolescents</v>
      </c>
      <c r="J4964" s="6">
        <f>VLOOKUP(F4964,Analysis!$F$1:$G$5,2,FALSE)</f>
        <v>2440.2966694490838</v>
      </c>
      <c r="K4964">
        <f t="shared" si="308"/>
        <v>2752.39</v>
      </c>
      <c r="L4964">
        <f t="shared" si="309"/>
        <v>2752.4</v>
      </c>
      <c r="M4964">
        <f t="shared" si="310"/>
        <v>2752.4</v>
      </c>
      <c r="N4964" s="5" t="str">
        <f t="shared" si="311"/>
        <v>December 2023</v>
      </c>
    </row>
    <row r="4965" spans="1:14" x14ac:dyDescent="0.25">
      <c r="A4965" s="1">
        <v>45286</v>
      </c>
      <c r="B4965" t="s">
        <v>2591</v>
      </c>
      <c r="C4965">
        <v>84</v>
      </c>
      <c r="D4965" t="s">
        <v>14</v>
      </c>
      <c r="E4965" t="s">
        <v>10</v>
      </c>
      <c r="F4965" t="s">
        <v>29</v>
      </c>
      <c r="G4965" t="s">
        <v>12</v>
      </c>
      <c r="H4965" s="6">
        <v>1388.67</v>
      </c>
      <c r="I4965" s="8" t="str" cm="1">
        <f t="array" ref="I4965">_xlfn.IFS(C4965&lt;=15,"Children and Young Adolescents", C4965&gt;64, "Seniors", TRUE, "Working Age")</f>
        <v>Seniors</v>
      </c>
      <c r="J4965" s="6">
        <f>VLOOKUP(F4965,Analysis!$F$1:$G$5,2,FALSE)</f>
        <v>2496.7676064256989</v>
      </c>
      <c r="K4965">
        <f t="shared" si="308"/>
        <v>1527.53</v>
      </c>
      <c r="L4965">
        <f t="shared" si="309"/>
        <v>1527.54</v>
      </c>
      <c r="M4965">
        <f t="shared" si="310"/>
        <v>1527.54</v>
      </c>
      <c r="N4965" s="5" t="str">
        <f t="shared" si="311"/>
        <v>December 2023</v>
      </c>
    </row>
    <row r="4966" spans="1:14" x14ac:dyDescent="0.25">
      <c r="A4966" s="1">
        <v>45286</v>
      </c>
      <c r="B4966" t="s">
        <v>4209</v>
      </c>
      <c r="C4966">
        <v>98</v>
      </c>
      <c r="D4966" t="s">
        <v>21</v>
      </c>
      <c r="E4966" t="s">
        <v>32</v>
      </c>
      <c r="F4966" t="s">
        <v>16</v>
      </c>
      <c r="G4966" t="s">
        <v>12</v>
      </c>
      <c r="H4966" s="6">
        <v>2327.23</v>
      </c>
      <c r="I4966" s="8" t="str" cm="1">
        <f t="array" ref="I4966">_xlfn.IFS(C4966&lt;=15,"Children and Young Adolescents", C4966&gt;64, "Seniors", TRUE, "Working Age")</f>
        <v>Seniors</v>
      </c>
      <c r="J4966" s="6">
        <f>VLOOKUP(F4966,Analysis!$F$1:$G$5,2,FALSE)</f>
        <v>2509.1716796874912</v>
      </c>
      <c r="K4966">
        <f t="shared" si="308"/>
        <v>2559.9499999999998</v>
      </c>
      <c r="L4966">
        <f t="shared" si="309"/>
        <v>2559.96</v>
      </c>
      <c r="M4966">
        <f t="shared" si="310"/>
        <v>2559.9499999999998</v>
      </c>
      <c r="N4966" s="5" t="str">
        <f t="shared" si="311"/>
        <v>December 2023</v>
      </c>
    </row>
    <row r="4967" spans="1:14" x14ac:dyDescent="0.25">
      <c r="A4967" s="1">
        <v>45286</v>
      </c>
      <c r="B4967" t="s">
        <v>1205</v>
      </c>
      <c r="C4967">
        <v>68</v>
      </c>
      <c r="D4967" t="s">
        <v>14</v>
      </c>
      <c r="E4967" t="s">
        <v>32</v>
      </c>
      <c r="F4967" t="s">
        <v>29</v>
      </c>
      <c r="G4967" t="s">
        <v>12</v>
      </c>
      <c r="H4967" s="6">
        <v>2587.58</v>
      </c>
      <c r="I4967" s="8" t="str" cm="1">
        <f t="array" ref="I4967">_xlfn.IFS(C4967&lt;=15,"Children and Young Adolescents", C4967&gt;64, "Seniors", TRUE, "Working Age")</f>
        <v>Seniors</v>
      </c>
      <c r="J4967" s="6">
        <f>VLOOKUP(F4967,Analysis!$F$1:$G$5,2,FALSE)</f>
        <v>2496.7676064256989</v>
      </c>
      <c r="K4967">
        <f t="shared" si="308"/>
        <v>2846.33</v>
      </c>
      <c r="L4967">
        <f t="shared" si="309"/>
        <v>2846.34</v>
      </c>
      <c r="M4967">
        <f t="shared" si="310"/>
        <v>2846.34</v>
      </c>
      <c r="N4967" s="5" t="str">
        <f t="shared" si="311"/>
        <v>December 2023</v>
      </c>
    </row>
    <row r="4968" spans="1:14" x14ac:dyDescent="0.25">
      <c r="A4968" s="1">
        <v>45286</v>
      </c>
      <c r="B4968" t="s">
        <v>133</v>
      </c>
      <c r="C4968">
        <v>42</v>
      </c>
      <c r="D4968" t="s">
        <v>9</v>
      </c>
      <c r="E4968" t="s">
        <v>15</v>
      </c>
      <c r="F4968" t="s">
        <v>23</v>
      </c>
      <c r="G4968" t="s">
        <v>39</v>
      </c>
      <c r="H4968" s="6">
        <v>31.96</v>
      </c>
      <c r="I4968" s="8" t="str" cm="1">
        <f t="array" ref="I4968">_xlfn.IFS(C4968&lt;=15,"Children and Young Adolescents", C4968&gt;64, "Seniors", TRUE, "Working Age")</f>
        <v>Working Age</v>
      </c>
      <c r="J4968" s="6">
        <f>VLOOKUP(F4968,Analysis!$F$1:$G$5,2,FALSE)</f>
        <v>2440.2966694490838</v>
      </c>
      <c r="K4968">
        <f t="shared" si="308"/>
        <v>35.15</v>
      </c>
      <c r="L4968">
        <f t="shared" si="309"/>
        <v>35.159999999999997</v>
      </c>
      <c r="M4968">
        <f t="shared" si="310"/>
        <v>35.159999999999997</v>
      </c>
      <c r="N4968" s="5" t="str">
        <f t="shared" si="311"/>
        <v>December 2023</v>
      </c>
    </row>
    <row r="4969" spans="1:14" x14ac:dyDescent="0.25">
      <c r="A4969" s="1">
        <v>45286</v>
      </c>
      <c r="B4969" t="s">
        <v>4003</v>
      </c>
      <c r="C4969">
        <v>71</v>
      </c>
      <c r="D4969" t="s">
        <v>9</v>
      </c>
      <c r="E4969" t="s">
        <v>25</v>
      </c>
      <c r="F4969" t="s">
        <v>11</v>
      </c>
      <c r="G4969" t="s">
        <v>12</v>
      </c>
      <c r="H4969" s="6">
        <v>3090.97</v>
      </c>
      <c r="I4969" s="8" t="str" cm="1">
        <f t="array" ref="I4969">_xlfn.IFS(C4969&lt;=15,"Children and Young Adolescents", C4969&gt;64, "Seniors", TRUE, "Working Age")</f>
        <v>Seniors</v>
      </c>
      <c r="J4969" s="6">
        <f>VLOOKUP(F4969,Analysis!$F$1:$G$5,2,FALSE)</f>
        <v>2503.6022787783854</v>
      </c>
      <c r="K4969">
        <f t="shared" si="308"/>
        <v>3400.06</v>
      </c>
      <c r="L4969">
        <f t="shared" si="309"/>
        <v>3400.07</v>
      </c>
      <c r="M4969">
        <f t="shared" si="310"/>
        <v>3400.07</v>
      </c>
      <c r="N4969" s="5" t="str">
        <f t="shared" si="311"/>
        <v>December 2023</v>
      </c>
    </row>
    <row r="4970" spans="1:14" x14ac:dyDescent="0.25">
      <c r="A4970" s="1">
        <v>45286</v>
      </c>
      <c r="B4970" t="s">
        <v>4831</v>
      </c>
      <c r="C4970">
        <v>84</v>
      </c>
      <c r="D4970" t="s">
        <v>14</v>
      </c>
      <c r="E4970" t="s">
        <v>32</v>
      </c>
      <c r="F4970" t="s">
        <v>11</v>
      </c>
      <c r="G4970" t="s">
        <v>39</v>
      </c>
      <c r="H4970" s="6">
        <v>2582.81</v>
      </c>
      <c r="I4970" s="8" t="str" cm="1">
        <f t="array" ref="I4970">_xlfn.IFS(C4970&lt;=15,"Children and Young Adolescents", C4970&gt;64, "Seniors", TRUE, "Working Age")</f>
        <v>Seniors</v>
      </c>
      <c r="J4970" s="6">
        <f>VLOOKUP(F4970,Analysis!$F$1:$G$5,2,FALSE)</f>
        <v>2503.6022787783854</v>
      </c>
      <c r="K4970">
        <f t="shared" si="308"/>
        <v>2841.09</v>
      </c>
      <c r="L4970">
        <f t="shared" si="309"/>
        <v>2841.1000000000004</v>
      </c>
      <c r="M4970">
        <f t="shared" si="310"/>
        <v>2841.09</v>
      </c>
      <c r="N4970" s="5" t="str">
        <f t="shared" si="311"/>
        <v>December 2023</v>
      </c>
    </row>
    <row r="4971" spans="1:14" x14ac:dyDescent="0.25">
      <c r="A4971" s="1">
        <v>45286</v>
      </c>
      <c r="B4971" t="s">
        <v>3308</v>
      </c>
      <c r="C4971">
        <v>37</v>
      </c>
      <c r="D4971" t="s">
        <v>14</v>
      </c>
      <c r="E4971" t="s">
        <v>10</v>
      </c>
      <c r="F4971" t="s">
        <v>11</v>
      </c>
      <c r="G4971" t="s">
        <v>27</v>
      </c>
      <c r="H4971" s="6">
        <v>2145.2399999999998</v>
      </c>
      <c r="I4971" s="8" t="str" cm="1">
        <f t="array" ref="I4971">_xlfn.IFS(C4971&lt;=15,"Children and Young Adolescents", C4971&gt;64, "Seniors", TRUE, "Working Age")</f>
        <v>Working Age</v>
      </c>
      <c r="J4971" s="6">
        <f>VLOOKUP(F4971,Analysis!$F$1:$G$5,2,FALSE)</f>
        <v>2503.6022787783854</v>
      </c>
      <c r="K4971">
        <f t="shared" si="308"/>
        <v>2359.7600000000002</v>
      </c>
      <c r="L4971">
        <f t="shared" si="309"/>
        <v>2359.7700000000004</v>
      </c>
      <c r="M4971">
        <f t="shared" si="310"/>
        <v>2359.7600000000002</v>
      </c>
      <c r="N4971" s="5" t="str">
        <f t="shared" si="311"/>
        <v>December 2023</v>
      </c>
    </row>
    <row r="4972" spans="1:14" x14ac:dyDescent="0.25">
      <c r="A4972" s="1">
        <v>45286</v>
      </c>
      <c r="B4972" t="s">
        <v>3304</v>
      </c>
      <c r="C4972">
        <v>81</v>
      </c>
      <c r="D4972" t="s">
        <v>14</v>
      </c>
      <c r="E4972" t="s">
        <v>34</v>
      </c>
      <c r="F4972" t="s">
        <v>23</v>
      </c>
      <c r="G4972" t="s">
        <v>27</v>
      </c>
      <c r="H4972" s="6">
        <v>3722.87</v>
      </c>
      <c r="I4972" s="8" t="str" cm="1">
        <f t="array" ref="I4972">_xlfn.IFS(C4972&lt;=15,"Children and Young Adolescents", C4972&gt;64, "Seniors", TRUE, "Working Age")</f>
        <v>Seniors</v>
      </c>
      <c r="J4972" s="6">
        <f>VLOOKUP(F4972,Analysis!$F$1:$G$5,2,FALSE)</f>
        <v>2440.2966694490838</v>
      </c>
      <c r="K4972">
        <f t="shared" si="308"/>
        <v>4095.15</v>
      </c>
      <c r="L4972">
        <f t="shared" si="309"/>
        <v>4095.1600000000003</v>
      </c>
      <c r="M4972">
        <f t="shared" si="310"/>
        <v>4095.16</v>
      </c>
      <c r="N4972" s="5" t="str">
        <f t="shared" si="311"/>
        <v>December 2023</v>
      </c>
    </row>
    <row r="4973" spans="1:14" x14ac:dyDescent="0.25">
      <c r="A4973" s="1">
        <v>45286</v>
      </c>
      <c r="B4973" t="s">
        <v>1209</v>
      </c>
      <c r="C4973">
        <v>86</v>
      </c>
      <c r="D4973" t="s">
        <v>21</v>
      </c>
      <c r="E4973" t="s">
        <v>22</v>
      </c>
      <c r="F4973" t="s">
        <v>23</v>
      </c>
      <c r="G4973" t="s">
        <v>12</v>
      </c>
      <c r="H4973" s="6">
        <v>4772.83</v>
      </c>
      <c r="I4973" s="8" t="str" cm="1">
        <f t="array" ref="I4973">_xlfn.IFS(C4973&lt;=15,"Children and Young Adolescents", C4973&gt;64, "Seniors", TRUE, "Working Age")</f>
        <v>Seniors</v>
      </c>
      <c r="J4973" s="6">
        <f>VLOOKUP(F4973,Analysis!$F$1:$G$5,2,FALSE)</f>
        <v>2440.2966694490838</v>
      </c>
      <c r="K4973">
        <f t="shared" si="308"/>
        <v>5250.11</v>
      </c>
      <c r="L4973">
        <f t="shared" si="309"/>
        <v>5250.12</v>
      </c>
      <c r="M4973">
        <f t="shared" si="310"/>
        <v>5250.11</v>
      </c>
      <c r="N4973" s="5" t="str">
        <f t="shared" si="311"/>
        <v>December 2023</v>
      </c>
    </row>
    <row r="4974" spans="1:14" x14ac:dyDescent="0.25">
      <c r="A4974" s="1">
        <v>45287</v>
      </c>
      <c r="B4974" t="s">
        <v>2161</v>
      </c>
      <c r="C4974">
        <v>48</v>
      </c>
      <c r="D4974" t="s">
        <v>14</v>
      </c>
      <c r="E4974" t="s">
        <v>34</v>
      </c>
      <c r="F4974" t="s">
        <v>11</v>
      </c>
      <c r="G4974" t="s">
        <v>12</v>
      </c>
      <c r="H4974" s="6">
        <v>4965.5600000000004</v>
      </c>
      <c r="I4974" s="8" t="str" cm="1">
        <f t="array" ref="I4974">_xlfn.IFS(C4974&lt;=15,"Children and Young Adolescents", C4974&gt;64, "Seniors", TRUE, "Working Age")</f>
        <v>Working Age</v>
      </c>
      <c r="J4974" s="6">
        <f>VLOOKUP(F4974,Analysis!$F$1:$G$5,2,FALSE)</f>
        <v>2503.6022787783854</v>
      </c>
      <c r="K4974">
        <f t="shared" si="308"/>
        <v>5462.11</v>
      </c>
      <c r="L4974">
        <f t="shared" si="309"/>
        <v>5462.12</v>
      </c>
      <c r="M4974">
        <f t="shared" si="310"/>
        <v>5462.12</v>
      </c>
      <c r="N4974" s="5" t="str">
        <f t="shared" si="311"/>
        <v>December 2023</v>
      </c>
    </row>
    <row r="4975" spans="1:14" x14ac:dyDescent="0.25">
      <c r="A4975" s="1">
        <v>45287</v>
      </c>
      <c r="B4975" t="s">
        <v>4630</v>
      </c>
      <c r="C4975">
        <v>85</v>
      </c>
      <c r="D4975" t="s">
        <v>9</v>
      </c>
      <c r="E4975" t="s">
        <v>34</v>
      </c>
      <c r="F4975" t="s">
        <v>23</v>
      </c>
      <c r="G4975" t="s">
        <v>27</v>
      </c>
      <c r="H4975" s="6">
        <v>4297.28</v>
      </c>
      <c r="I4975" s="8" t="str" cm="1">
        <f t="array" ref="I4975">_xlfn.IFS(C4975&lt;=15,"Children and Young Adolescents", C4975&gt;64, "Seniors", TRUE, "Working Age")</f>
        <v>Seniors</v>
      </c>
      <c r="J4975" s="6">
        <f>VLOOKUP(F4975,Analysis!$F$1:$G$5,2,FALSE)</f>
        <v>2440.2966694490838</v>
      </c>
      <c r="K4975">
        <f t="shared" si="308"/>
        <v>4727</v>
      </c>
      <c r="L4975">
        <f t="shared" si="309"/>
        <v>4727.01</v>
      </c>
      <c r="M4975">
        <f t="shared" si="310"/>
        <v>4727.01</v>
      </c>
      <c r="N4975" s="5" t="str">
        <f t="shared" si="311"/>
        <v>December 2023</v>
      </c>
    </row>
    <row r="4976" spans="1:14" x14ac:dyDescent="0.25">
      <c r="A4976" s="1">
        <v>45287</v>
      </c>
      <c r="B4976" t="s">
        <v>4427</v>
      </c>
      <c r="C4976">
        <v>34</v>
      </c>
      <c r="D4976" t="s">
        <v>21</v>
      </c>
      <c r="E4976" t="s">
        <v>5032</v>
      </c>
      <c r="F4976" t="s">
        <v>16</v>
      </c>
      <c r="G4976" t="s">
        <v>39</v>
      </c>
      <c r="H4976" s="6">
        <v>408.22</v>
      </c>
      <c r="I4976" s="8" t="str" cm="1">
        <f t="array" ref="I4976">_xlfn.IFS(C4976&lt;=15,"Children and Young Adolescents", C4976&gt;64, "Seniors", TRUE, "Working Age")</f>
        <v>Working Age</v>
      </c>
      <c r="J4976" s="6">
        <f>VLOOKUP(F4976,Analysis!$F$1:$G$5,2,FALSE)</f>
        <v>2509.1716796874912</v>
      </c>
      <c r="K4976">
        <f t="shared" si="308"/>
        <v>449.04</v>
      </c>
      <c r="L4976">
        <f t="shared" si="309"/>
        <v>449.05</v>
      </c>
      <c r="M4976">
        <f t="shared" si="310"/>
        <v>449.04</v>
      </c>
      <c r="N4976" s="5" t="str">
        <f t="shared" si="311"/>
        <v>December 2023</v>
      </c>
    </row>
    <row r="4977" spans="1:14" x14ac:dyDescent="0.25">
      <c r="A4977" s="1">
        <v>45287</v>
      </c>
      <c r="B4977" t="s">
        <v>2540</v>
      </c>
      <c r="C4977">
        <v>81</v>
      </c>
      <c r="D4977" t="s">
        <v>14</v>
      </c>
      <c r="E4977" t="s">
        <v>10</v>
      </c>
      <c r="F4977" t="s">
        <v>11</v>
      </c>
      <c r="G4977" t="s">
        <v>12</v>
      </c>
      <c r="H4977" s="6">
        <v>3716.07</v>
      </c>
      <c r="I4977" s="8" t="str" cm="1">
        <f t="array" ref="I4977">_xlfn.IFS(C4977&lt;=15,"Children and Young Adolescents", C4977&gt;64, "Seniors", TRUE, "Working Age")</f>
        <v>Seniors</v>
      </c>
      <c r="J4977" s="6">
        <f>VLOOKUP(F4977,Analysis!$F$1:$G$5,2,FALSE)</f>
        <v>2503.6022787783854</v>
      </c>
      <c r="K4977">
        <f t="shared" si="308"/>
        <v>4087.67</v>
      </c>
      <c r="L4977">
        <f t="shared" si="309"/>
        <v>4087.6800000000003</v>
      </c>
      <c r="M4977">
        <f t="shared" si="310"/>
        <v>4087.68</v>
      </c>
      <c r="N4977" s="5" t="str">
        <f t="shared" si="311"/>
        <v>December 2023</v>
      </c>
    </row>
    <row r="4978" spans="1:14" x14ac:dyDescent="0.25">
      <c r="A4978" s="1">
        <v>45287</v>
      </c>
      <c r="B4978" t="s">
        <v>3358</v>
      </c>
      <c r="C4978">
        <v>37</v>
      </c>
      <c r="D4978" t="s">
        <v>9</v>
      </c>
      <c r="E4978" t="s">
        <v>10</v>
      </c>
      <c r="F4978" t="s">
        <v>29</v>
      </c>
      <c r="G4978" t="s">
        <v>17</v>
      </c>
      <c r="H4978" s="6">
        <v>2802.51</v>
      </c>
      <c r="I4978" s="8" t="str" cm="1">
        <f t="array" ref="I4978">_xlfn.IFS(C4978&lt;=15,"Children and Young Adolescents", C4978&gt;64, "Seniors", TRUE, "Working Age")</f>
        <v>Working Age</v>
      </c>
      <c r="J4978" s="6">
        <f>VLOOKUP(F4978,Analysis!$F$1:$G$5,2,FALSE)</f>
        <v>2496.7676064256989</v>
      </c>
      <c r="K4978">
        <f t="shared" si="308"/>
        <v>3082.76</v>
      </c>
      <c r="L4978">
        <f t="shared" si="309"/>
        <v>3082.7700000000004</v>
      </c>
      <c r="M4978">
        <f t="shared" si="310"/>
        <v>3082.76</v>
      </c>
      <c r="N4978" s="5" t="str">
        <f t="shared" si="311"/>
        <v>December 2023</v>
      </c>
    </row>
    <row r="4979" spans="1:14" x14ac:dyDescent="0.25">
      <c r="A4979" s="1">
        <v>45287</v>
      </c>
      <c r="B4979" t="s">
        <v>1135</v>
      </c>
      <c r="C4979">
        <v>58</v>
      </c>
      <c r="D4979" t="s">
        <v>21</v>
      </c>
      <c r="E4979" t="s">
        <v>34</v>
      </c>
      <c r="F4979" t="s">
        <v>29</v>
      </c>
      <c r="G4979" t="s">
        <v>39</v>
      </c>
      <c r="H4979" s="6">
        <v>4440.95</v>
      </c>
      <c r="I4979" s="8" t="str" cm="1">
        <f t="array" ref="I4979">_xlfn.IFS(C4979&lt;=15,"Children and Young Adolescents", C4979&gt;64, "Seniors", TRUE, "Working Age")</f>
        <v>Working Age</v>
      </c>
      <c r="J4979" s="6">
        <f>VLOOKUP(F4979,Analysis!$F$1:$G$5,2,FALSE)</f>
        <v>2496.7676064256989</v>
      </c>
      <c r="K4979">
        <f t="shared" si="308"/>
        <v>4885.04</v>
      </c>
      <c r="L4979">
        <f t="shared" si="309"/>
        <v>4885.05</v>
      </c>
      <c r="M4979">
        <f t="shared" si="310"/>
        <v>4885.05</v>
      </c>
      <c r="N4979" s="5" t="str">
        <f t="shared" si="311"/>
        <v>December 2023</v>
      </c>
    </row>
    <row r="4980" spans="1:14" x14ac:dyDescent="0.25">
      <c r="A4980" s="1">
        <v>45287</v>
      </c>
      <c r="B4980" t="s">
        <v>2558</v>
      </c>
      <c r="C4980">
        <v>32</v>
      </c>
      <c r="D4980" t="s">
        <v>21</v>
      </c>
      <c r="E4980" t="s">
        <v>22</v>
      </c>
      <c r="F4980" t="s">
        <v>11</v>
      </c>
      <c r="G4980" t="s">
        <v>12</v>
      </c>
      <c r="H4980" s="6">
        <v>3632.36</v>
      </c>
      <c r="I4980" s="8" t="str" cm="1">
        <f t="array" ref="I4980">_xlfn.IFS(C4980&lt;=15,"Children and Young Adolescents", C4980&gt;64, "Seniors", TRUE, "Working Age")</f>
        <v>Working Age</v>
      </c>
      <c r="J4980" s="6">
        <f>VLOOKUP(F4980,Analysis!$F$1:$G$5,2,FALSE)</f>
        <v>2503.6022787783854</v>
      </c>
      <c r="K4980">
        <f t="shared" si="308"/>
        <v>3995.59</v>
      </c>
      <c r="L4980">
        <f t="shared" si="309"/>
        <v>3995.6000000000004</v>
      </c>
      <c r="M4980">
        <f t="shared" si="310"/>
        <v>3995.6</v>
      </c>
      <c r="N4980" s="5" t="str">
        <f t="shared" si="311"/>
        <v>December 2023</v>
      </c>
    </row>
    <row r="4981" spans="1:14" x14ac:dyDescent="0.25">
      <c r="A4981" s="1">
        <v>45287</v>
      </c>
      <c r="B4981" t="s">
        <v>4680</v>
      </c>
      <c r="C4981">
        <v>46</v>
      </c>
      <c r="D4981" t="s">
        <v>21</v>
      </c>
      <c r="E4981" t="s">
        <v>19</v>
      </c>
      <c r="F4981" t="s">
        <v>16</v>
      </c>
      <c r="G4981" t="s">
        <v>36</v>
      </c>
      <c r="H4981" s="6">
        <v>1371.9</v>
      </c>
      <c r="I4981" s="8" t="str" cm="1">
        <f t="array" ref="I4981">_xlfn.IFS(C4981&lt;=15,"Children and Young Adolescents", C4981&gt;64, "Seniors", TRUE, "Working Age")</f>
        <v>Working Age</v>
      </c>
      <c r="J4981" s="6">
        <f>VLOOKUP(F4981,Analysis!$F$1:$G$5,2,FALSE)</f>
        <v>2509.1716796874912</v>
      </c>
      <c r="K4981">
        <f t="shared" si="308"/>
        <v>1509.09</v>
      </c>
      <c r="L4981">
        <f t="shared" si="309"/>
        <v>1509.09</v>
      </c>
      <c r="M4981">
        <f t="shared" si="310"/>
        <v>1509.09</v>
      </c>
      <c r="N4981" s="5" t="str">
        <f t="shared" si="311"/>
        <v>December 2023</v>
      </c>
    </row>
    <row r="4982" spans="1:14" x14ac:dyDescent="0.25">
      <c r="A4982" s="1">
        <v>45287</v>
      </c>
      <c r="B4982" t="s">
        <v>3199</v>
      </c>
      <c r="C4982">
        <v>85</v>
      </c>
      <c r="D4982" t="s">
        <v>9</v>
      </c>
      <c r="E4982" t="s">
        <v>34</v>
      </c>
      <c r="F4982" t="s">
        <v>29</v>
      </c>
      <c r="G4982" t="s">
        <v>36</v>
      </c>
      <c r="H4982" s="7">
        <v>4295.47</v>
      </c>
      <c r="I4982" s="8" t="str" cm="1">
        <f t="array" ref="I4982">_xlfn.IFS(C4982&lt;=15,"Children and Young Adolescents", C4982&gt;64, "Seniors", TRUE, "Working Age")</f>
        <v>Seniors</v>
      </c>
      <c r="J4982" s="6">
        <f>VLOOKUP(F4982,Analysis!$F$1:$G$5,2,FALSE)</f>
        <v>2496.7676064256989</v>
      </c>
      <c r="K4982">
        <f t="shared" si="308"/>
        <v>4725.01</v>
      </c>
      <c r="L4982">
        <f t="shared" si="309"/>
        <v>4725.0200000000004</v>
      </c>
      <c r="M4982">
        <f t="shared" si="310"/>
        <v>4725.0200000000004</v>
      </c>
      <c r="N4982" s="5" t="str">
        <f t="shared" si="311"/>
        <v>December 2023</v>
      </c>
    </row>
    <row r="4983" spans="1:14" x14ac:dyDescent="0.25">
      <c r="A4983" s="1">
        <v>45288</v>
      </c>
      <c r="B4983" t="s">
        <v>611</v>
      </c>
      <c r="C4983">
        <v>39</v>
      </c>
      <c r="D4983" t="s">
        <v>9</v>
      </c>
      <c r="E4983" t="s">
        <v>19</v>
      </c>
      <c r="F4983" t="s">
        <v>23</v>
      </c>
      <c r="G4983" t="s">
        <v>39</v>
      </c>
      <c r="H4983" s="7">
        <v>2467.5500000000002</v>
      </c>
      <c r="I4983" s="8" t="str" cm="1">
        <f t="array" ref="I4983">_xlfn.IFS(C4983&lt;=15,"Children and Young Adolescents", C4983&gt;64, "Seniors", TRUE, "Working Age")</f>
        <v>Working Age</v>
      </c>
      <c r="J4983" s="6">
        <f>VLOOKUP(F4983,Analysis!$F$1:$G$5,2,FALSE)</f>
        <v>2440.2966694490838</v>
      </c>
      <c r="K4983">
        <f t="shared" si="308"/>
        <v>2714.3</v>
      </c>
      <c r="L4983">
        <f t="shared" si="309"/>
        <v>2714.3100000000004</v>
      </c>
      <c r="M4983">
        <f t="shared" si="310"/>
        <v>2714.31</v>
      </c>
      <c r="N4983" s="5" t="str">
        <f t="shared" si="311"/>
        <v>December 2023</v>
      </c>
    </row>
    <row r="4984" spans="1:14" x14ac:dyDescent="0.25">
      <c r="A4984" s="1">
        <v>45288</v>
      </c>
      <c r="B4984" t="s">
        <v>3105</v>
      </c>
      <c r="C4984">
        <v>83</v>
      </c>
      <c r="D4984" t="s">
        <v>21</v>
      </c>
      <c r="E4984" t="s">
        <v>10</v>
      </c>
      <c r="F4984" t="s">
        <v>11</v>
      </c>
      <c r="G4984" t="s">
        <v>39</v>
      </c>
      <c r="H4984" s="7">
        <v>718.68</v>
      </c>
      <c r="I4984" s="8" t="str" cm="1">
        <f t="array" ref="I4984">_xlfn.IFS(C4984&lt;=15,"Children and Young Adolescents", C4984&gt;64, "Seniors", TRUE, "Working Age")</f>
        <v>Seniors</v>
      </c>
      <c r="J4984" s="6">
        <f>VLOOKUP(F4984,Analysis!$F$1:$G$5,2,FALSE)</f>
        <v>2503.6022787783854</v>
      </c>
      <c r="K4984">
        <f t="shared" si="308"/>
        <v>790.54</v>
      </c>
      <c r="L4984">
        <f t="shared" si="309"/>
        <v>790.55</v>
      </c>
      <c r="M4984">
        <f t="shared" si="310"/>
        <v>790.55</v>
      </c>
      <c r="N4984" s="5" t="str">
        <f t="shared" si="311"/>
        <v>December 2023</v>
      </c>
    </row>
    <row r="4985" spans="1:14" x14ac:dyDescent="0.25">
      <c r="A4985" s="1">
        <v>45288</v>
      </c>
      <c r="B4985" t="s">
        <v>2651</v>
      </c>
      <c r="C4985">
        <v>11</v>
      </c>
      <c r="D4985" t="s">
        <v>9</v>
      </c>
      <c r="E4985" t="s">
        <v>34</v>
      </c>
      <c r="F4985" t="s">
        <v>29</v>
      </c>
      <c r="G4985" t="s">
        <v>27</v>
      </c>
      <c r="H4985" s="7">
        <v>1386.66</v>
      </c>
      <c r="I4985" s="8" t="str" cm="1">
        <f t="array" ref="I4985">_xlfn.IFS(C4985&lt;=15,"Children and Young Adolescents", C4985&gt;64, "Seniors", TRUE, "Working Age")</f>
        <v>Children and Young Adolescents</v>
      </c>
      <c r="J4985" s="6">
        <f>VLOOKUP(F4985,Analysis!$F$1:$G$5,2,FALSE)</f>
        <v>2496.7676064256989</v>
      </c>
      <c r="K4985">
        <f t="shared" si="308"/>
        <v>1525.32</v>
      </c>
      <c r="L4985">
        <f t="shared" si="309"/>
        <v>1525.33</v>
      </c>
      <c r="M4985">
        <f t="shared" si="310"/>
        <v>1525.33</v>
      </c>
      <c r="N4985" s="5" t="str">
        <f t="shared" si="311"/>
        <v>December 2023</v>
      </c>
    </row>
    <row r="4986" spans="1:14" x14ac:dyDescent="0.25">
      <c r="A4986" s="1">
        <v>45289</v>
      </c>
      <c r="B4986" t="s">
        <v>2184</v>
      </c>
      <c r="C4986">
        <v>9</v>
      </c>
      <c r="D4986" t="s">
        <v>21</v>
      </c>
      <c r="E4986" t="s">
        <v>19</v>
      </c>
      <c r="F4986" t="s">
        <v>29</v>
      </c>
      <c r="G4986" t="s">
        <v>39</v>
      </c>
      <c r="H4986" s="7">
        <v>1239.27</v>
      </c>
      <c r="I4986" s="8" t="str" cm="1">
        <f t="array" ref="I4986">_xlfn.IFS(C4986&lt;=15,"Children and Young Adolescents", C4986&gt;64, "Seniors", TRUE, "Working Age")</f>
        <v>Children and Young Adolescents</v>
      </c>
      <c r="J4986" s="6">
        <f>VLOOKUP(F4986,Analysis!$F$1:$G$5,2,FALSE)</f>
        <v>2496.7676064256989</v>
      </c>
      <c r="K4986">
        <f t="shared" si="308"/>
        <v>1363.19</v>
      </c>
      <c r="L4986">
        <f t="shared" si="309"/>
        <v>1363.2</v>
      </c>
      <c r="M4986">
        <f t="shared" si="310"/>
        <v>1363.2</v>
      </c>
      <c r="N4986" s="5" t="str">
        <f t="shared" si="311"/>
        <v>December 2023</v>
      </c>
    </row>
    <row r="4987" spans="1:14" x14ac:dyDescent="0.25">
      <c r="A4987" s="1">
        <v>45289</v>
      </c>
      <c r="B4987" t="s">
        <v>4900</v>
      </c>
      <c r="C4987">
        <v>67</v>
      </c>
      <c r="D4987" t="s">
        <v>9</v>
      </c>
      <c r="E4987" t="s">
        <v>5032</v>
      </c>
      <c r="F4987" t="s">
        <v>29</v>
      </c>
      <c r="G4987" t="s">
        <v>36</v>
      </c>
      <c r="H4987" s="7">
        <v>4961.82</v>
      </c>
      <c r="I4987" s="8" t="str" cm="1">
        <f t="array" ref="I4987">_xlfn.IFS(C4987&lt;=15,"Children and Young Adolescents", C4987&gt;64, "Seniors", TRUE, "Working Age")</f>
        <v>Seniors</v>
      </c>
      <c r="J4987" s="6">
        <f>VLOOKUP(F4987,Analysis!$F$1:$G$5,2,FALSE)</f>
        <v>2496.7676064256989</v>
      </c>
      <c r="K4987">
        <f t="shared" si="308"/>
        <v>5458</v>
      </c>
      <c r="L4987">
        <f t="shared" si="309"/>
        <v>5458.01</v>
      </c>
      <c r="M4987">
        <f t="shared" si="310"/>
        <v>5458</v>
      </c>
      <c r="N4987" s="5" t="str">
        <f t="shared" si="311"/>
        <v>December 2023</v>
      </c>
    </row>
    <row r="4988" spans="1:14" x14ac:dyDescent="0.25">
      <c r="A4988" s="1">
        <v>45289</v>
      </c>
      <c r="B4988" t="s">
        <v>315</v>
      </c>
      <c r="C4988">
        <v>55</v>
      </c>
      <c r="D4988" t="s">
        <v>9</v>
      </c>
      <c r="E4988" t="s">
        <v>15</v>
      </c>
      <c r="F4988" t="s">
        <v>29</v>
      </c>
      <c r="G4988" t="s">
        <v>12</v>
      </c>
      <c r="H4988" s="7">
        <v>4403.34</v>
      </c>
      <c r="I4988" s="8" t="str" cm="1">
        <f t="array" ref="I4988">_xlfn.IFS(C4988&lt;=15,"Children and Young Adolescents", C4988&gt;64, "Seniors", TRUE, "Working Age")</f>
        <v>Working Age</v>
      </c>
      <c r="J4988" s="6">
        <f>VLOOKUP(F4988,Analysis!$F$1:$G$5,2,FALSE)</f>
        <v>2496.7676064256989</v>
      </c>
      <c r="K4988">
        <f t="shared" si="308"/>
        <v>4843.67</v>
      </c>
      <c r="L4988">
        <f t="shared" si="309"/>
        <v>4843.68</v>
      </c>
      <c r="M4988">
        <f t="shared" si="310"/>
        <v>4843.67</v>
      </c>
      <c r="N4988" s="5" t="str">
        <f t="shared" si="311"/>
        <v>December 2023</v>
      </c>
    </row>
    <row r="4989" spans="1:14" x14ac:dyDescent="0.25">
      <c r="A4989" s="1">
        <v>45289</v>
      </c>
      <c r="B4989" t="s">
        <v>4937</v>
      </c>
      <c r="C4989">
        <v>95</v>
      </c>
      <c r="D4989" t="s">
        <v>14</v>
      </c>
      <c r="E4989" t="s">
        <v>22</v>
      </c>
      <c r="F4989" t="s">
        <v>16</v>
      </c>
      <c r="G4989" t="s">
        <v>12</v>
      </c>
      <c r="H4989" s="7">
        <v>4512.3500000000004</v>
      </c>
      <c r="I4989" s="8" t="str" cm="1">
        <f t="array" ref="I4989">_xlfn.IFS(C4989&lt;=15,"Children and Young Adolescents", C4989&gt;64, "Seniors", TRUE, "Working Age")</f>
        <v>Seniors</v>
      </c>
      <c r="J4989" s="6">
        <f>VLOOKUP(F4989,Analysis!$F$1:$G$5,2,FALSE)</f>
        <v>2509.1716796874912</v>
      </c>
      <c r="K4989">
        <f t="shared" si="308"/>
        <v>4963.58</v>
      </c>
      <c r="L4989">
        <f t="shared" si="309"/>
        <v>4963.59</v>
      </c>
      <c r="M4989">
        <f t="shared" si="310"/>
        <v>4963.59</v>
      </c>
      <c r="N4989" s="5" t="str">
        <f t="shared" si="311"/>
        <v>December 2023</v>
      </c>
    </row>
    <row r="4990" spans="1:14" x14ac:dyDescent="0.25">
      <c r="A4990" s="1">
        <v>45289</v>
      </c>
      <c r="B4990" t="s">
        <v>588</v>
      </c>
      <c r="C4990">
        <v>42</v>
      </c>
      <c r="D4990" t="s">
        <v>21</v>
      </c>
      <c r="E4990" t="s">
        <v>32</v>
      </c>
      <c r="F4990" t="s">
        <v>29</v>
      </c>
      <c r="G4990" t="s">
        <v>39</v>
      </c>
      <c r="H4990" s="7">
        <v>3187.94</v>
      </c>
      <c r="I4990" s="8" t="str" cm="1">
        <f t="array" ref="I4990">_xlfn.IFS(C4990&lt;=15,"Children and Young Adolescents", C4990&gt;64, "Seniors", TRUE, "Working Age")</f>
        <v>Working Age</v>
      </c>
      <c r="J4990" s="6">
        <f>VLOOKUP(F4990,Analysis!$F$1:$G$5,2,FALSE)</f>
        <v>2496.7676064256989</v>
      </c>
      <c r="K4990">
        <f t="shared" si="308"/>
        <v>3506.73</v>
      </c>
      <c r="L4990">
        <f t="shared" si="309"/>
        <v>3506.7400000000002</v>
      </c>
      <c r="M4990">
        <f t="shared" si="310"/>
        <v>3506.73</v>
      </c>
      <c r="N4990" s="5" t="str">
        <f t="shared" si="311"/>
        <v>December 2023</v>
      </c>
    </row>
    <row r="4991" spans="1:14" x14ac:dyDescent="0.25">
      <c r="A4991" s="1">
        <v>45289</v>
      </c>
      <c r="B4991" t="s">
        <v>2725</v>
      </c>
      <c r="C4991">
        <v>22</v>
      </c>
      <c r="D4991" t="s">
        <v>21</v>
      </c>
      <c r="E4991" t="s">
        <v>15</v>
      </c>
      <c r="F4991" t="s">
        <v>23</v>
      </c>
      <c r="G4991" t="s">
        <v>36</v>
      </c>
      <c r="H4991" s="7">
        <v>1788.81</v>
      </c>
      <c r="I4991" s="8" t="str" cm="1">
        <f t="array" ref="I4991">_xlfn.IFS(C4991&lt;=15,"Children and Young Adolescents", C4991&gt;64, "Seniors", TRUE, "Working Age")</f>
        <v>Working Age</v>
      </c>
      <c r="J4991" s="6">
        <f>VLOOKUP(F4991,Analysis!$F$1:$G$5,2,FALSE)</f>
        <v>2440.2966694490838</v>
      </c>
      <c r="K4991">
        <f t="shared" si="308"/>
        <v>1967.69</v>
      </c>
      <c r="L4991">
        <f t="shared" si="309"/>
        <v>1967.7</v>
      </c>
      <c r="M4991">
        <f t="shared" si="310"/>
        <v>1967.69</v>
      </c>
      <c r="N4991" s="5" t="str">
        <f t="shared" si="311"/>
        <v>December 2023</v>
      </c>
    </row>
    <row r="4992" spans="1:14" x14ac:dyDescent="0.25">
      <c r="A4992" s="1">
        <v>45289</v>
      </c>
      <c r="B4992" t="s">
        <v>1728</v>
      </c>
      <c r="C4992">
        <v>40</v>
      </c>
      <c r="D4992" t="s">
        <v>21</v>
      </c>
      <c r="E4992" t="s">
        <v>25</v>
      </c>
      <c r="F4992" t="s">
        <v>23</v>
      </c>
      <c r="G4992" t="s">
        <v>17</v>
      </c>
      <c r="H4992" s="7">
        <v>668.11</v>
      </c>
      <c r="I4992" s="8" t="str" cm="1">
        <f t="array" ref="I4992">_xlfn.IFS(C4992&lt;=15,"Children and Young Adolescents", C4992&gt;64, "Seniors", TRUE, "Working Age")</f>
        <v>Working Age</v>
      </c>
      <c r="J4992" s="6">
        <f>VLOOKUP(F4992,Analysis!$F$1:$G$5,2,FALSE)</f>
        <v>2440.2966694490838</v>
      </c>
      <c r="K4992">
        <f t="shared" si="308"/>
        <v>734.92</v>
      </c>
      <c r="L4992">
        <f t="shared" si="309"/>
        <v>734.93</v>
      </c>
      <c r="M4992">
        <f t="shared" si="310"/>
        <v>734.92</v>
      </c>
      <c r="N4992" s="5" t="str">
        <f t="shared" si="311"/>
        <v>December 2023</v>
      </c>
    </row>
    <row r="4993" spans="1:14" x14ac:dyDescent="0.25">
      <c r="A4993" s="1">
        <v>45290</v>
      </c>
      <c r="B4993" t="s">
        <v>2218</v>
      </c>
      <c r="C4993">
        <v>35</v>
      </c>
      <c r="D4993" t="s">
        <v>14</v>
      </c>
      <c r="E4993" t="s">
        <v>25</v>
      </c>
      <c r="F4993" t="s">
        <v>16</v>
      </c>
      <c r="G4993" t="s">
        <v>17</v>
      </c>
      <c r="H4993" s="7">
        <v>4477.12</v>
      </c>
      <c r="I4993" s="8" t="str" cm="1">
        <f t="array" ref="I4993">_xlfn.IFS(C4993&lt;=15,"Children and Young Adolescents", C4993&gt;64, "Seniors", TRUE, "Working Age")</f>
        <v>Working Age</v>
      </c>
      <c r="J4993" s="6">
        <f>VLOOKUP(F4993,Analysis!$F$1:$G$5,2,FALSE)</f>
        <v>2509.1716796874912</v>
      </c>
      <c r="K4993">
        <f t="shared" si="308"/>
        <v>4924.83</v>
      </c>
      <c r="L4993">
        <f t="shared" si="309"/>
        <v>4924.84</v>
      </c>
      <c r="M4993">
        <f t="shared" si="310"/>
        <v>4924.83</v>
      </c>
      <c r="N4993" s="5" t="str">
        <f t="shared" si="311"/>
        <v>December 2023</v>
      </c>
    </row>
    <row r="4994" spans="1:14" x14ac:dyDescent="0.25">
      <c r="A4994" s="1">
        <v>45290</v>
      </c>
      <c r="B4994" t="s">
        <v>729</v>
      </c>
      <c r="C4994">
        <v>96</v>
      </c>
      <c r="D4994" t="s">
        <v>14</v>
      </c>
      <c r="E4994" t="s">
        <v>10</v>
      </c>
      <c r="F4994" t="s">
        <v>23</v>
      </c>
      <c r="G4994" t="s">
        <v>17</v>
      </c>
      <c r="H4994" s="7">
        <v>198.28</v>
      </c>
      <c r="I4994" s="8" t="str" cm="1">
        <f t="array" ref="I4994">_xlfn.IFS(C4994&lt;=15,"Children and Young Adolescents", C4994&gt;64, "Seniors", TRUE, "Working Age")</f>
        <v>Seniors</v>
      </c>
      <c r="J4994" s="6">
        <f>VLOOKUP(F4994,Analysis!$F$1:$G$5,2,FALSE)</f>
        <v>2440.2966694490838</v>
      </c>
      <c r="K4994">
        <f t="shared" si="308"/>
        <v>218.1</v>
      </c>
      <c r="L4994">
        <f t="shared" si="309"/>
        <v>218.10999999999999</v>
      </c>
      <c r="M4994">
        <f t="shared" si="310"/>
        <v>218.11</v>
      </c>
      <c r="N4994" s="5" t="str">
        <f t="shared" si="311"/>
        <v>December 2023</v>
      </c>
    </row>
    <row r="4995" spans="1:14" x14ac:dyDescent="0.25">
      <c r="A4995" s="1">
        <v>45290</v>
      </c>
      <c r="B4995" t="s">
        <v>356</v>
      </c>
      <c r="C4995">
        <v>66</v>
      </c>
      <c r="D4995" t="s">
        <v>14</v>
      </c>
      <c r="E4995" t="s">
        <v>32</v>
      </c>
      <c r="F4995" t="s">
        <v>16</v>
      </c>
      <c r="G4995" t="s">
        <v>12</v>
      </c>
      <c r="H4995" s="7">
        <v>228.38</v>
      </c>
      <c r="I4995" s="8" t="str" cm="1">
        <f t="array" ref="I4995">_xlfn.IFS(C4995&lt;=15,"Children and Young Adolescents", C4995&gt;64, "Seniors", TRUE, "Working Age")</f>
        <v>Seniors</v>
      </c>
      <c r="J4995" s="6">
        <f>VLOOKUP(F4995,Analysis!$F$1:$G$5,2,FALSE)</f>
        <v>2509.1716796874912</v>
      </c>
      <c r="K4995">
        <f t="shared" ref="K4995:K5001" si="312">ROUNDDOWN(H4995*1.1,2)</f>
        <v>251.21</v>
      </c>
      <c r="L4995">
        <f t="shared" ref="L4995:L5001" si="313">ROUNDUP(H4995*1.1,2)</f>
        <v>251.22</v>
      </c>
      <c r="M4995">
        <f t="shared" ref="M4995:M5001" si="314">ROUND(H4995*1.1,2)</f>
        <v>251.22</v>
      </c>
      <c r="N4995" s="5" t="str">
        <f t="shared" ref="N4995:N5001" si="315">TEXT(A4995,"mmmm yyyy")</f>
        <v>December 2023</v>
      </c>
    </row>
    <row r="4996" spans="1:14" x14ac:dyDescent="0.25">
      <c r="A4996" s="1">
        <v>45290</v>
      </c>
      <c r="B4996" t="s">
        <v>4708</v>
      </c>
      <c r="C4996">
        <v>88</v>
      </c>
      <c r="D4996" t="s">
        <v>14</v>
      </c>
      <c r="E4996" t="s">
        <v>34</v>
      </c>
      <c r="F4996" t="s">
        <v>16</v>
      </c>
      <c r="G4996" t="s">
        <v>17</v>
      </c>
      <c r="H4996" s="7">
        <v>3446.25</v>
      </c>
      <c r="I4996" s="8" t="str" cm="1">
        <f t="array" ref="I4996">_xlfn.IFS(C4996&lt;=15,"Children and Young Adolescents", C4996&gt;64, "Seniors", TRUE, "Working Age")</f>
        <v>Seniors</v>
      </c>
      <c r="J4996" s="6">
        <f>VLOOKUP(F4996,Analysis!$F$1:$G$5,2,FALSE)</f>
        <v>2509.1716796874912</v>
      </c>
      <c r="K4996">
        <f t="shared" si="312"/>
        <v>3790.87</v>
      </c>
      <c r="L4996">
        <f t="shared" si="313"/>
        <v>3790.88</v>
      </c>
      <c r="M4996">
        <f t="shared" si="314"/>
        <v>3790.88</v>
      </c>
      <c r="N4996" s="5" t="str">
        <f t="shared" si="315"/>
        <v>December 2023</v>
      </c>
    </row>
    <row r="4997" spans="1:14" x14ac:dyDescent="0.25">
      <c r="A4997" s="1">
        <v>45290</v>
      </c>
      <c r="B4997" t="s">
        <v>2407</v>
      </c>
      <c r="C4997">
        <v>22</v>
      </c>
      <c r="D4997" t="s">
        <v>14</v>
      </c>
      <c r="E4997" t="s">
        <v>5032</v>
      </c>
      <c r="F4997" t="s">
        <v>11</v>
      </c>
      <c r="G4997" t="s">
        <v>39</v>
      </c>
      <c r="H4997" s="7">
        <v>1094.21</v>
      </c>
      <c r="I4997" s="8" t="str" cm="1">
        <f t="array" ref="I4997">_xlfn.IFS(C4997&lt;=15,"Children and Young Adolescents", C4997&gt;64, "Seniors", TRUE, "Working Age")</f>
        <v>Working Age</v>
      </c>
      <c r="J4997" s="6">
        <f>VLOOKUP(F4997,Analysis!$F$1:$G$5,2,FALSE)</f>
        <v>2503.6022787783854</v>
      </c>
      <c r="K4997">
        <f t="shared" si="312"/>
        <v>1203.6300000000001</v>
      </c>
      <c r="L4997">
        <f t="shared" si="313"/>
        <v>1203.6400000000001</v>
      </c>
      <c r="M4997">
        <f t="shared" si="314"/>
        <v>1203.6300000000001</v>
      </c>
      <c r="N4997" s="5" t="str">
        <f t="shared" si="315"/>
        <v>December 2023</v>
      </c>
    </row>
    <row r="4998" spans="1:14" x14ac:dyDescent="0.25">
      <c r="A4998" s="1">
        <v>45291</v>
      </c>
      <c r="B4998" t="s">
        <v>3834</v>
      </c>
      <c r="C4998">
        <v>69</v>
      </c>
      <c r="D4998" t="s">
        <v>9</v>
      </c>
      <c r="E4998" t="s">
        <v>19</v>
      </c>
      <c r="F4998" t="s">
        <v>16</v>
      </c>
      <c r="G4998" t="s">
        <v>27</v>
      </c>
      <c r="H4998" s="7">
        <v>2100.08</v>
      </c>
      <c r="I4998" s="8" t="str" cm="1">
        <f t="array" ref="I4998">_xlfn.IFS(C4998&lt;=15,"Children and Young Adolescents", C4998&gt;64, "Seniors", TRUE, "Working Age")</f>
        <v>Seniors</v>
      </c>
      <c r="J4998" s="6">
        <f>VLOOKUP(F4998,Analysis!$F$1:$G$5,2,FALSE)</f>
        <v>2509.1716796874912</v>
      </c>
      <c r="K4998">
        <f t="shared" si="312"/>
        <v>2310.08</v>
      </c>
      <c r="L4998">
        <f t="shared" si="313"/>
        <v>2310.09</v>
      </c>
      <c r="M4998">
        <f t="shared" si="314"/>
        <v>2310.09</v>
      </c>
      <c r="N4998" s="5" t="str">
        <f t="shared" si="315"/>
        <v>December 2023</v>
      </c>
    </row>
    <row r="4999" spans="1:14" x14ac:dyDescent="0.25">
      <c r="A4999" s="1">
        <v>45291</v>
      </c>
      <c r="B4999" t="s">
        <v>1667</v>
      </c>
      <c r="C4999">
        <v>77</v>
      </c>
      <c r="D4999" t="s">
        <v>14</v>
      </c>
      <c r="E4999" t="s">
        <v>5032</v>
      </c>
      <c r="F4999" t="s">
        <v>11</v>
      </c>
      <c r="G4999" t="s">
        <v>39</v>
      </c>
      <c r="H4999" s="7">
        <v>64.040000000000006</v>
      </c>
      <c r="I4999" s="8" t="str" cm="1">
        <f t="array" ref="I4999">_xlfn.IFS(C4999&lt;=15,"Children and Young Adolescents", C4999&gt;64, "Seniors", TRUE, "Working Age")</f>
        <v>Seniors</v>
      </c>
      <c r="J4999" s="6">
        <f>VLOOKUP(F4999,Analysis!$F$1:$G$5,2,FALSE)</f>
        <v>2503.6022787783854</v>
      </c>
      <c r="K4999">
        <f t="shared" si="312"/>
        <v>70.44</v>
      </c>
      <c r="L4999">
        <f t="shared" si="313"/>
        <v>70.45</v>
      </c>
      <c r="M4999">
        <f t="shared" si="314"/>
        <v>70.44</v>
      </c>
      <c r="N4999" s="5" t="str">
        <f t="shared" si="315"/>
        <v>December 2023</v>
      </c>
    </row>
    <row r="5000" spans="1:14" x14ac:dyDescent="0.25">
      <c r="A5000" s="1">
        <v>45291</v>
      </c>
      <c r="B5000" t="s">
        <v>1852</v>
      </c>
      <c r="C5000">
        <v>75</v>
      </c>
      <c r="D5000" t="s">
        <v>14</v>
      </c>
      <c r="E5000" t="s">
        <v>34</v>
      </c>
      <c r="F5000" t="s">
        <v>29</v>
      </c>
      <c r="G5000" t="s">
        <v>36</v>
      </c>
      <c r="H5000" s="7">
        <v>1645.35</v>
      </c>
      <c r="I5000" s="8" t="str" cm="1">
        <f t="array" ref="I5000">_xlfn.IFS(C5000&lt;=15,"Children and Young Adolescents", C5000&gt;64, "Seniors", TRUE, "Working Age")</f>
        <v>Seniors</v>
      </c>
      <c r="J5000" s="6">
        <f>VLOOKUP(F5000,Analysis!$F$1:$G$5,2,FALSE)</f>
        <v>2496.7676064256989</v>
      </c>
      <c r="K5000">
        <f t="shared" si="312"/>
        <v>1809.88</v>
      </c>
      <c r="L5000">
        <f t="shared" si="313"/>
        <v>1809.89</v>
      </c>
      <c r="M5000">
        <f t="shared" si="314"/>
        <v>1809.89</v>
      </c>
      <c r="N5000" s="5" t="str">
        <f t="shared" si="315"/>
        <v>December 2023</v>
      </c>
    </row>
    <row r="5001" spans="1:14" x14ac:dyDescent="0.25">
      <c r="A5001" s="1">
        <v>45291</v>
      </c>
      <c r="B5001" t="s">
        <v>2902</v>
      </c>
      <c r="C5001">
        <v>80</v>
      </c>
      <c r="D5001" t="s">
        <v>9</v>
      </c>
      <c r="E5001" t="s">
        <v>10</v>
      </c>
      <c r="F5001" t="s">
        <v>23</v>
      </c>
      <c r="G5001" t="s">
        <v>17</v>
      </c>
      <c r="H5001" s="7">
        <v>4515.5600000000004</v>
      </c>
      <c r="I5001" s="8" t="str" cm="1">
        <f t="array" ref="I5001">_xlfn.IFS(C5001&lt;=15,"Children and Young Adolescents", C5001&gt;64, "Seniors", TRUE, "Working Age")</f>
        <v>Seniors</v>
      </c>
      <c r="J5001" s="6">
        <f>VLOOKUP(F5001,Analysis!$F$1:$G$5,2,FALSE)</f>
        <v>2440.2966694490838</v>
      </c>
      <c r="K5001">
        <f t="shared" si="312"/>
        <v>4967.1099999999997</v>
      </c>
      <c r="L5001">
        <f t="shared" si="313"/>
        <v>4967.12</v>
      </c>
      <c r="M5001">
        <f t="shared" si="314"/>
        <v>4967.12</v>
      </c>
      <c r="N5001" s="5" t="str">
        <f t="shared" si="315"/>
        <v>December 2023</v>
      </c>
    </row>
  </sheetData>
  <sortState xmlns:xlrd2="http://schemas.microsoft.com/office/spreadsheetml/2017/richdata2" ref="A2:H114002">
    <sortCondition ref="A1:A114002"/>
  </sortState>
  <conditionalFormatting sqref="A2:H5001">
    <cfRule type="expression" dxfId="8" priority="1">
      <formula>"$C$2&gt;60"</formula>
    </cfRule>
    <cfRule type="expression" dxfId="7" priority="2">
      <formula>"$H2&gt;3000"</formula>
    </cfRule>
    <cfRule type="expression" dxfId="6" priority="3">
      <formula>"$C2&gt;60"</formula>
    </cfRule>
  </conditionalFormatting>
  <dataValidations count="1">
    <dataValidation type="list" allowBlank="1" showInputMessage="1" showErrorMessage="1" sqref="D1:D5001" xr:uid="{1C93CCC6-ED30-43C3-9F67-93BC076D8E1A}">
      <formula1>"Male, Female, Other"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5BBD-7604-4D53-96CD-1EE85ED54F7F}">
  <dimension ref="A1:AB20"/>
  <sheetViews>
    <sheetView tabSelected="1" topLeftCell="E1" workbookViewId="0">
      <selection activeCell="H6" sqref="H6"/>
    </sheetView>
  </sheetViews>
  <sheetFormatPr defaultRowHeight="15" x14ac:dyDescent="0.25"/>
  <cols>
    <col min="1" max="1" width="29.7109375" bestFit="1" customWidth="1"/>
    <col min="2" max="2" width="8.28515625" bestFit="1" customWidth="1"/>
    <col min="3" max="3" width="10.5703125" bestFit="1" customWidth="1"/>
    <col min="6" max="6" width="11.42578125" bestFit="1" customWidth="1"/>
    <col min="7" max="7" width="11.42578125" customWidth="1"/>
    <col min="9" max="9" width="9.85546875" customWidth="1"/>
    <col min="10" max="10" width="11.5703125" customWidth="1"/>
    <col min="11" max="11" width="13.140625" bestFit="1" customWidth="1"/>
    <col min="12" max="12" width="16.42578125" bestFit="1" customWidth="1"/>
    <col min="14" max="14" width="30.140625" bestFit="1" customWidth="1"/>
    <col min="15" max="15" width="17.5703125" bestFit="1" customWidth="1"/>
    <col min="20" max="20" width="13.140625" bestFit="1" customWidth="1"/>
    <col min="21" max="21" width="30.28515625" bestFit="1" customWidth="1"/>
    <col min="22" max="22" width="12.5703125" bestFit="1" customWidth="1"/>
    <col min="23" max="23" width="17.5703125" bestFit="1" customWidth="1"/>
    <col min="24" max="24" width="14.28515625" bestFit="1" customWidth="1"/>
    <col min="25" max="25" width="17.5703125" bestFit="1" customWidth="1"/>
    <col min="26" max="26" width="14.28515625" bestFit="1" customWidth="1"/>
    <col min="27" max="27" width="22.5703125" bestFit="1" customWidth="1"/>
    <col min="28" max="28" width="16.42578125" bestFit="1" customWidth="1"/>
    <col min="29" max="29" width="11.28515625" bestFit="1" customWidth="1"/>
    <col min="30" max="30" width="11.42578125" bestFit="1" customWidth="1"/>
    <col min="31" max="31" width="18.5703125" bestFit="1" customWidth="1"/>
    <col min="32" max="32" width="11.42578125" bestFit="1" customWidth="1"/>
    <col min="33" max="33" width="18.5703125" bestFit="1" customWidth="1"/>
    <col min="34" max="34" width="11.42578125" bestFit="1" customWidth="1"/>
    <col min="35" max="35" width="18.5703125" bestFit="1" customWidth="1"/>
    <col min="36" max="36" width="11.42578125" bestFit="1" customWidth="1"/>
    <col min="37" max="37" width="23.5703125" bestFit="1" customWidth="1"/>
    <col min="38" max="38" width="16.42578125" bestFit="1" customWidth="1"/>
  </cols>
  <sheetData>
    <row r="1" spans="1:28" x14ac:dyDescent="0.25">
      <c r="A1" s="10"/>
      <c r="B1" s="3"/>
      <c r="C1" s="11" t="s">
        <v>7</v>
      </c>
      <c r="F1" s="2" t="s">
        <v>5</v>
      </c>
      <c r="G1" s="2" t="s">
        <v>5039</v>
      </c>
      <c r="K1" s="13" t="s">
        <v>6</v>
      </c>
      <c r="L1" s="15" t="s">
        <v>5046</v>
      </c>
      <c r="N1" s="13" t="s">
        <v>3</v>
      </c>
      <c r="O1" t="s">
        <v>5047</v>
      </c>
    </row>
    <row r="2" spans="1:28" x14ac:dyDescent="0.25">
      <c r="A2" s="10"/>
      <c r="B2" s="10" t="s">
        <v>5035</v>
      </c>
      <c r="C2" s="12">
        <f>MIN(in!H:H)</f>
        <v>20.23</v>
      </c>
      <c r="F2" t="str" cm="1">
        <f t="array" ref="F2:F5">_xlfn.UNIQUE(in!F2:F5001)</f>
        <v>Therapy</v>
      </c>
      <c r="G2" s="6">
        <f>AVERAGEIF(in!F2:F5001, Analysis!F2,in!H2:H5001)</f>
        <v>2503.6022787783854</v>
      </c>
      <c r="K2" s="14" t="s">
        <v>27</v>
      </c>
      <c r="L2" s="15">
        <v>2318307.1799999997</v>
      </c>
      <c r="N2" s="14" t="s">
        <v>21</v>
      </c>
      <c r="O2">
        <v>1653</v>
      </c>
      <c r="T2" s="13" t="s">
        <v>4</v>
      </c>
      <c r="U2" t="s">
        <v>5056</v>
      </c>
    </row>
    <row r="3" spans="1:28" x14ac:dyDescent="0.25">
      <c r="A3" s="10"/>
      <c r="B3" s="10" t="s">
        <v>5036</v>
      </c>
      <c r="C3" s="12">
        <f>MAX(in!H:H)</f>
        <v>4998.47</v>
      </c>
      <c r="F3" t="str">
        <v>Surgery</v>
      </c>
      <c r="G3" s="6">
        <f>AVERAGEIF(in!F3:F5002, Analysis!F3,in!H3:H5002)</f>
        <v>2509.1716796874912</v>
      </c>
      <c r="K3" s="14" t="s">
        <v>12</v>
      </c>
      <c r="L3" s="15">
        <v>2473815.449999996</v>
      </c>
      <c r="N3" s="14" t="s">
        <v>9</v>
      </c>
      <c r="O3">
        <v>1653</v>
      </c>
    </row>
    <row r="4" spans="1:28" x14ac:dyDescent="0.25">
      <c r="A4" s="10"/>
      <c r="B4" s="10" t="s">
        <v>5037</v>
      </c>
      <c r="C4" s="12">
        <f>AVERAGE(in!H:H)</f>
        <v>2488.1581880000026</v>
      </c>
      <c r="F4" t="str">
        <v>Observation</v>
      </c>
      <c r="G4" s="6">
        <f>AVERAGEIF(in!F4:F5003, Analysis!F4,in!H4:H5003)</f>
        <v>2440.2966694490838</v>
      </c>
      <c r="K4" s="14" t="s">
        <v>17</v>
      </c>
      <c r="L4" s="15">
        <v>2435514.4299999978</v>
      </c>
      <c r="N4" s="14" t="s">
        <v>14</v>
      </c>
      <c r="O4">
        <v>1694</v>
      </c>
      <c r="U4" s="13" t="s">
        <v>5053</v>
      </c>
    </row>
    <row r="5" spans="1:28" x14ac:dyDescent="0.25">
      <c r="A5" s="10"/>
      <c r="B5" s="10"/>
      <c r="C5" s="12"/>
      <c r="F5" t="str">
        <v>Medication</v>
      </c>
      <c r="G5" s="6">
        <f>AVERAGEIF(in!F5:F5004, Analysis!F5,in!H5:H5004)</f>
        <v>2496.7676064256989</v>
      </c>
      <c r="K5" s="14" t="s">
        <v>36</v>
      </c>
      <c r="L5" s="15">
        <v>2327614.5899999989</v>
      </c>
      <c r="N5" s="14" t="s">
        <v>5045</v>
      </c>
      <c r="O5">
        <v>5000</v>
      </c>
      <c r="U5" t="s">
        <v>5049</v>
      </c>
      <c r="W5" t="s">
        <v>5050</v>
      </c>
      <c r="Y5" t="s">
        <v>5051</v>
      </c>
      <c r="AA5" t="s">
        <v>5055</v>
      </c>
      <c r="AB5" t="s">
        <v>5054</v>
      </c>
    </row>
    <row r="6" spans="1:28" x14ac:dyDescent="0.25">
      <c r="A6" s="10"/>
      <c r="B6" s="10"/>
      <c r="C6" s="12"/>
      <c r="K6" s="14" t="s">
        <v>39</v>
      </c>
      <c r="L6" s="15">
        <v>2492231.319999998</v>
      </c>
      <c r="T6" s="13" t="s">
        <v>5044</v>
      </c>
      <c r="U6" t="s">
        <v>5047</v>
      </c>
      <c r="V6" t="s">
        <v>5046</v>
      </c>
      <c r="W6" t="s">
        <v>5047</v>
      </c>
      <c r="X6" t="s">
        <v>5046</v>
      </c>
      <c r="Y6" t="s">
        <v>5047</v>
      </c>
      <c r="Z6" t="s">
        <v>5046</v>
      </c>
    </row>
    <row r="7" spans="1:28" x14ac:dyDescent="0.25">
      <c r="A7" s="3" t="s">
        <v>5038</v>
      </c>
      <c r="B7" s="10">
        <f>COUNTIF(in!E:E, "Diabetes")</f>
        <v>643</v>
      </c>
      <c r="C7" s="12"/>
      <c r="K7" s="14" t="s">
        <v>5033</v>
      </c>
      <c r="L7" s="15">
        <v>393307.96999999986</v>
      </c>
      <c r="T7" s="14" t="s">
        <v>21</v>
      </c>
      <c r="U7" s="18">
        <v>74</v>
      </c>
      <c r="V7" s="15">
        <v>172946.1</v>
      </c>
      <c r="W7" s="18">
        <v>205</v>
      </c>
      <c r="X7" s="15">
        <v>520664.96000000025</v>
      </c>
      <c r="Y7" s="18">
        <v>283</v>
      </c>
      <c r="Z7" s="15">
        <v>740658.45</v>
      </c>
      <c r="AA7" s="18">
        <v>562</v>
      </c>
      <c r="AB7" s="15">
        <v>1434269.5099999993</v>
      </c>
    </row>
    <row r="8" spans="1:28" x14ac:dyDescent="0.25">
      <c r="K8" s="14" t="s">
        <v>5045</v>
      </c>
      <c r="L8" s="15">
        <v>12440790.93999999</v>
      </c>
      <c r="T8" s="14" t="s">
        <v>9</v>
      </c>
      <c r="U8" s="18">
        <v>89</v>
      </c>
      <c r="V8" s="15">
        <v>219146.32000000004</v>
      </c>
      <c r="W8" s="18">
        <v>195</v>
      </c>
      <c r="X8" s="15">
        <v>476454.60000000003</v>
      </c>
      <c r="Y8" s="18">
        <v>292</v>
      </c>
      <c r="Z8" s="15">
        <v>745408.32000000053</v>
      </c>
      <c r="AA8" s="18">
        <v>576</v>
      </c>
      <c r="AB8" s="15">
        <v>1441009.2399999998</v>
      </c>
    </row>
    <row r="9" spans="1:28" x14ac:dyDescent="0.25">
      <c r="T9" s="14" t="s">
        <v>14</v>
      </c>
      <c r="U9" s="18">
        <v>104</v>
      </c>
      <c r="V9" s="15">
        <v>244354.47</v>
      </c>
      <c r="W9" s="18">
        <v>201</v>
      </c>
      <c r="X9" s="15">
        <v>498029.13</v>
      </c>
      <c r="Y9" s="18">
        <v>264</v>
      </c>
      <c r="Z9" s="15">
        <v>664082.74000000081</v>
      </c>
      <c r="AA9" s="18">
        <v>569</v>
      </c>
      <c r="AB9" s="15">
        <v>1406466.3399999989</v>
      </c>
    </row>
    <row r="10" spans="1:28" x14ac:dyDescent="0.25">
      <c r="T10" s="14" t="s">
        <v>5045</v>
      </c>
      <c r="U10" s="18">
        <v>267</v>
      </c>
      <c r="V10" s="15">
        <v>636446.88999999966</v>
      </c>
      <c r="W10" s="18">
        <v>601</v>
      </c>
      <c r="X10" s="15">
        <v>1495148.6899999981</v>
      </c>
      <c r="Y10" s="18">
        <v>839</v>
      </c>
      <c r="Z10" s="15">
        <v>2150149.5099999984</v>
      </c>
      <c r="AA10" s="18">
        <v>1707</v>
      </c>
      <c r="AB10" s="15">
        <v>4281745.089999998</v>
      </c>
    </row>
    <row r="11" spans="1:28" x14ac:dyDescent="0.25">
      <c r="K11" s="13" t="s">
        <v>4</v>
      </c>
      <c r="L11" s="15" t="s">
        <v>5048</v>
      </c>
      <c r="N11" s="13" t="s">
        <v>5044</v>
      </c>
      <c r="O11" s="16" t="s">
        <v>5047</v>
      </c>
    </row>
    <row r="12" spans="1:28" x14ac:dyDescent="0.25">
      <c r="K12" s="14" t="s">
        <v>25</v>
      </c>
      <c r="L12" s="15">
        <v>2434.9329393468124</v>
      </c>
      <c r="N12" s="14" t="s">
        <v>5049</v>
      </c>
      <c r="O12" s="17">
        <v>0.1552</v>
      </c>
    </row>
    <row r="13" spans="1:28" x14ac:dyDescent="0.25">
      <c r="K13" s="14" t="s">
        <v>15</v>
      </c>
      <c r="L13" s="15">
        <v>2441.1554743390352</v>
      </c>
      <c r="N13" s="14" t="s">
        <v>5050</v>
      </c>
      <c r="O13" s="17">
        <v>0.35499999999999998</v>
      </c>
    </row>
    <row r="14" spans="1:28" x14ac:dyDescent="0.25">
      <c r="K14" s="14" t="s">
        <v>5032</v>
      </c>
      <c r="L14" s="15">
        <v>2457.8955764075044</v>
      </c>
      <c r="N14" s="14" t="s">
        <v>5051</v>
      </c>
      <c r="O14" s="17">
        <v>0.48980000000000001</v>
      </c>
    </row>
    <row r="15" spans="1:28" x14ac:dyDescent="0.25">
      <c r="K15" s="14" t="s">
        <v>34</v>
      </c>
      <c r="L15" s="15">
        <v>2486.541624060153</v>
      </c>
      <c r="N15" s="14" t="s">
        <v>5045</v>
      </c>
      <c r="O15" s="17">
        <v>1</v>
      </c>
    </row>
    <row r="16" spans="1:28" x14ac:dyDescent="0.25">
      <c r="K16" s="14" t="s">
        <v>19</v>
      </c>
      <c r="L16" s="15">
        <v>2494.0736060606055</v>
      </c>
    </row>
    <row r="17" spans="11:12" x14ac:dyDescent="0.25">
      <c r="K17" s="14" t="s">
        <v>22</v>
      </c>
      <c r="L17" s="15">
        <v>2507.9048419540231</v>
      </c>
    </row>
    <row r="18" spans="11:12" x14ac:dyDescent="0.25">
      <c r="K18" s="14" t="s">
        <v>10</v>
      </c>
      <c r="L18" s="15">
        <v>2527.9798240469204</v>
      </c>
    </row>
    <row r="19" spans="11:12" x14ac:dyDescent="0.25">
      <c r="K19" s="14" t="s">
        <v>32</v>
      </c>
      <c r="L19" s="15">
        <v>2538.320172413793</v>
      </c>
    </row>
    <row r="20" spans="11:12" x14ac:dyDescent="0.25">
      <c r="K20" s="14" t="s">
        <v>5052</v>
      </c>
      <c r="L20" s="15">
        <v>2488.1581879999976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Winfred Njiru</cp:lastModifiedBy>
  <cp:revision/>
  <dcterms:created xsi:type="dcterms:W3CDTF">2026-05-08T06:43:30Z</dcterms:created>
  <dcterms:modified xsi:type="dcterms:W3CDTF">2026-05-11T13:28:33Z</dcterms:modified>
  <cp:category/>
  <cp:contentStatus/>
</cp:coreProperties>
</file>